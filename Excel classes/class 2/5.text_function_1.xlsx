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943\Downloads\Upgrad classes\class 2\"/>
    </mc:Choice>
  </mc:AlternateContent>
  <xr:revisionPtr revIDLastSave="0" documentId="13_ncr:1_{BB207DFA-DF8A-48FF-BFFD-AAFBEC7E7357}" xr6:coauthVersionLast="47" xr6:coauthVersionMax="47" xr10:uidLastSave="{00000000-0000-0000-0000-000000000000}"/>
  <bookViews>
    <workbookView xWindow="-108" yWindow="-108" windowWidth="23256" windowHeight="13176" xr2:uid="{622D0965-91EB-48ED-A98D-8B931CEC7647}"/>
  </bookViews>
  <sheets>
    <sheet name="text_function_1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pr">#REF!</definedName>
    <definedName name="Bonus_Percentage">0.2</definedName>
    <definedName name="DeliveryCharges">5%</definedName>
    <definedName name="DeliveryCharges_Perc">2%</definedName>
    <definedName name="Dyn_EmpData">OFFSET('[1]Name Manager'!$G$1,0,0,COUNTA('[1]Name Manager'!$G:$G),2)</definedName>
    <definedName name="Dyn_EmpDetails">OFFSET('[2]Name Manager'!$J$1,0,0,COUNTA('[2]Name Manager'!$J:$J),2)</definedName>
    <definedName name="Dyn_SalaryInfo">OFFSET('[3]Name Manager'!$P$1,0,0,12,4)</definedName>
    <definedName name="Dynamic_EmpData">OFFSET('[4]Name Manager'!$J$1,0,0,COUNTA('[4]Name Manager'!$J:$J),2)</definedName>
    <definedName name="Dynamic_EmpList">OFFSET('[5]Name Manager'!$J$1,0,0,COUNTA('[5]Name Manager'!$J:$J),2)</definedName>
    <definedName name="Dynamic_EmployeeData">OFFSET('[6]Name Manager'!$J$1,0,0,COUNTA('[6]Name Manager'!$J:$J),2)</definedName>
    <definedName name="Dynamic_EmpRange">OFFSET(#REF!,0,0,COUNTA(#REF!),3)</definedName>
    <definedName name="DynamicProductList">OFFSET('[7]Named Range'!$E$2,0,0,COUNTA('[7]Named Range'!$E$2:$E$100),1)</definedName>
    <definedName name="East">'[2]Name Manager'!$AA$2:$AA$6</definedName>
    <definedName name="Emp">#REF!</definedName>
    <definedName name="Emp_Details" comment="hey this is my first name range...">'[2]Name Manager'!$D$1:$E$9</definedName>
    <definedName name="Emp1_">#REF!</definedName>
    <definedName name="Emp2_">#REF!</definedName>
    <definedName name="Emp3_">#REF!</definedName>
    <definedName name="Emp4_">#REF!</definedName>
    <definedName name="Emp5_">#REF!</definedName>
    <definedName name="EmpData">'[4]Name Manager'!$D$1:$E$11</definedName>
    <definedName name="EmployeeData">'[6]Name Manager'!$D$1:$E$12</definedName>
    <definedName name="EmpNamesList">'[4]Name Manager'!$D$1:$D$11</definedName>
    <definedName name="Feb">#REF!</definedName>
    <definedName name="GST_Rate_1">20%</definedName>
    <definedName name="GST_Tax1">20%</definedName>
    <definedName name="Headers">'[3]Name Manager'!$D$1:$G$1</definedName>
    <definedName name="Jan">#REF!</definedName>
    <definedName name="Mar">#REF!</definedName>
    <definedName name="May">#REF!</definedName>
    <definedName name="My_Data">#REF!</definedName>
    <definedName name="North">'[2]Name Manager'!$AC$2:$AC$6</definedName>
    <definedName name="Product_List">'[7]Named Range'!$C$1:$C$10</definedName>
    <definedName name="Salary_Headers">'[3]Name Manager'!$P$1:$S$1</definedName>
    <definedName name="SalaryRange">'[3]Name Manager'!$D$1:$G$13</definedName>
    <definedName name="SAM100_">#REF!</definedName>
    <definedName name="Tax_Rate">0.2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2" i="2" l="1"/>
  <c r="B91" i="2"/>
  <c r="C91" i="2" s="1"/>
  <c r="D91" i="2" s="1"/>
  <c r="B90" i="2"/>
  <c r="F90" i="2" s="1"/>
  <c r="C90" i="2"/>
  <c r="G89" i="2"/>
  <c r="G90" i="2"/>
  <c r="G91" i="2"/>
  <c r="F89" i="2"/>
  <c r="F88" i="2"/>
  <c r="E89" i="2"/>
  <c r="D89" i="2"/>
  <c r="D90" i="2"/>
  <c r="E90" i="2" s="1"/>
  <c r="C89" i="2"/>
  <c r="B89" i="2"/>
  <c r="B88" i="2"/>
  <c r="C88" i="2"/>
  <c r="D88" i="2"/>
  <c r="E88" i="2"/>
  <c r="G88" i="2"/>
  <c r="B87" i="2"/>
  <c r="C87" i="2" s="1"/>
  <c r="D87" i="2" s="1"/>
  <c r="G87" i="2"/>
  <c r="B86" i="2"/>
  <c r="C86" i="2" s="1"/>
  <c r="D86" i="2" s="1"/>
  <c r="G86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28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G83" i="2"/>
  <c r="G84" i="2"/>
  <c r="G85" i="2"/>
  <c r="E82" i="2"/>
  <c r="D82" i="2"/>
  <c r="C82" i="2"/>
  <c r="B82" i="2"/>
  <c r="C83" i="2"/>
  <c r="D83" i="2" s="1"/>
  <c r="E84" i="2"/>
  <c r="F84" i="2"/>
  <c r="F85" i="2"/>
  <c r="E85" i="2"/>
  <c r="C84" i="2"/>
  <c r="D84" i="2"/>
  <c r="D85" i="2"/>
  <c r="C85" i="2"/>
  <c r="B83" i="2"/>
  <c r="B84" i="2"/>
  <c r="B85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53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28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" i="2"/>
  <c r="F91" i="2" l="1"/>
  <c r="E91" i="2"/>
  <c r="F87" i="2"/>
  <c r="E87" i="2"/>
  <c r="F86" i="2"/>
  <c r="E86" i="2"/>
  <c r="E83" i="2"/>
  <c r="F83" i="2"/>
  <c r="F82" i="2" l="1"/>
</calcChain>
</file>

<file path=xl/sharedStrings.xml><?xml version="1.0" encoding="utf-8"?>
<sst xmlns="http://schemas.openxmlformats.org/spreadsheetml/2006/main" count="130" uniqueCount="116">
  <si>
    <t>a b c</t>
  </si>
  <si>
    <t>SWATHI MATAM Kumari</t>
  </si>
  <si>
    <t>Sachin Ramesh Tendulkar</t>
  </si>
  <si>
    <t>Mahendra Singh Dhoni</t>
  </si>
  <si>
    <t>Middle Name (Mega Formula)</t>
  </si>
  <si>
    <t>Mid Name (Dynamic)</t>
  </si>
  <si>
    <t>Mid Name (Static/Manual)</t>
  </si>
  <si>
    <t>2nd Space Position#</t>
  </si>
  <si>
    <t>1st Space Position#</t>
  </si>
  <si>
    <t>Full Name</t>
  </si>
  <si>
    <t>Home Work</t>
  </si>
  <si>
    <t>Mid Function Example</t>
  </si>
  <si>
    <t>ABDUL RAZZAK</t>
  </si>
  <si>
    <t>SHRAVAN KUMAR</t>
  </si>
  <si>
    <t>RAJESH CHIGURUPATI</t>
  </si>
  <si>
    <t>ravi kishore</t>
  </si>
  <si>
    <t>prakash ramachandran</t>
  </si>
  <si>
    <t>Gundu Kumar</t>
  </si>
  <si>
    <t>V GOWTHAMI</t>
  </si>
  <si>
    <t>rijoy kapoor</t>
  </si>
  <si>
    <t>LAKSHMI VENNELA</t>
  </si>
  <si>
    <t>RAJENDRA S</t>
  </si>
  <si>
    <t>sujana kasturi</t>
  </si>
  <si>
    <t>Saharsh Dale</t>
  </si>
  <si>
    <t>Kiran Kunaparaju</t>
  </si>
  <si>
    <t>malay SHARMA</t>
  </si>
  <si>
    <t>Kaushik Kumar</t>
  </si>
  <si>
    <t>a b</t>
  </si>
  <si>
    <t>rajesh nair</t>
  </si>
  <si>
    <t>Ashwini Jain</t>
  </si>
  <si>
    <t>PAVAN REDDY</t>
  </si>
  <si>
    <t>R KIRAN</t>
  </si>
  <si>
    <t>abhimanyu pulugurtha</t>
  </si>
  <si>
    <t>swathi maTAM</t>
  </si>
  <si>
    <t>Finding Last Name</t>
  </si>
  <si>
    <t>Finding Length</t>
  </si>
  <si>
    <t>Finding First Name</t>
  </si>
  <si>
    <t>Find Space Position#</t>
  </si>
  <si>
    <t>Rao</t>
  </si>
  <si>
    <t>Krishna</t>
  </si>
  <si>
    <t>Jain</t>
  </si>
  <si>
    <t>Ashwini</t>
  </si>
  <si>
    <t>Sharma</t>
  </si>
  <si>
    <t>Abhishek</t>
  </si>
  <si>
    <t>kishore</t>
  </si>
  <si>
    <t>ravi</t>
  </si>
  <si>
    <t>ramachandran</t>
  </si>
  <si>
    <t>prakash</t>
  </si>
  <si>
    <t>Kumar</t>
  </si>
  <si>
    <t>Gundu</t>
  </si>
  <si>
    <t>GOWTHAMI</t>
  </si>
  <si>
    <t>V</t>
  </si>
  <si>
    <t>kapoor</t>
  </si>
  <si>
    <t>rijoy</t>
  </si>
  <si>
    <t>VENNELA</t>
  </si>
  <si>
    <t>LAKSHMI</t>
  </si>
  <si>
    <t>S</t>
  </si>
  <si>
    <t>RAJENDRA</t>
  </si>
  <si>
    <t>kasturi</t>
  </si>
  <si>
    <t>sujana</t>
  </si>
  <si>
    <t>Dale</t>
  </si>
  <si>
    <t>Saharsh</t>
  </si>
  <si>
    <t>Kunaparaju</t>
  </si>
  <si>
    <t>Kiran</t>
  </si>
  <si>
    <t>mandal</t>
  </si>
  <si>
    <t>raj</t>
  </si>
  <si>
    <t xml:space="preserve">      JOSEPH    </t>
  </si>
  <si>
    <t xml:space="preserve">ALFRED     </t>
  </si>
  <si>
    <t>p</t>
  </si>
  <si>
    <t xml:space="preserve">pramod    </t>
  </si>
  <si>
    <t xml:space="preserve">KARNE     </t>
  </si>
  <si>
    <t xml:space="preserve">      Suresh</t>
  </si>
  <si>
    <t>Chalamalasetti</t>
  </si>
  <si>
    <t>Kamal</t>
  </si>
  <si>
    <t>UPPALA</t>
  </si>
  <si>
    <t>RAJESH</t>
  </si>
  <si>
    <t xml:space="preserve">maka     </t>
  </si>
  <si>
    <t>SURESH</t>
  </si>
  <si>
    <t>pulugurtha</t>
  </si>
  <si>
    <t>abhimanyu</t>
  </si>
  <si>
    <t xml:space="preserve">        matam    </t>
  </si>
  <si>
    <t xml:space="preserve">      SWATHI    </t>
  </si>
  <si>
    <t>Create Mail ID2</t>
  </si>
  <si>
    <t>Create Mail ID1</t>
  </si>
  <si>
    <t>Last Name</t>
  </si>
  <si>
    <t>First Name</t>
  </si>
  <si>
    <t>upgrad.com</t>
  </si>
  <si>
    <t>Domain Name</t>
  </si>
  <si>
    <t>Concatinate Function</t>
  </si>
  <si>
    <t xml:space="preserve">LAKSHMI VENNELA      </t>
  </si>
  <si>
    <t xml:space="preserve">    sujana kasturi</t>
  </si>
  <si>
    <t xml:space="preserve">Kiran Kunaparaju    </t>
  </si>
  <si>
    <t>malay mandal</t>
  </si>
  <si>
    <t xml:space="preserve">           Kaushik      Kumar                      </t>
  </si>
  <si>
    <t>ALFRED JOSEPH</t>
  </si>
  <si>
    <t>pramod p</t>
  </si>
  <si>
    <t xml:space="preserve">    SURESH      </t>
  </si>
  <si>
    <t xml:space="preserve">Joseph1    </t>
  </si>
  <si>
    <t>prakash kumar</t>
  </si>
  <si>
    <t>naresh maka</t>
  </si>
  <si>
    <t>abhimanyu ShaRMA</t>
  </si>
  <si>
    <t xml:space="preserve">     SWATHI      MATam  </t>
  </si>
  <si>
    <t>LEN</t>
  </si>
  <si>
    <t>Trim &amp; Proper</t>
  </si>
  <si>
    <t>Proper &amp; Trim</t>
  </si>
  <si>
    <t>Remove Excess Spaces (Trim)</t>
  </si>
  <si>
    <t>Proper Case</t>
  </si>
  <si>
    <t>Lower Case</t>
  </si>
  <si>
    <t>Upper Case</t>
  </si>
  <si>
    <t>Len left after 2nd space</t>
  </si>
  <si>
    <t>raju maharajfder noraegadg</t>
  </si>
  <si>
    <t>fasdfassd asdfassdf  d</t>
  </si>
  <si>
    <t>s dfasdf sf</t>
  </si>
  <si>
    <t>sdf d f</t>
  </si>
  <si>
    <t>sdf dd dfff</t>
  </si>
  <si>
    <t>fddf sdf dfdsa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</si>
</sst>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1"/>
      <color theme="1"/>
      <name val="Segoe UI"/>
      <family val="2"/>
    </font>
    <font>
      <u/>
      <sz val="11"/>
      <color theme="10"/>
      <name val="Segoe UI"/>
      <family val="2"/>
    </font>
    <font>
      <b/>
      <sz val="15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1" applyFont="1"/>
    <xf numFmtId="0" fontId="2" fillId="0" borderId="1" xfId="1" applyFont="1" applyBorder="1"/>
    <xf numFmtId="0" fontId="2" fillId="2" borderId="1" xfId="1" applyFont="1" applyFill="1" applyBorder="1"/>
    <xf numFmtId="0" fontId="2" fillId="3" borderId="1" xfId="1" applyFont="1" applyFill="1" applyBorder="1"/>
    <xf numFmtId="0" fontId="1" fillId="0" borderId="0" xfId="1"/>
    <xf numFmtId="0" fontId="3" fillId="0" borderId="0" xfId="2"/>
    <xf numFmtId="0" fontId="2" fillId="0" borderId="0" xfId="3" applyNumberFormat="1" applyFont="1" applyBorder="1"/>
    <xf numFmtId="0" fontId="2" fillId="2" borderId="0" xfId="1" applyFont="1" applyFill="1"/>
    <xf numFmtId="0" fontId="2" fillId="0" borderId="1" xfId="3" applyNumberFormat="1" applyFont="1" applyBorder="1"/>
    <xf numFmtId="0" fontId="4" fillId="0" borderId="1" xfId="4" applyBorder="1"/>
    <xf numFmtId="0" fontId="2" fillId="4" borderId="0" xfId="1" applyFont="1" applyFill="1"/>
    <xf numFmtId="0" fontId="5" fillId="0" borderId="0" xfId="1" applyFont="1"/>
    <xf numFmtId="0" fontId="2" fillId="2" borderId="2" xfId="1" applyFont="1" applyFill="1" applyBorder="1"/>
    <xf numFmtId="0" fontId="2" fillId="0" borderId="3" xfId="1" applyFont="1" applyFill="1" applyBorder="1"/>
    <xf numFmtId="0" fontId="2" fillId="0" borderId="0" xfId="1" applyFont="1" applyFill="1" applyBorder="1"/>
    <xf numFmtId="0" fontId="2" fillId="2" borderId="0" xfId="1" applyFont="1" applyFill="1" applyBorder="1"/>
  </cellXfs>
  <cellStyles count="5">
    <cellStyle name="Currency 3 2 2 2 2" xfId="3" xr:uid="{2CF10496-9F44-4F7A-A7EB-F9181369C217}"/>
    <cellStyle name="Hyperlink" xfId="4" builtinId="8"/>
    <cellStyle name="Normal" xfId="0" builtinId="0"/>
    <cellStyle name="Normal 3" xfId="2" xr:uid="{63AA3DE6-5BFA-441F-9D73-D46B3C5A9910}"/>
    <cellStyle name="Normal 6 4 2 2 2" xfId="1" xr:uid="{D356313E-6406-4B38-B463-B902A29E09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78</xdr:row>
      <xdr:rowOff>0</xdr:rowOff>
    </xdr:from>
    <xdr:ext cx="3734321" cy="350480"/>
    <xdr:pic>
      <xdr:nvPicPr>
        <xdr:cNvPr id="2" name="Picture 1">
          <a:extLst>
            <a:ext uri="{FF2B5EF4-FFF2-40B4-BE49-F238E27FC236}">
              <a16:creationId xmlns:a16="http://schemas.microsoft.com/office/drawing/2014/main" id="{48059B92-3AED-4F24-986E-D80318DFE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4363700"/>
          <a:ext cx="3734321" cy="35048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DataSkills\Batch%20Files\Batch%2093%20-%20Excel%20-%20Feb%202022%20(Morning%20Batch)\DataSkills%20Excel%20Class%20File%20-%20Batch%209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12%20(WD%20-%20Nov%2022nd%209%20AM%20to%2011%20AM)\13%20Advanced%20Excel%20Class%20File%20-%20Day%2013-%20Nov%2017th%20Batch%20-%20Karthik%20Da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DataSkills\Batch%20Files\DataSkills%20-%20Advanced%20Excel%20Training%20-%20Batch%2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5%20(WD%20-%205%20PM%20to%207%20PM)\Excel\14%20Advanced%20Excel%20Class%20File%20-%20Day%2014-%20Aug%2018th%20Batch%20-%20Karthik%20Da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1%20(WE%20-%209%20am%20to%201%20pm)\Excel\7%20Advanced%20Excel%20Class%20File%20-%20Day%207-%20June%2026th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5%20(WD%20-%205%20PM%20to%207%20PM)\Excel\9%20Advanced%20Excel%20Class%20File%20-%20Day%209-%20Aug%2018th%20Batch%20-%20Karthik%20Dal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12%20(WD%20-%20Nov%2022nd%209%20AM%20to%2011%20AM)\13%20Advanced%20Excel%20Class%20File%20-%20Day%2013-%20Batch%203040%20-%20%20Sep%2014th%20Batch%20-%20Karthik%20D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Join the DataSkills Community"/>
      <sheetName val="About Excel"/>
      <sheetName val="How Big is Excel"/>
      <sheetName val="Copy &amp; Paste Special"/>
      <sheetName val="Sheet1"/>
      <sheetName val="Format as Table"/>
      <sheetName val="Conditional Formatting"/>
      <sheetName val="Conditional Formatting Prac"/>
      <sheetName val="Fill Series"/>
      <sheetName val="Flash Fill_Prac"/>
      <sheetName val="Flash Fill"/>
      <sheetName val="Data Types "/>
      <sheetName val="Number Format"/>
      <sheetName val="Customers Mobile Numbers"/>
      <sheetName val="Go to Special"/>
      <sheetName val="Go to Special (2)"/>
      <sheetName val="Misl"/>
      <sheetName val="Misl (2)"/>
      <sheetName val="The 3 Freezing Techniques"/>
      <sheetName val="Q &amp; A"/>
      <sheetName val="Suggestion1"/>
      <sheetName val="Formulas_Text"/>
      <sheetName val="Excel Requirements"/>
      <sheetName val="Date &amp; Time Functions"/>
      <sheetName val="Date Func Examples"/>
      <sheetName val="Logical Functions"/>
      <sheetName val="The Most Popular Formula"/>
      <sheetName val="Destination Sheet"/>
      <sheetName val="Index Formula"/>
      <sheetName val="Offset"/>
      <sheetName val="SUMIFS_Countifs_Averageifs"/>
      <sheetName val="Math Formulas"/>
      <sheetName val="Aggregate"/>
      <sheetName val="Statistical Functions"/>
      <sheetName val="Information Functions"/>
      <sheetName val="Name Manager"/>
      <sheetName val="Formula 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8">
          <cell r="G8" t="str">
            <v>Employee Name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G1" t="str">
            <v>Employee Name</v>
          </cell>
        </row>
        <row r="2">
          <cell r="G2" t="str">
            <v>Abdul Razzak</v>
          </cell>
        </row>
        <row r="3">
          <cell r="G3" t="str">
            <v>Alexander Muthunoori</v>
          </cell>
        </row>
        <row r="4">
          <cell r="G4" t="str">
            <v>Anand Kumar Pandikonda</v>
          </cell>
        </row>
        <row r="5">
          <cell r="G5" t="str">
            <v>Anil Biradar</v>
          </cell>
        </row>
        <row r="6">
          <cell r="G6" t="str">
            <v>Swathi Matam</v>
          </cell>
        </row>
        <row r="7">
          <cell r="G7" t="str">
            <v>Arun KashaBoina</v>
          </cell>
        </row>
        <row r="8">
          <cell r="G8" t="str">
            <v>Saharsh</v>
          </cell>
        </row>
        <row r="9">
          <cell r="G9" t="str">
            <v>Khushi</v>
          </cell>
        </row>
        <row r="10">
          <cell r="G10" t="str">
            <v>Divya</v>
          </cell>
        </row>
      </sheetData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Fill Series"/>
      <sheetName val="Number Format"/>
      <sheetName val="Conditional Formatting"/>
      <sheetName val="Make Excel Speak"/>
      <sheetName val="Copy &amp; Paste Special"/>
      <sheetName val="PS - Transpose"/>
      <sheetName val="PS - Paste &amp; Linked Picture"/>
      <sheetName val="Shortcuts"/>
      <sheetName val="Format as Table"/>
      <sheetName val="Excel file Formats"/>
      <sheetName val="Students Q &amp; A"/>
      <sheetName val="The 3 Freezing Techniques"/>
      <sheetName val="Text Functions"/>
      <sheetName val="Q &amp; A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_Prac"/>
      <sheetName val="Math Formulas"/>
      <sheetName val="Aggregate"/>
      <sheetName val="Statistical Functions"/>
      <sheetName val="Information Functions"/>
      <sheetName val="EMI Calculator"/>
      <sheetName val="Formula Notes"/>
      <sheetName val="Name Manager"/>
      <sheetName val="Data Ribbon 1"/>
      <sheetName val="Data Ribbon 2"/>
      <sheetName val="Text to Columns"/>
      <sheetName val="Remove Duplicates"/>
      <sheetName val="Review Ribb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  <cell r="AA2" t="str">
            <v>Name1</v>
          </cell>
          <cell r="AC2" t="str">
            <v>Name111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  <cell r="AA3" t="str">
            <v>Name2</v>
          </cell>
          <cell r="AC3" t="str">
            <v>Name112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  <cell r="AA4" t="str">
            <v>Name3</v>
          </cell>
          <cell r="AC4" t="str">
            <v>Name113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  <cell r="AA5" t="str">
            <v>Name4</v>
          </cell>
          <cell r="AC5" t="str">
            <v>Name114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  <cell r="AA6" t="str">
            <v>Name5</v>
          </cell>
          <cell r="AC6" t="str">
            <v>Name115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J10" t="str">
            <v>Divya</v>
          </cell>
        </row>
        <row r="11">
          <cell r="J11" t="str">
            <v>Rajesh Nair</v>
          </cell>
        </row>
        <row r="12">
          <cell r="J12" t="str">
            <v>Prakash</v>
          </cell>
        </row>
        <row r="13">
          <cell r="J13" t="str">
            <v>Prakash Ramachandran</v>
          </cell>
        </row>
        <row r="14">
          <cell r="J14" t="str">
            <v>Brahma</v>
          </cell>
        </row>
        <row r="15">
          <cell r="J15" t="str">
            <v>Dharani</v>
          </cell>
        </row>
        <row r="16">
          <cell r="J16" t="str">
            <v>Virat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board Shortcuts List"/>
      <sheetName val="History of Spreadsheet"/>
      <sheetName val="Format as Table"/>
      <sheetName val="How big is Excel sheet"/>
      <sheetName val="Data Types "/>
      <sheetName val="Copy_Paste &amp; Others"/>
      <sheetName val="Number Format"/>
      <sheetName val="Excel file Formats"/>
      <sheetName val="Conditional Formatting"/>
      <sheetName val="Conditional Formatting_Prac"/>
      <sheetName val="Fill Data"/>
      <sheetName val="Finding Last Cell"/>
      <sheetName val="Find and Select"/>
      <sheetName val="Editing Group"/>
      <sheetName val="Cells Group"/>
      <sheetName val="Formulas_Introduction"/>
      <sheetName val="Formulas_Text"/>
      <sheetName val="Formulas_Text_Prac"/>
      <sheetName val="Date &amp; Time Functions"/>
      <sheetName val="Logical Functions"/>
      <sheetName val="Formulas_Lookup &amp; Reference"/>
      <sheetName val="Index Formula"/>
      <sheetName val="Index Formula_Prac"/>
      <sheetName val="Index &amp; Vlookup Notes"/>
      <sheetName val="OFFSET &amp; Other Lookup"/>
      <sheetName val="Creating Dynamic Calendar"/>
      <sheetName val="SUMIFS_Countifs_Averageifs"/>
      <sheetName val="Math Formulas"/>
      <sheetName val="Statistical Functions"/>
      <sheetName val="Financial Formulas"/>
      <sheetName val="Information Functions"/>
      <sheetName val="Formula Notes"/>
      <sheetName val="Name Manager"/>
      <sheetName val="Data Ribbon"/>
      <sheetName val="Sales 2015"/>
      <sheetName val="Sales 2016"/>
      <sheetName val="Sales 2017"/>
      <sheetName val="Consolidate"/>
      <sheetName val="Subtotals"/>
      <sheetName val="Copy &amp; Paste Only Visible Data"/>
      <sheetName val="What-If Analysis"/>
      <sheetName val="Filter Data"/>
      <sheetName val="Advanced Filter"/>
      <sheetName val="Sorting Data"/>
      <sheetName val="Inse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">
          <cell r="D1" t="str">
            <v>Emp Name</v>
          </cell>
          <cell r="E1" t="str">
            <v>Designation</v>
          </cell>
          <cell r="F1" t="str">
            <v>Basic Salary</v>
          </cell>
          <cell r="G1" t="str">
            <v>HRA</v>
          </cell>
          <cell r="P1" t="str">
            <v>Emp Name</v>
          </cell>
          <cell r="Q1" t="str">
            <v>Designation</v>
          </cell>
          <cell r="R1" t="str">
            <v>Basic Salary</v>
          </cell>
          <cell r="S1" t="str">
            <v>HRA</v>
          </cell>
        </row>
        <row r="2">
          <cell r="D2" t="str">
            <v>Vineesha Matam</v>
          </cell>
          <cell r="E2" t="str">
            <v>Tester</v>
          </cell>
          <cell r="F2">
            <v>50000</v>
          </cell>
          <cell r="G2">
            <v>10000</v>
          </cell>
        </row>
        <row r="3">
          <cell r="D3" t="str">
            <v>Prakash R</v>
          </cell>
          <cell r="E3" t="str">
            <v>Manager</v>
          </cell>
          <cell r="F3">
            <v>10000</v>
          </cell>
          <cell r="G3">
            <v>4000</v>
          </cell>
        </row>
        <row r="4">
          <cell r="D4" t="str">
            <v>Padma Sri</v>
          </cell>
          <cell r="E4" t="str">
            <v>PJM</v>
          </cell>
          <cell r="F4">
            <v>23400</v>
          </cell>
          <cell r="G4">
            <v>20330</v>
          </cell>
        </row>
        <row r="5">
          <cell r="D5" t="str">
            <v>Patlolla Sathish</v>
          </cell>
          <cell r="E5" t="str">
            <v>Lead</v>
          </cell>
          <cell r="F5">
            <v>220800</v>
          </cell>
          <cell r="G5">
            <v>149217</v>
          </cell>
        </row>
        <row r="6">
          <cell r="D6" t="str">
            <v>Pranathi Adem</v>
          </cell>
          <cell r="E6" t="str">
            <v>DB</v>
          </cell>
          <cell r="F6">
            <v>55200</v>
          </cell>
          <cell r="G6">
            <v>17868</v>
          </cell>
        </row>
        <row r="7">
          <cell r="D7" t="str">
            <v>Kaushik Kumar</v>
          </cell>
          <cell r="E7" t="str">
            <v>Tester</v>
          </cell>
          <cell r="F7">
            <v>116100</v>
          </cell>
          <cell r="G7">
            <v>20868</v>
          </cell>
        </row>
        <row r="8">
          <cell r="D8" t="str">
            <v>Manish Tadepalli</v>
          </cell>
          <cell r="E8" t="str">
            <v>Manager</v>
          </cell>
          <cell r="F8">
            <v>140700</v>
          </cell>
          <cell r="G8">
            <v>16595</v>
          </cell>
        </row>
        <row r="9">
          <cell r="D9" t="str">
            <v>Rajesh Nair</v>
          </cell>
          <cell r="E9" t="str">
            <v>Architech</v>
          </cell>
          <cell r="F9">
            <v>159789</v>
          </cell>
          <cell r="G9">
            <v>2586</v>
          </cell>
        </row>
        <row r="10">
          <cell r="D10" t="str">
            <v>Rachna Bhagat</v>
          </cell>
          <cell r="E10" t="str">
            <v>Manager</v>
          </cell>
          <cell r="F10">
            <v>250000</v>
          </cell>
          <cell r="G10">
            <v>3698</v>
          </cell>
        </row>
        <row r="11">
          <cell r="D11" t="str">
            <v>Naveen</v>
          </cell>
          <cell r="E11" t="str">
            <v>Lead</v>
          </cell>
          <cell r="F11">
            <v>55000</v>
          </cell>
          <cell r="G11">
            <v>9999</v>
          </cell>
        </row>
        <row r="12">
          <cell r="D12" t="str">
            <v>Virat Kohli</v>
          </cell>
          <cell r="E12" t="str">
            <v>Captain</v>
          </cell>
          <cell r="F12">
            <v>99999</v>
          </cell>
          <cell r="G12">
            <v>36987</v>
          </cell>
        </row>
        <row r="13">
          <cell r="D13" t="str">
            <v>Rishabh Pant</v>
          </cell>
          <cell r="E13" t="str">
            <v>Batsman</v>
          </cell>
          <cell r="F13">
            <v>15000</v>
          </cell>
          <cell r="G13">
            <v>2500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Copy &amp; Paste Special"/>
      <sheetName val="PS - Transpose"/>
      <sheetName val="PS - Paste &amp; Linked Picture"/>
      <sheetName val="Shortcuts"/>
      <sheetName val="File Formats"/>
      <sheetName val="Conditional Formatting"/>
      <sheetName val="Format as Table"/>
      <sheetName val="Number Format"/>
      <sheetName val="Fill Series "/>
      <sheetName val="Goto Special"/>
      <sheetName val="Last Cell Ex"/>
      <sheetName val="Misl"/>
      <sheetName val="The 3 Freezing Techniques"/>
      <sheetName val="Formulas_Text"/>
      <sheetName val="Formulas_Text_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Formula Notes"/>
      <sheetName val="Name Manager"/>
      <sheetName val="Data Ribbon 1"/>
      <sheetName val="Filter Formula"/>
      <sheetName val="Data Ribbon 2"/>
      <sheetName val="Text to Columns"/>
      <sheetName val="Remove Duplicates"/>
      <sheetName val="Group UnGroup Data"/>
      <sheetName val="Insert Ribbon"/>
      <sheetName val="Encrypt the Wrbk"/>
      <sheetName val="Wrbk Structure Protection"/>
      <sheetName val="Sheet Protection"/>
      <sheetName val="Sheet1"/>
      <sheetName val="Uniqu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D10" t="str">
            <v>Priya</v>
          </cell>
          <cell r="E10" t="str">
            <v>Emp457</v>
          </cell>
          <cell r="J10" t="str">
            <v>Divya</v>
          </cell>
        </row>
        <row r="11">
          <cell r="D11" t="str">
            <v>Jyothi</v>
          </cell>
          <cell r="E11" t="str">
            <v>Emp458</v>
          </cell>
          <cell r="J11" t="str">
            <v>Karthik</v>
          </cell>
        </row>
        <row r="12">
          <cell r="J12" t="str">
            <v>Ramesh Y</v>
          </cell>
        </row>
        <row r="13">
          <cell r="J13" t="str">
            <v>Shravan</v>
          </cell>
        </row>
        <row r="14">
          <cell r="J14" t="str">
            <v>Sahasra</v>
          </cell>
        </row>
        <row r="24">
          <cell r="J24" t="str">
            <v>product name</v>
          </cell>
        </row>
        <row r="25">
          <cell r="J25" t="str">
            <v>hi</v>
          </cell>
        </row>
        <row r="26">
          <cell r="J26" t="str">
            <v>bye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Formats"/>
      <sheetName val="Data Types "/>
      <sheetName val="Copy &amp; Paste Special"/>
      <sheetName val="PS - Transpose"/>
      <sheetName val="PS - Paste &amp; Linked Picture"/>
      <sheetName val="Shortcuts"/>
      <sheetName val="Flash Fill"/>
      <sheetName val="Fill Series "/>
      <sheetName val="Goto Special"/>
      <sheetName val="GtS - More"/>
      <sheetName val="Format as Table"/>
      <sheetName val="Conditional Formatting"/>
      <sheetName val="Logical Operators"/>
      <sheetName val="Number Format"/>
      <sheetName val="Attendance"/>
      <sheetName val="Referencing &amp; Freeze Technique"/>
      <sheetName val="Formulas_Text"/>
      <sheetName val="Date &amp; Time Functions"/>
      <sheetName val="Order Info"/>
      <sheetName val="Logical Functions"/>
      <sheetName val="SUMIFS_Countifs_Averageifs"/>
      <sheetName val="Financial Function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Q &amp; A of Participants"/>
      <sheetName val="Formula Notes"/>
      <sheetName val="Name Manager"/>
      <sheetName val="Insert Ribbon"/>
      <sheetName val="Filters &amp; Adv Filters"/>
      <sheetName val="Sort &amp; Custom Sort"/>
      <sheetName val="Remove Duplicates"/>
      <sheetName val="Text to Columns"/>
      <sheetName val="Data Vali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D1" t="str">
            <v>Employee Name</v>
          </cell>
          <cell r="J1" t="str">
            <v>Employee Name</v>
          </cell>
        </row>
        <row r="2">
          <cell r="J2" t="str">
            <v>Divya Naidu</v>
          </cell>
        </row>
        <row r="3">
          <cell r="J3" t="str">
            <v>Alexander Muthunoori</v>
          </cell>
        </row>
        <row r="4">
          <cell r="J4" t="str">
            <v>Anand Kumar Pandikonda</v>
          </cell>
        </row>
        <row r="5">
          <cell r="J5" t="str">
            <v>Anil Biradar</v>
          </cell>
        </row>
        <row r="6">
          <cell r="J6" t="str">
            <v>Swathi Matam</v>
          </cell>
        </row>
        <row r="7">
          <cell r="J7" t="str">
            <v>Arun KashaBoina</v>
          </cell>
        </row>
        <row r="8">
          <cell r="J8" t="str">
            <v>Saharsh</v>
          </cell>
        </row>
        <row r="9">
          <cell r="J9" t="str">
            <v>Khushi</v>
          </cell>
        </row>
        <row r="10">
          <cell r="J10" t="str">
            <v>Divya</v>
          </cell>
        </row>
        <row r="11">
          <cell r="J11" t="str">
            <v>Rajesh Nair</v>
          </cell>
        </row>
        <row r="12">
          <cell r="J12" t="str">
            <v>Prakash</v>
          </cell>
        </row>
        <row r="13">
          <cell r="J13" t="str">
            <v>Prakash Ramachandran</v>
          </cell>
        </row>
        <row r="14">
          <cell r="J14" t="str">
            <v>Brahma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Copy &amp; Paste Special"/>
      <sheetName val="PS - Transpose"/>
      <sheetName val="PS - Paste &amp; Linked Picture"/>
      <sheetName val="Shortcuts"/>
      <sheetName val="File Formats"/>
      <sheetName val="Conditional Formatting"/>
      <sheetName val="Format as Table"/>
      <sheetName val="Number Format"/>
      <sheetName val="Fill Series "/>
      <sheetName val="Goto Special"/>
      <sheetName val="Last Cell Ex"/>
      <sheetName val="Misl"/>
      <sheetName val="The 3 Freezing Techniques"/>
      <sheetName val="Formulas_Text"/>
      <sheetName val="Formulas_Text_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Formula Notes"/>
      <sheetName val="Name Manager"/>
      <sheetName val="Data Ribbon 1"/>
      <sheetName val="Data Ribbon 2"/>
      <sheetName val="Text to Columns"/>
      <sheetName val="Remove Duplicates"/>
      <sheetName val="Group UnGroup Data"/>
      <sheetName val="Insert Ribbon"/>
      <sheetName val="Encrypt the Wrbk"/>
      <sheetName val="Wrbk Structure Protection"/>
      <sheetName val="Sheet Prot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>
        <row r="7">
          <cell r="AD7" t="str">
            <v>Sales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D10" t="str">
            <v>Priya</v>
          </cell>
          <cell r="E10" t="str">
            <v>Emp457</v>
          </cell>
          <cell r="J10" t="str">
            <v>Divya</v>
          </cell>
        </row>
        <row r="11">
          <cell r="D11" t="str">
            <v>Jyothi</v>
          </cell>
          <cell r="E11" t="str">
            <v>Emp458</v>
          </cell>
          <cell r="J11" t="str">
            <v>Karthik</v>
          </cell>
        </row>
        <row r="12">
          <cell r="D12" t="str">
            <v>Karthik</v>
          </cell>
          <cell r="E12" t="str">
            <v>Emp4569</v>
          </cell>
          <cell r="J12" t="str">
            <v>Ramesh Y</v>
          </cell>
        </row>
        <row r="13">
          <cell r="J13" t="str">
            <v>Sachin</v>
          </cell>
        </row>
        <row r="14">
          <cell r="J14" t="str">
            <v>Virat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Fill Series"/>
      <sheetName val="Number Format"/>
      <sheetName val="Conditional Formatting"/>
      <sheetName val="Copy &amp; Paste Special"/>
      <sheetName val="PS - Transpose"/>
      <sheetName val="PS - Paste &amp; Linked Picture"/>
      <sheetName val="Shortcuts"/>
      <sheetName val="Format as Table"/>
      <sheetName val="Excel file Formats"/>
      <sheetName val="Goto Special"/>
      <sheetName val="The 3 Freezing Techniques"/>
      <sheetName val="Formulas_Text"/>
      <sheetName val="Formulas_Text 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"/>
      <sheetName val="EMI Calculator"/>
      <sheetName val="Statistical Functions"/>
      <sheetName val="Information Functions"/>
      <sheetName val="Excel New Formulas"/>
      <sheetName val="Named Range"/>
      <sheetName val="Data Ribbon 1"/>
      <sheetName val="Data Ribbon 2"/>
      <sheetName val="Text to Columns"/>
      <sheetName val="Remove Duplicates"/>
      <sheetName val="Grouping &amp; Subtotals"/>
      <sheetName val="Insert Ribbon"/>
      <sheetName val="Review Ribbon"/>
      <sheetName val="Table1"/>
      <sheetName val="Power Query"/>
      <sheetName val="Query_SalesData"/>
      <sheetName val="PQ DataS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">
          <cell r="C1" t="str">
            <v>Product List</v>
          </cell>
        </row>
        <row r="2">
          <cell r="C2" t="str">
            <v>Product 1</v>
          </cell>
          <cell r="E2" t="str">
            <v>Product 1</v>
          </cell>
        </row>
        <row r="3">
          <cell r="C3" t="str">
            <v>Product 2</v>
          </cell>
          <cell r="E3" t="str">
            <v>Product 2</v>
          </cell>
        </row>
        <row r="4">
          <cell r="C4" t="str">
            <v>Apple</v>
          </cell>
          <cell r="E4" t="str">
            <v>Product 3</v>
          </cell>
        </row>
        <row r="5">
          <cell r="C5" t="str">
            <v>Product 4</v>
          </cell>
          <cell r="E5" t="str">
            <v>Product 4</v>
          </cell>
        </row>
        <row r="6">
          <cell r="C6" t="str">
            <v>Product 5</v>
          </cell>
          <cell r="E6" t="str">
            <v>Product 5</v>
          </cell>
        </row>
        <row r="7">
          <cell r="C7" t="str">
            <v>Product 6</v>
          </cell>
          <cell r="E7" t="str">
            <v>Product 6</v>
          </cell>
        </row>
        <row r="8">
          <cell r="C8" t="str">
            <v>Product 7</v>
          </cell>
          <cell r="E8" t="str">
            <v>Product 7</v>
          </cell>
        </row>
        <row r="9">
          <cell r="C9" t="str">
            <v>Product 8</v>
          </cell>
          <cell r="E9" t="str">
            <v>Product 8</v>
          </cell>
        </row>
        <row r="10">
          <cell r="C10" t="str">
            <v>Product 9</v>
          </cell>
          <cell r="E10" t="str">
            <v>Product 9</v>
          </cell>
        </row>
        <row r="11">
          <cell r="E11" t="str">
            <v>Product 10</v>
          </cell>
        </row>
        <row r="12">
          <cell r="E12" t="str">
            <v>Product 11</v>
          </cell>
        </row>
      </sheetData>
      <sheetData sheetId="29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5E0F-CCD0-4FED-A644-7C1C6F74B79B}">
  <dimension ref="A1:H91"/>
  <sheetViews>
    <sheetView tabSelected="1" topLeftCell="D199" zoomScale="98" workbookViewId="0">
      <selection activeCell="G82" sqref="G82"/>
    </sheetView>
  </sheetViews>
  <sheetFormatPr defaultRowHeight="14.4" x14ac:dyDescent="0.3"/>
  <cols>
    <col min="1" max="1" width="31.33203125" customWidth="1"/>
    <col min="2" max="2" width="33.88671875" customWidth="1"/>
    <col min="3" max="3" width="29.6640625" customWidth="1"/>
    <col min="4" max="4" width="25.88671875" customWidth="1"/>
    <col min="5" max="5" width="41.21875" customWidth="1"/>
    <col min="6" max="6" width="26.88671875" customWidth="1"/>
    <col min="7" max="7" width="90.6640625" customWidth="1"/>
    <col min="8" max="8" width="16.6640625" customWidth="1"/>
  </cols>
  <sheetData>
    <row r="1" spans="1:8" ht="19.8" x14ac:dyDescent="0.4">
      <c r="A1" s="4" t="s">
        <v>9</v>
      </c>
      <c r="B1" s="4" t="s">
        <v>108</v>
      </c>
      <c r="C1" s="4" t="s">
        <v>107</v>
      </c>
      <c r="D1" s="4" t="s">
        <v>106</v>
      </c>
      <c r="E1" s="4" t="s">
        <v>105</v>
      </c>
      <c r="F1" s="4" t="s">
        <v>104</v>
      </c>
      <c r="G1" s="4" t="s">
        <v>103</v>
      </c>
      <c r="H1" s="4" t="s">
        <v>102</v>
      </c>
    </row>
    <row r="2" spans="1:8" ht="19.8" x14ac:dyDescent="0.4">
      <c r="A2" s="3" t="s">
        <v>101</v>
      </c>
      <c r="B2" s="2" t="str">
        <f>UPPER(A2)</f>
        <v xml:space="preserve">     SWATHI      MATAM  </v>
      </c>
      <c r="C2" s="2" t="str">
        <f>LOWER(A2)</f>
        <v xml:space="preserve">     swathi      matam  </v>
      </c>
      <c r="D2" s="2" t="str">
        <f>PROPER(A2)</f>
        <v xml:space="preserve">     Swathi      Matam  </v>
      </c>
      <c r="E2" s="2" t="str">
        <f>TRIM(A2)</f>
        <v>SWATHI MATam</v>
      </c>
      <c r="F2" s="2" t="str">
        <f>TRIM(PROPER(A2))</f>
        <v>Swathi Matam</v>
      </c>
      <c r="G2" s="2" t="str">
        <f>PROPER(TRIM(A2))</f>
        <v>Swathi Matam</v>
      </c>
      <c r="H2" s="2">
        <f>LEN(A2)</f>
        <v>24</v>
      </c>
    </row>
    <row r="3" spans="1:8" ht="19.8" x14ac:dyDescent="0.4">
      <c r="A3" s="3" t="s">
        <v>100</v>
      </c>
      <c r="B3" s="2" t="str">
        <f t="shared" ref="B3:B24" si="0">UPPER(A3)</f>
        <v>ABHIMANYU SHARMA</v>
      </c>
      <c r="C3" s="2" t="str">
        <f t="shared" ref="C3:C24" si="1">LOWER(A3)</f>
        <v>abhimanyu sharma</v>
      </c>
      <c r="D3" s="2" t="str">
        <f t="shared" ref="D3:D24" si="2">PROPER(A3)</f>
        <v>Abhimanyu Sharma</v>
      </c>
      <c r="E3" s="2" t="str">
        <f t="shared" ref="E3:E24" si="3">TRIM(A3)</f>
        <v>abhimanyu ShaRMA</v>
      </c>
      <c r="F3" s="2" t="str">
        <f t="shared" ref="F3:F24" si="4">TRIM(PROPER(A3))</f>
        <v>Abhimanyu Sharma</v>
      </c>
      <c r="G3" s="2" t="str">
        <f t="shared" ref="G3:G24" si="5">PROPER(TRIM(A3))</f>
        <v>Abhimanyu Sharma</v>
      </c>
      <c r="H3" s="2">
        <f t="shared" ref="H3:H24" si="6">LEN(A3)</f>
        <v>16</v>
      </c>
    </row>
    <row r="4" spans="1:8" ht="19.8" x14ac:dyDescent="0.4">
      <c r="A4" s="3" t="s">
        <v>99</v>
      </c>
      <c r="B4" s="2" t="str">
        <f t="shared" si="0"/>
        <v>NARESH MAKA</v>
      </c>
      <c r="C4" s="2" t="str">
        <f t="shared" si="1"/>
        <v>naresh maka</v>
      </c>
      <c r="D4" s="2" t="str">
        <f t="shared" si="2"/>
        <v>Naresh Maka</v>
      </c>
      <c r="E4" s="2" t="str">
        <f t="shared" si="3"/>
        <v>naresh maka</v>
      </c>
      <c r="F4" s="2" t="str">
        <f t="shared" si="4"/>
        <v>Naresh Maka</v>
      </c>
      <c r="G4" s="2" t="str">
        <f t="shared" si="5"/>
        <v>Naresh Maka</v>
      </c>
      <c r="H4" s="2">
        <f t="shared" si="6"/>
        <v>11</v>
      </c>
    </row>
    <row r="5" spans="1:8" ht="19.8" x14ac:dyDescent="0.4">
      <c r="A5" s="3" t="s">
        <v>98</v>
      </c>
      <c r="B5" s="2" t="str">
        <f t="shared" si="0"/>
        <v>PRAKASH KUMAR</v>
      </c>
      <c r="C5" s="2" t="str">
        <f t="shared" si="1"/>
        <v>prakash kumar</v>
      </c>
      <c r="D5" s="2" t="str">
        <f t="shared" si="2"/>
        <v>Prakash Kumar</v>
      </c>
      <c r="E5" s="2" t="str">
        <f t="shared" si="3"/>
        <v>prakash kumar</v>
      </c>
      <c r="F5" s="2" t="str">
        <f t="shared" si="4"/>
        <v>Prakash Kumar</v>
      </c>
      <c r="G5" s="2" t="str">
        <f t="shared" si="5"/>
        <v>Prakash Kumar</v>
      </c>
      <c r="H5" s="2">
        <f t="shared" si="6"/>
        <v>13</v>
      </c>
    </row>
    <row r="6" spans="1:8" ht="19.8" x14ac:dyDescent="0.4">
      <c r="A6" s="3" t="s">
        <v>97</v>
      </c>
      <c r="B6" s="2" t="str">
        <f t="shared" si="0"/>
        <v xml:space="preserve">JOSEPH1    </v>
      </c>
      <c r="C6" s="2" t="str">
        <f t="shared" si="1"/>
        <v xml:space="preserve">joseph1    </v>
      </c>
      <c r="D6" s="2" t="str">
        <f t="shared" si="2"/>
        <v xml:space="preserve">Joseph1    </v>
      </c>
      <c r="E6" s="2" t="str">
        <f t="shared" si="3"/>
        <v>Joseph1</v>
      </c>
      <c r="F6" s="2" t="str">
        <f t="shared" si="4"/>
        <v>Joseph1</v>
      </c>
      <c r="G6" s="2" t="str">
        <f t="shared" si="5"/>
        <v>Joseph1</v>
      </c>
      <c r="H6" s="2">
        <f t="shared" si="6"/>
        <v>11</v>
      </c>
    </row>
    <row r="7" spans="1:8" ht="19.8" x14ac:dyDescent="0.4">
      <c r="A7" s="3" t="s">
        <v>96</v>
      </c>
      <c r="B7" s="2" t="str">
        <f t="shared" si="0"/>
        <v xml:space="preserve">    SURESH      </v>
      </c>
      <c r="C7" s="2" t="str">
        <f t="shared" si="1"/>
        <v xml:space="preserve">    suresh      </v>
      </c>
      <c r="D7" s="2" t="str">
        <f t="shared" si="2"/>
        <v xml:space="preserve">    Suresh      </v>
      </c>
      <c r="E7" s="2" t="str">
        <f t="shared" si="3"/>
        <v>SURESH</v>
      </c>
      <c r="F7" s="2" t="str">
        <f t="shared" si="4"/>
        <v>Suresh</v>
      </c>
      <c r="G7" s="2" t="str">
        <f t="shared" si="5"/>
        <v>Suresh</v>
      </c>
      <c r="H7" s="2">
        <f t="shared" si="6"/>
        <v>16</v>
      </c>
    </row>
    <row r="8" spans="1:8" ht="19.8" x14ac:dyDescent="0.4">
      <c r="A8" s="3" t="s">
        <v>95</v>
      </c>
      <c r="B8" s="2" t="str">
        <f t="shared" si="0"/>
        <v>PRAMOD P</v>
      </c>
      <c r="C8" s="2" t="str">
        <f t="shared" si="1"/>
        <v>pramod p</v>
      </c>
      <c r="D8" s="2" t="str">
        <f t="shared" si="2"/>
        <v>Pramod P</v>
      </c>
      <c r="E8" s="2" t="str">
        <f t="shared" si="3"/>
        <v>pramod p</v>
      </c>
      <c r="F8" s="2" t="str">
        <f t="shared" si="4"/>
        <v>Pramod P</v>
      </c>
      <c r="G8" s="2" t="str">
        <f t="shared" si="5"/>
        <v>Pramod P</v>
      </c>
      <c r="H8" s="2">
        <f t="shared" si="6"/>
        <v>8</v>
      </c>
    </row>
    <row r="9" spans="1:8" ht="19.8" x14ac:dyDescent="0.4">
      <c r="A9" s="3" t="s">
        <v>94</v>
      </c>
      <c r="B9" s="2" t="str">
        <f t="shared" si="0"/>
        <v>ALFRED JOSEPH</v>
      </c>
      <c r="C9" s="2" t="str">
        <f t="shared" si="1"/>
        <v>alfred joseph</v>
      </c>
      <c r="D9" s="2" t="str">
        <f t="shared" si="2"/>
        <v>Alfred Joseph</v>
      </c>
      <c r="E9" s="2" t="str">
        <f t="shared" si="3"/>
        <v>ALFRED JOSEPH</v>
      </c>
      <c r="F9" s="2" t="str">
        <f t="shared" si="4"/>
        <v>Alfred Joseph</v>
      </c>
      <c r="G9" s="2" t="str">
        <f t="shared" si="5"/>
        <v>Alfred Joseph</v>
      </c>
      <c r="H9" s="2">
        <f t="shared" si="6"/>
        <v>13</v>
      </c>
    </row>
    <row r="10" spans="1:8" ht="19.8" x14ac:dyDescent="0.4">
      <c r="A10" s="3" t="s">
        <v>93</v>
      </c>
      <c r="B10" s="2" t="str">
        <f t="shared" si="0"/>
        <v xml:space="preserve">           KAUSHIK      KUMAR                      </v>
      </c>
      <c r="C10" s="2" t="str">
        <f t="shared" si="1"/>
        <v xml:space="preserve">           kaushik      kumar                      </v>
      </c>
      <c r="D10" s="2" t="str">
        <f t="shared" si="2"/>
        <v xml:space="preserve">           Kaushik      Kumar                      </v>
      </c>
      <c r="E10" s="2" t="str">
        <f t="shared" si="3"/>
        <v>Kaushik Kumar</v>
      </c>
      <c r="F10" s="2" t="str">
        <f t="shared" si="4"/>
        <v>Kaushik Kumar</v>
      </c>
      <c r="G10" s="2" t="str">
        <f t="shared" si="5"/>
        <v>Kaushik Kumar</v>
      </c>
      <c r="H10" s="2">
        <f t="shared" si="6"/>
        <v>51</v>
      </c>
    </row>
    <row r="11" spans="1:8" ht="19.8" x14ac:dyDescent="0.4">
      <c r="A11" s="3" t="s">
        <v>92</v>
      </c>
      <c r="B11" s="2" t="str">
        <f t="shared" si="0"/>
        <v>MALAY MANDAL</v>
      </c>
      <c r="C11" s="2" t="str">
        <f t="shared" si="1"/>
        <v>malay mandal</v>
      </c>
      <c r="D11" s="2" t="str">
        <f t="shared" si="2"/>
        <v>Malay Mandal</v>
      </c>
      <c r="E11" s="2" t="str">
        <f t="shared" si="3"/>
        <v>malay mandal</v>
      </c>
      <c r="F11" s="2" t="str">
        <f t="shared" si="4"/>
        <v>Malay Mandal</v>
      </c>
      <c r="G11" s="2" t="str">
        <f t="shared" si="5"/>
        <v>Malay Mandal</v>
      </c>
      <c r="H11" s="2">
        <f t="shared" si="6"/>
        <v>12</v>
      </c>
    </row>
    <row r="12" spans="1:8" ht="19.8" x14ac:dyDescent="0.4">
      <c r="A12" s="3" t="s">
        <v>91</v>
      </c>
      <c r="B12" s="2" t="str">
        <f t="shared" si="0"/>
        <v xml:space="preserve">KIRAN KUNAPARAJU    </v>
      </c>
      <c r="C12" s="2" t="str">
        <f t="shared" si="1"/>
        <v xml:space="preserve">kiran kunaparaju    </v>
      </c>
      <c r="D12" s="2" t="str">
        <f t="shared" si="2"/>
        <v xml:space="preserve">Kiran Kunaparaju    </v>
      </c>
      <c r="E12" s="2" t="str">
        <f t="shared" si="3"/>
        <v>Kiran Kunaparaju</v>
      </c>
      <c r="F12" s="2" t="str">
        <f t="shared" si="4"/>
        <v>Kiran Kunaparaju</v>
      </c>
      <c r="G12" s="2" t="str">
        <f t="shared" si="5"/>
        <v>Kiran Kunaparaju</v>
      </c>
      <c r="H12" s="2">
        <f t="shared" si="6"/>
        <v>20</v>
      </c>
    </row>
    <row r="13" spans="1:8" ht="19.8" x14ac:dyDescent="0.4">
      <c r="A13" s="3" t="s">
        <v>23</v>
      </c>
      <c r="B13" s="2" t="str">
        <f t="shared" si="0"/>
        <v>SAHARSH DALE</v>
      </c>
      <c r="C13" s="2" t="str">
        <f t="shared" si="1"/>
        <v>saharsh dale</v>
      </c>
      <c r="D13" s="2" t="str">
        <f t="shared" si="2"/>
        <v>Saharsh Dale</v>
      </c>
      <c r="E13" s="2" t="str">
        <f t="shared" si="3"/>
        <v>Saharsh Dale</v>
      </c>
      <c r="F13" s="2" t="str">
        <f t="shared" si="4"/>
        <v>Saharsh Dale</v>
      </c>
      <c r="G13" s="2" t="str">
        <f t="shared" si="5"/>
        <v>Saharsh Dale</v>
      </c>
      <c r="H13" s="2">
        <f t="shared" si="6"/>
        <v>12</v>
      </c>
    </row>
    <row r="14" spans="1:8" ht="19.8" x14ac:dyDescent="0.4">
      <c r="A14" s="3" t="s">
        <v>90</v>
      </c>
      <c r="B14" s="2" t="str">
        <f t="shared" si="0"/>
        <v xml:space="preserve">    SUJANA KASTURI</v>
      </c>
      <c r="C14" s="2" t="str">
        <f t="shared" si="1"/>
        <v xml:space="preserve">    sujana kasturi</v>
      </c>
      <c r="D14" s="2" t="str">
        <f t="shared" si="2"/>
        <v xml:space="preserve">    Sujana Kasturi</v>
      </c>
      <c r="E14" s="2" t="str">
        <f t="shared" si="3"/>
        <v>sujana kasturi</v>
      </c>
      <c r="F14" s="2" t="str">
        <f t="shared" si="4"/>
        <v>Sujana Kasturi</v>
      </c>
      <c r="G14" s="2" t="str">
        <f t="shared" si="5"/>
        <v>Sujana Kasturi</v>
      </c>
      <c r="H14" s="2">
        <f t="shared" si="6"/>
        <v>18</v>
      </c>
    </row>
    <row r="15" spans="1:8" ht="19.8" x14ac:dyDescent="0.4">
      <c r="A15" s="3" t="s">
        <v>21</v>
      </c>
      <c r="B15" s="2" t="str">
        <f t="shared" si="0"/>
        <v>RAJENDRA S</v>
      </c>
      <c r="C15" s="2" t="str">
        <f t="shared" si="1"/>
        <v>rajendra s</v>
      </c>
      <c r="D15" s="2" t="str">
        <f t="shared" si="2"/>
        <v>Rajendra S</v>
      </c>
      <c r="E15" s="2" t="str">
        <f t="shared" si="3"/>
        <v>RAJENDRA S</v>
      </c>
      <c r="F15" s="2" t="str">
        <f t="shared" si="4"/>
        <v>Rajendra S</v>
      </c>
      <c r="G15" s="2" t="str">
        <f t="shared" si="5"/>
        <v>Rajendra S</v>
      </c>
      <c r="H15" s="2">
        <f t="shared" si="6"/>
        <v>10</v>
      </c>
    </row>
    <row r="16" spans="1:8" ht="19.8" x14ac:dyDescent="0.4">
      <c r="A16" s="3" t="s">
        <v>89</v>
      </c>
      <c r="B16" s="2" t="str">
        <f t="shared" si="0"/>
        <v xml:space="preserve">LAKSHMI VENNELA      </v>
      </c>
      <c r="C16" s="2" t="str">
        <f t="shared" si="1"/>
        <v xml:space="preserve">lakshmi vennela      </v>
      </c>
      <c r="D16" s="2" t="str">
        <f t="shared" si="2"/>
        <v xml:space="preserve">Lakshmi Vennela      </v>
      </c>
      <c r="E16" s="2" t="str">
        <f t="shared" si="3"/>
        <v>LAKSHMI VENNELA</v>
      </c>
      <c r="F16" s="2" t="str">
        <f t="shared" si="4"/>
        <v>Lakshmi Vennela</v>
      </c>
      <c r="G16" s="2" t="str">
        <f t="shared" si="5"/>
        <v>Lakshmi Vennela</v>
      </c>
      <c r="H16" s="2">
        <f t="shared" si="6"/>
        <v>21</v>
      </c>
    </row>
    <row r="17" spans="1:8" ht="19.8" x14ac:dyDescent="0.4">
      <c r="A17" s="3" t="s">
        <v>19</v>
      </c>
      <c r="B17" s="2" t="str">
        <f t="shared" si="0"/>
        <v>RIJOY KAPOOR</v>
      </c>
      <c r="C17" s="2" t="str">
        <f t="shared" si="1"/>
        <v>rijoy kapoor</v>
      </c>
      <c r="D17" s="2" t="str">
        <f t="shared" si="2"/>
        <v>Rijoy Kapoor</v>
      </c>
      <c r="E17" s="2" t="str">
        <f t="shared" si="3"/>
        <v>rijoy kapoor</v>
      </c>
      <c r="F17" s="2" t="str">
        <f t="shared" si="4"/>
        <v>Rijoy Kapoor</v>
      </c>
      <c r="G17" s="2" t="str">
        <f t="shared" si="5"/>
        <v>Rijoy Kapoor</v>
      </c>
      <c r="H17" s="2">
        <f t="shared" si="6"/>
        <v>12</v>
      </c>
    </row>
    <row r="18" spans="1:8" ht="19.8" x14ac:dyDescent="0.4">
      <c r="A18" s="3" t="s">
        <v>18</v>
      </c>
      <c r="B18" s="2" t="str">
        <f t="shared" si="0"/>
        <v>V GOWTHAMI</v>
      </c>
      <c r="C18" s="2" t="str">
        <f t="shared" si="1"/>
        <v>v gowthami</v>
      </c>
      <c r="D18" s="2" t="str">
        <f t="shared" si="2"/>
        <v>V Gowthami</v>
      </c>
      <c r="E18" s="2" t="str">
        <f t="shared" si="3"/>
        <v>V GOWTHAMI</v>
      </c>
      <c r="F18" s="2" t="str">
        <f t="shared" si="4"/>
        <v>V Gowthami</v>
      </c>
      <c r="G18" s="2" t="str">
        <f t="shared" si="5"/>
        <v>V Gowthami</v>
      </c>
      <c r="H18" s="2">
        <f t="shared" si="6"/>
        <v>10</v>
      </c>
    </row>
    <row r="19" spans="1:8" ht="19.8" x14ac:dyDescent="0.4">
      <c r="A19" s="3" t="s">
        <v>17</v>
      </c>
      <c r="B19" s="2" t="str">
        <f t="shared" si="0"/>
        <v>GUNDU KUMAR</v>
      </c>
      <c r="C19" s="2" t="str">
        <f t="shared" si="1"/>
        <v>gundu kumar</v>
      </c>
      <c r="D19" s="2" t="str">
        <f t="shared" si="2"/>
        <v>Gundu Kumar</v>
      </c>
      <c r="E19" s="2" t="str">
        <f t="shared" si="3"/>
        <v>Gundu Kumar</v>
      </c>
      <c r="F19" s="2" t="str">
        <f t="shared" si="4"/>
        <v>Gundu Kumar</v>
      </c>
      <c r="G19" s="2" t="str">
        <f t="shared" si="5"/>
        <v>Gundu Kumar</v>
      </c>
      <c r="H19" s="2">
        <f t="shared" si="6"/>
        <v>11</v>
      </c>
    </row>
    <row r="20" spans="1:8" ht="19.8" x14ac:dyDescent="0.4">
      <c r="A20" s="3" t="s">
        <v>16</v>
      </c>
      <c r="B20" s="2" t="str">
        <f t="shared" si="0"/>
        <v>PRAKASH RAMACHANDRAN</v>
      </c>
      <c r="C20" s="2" t="str">
        <f t="shared" si="1"/>
        <v>prakash ramachandran</v>
      </c>
      <c r="D20" s="2" t="str">
        <f t="shared" si="2"/>
        <v>Prakash Ramachandran</v>
      </c>
      <c r="E20" s="2" t="str">
        <f t="shared" si="3"/>
        <v>prakash ramachandran</v>
      </c>
      <c r="F20" s="2" t="str">
        <f t="shared" si="4"/>
        <v>Prakash Ramachandran</v>
      </c>
      <c r="G20" s="2" t="str">
        <f t="shared" si="5"/>
        <v>Prakash Ramachandran</v>
      </c>
      <c r="H20" s="2">
        <f t="shared" si="6"/>
        <v>20</v>
      </c>
    </row>
    <row r="21" spans="1:8" ht="19.8" x14ac:dyDescent="0.4">
      <c r="A21" s="3" t="s">
        <v>15</v>
      </c>
      <c r="B21" s="2" t="str">
        <f t="shared" si="0"/>
        <v>RAVI KISHORE</v>
      </c>
      <c r="C21" s="2" t="str">
        <f t="shared" si="1"/>
        <v>ravi kishore</v>
      </c>
      <c r="D21" s="2" t="str">
        <f t="shared" si="2"/>
        <v>Ravi Kishore</v>
      </c>
      <c r="E21" s="2" t="str">
        <f t="shared" si="3"/>
        <v>ravi kishore</v>
      </c>
      <c r="F21" s="2" t="str">
        <f t="shared" si="4"/>
        <v>Ravi Kishore</v>
      </c>
      <c r="G21" s="2" t="str">
        <f t="shared" si="5"/>
        <v>Ravi Kishore</v>
      </c>
      <c r="H21" s="2">
        <f t="shared" si="6"/>
        <v>12</v>
      </c>
    </row>
    <row r="22" spans="1:8" ht="19.8" x14ac:dyDescent="0.4">
      <c r="A22" s="3" t="s">
        <v>14</v>
      </c>
      <c r="B22" s="2" t="str">
        <f t="shared" si="0"/>
        <v>RAJESH CHIGURUPATI</v>
      </c>
      <c r="C22" s="2" t="str">
        <f t="shared" si="1"/>
        <v>rajesh chigurupati</v>
      </c>
      <c r="D22" s="2" t="str">
        <f t="shared" si="2"/>
        <v>Rajesh Chigurupati</v>
      </c>
      <c r="E22" s="2" t="str">
        <f t="shared" si="3"/>
        <v>RAJESH CHIGURUPATI</v>
      </c>
      <c r="F22" s="2" t="str">
        <f t="shared" si="4"/>
        <v>Rajesh Chigurupati</v>
      </c>
      <c r="G22" s="2" t="str">
        <f t="shared" si="5"/>
        <v>Rajesh Chigurupati</v>
      </c>
      <c r="H22" s="2">
        <f t="shared" si="6"/>
        <v>18</v>
      </c>
    </row>
    <row r="23" spans="1:8" ht="19.8" x14ac:dyDescent="0.4">
      <c r="A23" s="3" t="s">
        <v>13</v>
      </c>
      <c r="B23" s="2" t="str">
        <f t="shared" si="0"/>
        <v>SHRAVAN KUMAR</v>
      </c>
      <c r="C23" s="2" t="str">
        <f t="shared" si="1"/>
        <v>shravan kumar</v>
      </c>
      <c r="D23" s="2" t="str">
        <f t="shared" si="2"/>
        <v>Shravan Kumar</v>
      </c>
      <c r="E23" s="2" t="str">
        <f t="shared" si="3"/>
        <v>SHRAVAN KUMAR</v>
      </c>
      <c r="F23" s="2" t="str">
        <f t="shared" si="4"/>
        <v>Shravan Kumar</v>
      </c>
      <c r="G23" s="2" t="str">
        <f t="shared" si="5"/>
        <v>Shravan Kumar</v>
      </c>
      <c r="H23" s="2">
        <f t="shared" si="6"/>
        <v>13</v>
      </c>
    </row>
    <row r="24" spans="1:8" ht="19.8" x14ac:dyDescent="0.4">
      <c r="A24" s="3" t="s">
        <v>12</v>
      </c>
      <c r="B24" s="2" t="str">
        <f t="shared" si="0"/>
        <v>ABDUL RAZZAK</v>
      </c>
      <c r="C24" s="2" t="str">
        <f t="shared" si="1"/>
        <v>abdul razzak</v>
      </c>
      <c r="D24" s="2" t="str">
        <f t="shared" si="2"/>
        <v>Abdul Razzak</v>
      </c>
      <c r="E24" s="2" t="str">
        <f t="shared" si="3"/>
        <v>ABDUL RAZZAK</v>
      </c>
      <c r="F24" s="2" t="str">
        <f t="shared" si="4"/>
        <v>Abdul Razzak</v>
      </c>
      <c r="G24" s="2" t="str">
        <f t="shared" si="5"/>
        <v>Abdul Razzak</v>
      </c>
      <c r="H24" s="2">
        <f t="shared" si="6"/>
        <v>12</v>
      </c>
    </row>
    <row r="25" spans="1:8" ht="19.8" x14ac:dyDescent="0.4">
      <c r="A25" s="1"/>
      <c r="B25" s="1"/>
      <c r="C25" s="1"/>
      <c r="D25" s="1"/>
      <c r="E25" s="1"/>
      <c r="F25" s="1"/>
      <c r="G25" s="1"/>
      <c r="H25" s="1"/>
    </row>
    <row r="26" spans="1:8" ht="19.8" x14ac:dyDescent="0.4">
      <c r="A26" s="12" t="s">
        <v>88</v>
      </c>
      <c r="B26" s="1"/>
      <c r="C26" s="1"/>
      <c r="D26" s="1"/>
      <c r="E26" s="1" t="s">
        <v>87</v>
      </c>
      <c r="F26" s="11" t="s">
        <v>86</v>
      </c>
      <c r="G26" s="1"/>
      <c r="H26" s="1"/>
    </row>
    <row r="27" spans="1:8" ht="19.8" x14ac:dyDescent="0.4">
      <c r="A27" s="4" t="s">
        <v>85</v>
      </c>
      <c r="B27" s="4" t="s">
        <v>84</v>
      </c>
      <c r="C27" s="4" t="s">
        <v>9</v>
      </c>
      <c r="D27" s="4" t="s">
        <v>9</v>
      </c>
      <c r="E27" s="4" t="s">
        <v>83</v>
      </c>
      <c r="F27" s="4" t="s">
        <v>82</v>
      </c>
      <c r="G27" s="1"/>
      <c r="H27" s="1"/>
    </row>
    <row r="28" spans="1:8" ht="19.8" x14ac:dyDescent="0.4">
      <c r="A28" s="3" t="s">
        <v>81</v>
      </c>
      <c r="B28" s="3" t="s">
        <v>80</v>
      </c>
      <c r="C28" s="2" t="str">
        <f>PROPER(_xlfn.CONCAT(TRIM(A28),TRIM(B28)))</f>
        <v>Swathimatam</v>
      </c>
      <c r="D28" s="2" t="str">
        <f>TRIM(PROPER(A28&amp;" "&amp;B28))</f>
        <v>Swathi Matam</v>
      </c>
      <c r="E28" s="10" t="str">
        <f>SUBSTITUTE(LOWER(TRIM(_xlfn.CONCAT(A28,B28,"@gmail.com")))," ","")</f>
        <v>swathimatam@gmail.com</v>
      </c>
      <c r="F28" s="10" t="str">
        <f>SUBSTITUTE(E28,"gmail.com",$F$26)</f>
        <v>swathimatam@upgrad.com</v>
      </c>
      <c r="G28" s="1"/>
      <c r="H28" s="1"/>
    </row>
    <row r="29" spans="1:8" ht="19.8" x14ac:dyDescent="0.4">
      <c r="A29" s="3" t="s">
        <v>79</v>
      </c>
      <c r="B29" s="3" t="s">
        <v>78</v>
      </c>
      <c r="C29" s="2" t="str">
        <f t="shared" ref="C29:C49" si="7">PROPER(_xlfn.CONCAT(TRIM(A29),TRIM(B29)))</f>
        <v>Abhimanyupulugurtha</v>
      </c>
      <c r="D29" s="2" t="str">
        <f t="shared" ref="D29:D49" si="8">TRIM(PROPER(A29&amp;" "&amp;B29))</f>
        <v>Abhimanyu Pulugurtha</v>
      </c>
      <c r="E29" s="10" t="str">
        <f t="shared" ref="E29:E49" si="9">SUBSTITUTE(LOWER(TRIM(_xlfn.CONCAT(A29,B29,"@gmail.com")))," ","")</f>
        <v>abhimanyupulugurtha@gmail.com</v>
      </c>
      <c r="F29" s="10" t="str">
        <f t="shared" ref="F29:F49" si="10">SUBSTITUTE(E29,"gmail.com",$F$26)</f>
        <v>abhimanyupulugurtha@upgrad.com</v>
      </c>
      <c r="G29" s="1"/>
      <c r="H29" s="1"/>
    </row>
    <row r="30" spans="1:8" ht="19.8" x14ac:dyDescent="0.4">
      <c r="A30" s="3" t="s">
        <v>77</v>
      </c>
      <c r="B30" s="3" t="s">
        <v>76</v>
      </c>
      <c r="C30" s="2" t="str">
        <f t="shared" si="7"/>
        <v>Sureshmaka</v>
      </c>
      <c r="D30" s="2" t="str">
        <f t="shared" si="8"/>
        <v>Suresh Maka</v>
      </c>
      <c r="E30" s="10" t="str">
        <f t="shared" si="9"/>
        <v>sureshmaka@gmail.com</v>
      </c>
      <c r="F30" s="10" t="str">
        <f t="shared" si="10"/>
        <v>sureshmaka@upgrad.com</v>
      </c>
      <c r="G30" s="1"/>
      <c r="H30" s="1"/>
    </row>
    <row r="31" spans="1:8" ht="19.8" x14ac:dyDescent="0.4">
      <c r="A31" s="3" t="s">
        <v>75</v>
      </c>
      <c r="B31" s="3" t="s">
        <v>74</v>
      </c>
      <c r="C31" s="2" t="str">
        <f t="shared" si="7"/>
        <v>Rajeshuppala</v>
      </c>
      <c r="D31" s="2" t="str">
        <f t="shared" si="8"/>
        <v>Rajesh Uppala</v>
      </c>
      <c r="E31" s="10" t="str">
        <f t="shared" si="9"/>
        <v>rajeshuppala@gmail.com</v>
      </c>
      <c r="F31" s="10" t="str">
        <f t="shared" si="10"/>
        <v>rajeshuppala@upgrad.com</v>
      </c>
      <c r="G31" s="1"/>
      <c r="H31" s="1"/>
    </row>
    <row r="32" spans="1:8" ht="19.8" x14ac:dyDescent="0.4">
      <c r="A32" s="3" t="s">
        <v>73</v>
      </c>
      <c r="B32" s="3" t="s">
        <v>72</v>
      </c>
      <c r="C32" s="2" t="str">
        <f t="shared" si="7"/>
        <v>Kamalchalamalasetti</v>
      </c>
      <c r="D32" s="2" t="str">
        <f t="shared" si="8"/>
        <v>Kamal Chalamalasetti</v>
      </c>
      <c r="E32" s="10" t="str">
        <f t="shared" si="9"/>
        <v>kamalchalamalasetti@gmail.com</v>
      </c>
      <c r="F32" s="10" t="str">
        <f t="shared" si="10"/>
        <v>kamalchalamalasetti@upgrad.com</v>
      </c>
      <c r="G32" s="1"/>
      <c r="H32" s="1"/>
    </row>
    <row r="33" spans="1:8" ht="19.8" x14ac:dyDescent="0.4">
      <c r="A33" s="3" t="s">
        <v>71</v>
      </c>
      <c r="B33" s="3" t="s">
        <v>70</v>
      </c>
      <c r="C33" s="2" t="str">
        <f t="shared" si="7"/>
        <v>Sureshkarne</v>
      </c>
      <c r="D33" s="2" t="str">
        <f t="shared" si="8"/>
        <v>Suresh Karne</v>
      </c>
      <c r="E33" s="10" t="str">
        <f t="shared" si="9"/>
        <v>sureshkarne@gmail.com</v>
      </c>
      <c r="F33" s="10" t="str">
        <f t="shared" si="10"/>
        <v>sureshkarne@upgrad.com</v>
      </c>
      <c r="G33" s="1"/>
      <c r="H33" s="1"/>
    </row>
    <row r="34" spans="1:8" ht="19.8" x14ac:dyDescent="0.4">
      <c r="A34" s="3" t="s">
        <v>69</v>
      </c>
      <c r="B34" s="3" t="s">
        <v>68</v>
      </c>
      <c r="C34" s="2" t="str">
        <f t="shared" si="7"/>
        <v>Pramodp</v>
      </c>
      <c r="D34" s="2" t="str">
        <f t="shared" si="8"/>
        <v>Pramod P</v>
      </c>
      <c r="E34" s="10" t="str">
        <f t="shared" si="9"/>
        <v>pramodp@gmail.com</v>
      </c>
      <c r="F34" s="10" t="str">
        <f t="shared" si="10"/>
        <v>pramodp@upgrad.com</v>
      </c>
      <c r="G34" s="1"/>
      <c r="H34" s="1"/>
    </row>
    <row r="35" spans="1:8" ht="19.8" x14ac:dyDescent="0.4">
      <c r="A35" s="3" t="s">
        <v>67</v>
      </c>
      <c r="B35" s="3" t="s">
        <v>66</v>
      </c>
      <c r="C35" s="2" t="str">
        <f t="shared" si="7"/>
        <v>Alfredjoseph</v>
      </c>
      <c r="D35" s="2" t="str">
        <f t="shared" si="8"/>
        <v>Alfred Joseph</v>
      </c>
      <c r="E35" s="10" t="str">
        <f t="shared" si="9"/>
        <v>alfredjoseph@gmail.com</v>
      </c>
      <c r="F35" s="10" t="str">
        <f t="shared" si="10"/>
        <v>alfredjoseph@upgrad.com</v>
      </c>
      <c r="G35" s="1"/>
      <c r="H35" s="1"/>
    </row>
    <row r="36" spans="1:8" ht="19.8" x14ac:dyDescent="0.4">
      <c r="A36" s="3" t="s">
        <v>65</v>
      </c>
      <c r="B36" s="3" t="s">
        <v>64</v>
      </c>
      <c r="C36" s="2" t="str">
        <f t="shared" si="7"/>
        <v>Rajmandal</v>
      </c>
      <c r="D36" s="2" t="str">
        <f t="shared" si="8"/>
        <v>Raj Mandal</v>
      </c>
      <c r="E36" s="10" t="str">
        <f t="shared" si="9"/>
        <v>rajmandal@gmail.com</v>
      </c>
      <c r="F36" s="10" t="str">
        <f t="shared" si="10"/>
        <v>rajmandal@upgrad.com</v>
      </c>
      <c r="G36" s="1"/>
      <c r="H36" s="1"/>
    </row>
    <row r="37" spans="1:8" ht="19.8" x14ac:dyDescent="0.4">
      <c r="A37" s="3" t="s">
        <v>63</v>
      </c>
      <c r="B37" s="3" t="s">
        <v>62</v>
      </c>
      <c r="C37" s="2" t="str">
        <f t="shared" si="7"/>
        <v>Kirankunaparaju</v>
      </c>
      <c r="D37" s="2" t="str">
        <f t="shared" si="8"/>
        <v>Kiran Kunaparaju</v>
      </c>
      <c r="E37" s="10" t="str">
        <f t="shared" si="9"/>
        <v>kirankunaparaju@gmail.com</v>
      </c>
      <c r="F37" s="10" t="str">
        <f t="shared" si="10"/>
        <v>kirankunaparaju@upgrad.com</v>
      </c>
      <c r="G37" s="1"/>
      <c r="H37" s="1"/>
    </row>
    <row r="38" spans="1:8" ht="19.8" x14ac:dyDescent="0.4">
      <c r="A38" s="3" t="s">
        <v>61</v>
      </c>
      <c r="B38" s="3" t="s">
        <v>60</v>
      </c>
      <c r="C38" s="2" t="str">
        <f t="shared" si="7"/>
        <v>Saharshdale</v>
      </c>
      <c r="D38" s="2" t="str">
        <f t="shared" si="8"/>
        <v>Saharsh Dale</v>
      </c>
      <c r="E38" s="10" t="str">
        <f t="shared" si="9"/>
        <v>saharshdale@gmail.com</v>
      </c>
      <c r="F38" s="10" t="str">
        <f t="shared" si="10"/>
        <v>saharshdale@upgrad.com</v>
      </c>
      <c r="G38" s="1"/>
      <c r="H38" s="1"/>
    </row>
    <row r="39" spans="1:8" ht="19.8" x14ac:dyDescent="0.4">
      <c r="A39" s="3" t="s">
        <v>59</v>
      </c>
      <c r="B39" s="3" t="s">
        <v>58</v>
      </c>
      <c r="C39" s="2" t="str">
        <f t="shared" si="7"/>
        <v>Sujanakasturi</v>
      </c>
      <c r="D39" s="2" t="str">
        <f t="shared" si="8"/>
        <v>Sujana Kasturi</v>
      </c>
      <c r="E39" s="10" t="str">
        <f t="shared" si="9"/>
        <v>sujanakasturi@gmail.com</v>
      </c>
      <c r="F39" s="10" t="str">
        <f t="shared" si="10"/>
        <v>sujanakasturi@upgrad.com</v>
      </c>
      <c r="G39" s="1"/>
      <c r="H39" s="1"/>
    </row>
    <row r="40" spans="1:8" ht="19.8" x14ac:dyDescent="0.4">
      <c r="A40" s="3" t="s">
        <v>57</v>
      </c>
      <c r="B40" s="3" t="s">
        <v>56</v>
      </c>
      <c r="C40" s="2" t="str">
        <f t="shared" si="7"/>
        <v>Rajendras</v>
      </c>
      <c r="D40" s="2" t="str">
        <f t="shared" si="8"/>
        <v>Rajendra S</v>
      </c>
      <c r="E40" s="10" t="str">
        <f t="shared" si="9"/>
        <v>rajendras@gmail.com</v>
      </c>
      <c r="F40" s="10" t="str">
        <f t="shared" si="10"/>
        <v>rajendras@upgrad.com</v>
      </c>
      <c r="G40" s="1"/>
      <c r="H40" s="1"/>
    </row>
    <row r="41" spans="1:8" ht="19.8" x14ac:dyDescent="0.4">
      <c r="A41" s="3" t="s">
        <v>55</v>
      </c>
      <c r="B41" s="3" t="s">
        <v>54</v>
      </c>
      <c r="C41" s="2" t="str">
        <f t="shared" si="7"/>
        <v>Lakshmivennela</v>
      </c>
      <c r="D41" s="2" t="str">
        <f t="shared" si="8"/>
        <v>Lakshmi Vennela</v>
      </c>
      <c r="E41" s="10" t="str">
        <f t="shared" si="9"/>
        <v>lakshmivennela@gmail.com</v>
      </c>
      <c r="F41" s="10" t="str">
        <f t="shared" si="10"/>
        <v>lakshmivennela@upgrad.com</v>
      </c>
      <c r="G41" s="1"/>
      <c r="H41" s="1"/>
    </row>
    <row r="42" spans="1:8" ht="19.8" x14ac:dyDescent="0.4">
      <c r="A42" s="3" t="s">
        <v>53</v>
      </c>
      <c r="B42" s="3" t="s">
        <v>52</v>
      </c>
      <c r="C42" s="2" t="str">
        <f t="shared" si="7"/>
        <v>Rijoykapoor</v>
      </c>
      <c r="D42" s="2" t="str">
        <f t="shared" si="8"/>
        <v>Rijoy Kapoor</v>
      </c>
      <c r="E42" s="10" t="str">
        <f t="shared" si="9"/>
        <v>rijoykapoor@gmail.com</v>
      </c>
      <c r="F42" s="10" t="str">
        <f t="shared" si="10"/>
        <v>rijoykapoor@upgrad.com</v>
      </c>
      <c r="G42" s="1"/>
      <c r="H42" s="1"/>
    </row>
    <row r="43" spans="1:8" ht="19.8" x14ac:dyDescent="0.4">
      <c r="A43" s="3" t="s">
        <v>51</v>
      </c>
      <c r="B43" s="3" t="s">
        <v>50</v>
      </c>
      <c r="C43" s="2" t="str">
        <f t="shared" si="7"/>
        <v>Vgowthami</v>
      </c>
      <c r="D43" s="2" t="str">
        <f t="shared" si="8"/>
        <v>V Gowthami</v>
      </c>
      <c r="E43" s="10" t="str">
        <f t="shared" si="9"/>
        <v>vgowthami@gmail.com</v>
      </c>
      <c r="F43" s="10" t="str">
        <f t="shared" si="10"/>
        <v>vgowthami@upgrad.com</v>
      </c>
      <c r="G43" s="1"/>
      <c r="H43" s="1"/>
    </row>
    <row r="44" spans="1:8" ht="19.8" x14ac:dyDescent="0.4">
      <c r="A44" s="3" t="s">
        <v>49</v>
      </c>
      <c r="B44" s="3" t="s">
        <v>48</v>
      </c>
      <c r="C44" s="2" t="str">
        <f t="shared" si="7"/>
        <v>Gundukumar</v>
      </c>
      <c r="D44" s="2" t="str">
        <f t="shared" si="8"/>
        <v>Gundu Kumar</v>
      </c>
      <c r="E44" s="10" t="str">
        <f t="shared" si="9"/>
        <v>gundukumar@gmail.com</v>
      </c>
      <c r="F44" s="10" t="str">
        <f t="shared" si="10"/>
        <v>gundukumar@upgrad.com</v>
      </c>
      <c r="G44" s="1"/>
      <c r="H44" s="1"/>
    </row>
    <row r="45" spans="1:8" ht="19.8" x14ac:dyDescent="0.4">
      <c r="A45" s="3" t="s">
        <v>47</v>
      </c>
      <c r="B45" s="3" t="s">
        <v>46</v>
      </c>
      <c r="C45" s="2" t="str">
        <f t="shared" si="7"/>
        <v>Prakashramachandran</v>
      </c>
      <c r="D45" s="2" t="str">
        <f t="shared" si="8"/>
        <v>Prakash Ramachandran</v>
      </c>
      <c r="E45" s="10" t="str">
        <f t="shared" si="9"/>
        <v>prakashramachandran@gmail.com</v>
      </c>
      <c r="F45" s="10" t="str">
        <f t="shared" si="10"/>
        <v>prakashramachandran@upgrad.com</v>
      </c>
      <c r="G45" s="1"/>
      <c r="H45" s="1"/>
    </row>
    <row r="46" spans="1:8" ht="19.8" x14ac:dyDescent="0.4">
      <c r="A46" s="3" t="s">
        <v>45</v>
      </c>
      <c r="B46" s="3" t="s">
        <v>44</v>
      </c>
      <c r="C46" s="2" t="str">
        <f t="shared" si="7"/>
        <v>Ravikishore</v>
      </c>
      <c r="D46" s="2" t="str">
        <f t="shared" si="8"/>
        <v>Ravi Kishore</v>
      </c>
      <c r="E46" s="10" t="str">
        <f t="shared" si="9"/>
        <v>ravikishore@gmail.com</v>
      </c>
      <c r="F46" s="10" t="str">
        <f t="shared" si="10"/>
        <v>ravikishore@upgrad.com</v>
      </c>
      <c r="G46" s="1"/>
      <c r="H46" s="1"/>
    </row>
    <row r="47" spans="1:8" ht="19.8" x14ac:dyDescent="0.4">
      <c r="A47" s="3" t="s">
        <v>43</v>
      </c>
      <c r="B47" s="3" t="s">
        <v>42</v>
      </c>
      <c r="C47" s="2" t="str">
        <f t="shared" si="7"/>
        <v>Abhisheksharma</v>
      </c>
      <c r="D47" s="2" t="str">
        <f t="shared" si="8"/>
        <v>Abhishek Sharma</v>
      </c>
      <c r="E47" s="10" t="str">
        <f t="shared" si="9"/>
        <v>abhisheksharma@gmail.com</v>
      </c>
      <c r="F47" s="10" t="str">
        <f t="shared" si="10"/>
        <v>abhisheksharma@upgrad.com</v>
      </c>
      <c r="G47" s="1"/>
      <c r="H47" s="1"/>
    </row>
    <row r="48" spans="1:8" ht="19.8" x14ac:dyDescent="0.4">
      <c r="A48" s="3" t="s">
        <v>41</v>
      </c>
      <c r="B48" s="3" t="s">
        <v>40</v>
      </c>
      <c r="C48" s="2" t="str">
        <f t="shared" si="7"/>
        <v>Ashwinijain</v>
      </c>
      <c r="D48" s="2" t="str">
        <f t="shared" si="8"/>
        <v>Ashwini Jain</v>
      </c>
      <c r="E48" s="10" t="str">
        <f t="shared" si="9"/>
        <v>ashwinijain@gmail.com</v>
      </c>
      <c r="F48" s="10" t="str">
        <f t="shared" si="10"/>
        <v>ashwinijain@upgrad.com</v>
      </c>
      <c r="G48" s="1"/>
      <c r="H48" s="1"/>
    </row>
    <row r="49" spans="1:8" ht="19.8" x14ac:dyDescent="0.4">
      <c r="A49" s="3" t="s">
        <v>39</v>
      </c>
      <c r="B49" s="3" t="s">
        <v>38</v>
      </c>
      <c r="C49" s="2" t="str">
        <f t="shared" si="7"/>
        <v>Krishnarao</v>
      </c>
      <c r="D49" s="2" t="str">
        <f t="shared" si="8"/>
        <v>Krishna Rao</v>
      </c>
      <c r="E49" s="10" t="str">
        <f t="shared" si="9"/>
        <v>krishnarao@gmail.com</v>
      </c>
      <c r="F49" s="10" t="str">
        <f t="shared" si="10"/>
        <v>krishnarao@upgrad.com</v>
      </c>
      <c r="G49" s="1"/>
      <c r="H49" s="1"/>
    </row>
    <row r="50" spans="1:8" ht="19.8" x14ac:dyDescent="0.4">
      <c r="A50" s="1"/>
      <c r="B50" s="6"/>
      <c r="C50" s="6"/>
      <c r="D50" s="6"/>
      <c r="E50" s="6"/>
      <c r="F50" s="6"/>
      <c r="G50" s="1"/>
      <c r="H50" s="1"/>
    </row>
    <row r="51" spans="1:8" ht="19.8" x14ac:dyDescent="0.4">
      <c r="A51" s="1"/>
      <c r="B51" s="1"/>
      <c r="C51" s="2"/>
      <c r="D51" s="2"/>
      <c r="E51" s="2"/>
      <c r="F51" s="1"/>
      <c r="G51" s="1"/>
      <c r="H51" s="5"/>
    </row>
    <row r="52" spans="1:8" ht="19.8" x14ac:dyDescent="0.4">
      <c r="A52" s="4" t="s">
        <v>9</v>
      </c>
      <c r="B52" s="4" t="s">
        <v>37</v>
      </c>
      <c r="C52" s="4" t="s">
        <v>36</v>
      </c>
      <c r="D52" s="4" t="s">
        <v>35</v>
      </c>
      <c r="E52" s="4" t="s">
        <v>34</v>
      </c>
      <c r="F52" s="6"/>
      <c r="G52" s="6"/>
      <c r="H52" s="5"/>
    </row>
    <row r="53" spans="1:8" ht="19.8" x14ac:dyDescent="0.4">
      <c r="A53" s="3" t="s">
        <v>33</v>
      </c>
      <c r="B53" s="9">
        <f>SEARCH(" ",A53)</f>
        <v>7</v>
      </c>
      <c r="C53" s="2" t="str">
        <f>PROPER(LEFT(A53,B53-1))</f>
        <v>Swathi</v>
      </c>
      <c r="D53" s="2">
        <f>LEN(A53)</f>
        <v>12</v>
      </c>
      <c r="E53" s="2" t="str">
        <f>PROPER(RIGHT(A53,D53-B53))</f>
        <v>Matam</v>
      </c>
      <c r="F53" s="6"/>
      <c r="G53" s="6"/>
      <c r="H53" s="5"/>
    </row>
    <row r="54" spans="1:8" ht="19.8" x14ac:dyDescent="0.4">
      <c r="A54" s="3" t="s">
        <v>32</v>
      </c>
      <c r="B54" s="9">
        <f t="shared" ref="B54:B74" si="11">SEARCH(" ",A54)</f>
        <v>10</v>
      </c>
      <c r="C54" s="2" t="str">
        <f t="shared" ref="C54:C74" si="12">PROPER(LEFT(A54,B54-1))</f>
        <v>Abhimanyu</v>
      </c>
      <c r="D54" s="2">
        <f t="shared" ref="D54:D74" si="13">LEN(A54)</f>
        <v>20</v>
      </c>
      <c r="E54" s="2" t="str">
        <f t="shared" ref="E54:E74" si="14">PROPER(RIGHT(A54,D54-B54))</f>
        <v>Pulugurtha</v>
      </c>
      <c r="F54" s="6"/>
      <c r="G54" s="6"/>
      <c r="H54" s="5"/>
    </row>
    <row r="55" spans="1:8" ht="19.8" x14ac:dyDescent="0.4">
      <c r="A55" s="3" t="s">
        <v>31</v>
      </c>
      <c r="B55" s="9">
        <f t="shared" si="11"/>
        <v>2</v>
      </c>
      <c r="C55" s="2" t="str">
        <f t="shared" si="12"/>
        <v>R</v>
      </c>
      <c r="D55" s="2">
        <f t="shared" si="13"/>
        <v>7</v>
      </c>
      <c r="E55" s="2" t="str">
        <f t="shared" si="14"/>
        <v>Kiran</v>
      </c>
      <c r="F55" s="6"/>
      <c r="G55" s="6"/>
      <c r="H55" s="5"/>
    </row>
    <row r="56" spans="1:8" ht="19.8" x14ac:dyDescent="0.4">
      <c r="A56" s="3" t="s">
        <v>30</v>
      </c>
      <c r="B56" s="9">
        <f t="shared" si="11"/>
        <v>6</v>
      </c>
      <c r="C56" s="2" t="str">
        <f t="shared" si="12"/>
        <v>Pavan</v>
      </c>
      <c r="D56" s="2">
        <f t="shared" si="13"/>
        <v>11</v>
      </c>
      <c r="E56" s="2" t="str">
        <f t="shared" si="14"/>
        <v>Reddy</v>
      </c>
      <c r="F56" s="6"/>
      <c r="G56" s="6"/>
      <c r="H56" s="5"/>
    </row>
    <row r="57" spans="1:8" ht="19.8" x14ac:dyDescent="0.4">
      <c r="A57" s="3" t="s">
        <v>29</v>
      </c>
      <c r="B57" s="9">
        <f t="shared" si="11"/>
        <v>8</v>
      </c>
      <c r="C57" s="2" t="str">
        <f t="shared" si="12"/>
        <v>Ashwini</v>
      </c>
      <c r="D57" s="2">
        <f t="shared" si="13"/>
        <v>12</v>
      </c>
      <c r="E57" s="2" t="str">
        <f t="shared" si="14"/>
        <v>Jain</v>
      </c>
      <c r="F57" s="6"/>
      <c r="G57" s="6"/>
      <c r="H57" s="5"/>
    </row>
    <row r="58" spans="1:8" ht="19.8" x14ac:dyDescent="0.4">
      <c r="A58" s="3" t="s">
        <v>28</v>
      </c>
      <c r="B58" s="9">
        <f t="shared" si="11"/>
        <v>7</v>
      </c>
      <c r="C58" s="2" t="str">
        <f t="shared" si="12"/>
        <v>Rajesh</v>
      </c>
      <c r="D58" s="2">
        <f t="shared" si="13"/>
        <v>11</v>
      </c>
      <c r="E58" s="2" t="str">
        <f t="shared" si="14"/>
        <v>Nair</v>
      </c>
      <c r="F58" s="6"/>
      <c r="G58" s="6"/>
      <c r="H58" s="5"/>
    </row>
    <row r="59" spans="1:8" ht="19.8" x14ac:dyDescent="0.4">
      <c r="A59" s="3" t="s">
        <v>27</v>
      </c>
      <c r="B59" s="9">
        <f t="shared" si="11"/>
        <v>2</v>
      </c>
      <c r="C59" s="2" t="str">
        <f t="shared" si="12"/>
        <v>A</v>
      </c>
      <c r="D59" s="2">
        <f t="shared" si="13"/>
        <v>3</v>
      </c>
      <c r="E59" s="2" t="str">
        <f t="shared" si="14"/>
        <v>B</v>
      </c>
      <c r="F59" s="6"/>
      <c r="G59" s="6"/>
      <c r="H59" s="5"/>
    </row>
    <row r="60" spans="1:8" ht="19.8" x14ac:dyDescent="0.4">
      <c r="A60" s="3" t="s">
        <v>26</v>
      </c>
      <c r="B60" s="9">
        <f t="shared" si="11"/>
        <v>8</v>
      </c>
      <c r="C60" s="2" t="str">
        <f t="shared" si="12"/>
        <v>Kaushik</v>
      </c>
      <c r="D60" s="2">
        <f t="shared" si="13"/>
        <v>13</v>
      </c>
      <c r="E60" s="2" t="str">
        <f t="shared" si="14"/>
        <v>Kumar</v>
      </c>
      <c r="F60" s="6"/>
      <c r="G60" s="6"/>
      <c r="H60" s="5"/>
    </row>
    <row r="61" spans="1:8" ht="19.8" x14ac:dyDescent="0.4">
      <c r="A61" s="3" t="s">
        <v>25</v>
      </c>
      <c r="B61" s="9">
        <f t="shared" si="11"/>
        <v>6</v>
      </c>
      <c r="C61" s="2" t="str">
        <f t="shared" si="12"/>
        <v>Malay</v>
      </c>
      <c r="D61" s="2">
        <f t="shared" si="13"/>
        <v>12</v>
      </c>
      <c r="E61" s="2" t="str">
        <f t="shared" si="14"/>
        <v>Sharma</v>
      </c>
      <c r="F61" s="6"/>
      <c r="G61" s="6"/>
      <c r="H61" s="5"/>
    </row>
    <row r="62" spans="1:8" ht="19.8" x14ac:dyDescent="0.4">
      <c r="A62" s="3" t="s">
        <v>24</v>
      </c>
      <c r="B62" s="9">
        <f t="shared" si="11"/>
        <v>6</v>
      </c>
      <c r="C62" s="2" t="str">
        <f t="shared" si="12"/>
        <v>Kiran</v>
      </c>
      <c r="D62" s="2">
        <f t="shared" si="13"/>
        <v>16</v>
      </c>
      <c r="E62" s="2" t="str">
        <f t="shared" si="14"/>
        <v>Kunaparaju</v>
      </c>
      <c r="F62" s="6"/>
      <c r="G62" s="6"/>
      <c r="H62" s="5"/>
    </row>
    <row r="63" spans="1:8" ht="19.8" x14ac:dyDescent="0.4">
      <c r="A63" s="3" t="s">
        <v>23</v>
      </c>
      <c r="B63" s="9">
        <f t="shared" si="11"/>
        <v>8</v>
      </c>
      <c r="C63" s="2" t="str">
        <f t="shared" si="12"/>
        <v>Saharsh</v>
      </c>
      <c r="D63" s="2">
        <f t="shared" si="13"/>
        <v>12</v>
      </c>
      <c r="E63" s="2" t="str">
        <f t="shared" si="14"/>
        <v>Dale</v>
      </c>
      <c r="F63" s="6"/>
      <c r="G63" s="6"/>
      <c r="H63" s="5"/>
    </row>
    <row r="64" spans="1:8" ht="19.8" x14ac:dyDescent="0.4">
      <c r="A64" s="3" t="s">
        <v>22</v>
      </c>
      <c r="B64" s="9">
        <f t="shared" si="11"/>
        <v>7</v>
      </c>
      <c r="C64" s="2" t="str">
        <f t="shared" si="12"/>
        <v>Sujana</v>
      </c>
      <c r="D64" s="2">
        <f t="shared" si="13"/>
        <v>14</v>
      </c>
      <c r="E64" s="2" t="str">
        <f t="shared" si="14"/>
        <v>Kasturi</v>
      </c>
      <c r="F64" s="6"/>
      <c r="G64" s="6"/>
      <c r="H64" s="5"/>
    </row>
    <row r="65" spans="1:8" ht="19.8" x14ac:dyDescent="0.4">
      <c r="A65" s="3" t="s">
        <v>21</v>
      </c>
      <c r="B65" s="9">
        <f t="shared" si="11"/>
        <v>9</v>
      </c>
      <c r="C65" s="2" t="str">
        <f t="shared" si="12"/>
        <v>Rajendra</v>
      </c>
      <c r="D65" s="2">
        <f t="shared" si="13"/>
        <v>10</v>
      </c>
      <c r="E65" s="2" t="str">
        <f t="shared" si="14"/>
        <v>S</v>
      </c>
      <c r="F65" s="6"/>
      <c r="G65" s="6"/>
      <c r="H65" s="5"/>
    </row>
    <row r="66" spans="1:8" ht="19.8" x14ac:dyDescent="0.4">
      <c r="A66" s="3" t="s">
        <v>20</v>
      </c>
      <c r="B66" s="9">
        <f t="shared" si="11"/>
        <v>8</v>
      </c>
      <c r="C66" s="2" t="str">
        <f t="shared" si="12"/>
        <v>Lakshmi</v>
      </c>
      <c r="D66" s="2">
        <f t="shared" si="13"/>
        <v>15</v>
      </c>
      <c r="E66" s="2" t="str">
        <f t="shared" si="14"/>
        <v>Vennela</v>
      </c>
      <c r="F66" s="6"/>
      <c r="G66" s="6"/>
      <c r="H66" s="5"/>
    </row>
    <row r="67" spans="1:8" ht="19.8" x14ac:dyDescent="0.4">
      <c r="A67" s="3" t="s">
        <v>19</v>
      </c>
      <c r="B67" s="9">
        <f t="shared" si="11"/>
        <v>6</v>
      </c>
      <c r="C67" s="2" t="str">
        <f t="shared" si="12"/>
        <v>Rijoy</v>
      </c>
      <c r="D67" s="2">
        <f t="shared" si="13"/>
        <v>12</v>
      </c>
      <c r="E67" s="2" t="str">
        <f t="shared" si="14"/>
        <v>Kapoor</v>
      </c>
      <c r="F67" s="6"/>
      <c r="G67" s="6"/>
      <c r="H67" s="5"/>
    </row>
    <row r="68" spans="1:8" ht="19.8" x14ac:dyDescent="0.4">
      <c r="A68" s="3" t="s">
        <v>18</v>
      </c>
      <c r="B68" s="9">
        <f t="shared" si="11"/>
        <v>2</v>
      </c>
      <c r="C68" s="2" t="str">
        <f t="shared" si="12"/>
        <v>V</v>
      </c>
      <c r="D68" s="2">
        <f t="shared" si="13"/>
        <v>10</v>
      </c>
      <c r="E68" s="2" t="str">
        <f t="shared" si="14"/>
        <v>Gowthami</v>
      </c>
      <c r="F68" s="6"/>
      <c r="G68" s="6"/>
      <c r="H68" s="5"/>
    </row>
    <row r="69" spans="1:8" ht="19.8" x14ac:dyDescent="0.4">
      <c r="A69" s="3" t="s">
        <v>17</v>
      </c>
      <c r="B69" s="9">
        <f t="shared" si="11"/>
        <v>6</v>
      </c>
      <c r="C69" s="2" t="str">
        <f t="shared" si="12"/>
        <v>Gundu</v>
      </c>
      <c r="D69" s="2">
        <f t="shared" si="13"/>
        <v>11</v>
      </c>
      <c r="E69" s="2" t="str">
        <f t="shared" si="14"/>
        <v>Kumar</v>
      </c>
      <c r="F69" s="6"/>
      <c r="G69" s="6"/>
      <c r="H69" s="5"/>
    </row>
    <row r="70" spans="1:8" ht="19.8" x14ac:dyDescent="0.4">
      <c r="A70" s="3" t="s">
        <v>16</v>
      </c>
      <c r="B70" s="9">
        <f t="shared" si="11"/>
        <v>8</v>
      </c>
      <c r="C70" s="2" t="str">
        <f t="shared" si="12"/>
        <v>Prakash</v>
      </c>
      <c r="D70" s="2">
        <f t="shared" si="13"/>
        <v>20</v>
      </c>
      <c r="E70" s="2" t="str">
        <f t="shared" si="14"/>
        <v>Ramachandran</v>
      </c>
      <c r="F70" s="6"/>
      <c r="G70" s="6"/>
      <c r="H70" s="5"/>
    </row>
    <row r="71" spans="1:8" ht="19.8" x14ac:dyDescent="0.4">
      <c r="A71" s="3" t="s">
        <v>15</v>
      </c>
      <c r="B71" s="9">
        <f t="shared" si="11"/>
        <v>5</v>
      </c>
      <c r="C71" s="2" t="str">
        <f t="shared" si="12"/>
        <v>Ravi</v>
      </c>
      <c r="D71" s="2">
        <f t="shared" si="13"/>
        <v>12</v>
      </c>
      <c r="E71" s="2" t="str">
        <f t="shared" si="14"/>
        <v>Kishore</v>
      </c>
      <c r="F71" s="6"/>
      <c r="G71" s="6"/>
      <c r="H71" s="5"/>
    </row>
    <row r="72" spans="1:8" ht="19.8" x14ac:dyDescent="0.4">
      <c r="A72" s="3" t="s">
        <v>14</v>
      </c>
      <c r="B72" s="9">
        <f t="shared" si="11"/>
        <v>7</v>
      </c>
      <c r="C72" s="2" t="str">
        <f t="shared" si="12"/>
        <v>Rajesh</v>
      </c>
      <c r="D72" s="2">
        <f t="shared" si="13"/>
        <v>18</v>
      </c>
      <c r="E72" s="2" t="str">
        <f t="shared" si="14"/>
        <v>Chigurupati</v>
      </c>
      <c r="F72" s="6"/>
      <c r="G72" s="6"/>
      <c r="H72" s="5"/>
    </row>
    <row r="73" spans="1:8" ht="19.8" x14ac:dyDescent="0.4">
      <c r="A73" s="3" t="s">
        <v>13</v>
      </c>
      <c r="B73" s="9">
        <f t="shared" si="11"/>
        <v>8</v>
      </c>
      <c r="C73" s="2" t="str">
        <f t="shared" si="12"/>
        <v>Shravan</v>
      </c>
      <c r="D73" s="2">
        <f t="shared" si="13"/>
        <v>13</v>
      </c>
      <c r="E73" s="2" t="str">
        <f t="shared" si="14"/>
        <v>Kumar</v>
      </c>
      <c r="F73" s="6"/>
      <c r="G73" s="6"/>
      <c r="H73" s="5"/>
    </row>
    <row r="74" spans="1:8" ht="19.8" x14ac:dyDescent="0.4">
      <c r="A74" s="3" t="s">
        <v>12</v>
      </c>
      <c r="B74" s="9">
        <f t="shared" si="11"/>
        <v>6</v>
      </c>
      <c r="C74" s="2" t="str">
        <f t="shared" si="12"/>
        <v>Abdul</v>
      </c>
      <c r="D74" s="2">
        <f t="shared" si="13"/>
        <v>12</v>
      </c>
      <c r="E74" s="2" t="str">
        <f t="shared" si="14"/>
        <v>Razzak</v>
      </c>
      <c r="F74" s="6"/>
      <c r="G74" s="6"/>
      <c r="H74" s="5"/>
    </row>
    <row r="75" spans="1:8" ht="19.8" x14ac:dyDescent="0.4">
      <c r="A75" s="8"/>
      <c r="B75" s="7"/>
      <c r="C75" s="1"/>
      <c r="D75" s="1"/>
      <c r="E75" s="1"/>
      <c r="F75" s="6"/>
      <c r="G75" s="6"/>
      <c r="H75" s="5"/>
    </row>
    <row r="76" spans="1:8" ht="19.8" x14ac:dyDescent="0.4">
      <c r="A76" s="8"/>
      <c r="B76" s="7"/>
      <c r="C76" s="1"/>
      <c r="D76" s="1"/>
      <c r="E76" s="1"/>
      <c r="F76" s="6"/>
      <c r="G76" s="6"/>
      <c r="H76" s="5"/>
    </row>
    <row r="77" spans="1:8" ht="19.8" x14ac:dyDescent="0.4">
      <c r="A77" s="8"/>
      <c r="B77" s="7"/>
      <c r="C77" s="1"/>
      <c r="D77" s="1"/>
      <c r="E77" s="1"/>
      <c r="F77" s="6"/>
      <c r="G77" s="6"/>
      <c r="H77" s="5"/>
    </row>
    <row r="78" spans="1:8" ht="19.8" x14ac:dyDescent="0.4">
      <c r="A78" s="8"/>
      <c r="B78" s="7"/>
      <c r="C78" s="1"/>
      <c r="D78" s="1"/>
      <c r="E78" s="1"/>
      <c r="F78" s="6"/>
      <c r="G78" s="6"/>
      <c r="H78" s="5"/>
    </row>
    <row r="79" spans="1:8" ht="19.8" x14ac:dyDescent="0.4">
      <c r="A79" s="1"/>
      <c r="B79" s="1"/>
      <c r="C79" s="1"/>
      <c r="D79" s="1"/>
      <c r="E79" s="1"/>
      <c r="F79" s="1"/>
      <c r="G79" s="1"/>
      <c r="H79" s="5"/>
    </row>
    <row r="80" spans="1:8" ht="19.8" x14ac:dyDescent="0.4">
      <c r="A80" s="1" t="s">
        <v>11</v>
      </c>
      <c r="B80" s="1"/>
      <c r="C80" s="1"/>
      <c r="D80" s="1"/>
      <c r="E80" s="1"/>
      <c r="F80" s="1"/>
      <c r="G80" s="1" t="s">
        <v>10</v>
      </c>
      <c r="H80" s="5"/>
    </row>
    <row r="81" spans="1:8" ht="19.8" x14ac:dyDescent="0.4">
      <c r="A81" s="4" t="s">
        <v>9</v>
      </c>
      <c r="B81" s="4" t="s">
        <v>8</v>
      </c>
      <c r="C81" s="4" t="s">
        <v>7</v>
      </c>
      <c r="D81" s="4" t="s">
        <v>109</v>
      </c>
      <c r="E81" s="4" t="s">
        <v>6</v>
      </c>
      <c r="F81" s="4" t="s">
        <v>5</v>
      </c>
      <c r="G81" s="4" t="s">
        <v>4</v>
      </c>
      <c r="H81" s="1"/>
    </row>
    <row r="82" spans="1:8" ht="19.8" x14ac:dyDescent="0.4">
      <c r="A82" s="3" t="s">
        <v>3</v>
      </c>
      <c r="B82" s="2">
        <f>SEARCH(" ",A82)</f>
        <v>9</v>
      </c>
      <c r="C82" s="2">
        <f>SEARCH(" ",A82,B82+1)</f>
        <v>15</v>
      </c>
      <c r="D82" s="2">
        <f>C82-B82</f>
        <v>6</v>
      </c>
      <c r="E82" s="2" t="str">
        <f>MID(A82,B82+1,D82)</f>
        <v xml:space="preserve">Singh </v>
      </c>
      <c r="F82" s="2" t="str">
        <f>MID(A82,B82,D82)</f>
        <v xml:space="preserve"> Singh</v>
      </c>
      <c r="G82" s="2" t="str">
        <f>MID(A82,SEARCH(" ",A82)+1,(SEARCH(" ",A82,SEARCH(" ",A82)+1)-SEARCH(" ",A82)))</f>
        <v xml:space="preserve">Singh </v>
      </c>
      <c r="H82" s="1"/>
    </row>
    <row r="83" spans="1:8" ht="19.8" x14ac:dyDescent="0.4">
      <c r="A83" s="3" t="s">
        <v>2</v>
      </c>
      <c r="B83" s="2">
        <f t="shared" ref="B83:B91" si="15">SEARCH(" ",A83)</f>
        <v>7</v>
      </c>
      <c r="C83" s="2">
        <f>SEARCH(" ",A83,B83+1)</f>
        <v>14</v>
      </c>
      <c r="D83" s="2">
        <f t="shared" ref="D83:D91" si="16">C83-B83</f>
        <v>7</v>
      </c>
      <c r="E83" s="2" t="str">
        <f t="shared" ref="E83:E91" si="17">MID(A83,B83+1,D83)</f>
        <v xml:space="preserve">Ramesh </v>
      </c>
      <c r="F83" s="2" t="str">
        <f t="shared" ref="F83:F88" si="18">MID(A83,B83,D83)</f>
        <v xml:space="preserve"> Ramesh</v>
      </c>
      <c r="G83" s="2" t="str">
        <f t="shared" ref="G83:G91" si="19">MID(A83,SEARCH(" ",A83)+1,(SEARCH(" ",A83,SEARCH(" ",A83)+1)-SEARCH(" ",A83)))</f>
        <v xml:space="preserve">Ramesh </v>
      </c>
      <c r="H83" s="1"/>
    </row>
    <row r="84" spans="1:8" ht="19.8" x14ac:dyDescent="0.4">
      <c r="A84" s="3" t="s">
        <v>1</v>
      </c>
      <c r="B84" s="2">
        <f t="shared" si="15"/>
        <v>7</v>
      </c>
      <c r="C84" s="2">
        <f>SEARCH(" ",A84,B84+1)</f>
        <v>13</v>
      </c>
      <c r="D84" s="2">
        <f t="shared" si="16"/>
        <v>6</v>
      </c>
      <c r="E84" s="2" t="str">
        <f>MID(A84,B84+1,D84)</f>
        <v xml:space="preserve">MATAM </v>
      </c>
      <c r="F84" s="2" t="str">
        <f t="shared" si="18"/>
        <v xml:space="preserve"> MATAM</v>
      </c>
      <c r="G84" s="2" t="str">
        <f t="shared" si="19"/>
        <v xml:space="preserve">MATAM </v>
      </c>
      <c r="H84" s="1"/>
    </row>
    <row r="85" spans="1:8" ht="19.8" x14ac:dyDescent="0.4">
      <c r="A85" s="3" t="s">
        <v>0</v>
      </c>
      <c r="B85" s="2">
        <f t="shared" si="15"/>
        <v>2</v>
      </c>
      <c r="C85" s="2">
        <f t="shared" ref="C83:C91" si="20">SEARCH(" ",A85,B85+1)</f>
        <v>4</v>
      </c>
      <c r="D85" s="2">
        <f t="shared" si="16"/>
        <v>2</v>
      </c>
      <c r="E85" s="2" t="str">
        <f t="shared" si="17"/>
        <v xml:space="preserve">b </v>
      </c>
      <c r="F85" s="2" t="str">
        <f t="shared" si="18"/>
        <v xml:space="preserve"> b</v>
      </c>
      <c r="G85" s="2" t="str">
        <f t="shared" si="19"/>
        <v xml:space="preserve">b </v>
      </c>
      <c r="H85" s="1"/>
    </row>
    <row r="86" spans="1:8" ht="19.8" x14ac:dyDescent="0.4">
      <c r="A86" s="1" t="s">
        <v>110</v>
      </c>
      <c r="B86" s="2">
        <f t="shared" si="15"/>
        <v>5</v>
      </c>
      <c r="C86" s="1">
        <f t="shared" si="20"/>
        <v>17</v>
      </c>
      <c r="D86" s="1">
        <f t="shared" si="16"/>
        <v>12</v>
      </c>
      <c r="E86" s="1" t="str">
        <f t="shared" si="17"/>
        <v xml:space="preserve">maharajfder </v>
      </c>
      <c r="F86" s="1" t="str">
        <f t="shared" si="18"/>
        <v xml:space="preserve"> maharajfder</v>
      </c>
      <c r="G86" s="1" t="str">
        <f t="shared" si="19"/>
        <v xml:space="preserve">maharajfder </v>
      </c>
      <c r="H86" s="1"/>
    </row>
    <row r="87" spans="1:8" ht="19.8" x14ac:dyDescent="0.4">
      <c r="A87" s="13" t="s">
        <v>111</v>
      </c>
      <c r="B87" s="14">
        <f t="shared" si="15"/>
        <v>10</v>
      </c>
      <c r="C87" s="15">
        <f t="shared" si="20"/>
        <v>20</v>
      </c>
      <c r="D87" s="15">
        <f t="shared" si="16"/>
        <v>10</v>
      </c>
      <c r="E87" s="15" t="str">
        <f t="shared" si="17"/>
        <v xml:space="preserve">asdfassdf </v>
      </c>
      <c r="F87" s="15" t="str">
        <f t="shared" si="18"/>
        <v xml:space="preserve"> asdfassdf</v>
      </c>
      <c r="G87" s="15" t="str">
        <f t="shared" si="19"/>
        <v xml:space="preserve">asdfassdf </v>
      </c>
    </row>
    <row r="88" spans="1:8" ht="19.8" x14ac:dyDescent="0.4">
      <c r="A88" s="13" t="s">
        <v>113</v>
      </c>
      <c r="B88" s="14">
        <f t="shared" si="15"/>
        <v>4</v>
      </c>
      <c r="C88" s="15">
        <f t="shared" si="20"/>
        <v>6</v>
      </c>
      <c r="D88" s="15">
        <f t="shared" si="16"/>
        <v>2</v>
      </c>
      <c r="E88" s="15" t="str">
        <f t="shared" si="17"/>
        <v xml:space="preserve">d </v>
      </c>
      <c r="F88" s="15" t="str">
        <f>MID(A88,B88,D88)</f>
        <v xml:space="preserve"> d</v>
      </c>
      <c r="G88" s="15" t="str">
        <f t="shared" si="19"/>
        <v xml:space="preserve">d </v>
      </c>
    </row>
    <row r="89" spans="1:8" ht="19.8" x14ac:dyDescent="0.4">
      <c r="A89" s="16" t="s">
        <v>112</v>
      </c>
      <c r="B89" s="14">
        <f t="shared" si="15"/>
        <v>2</v>
      </c>
      <c r="C89" s="15">
        <f t="shared" si="20"/>
        <v>9</v>
      </c>
      <c r="D89" s="15">
        <f t="shared" si="16"/>
        <v>7</v>
      </c>
      <c r="E89" s="15" t="str">
        <f t="shared" si="17"/>
        <v xml:space="preserve">dfasdf </v>
      </c>
      <c r="F89" s="15" t="str">
        <f t="shared" ref="F89:F91" si="21">MID(A89,B89,D89)</f>
        <v xml:space="preserve"> dfasdf</v>
      </c>
      <c r="G89" s="15" t="str">
        <f t="shared" si="19"/>
        <v xml:space="preserve">dfasdf </v>
      </c>
    </row>
    <row r="90" spans="1:8" ht="19.8" x14ac:dyDescent="0.4">
      <c r="A90" s="16" t="s">
        <v>114</v>
      </c>
      <c r="B90" s="14">
        <f t="shared" si="15"/>
        <v>4</v>
      </c>
      <c r="C90" s="15">
        <f t="shared" si="20"/>
        <v>7</v>
      </c>
      <c r="D90" s="15">
        <f t="shared" si="16"/>
        <v>3</v>
      </c>
      <c r="E90" s="15" t="str">
        <f t="shared" si="17"/>
        <v xml:space="preserve">dd </v>
      </c>
      <c r="F90" s="15" t="str">
        <f t="shared" si="21"/>
        <v xml:space="preserve"> dd</v>
      </c>
      <c r="G90" s="15" t="str">
        <f t="shared" si="19"/>
        <v xml:space="preserve">dd </v>
      </c>
    </row>
    <row r="91" spans="1:8" ht="19.8" x14ac:dyDescent="0.4">
      <c r="A91" s="16" t="s">
        <v>115</v>
      </c>
      <c r="B91" s="14">
        <f t="shared" si="15"/>
        <v>5</v>
      </c>
      <c r="C91" s="15">
        <f t="shared" si="20"/>
        <v>9</v>
      </c>
      <c r="D91" s="15">
        <f t="shared" si="16"/>
        <v>4</v>
      </c>
      <c r="E91" s="15" t="str">
        <f t="shared" si="17"/>
        <v xml:space="preserve">sdf </v>
      </c>
      <c r="F91" s="15" t="str">
        <f t="shared" si="21"/>
        <v xml:space="preserve"> sdf</v>
      </c>
      <c r="G91" s="15" t="str">
        <f t="shared" si="19"/>
        <v xml:space="preserve">sdf 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text_function_1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Das</dc:creator>
  <cp:lastModifiedBy>siddhant mishra</cp:lastModifiedBy>
  <dcterms:created xsi:type="dcterms:W3CDTF">2025-07-03T07:54:03Z</dcterms:created>
  <dcterms:modified xsi:type="dcterms:W3CDTF">2026-07-21T11:53:12Z</dcterms:modified>
</cp:coreProperties>
</file>