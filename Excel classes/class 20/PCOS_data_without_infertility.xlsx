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ddh\Documents\Upgrad classes\class 20\"/>
    </mc:Choice>
  </mc:AlternateContent>
  <xr:revisionPtr revIDLastSave="0" documentId="13_ncr:1_{FC0A2DF0-AFCF-4DE2-8A88-5D4DB4AB7EE1}" xr6:coauthVersionLast="47" xr6:coauthVersionMax="47" xr10:uidLastSave="{00000000-0000-0000-0000-000000000000}"/>
  <bookViews>
    <workbookView xWindow="-96" yWindow="0" windowWidth="15084" windowHeight="13056" activeTab="1" xr2:uid="{00000000-000D-0000-FFFF-FFFF00000000}"/>
  </bookViews>
  <sheets>
    <sheet name="Full_new" sheetId="2" r:id="rId1"/>
    <sheet name="Charts " sheetId="3" r:id="rId2"/>
  </sheets>
  <calcPr calcId="191029"/>
  <pivotCaches>
    <pivotCache cacheId="15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" i="2" l="1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241" i="2"/>
  <c r="BI242" i="2"/>
  <c r="BI243" i="2"/>
  <c r="BI244" i="2"/>
  <c r="BI245" i="2"/>
  <c r="BI246" i="2"/>
  <c r="BI247" i="2"/>
  <c r="BI248" i="2"/>
  <c r="BI249" i="2"/>
  <c r="BI250" i="2"/>
  <c r="BI251" i="2"/>
  <c r="BI252" i="2"/>
  <c r="BI253" i="2"/>
  <c r="BI254" i="2"/>
  <c r="BI255" i="2"/>
  <c r="BI256" i="2"/>
  <c r="BI257" i="2"/>
  <c r="BI258" i="2"/>
  <c r="BI259" i="2"/>
  <c r="BI260" i="2"/>
  <c r="BI261" i="2"/>
  <c r="BI262" i="2"/>
  <c r="BI263" i="2"/>
  <c r="BI264" i="2"/>
  <c r="BI265" i="2"/>
  <c r="BI266" i="2"/>
  <c r="BI267" i="2"/>
  <c r="BI268" i="2"/>
  <c r="BI269" i="2"/>
  <c r="BI270" i="2"/>
  <c r="BI271" i="2"/>
  <c r="BI272" i="2"/>
  <c r="BI273" i="2"/>
  <c r="BI274" i="2"/>
  <c r="BI275" i="2"/>
  <c r="BI276" i="2"/>
  <c r="BI277" i="2"/>
  <c r="BI278" i="2"/>
  <c r="BI279" i="2"/>
  <c r="BI280" i="2"/>
  <c r="BI281" i="2"/>
  <c r="BI282" i="2"/>
  <c r="BI283" i="2"/>
  <c r="BI284" i="2"/>
  <c r="BI285" i="2"/>
  <c r="BI286" i="2"/>
  <c r="BI287" i="2"/>
  <c r="BI288" i="2"/>
  <c r="BI289" i="2"/>
  <c r="BI290" i="2"/>
  <c r="BI291" i="2"/>
  <c r="BI292" i="2"/>
  <c r="BI293" i="2"/>
  <c r="BI294" i="2"/>
  <c r="BI295" i="2"/>
  <c r="BI296" i="2"/>
  <c r="BI297" i="2"/>
  <c r="BI298" i="2"/>
  <c r="BI299" i="2"/>
  <c r="BI300" i="2"/>
  <c r="BI301" i="2"/>
  <c r="BI302" i="2"/>
  <c r="BI303" i="2"/>
  <c r="BI304" i="2"/>
  <c r="BI305" i="2"/>
  <c r="BI306" i="2"/>
  <c r="BI307" i="2"/>
  <c r="BI308" i="2"/>
  <c r="BI309" i="2"/>
  <c r="BI310" i="2"/>
  <c r="BI311" i="2"/>
  <c r="BI312" i="2"/>
  <c r="BI313" i="2"/>
  <c r="BI314" i="2"/>
  <c r="BI315" i="2"/>
  <c r="BI316" i="2"/>
  <c r="BI317" i="2"/>
  <c r="BI318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37" i="2"/>
  <c r="BI338" i="2"/>
  <c r="BI339" i="2"/>
  <c r="BI340" i="2"/>
  <c r="BI341" i="2"/>
  <c r="BI342" i="2"/>
  <c r="BI343" i="2"/>
  <c r="BI344" i="2"/>
  <c r="BI345" i="2"/>
  <c r="BI346" i="2"/>
  <c r="BI347" i="2"/>
  <c r="BI348" i="2"/>
  <c r="BI349" i="2"/>
  <c r="BI350" i="2"/>
  <c r="BI351" i="2"/>
  <c r="BI352" i="2"/>
  <c r="BI353" i="2"/>
  <c r="BI354" i="2"/>
  <c r="BI355" i="2"/>
  <c r="BI356" i="2"/>
  <c r="BI357" i="2"/>
  <c r="BI358" i="2"/>
  <c r="BI359" i="2"/>
  <c r="BI360" i="2"/>
  <c r="BI361" i="2"/>
  <c r="BI362" i="2"/>
  <c r="BI363" i="2"/>
  <c r="BI364" i="2"/>
  <c r="BI365" i="2"/>
  <c r="BI366" i="2"/>
  <c r="BI367" i="2"/>
  <c r="BI368" i="2"/>
  <c r="BI369" i="2"/>
  <c r="BI370" i="2"/>
  <c r="BI371" i="2"/>
  <c r="BI372" i="2"/>
  <c r="BI373" i="2"/>
  <c r="BI374" i="2"/>
  <c r="BI375" i="2"/>
  <c r="BI376" i="2"/>
  <c r="BI377" i="2"/>
  <c r="BI378" i="2"/>
  <c r="BI379" i="2"/>
  <c r="BI380" i="2"/>
  <c r="BI381" i="2"/>
  <c r="BI382" i="2"/>
  <c r="BI383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396" i="2"/>
  <c r="BI397" i="2"/>
  <c r="BI398" i="2"/>
  <c r="BI399" i="2"/>
  <c r="BI400" i="2"/>
  <c r="BI401" i="2"/>
  <c r="BI402" i="2"/>
  <c r="BI403" i="2"/>
  <c r="BI404" i="2"/>
  <c r="BI405" i="2"/>
  <c r="BI406" i="2"/>
  <c r="BI407" i="2"/>
  <c r="BI408" i="2"/>
  <c r="BI409" i="2"/>
  <c r="BI410" i="2"/>
  <c r="BI411" i="2"/>
  <c r="BI412" i="2"/>
  <c r="BI413" i="2"/>
  <c r="BI414" i="2"/>
  <c r="BI415" i="2"/>
  <c r="BI416" i="2"/>
  <c r="BI417" i="2"/>
  <c r="BI418" i="2"/>
  <c r="BI419" i="2"/>
  <c r="BI420" i="2"/>
  <c r="BI421" i="2"/>
  <c r="BI422" i="2"/>
  <c r="BI423" i="2"/>
  <c r="BI424" i="2"/>
  <c r="BI425" i="2"/>
  <c r="BI426" i="2"/>
  <c r="BI427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56" i="2"/>
  <c r="BI457" i="2"/>
  <c r="BI458" i="2"/>
  <c r="BI459" i="2"/>
  <c r="BI460" i="2"/>
  <c r="BI461" i="2"/>
  <c r="BI462" i="2"/>
  <c r="BI463" i="2"/>
  <c r="BI464" i="2"/>
  <c r="BI465" i="2"/>
  <c r="BI466" i="2"/>
  <c r="BI467" i="2"/>
  <c r="BI468" i="2"/>
  <c r="BI469" i="2"/>
  <c r="BI470" i="2"/>
  <c r="BI471" i="2"/>
  <c r="BI472" i="2"/>
  <c r="BI473" i="2"/>
  <c r="BI474" i="2"/>
  <c r="BI475" i="2"/>
  <c r="BI476" i="2"/>
  <c r="BI477" i="2"/>
  <c r="BI478" i="2"/>
  <c r="BI479" i="2"/>
  <c r="BI480" i="2"/>
  <c r="BI481" i="2"/>
  <c r="BI482" i="2"/>
  <c r="BI483" i="2"/>
  <c r="BI484" i="2"/>
  <c r="BI485" i="2"/>
  <c r="BI486" i="2"/>
  <c r="BI487" i="2"/>
  <c r="BI488" i="2"/>
  <c r="BI489" i="2"/>
  <c r="BI490" i="2"/>
  <c r="BI491" i="2"/>
  <c r="BI492" i="2"/>
  <c r="BI493" i="2"/>
  <c r="BI494" i="2"/>
  <c r="BI495" i="2"/>
  <c r="BI496" i="2"/>
  <c r="BI497" i="2"/>
  <c r="BI498" i="2"/>
  <c r="BI499" i="2"/>
  <c r="BI500" i="2"/>
  <c r="BI501" i="2"/>
  <c r="BI502" i="2"/>
  <c r="BI503" i="2"/>
  <c r="BI504" i="2"/>
  <c r="BI505" i="2"/>
  <c r="BI506" i="2"/>
  <c r="BI507" i="2"/>
  <c r="BI508" i="2"/>
  <c r="BI509" i="2"/>
  <c r="BI510" i="2"/>
  <c r="BI511" i="2"/>
  <c r="BI512" i="2"/>
  <c r="BI513" i="2"/>
  <c r="BI514" i="2"/>
  <c r="BI515" i="2"/>
  <c r="BI516" i="2"/>
  <c r="BI517" i="2"/>
  <c r="BI518" i="2"/>
  <c r="BI519" i="2"/>
  <c r="BI520" i="2"/>
  <c r="BI521" i="2"/>
  <c r="BI522" i="2"/>
  <c r="BI523" i="2"/>
  <c r="BI524" i="2"/>
  <c r="BI525" i="2"/>
  <c r="BI526" i="2"/>
  <c r="BI527" i="2"/>
  <c r="BI528" i="2"/>
  <c r="BI529" i="2"/>
  <c r="BI530" i="2"/>
  <c r="BI531" i="2"/>
  <c r="BI532" i="2"/>
  <c r="BI533" i="2"/>
  <c r="BI534" i="2"/>
  <c r="BI535" i="2"/>
  <c r="BI536" i="2"/>
  <c r="BI537" i="2"/>
  <c r="BI538" i="2"/>
  <c r="BI539" i="2"/>
  <c r="BI540" i="2"/>
  <c r="BI541" i="2"/>
  <c r="BI542" i="2"/>
  <c r="BC542" i="2" a="1"/>
  <c r="BC542" i="2" s="1"/>
  <c r="BC541" i="2" a="1"/>
  <c r="BC541" i="2"/>
  <c r="BC540" i="2" a="1"/>
  <c r="BC540" i="2"/>
  <c r="BC539" i="2" a="1"/>
  <c r="BC539" i="2"/>
  <c r="BC538" i="2" a="1"/>
  <c r="BC538" i="2"/>
  <c r="BC537" i="2" a="1"/>
  <c r="BC537" i="2"/>
  <c r="BC536" i="2" a="1"/>
  <c r="BC536" i="2" s="1"/>
  <c r="BC535" i="2" a="1"/>
  <c r="BC535" i="2" s="1"/>
  <c r="BC534" i="2" a="1"/>
  <c r="BC534" i="2"/>
  <c r="BC533" i="2" a="1"/>
  <c r="BC533" i="2"/>
  <c r="BC532" i="2" a="1"/>
  <c r="BC532" i="2"/>
  <c r="BC531" i="2" a="1"/>
  <c r="BC531" i="2"/>
  <c r="BC530" i="2" a="1"/>
  <c r="BC530" i="2" s="1"/>
  <c r="BC529" i="2" a="1"/>
  <c r="BC529" i="2" s="1"/>
  <c r="BC528" i="2" a="1"/>
  <c r="BC528" i="2"/>
  <c r="BC527" i="2" a="1"/>
  <c r="BC527" i="2"/>
  <c r="BC526" i="2" a="1"/>
  <c r="BC526" i="2"/>
  <c r="BC525" i="2" a="1"/>
  <c r="BC525" i="2"/>
  <c r="BC524" i="2" a="1"/>
  <c r="BC524" i="2" s="1"/>
  <c r="BC523" i="2" a="1"/>
  <c r="BC523" i="2"/>
  <c r="BC522" i="2" a="1"/>
  <c r="BC522" i="2"/>
  <c r="BC521" i="2" a="1"/>
  <c r="BC521" i="2"/>
  <c r="BC520" i="2" a="1"/>
  <c r="BC520" i="2"/>
  <c r="BC519" i="2" a="1"/>
  <c r="BC519" i="2"/>
  <c r="BC518" i="2" a="1"/>
  <c r="BC518" i="2" s="1"/>
  <c r="BC517" i="2" a="1"/>
  <c r="BC517" i="2"/>
  <c r="BC516" i="2" a="1"/>
  <c r="BC516" i="2" s="1"/>
  <c r="BC515" i="2" a="1"/>
  <c r="BC515" i="2"/>
  <c r="BC514" i="2" a="1"/>
  <c r="BC514" i="2"/>
  <c r="BC513" i="2" a="1"/>
  <c r="BC513" i="2"/>
  <c r="BC512" i="2" a="1"/>
  <c r="BC512" i="2" s="1"/>
  <c r="BC511" i="2" a="1"/>
  <c r="BC511" i="2"/>
  <c r="BC510" i="2" a="1"/>
  <c r="BC510" i="2"/>
  <c r="BC509" i="2" a="1"/>
  <c r="BC509" i="2"/>
  <c r="BC508" i="2" a="1"/>
  <c r="BC508" i="2"/>
  <c r="BC507" i="2" a="1"/>
  <c r="BC507" i="2"/>
  <c r="BC506" i="2" a="1"/>
  <c r="BC506" i="2" s="1"/>
  <c r="BC505" i="2" a="1"/>
  <c r="BC505" i="2"/>
  <c r="BC504" i="2" a="1"/>
  <c r="BC504" i="2"/>
  <c r="BC503" i="2" a="1"/>
  <c r="BC503" i="2" s="1"/>
  <c r="BC502" i="2" a="1"/>
  <c r="BC502" i="2"/>
  <c r="BC501" i="2" a="1"/>
  <c r="BC501" i="2"/>
  <c r="BC500" i="2" a="1"/>
  <c r="BC500" i="2" s="1"/>
  <c r="BC499" i="2" a="1"/>
  <c r="BC499" i="2"/>
  <c r="BC498" i="2" a="1"/>
  <c r="BC498" i="2"/>
  <c r="BC497" i="2" a="1"/>
  <c r="BC497" i="2"/>
  <c r="BC496" i="2" a="1"/>
  <c r="BC496" i="2" s="1"/>
  <c r="BC495" i="2" a="1"/>
  <c r="BC495" i="2"/>
  <c r="BC494" i="2" a="1"/>
  <c r="BC494" i="2" s="1"/>
  <c r="BC493" i="2" a="1"/>
  <c r="BC493" i="2"/>
  <c r="BC492" i="2" a="1"/>
  <c r="BC492" i="2"/>
  <c r="BC491" i="2" a="1"/>
  <c r="BC491" i="2"/>
  <c r="BC490" i="2" a="1"/>
  <c r="BC490" i="2" s="1"/>
  <c r="BC489" i="2" a="1"/>
  <c r="BC489" i="2"/>
  <c r="BC488" i="2" a="1"/>
  <c r="BC488" i="2" s="1"/>
  <c r="BC487" i="2" a="1"/>
  <c r="BC487" i="2"/>
  <c r="BC486" i="2" a="1"/>
  <c r="BC486" i="2"/>
  <c r="BC485" i="2" a="1"/>
  <c r="BC485" i="2"/>
  <c r="BC484" i="2" a="1"/>
  <c r="BC484" i="2"/>
  <c r="BC483" i="2" a="1"/>
  <c r="BC483" i="2" s="1"/>
  <c r="BC482" i="2" a="1"/>
  <c r="BC482" i="2" s="1"/>
  <c r="BC481" i="2" a="1"/>
  <c r="BC481" i="2"/>
  <c r="BC480" i="2" a="1"/>
  <c r="BC480" i="2"/>
  <c r="BC479" i="2" a="1"/>
  <c r="BC479" i="2"/>
  <c r="BC478" i="2" a="1"/>
  <c r="BC478" i="2"/>
  <c r="BC477" i="2" a="1"/>
  <c r="BC477" i="2" s="1"/>
  <c r="BC476" i="2" a="1"/>
  <c r="BC476" i="2" s="1"/>
  <c r="BC475" i="2" a="1"/>
  <c r="BC475" i="2"/>
  <c r="BC474" i="2" a="1"/>
  <c r="BC474" i="2"/>
  <c r="BC473" i="2" a="1"/>
  <c r="BC473" i="2"/>
  <c r="BC472" i="2" a="1"/>
  <c r="BC472" i="2"/>
  <c r="BC471" i="2" a="1"/>
  <c r="BC471" i="2"/>
  <c r="BC470" i="2" a="1"/>
  <c r="BC470" i="2"/>
  <c r="BC469" i="2" a="1"/>
  <c r="BC469" i="2"/>
  <c r="BC468" i="2" a="1"/>
  <c r="BC468" i="2"/>
  <c r="BC467" i="2" a="1"/>
  <c r="BC467" i="2"/>
  <c r="BC466" i="2" a="1"/>
  <c r="BC466" i="2"/>
  <c r="BC465" i="2" a="1"/>
  <c r="BC465" i="2"/>
  <c r="BC464" i="2" a="1"/>
  <c r="BC464" i="2" s="1"/>
  <c r="BC463" i="2" a="1"/>
  <c r="BC463" i="2"/>
  <c r="BC462" i="2" a="1"/>
  <c r="BC462" i="2"/>
  <c r="BC461" i="2" a="1"/>
  <c r="BC461" i="2"/>
  <c r="BC460" i="2" a="1"/>
  <c r="BC460" i="2"/>
  <c r="BC459" i="2" a="1"/>
  <c r="BC459" i="2"/>
  <c r="BC458" i="2" a="1"/>
  <c r="BC458" i="2" s="1"/>
  <c r="BC457" i="2" a="1"/>
  <c r="BC457" i="2"/>
  <c r="BC456" i="2" a="1"/>
  <c r="BC456" i="2"/>
  <c r="BC455" i="2" a="1"/>
  <c r="BC455" i="2"/>
  <c r="BC454" i="2" a="1"/>
  <c r="BC454" i="2"/>
  <c r="BC453" i="2" a="1"/>
  <c r="BC453" i="2"/>
  <c r="BC452" i="2" a="1"/>
  <c r="BC452" i="2" s="1"/>
  <c r="BC451" i="2" a="1"/>
  <c r="BC451" i="2"/>
  <c r="BC450" i="2" a="1"/>
  <c r="BC450" i="2"/>
  <c r="BC449" i="2" a="1"/>
  <c r="BC449" i="2"/>
  <c r="BC448" i="2" a="1"/>
  <c r="BC448" i="2"/>
  <c r="BC447" i="2" a="1"/>
  <c r="BC447" i="2"/>
  <c r="BC446" i="2" a="1"/>
  <c r="BC446" i="2" s="1"/>
  <c r="BC445" i="2" a="1"/>
  <c r="BC445" i="2"/>
  <c r="BC444" i="2" a="1"/>
  <c r="BC444" i="2"/>
  <c r="BC443" i="2" a="1"/>
  <c r="BC443" i="2"/>
  <c r="BC442" i="2" a="1"/>
  <c r="BC442" i="2"/>
  <c r="BC441" i="2" a="1"/>
  <c r="BC441" i="2"/>
  <c r="BC440" i="2" a="1"/>
  <c r="BC440" i="2" s="1"/>
  <c r="BC439" i="2" a="1"/>
  <c r="BC439" i="2"/>
  <c r="BC438" i="2" a="1"/>
  <c r="BC438" i="2"/>
  <c r="BC437" i="2" a="1"/>
  <c r="BC437" i="2"/>
  <c r="BC436" i="2" a="1"/>
  <c r="BC436" i="2"/>
  <c r="BC435" i="2" a="1"/>
  <c r="BC435" i="2"/>
  <c r="BC434" i="2" a="1"/>
  <c r="BC434" i="2" s="1"/>
  <c r="BC433" i="2" a="1"/>
  <c r="BC433" i="2"/>
  <c r="BC432" i="2" a="1"/>
  <c r="BC432" i="2"/>
  <c r="BC431" i="2" a="1"/>
  <c r="BC431" i="2"/>
  <c r="BC430" i="2" a="1"/>
  <c r="BC430" i="2"/>
  <c r="BC429" i="2" a="1"/>
  <c r="BC429" i="2"/>
  <c r="BC428" i="2" a="1"/>
  <c r="BC428" i="2" s="1"/>
  <c r="BC427" i="2" a="1"/>
  <c r="BC427" i="2"/>
  <c r="BC426" i="2" a="1"/>
  <c r="BC426" i="2"/>
  <c r="BC425" i="2" a="1"/>
  <c r="BC425" i="2"/>
  <c r="BC424" i="2" a="1"/>
  <c r="BC424" i="2"/>
  <c r="BC423" i="2" a="1"/>
  <c r="BC423" i="2"/>
  <c r="BC422" i="2" a="1"/>
  <c r="BC422" i="2" s="1"/>
  <c r="BC421" i="2" a="1"/>
  <c r="BC421" i="2"/>
  <c r="BC420" i="2" a="1"/>
  <c r="BC420" i="2"/>
  <c r="BC419" i="2" a="1"/>
  <c r="BC419" i="2"/>
  <c r="BC418" i="2" a="1"/>
  <c r="BC418" i="2"/>
  <c r="BC417" i="2" a="1"/>
  <c r="BC417" i="2"/>
  <c r="BC416" i="2" a="1"/>
  <c r="BC416" i="2" s="1"/>
  <c r="BC415" i="2" a="1"/>
  <c r="BC415" i="2"/>
  <c r="BC414" i="2" a="1"/>
  <c r="BC414" i="2"/>
  <c r="BC413" i="2" a="1"/>
  <c r="BC413" i="2"/>
  <c r="BC412" i="2" a="1"/>
  <c r="BC412" i="2"/>
  <c r="BC411" i="2" a="1"/>
  <c r="BC411" i="2"/>
  <c r="BC410" i="2" a="1"/>
  <c r="BC410" i="2" s="1"/>
  <c r="BC409" i="2" a="1"/>
  <c r="BC409" i="2"/>
  <c r="BC408" i="2" a="1"/>
  <c r="BC408" i="2"/>
  <c r="BC407" i="2" a="1"/>
  <c r="BC407" i="2"/>
  <c r="BC406" i="2" a="1"/>
  <c r="BC406" i="2"/>
  <c r="BC405" i="2" a="1"/>
  <c r="BC405" i="2"/>
  <c r="BC404" i="2" a="1"/>
  <c r="BC404" i="2" s="1"/>
  <c r="BC403" i="2" a="1"/>
  <c r="BC403" i="2"/>
  <c r="BC402" i="2" a="1"/>
  <c r="BC402" i="2"/>
  <c r="BC401" i="2" a="1"/>
  <c r="BC401" i="2"/>
  <c r="BC400" i="2" a="1"/>
  <c r="BC400" i="2"/>
  <c r="BC399" i="2" a="1"/>
  <c r="BC399" i="2"/>
  <c r="BC398" i="2" a="1"/>
  <c r="BC398" i="2" s="1"/>
  <c r="BC397" i="2" a="1"/>
  <c r="BC397" i="2"/>
  <c r="BC396" i="2" a="1"/>
  <c r="BC396" i="2"/>
  <c r="BC395" i="2" a="1"/>
  <c r="BC395" i="2"/>
  <c r="BC394" i="2" a="1"/>
  <c r="BC394" i="2"/>
  <c r="BC393" i="2" a="1"/>
  <c r="BC393" i="2"/>
  <c r="BC392" i="2" a="1"/>
  <c r="BC392" i="2" s="1"/>
  <c r="BC391" i="2" a="1"/>
  <c r="BC391" i="2"/>
  <c r="BC390" i="2" a="1"/>
  <c r="BC390" i="2"/>
  <c r="BC389" i="2" a="1"/>
  <c r="BC389" i="2"/>
  <c r="BC388" i="2" a="1"/>
  <c r="BC388" i="2"/>
  <c r="BC387" i="2" a="1"/>
  <c r="BC387" i="2"/>
  <c r="BC386" i="2" a="1"/>
  <c r="BC386" i="2" s="1"/>
  <c r="BC385" i="2" a="1"/>
  <c r="BC385" i="2"/>
  <c r="BC384" i="2" a="1"/>
  <c r="BC384" i="2"/>
  <c r="BC383" i="2" a="1"/>
  <c r="BC383" i="2"/>
  <c r="BC382" i="2" a="1"/>
  <c r="BC382" i="2"/>
  <c r="BC381" i="2" a="1"/>
  <c r="BC381" i="2"/>
  <c r="BC380" i="2" a="1"/>
  <c r="BC380" i="2" s="1"/>
  <c r="BC379" i="2" a="1"/>
  <c r="BC379" i="2"/>
  <c r="BC378" i="2" a="1"/>
  <c r="BC378" i="2"/>
  <c r="BC377" i="2" a="1"/>
  <c r="BC377" i="2"/>
  <c r="BC376" i="2" a="1"/>
  <c r="BC376" i="2"/>
  <c r="BC375" i="2" a="1"/>
  <c r="BC375" i="2"/>
  <c r="BC374" i="2" a="1"/>
  <c r="BC374" i="2" s="1"/>
  <c r="BC373" i="2" a="1"/>
  <c r="BC373" i="2"/>
  <c r="BC372" i="2" a="1"/>
  <c r="BC372" i="2"/>
  <c r="BC371" i="2" a="1"/>
  <c r="BC371" i="2"/>
  <c r="BC370" i="2" a="1"/>
  <c r="BC370" i="2"/>
  <c r="BC369" i="2" a="1"/>
  <c r="BC369" i="2"/>
  <c r="BC368" i="2" a="1"/>
  <c r="BC368" i="2" s="1"/>
  <c r="BC367" i="2" a="1"/>
  <c r="BC367" i="2"/>
  <c r="BC366" i="2" a="1"/>
  <c r="BC366" i="2"/>
  <c r="BC365" i="2" a="1"/>
  <c r="BC365" i="2"/>
  <c r="BC364" i="2" a="1"/>
  <c r="BC364" i="2"/>
  <c r="BC363" i="2" a="1"/>
  <c r="BC363" i="2"/>
  <c r="BC362" i="2" a="1"/>
  <c r="BC362" i="2" s="1"/>
  <c r="BC361" i="2" a="1"/>
  <c r="BC361" i="2"/>
  <c r="BC360" i="2" a="1"/>
  <c r="BC360" i="2"/>
  <c r="BC359" i="2" a="1"/>
  <c r="BC359" i="2"/>
  <c r="BC358" i="2" a="1"/>
  <c r="BC358" i="2"/>
  <c r="BC357" i="2" a="1"/>
  <c r="BC357" i="2"/>
  <c r="BC356" i="2" a="1"/>
  <c r="BC356" i="2" s="1"/>
  <c r="BC355" i="2" a="1"/>
  <c r="BC355" i="2"/>
  <c r="BC354" i="2" a="1"/>
  <c r="BC354" i="2"/>
  <c r="BC353" i="2" a="1"/>
  <c r="BC353" i="2"/>
  <c r="BC352" i="2" a="1"/>
  <c r="BC352" i="2"/>
  <c r="BC351" i="2" a="1"/>
  <c r="BC351" i="2"/>
  <c r="BC350" i="2" a="1"/>
  <c r="BC350" i="2" s="1"/>
  <c r="BC349" i="2" a="1"/>
  <c r="BC349" i="2" s="1"/>
  <c r="BC348" i="2" a="1"/>
  <c r="BC348" i="2"/>
  <c r="BC347" i="2" a="1"/>
  <c r="BC347" i="2"/>
  <c r="BC346" i="2" a="1"/>
  <c r="BC346" i="2"/>
  <c r="BC345" i="2" a="1"/>
  <c r="BC345" i="2"/>
  <c r="BC344" i="2" a="1"/>
  <c r="BC344" i="2" s="1"/>
  <c r="BC343" i="2" a="1"/>
  <c r="BC343" i="2" s="1"/>
  <c r="BC342" i="2" a="1"/>
  <c r="BC342" i="2"/>
  <c r="BC341" i="2" a="1"/>
  <c r="BC341" i="2"/>
  <c r="BC340" i="2" a="1"/>
  <c r="BC340" i="2"/>
  <c r="BC339" i="2" a="1"/>
  <c r="BC339" i="2"/>
  <c r="BC338" i="2" a="1"/>
  <c r="BC338" i="2" s="1"/>
  <c r="BC337" i="2" a="1"/>
  <c r="BC337" i="2"/>
  <c r="BC336" i="2" a="1"/>
  <c r="BC336" i="2" s="1"/>
  <c r="BC335" i="2" a="1"/>
  <c r="BC335" i="2"/>
  <c r="BC334" i="2" a="1"/>
  <c r="BC334" i="2"/>
  <c r="BC333" i="2" a="1"/>
  <c r="BC333" i="2"/>
  <c r="BC332" i="2" a="1"/>
  <c r="BC332" i="2" s="1"/>
  <c r="BC331" i="2" a="1"/>
  <c r="BC331" i="2"/>
  <c r="BC330" i="2" a="1"/>
  <c r="BC330" i="2" s="1"/>
  <c r="BC329" i="2" a="1"/>
  <c r="BC329" i="2"/>
  <c r="BC328" i="2" a="1"/>
  <c r="BC328" i="2"/>
  <c r="BC327" i="2" a="1"/>
  <c r="BC327" i="2"/>
  <c r="BC326" i="2" a="1"/>
  <c r="BC326" i="2" s="1"/>
  <c r="BC325" i="2" a="1"/>
  <c r="BC325" i="2"/>
  <c r="BC324" i="2" a="1"/>
  <c r="BC324" i="2"/>
  <c r="BC323" i="2" a="1"/>
  <c r="BC323" i="2" s="1"/>
  <c r="BC322" i="2" a="1"/>
  <c r="BC322" i="2"/>
  <c r="BC321" i="2" a="1"/>
  <c r="BC321" i="2"/>
  <c r="BC320" i="2" a="1"/>
  <c r="BC320" i="2" s="1"/>
  <c r="BC319" i="2" a="1"/>
  <c r="BC319" i="2"/>
  <c r="BC318" i="2" a="1"/>
  <c r="BC318" i="2"/>
  <c r="BC317" i="2" a="1"/>
  <c r="BC317" i="2" s="1"/>
  <c r="BC316" i="2" a="1"/>
  <c r="BC316" i="2"/>
  <c r="BC315" i="2" a="1"/>
  <c r="BC315" i="2"/>
  <c r="BC314" i="2" a="1"/>
  <c r="BC314" i="2" s="1"/>
  <c r="BC313" i="2" a="1"/>
  <c r="BC313" i="2"/>
  <c r="BC312" i="2" a="1"/>
  <c r="BC312" i="2"/>
  <c r="BC311" i="2" a="1"/>
  <c r="BC311" i="2"/>
  <c r="BC310" i="2" a="1"/>
  <c r="BC310" i="2" s="1"/>
  <c r="BC309" i="2" a="1"/>
  <c r="BC309" i="2"/>
  <c r="BC308" i="2" a="1"/>
  <c r="BC308" i="2" s="1"/>
  <c r="BC307" i="2" a="1"/>
  <c r="BC307" i="2"/>
  <c r="BC306" i="2" a="1"/>
  <c r="BC306" i="2"/>
  <c r="BC305" i="2" a="1"/>
  <c r="BC305" i="2" s="1"/>
  <c r="BC304" i="2" a="1"/>
  <c r="BC304" i="2"/>
  <c r="BC303" i="2" a="1"/>
  <c r="BC303" i="2" s="1"/>
  <c r="BC302" i="2" a="1"/>
  <c r="BC302" i="2" s="1"/>
  <c r="BC301" i="2" a="1"/>
  <c r="BC301" i="2"/>
  <c r="BC300" i="2" a="1"/>
  <c r="BC300" i="2"/>
  <c r="BC299" i="2" a="1"/>
  <c r="BC299" i="2"/>
  <c r="BC298" i="2" a="1"/>
  <c r="BC298" i="2"/>
  <c r="BC297" i="2" a="1"/>
  <c r="BC297" i="2" s="1"/>
  <c r="BC296" i="2" a="1"/>
  <c r="BC296" i="2" s="1"/>
  <c r="BC295" i="2" a="1"/>
  <c r="BC295" i="2"/>
  <c r="BC294" i="2" a="1"/>
  <c r="BC294" i="2"/>
  <c r="BC293" i="2" a="1"/>
  <c r="BC293" i="2"/>
  <c r="BC292" i="2" a="1"/>
  <c r="BC292" i="2"/>
  <c r="BC291" i="2" a="1"/>
  <c r="BC291" i="2"/>
  <c r="BC290" i="2" a="1"/>
  <c r="BC290" i="2" s="1"/>
  <c r="BC289" i="2" a="1"/>
  <c r="BC289" i="2"/>
  <c r="BC288" i="2" a="1"/>
  <c r="BC288" i="2"/>
  <c r="BC287" i="2" a="1"/>
  <c r="BC287" i="2"/>
  <c r="BC286" i="2" a="1"/>
  <c r="BC286" i="2"/>
  <c r="BC285" i="2" a="1"/>
  <c r="BC285" i="2"/>
  <c r="BC284" i="2" a="1"/>
  <c r="BC284" i="2" s="1"/>
  <c r="BC283" i="2" a="1"/>
  <c r="BC283" i="2" s="1"/>
  <c r="BC282" i="2" a="1"/>
  <c r="BC282" i="2"/>
  <c r="BC281" i="2" a="1"/>
  <c r="BC281" i="2"/>
  <c r="BC280" i="2" a="1"/>
  <c r="BC280" i="2"/>
  <c r="BC279" i="2" a="1"/>
  <c r="BC279" i="2"/>
  <c r="BC278" i="2" a="1"/>
  <c r="BC278" i="2" s="1"/>
  <c r="BC277" i="2" a="1"/>
  <c r="BC277" i="2" s="1"/>
  <c r="BC276" i="2" a="1"/>
  <c r="BC276" i="2"/>
  <c r="BC275" i="2" a="1"/>
  <c r="BC275" i="2"/>
  <c r="BC274" i="2" a="1"/>
  <c r="BC274" i="2"/>
  <c r="BC273" i="2" a="1"/>
  <c r="BC273" i="2"/>
  <c r="BC272" i="2" a="1"/>
  <c r="BC272" i="2" s="1"/>
  <c r="BC271" i="2" a="1"/>
  <c r="BC271" i="2"/>
  <c r="BC270" i="2" a="1"/>
  <c r="BC270" i="2" s="1"/>
  <c r="BC269" i="2" a="1"/>
  <c r="BC269" i="2"/>
  <c r="BC268" i="2" a="1"/>
  <c r="BC268" i="2"/>
  <c r="BC267" i="2" a="1"/>
  <c r="BC267" i="2"/>
  <c r="BC266" i="2" a="1"/>
  <c r="BC266" i="2" s="1"/>
  <c r="BC265" i="2" a="1"/>
  <c r="BC265" i="2"/>
  <c r="BC264" i="2" a="1"/>
  <c r="BC264" i="2" s="1"/>
  <c r="BC263" i="2" a="1"/>
  <c r="BC263" i="2"/>
  <c r="BC262" i="2" a="1"/>
  <c r="BC262" i="2"/>
  <c r="BC261" i="2" a="1"/>
  <c r="BC261" i="2"/>
  <c r="BC260" i="2" a="1"/>
  <c r="BC260" i="2" s="1"/>
  <c r="BC259" i="2" a="1"/>
  <c r="BC259" i="2"/>
  <c r="BC258" i="2" a="1"/>
  <c r="BC258" i="2"/>
  <c r="BC257" i="2" a="1"/>
  <c r="BC257" i="2" s="1"/>
  <c r="BC256" i="2" a="1"/>
  <c r="BC256" i="2"/>
  <c r="BC255" i="2" a="1"/>
  <c r="BC255" i="2"/>
  <c r="BC254" i="2" a="1"/>
  <c r="BC254" i="2" s="1"/>
  <c r="BC253" i="2" a="1"/>
  <c r="BC253" i="2"/>
  <c r="BC252" i="2" a="1"/>
  <c r="BC252" i="2"/>
  <c r="BC251" i="2" a="1"/>
  <c r="BC251" i="2" s="1"/>
  <c r="BC250" i="2" a="1"/>
  <c r="BC250" i="2"/>
  <c r="BC249" i="2" a="1"/>
  <c r="BC249" i="2"/>
  <c r="BC248" i="2" a="1"/>
  <c r="BC248" i="2" s="1"/>
  <c r="BC247" i="2" a="1"/>
  <c r="BC247" i="2"/>
  <c r="BC246" i="2" a="1"/>
  <c r="BC246" i="2"/>
  <c r="BC245" i="2" a="1"/>
  <c r="BC245" i="2"/>
  <c r="BC244" i="2" a="1"/>
  <c r="BC244" i="2" s="1"/>
  <c r="BC243" i="2" a="1"/>
  <c r="BC243" i="2"/>
  <c r="BC242" i="2" a="1"/>
  <c r="BC242" i="2" s="1"/>
  <c r="BC241" i="2" a="1"/>
  <c r="BC241" i="2"/>
  <c r="BC240" i="2" a="1"/>
  <c r="BC240" i="2"/>
  <c r="BC239" i="2" a="1"/>
  <c r="BC239" i="2"/>
  <c r="BC238" i="2" a="1"/>
  <c r="BC238" i="2" s="1"/>
  <c r="BC237" i="2" a="1"/>
  <c r="BC237" i="2"/>
  <c r="BC236" i="2" a="1"/>
  <c r="BC236" i="2" s="1"/>
  <c r="BC235" i="2" a="1"/>
  <c r="BC235" i="2"/>
  <c r="BC234" i="2" a="1"/>
  <c r="BC234" i="2"/>
  <c r="BC233" i="2" a="1"/>
  <c r="BC233" i="2"/>
  <c r="BC232" i="2" a="1"/>
  <c r="BC232" i="2"/>
  <c r="BC231" i="2" a="1"/>
  <c r="BC231" i="2" s="1"/>
  <c r="BC230" i="2" a="1"/>
  <c r="BC230" i="2" s="1"/>
  <c r="BC229" i="2" a="1"/>
  <c r="BC229" i="2"/>
  <c r="BC228" i="2" a="1"/>
  <c r="BC228" i="2"/>
  <c r="BC227" i="2" a="1"/>
  <c r="BC227" i="2"/>
  <c r="BC226" i="2" a="1"/>
  <c r="BC226" i="2"/>
  <c r="BC225" i="2" a="1"/>
  <c r="BC225" i="2" s="1"/>
  <c r="BC224" i="2" a="1"/>
  <c r="BC224" i="2" s="1"/>
  <c r="BC223" i="2" a="1"/>
  <c r="BC223" i="2"/>
  <c r="BC222" i="2" a="1"/>
  <c r="BC222" i="2"/>
  <c r="BC221" i="2" a="1"/>
  <c r="BC221" i="2"/>
  <c r="BC220" i="2" a="1"/>
  <c r="BC220" i="2"/>
  <c r="BC219" i="2" a="1"/>
  <c r="BC219" i="2"/>
  <c r="BC218" i="2" a="1"/>
  <c r="BC218" i="2" s="1"/>
  <c r="BC217" i="2" a="1"/>
  <c r="BC217" i="2"/>
  <c r="BC216" i="2" a="1"/>
  <c r="BC216" i="2"/>
  <c r="BC215" i="2" a="1"/>
  <c r="BC215" i="2"/>
  <c r="BC214" i="2" a="1"/>
  <c r="BC214" i="2"/>
  <c r="BC213" i="2" a="1"/>
  <c r="BC213" i="2"/>
  <c r="BC212" i="2" a="1"/>
  <c r="BC212" i="2" s="1"/>
  <c r="BC211" i="2" a="1"/>
  <c r="BC211" i="2" s="1"/>
  <c r="BC210" i="2" a="1"/>
  <c r="BC210" i="2"/>
  <c r="BC209" i="2" a="1"/>
  <c r="BC209" i="2"/>
  <c r="BC208" i="2" a="1"/>
  <c r="BC208" i="2"/>
  <c r="BC207" i="2" a="1"/>
  <c r="BC207" i="2"/>
  <c r="BC206" i="2" a="1"/>
  <c r="BC206" i="2" s="1"/>
  <c r="BC205" i="2" a="1"/>
  <c r="BC205" i="2" s="1"/>
  <c r="BC204" i="2" a="1"/>
  <c r="BC204" i="2"/>
  <c r="BC203" i="2" a="1"/>
  <c r="BC203" i="2"/>
  <c r="BC202" i="2" a="1"/>
  <c r="BC202" i="2"/>
  <c r="BC201" i="2" a="1"/>
  <c r="BC201" i="2"/>
  <c r="BC200" i="2" a="1"/>
  <c r="BC200" i="2" s="1"/>
  <c r="BC199" i="2" a="1"/>
  <c r="BC199" i="2"/>
  <c r="BC198" i="2" a="1"/>
  <c r="BC198" i="2" s="1"/>
  <c r="BC197" i="2" a="1"/>
  <c r="BC197" i="2"/>
  <c r="BC196" i="2" a="1"/>
  <c r="BC196" i="2"/>
  <c r="BC195" i="2" a="1"/>
  <c r="BC195" i="2"/>
  <c r="BC194" i="2" a="1"/>
  <c r="BC194" i="2" s="1"/>
  <c r="BC193" i="2" a="1"/>
  <c r="BC193" i="2"/>
  <c r="BC192" i="2" a="1"/>
  <c r="BC192" i="2" s="1"/>
  <c r="BC191" i="2" a="1"/>
  <c r="BC191" i="2"/>
  <c r="BC190" i="2" a="1"/>
  <c r="BC190" i="2"/>
  <c r="BC189" i="2" a="1"/>
  <c r="BC189" i="2"/>
  <c r="BC188" i="2" a="1"/>
  <c r="BC188" i="2" s="1"/>
  <c r="BC187" i="2" a="1"/>
  <c r="BC187" i="2"/>
  <c r="BC186" i="2" a="1"/>
  <c r="BC186" i="2"/>
  <c r="BC185" i="2" a="1"/>
  <c r="BC185" i="2" s="1"/>
  <c r="BC184" i="2" a="1"/>
  <c r="BC184" i="2"/>
  <c r="BC183" i="2" a="1"/>
  <c r="BC183" i="2"/>
  <c r="BC182" i="2" a="1"/>
  <c r="BC182" i="2" s="1"/>
  <c r="BC181" i="2" a="1"/>
  <c r="BC181" i="2"/>
  <c r="BC180" i="2" a="1"/>
  <c r="BC180" i="2"/>
  <c r="BC179" i="2" a="1"/>
  <c r="BC179" i="2" s="1"/>
  <c r="BC178" i="2" a="1"/>
  <c r="BC178" i="2"/>
  <c r="BC177" i="2" a="1"/>
  <c r="BC177" i="2"/>
  <c r="BC176" i="2" a="1"/>
  <c r="BC176" i="2" s="1"/>
  <c r="BC175" i="2" a="1"/>
  <c r="BC175" i="2"/>
  <c r="BC174" i="2" a="1"/>
  <c r="BC174" i="2"/>
  <c r="BC173" i="2" a="1"/>
  <c r="BC173" i="2"/>
  <c r="BC172" i="2" a="1"/>
  <c r="BC172" i="2" s="1"/>
  <c r="BC171" i="2" a="1"/>
  <c r="BC171" i="2"/>
  <c r="BC170" i="2" a="1"/>
  <c r="BC170" i="2" s="1"/>
  <c r="BC169" i="2" a="1"/>
  <c r="BC169" i="2"/>
  <c r="BC168" i="2" a="1"/>
  <c r="BC168" i="2"/>
  <c r="BC167" i="2" a="1"/>
  <c r="BC167" i="2"/>
  <c r="BC166" i="2" a="1"/>
  <c r="BC166" i="2" s="1"/>
  <c r="BC165" i="2" a="1"/>
  <c r="BC165" i="2"/>
  <c r="BC164" i="2" a="1"/>
  <c r="BC164" i="2" s="1"/>
  <c r="BC163" i="2" a="1"/>
  <c r="BC163" i="2"/>
  <c r="BC162" i="2" a="1"/>
  <c r="BC162" i="2"/>
  <c r="BC161" i="2" a="1"/>
  <c r="BC161" i="2"/>
  <c r="BC160" i="2" a="1"/>
  <c r="BC160" i="2"/>
  <c r="BC159" i="2" a="1"/>
  <c r="BC159" i="2" s="1"/>
  <c r="BC158" i="2" a="1"/>
  <c r="BC158" i="2" s="1"/>
  <c r="BC157" i="2" a="1"/>
  <c r="BC157" i="2"/>
  <c r="BC156" i="2" a="1"/>
  <c r="BC156" i="2"/>
  <c r="BC155" i="2" a="1"/>
  <c r="BC155" i="2"/>
  <c r="BC154" i="2" a="1"/>
  <c r="BC154" i="2"/>
  <c r="BC153" i="2" a="1"/>
  <c r="BC153" i="2" s="1"/>
  <c r="BC152" i="2" a="1"/>
  <c r="BC152" i="2" s="1"/>
  <c r="BC151" i="2" a="1"/>
  <c r="BC151" i="2"/>
  <c r="BC150" i="2" a="1"/>
  <c r="BC150" i="2"/>
  <c r="BC149" i="2" a="1"/>
  <c r="BC149" i="2"/>
  <c r="BC148" i="2" a="1"/>
  <c r="BC148" i="2"/>
  <c r="BC147" i="2" a="1"/>
  <c r="BC147" i="2"/>
  <c r="BC146" i="2" a="1"/>
  <c r="BC146" i="2" s="1"/>
  <c r="BC145" i="2" a="1"/>
  <c r="BC145" i="2"/>
  <c r="BC144" i="2" a="1"/>
  <c r="BC144" i="2"/>
  <c r="BC143" i="2" a="1"/>
  <c r="BC143" i="2"/>
  <c r="BC142" i="2" a="1"/>
  <c r="BC142" i="2"/>
  <c r="BC141" i="2" a="1"/>
  <c r="BC141" i="2"/>
  <c r="BC140" i="2" a="1"/>
  <c r="BC140" i="2" s="1"/>
  <c r="BC139" i="2" a="1"/>
  <c r="BC139" i="2" s="1"/>
  <c r="BC138" i="2" a="1"/>
  <c r="BC138" i="2"/>
  <c r="BC137" i="2" a="1"/>
  <c r="BC137" i="2"/>
  <c r="BC136" i="2" a="1"/>
  <c r="BC136" i="2"/>
  <c r="BC135" i="2" a="1"/>
  <c r="BC135" i="2"/>
  <c r="BC134" i="2" a="1"/>
  <c r="BC134" i="2" s="1"/>
  <c r="BC133" i="2" a="1"/>
  <c r="BC133" i="2" s="1"/>
  <c r="BC132" i="2" a="1"/>
  <c r="BC132" i="2"/>
  <c r="BC131" i="2" a="1"/>
  <c r="BC131" i="2"/>
  <c r="BC130" i="2" a="1"/>
  <c r="BC130" i="2"/>
  <c r="BC129" i="2" a="1"/>
  <c r="BC129" i="2"/>
  <c r="BC128" i="2" a="1"/>
  <c r="BC128" i="2" s="1"/>
  <c r="BC127" i="2" a="1"/>
  <c r="BC127" i="2"/>
  <c r="BC126" i="2" a="1"/>
  <c r="BC126" i="2" s="1"/>
  <c r="BC125" i="2" a="1"/>
  <c r="BC125" i="2"/>
  <c r="BC124" i="2" a="1"/>
  <c r="BC124" i="2"/>
  <c r="BC123" i="2" a="1"/>
  <c r="BC123" i="2"/>
  <c r="BC122" i="2" a="1"/>
  <c r="BC122" i="2" s="1"/>
  <c r="BC121" i="2" a="1"/>
  <c r="BC121" i="2"/>
  <c r="BC120" i="2" a="1"/>
  <c r="BC120" i="2" s="1"/>
  <c r="BC119" i="2" a="1"/>
  <c r="BC119" i="2"/>
  <c r="BC118" i="2" a="1"/>
  <c r="BC118" i="2"/>
  <c r="BC117" i="2" a="1"/>
  <c r="BC117" i="2"/>
  <c r="BC116" i="2" a="1"/>
  <c r="BC116" i="2" s="1"/>
  <c r="BC115" i="2" a="1"/>
  <c r="BC115" i="2"/>
  <c r="BC114" i="2" a="1"/>
  <c r="BC114" i="2"/>
  <c r="BC113" i="2" a="1"/>
  <c r="BC113" i="2" s="1"/>
  <c r="BC112" i="2" a="1"/>
  <c r="BC112" i="2"/>
  <c r="BC111" i="2" a="1"/>
  <c r="BC111" i="2"/>
  <c r="BC110" i="2" a="1"/>
  <c r="BC110" i="2" s="1"/>
  <c r="BC109" i="2" a="1"/>
  <c r="BC109" i="2"/>
  <c r="BC108" i="2" a="1"/>
  <c r="BC108" i="2"/>
  <c r="BC107" i="2" a="1"/>
  <c r="BC107" i="2" s="1"/>
  <c r="BC106" i="2" a="1"/>
  <c r="BC106" i="2"/>
  <c r="BC105" i="2" a="1"/>
  <c r="BC105" i="2"/>
  <c r="BC104" i="2" a="1"/>
  <c r="BC104" i="2" s="1"/>
  <c r="BC103" i="2" a="1"/>
  <c r="BC103" i="2"/>
  <c r="BC102" i="2" a="1"/>
  <c r="BC102" i="2"/>
  <c r="BC101" i="2" a="1"/>
  <c r="BC101" i="2"/>
  <c r="BC100" i="2" a="1"/>
  <c r="BC100" i="2" s="1"/>
  <c r="BC99" i="2" a="1"/>
  <c r="BC99" i="2"/>
  <c r="BC98" i="2" a="1"/>
  <c r="BC98" i="2" s="1"/>
  <c r="BC97" i="2" a="1"/>
  <c r="BC97" i="2"/>
  <c r="BC96" i="2" a="1"/>
  <c r="BC96" i="2"/>
  <c r="BC95" i="2" a="1"/>
  <c r="BC95" i="2"/>
  <c r="BC94" i="2" a="1"/>
  <c r="BC94" i="2" s="1"/>
  <c r="BC93" i="2" a="1"/>
  <c r="BC93" i="2"/>
  <c r="BC92" i="2" a="1"/>
  <c r="BC92" i="2" s="1"/>
  <c r="BC91" i="2" a="1"/>
  <c r="BC91" i="2"/>
  <c r="BC90" i="2" a="1"/>
  <c r="BC90" i="2"/>
  <c r="BC89" i="2" a="1"/>
  <c r="BC89" i="2"/>
  <c r="BC88" i="2" a="1"/>
  <c r="BC88" i="2"/>
  <c r="BC87" i="2" a="1"/>
  <c r="BC87" i="2" s="1"/>
  <c r="BC86" i="2" a="1"/>
  <c r="BC86" i="2" s="1"/>
  <c r="BC85" i="2" a="1"/>
  <c r="BC85" i="2"/>
  <c r="BC84" i="2" a="1"/>
  <c r="BC84" i="2"/>
  <c r="BC83" i="2" a="1"/>
  <c r="BC83" i="2"/>
  <c r="BC82" i="2" a="1"/>
  <c r="BC82" i="2"/>
  <c r="BC81" i="2" a="1"/>
  <c r="BC81" i="2" s="1"/>
  <c r="BC80" i="2" a="1"/>
  <c r="BC80" i="2" s="1"/>
  <c r="BC79" i="2" a="1"/>
  <c r="BC79" i="2"/>
  <c r="BC78" i="2" a="1"/>
  <c r="BC78" i="2"/>
  <c r="BC77" i="2" a="1"/>
  <c r="BC77" i="2"/>
  <c r="BC76" i="2" a="1"/>
  <c r="BC76" i="2"/>
  <c r="BC75" i="2" a="1"/>
  <c r="BC75" i="2"/>
  <c r="BC74" i="2" a="1"/>
  <c r="BC74" i="2" s="1"/>
  <c r="BC73" i="2" a="1"/>
  <c r="BC73" i="2"/>
  <c r="BC72" i="2" a="1"/>
  <c r="BC72" i="2"/>
  <c r="BC71" i="2" a="1"/>
  <c r="BC71" i="2"/>
  <c r="BC70" i="2" a="1"/>
  <c r="BC70" i="2"/>
  <c r="BC69" i="2" a="1"/>
  <c r="BC69" i="2"/>
  <c r="BC68" i="2" a="1"/>
  <c r="BC68" i="2" s="1"/>
  <c r="BC67" i="2" a="1"/>
  <c r="BC67" i="2" s="1"/>
  <c r="BC66" i="2" a="1"/>
  <c r="BC66" i="2"/>
  <c r="BC65" i="2" a="1"/>
  <c r="BC65" i="2"/>
  <c r="BC64" i="2" a="1"/>
  <c r="BC64" i="2"/>
  <c r="BC63" i="2" a="1"/>
  <c r="BC63" i="2"/>
  <c r="BC62" i="2" a="1"/>
  <c r="BC62" i="2" s="1"/>
  <c r="BC61" i="2" a="1"/>
  <c r="BC61" i="2" s="1"/>
  <c r="BC60" i="2" a="1"/>
  <c r="BC60" i="2"/>
  <c r="BC59" i="2" a="1"/>
  <c r="BC59" i="2"/>
  <c r="BC58" i="2" a="1"/>
  <c r="BC58" i="2"/>
  <c r="BC57" i="2" a="1"/>
  <c r="BC57" i="2"/>
  <c r="BC56" i="2" a="1"/>
  <c r="BC56" i="2" s="1"/>
  <c r="BC55" i="2" a="1"/>
  <c r="BC55" i="2"/>
  <c r="BC54" i="2" a="1"/>
  <c r="BC54" i="2" s="1"/>
  <c r="BC53" i="2" a="1"/>
  <c r="BC53" i="2"/>
  <c r="BC52" i="2" a="1"/>
  <c r="BC52" i="2"/>
  <c r="BC51" i="2" a="1"/>
  <c r="BC51" i="2"/>
  <c r="BC50" i="2" a="1"/>
  <c r="BC50" i="2" s="1"/>
  <c r="BC49" i="2" a="1"/>
  <c r="BC49" i="2"/>
  <c r="BC48" i="2" a="1"/>
  <c r="BC48" i="2" s="1"/>
  <c r="BC47" i="2" a="1"/>
  <c r="BC47" i="2"/>
  <c r="BC46" i="2" a="1"/>
  <c r="BC46" i="2"/>
  <c r="BC45" i="2" a="1"/>
  <c r="BC45" i="2"/>
  <c r="BC44" i="2" a="1"/>
  <c r="BC44" i="2" s="1"/>
  <c r="BC43" i="2" a="1"/>
  <c r="BC43" i="2"/>
  <c r="BC42" i="2" a="1"/>
  <c r="BC42" i="2"/>
  <c r="BC41" i="2" a="1"/>
  <c r="BC41" i="2" s="1"/>
  <c r="BC40" i="2" a="1"/>
  <c r="BC40" i="2"/>
  <c r="BC39" i="2" a="1"/>
  <c r="BC39" i="2"/>
  <c r="BC38" i="2" a="1"/>
  <c r="BC38" i="2" s="1"/>
  <c r="BC37" i="2" a="1"/>
  <c r="BC37" i="2"/>
  <c r="BC36" i="2" a="1"/>
  <c r="BC36" i="2"/>
  <c r="BC35" i="2" a="1"/>
  <c r="BC35" i="2" s="1"/>
  <c r="BC34" i="2" a="1"/>
  <c r="BC34" i="2"/>
  <c r="BC33" i="2" a="1"/>
  <c r="BC33" i="2"/>
  <c r="BC32" i="2" a="1"/>
  <c r="BC32" i="2" s="1"/>
  <c r="BC31" i="2" a="1"/>
  <c r="BC31" i="2"/>
  <c r="BC30" i="2" a="1"/>
  <c r="BC30" i="2"/>
  <c r="BC29" i="2" a="1"/>
  <c r="BC29" i="2"/>
  <c r="BC28" i="2" a="1"/>
  <c r="BC28" i="2" s="1"/>
  <c r="BC27" i="2" a="1"/>
  <c r="BC27" i="2"/>
  <c r="BC26" i="2" a="1"/>
  <c r="BC26" i="2" s="1"/>
  <c r="BC25" i="2" a="1"/>
  <c r="BC25" i="2"/>
  <c r="BC24" i="2" a="1"/>
  <c r="BC24" i="2"/>
  <c r="BC23" i="2" a="1"/>
  <c r="BC23" i="2"/>
  <c r="BC22" i="2" a="1"/>
  <c r="BC22" i="2" s="1"/>
  <c r="BC21" i="2" a="1"/>
  <c r="BC21" i="2"/>
  <c r="BC20" i="2" a="1"/>
  <c r="BC20" i="2" s="1"/>
  <c r="BC19" i="2" a="1"/>
  <c r="BC19" i="2"/>
  <c r="BC18" i="2" a="1"/>
  <c r="BC18" i="2"/>
  <c r="BC17" i="2" a="1"/>
  <c r="BC17" i="2"/>
  <c r="BC16" i="2" a="1"/>
  <c r="BC16" i="2"/>
  <c r="BC15" i="2" a="1"/>
  <c r="BC15" i="2" s="1"/>
  <c r="BC14" i="2" a="1"/>
  <c r="BC14" i="2" s="1"/>
  <c r="BC13" i="2" a="1"/>
  <c r="BC13" i="2"/>
  <c r="BC12" i="2" a="1"/>
  <c r="BC12" i="2"/>
  <c r="BC11" i="2" a="1"/>
  <c r="BC11" i="2"/>
  <c r="BC10" i="2" a="1"/>
  <c r="BC10" i="2"/>
  <c r="BC9" i="2" a="1"/>
  <c r="BC9" i="2" s="1"/>
  <c r="BC8" i="2" a="1"/>
  <c r="BC8" i="2" s="1"/>
  <c r="BC7" i="2" a="1"/>
  <c r="BC7" i="2"/>
  <c r="BC6" i="2" a="1"/>
  <c r="BC6" i="2"/>
  <c r="BC5" i="2" a="1"/>
  <c r="BC5" i="2"/>
  <c r="BC4" i="2" a="1"/>
  <c r="BC4" i="2"/>
  <c r="BC3" i="2" a="1"/>
  <c r="BC3" i="2"/>
  <c r="BC2" i="2" a="1"/>
  <c r="BC2" i="2" s="1"/>
  <c r="BH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H501" i="2"/>
  <c r="BH502" i="2"/>
  <c r="BH503" i="2"/>
  <c r="BH504" i="2"/>
  <c r="BH505" i="2"/>
  <c r="BH506" i="2"/>
  <c r="BH507" i="2"/>
  <c r="BH508" i="2"/>
  <c r="BH509" i="2"/>
  <c r="BH510" i="2"/>
  <c r="BH511" i="2"/>
  <c r="BH512" i="2"/>
  <c r="BH513" i="2"/>
  <c r="BH514" i="2"/>
  <c r="BH515" i="2"/>
  <c r="BH516" i="2"/>
  <c r="BH517" i="2"/>
  <c r="BH518" i="2"/>
  <c r="BH519" i="2"/>
  <c r="BH520" i="2"/>
  <c r="BH521" i="2"/>
  <c r="BH522" i="2"/>
  <c r="BH523" i="2"/>
  <c r="BH524" i="2"/>
  <c r="BH525" i="2"/>
  <c r="BH526" i="2"/>
  <c r="BH527" i="2"/>
  <c r="BH528" i="2"/>
  <c r="BH529" i="2"/>
  <c r="BH530" i="2"/>
  <c r="BH531" i="2"/>
  <c r="BH532" i="2"/>
  <c r="BH533" i="2"/>
  <c r="BH534" i="2"/>
  <c r="BH535" i="2"/>
  <c r="BH536" i="2"/>
  <c r="BH537" i="2"/>
  <c r="BH538" i="2"/>
  <c r="BH539" i="2"/>
  <c r="BH540" i="2"/>
  <c r="BH541" i="2"/>
  <c r="BH542" i="2"/>
  <c r="BG112" i="2"/>
  <c r="BG124" i="2" a="1"/>
  <c r="BG124" i="2" s="1"/>
  <c r="BG125" i="2" a="1"/>
  <c r="BG125" i="2" s="1"/>
  <c r="BG135" i="2" a="1"/>
  <c r="BG135" i="2" s="1"/>
  <c r="BG303" i="2" a="1"/>
  <c r="BG303" i="2" s="1"/>
  <c r="BG305" i="2" a="1"/>
  <c r="BG305" i="2" s="1"/>
  <c r="BG423" i="2" a="1"/>
  <c r="BG423" i="2" s="1"/>
  <c r="BG424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U2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U521" i="2"/>
  <c r="AU522" i="2"/>
  <c r="AU523" i="2"/>
  <c r="AU524" i="2"/>
  <c r="AU525" i="2"/>
  <c r="AU526" i="2"/>
  <c r="AU527" i="2"/>
  <c r="AU528" i="2"/>
  <c r="AU529" i="2"/>
  <c r="AU530" i="2"/>
  <c r="AU531" i="2"/>
  <c r="AU532" i="2"/>
  <c r="AU533" i="2"/>
  <c r="AU534" i="2"/>
  <c r="AU535" i="2"/>
  <c r="AU536" i="2"/>
  <c r="AU537" i="2"/>
  <c r="AU538" i="2"/>
  <c r="AU539" i="2"/>
  <c r="AU540" i="2"/>
  <c r="AU541" i="2"/>
  <c r="AU542" i="2"/>
  <c r="AS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S321" i="2"/>
  <c r="AS322" i="2"/>
  <c r="AS323" i="2"/>
  <c r="AS324" i="2"/>
  <c r="AS325" i="2"/>
  <c r="AS326" i="2"/>
  <c r="AS327" i="2"/>
  <c r="AS328" i="2"/>
  <c r="AS329" i="2"/>
  <c r="AS330" i="2"/>
  <c r="AS331" i="2"/>
  <c r="AS332" i="2"/>
  <c r="AS333" i="2"/>
  <c r="AS334" i="2"/>
  <c r="AS335" i="2"/>
  <c r="AS336" i="2"/>
  <c r="AS337" i="2"/>
  <c r="AS338" i="2"/>
  <c r="AS339" i="2"/>
  <c r="AS340" i="2"/>
  <c r="AS341" i="2"/>
  <c r="AS342" i="2"/>
  <c r="AS343" i="2"/>
  <c r="AS344" i="2"/>
  <c r="AS345" i="2"/>
  <c r="AS346" i="2"/>
  <c r="AS347" i="2"/>
  <c r="AS348" i="2"/>
  <c r="AS349" i="2"/>
  <c r="AS350" i="2"/>
  <c r="AS351" i="2"/>
  <c r="AS352" i="2"/>
  <c r="AS353" i="2"/>
  <c r="AS354" i="2"/>
  <c r="AS355" i="2"/>
  <c r="AS356" i="2"/>
  <c r="AS357" i="2"/>
  <c r="AS358" i="2"/>
  <c r="AS359" i="2"/>
  <c r="AS360" i="2"/>
  <c r="AS361" i="2"/>
  <c r="AS362" i="2"/>
  <c r="AS363" i="2"/>
  <c r="AS364" i="2"/>
  <c r="AS365" i="2"/>
  <c r="AS366" i="2"/>
  <c r="AS367" i="2"/>
  <c r="AS368" i="2"/>
  <c r="AS369" i="2"/>
  <c r="AS370" i="2"/>
  <c r="AS371" i="2"/>
  <c r="AS372" i="2"/>
  <c r="AS373" i="2"/>
  <c r="AS374" i="2"/>
  <c r="AS375" i="2"/>
  <c r="AS376" i="2"/>
  <c r="AS377" i="2"/>
  <c r="AS378" i="2"/>
  <c r="AS379" i="2"/>
  <c r="AS380" i="2"/>
  <c r="AS381" i="2"/>
  <c r="AS382" i="2"/>
  <c r="AS383" i="2"/>
  <c r="AS384" i="2"/>
  <c r="AS385" i="2"/>
  <c r="AS386" i="2"/>
  <c r="AS387" i="2"/>
  <c r="AS388" i="2"/>
  <c r="AS389" i="2"/>
  <c r="AS390" i="2"/>
  <c r="AS391" i="2"/>
  <c r="AS392" i="2"/>
  <c r="AS393" i="2"/>
  <c r="AS394" i="2"/>
  <c r="AS395" i="2"/>
  <c r="AS396" i="2"/>
  <c r="AS397" i="2"/>
  <c r="AS398" i="2"/>
  <c r="AS399" i="2"/>
  <c r="AS400" i="2"/>
  <c r="AS401" i="2"/>
  <c r="AS402" i="2"/>
  <c r="AS403" i="2"/>
  <c r="AS404" i="2"/>
  <c r="AS405" i="2"/>
  <c r="AS406" i="2"/>
  <c r="AS407" i="2"/>
  <c r="AS408" i="2"/>
  <c r="AS409" i="2"/>
  <c r="AS410" i="2"/>
  <c r="AS411" i="2"/>
  <c r="AS412" i="2"/>
  <c r="AS413" i="2"/>
  <c r="AS414" i="2"/>
  <c r="AS415" i="2"/>
  <c r="AS416" i="2"/>
  <c r="AS417" i="2"/>
  <c r="AS418" i="2"/>
  <c r="AS419" i="2"/>
  <c r="AS420" i="2"/>
  <c r="AS421" i="2"/>
  <c r="AS422" i="2"/>
  <c r="AS423" i="2"/>
  <c r="AS424" i="2"/>
  <c r="AS425" i="2"/>
  <c r="AS426" i="2"/>
  <c r="AS427" i="2"/>
  <c r="AS428" i="2"/>
  <c r="AS429" i="2"/>
  <c r="AS430" i="2"/>
  <c r="AS431" i="2"/>
  <c r="AS432" i="2"/>
  <c r="AS433" i="2"/>
  <c r="AS434" i="2"/>
  <c r="AS435" i="2"/>
  <c r="AS436" i="2"/>
  <c r="AS437" i="2"/>
  <c r="AS438" i="2"/>
  <c r="AS439" i="2"/>
  <c r="AS440" i="2"/>
  <c r="AS441" i="2"/>
  <c r="AS442" i="2"/>
  <c r="AS443" i="2"/>
  <c r="AS444" i="2"/>
  <c r="AS445" i="2"/>
  <c r="AS446" i="2"/>
  <c r="AS447" i="2"/>
  <c r="AS448" i="2"/>
  <c r="AS449" i="2"/>
  <c r="AS450" i="2"/>
  <c r="AS451" i="2"/>
  <c r="AS452" i="2"/>
  <c r="AS453" i="2"/>
  <c r="AS454" i="2"/>
  <c r="AS455" i="2"/>
  <c r="AS456" i="2"/>
  <c r="AS457" i="2"/>
  <c r="AS458" i="2"/>
  <c r="AS459" i="2"/>
  <c r="AS460" i="2"/>
  <c r="AS461" i="2"/>
  <c r="AS462" i="2"/>
  <c r="AS463" i="2"/>
  <c r="AS464" i="2"/>
  <c r="AS465" i="2"/>
  <c r="AS466" i="2"/>
  <c r="AS467" i="2"/>
  <c r="AS468" i="2"/>
  <c r="AS469" i="2"/>
  <c r="AS470" i="2"/>
  <c r="AS471" i="2"/>
  <c r="AS472" i="2"/>
  <c r="AS473" i="2"/>
  <c r="AS474" i="2"/>
  <c r="AS475" i="2"/>
  <c r="AS476" i="2"/>
  <c r="AS477" i="2"/>
  <c r="AS478" i="2"/>
  <c r="AS479" i="2"/>
  <c r="AS480" i="2"/>
  <c r="AS481" i="2"/>
  <c r="AS482" i="2"/>
  <c r="AS483" i="2"/>
  <c r="AS484" i="2"/>
  <c r="AS485" i="2"/>
  <c r="AS486" i="2"/>
  <c r="AS487" i="2"/>
  <c r="AS488" i="2"/>
  <c r="AS489" i="2"/>
  <c r="AS490" i="2"/>
  <c r="AS491" i="2"/>
  <c r="AS492" i="2"/>
  <c r="AS493" i="2"/>
  <c r="AS494" i="2"/>
  <c r="AS495" i="2"/>
  <c r="AS496" i="2"/>
  <c r="AS497" i="2"/>
  <c r="AS498" i="2"/>
  <c r="AS499" i="2"/>
  <c r="AS500" i="2"/>
  <c r="AS501" i="2"/>
  <c r="AS502" i="2"/>
  <c r="AS503" i="2"/>
  <c r="AS504" i="2"/>
  <c r="AS505" i="2"/>
  <c r="AS506" i="2"/>
  <c r="AS507" i="2"/>
  <c r="AS508" i="2"/>
  <c r="AS509" i="2"/>
  <c r="AS510" i="2"/>
  <c r="AS511" i="2"/>
  <c r="AS512" i="2"/>
  <c r="AS513" i="2"/>
  <c r="AS514" i="2"/>
  <c r="AS515" i="2"/>
  <c r="AS516" i="2"/>
  <c r="AS517" i="2"/>
  <c r="AS518" i="2"/>
  <c r="AS519" i="2"/>
  <c r="AS520" i="2"/>
  <c r="AS521" i="2"/>
  <c r="AS522" i="2"/>
  <c r="AS523" i="2"/>
  <c r="AS524" i="2"/>
  <c r="AS525" i="2"/>
  <c r="AS526" i="2"/>
  <c r="AS527" i="2"/>
  <c r="AS528" i="2"/>
  <c r="AS529" i="2"/>
  <c r="AS530" i="2"/>
  <c r="AS531" i="2"/>
  <c r="AS532" i="2"/>
  <c r="AS533" i="2"/>
  <c r="AS534" i="2"/>
  <c r="AS535" i="2"/>
  <c r="AS536" i="2"/>
  <c r="AS537" i="2"/>
  <c r="AS538" i="2"/>
  <c r="AS539" i="2"/>
  <c r="AS540" i="2"/>
  <c r="AS541" i="2"/>
  <c r="AS542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K3" i="2"/>
  <c r="AK2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BF3" i="2"/>
  <c r="BF542" i="2"/>
  <c r="BF541" i="2"/>
  <c r="BF540" i="2"/>
  <c r="BF539" i="2"/>
  <c r="BF538" i="2"/>
  <c r="BF537" i="2"/>
  <c r="BF536" i="2"/>
  <c r="BF535" i="2"/>
  <c r="BF534" i="2"/>
  <c r="BF533" i="2"/>
  <c r="BF532" i="2"/>
  <c r="BF531" i="2"/>
  <c r="BF530" i="2"/>
  <c r="BF529" i="2"/>
  <c r="BF528" i="2"/>
  <c r="BF527" i="2"/>
  <c r="BF526" i="2"/>
  <c r="BF525" i="2"/>
  <c r="BF524" i="2"/>
  <c r="BF523" i="2"/>
  <c r="BF522" i="2"/>
  <c r="BF521" i="2"/>
  <c r="BF520" i="2"/>
  <c r="BF519" i="2"/>
  <c r="BF518" i="2"/>
  <c r="BF517" i="2"/>
  <c r="BF516" i="2"/>
  <c r="BF515" i="2"/>
  <c r="BF514" i="2"/>
  <c r="BF513" i="2"/>
  <c r="BF512" i="2"/>
  <c r="BF511" i="2"/>
  <c r="BF510" i="2"/>
  <c r="BF509" i="2"/>
  <c r="BF508" i="2"/>
  <c r="BF507" i="2"/>
  <c r="BF506" i="2"/>
  <c r="BF505" i="2"/>
  <c r="BF504" i="2"/>
  <c r="BF503" i="2"/>
  <c r="BF502" i="2"/>
  <c r="BF501" i="2"/>
  <c r="BF500" i="2"/>
  <c r="BF499" i="2"/>
  <c r="BF498" i="2"/>
  <c r="BF497" i="2"/>
  <c r="BF496" i="2"/>
  <c r="BF495" i="2"/>
  <c r="BF494" i="2"/>
  <c r="BF493" i="2"/>
  <c r="BF492" i="2"/>
  <c r="BF491" i="2"/>
  <c r="BF490" i="2"/>
  <c r="BF489" i="2"/>
  <c r="BF488" i="2"/>
  <c r="BF487" i="2"/>
  <c r="BF486" i="2"/>
  <c r="BF485" i="2"/>
  <c r="BF484" i="2"/>
  <c r="BF483" i="2"/>
  <c r="BF482" i="2"/>
  <c r="BF481" i="2"/>
  <c r="BF480" i="2"/>
  <c r="BF479" i="2"/>
  <c r="BF478" i="2"/>
  <c r="BF477" i="2"/>
  <c r="BF476" i="2"/>
  <c r="BF475" i="2"/>
  <c r="BF474" i="2"/>
  <c r="BF473" i="2"/>
  <c r="BF472" i="2"/>
  <c r="BF471" i="2"/>
  <c r="BF470" i="2"/>
  <c r="BF469" i="2"/>
  <c r="BF468" i="2"/>
  <c r="BF467" i="2"/>
  <c r="BF466" i="2"/>
  <c r="BF465" i="2"/>
  <c r="BF464" i="2"/>
  <c r="BF463" i="2"/>
  <c r="BF462" i="2"/>
  <c r="BF461" i="2"/>
  <c r="BF460" i="2"/>
  <c r="BF459" i="2"/>
  <c r="BF458" i="2"/>
  <c r="BF457" i="2"/>
  <c r="BF456" i="2"/>
  <c r="BF455" i="2"/>
  <c r="BF454" i="2"/>
  <c r="BF453" i="2"/>
  <c r="BF452" i="2"/>
  <c r="BF451" i="2"/>
  <c r="BF450" i="2"/>
  <c r="BF449" i="2"/>
  <c r="BF448" i="2"/>
  <c r="BF447" i="2"/>
  <c r="BF446" i="2"/>
  <c r="BF445" i="2"/>
  <c r="BF444" i="2"/>
  <c r="BF443" i="2"/>
  <c r="BF442" i="2"/>
  <c r="BF441" i="2"/>
  <c r="BF440" i="2"/>
  <c r="BF439" i="2"/>
  <c r="BF438" i="2"/>
  <c r="BF437" i="2"/>
  <c r="BF436" i="2"/>
  <c r="BF435" i="2"/>
  <c r="BF434" i="2"/>
  <c r="BF433" i="2"/>
  <c r="BF432" i="2"/>
  <c r="BF431" i="2"/>
  <c r="BF430" i="2"/>
  <c r="BF429" i="2"/>
  <c r="BF428" i="2"/>
  <c r="BF427" i="2"/>
  <c r="BF426" i="2"/>
  <c r="BF425" i="2"/>
  <c r="BF424" i="2"/>
  <c r="BF423" i="2"/>
  <c r="BF422" i="2"/>
  <c r="BF421" i="2"/>
  <c r="BF420" i="2"/>
  <c r="BF419" i="2"/>
  <c r="BF418" i="2"/>
  <c r="BF417" i="2"/>
  <c r="BF416" i="2"/>
  <c r="BF415" i="2"/>
  <c r="BF414" i="2"/>
  <c r="BF413" i="2"/>
  <c r="BF412" i="2"/>
  <c r="BF411" i="2"/>
  <c r="BF410" i="2"/>
  <c r="BF409" i="2"/>
  <c r="BF408" i="2"/>
  <c r="BF407" i="2"/>
  <c r="BF406" i="2"/>
  <c r="BF405" i="2"/>
  <c r="BF404" i="2"/>
  <c r="BF403" i="2"/>
  <c r="BF402" i="2"/>
  <c r="BF401" i="2"/>
  <c r="BF400" i="2"/>
  <c r="BF399" i="2"/>
  <c r="BF398" i="2"/>
  <c r="BF397" i="2"/>
  <c r="BF396" i="2"/>
  <c r="BF395" i="2"/>
  <c r="BF394" i="2"/>
  <c r="BF393" i="2"/>
  <c r="BF392" i="2"/>
  <c r="BF391" i="2"/>
  <c r="BF390" i="2"/>
  <c r="BF389" i="2"/>
  <c r="BF388" i="2"/>
  <c r="BF387" i="2"/>
  <c r="BF386" i="2"/>
  <c r="BF385" i="2"/>
  <c r="BF384" i="2"/>
  <c r="BF383" i="2"/>
  <c r="BF382" i="2"/>
  <c r="BF381" i="2"/>
  <c r="BF380" i="2"/>
  <c r="BF379" i="2"/>
  <c r="BF378" i="2"/>
  <c r="BF377" i="2"/>
  <c r="BF376" i="2"/>
  <c r="BF375" i="2"/>
  <c r="BF374" i="2"/>
  <c r="BF373" i="2"/>
  <c r="BF372" i="2"/>
  <c r="BF371" i="2"/>
  <c r="BF370" i="2"/>
  <c r="BF369" i="2"/>
  <c r="BF368" i="2"/>
  <c r="BF367" i="2"/>
  <c r="BF366" i="2"/>
  <c r="BF365" i="2"/>
  <c r="BF364" i="2"/>
  <c r="BF363" i="2"/>
  <c r="BF362" i="2"/>
  <c r="BF361" i="2"/>
  <c r="BF360" i="2"/>
  <c r="BF359" i="2"/>
  <c r="BF358" i="2"/>
  <c r="BF357" i="2"/>
  <c r="BF356" i="2"/>
  <c r="BF355" i="2"/>
  <c r="BF354" i="2"/>
  <c r="BF353" i="2"/>
  <c r="BF352" i="2"/>
  <c r="BF351" i="2"/>
  <c r="BF350" i="2"/>
  <c r="BF349" i="2"/>
  <c r="BF348" i="2"/>
  <c r="BF347" i="2"/>
  <c r="BF346" i="2"/>
  <c r="BF345" i="2"/>
  <c r="BF344" i="2"/>
  <c r="BF343" i="2"/>
  <c r="BF342" i="2"/>
  <c r="BF341" i="2"/>
  <c r="BF340" i="2"/>
  <c r="BF339" i="2"/>
  <c r="BF338" i="2"/>
  <c r="BF337" i="2"/>
  <c r="BF336" i="2"/>
  <c r="BF335" i="2"/>
  <c r="BF334" i="2"/>
  <c r="BF333" i="2"/>
  <c r="BF332" i="2"/>
  <c r="BF331" i="2"/>
  <c r="BF330" i="2"/>
  <c r="BF329" i="2"/>
  <c r="BF328" i="2"/>
  <c r="BF327" i="2"/>
  <c r="BF326" i="2"/>
  <c r="BF325" i="2"/>
  <c r="BF324" i="2"/>
  <c r="BF323" i="2"/>
  <c r="BF322" i="2"/>
  <c r="BF321" i="2"/>
  <c r="BF320" i="2"/>
  <c r="BF319" i="2"/>
  <c r="BF318" i="2"/>
  <c r="BF317" i="2"/>
  <c r="BF316" i="2"/>
  <c r="BF315" i="2"/>
  <c r="BF314" i="2"/>
  <c r="BF313" i="2"/>
  <c r="BF312" i="2"/>
  <c r="BF311" i="2"/>
  <c r="BF310" i="2"/>
  <c r="BF309" i="2"/>
  <c r="BF308" i="2"/>
  <c r="BF307" i="2"/>
  <c r="BF306" i="2"/>
  <c r="BF305" i="2"/>
  <c r="BF304" i="2"/>
  <c r="BF303" i="2"/>
  <c r="BF302" i="2"/>
  <c r="BF301" i="2"/>
  <c r="BF300" i="2"/>
  <c r="BF299" i="2"/>
  <c r="BF298" i="2"/>
  <c r="BF297" i="2"/>
  <c r="BF296" i="2"/>
  <c r="BF295" i="2"/>
  <c r="BF294" i="2"/>
  <c r="BF293" i="2"/>
  <c r="BF292" i="2"/>
  <c r="BF291" i="2"/>
  <c r="BF290" i="2"/>
  <c r="BF289" i="2"/>
  <c r="BF288" i="2"/>
  <c r="BF287" i="2"/>
  <c r="BF286" i="2"/>
  <c r="BF285" i="2"/>
  <c r="BF284" i="2"/>
  <c r="BF283" i="2"/>
  <c r="BF282" i="2"/>
  <c r="BF281" i="2"/>
  <c r="BF280" i="2"/>
  <c r="BF279" i="2"/>
  <c r="BF278" i="2"/>
  <c r="BF277" i="2"/>
  <c r="BF276" i="2"/>
  <c r="BF275" i="2"/>
  <c r="BF274" i="2"/>
  <c r="BF273" i="2"/>
  <c r="BF272" i="2"/>
  <c r="BF271" i="2"/>
  <c r="BF270" i="2"/>
  <c r="BF269" i="2"/>
  <c r="BF268" i="2"/>
  <c r="BF267" i="2"/>
  <c r="BF266" i="2"/>
  <c r="BF265" i="2"/>
  <c r="BF264" i="2"/>
  <c r="BF263" i="2"/>
  <c r="BF262" i="2"/>
  <c r="BF261" i="2"/>
  <c r="BF260" i="2"/>
  <c r="BF259" i="2"/>
  <c r="BF258" i="2"/>
  <c r="BF257" i="2"/>
  <c r="BF256" i="2"/>
  <c r="BF255" i="2"/>
  <c r="BF254" i="2"/>
  <c r="BF253" i="2"/>
  <c r="BF252" i="2"/>
  <c r="BF251" i="2"/>
  <c r="BF250" i="2"/>
  <c r="BF249" i="2"/>
  <c r="BF248" i="2"/>
  <c r="BF247" i="2"/>
  <c r="BF246" i="2"/>
  <c r="BF245" i="2"/>
  <c r="BF244" i="2"/>
  <c r="BF243" i="2"/>
  <c r="BF242" i="2"/>
  <c r="BF241" i="2"/>
  <c r="BF240" i="2"/>
  <c r="BF239" i="2"/>
  <c r="BF238" i="2"/>
  <c r="BF237" i="2"/>
  <c r="BF236" i="2"/>
  <c r="BF235" i="2"/>
  <c r="BF234" i="2"/>
  <c r="BF233" i="2"/>
  <c r="BF232" i="2"/>
  <c r="BF231" i="2"/>
  <c r="BF230" i="2"/>
  <c r="BF229" i="2"/>
  <c r="BF228" i="2"/>
  <c r="BF227" i="2"/>
  <c r="BF226" i="2"/>
  <c r="BF225" i="2"/>
  <c r="BF224" i="2"/>
  <c r="BF223" i="2"/>
  <c r="BF222" i="2"/>
  <c r="BF221" i="2"/>
  <c r="BF220" i="2"/>
  <c r="BF219" i="2"/>
  <c r="BF218" i="2"/>
  <c r="BF217" i="2"/>
  <c r="BF216" i="2"/>
  <c r="BF215" i="2"/>
  <c r="BF214" i="2"/>
  <c r="BF213" i="2"/>
  <c r="BF212" i="2"/>
  <c r="BF211" i="2"/>
  <c r="BF210" i="2"/>
  <c r="BF209" i="2"/>
  <c r="BF208" i="2"/>
  <c r="BF207" i="2"/>
  <c r="BF206" i="2"/>
  <c r="BF205" i="2"/>
  <c r="BF204" i="2"/>
  <c r="BF203" i="2"/>
  <c r="BF202" i="2"/>
  <c r="BF201" i="2"/>
  <c r="BF200" i="2"/>
  <c r="BF199" i="2"/>
  <c r="BF198" i="2"/>
  <c r="BF197" i="2"/>
  <c r="BF196" i="2"/>
  <c r="BF195" i="2"/>
  <c r="BF194" i="2"/>
  <c r="BF193" i="2"/>
  <c r="BF192" i="2"/>
  <c r="BF191" i="2"/>
  <c r="BF190" i="2"/>
  <c r="BF189" i="2"/>
  <c r="BF188" i="2"/>
  <c r="BF187" i="2"/>
  <c r="BF186" i="2"/>
  <c r="BF185" i="2"/>
  <c r="BF184" i="2"/>
  <c r="BF183" i="2"/>
  <c r="BF182" i="2"/>
  <c r="BF181" i="2"/>
  <c r="BF180" i="2"/>
  <c r="BF179" i="2"/>
  <c r="BF178" i="2"/>
  <c r="BF177" i="2"/>
  <c r="BF176" i="2"/>
  <c r="BF175" i="2"/>
  <c r="BF174" i="2"/>
  <c r="BF173" i="2"/>
  <c r="BF172" i="2"/>
  <c r="BF171" i="2"/>
  <c r="BF170" i="2"/>
  <c r="BF169" i="2"/>
  <c r="BF168" i="2"/>
  <c r="BF167" i="2"/>
  <c r="BF166" i="2"/>
  <c r="BF165" i="2"/>
  <c r="BF164" i="2"/>
  <c r="BF163" i="2"/>
  <c r="BF162" i="2"/>
  <c r="BF161" i="2"/>
  <c r="BF160" i="2"/>
  <c r="BF159" i="2"/>
  <c r="BF158" i="2"/>
  <c r="BF157" i="2"/>
  <c r="BF156" i="2"/>
  <c r="BF155" i="2"/>
  <c r="BF154" i="2"/>
  <c r="BF153" i="2"/>
  <c r="BF152" i="2"/>
  <c r="BF151" i="2"/>
  <c r="BF150" i="2"/>
  <c r="BF149" i="2"/>
  <c r="BF148" i="2"/>
  <c r="BF147" i="2"/>
  <c r="BF146" i="2"/>
  <c r="BF145" i="2"/>
  <c r="BF144" i="2"/>
  <c r="BF143" i="2"/>
  <c r="BF142" i="2"/>
  <c r="BF141" i="2"/>
  <c r="BF140" i="2"/>
  <c r="BF139" i="2"/>
  <c r="BF138" i="2"/>
  <c r="BF137" i="2"/>
  <c r="BF136" i="2"/>
  <c r="BF135" i="2"/>
  <c r="BF134" i="2"/>
  <c r="BF133" i="2"/>
  <c r="BF132" i="2"/>
  <c r="BF131" i="2"/>
  <c r="BF130" i="2"/>
  <c r="BF129" i="2"/>
  <c r="BF128" i="2"/>
  <c r="BF127" i="2"/>
  <c r="BF126" i="2"/>
  <c r="BF125" i="2"/>
  <c r="BF124" i="2"/>
  <c r="BF123" i="2"/>
  <c r="BF122" i="2"/>
  <c r="BF121" i="2"/>
  <c r="BF120" i="2"/>
  <c r="BF119" i="2"/>
  <c r="BF118" i="2"/>
  <c r="BF117" i="2"/>
  <c r="BF116" i="2"/>
  <c r="BF115" i="2"/>
  <c r="BF114" i="2"/>
  <c r="BF113" i="2"/>
  <c r="BF112" i="2"/>
  <c r="BF111" i="2"/>
  <c r="BF110" i="2"/>
  <c r="BF109" i="2"/>
  <c r="BF108" i="2"/>
  <c r="BF107" i="2"/>
  <c r="BF106" i="2"/>
  <c r="BF105" i="2"/>
  <c r="BF104" i="2"/>
  <c r="BF103" i="2"/>
  <c r="BF102" i="2"/>
  <c r="BF101" i="2"/>
  <c r="BF100" i="2"/>
  <c r="BF99" i="2"/>
  <c r="BF98" i="2"/>
  <c r="BF97" i="2"/>
  <c r="BF96" i="2"/>
  <c r="BF95" i="2"/>
  <c r="BF94" i="2"/>
  <c r="BF93" i="2"/>
  <c r="BF92" i="2"/>
  <c r="BF91" i="2"/>
  <c r="BF90" i="2"/>
  <c r="BF89" i="2"/>
  <c r="BF88" i="2"/>
  <c r="BF87" i="2"/>
  <c r="BF86" i="2"/>
  <c r="BF85" i="2"/>
  <c r="BF84" i="2"/>
  <c r="BF83" i="2"/>
  <c r="BF82" i="2"/>
  <c r="BF81" i="2"/>
  <c r="BF80" i="2"/>
  <c r="BF79" i="2"/>
  <c r="BF78" i="2"/>
  <c r="BF77" i="2"/>
  <c r="BF76" i="2"/>
  <c r="BF75" i="2"/>
  <c r="BF74" i="2"/>
  <c r="BF73" i="2"/>
  <c r="BF72" i="2"/>
  <c r="BF71" i="2"/>
  <c r="BF70" i="2"/>
  <c r="BF69" i="2"/>
  <c r="BF68" i="2"/>
  <c r="BF67" i="2"/>
  <c r="BF66" i="2"/>
  <c r="BF65" i="2"/>
  <c r="BF64" i="2"/>
  <c r="BF63" i="2"/>
  <c r="BF62" i="2"/>
  <c r="BF61" i="2"/>
  <c r="BF60" i="2"/>
  <c r="BF59" i="2"/>
  <c r="BF58" i="2"/>
  <c r="BF57" i="2"/>
  <c r="BF56" i="2"/>
  <c r="BF55" i="2"/>
  <c r="BF54" i="2"/>
  <c r="BF53" i="2"/>
  <c r="BF52" i="2"/>
  <c r="BF51" i="2"/>
  <c r="BF50" i="2"/>
  <c r="BF49" i="2"/>
  <c r="BF48" i="2"/>
  <c r="BF47" i="2"/>
  <c r="BF46" i="2"/>
  <c r="BF45" i="2"/>
  <c r="BF44" i="2"/>
  <c r="BF43" i="2"/>
  <c r="BF42" i="2"/>
  <c r="BF41" i="2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BF27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2" i="2"/>
  <c r="BE2" i="2"/>
  <c r="BE3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4" i="2"/>
  <c r="BE105" i="2"/>
  <c r="BE106" i="2"/>
  <c r="BE107" i="2"/>
  <c r="BE108" i="2"/>
  <c r="BE109" i="2"/>
  <c r="BE110" i="2"/>
  <c r="BE111" i="2"/>
  <c r="BE112" i="2"/>
  <c r="BE113" i="2"/>
  <c r="BE114" i="2"/>
  <c r="BE115" i="2"/>
  <c r="BE116" i="2"/>
  <c r="BE117" i="2"/>
  <c r="BE118" i="2"/>
  <c r="BE119" i="2"/>
  <c r="BE120" i="2"/>
  <c r="BE121" i="2"/>
  <c r="BE122" i="2"/>
  <c r="BE123" i="2"/>
  <c r="BE124" i="2"/>
  <c r="BE125" i="2"/>
  <c r="BE126" i="2"/>
  <c r="BE127" i="2"/>
  <c r="BE128" i="2"/>
  <c r="BE129" i="2"/>
  <c r="BE130" i="2"/>
  <c r="BE131" i="2"/>
  <c r="BE132" i="2"/>
  <c r="BE133" i="2"/>
  <c r="BE134" i="2"/>
  <c r="BE135" i="2"/>
  <c r="BE136" i="2"/>
  <c r="BE137" i="2"/>
  <c r="BE138" i="2"/>
  <c r="BE139" i="2"/>
  <c r="BE140" i="2"/>
  <c r="BE141" i="2"/>
  <c r="BE142" i="2"/>
  <c r="BE143" i="2"/>
  <c r="BE144" i="2"/>
  <c r="BE145" i="2"/>
  <c r="BE146" i="2"/>
  <c r="BE147" i="2"/>
  <c r="BE148" i="2"/>
  <c r="BE149" i="2"/>
  <c r="BE150" i="2"/>
  <c r="BE151" i="2"/>
  <c r="BE152" i="2"/>
  <c r="BE153" i="2"/>
  <c r="BE154" i="2"/>
  <c r="BE155" i="2"/>
  <c r="BE156" i="2"/>
  <c r="BE157" i="2"/>
  <c r="BE158" i="2"/>
  <c r="BE159" i="2"/>
  <c r="BE160" i="2"/>
  <c r="BE161" i="2"/>
  <c r="BE162" i="2"/>
  <c r="BE163" i="2"/>
  <c r="BE164" i="2"/>
  <c r="BE165" i="2"/>
  <c r="BE166" i="2"/>
  <c r="BE167" i="2"/>
  <c r="BE168" i="2"/>
  <c r="BE169" i="2"/>
  <c r="BE170" i="2"/>
  <c r="BE171" i="2"/>
  <c r="BE172" i="2"/>
  <c r="BE173" i="2"/>
  <c r="BE174" i="2"/>
  <c r="BE175" i="2"/>
  <c r="BE176" i="2"/>
  <c r="BE177" i="2"/>
  <c r="BE178" i="2"/>
  <c r="BE179" i="2"/>
  <c r="BE180" i="2"/>
  <c r="BE181" i="2"/>
  <c r="BE182" i="2"/>
  <c r="BE183" i="2"/>
  <c r="BE184" i="2"/>
  <c r="BE185" i="2"/>
  <c r="BE186" i="2"/>
  <c r="BE187" i="2"/>
  <c r="BE188" i="2"/>
  <c r="BE189" i="2"/>
  <c r="BE190" i="2"/>
  <c r="BE191" i="2"/>
  <c r="BE192" i="2"/>
  <c r="BE193" i="2"/>
  <c r="BE194" i="2"/>
  <c r="BE195" i="2"/>
  <c r="BE196" i="2"/>
  <c r="BE197" i="2"/>
  <c r="BE198" i="2"/>
  <c r="BE199" i="2"/>
  <c r="BE200" i="2"/>
  <c r="BE201" i="2"/>
  <c r="BE202" i="2"/>
  <c r="BE203" i="2"/>
  <c r="BE204" i="2"/>
  <c r="BE205" i="2"/>
  <c r="BE206" i="2"/>
  <c r="BE207" i="2"/>
  <c r="BE208" i="2"/>
  <c r="BE209" i="2"/>
  <c r="BE210" i="2"/>
  <c r="BE211" i="2"/>
  <c r="BE212" i="2"/>
  <c r="BE213" i="2"/>
  <c r="BE214" i="2"/>
  <c r="BE215" i="2"/>
  <c r="BE216" i="2"/>
  <c r="BE217" i="2"/>
  <c r="BE218" i="2"/>
  <c r="BE219" i="2"/>
  <c r="BE220" i="2"/>
  <c r="BE221" i="2"/>
  <c r="BE222" i="2"/>
  <c r="BE223" i="2"/>
  <c r="BE224" i="2"/>
  <c r="BE225" i="2"/>
  <c r="BE226" i="2"/>
  <c r="BE227" i="2"/>
  <c r="BE228" i="2"/>
  <c r="BE229" i="2"/>
  <c r="BE230" i="2"/>
  <c r="BE231" i="2"/>
  <c r="BE232" i="2"/>
  <c r="BE233" i="2"/>
  <c r="BE234" i="2"/>
  <c r="BE235" i="2"/>
  <c r="BE236" i="2"/>
  <c r="BE237" i="2"/>
  <c r="BE238" i="2"/>
  <c r="BE239" i="2"/>
  <c r="BE240" i="2"/>
  <c r="BE241" i="2"/>
  <c r="BE242" i="2"/>
  <c r="BE243" i="2"/>
  <c r="BE244" i="2"/>
  <c r="BE245" i="2"/>
  <c r="BE246" i="2"/>
  <c r="BE247" i="2"/>
  <c r="BE248" i="2"/>
  <c r="BE249" i="2"/>
  <c r="BE250" i="2"/>
  <c r="BE251" i="2"/>
  <c r="BE252" i="2"/>
  <c r="BE253" i="2"/>
  <c r="BE254" i="2"/>
  <c r="BE255" i="2"/>
  <c r="BE256" i="2"/>
  <c r="BE257" i="2"/>
  <c r="BE258" i="2"/>
  <c r="BE259" i="2"/>
  <c r="BE260" i="2"/>
  <c r="BE261" i="2"/>
  <c r="BE262" i="2"/>
  <c r="BE263" i="2"/>
  <c r="BE264" i="2"/>
  <c r="BE265" i="2"/>
  <c r="BE266" i="2"/>
  <c r="BE267" i="2"/>
  <c r="BE268" i="2"/>
  <c r="BE269" i="2"/>
  <c r="BE270" i="2"/>
  <c r="BE271" i="2"/>
  <c r="BE272" i="2"/>
  <c r="BE273" i="2"/>
  <c r="BE274" i="2"/>
  <c r="BE275" i="2"/>
  <c r="BE276" i="2"/>
  <c r="BE277" i="2"/>
  <c r="BE278" i="2"/>
  <c r="BE279" i="2"/>
  <c r="BE280" i="2"/>
  <c r="BE281" i="2"/>
  <c r="BE282" i="2"/>
  <c r="BE283" i="2"/>
  <c r="BE284" i="2"/>
  <c r="BE285" i="2"/>
  <c r="BE286" i="2"/>
  <c r="BE287" i="2"/>
  <c r="BE288" i="2"/>
  <c r="BE289" i="2"/>
  <c r="BE290" i="2"/>
  <c r="BE291" i="2"/>
  <c r="BE292" i="2"/>
  <c r="BE293" i="2"/>
  <c r="BE294" i="2"/>
  <c r="BE295" i="2"/>
  <c r="BE296" i="2"/>
  <c r="BE297" i="2"/>
  <c r="BE298" i="2"/>
  <c r="BE299" i="2"/>
  <c r="BE300" i="2"/>
  <c r="BE301" i="2"/>
  <c r="BE302" i="2"/>
  <c r="BE303" i="2"/>
  <c r="BE304" i="2"/>
  <c r="BE305" i="2"/>
  <c r="BE306" i="2"/>
  <c r="BE307" i="2"/>
  <c r="BE308" i="2"/>
  <c r="BE309" i="2"/>
  <c r="BE310" i="2"/>
  <c r="BE311" i="2"/>
  <c r="BE312" i="2"/>
  <c r="BE313" i="2"/>
  <c r="BE314" i="2"/>
  <c r="BE315" i="2"/>
  <c r="BE316" i="2"/>
  <c r="BE317" i="2"/>
  <c r="BE318" i="2"/>
  <c r="BE319" i="2"/>
  <c r="BE320" i="2"/>
  <c r="BE321" i="2"/>
  <c r="BE322" i="2"/>
  <c r="BE323" i="2"/>
  <c r="BE324" i="2"/>
  <c r="BE325" i="2"/>
  <c r="BE326" i="2"/>
  <c r="BE327" i="2"/>
  <c r="BE328" i="2"/>
  <c r="BE329" i="2"/>
  <c r="BE330" i="2"/>
  <c r="BE331" i="2"/>
  <c r="BE332" i="2"/>
  <c r="BE333" i="2"/>
  <c r="BE334" i="2"/>
  <c r="BE335" i="2"/>
  <c r="BE336" i="2"/>
  <c r="BE337" i="2"/>
  <c r="BE338" i="2"/>
  <c r="BE339" i="2"/>
  <c r="BE340" i="2"/>
  <c r="BE341" i="2"/>
  <c r="BE342" i="2"/>
  <c r="BE343" i="2"/>
  <c r="BE344" i="2"/>
  <c r="BE345" i="2"/>
  <c r="BE346" i="2"/>
  <c r="BE347" i="2"/>
  <c r="BE348" i="2"/>
  <c r="BE349" i="2"/>
  <c r="BE350" i="2"/>
  <c r="BE351" i="2"/>
  <c r="BE352" i="2"/>
  <c r="BE353" i="2"/>
  <c r="BE354" i="2"/>
  <c r="BE355" i="2"/>
  <c r="BE356" i="2"/>
  <c r="BE357" i="2"/>
  <c r="BE358" i="2"/>
  <c r="BE359" i="2"/>
  <c r="BE360" i="2"/>
  <c r="BE361" i="2"/>
  <c r="BE362" i="2"/>
  <c r="BE363" i="2"/>
  <c r="BE364" i="2"/>
  <c r="BE365" i="2"/>
  <c r="BE366" i="2"/>
  <c r="BE367" i="2"/>
  <c r="BE368" i="2"/>
  <c r="BE369" i="2"/>
  <c r="BE370" i="2"/>
  <c r="BE371" i="2"/>
  <c r="BE372" i="2"/>
  <c r="BE373" i="2"/>
  <c r="BE374" i="2"/>
  <c r="BE375" i="2"/>
  <c r="BE376" i="2"/>
  <c r="BE377" i="2"/>
  <c r="BE378" i="2"/>
  <c r="BE379" i="2"/>
  <c r="BE380" i="2"/>
  <c r="BE381" i="2"/>
  <c r="BE382" i="2"/>
  <c r="BE383" i="2"/>
  <c r="BE384" i="2"/>
  <c r="BE385" i="2"/>
  <c r="BE386" i="2"/>
  <c r="BE387" i="2"/>
  <c r="BE388" i="2"/>
  <c r="BE389" i="2"/>
  <c r="BE390" i="2"/>
  <c r="BE391" i="2"/>
  <c r="BE392" i="2"/>
  <c r="BE393" i="2"/>
  <c r="BE394" i="2"/>
  <c r="BE395" i="2"/>
  <c r="BE396" i="2"/>
  <c r="BE397" i="2"/>
  <c r="BE398" i="2"/>
  <c r="BE399" i="2"/>
  <c r="BE400" i="2"/>
  <c r="BE401" i="2"/>
  <c r="BE402" i="2"/>
  <c r="BE403" i="2"/>
  <c r="BE404" i="2"/>
  <c r="BE405" i="2"/>
  <c r="BE406" i="2"/>
  <c r="BE407" i="2"/>
  <c r="BE408" i="2"/>
  <c r="BE409" i="2"/>
  <c r="BE410" i="2"/>
  <c r="BE411" i="2"/>
  <c r="BE412" i="2"/>
  <c r="BE413" i="2"/>
  <c r="BE414" i="2"/>
  <c r="BE415" i="2"/>
  <c r="BE416" i="2"/>
  <c r="BE417" i="2"/>
  <c r="BE418" i="2"/>
  <c r="BE419" i="2"/>
  <c r="BE420" i="2"/>
  <c r="BE421" i="2"/>
  <c r="BE422" i="2"/>
  <c r="BE423" i="2"/>
  <c r="BE424" i="2"/>
  <c r="BE425" i="2"/>
  <c r="BE426" i="2"/>
  <c r="BE427" i="2"/>
  <c r="BE428" i="2"/>
  <c r="BE429" i="2"/>
  <c r="BE430" i="2"/>
  <c r="BE431" i="2"/>
  <c r="BE432" i="2"/>
  <c r="BE433" i="2"/>
  <c r="BE434" i="2"/>
  <c r="BE435" i="2"/>
  <c r="BE436" i="2"/>
  <c r="BE437" i="2"/>
  <c r="BE438" i="2"/>
  <c r="BE439" i="2"/>
  <c r="BE440" i="2"/>
  <c r="BE441" i="2"/>
  <c r="BE442" i="2"/>
  <c r="BE443" i="2"/>
  <c r="BE444" i="2"/>
  <c r="BE445" i="2"/>
  <c r="BE446" i="2"/>
  <c r="BE447" i="2"/>
  <c r="BE448" i="2"/>
  <c r="BE449" i="2"/>
  <c r="BE450" i="2"/>
  <c r="BE451" i="2"/>
  <c r="BE452" i="2"/>
  <c r="BE453" i="2"/>
  <c r="BE454" i="2"/>
  <c r="BE455" i="2"/>
  <c r="BE456" i="2"/>
  <c r="BE457" i="2"/>
  <c r="BE458" i="2"/>
  <c r="BE459" i="2"/>
  <c r="BE460" i="2"/>
  <c r="BE461" i="2"/>
  <c r="BE462" i="2"/>
  <c r="BE463" i="2"/>
  <c r="BE464" i="2"/>
  <c r="BE465" i="2"/>
  <c r="BE466" i="2"/>
  <c r="BE467" i="2"/>
  <c r="BE468" i="2"/>
  <c r="BE469" i="2"/>
  <c r="BE470" i="2"/>
  <c r="BE471" i="2"/>
  <c r="BE472" i="2"/>
  <c r="BE473" i="2"/>
  <c r="BE474" i="2"/>
  <c r="BE475" i="2"/>
  <c r="BE476" i="2"/>
  <c r="BE477" i="2"/>
  <c r="BE478" i="2"/>
  <c r="BE479" i="2"/>
  <c r="BE480" i="2"/>
  <c r="BE481" i="2"/>
  <c r="BE482" i="2"/>
  <c r="BE483" i="2"/>
  <c r="BE484" i="2"/>
  <c r="BE485" i="2"/>
  <c r="BE486" i="2"/>
  <c r="BE487" i="2"/>
  <c r="BE488" i="2"/>
  <c r="BE489" i="2"/>
  <c r="BE490" i="2"/>
  <c r="BE491" i="2"/>
  <c r="BE492" i="2"/>
  <c r="BE493" i="2"/>
  <c r="BE494" i="2"/>
  <c r="BE495" i="2"/>
  <c r="BE496" i="2"/>
  <c r="BE497" i="2"/>
  <c r="BE498" i="2"/>
  <c r="BE499" i="2"/>
  <c r="BE500" i="2"/>
  <c r="BE501" i="2"/>
  <c r="BE502" i="2"/>
  <c r="BE503" i="2"/>
  <c r="BE504" i="2"/>
  <c r="BE505" i="2"/>
  <c r="BE506" i="2"/>
  <c r="BE507" i="2"/>
  <c r="BE508" i="2"/>
  <c r="BE509" i="2"/>
  <c r="BE510" i="2"/>
  <c r="BE511" i="2"/>
  <c r="BE512" i="2"/>
  <c r="BE513" i="2"/>
  <c r="BE514" i="2"/>
  <c r="BE515" i="2"/>
  <c r="BE516" i="2"/>
  <c r="BE517" i="2"/>
  <c r="BE518" i="2"/>
  <c r="BE519" i="2"/>
  <c r="BE520" i="2"/>
  <c r="BE521" i="2"/>
  <c r="BE522" i="2"/>
  <c r="BE523" i="2"/>
  <c r="BE524" i="2"/>
  <c r="BE525" i="2"/>
  <c r="BE526" i="2"/>
  <c r="BE527" i="2"/>
  <c r="BE528" i="2"/>
  <c r="BE529" i="2"/>
  <c r="BE530" i="2"/>
  <c r="BE531" i="2"/>
  <c r="BE532" i="2"/>
  <c r="BE533" i="2"/>
  <c r="BE534" i="2"/>
  <c r="BE535" i="2"/>
  <c r="BE536" i="2"/>
  <c r="BE537" i="2"/>
  <c r="BE538" i="2"/>
  <c r="BE539" i="2"/>
  <c r="BE540" i="2"/>
  <c r="BE541" i="2"/>
  <c r="BE542" i="2"/>
  <c r="BD2" i="2"/>
  <c r="BG2" i="2" s="1" a="1"/>
  <c r="BG2" i="2" s="1"/>
  <c r="BD3" i="2"/>
  <c r="BG3" i="2" s="1" a="1"/>
  <c r="BG3" i="2" s="1"/>
  <c r="BD4" i="2"/>
  <c r="BG4" i="2" s="1" a="1"/>
  <c r="BG4" i="2" s="1"/>
  <c r="BD5" i="2"/>
  <c r="BG5" i="2" s="1" a="1"/>
  <c r="BG5" i="2" s="1"/>
  <c r="BD6" i="2"/>
  <c r="BG6" i="2" s="1" a="1"/>
  <c r="BG6" i="2" s="1"/>
  <c r="BD7" i="2"/>
  <c r="BG7" i="2" s="1" a="1"/>
  <c r="BG7" i="2" s="1"/>
  <c r="BD8" i="2"/>
  <c r="BG8" i="2" s="1" a="1"/>
  <c r="BG8" i="2" s="1"/>
  <c r="BD9" i="2"/>
  <c r="BG9" i="2" s="1" a="1"/>
  <c r="BG9" i="2" s="1"/>
  <c r="BD10" i="2"/>
  <c r="BG10" i="2" s="1" a="1"/>
  <c r="BG10" i="2" s="1"/>
  <c r="BD11" i="2"/>
  <c r="BG11" i="2" s="1" a="1"/>
  <c r="BG11" i="2" s="1"/>
  <c r="BD12" i="2"/>
  <c r="BG12" i="2" s="1" a="1"/>
  <c r="BG12" i="2" s="1"/>
  <c r="BD13" i="2"/>
  <c r="BG13" i="2" s="1" a="1"/>
  <c r="BG13" i="2" s="1"/>
  <c r="BD14" i="2"/>
  <c r="BG14" i="2" s="1" a="1"/>
  <c r="BG14" i="2" s="1"/>
  <c r="BD15" i="2"/>
  <c r="BG15" i="2" s="1" a="1"/>
  <c r="BG15" i="2" s="1"/>
  <c r="BD16" i="2"/>
  <c r="BG16" i="2" s="1" a="1"/>
  <c r="BG16" i="2" s="1"/>
  <c r="BD17" i="2"/>
  <c r="BG17" i="2" s="1" a="1"/>
  <c r="BG17" i="2" s="1"/>
  <c r="BD18" i="2"/>
  <c r="BG18" i="2" s="1" a="1"/>
  <c r="BG18" i="2" s="1"/>
  <c r="BD19" i="2"/>
  <c r="BG19" i="2" s="1" a="1"/>
  <c r="BG19" i="2" s="1"/>
  <c r="BD20" i="2"/>
  <c r="BG20" i="2" s="1" a="1"/>
  <c r="BG20" i="2" s="1"/>
  <c r="BD21" i="2"/>
  <c r="BG21" i="2" s="1" a="1"/>
  <c r="BG21" i="2" s="1"/>
  <c r="BD22" i="2"/>
  <c r="BG22" i="2" s="1" a="1"/>
  <c r="BG22" i="2" s="1"/>
  <c r="BD23" i="2"/>
  <c r="BG23" i="2" s="1" a="1"/>
  <c r="BG23" i="2" s="1"/>
  <c r="BD24" i="2"/>
  <c r="BG24" i="2" s="1" a="1"/>
  <c r="BG24" i="2" s="1"/>
  <c r="BD25" i="2"/>
  <c r="BG25" i="2" s="1" a="1"/>
  <c r="BG25" i="2" s="1"/>
  <c r="BD26" i="2"/>
  <c r="BG26" i="2" s="1" a="1"/>
  <c r="BG26" i="2" s="1"/>
  <c r="BD27" i="2"/>
  <c r="BG27" i="2" s="1" a="1"/>
  <c r="BG27" i="2" s="1"/>
  <c r="BD28" i="2"/>
  <c r="BG28" i="2" s="1" a="1"/>
  <c r="BG28" i="2" s="1"/>
  <c r="BD29" i="2"/>
  <c r="BG29" i="2" s="1" a="1"/>
  <c r="BG29" i="2" s="1"/>
  <c r="BD30" i="2"/>
  <c r="BG30" i="2" s="1" a="1"/>
  <c r="BG30" i="2" s="1"/>
  <c r="BD31" i="2"/>
  <c r="BG31" i="2" s="1" a="1"/>
  <c r="BG31" i="2" s="1"/>
  <c r="BD32" i="2"/>
  <c r="BG32" i="2" s="1" a="1"/>
  <c r="BG32" i="2" s="1"/>
  <c r="BD33" i="2"/>
  <c r="BG33" i="2" s="1" a="1"/>
  <c r="BG33" i="2" s="1"/>
  <c r="BD34" i="2"/>
  <c r="BG34" i="2" s="1" a="1"/>
  <c r="BG34" i="2" s="1"/>
  <c r="BD35" i="2"/>
  <c r="BG35" i="2" s="1" a="1"/>
  <c r="BG35" i="2" s="1"/>
  <c r="BD36" i="2"/>
  <c r="BG36" i="2" s="1" a="1"/>
  <c r="BG36" i="2" s="1"/>
  <c r="BD37" i="2"/>
  <c r="BG37" i="2" s="1" a="1"/>
  <c r="BG37" i="2" s="1"/>
  <c r="BD38" i="2"/>
  <c r="BG38" i="2" s="1" a="1"/>
  <c r="BG38" i="2" s="1"/>
  <c r="BD39" i="2"/>
  <c r="BG39" i="2" s="1" a="1"/>
  <c r="BG39" i="2" s="1"/>
  <c r="BD40" i="2"/>
  <c r="BG40" i="2" s="1" a="1"/>
  <c r="BG40" i="2" s="1"/>
  <c r="BD41" i="2"/>
  <c r="BG41" i="2" s="1" a="1"/>
  <c r="BG41" i="2" s="1"/>
  <c r="BD42" i="2"/>
  <c r="BG42" i="2" s="1" a="1"/>
  <c r="BG42" i="2" s="1"/>
  <c r="BD43" i="2"/>
  <c r="BG43" i="2" s="1" a="1"/>
  <c r="BG43" i="2" s="1"/>
  <c r="BD44" i="2"/>
  <c r="BG44" i="2" s="1" a="1"/>
  <c r="BG44" i="2" s="1"/>
  <c r="BD45" i="2"/>
  <c r="BG45" i="2" s="1" a="1"/>
  <c r="BG45" i="2" s="1"/>
  <c r="BD46" i="2"/>
  <c r="BG46" i="2" s="1" a="1"/>
  <c r="BG46" i="2" s="1"/>
  <c r="BD47" i="2"/>
  <c r="BG47" i="2" s="1" a="1"/>
  <c r="BG47" i="2" s="1"/>
  <c r="BD48" i="2"/>
  <c r="BG48" i="2" s="1" a="1"/>
  <c r="BG48" i="2" s="1"/>
  <c r="BD49" i="2"/>
  <c r="BG49" i="2" s="1" a="1"/>
  <c r="BG49" i="2" s="1"/>
  <c r="BD50" i="2"/>
  <c r="BG50" i="2" s="1" a="1"/>
  <c r="BG50" i="2" s="1"/>
  <c r="BD51" i="2"/>
  <c r="BG51" i="2" s="1" a="1"/>
  <c r="BG51" i="2" s="1"/>
  <c r="BD52" i="2"/>
  <c r="BG52" i="2" s="1" a="1"/>
  <c r="BG52" i="2" s="1"/>
  <c r="BD53" i="2"/>
  <c r="BG53" i="2" s="1" a="1"/>
  <c r="BG53" i="2" s="1"/>
  <c r="BD54" i="2"/>
  <c r="BG54" i="2" s="1" a="1"/>
  <c r="BG54" i="2" s="1"/>
  <c r="BD55" i="2"/>
  <c r="BG55" i="2" s="1" a="1"/>
  <c r="BG55" i="2" s="1"/>
  <c r="BD56" i="2"/>
  <c r="BG56" i="2" s="1" a="1"/>
  <c r="BG56" i="2" s="1"/>
  <c r="BD57" i="2"/>
  <c r="BG57" i="2" s="1" a="1"/>
  <c r="BG57" i="2" s="1"/>
  <c r="BD58" i="2"/>
  <c r="BG58" i="2" s="1" a="1"/>
  <c r="BG58" i="2" s="1"/>
  <c r="BD59" i="2"/>
  <c r="BG59" i="2" s="1" a="1"/>
  <c r="BG59" i="2" s="1"/>
  <c r="BD60" i="2"/>
  <c r="BG60" i="2" s="1" a="1"/>
  <c r="BG60" i="2" s="1"/>
  <c r="BD61" i="2"/>
  <c r="BG61" i="2" s="1" a="1"/>
  <c r="BG61" i="2" s="1"/>
  <c r="BD62" i="2"/>
  <c r="BG62" i="2" s="1" a="1"/>
  <c r="BG62" i="2" s="1"/>
  <c r="BD63" i="2"/>
  <c r="BG63" i="2" s="1" a="1"/>
  <c r="BG63" i="2" s="1"/>
  <c r="BD64" i="2"/>
  <c r="BG64" i="2" s="1" a="1"/>
  <c r="BG64" i="2" s="1"/>
  <c r="BD65" i="2"/>
  <c r="BG65" i="2" s="1" a="1"/>
  <c r="BG65" i="2" s="1"/>
  <c r="BD66" i="2"/>
  <c r="BG66" i="2" s="1" a="1"/>
  <c r="BG66" i="2" s="1"/>
  <c r="BD67" i="2"/>
  <c r="BG67" i="2" s="1" a="1"/>
  <c r="BG67" i="2" s="1"/>
  <c r="BD68" i="2"/>
  <c r="BG68" i="2" s="1" a="1"/>
  <c r="BG68" i="2" s="1"/>
  <c r="BD69" i="2"/>
  <c r="BG69" i="2" s="1" a="1"/>
  <c r="BG69" i="2" s="1"/>
  <c r="BD70" i="2"/>
  <c r="BG70" i="2" s="1" a="1"/>
  <c r="BG70" i="2" s="1"/>
  <c r="BD71" i="2"/>
  <c r="BG71" i="2" s="1" a="1"/>
  <c r="BG71" i="2" s="1"/>
  <c r="BD72" i="2"/>
  <c r="BG72" i="2" s="1" a="1"/>
  <c r="BG72" i="2" s="1"/>
  <c r="BD73" i="2"/>
  <c r="BG73" i="2" s="1" a="1"/>
  <c r="BG73" i="2" s="1"/>
  <c r="BD74" i="2"/>
  <c r="BG74" i="2" s="1" a="1"/>
  <c r="BG74" i="2" s="1"/>
  <c r="BD75" i="2"/>
  <c r="BG75" i="2" s="1" a="1"/>
  <c r="BG75" i="2" s="1"/>
  <c r="BD76" i="2"/>
  <c r="BG76" i="2" s="1" a="1"/>
  <c r="BG76" i="2" s="1"/>
  <c r="BD77" i="2"/>
  <c r="BG77" i="2" s="1" a="1"/>
  <c r="BG77" i="2" s="1"/>
  <c r="BD78" i="2"/>
  <c r="BG78" i="2" s="1" a="1"/>
  <c r="BG78" i="2" s="1"/>
  <c r="BD79" i="2"/>
  <c r="BG79" i="2" s="1" a="1"/>
  <c r="BG79" i="2" s="1"/>
  <c r="BD80" i="2"/>
  <c r="BG80" i="2" s="1" a="1"/>
  <c r="BG80" i="2" s="1"/>
  <c r="BD81" i="2"/>
  <c r="BG81" i="2" s="1" a="1"/>
  <c r="BG81" i="2" s="1"/>
  <c r="BD82" i="2"/>
  <c r="BG82" i="2" s="1" a="1"/>
  <c r="BG82" i="2" s="1"/>
  <c r="BD83" i="2"/>
  <c r="BG83" i="2" s="1" a="1"/>
  <c r="BG83" i="2" s="1"/>
  <c r="BD84" i="2"/>
  <c r="BG84" i="2" s="1" a="1"/>
  <c r="BG84" i="2" s="1"/>
  <c r="BD85" i="2"/>
  <c r="BG85" i="2" s="1" a="1"/>
  <c r="BG85" i="2" s="1"/>
  <c r="BD86" i="2"/>
  <c r="BG86" i="2" s="1" a="1"/>
  <c r="BG86" i="2" s="1"/>
  <c r="BD87" i="2"/>
  <c r="BG87" i="2" s="1" a="1"/>
  <c r="BG87" i="2" s="1"/>
  <c r="BD88" i="2"/>
  <c r="BG88" i="2" s="1" a="1"/>
  <c r="BG88" i="2" s="1"/>
  <c r="BD89" i="2"/>
  <c r="BG89" i="2" s="1" a="1"/>
  <c r="BG89" i="2" s="1"/>
  <c r="BD90" i="2"/>
  <c r="BG90" i="2" s="1" a="1"/>
  <c r="BG90" i="2" s="1"/>
  <c r="BD91" i="2"/>
  <c r="BG91" i="2" s="1" a="1"/>
  <c r="BG91" i="2" s="1"/>
  <c r="BD92" i="2"/>
  <c r="BG92" i="2" s="1" a="1"/>
  <c r="BG92" i="2" s="1"/>
  <c r="BD93" i="2"/>
  <c r="BG93" i="2" s="1" a="1"/>
  <c r="BG93" i="2" s="1"/>
  <c r="BD94" i="2"/>
  <c r="BG94" i="2" s="1" a="1"/>
  <c r="BG94" i="2" s="1"/>
  <c r="BD95" i="2"/>
  <c r="BG95" i="2" s="1" a="1"/>
  <c r="BG95" i="2" s="1"/>
  <c r="BD96" i="2"/>
  <c r="BG96" i="2" s="1" a="1"/>
  <c r="BG96" i="2" s="1"/>
  <c r="BD97" i="2"/>
  <c r="BG97" i="2" s="1" a="1"/>
  <c r="BG97" i="2" s="1"/>
  <c r="BD98" i="2"/>
  <c r="BG98" i="2" s="1" a="1"/>
  <c r="BG98" i="2" s="1"/>
  <c r="BD99" i="2"/>
  <c r="BG99" i="2" s="1" a="1"/>
  <c r="BG99" i="2" s="1"/>
  <c r="BD100" i="2"/>
  <c r="BG100" i="2" s="1" a="1"/>
  <c r="BG100" i="2" s="1"/>
  <c r="BD101" i="2"/>
  <c r="BG101" i="2" s="1" a="1"/>
  <c r="BG101" i="2" s="1"/>
  <c r="BD102" i="2"/>
  <c r="BG102" i="2" s="1" a="1"/>
  <c r="BG102" i="2" s="1"/>
  <c r="BD103" i="2"/>
  <c r="BG103" i="2" s="1" a="1"/>
  <c r="BG103" i="2" s="1"/>
  <c r="BD104" i="2"/>
  <c r="BG104" i="2" s="1" a="1"/>
  <c r="BG104" i="2" s="1"/>
  <c r="BD105" i="2"/>
  <c r="BG105" i="2" s="1" a="1"/>
  <c r="BG105" i="2" s="1"/>
  <c r="BD106" i="2"/>
  <c r="BG106" i="2" s="1" a="1"/>
  <c r="BG106" i="2" s="1"/>
  <c r="BD107" i="2"/>
  <c r="BG107" i="2" s="1" a="1"/>
  <c r="BG107" i="2" s="1"/>
  <c r="BD108" i="2"/>
  <c r="BG108" i="2" s="1" a="1"/>
  <c r="BG108" i="2" s="1"/>
  <c r="BD109" i="2"/>
  <c r="BG109" i="2" s="1" a="1"/>
  <c r="BG109" i="2" s="1"/>
  <c r="BD110" i="2"/>
  <c r="BG110" i="2" s="1" a="1"/>
  <c r="BG110" i="2" s="1"/>
  <c r="BD111" i="2"/>
  <c r="BG111" i="2" s="1" a="1"/>
  <c r="BG111" i="2" s="1"/>
  <c r="BD112" i="2"/>
  <c r="BG112" i="2" s="1" a="1"/>
  <c r="BD113" i="2"/>
  <c r="BG113" i="2" s="1" a="1"/>
  <c r="BG113" i="2" s="1"/>
  <c r="BD114" i="2"/>
  <c r="BG114" i="2" s="1" a="1"/>
  <c r="BG114" i="2" s="1"/>
  <c r="BD115" i="2"/>
  <c r="BG115" i="2" s="1" a="1"/>
  <c r="BG115" i="2" s="1"/>
  <c r="BD116" i="2"/>
  <c r="BG116" i="2" s="1" a="1"/>
  <c r="BG116" i="2" s="1"/>
  <c r="BD117" i="2"/>
  <c r="BG117" i="2" s="1" a="1"/>
  <c r="BG117" i="2" s="1"/>
  <c r="BD118" i="2"/>
  <c r="BG118" i="2" s="1" a="1"/>
  <c r="BG118" i="2" s="1"/>
  <c r="BD119" i="2"/>
  <c r="BG119" i="2" s="1" a="1"/>
  <c r="BG119" i="2" s="1"/>
  <c r="BD120" i="2"/>
  <c r="BG120" i="2" s="1" a="1"/>
  <c r="BG120" i="2" s="1"/>
  <c r="BD121" i="2"/>
  <c r="BG121" i="2" s="1" a="1"/>
  <c r="BG121" i="2" s="1"/>
  <c r="BD122" i="2"/>
  <c r="BG122" i="2" s="1" a="1"/>
  <c r="BG122" i="2" s="1"/>
  <c r="BD123" i="2"/>
  <c r="BG123" i="2" s="1" a="1"/>
  <c r="BG123" i="2" s="1"/>
  <c r="BD124" i="2"/>
  <c r="BD125" i="2"/>
  <c r="BD126" i="2"/>
  <c r="BG126" i="2" s="1" a="1"/>
  <c r="BG126" i="2" s="1"/>
  <c r="BD127" i="2"/>
  <c r="BG127" i="2" s="1" a="1"/>
  <c r="BG127" i="2" s="1"/>
  <c r="BD128" i="2"/>
  <c r="BG128" i="2" s="1" a="1"/>
  <c r="BG128" i="2" s="1"/>
  <c r="BD129" i="2"/>
  <c r="BG129" i="2" s="1" a="1"/>
  <c r="BG129" i="2" s="1"/>
  <c r="BD130" i="2"/>
  <c r="BG130" i="2" s="1" a="1"/>
  <c r="BG130" i="2" s="1"/>
  <c r="BD131" i="2"/>
  <c r="BG131" i="2" s="1" a="1"/>
  <c r="BG131" i="2" s="1"/>
  <c r="BD132" i="2"/>
  <c r="BG132" i="2" s="1" a="1"/>
  <c r="BG132" i="2" s="1"/>
  <c r="BD133" i="2"/>
  <c r="BG133" i="2" s="1" a="1"/>
  <c r="BG133" i="2" s="1"/>
  <c r="BD134" i="2"/>
  <c r="BG134" i="2" s="1" a="1"/>
  <c r="BG134" i="2" s="1"/>
  <c r="BD135" i="2"/>
  <c r="BD136" i="2"/>
  <c r="BG136" i="2" s="1" a="1"/>
  <c r="BG136" i="2" s="1"/>
  <c r="BD137" i="2"/>
  <c r="BG137" i="2" s="1" a="1"/>
  <c r="BG137" i="2" s="1"/>
  <c r="BD138" i="2"/>
  <c r="BG138" i="2" s="1" a="1"/>
  <c r="BG138" i="2" s="1"/>
  <c r="BD139" i="2"/>
  <c r="BG139" i="2" s="1" a="1"/>
  <c r="BG139" i="2" s="1"/>
  <c r="BD140" i="2"/>
  <c r="BG140" i="2" s="1" a="1"/>
  <c r="BG140" i="2" s="1"/>
  <c r="BD141" i="2"/>
  <c r="BG141" i="2" s="1" a="1"/>
  <c r="BG141" i="2" s="1"/>
  <c r="BD142" i="2"/>
  <c r="BG142" i="2" s="1" a="1"/>
  <c r="BG142" i="2" s="1"/>
  <c r="BD143" i="2"/>
  <c r="BG143" i="2" s="1" a="1"/>
  <c r="BG143" i="2" s="1"/>
  <c r="BD144" i="2"/>
  <c r="BG144" i="2" s="1" a="1"/>
  <c r="BG144" i="2" s="1"/>
  <c r="BD145" i="2"/>
  <c r="BG145" i="2" s="1" a="1"/>
  <c r="BG145" i="2" s="1"/>
  <c r="BD146" i="2"/>
  <c r="BG146" i="2" s="1" a="1"/>
  <c r="BG146" i="2" s="1"/>
  <c r="BD147" i="2"/>
  <c r="BG147" i="2" s="1" a="1"/>
  <c r="BG147" i="2" s="1"/>
  <c r="BD148" i="2"/>
  <c r="BG148" i="2" s="1" a="1"/>
  <c r="BG148" i="2" s="1"/>
  <c r="BD149" i="2"/>
  <c r="BG149" i="2" s="1" a="1"/>
  <c r="BG149" i="2" s="1"/>
  <c r="BD150" i="2"/>
  <c r="BG150" i="2" s="1" a="1"/>
  <c r="BG150" i="2" s="1"/>
  <c r="BD151" i="2"/>
  <c r="BG151" i="2" s="1" a="1"/>
  <c r="BG151" i="2" s="1"/>
  <c r="BD152" i="2"/>
  <c r="BG152" i="2" s="1" a="1"/>
  <c r="BG152" i="2" s="1"/>
  <c r="BD153" i="2"/>
  <c r="BG153" i="2" s="1" a="1"/>
  <c r="BG153" i="2" s="1"/>
  <c r="BD154" i="2"/>
  <c r="BG154" i="2" s="1" a="1"/>
  <c r="BG154" i="2" s="1"/>
  <c r="BD155" i="2"/>
  <c r="BG155" i="2" s="1" a="1"/>
  <c r="BG155" i="2" s="1"/>
  <c r="BD156" i="2"/>
  <c r="BG156" i="2" s="1" a="1"/>
  <c r="BG156" i="2" s="1"/>
  <c r="BD157" i="2"/>
  <c r="BG157" i="2" s="1" a="1"/>
  <c r="BG157" i="2" s="1"/>
  <c r="BD158" i="2"/>
  <c r="BG158" i="2" s="1" a="1"/>
  <c r="BG158" i="2" s="1"/>
  <c r="BD159" i="2"/>
  <c r="BG159" i="2" s="1" a="1"/>
  <c r="BG159" i="2" s="1"/>
  <c r="BD160" i="2"/>
  <c r="BG160" i="2" s="1" a="1"/>
  <c r="BG160" i="2" s="1"/>
  <c r="BD161" i="2"/>
  <c r="BG161" i="2" s="1" a="1"/>
  <c r="BG161" i="2" s="1"/>
  <c r="BD162" i="2"/>
  <c r="BG162" i="2" s="1" a="1"/>
  <c r="BG162" i="2" s="1"/>
  <c r="BD163" i="2"/>
  <c r="BG163" i="2" s="1" a="1"/>
  <c r="BG163" i="2" s="1"/>
  <c r="BD164" i="2"/>
  <c r="BG164" i="2" s="1" a="1"/>
  <c r="BG164" i="2" s="1"/>
  <c r="BD165" i="2"/>
  <c r="BG165" i="2" s="1" a="1"/>
  <c r="BG165" i="2" s="1"/>
  <c r="BD166" i="2"/>
  <c r="BG166" i="2" s="1" a="1"/>
  <c r="BG166" i="2" s="1"/>
  <c r="BD167" i="2"/>
  <c r="BG167" i="2" s="1" a="1"/>
  <c r="BG167" i="2" s="1"/>
  <c r="BD168" i="2"/>
  <c r="BG168" i="2" s="1" a="1"/>
  <c r="BG168" i="2" s="1"/>
  <c r="BD169" i="2"/>
  <c r="BG169" i="2" s="1" a="1"/>
  <c r="BG169" i="2" s="1"/>
  <c r="BD170" i="2"/>
  <c r="BG170" i="2" s="1" a="1"/>
  <c r="BG170" i="2" s="1"/>
  <c r="BD171" i="2"/>
  <c r="BG171" i="2" s="1" a="1"/>
  <c r="BG171" i="2" s="1"/>
  <c r="BD172" i="2"/>
  <c r="BG172" i="2" s="1" a="1"/>
  <c r="BG172" i="2" s="1"/>
  <c r="BD173" i="2"/>
  <c r="BG173" i="2" s="1" a="1"/>
  <c r="BG173" i="2" s="1"/>
  <c r="BD174" i="2"/>
  <c r="BG174" i="2" s="1" a="1"/>
  <c r="BG174" i="2" s="1"/>
  <c r="BD175" i="2"/>
  <c r="BG175" i="2" s="1" a="1"/>
  <c r="BG175" i="2" s="1"/>
  <c r="BD176" i="2"/>
  <c r="BG176" i="2" s="1" a="1"/>
  <c r="BG176" i="2" s="1"/>
  <c r="BD177" i="2"/>
  <c r="BG177" i="2" s="1" a="1"/>
  <c r="BG177" i="2" s="1"/>
  <c r="BD178" i="2"/>
  <c r="BG178" i="2" s="1" a="1"/>
  <c r="BG178" i="2" s="1"/>
  <c r="BD179" i="2"/>
  <c r="BG179" i="2" s="1" a="1"/>
  <c r="BG179" i="2" s="1"/>
  <c r="BD180" i="2"/>
  <c r="BG180" i="2" s="1" a="1"/>
  <c r="BG180" i="2" s="1"/>
  <c r="BD181" i="2"/>
  <c r="BG181" i="2" s="1" a="1"/>
  <c r="BG181" i="2" s="1"/>
  <c r="BD182" i="2"/>
  <c r="BG182" i="2" s="1" a="1"/>
  <c r="BG182" i="2" s="1"/>
  <c r="BD183" i="2"/>
  <c r="BG183" i="2" s="1" a="1"/>
  <c r="BG183" i="2" s="1"/>
  <c r="BD184" i="2"/>
  <c r="BG184" i="2" s="1" a="1"/>
  <c r="BG184" i="2" s="1"/>
  <c r="BD185" i="2"/>
  <c r="BG185" i="2" s="1" a="1"/>
  <c r="BG185" i="2" s="1"/>
  <c r="BD186" i="2"/>
  <c r="BG186" i="2" s="1" a="1"/>
  <c r="BG186" i="2" s="1"/>
  <c r="BD187" i="2"/>
  <c r="BG187" i="2" s="1" a="1"/>
  <c r="BG187" i="2" s="1"/>
  <c r="BD188" i="2"/>
  <c r="BG188" i="2" s="1" a="1"/>
  <c r="BG188" i="2" s="1"/>
  <c r="BD189" i="2"/>
  <c r="BG189" i="2" s="1" a="1"/>
  <c r="BG189" i="2" s="1"/>
  <c r="BD190" i="2"/>
  <c r="BG190" i="2" s="1" a="1"/>
  <c r="BG190" i="2" s="1"/>
  <c r="BD191" i="2"/>
  <c r="BG191" i="2" s="1" a="1"/>
  <c r="BG191" i="2" s="1"/>
  <c r="BD192" i="2"/>
  <c r="BG192" i="2" s="1" a="1"/>
  <c r="BG192" i="2" s="1"/>
  <c r="BD193" i="2"/>
  <c r="BG193" i="2" s="1" a="1"/>
  <c r="BG193" i="2" s="1"/>
  <c r="BD194" i="2"/>
  <c r="BG194" i="2" s="1" a="1"/>
  <c r="BG194" i="2" s="1"/>
  <c r="BD195" i="2"/>
  <c r="BG195" i="2" s="1" a="1"/>
  <c r="BG195" i="2" s="1"/>
  <c r="BD196" i="2"/>
  <c r="BG196" i="2" s="1" a="1"/>
  <c r="BG196" i="2" s="1"/>
  <c r="BD197" i="2"/>
  <c r="BG197" i="2" s="1" a="1"/>
  <c r="BG197" i="2" s="1"/>
  <c r="BD198" i="2"/>
  <c r="BG198" i="2" s="1" a="1"/>
  <c r="BG198" i="2" s="1"/>
  <c r="BD199" i="2"/>
  <c r="BG199" i="2" s="1" a="1"/>
  <c r="BG199" i="2" s="1"/>
  <c r="BD200" i="2"/>
  <c r="BG200" i="2" s="1" a="1"/>
  <c r="BG200" i="2" s="1"/>
  <c r="BD201" i="2"/>
  <c r="BG201" i="2" s="1" a="1"/>
  <c r="BG201" i="2" s="1"/>
  <c r="BD202" i="2"/>
  <c r="BG202" i="2" s="1" a="1"/>
  <c r="BG202" i="2" s="1"/>
  <c r="BD203" i="2"/>
  <c r="BG203" i="2" s="1" a="1"/>
  <c r="BG203" i="2" s="1"/>
  <c r="BD204" i="2"/>
  <c r="BG204" i="2" s="1" a="1"/>
  <c r="BG204" i="2" s="1"/>
  <c r="BD205" i="2"/>
  <c r="BG205" i="2" s="1" a="1"/>
  <c r="BG205" i="2" s="1"/>
  <c r="BD206" i="2"/>
  <c r="BG206" i="2" s="1" a="1"/>
  <c r="BG206" i="2" s="1"/>
  <c r="BD207" i="2"/>
  <c r="BG207" i="2" s="1" a="1"/>
  <c r="BG207" i="2" s="1"/>
  <c r="BD208" i="2"/>
  <c r="BG208" i="2" s="1" a="1"/>
  <c r="BG208" i="2" s="1"/>
  <c r="BD209" i="2"/>
  <c r="BG209" i="2" s="1" a="1"/>
  <c r="BG209" i="2" s="1"/>
  <c r="BD210" i="2"/>
  <c r="BG210" i="2" s="1" a="1"/>
  <c r="BG210" i="2" s="1"/>
  <c r="BD211" i="2"/>
  <c r="BG211" i="2" s="1" a="1"/>
  <c r="BG211" i="2" s="1"/>
  <c r="BD212" i="2"/>
  <c r="BG212" i="2" s="1" a="1"/>
  <c r="BG212" i="2" s="1"/>
  <c r="BD213" i="2"/>
  <c r="BG213" i="2" s="1" a="1"/>
  <c r="BG213" i="2" s="1"/>
  <c r="BD214" i="2"/>
  <c r="BG214" i="2" s="1" a="1"/>
  <c r="BG214" i="2" s="1"/>
  <c r="BD215" i="2"/>
  <c r="BG215" i="2" s="1" a="1"/>
  <c r="BG215" i="2" s="1"/>
  <c r="BD216" i="2"/>
  <c r="BG216" i="2" s="1" a="1"/>
  <c r="BG216" i="2" s="1"/>
  <c r="BD217" i="2"/>
  <c r="BG217" i="2" s="1" a="1"/>
  <c r="BG217" i="2" s="1"/>
  <c r="BD218" i="2"/>
  <c r="BG218" i="2" s="1" a="1"/>
  <c r="BG218" i="2" s="1"/>
  <c r="BD219" i="2"/>
  <c r="BG219" i="2" s="1" a="1"/>
  <c r="BG219" i="2" s="1"/>
  <c r="BD220" i="2"/>
  <c r="BG220" i="2" s="1" a="1"/>
  <c r="BG220" i="2" s="1"/>
  <c r="BD221" i="2"/>
  <c r="BG221" i="2" s="1" a="1"/>
  <c r="BG221" i="2" s="1"/>
  <c r="BD222" i="2"/>
  <c r="BG222" i="2" s="1" a="1"/>
  <c r="BG222" i="2" s="1"/>
  <c r="BD223" i="2"/>
  <c r="BG223" i="2" s="1" a="1"/>
  <c r="BG223" i="2" s="1"/>
  <c r="BD224" i="2"/>
  <c r="BG224" i="2" s="1" a="1"/>
  <c r="BG224" i="2" s="1"/>
  <c r="BD225" i="2"/>
  <c r="BG225" i="2" s="1" a="1"/>
  <c r="BG225" i="2" s="1"/>
  <c r="BD226" i="2"/>
  <c r="BG226" i="2" s="1" a="1"/>
  <c r="BG226" i="2" s="1"/>
  <c r="BD227" i="2"/>
  <c r="BG227" i="2" s="1" a="1"/>
  <c r="BG227" i="2" s="1"/>
  <c r="BD228" i="2"/>
  <c r="BG228" i="2" s="1" a="1"/>
  <c r="BG228" i="2" s="1"/>
  <c r="BD229" i="2"/>
  <c r="BG229" i="2" s="1" a="1"/>
  <c r="BG229" i="2" s="1"/>
  <c r="BD230" i="2"/>
  <c r="BG230" i="2" s="1" a="1"/>
  <c r="BG230" i="2" s="1"/>
  <c r="BD231" i="2"/>
  <c r="BG231" i="2" s="1" a="1"/>
  <c r="BG231" i="2" s="1"/>
  <c r="BD232" i="2"/>
  <c r="BG232" i="2" s="1" a="1"/>
  <c r="BG232" i="2" s="1"/>
  <c r="BD233" i="2"/>
  <c r="BG233" i="2" s="1" a="1"/>
  <c r="BG233" i="2" s="1"/>
  <c r="BD234" i="2"/>
  <c r="BG234" i="2" s="1" a="1"/>
  <c r="BG234" i="2" s="1"/>
  <c r="BD235" i="2"/>
  <c r="BG235" i="2" s="1" a="1"/>
  <c r="BG235" i="2" s="1"/>
  <c r="BD236" i="2"/>
  <c r="BG236" i="2" s="1" a="1"/>
  <c r="BG236" i="2" s="1"/>
  <c r="BD237" i="2"/>
  <c r="BG237" i="2" s="1" a="1"/>
  <c r="BG237" i="2" s="1"/>
  <c r="BD238" i="2"/>
  <c r="BG238" i="2" s="1" a="1"/>
  <c r="BG238" i="2" s="1"/>
  <c r="BD239" i="2"/>
  <c r="BG239" i="2" s="1" a="1"/>
  <c r="BG239" i="2" s="1"/>
  <c r="BD240" i="2"/>
  <c r="BG240" i="2" s="1" a="1"/>
  <c r="BG240" i="2" s="1"/>
  <c r="BD241" i="2"/>
  <c r="BG241" i="2" s="1" a="1"/>
  <c r="BG241" i="2" s="1"/>
  <c r="BD242" i="2"/>
  <c r="BG242" i="2" s="1" a="1"/>
  <c r="BG242" i="2" s="1"/>
  <c r="BD243" i="2"/>
  <c r="BG243" i="2" s="1" a="1"/>
  <c r="BG243" i="2" s="1"/>
  <c r="BD244" i="2"/>
  <c r="BG244" i="2" s="1" a="1"/>
  <c r="BG244" i="2" s="1"/>
  <c r="BD245" i="2"/>
  <c r="BG245" i="2" s="1" a="1"/>
  <c r="BG245" i="2" s="1"/>
  <c r="BD246" i="2"/>
  <c r="BG246" i="2" s="1" a="1"/>
  <c r="BG246" i="2" s="1"/>
  <c r="BD247" i="2"/>
  <c r="BG247" i="2" s="1" a="1"/>
  <c r="BG247" i="2" s="1"/>
  <c r="BD248" i="2"/>
  <c r="BG248" i="2" s="1" a="1"/>
  <c r="BG248" i="2" s="1"/>
  <c r="BD249" i="2"/>
  <c r="BG249" i="2" s="1" a="1"/>
  <c r="BG249" i="2" s="1"/>
  <c r="BD250" i="2"/>
  <c r="BG250" i="2" s="1" a="1"/>
  <c r="BG250" i="2" s="1"/>
  <c r="BD251" i="2"/>
  <c r="BG251" i="2" s="1" a="1"/>
  <c r="BG251" i="2" s="1"/>
  <c r="BD252" i="2"/>
  <c r="BG252" i="2" s="1" a="1"/>
  <c r="BG252" i="2" s="1"/>
  <c r="BD253" i="2"/>
  <c r="BG253" i="2" s="1" a="1"/>
  <c r="BG253" i="2" s="1"/>
  <c r="BD254" i="2"/>
  <c r="BG254" i="2" s="1" a="1"/>
  <c r="BG254" i="2" s="1"/>
  <c r="BD255" i="2"/>
  <c r="BG255" i="2" s="1" a="1"/>
  <c r="BG255" i="2" s="1"/>
  <c r="BD256" i="2"/>
  <c r="BG256" i="2" s="1" a="1"/>
  <c r="BG256" i="2" s="1"/>
  <c r="BD257" i="2"/>
  <c r="BG257" i="2" s="1" a="1"/>
  <c r="BG257" i="2" s="1"/>
  <c r="BD258" i="2"/>
  <c r="BG258" i="2" s="1" a="1"/>
  <c r="BG258" i="2" s="1"/>
  <c r="BD259" i="2"/>
  <c r="BG259" i="2" s="1" a="1"/>
  <c r="BG259" i="2" s="1"/>
  <c r="BD260" i="2"/>
  <c r="BG260" i="2" s="1" a="1"/>
  <c r="BG260" i="2" s="1"/>
  <c r="BD261" i="2"/>
  <c r="BG261" i="2" s="1" a="1"/>
  <c r="BG261" i="2" s="1"/>
  <c r="BD262" i="2"/>
  <c r="BG262" i="2" s="1" a="1"/>
  <c r="BG262" i="2" s="1"/>
  <c r="BD263" i="2"/>
  <c r="BG263" i="2" s="1" a="1"/>
  <c r="BG263" i="2" s="1"/>
  <c r="BD264" i="2"/>
  <c r="BG264" i="2" s="1" a="1"/>
  <c r="BG264" i="2" s="1"/>
  <c r="BD265" i="2"/>
  <c r="BG265" i="2" s="1" a="1"/>
  <c r="BG265" i="2" s="1"/>
  <c r="BD266" i="2"/>
  <c r="BG266" i="2" s="1" a="1"/>
  <c r="BG266" i="2" s="1"/>
  <c r="BD267" i="2"/>
  <c r="BG267" i="2" s="1" a="1"/>
  <c r="BG267" i="2" s="1"/>
  <c r="BD268" i="2"/>
  <c r="BG268" i="2" s="1" a="1"/>
  <c r="BG268" i="2" s="1"/>
  <c r="BD269" i="2"/>
  <c r="BG269" i="2" s="1" a="1"/>
  <c r="BG269" i="2" s="1"/>
  <c r="BD270" i="2"/>
  <c r="BG270" i="2" s="1" a="1"/>
  <c r="BG270" i="2" s="1"/>
  <c r="BD271" i="2"/>
  <c r="BG271" i="2" s="1" a="1"/>
  <c r="BG271" i="2" s="1"/>
  <c r="BD272" i="2"/>
  <c r="BG272" i="2" s="1" a="1"/>
  <c r="BG272" i="2" s="1"/>
  <c r="BD273" i="2"/>
  <c r="BG273" i="2" s="1" a="1"/>
  <c r="BG273" i="2" s="1"/>
  <c r="BD274" i="2"/>
  <c r="BG274" i="2" s="1" a="1"/>
  <c r="BG274" i="2" s="1"/>
  <c r="BD275" i="2"/>
  <c r="BG275" i="2" s="1" a="1"/>
  <c r="BG275" i="2" s="1"/>
  <c r="BD276" i="2"/>
  <c r="BG276" i="2" s="1" a="1"/>
  <c r="BG276" i="2" s="1"/>
  <c r="BD277" i="2"/>
  <c r="BG277" i="2" s="1" a="1"/>
  <c r="BG277" i="2" s="1"/>
  <c r="BD278" i="2"/>
  <c r="BG278" i="2" s="1" a="1"/>
  <c r="BG278" i="2" s="1"/>
  <c r="BD279" i="2"/>
  <c r="BG279" i="2" s="1" a="1"/>
  <c r="BG279" i="2" s="1"/>
  <c r="BD280" i="2"/>
  <c r="BG280" i="2" s="1" a="1"/>
  <c r="BG280" i="2" s="1"/>
  <c r="BD281" i="2"/>
  <c r="BG281" i="2" s="1" a="1"/>
  <c r="BG281" i="2" s="1"/>
  <c r="BD282" i="2"/>
  <c r="BG282" i="2" s="1" a="1"/>
  <c r="BG282" i="2" s="1"/>
  <c r="BD283" i="2"/>
  <c r="BG283" i="2" s="1" a="1"/>
  <c r="BG283" i="2" s="1"/>
  <c r="BD284" i="2"/>
  <c r="BG284" i="2" s="1" a="1"/>
  <c r="BG284" i="2" s="1"/>
  <c r="BD285" i="2"/>
  <c r="BG285" i="2" s="1" a="1"/>
  <c r="BG285" i="2" s="1"/>
  <c r="BD286" i="2"/>
  <c r="BG286" i="2" s="1" a="1"/>
  <c r="BG286" i="2" s="1"/>
  <c r="BD287" i="2"/>
  <c r="BG287" i="2" s="1" a="1"/>
  <c r="BG287" i="2" s="1"/>
  <c r="BD288" i="2"/>
  <c r="BG288" i="2" s="1" a="1"/>
  <c r="BG288" i="2" s="1"/>
  <c r="BD289" i="2"/>
  <c r="BG289" i="2" s="1" a="1"/>
  <c r="BG289" i="2" s="1"/>
  <c r="BD290" i="2"/>
  <c r="BG290" i="2" s="1" a="1"/>
  <c r="BG290" i="2" s="1"/>
  <c r="BD291" i="2"/>
  <c r="BG291" i="2" s="1" a="1"/>
  <c r="BG291" i="2" s="1"/>
  <c r="BD292" i="2"/>
  <c r="BG292" i="2" s="1" a="1"/>
  <c r="BG292" i="2" s="1"/>
  <c r="BD293" i="2"/>
  <c r="BG293" i="2" s="1" a="1"/>
  <c r="BG293" i="2" s="1"/>
  <c r="BD294" i="2"/>
  <c r="BG294" i="2" s="1" a="1"/>
  <c r="BG294" i="2" s="1"/>
  <c r="BD295" i="2"/>
  <c r="BG295" i="2" s="1" a="1"/>
  <c r="BG295" i="2" s="1"/>
  <c r="BD296" i="2"/>
  <c r="BG296" i="2" s="1" a="1"/>
  <c r="BG296" i="2" s="1"/>
  <c r="BD297" i="2"/>
  <c r="BG297" i="2" s="1" a="1"/>
  <c r="BG297" i="2" s="1"/>
  <c r="BD298" i="2"/>
  <c r="BG298" i="2" s="1" a="1"/>
  <c r="BG298" i="2" s="1"/>
  <c r="BD299" i="2"/>
  <c r="BG299" i="2" s="1" a="1"/>
  <c r="BG299" i="2" s="1"/>
  <c r="BD300" i="2"/>
  <c r="BG300" i="2" s="1" a="1"/>
  <c r="BG300" i="2" s="1"/>
  <c r="BD301" i="2"/>
  <c r="BG301" i="2" s="1" a="1"/>
  <c r="BG301" i="2" s="1"/>
  <c r="BD302" i="2"/>
  <c r="BG302" i="2" s="1" a="1"/>
  <c r="BG302" i="2" s="1"/>
  <c r="BD303" i="2"/>
  <c r="BD304" i="2"/>
  <c r="BG304" i="2" s="1" a="1"/>
  <c r="BG304" i="2" s="1"/>
  <c r="BD305" i="2"/>
  <c r="BD306" i="2"/>
  <c r="BG306" i="2" s="1" a="1"/>
  <c r="BG306" i="2" s="1"/>
  <c r="BD307" i="2"/>
  <c r="BG307" i="2" s="1" a="1"/>
  <c r="BG307" i="2" s="1"/>
  <c r="BD308" i="2"/>
  <c r="BG308" i="2" s="1" a="1"/>
  <c r="BG308" i="2" s="1"/>
  <c r="BD309" i="2"/>
  <c r="BG309" i="2" s="1" a="1"/>
  <c r="BG309" i="2" s="1"/>
  <c r="BD310" i="2"/>
  <c r="BG310" i="2" s="1" a="1"/>
  <c r="BG310" i="2" s="1"/>
  <c r="BD311" i="2"/>
  <c r="BG311" i="2" s="1" a="1"/>
  <c r="BG311" i="2" s="1"/>
  <c r="BD312" i="2"/>
  <c r="BG312" i="2" s="1" a="1"/>
  <c r="BG312" i="2" s="1"/>
  <c r="BD313" i="2"/>
  <c r="BG313" i="2" s="1" a="1"/>
  <c r="BG313" i="2" s="1"/>
  <c r="BD314" i="2"/>
  <c r="BG314" i="2" s="1" a="1"/>
  <c r="BG314" i="2" s="1"/>
  <c r="BD315" i="2"/>
  <c r="BG315" i="2" s="1" a="1"/>
  <c r="BG315" i="2" s="1"/>
  <c r="BD316" i="2"/>
  <c r="BG316" i="2" s="1" a="1"/>
  <c r="BG316" i="2" s="1"/>
  <c r="BD317" i="2"/>
  <c r="BG317" i="2" s="1" a="1"/>
  <c r="BG317" i="2" s="1"/>
  <c r="BD318" i="2"/>
  <c r="BG318" i="2" s="1" a="1"/>
  <c r="BG318" i="2" s="1"/>
  <c r="BD319" i="2"/>
  <c r="BG319" i="2" s="1" a="1"/>
  <c r="BG319" i="2" s="1"/>
  <c r="BD320" i="2"/>
  <c r="BG320" i="2" s="1" a="1"/>
  <c r="BG320" i="2" s="1"/>
  <c r="BD321" i="2"/>
  <c r="BG321" i="2" s="1" a="1"/>
  <c r="BG321" i="2" s="1"/>
  <c r="BD322" i="2"/>
  <c r="BG322" i="2" s="1" a="1"/>
  <c r="BG322" i="2" s="1"/>
  <c r="BD323" i="2"/>
  <c r="BG323" i="2" s="1" a="1"/>
  <c r="BG323" i="2" s="1"/>
  <c r="BD324" i="2"/>
  <c r="BG324" i="2" s="1" a="1"/>
  <c r="BG324" i="2" s="1"/>
  <c r="BD325" i="2"/>
  <c r="BG325" i="2" s="1" a="1"/>
  <c r="BG325" i="2" s="1"/>
  <c r="BD326" i="2"/>
  <c r="BG326" i="2" s="1" a="1"/>
  <c r="BG326" i="2" s="1"/>
  <c r="BD327" i="2"/>
  <c r="BG327" i="2" s="1" a="1"/>
  <c r="BG327" i="2" s="1"/>
  <c r="BD328" i="2"/>
  <c r="BG328" i="2" s="1" a="1"/>
  <c r="BG328" i="2" s="1"/>
  <c r="BD329" i="2"/>
  <c r="BG329" i="2" s="1" a="1"/>
  <c r="BG329" i="2" s="1"/>
  <c r="BD330" i="2"/>
  <c r="BG330" i="2" s="1" a="1"/>
  <c r="BG330" i="2" s="1"/>
  <c r="BD331" i="2"/>
  <c r="BG331" i="2" s="1" a="1"/>
  <c r="BG331" i="2" s="1"/>
  <c r="BD332" i="2"/>
  <c r="BG332" i="2" s="1" a="1"/>
  <c r="BG332" i="2" s="1"/>
  <c r="BD333" i="2"/>
  <c r="BG333" i="2" s="1" a="1"/>
  <c r="BG333" i="2" s="1"/>
  <c r="BD334" i="2"/>
  <c r="BG334" i="2" s="1" a="1"/>
  <c r="BG334" i="2" s="1"/>
  <c r="BD335" i="2"/>
  <c r="BG335" i="2" s="1" a="1"/>
  <c r="BG335" i="2" s="1"/>
  <c r="BD336" i="2"/>
  <c r="BG336" i="2" s="1" a="1"/>
  <c r="BG336" i="2" s="1"/>
  <c r="BD337" i="2"/>
  <c r="BG337" i="2" s="1" a="1"/>
  <c r="BG337" i="2" s="1"/>
  <c r="BD338" i="2"/>
  <c r="BG338" i="2" s="1" a="1"/>
  <c r="BG338" i="2" s="1"/>
  <c r="BD339" i="2"/>
  <c r="BG339" i="2" s="1" a="1"/>
  <c r="BG339" i="2" s="1"/>
  <c r="BD340" i="2"/>
  <c r="BG340" i="2" s="1" a="1"/>
  <c r="BG340" i="2" s="1"/>
  <c r="BD341" i="2"/>
  <c r="BG341" i="2" s="1" a="1"/>
  <c r="BG341" i="2" s="1"/>
  <c r="BD342" i="2"/>
  <c r="BG342" i="2" s="1" a="1"/>
  <c r="BG342" i="2" s="1"/>
  <c r="BD343" i="2"/>
  <c r="BG343" i="2" s="1" a="1"/>
  <c r="BG343" i="2" s="1"/>
  <c r="BD344" i="2"/>
  <c r="BG344" i="2" s="1" a="1"/>
  <c r="BG344" i="2" s="1"/>
  <c r="BD345" i="2"/>
  <c r="BG345" i="2" s="1" a="1"/>
  <c r="BG345" i="2" s="1"/>
  <c r="BD346" i="2"/>
  <c r="BG346" i="2" s="1" a="1"/>
  <c r="BG346" i="2" s="1"/>
  <c r="BD347" i="2"/>
  <c r="BG347" i="2" s="1" a="1"/>
  <c r="BG347" i="2" s="1"/>
  <c r="BD348" i="2"/>
  <c r="BG348" i="2" s="1" a="1"/>
  <c r="BG348" i="2" s="1"/>
  <c r="BD349" i="2"/>
  <c r="BG349" i="2" s="1" a="1"/>
  <c r="BG349" i="2" s="1"/>
  <c r="BD350" i="2"/>
  <c r="BG350" i="2" s="1" a="1"/>
  <c r="BG350" i="2" s="1"/>
  <c r="BD351" i="2"/>
  <c r="BG351" i="2" s="1" a="1"/>
  <c r="BG351" i="2" s="1"/>
  <c r="BD352" i="2"/>
  <c r="BG352" i="2" s="1" a="1"/>
  <c r="BG352" i="2" s="1"/>
  <c r="BD353" i="2"/>
  <c r="BG353" i="2" s="1" a="1"/>
  <c r="BG353" i="2" s="1"/>
  <c r="BD354" i="2"/>
  <c r="BG354" i="2" s="1" a="1"/>
  <c r="BG354" i="2" s="1"/>
  <c r="BD355" i="2"/>
  <c r="BG355" i="2" s="1" a="1"/>
  <c r="BG355" i="2" s="1"/>
  <c r="BD356" i="2"/>
  <c r="BG356" i="2" s="1" a="1"/>
  <c r="BG356" i="2" s="1"/>
  <c r="BD357" i="2"/>
  <c r="BG357" i="2" s="1" a="1"/>
  <c r="BG357" i="2" s="1"/>
  <c r="BD358" i="2"/>
  <c r="BG358" i="2" s="1" a="1"/>
  <c r="BG358" i="2" s="1"/>
  <c r="BD359" i="2"/>
  <c r="BG359" i="2" s="1" a="1"/>
  <c r="BG359" i="2" s="1"/>
  <c r="BD360" i="2"/>
  <c r="BG360" i="2" s="1" a="1"/>
  <c r="BG360" i="2" s="1"/>
  <c r="BD361" i="2"/>
  <c r="BG361" i="2" s="1" a="1"/>
  <c r="BG361" i="2" s="1"/>
  <c r="BD362" i="2"/>
  <c r="BG362" i="2" s="1" a="1"/>
  <c r="BG362" i="2" s="1"/>
  <c r="BD363" i="2"/>
  <c r="BG363" i="2" s="1" a="1"/>
  <c r="BG363" i="2" s="1"/>
  <c r="BD364" i="2"/>
  <c r="BG364" i="2" s="1" a="1"/>
  <c r="BG364" i="2" s="1"/>
  <c r="BD365" i="2"/>
  <c r="BG365" i="2" s="1" a="1"/>
  <c r="BG365" i="2" s="1"/>
  <c r="BD366" i="2"/>
  <c r="BG366" i="2" s="1" a="1"/>
  <c r="BG366" i="2" s="1"/>
  <c r="BD367" i="2"/>
  <c r="BG367" i="2" s="1" a="1"/>
  <c r="BG367" i="2" s="1"/>
  <c r="BD368" i="2"/>
  <c r="BG368" i="2" s="1" a="1"/>
  <c r="BG368" i="2" s="1"/>
  <c r="BD369" i="2"/>
  <c r="BG369" i="2" s="1" a="1"/>
  <c r="BG369" i="2" s="1"/>
  <c r="BD370" i="2"/>
  <c r="BG370" i="2" s="1" a="1"/>
  <c r="BG370" i="2" s="1"/>
  <c r="BD371" i="2"/>
  <c r="BG371" i="2" s="1" a="1"/>
  <c r="BG371" i="2" s="1"/>
  <c r="BD372" i="2"/>
  <c r="BG372" i="2" s="1" a="1"/>
  <c r="BG372" i="2" s="1"/>
  <c r="BD373" i="2"/>
  <c r="BG373" i="2" s="1" a="1"/>
  <c r="BG373" i="2" s="1"/>
  <c r="BD374" i="2"/>
  <c r="BG374" i="2" s="1" a="1"/>
  <c r="BG374" i="2" s="1"/>
  <c r="BD375" i="2"/>
  <c r="BG375" i="2" s="1" a="1"/>
  <c r="BG375" i="2" s="1"/>
  <c r="BD376" i="2"/>
  <c r="BG376" i="2" s="1" a="1"/>
  <c r="BG376" i="2" s="1"/>
  <c r="BD377" i="2"/>
  <c r="BG377" i="2" s="1" a="1"/>
  <c r="BG377" i="2" s="1"/>
  <c r="BD378" i="2"/>
  <c r="BG378" i="2" s="1" a="1"/>
  <c r="BG378" i="2" s="1"/>
  <c r="BD379" i="2"/>
  <c r="BG379" i="2" s="1" a="1"/>
  <c r="BG379" i="2" s="1"/>
  <c r="BD380" i="2"/>
  <c r="BG380" i="2" s="1" a="1"/>
  <c r="BG380" i="2" s="1"/>
  <c r="BD381" i="2"/>
  <c r="BG381" i="2" s="1" a="1"/>
  <c r="BG381" i="2" s="1"/>
  <c r="BD382" i="2"/>
  <c r="BG382" i="2" s="1" a="1"/>
  <c r="BG382" i="2" s="1"/>
  <c r="BD383" i="2"/>
  <c r="BG383" i="2" s="1" a="1"/>
  <c r="BG383" i="2" s="1"/>
  <c r="BD384" i="2"/>
  <c r="BG384" i="2" s="1" a="1"/>
  <c r="BG384" i="2" s="1"/>
  <c r="BD385" i="2"/>
  <c r="BG385" i="2" s="1" a="1"/>
  <c r="BG385" i="2" s="1"/>
  <c r="BD386" i="2"/>
  <c r="BG386" i="2" s="1" a="1"/>
  <c r="BG386" i="2" s="1"/>
  <c r="BD387" i="2"/>
  <c r="BG387" i="2" s="1" a="1"/>
  <c r="BG387" i="2" s="1"/>
  <c r="BD388" i="2"/>
  <c r="BG388" i="2" s="1" a="1"/>
  <c r="BG388" i="2" s="1"/>
  <c r="BD389" i="2"/>
  <c r="BG389" i="2" s="1" a="1"/>
  <c r="BG389" i="2" s="1"/>
  <c r="BD390" i="2"/>
  <c r="BG390" i="2" s="1" a="1"/>
  <c r="BG390" i="2" s="1"/>
  <c r="BD391" i="2"/>
  <c r="BG391" i="2" s="1" a="1"/>
  <c r="BG391" i="2" s="1"/>
  <c r="BD392" i="2"/>
  <c r="BG392" i="2" s="1" a="1"/>
  <c r="BG392" i="2" s="1"/>
  <c r="BD393" i="2"/>
  <c r="BG393" i="2" s="1" a="1"/>
  <c r="BG393" i="2" s="1"/>
  <c r="BD394" i="2"/>
  <c r="BG394" i="2" s="1" a="1"/>
  <c r="BG394" i="2" s="1"/>
  <c r="BD395" i="2"/>
  <c r="BG395" i="2" s="1" a="1"/>
  <c r="BG395" i="2" s="1"/>
  <c r="BD396" i="2"/>
  <c r="BG396" i="2" s="1" a="1"/>
  <c r="BG396" i="2" s="1"/>
  <c r="BD397" i="2"/>
  <c r="BG397" i="2" s="1" a="1"/>
  <c r="BG397" i="2" s="1"/>
  <c r="BD398" i="2"/>
  <c r="BG398" i="2" s="1" a="1"/>
  <c r="BG398" i="2" s="1"/>
  <c r="BD399" i="2"/>
  <c r="BG399" i="2" s="1" a="1"/>
  <c r="BG399" i="2" s="1"/>
  <c r="BD400" i="2"/>
  <c r="BG400" i="2" s="1" a="1"/>
  <c r="BG400" i="2" s="1"/>
  <c r="BD401" i="2"/>
  <c r="BG401" i="2" s="1" a="1"/>
  <c r="BG401" i="2" s="1"/>
  <c r="BD402" i="2"/>
  <c r="BG402" i="2" s="1" a="1"/>
  <c r="BG402" i="2" s="1"/>
  <c r="BD403" i="2"/>
  <c r="BG403" i="2" s="1" a="1"/>
  <c r="BG403" i="2" s="1"/>
  <c r="BD404" i="2"/>
  <c r="BG404" i="2" s="1" a="1"/>
  <c r="BG404" i="2" s="1"/>
  <c r="BD405" i="2"/>
  <c r="BG405" i="2" s="1" a="1"/>
  <c r="BG405" i="2" s="1"/>
  <c r="BD406" i="2"/>
  <c r="BG406" i="2" s="1" a="1"/>
  <c r="BG406" i="2" s="1"/>
  <c r="BD407" i="2"/>
  <c r="BG407" i="2" s="1" a="1"/>
  <c r="BG407" i="2" s="1"/>
  <c r="BD408" i="2"/>
  <c r="BG408" i="2" s="1" a="1"/>
  <c r="BG408" i="2" s="1"/>
  <c r="BD409" i="2"/>
  <c r="BG409" i="2" s="1" a="1"/>
  <c r="BG409" i="2" s="1"/>
  <c r="BD410" i="2"/>
  <c r="BG410" i="2" s="1" a="1"/>
  <c r="BG410" i="2" s="1"/>
  <c r="BD411" i="2"/>
  <c r="BG411" i="2" s="1" a="1"/>
  <c r="BG411" i="2" s="1"/>
  <c r="BD412" i="2"/>
  <c r="BG412" i="2" s="1" a="1"/>
  <c r="BG412" i="2" s="1"/>
  <c r="BD413" i="2"/>
  <c r="BG413" i="2" s="1" a="1"/>
  <c r="BG413" i="2" s="1"/>
  <c r="BD414" i="2"/>
  <c r="BG414" i="2" s="1" a="1"/>
  <c r="BG414" i="2" s="1"/>
  <c r="BD415" i="2"/>
  <c r="BG415" i="2" s="1" a="1"/>
  <c r="BG415" i="2" s="1"/>
  <c r="BD416" i="2"/>
  <c r="BG416" i="2" s="1" a="1"/>
  <c r="BG416" i="2" s="1"/>
  <c r="BD417" i="2"/>
  <c r="BG417" i="2" s="1" a="1"/>
  <c r="BG417" i="2" s="1"/>
  <c r="BD418" i="2"/>
  <c r="BG418" i="2" s="1" a="1"/>
  <c r="BG418" i="2" s="1"/>
  <c r="BD419" i="2"/>
  <c r="BG419" i="2" s="1" a="1"/>
  <c r="BG419" i="2" s="1"/>
  <c r="BD420" i="2"/>
  <c r="BG420" i="2" s="1" a="1"/>
  <c r="BG420" i="2" s="1"/>
  <c r="BD421" i="2"/>
  <c r="BG421" i="2" s="1" a="1"/>
  <c r="BG421" i="2" s="1"/>
  <c r="BD422" i="2"/>
  <c r="BG422" i="2" s="1" a="1"/>
  <c r="BG422" i="2" s="1"/>
  <c r="BD423" i="2"/>
  <c r="BD424" i="2"/>
  <c r="BG424" i="2" s="1" a="1"/>
  <c r="BD425" i="2"/>
  <c r="BG425" i="2" s="1" a="1"/>
  <c r="BG425" i="2" s="1"/>
  <c r="BD426" i="2"/>
  <c r="BG426" i="2" s="1" a="1"/>
  <c r="BG426" i="2" s="1"/>
  <c r="BD427" i="2"/>
  <c r="BG427" i="2" s="1" a="1"/>
  <c r="BG427" i="2" s="1"/>
  <c r="BD428" i="2"/>
  <c r="BG428" i="2" s="1" a="1"/>
  <c r="BG428" i="2" s="1"/>
  <c r="BD429" i="2"/>
  <c r="BG429" i="2" s="1" a="1"/>
  <c r="BG429" i="2" s="1"/>
  <c r="BD430" i="2"/>
  <c r="BG430" i="2" s="1" a="1"/>
  <c r="BG430" i="2" s="1"/>
  <c r="BD431" i="2"/>
  <c r="BG431" i="2" s="1" a="1"/>
  <c r="BG431" i="2" s="1"/>
  <c r="BD432" i="2"/>
  <c r="BG432" i="2" s="1" a="1"/>
  <c r="BG432" i="2" s="1"/>
  <c r="BD433" i="2"/>
  <c r="BG433" i="2" s="1" a="1"/>
  <c r="BG433" i="2" s="1"/>
  <c r="BD434" i="2"/>
  <c r="BG434" i="2" s="1" a="1"/>
  <c r="BG434" i="2" s="1"/>
  <c r="BD435" i="2"/>
  <c r="BG435" i="2" s="1" a="1"/>
  <c r="BG435" i="2" s="1"/>
  <c r="BD436" i="2"/>
  <c r="BG436" i="2" s="1" a="1"/>
  <c r="BG436" i="2" s="1"/>
  <c r="BD437" i="2"/>
  <c r="BG437" i="2" s="1" a="1"/>
  <c r="BG437" i="2" s="1"/>
  <c r="BD438" i="2"/>
  <c r="BG438" i="2" s="1" a="1"/>
  <c r="BG438" i="2" s="1"/>
  <c r="BD439" i="2"/>
  <c r="BG439" i="2" s="1" a="1"/>
  <c r="BG439" i="2" s="1"/>
  <c r="BD440" i="2"/>
  <c r="BG440" i="2" s="1" a="1"/>
  <c r="BG440" i="2" s="1"/>
  <c r="BD441" i="2"/>
  <c r="BG441" i="2" s="1" a="1"/>
  <c r="BG441" i="2" s="1"/>
  <c r="BD442" i="2"/>
  <c r="BG442" i="2" s="1" a="1"/>
  <c r="BG442" i="2" s="1"/>
  <c r="BD443" i="2"/>
  <c r="BG443" i="2" s="1" a="1"/>
  <c r="BG443" i="2" s="1"/>
  <c r="BD444" i="2"/>
  <c r="BG444" i="2" s="1" a="1"/>
  <c r="BG444" i="2" s="1"/>
  <c r="BD445" i="2"/>
  <c r="BG445" i="2" s="1" a="1"/>
  <c r="BG445" i="2" s="1"/>
  <c r="BD446" i="2"/>
  <c r="BG446" i="2" s="1" a="1"/>
  <c r="BG446" i="2" s="1"/>
  <c r="BD447" i="2"/>
  <c r="BG447" i="2" s="1" a="1"/>
  <c r="BG447" i="2" s="1"/>
  <c r="BD448" i="2"/>
  <c r="BG448" i="2" s="1" a="1"/>
  <c r="BG448" i="2" s="1"/>
  <c r="BD449" i="2"/>
  <c r="BG449" i="2" s="1" a="1"/>
  <c r="BG449" i="2" s="1"/>
  <c r="BD450" i="2"/>
  <c r="BG450" i="2" s="1" a="1"/>
  <c r="BG450" i="2" s="1"/>
  <c r="BD451" i="2"/>
  <c r="BG451" i="2" s="1" a="1"/>
  <c r="BG451" i="2" s="1"/>
  <c r="BD452" i="2"/>
  <c r="BG452" i="2" s="1" a="1"/>
  <c r="BG452" i="2" s="1"/>
  <c r="BD453" i="2"/>
  <c r="BG453" i="2" s="1" a="1"/>
  <c r="BG453" i="2" s="1"/>
  <c r="BD454" i="2"/>
  <c r="BG454" i="2" s="1" a="1"/>
  <c r="BG454" i="2" s="1"/>
  <c r="BD455" i="2"/>
  <c r="BG455" i="2" s="1" a="1"/>
  <c r="BG455" i="2" s="1"/>
  <c r="BD456" i="2"/>
  <c r="BG456" i="2" s="1" a="1"/>
  <c r="BG456" i="2" s="1"/>
  <c r="BD457" i="2"/>
  <c r="BG457" i="2" s="1" a="1"/>
  <c r="BG457" i="2" s="1"/>
  <c r="BD458" i="2"/>
  <c r="BG458" i="2" s="1" a="1"/>
  <c r="BG458" i="2" s="1"/>
  <c r="BD459" i="2"/>
  <c r="BG459" i="2" s="1" a="1"/>
  <c r="BG459" i="2" s="1"/>
  <c r="BD460" i="2"/>
  <c r="BG460" i="2" s="1" a="1"/>
  <c r="BG460" i="2" s="1"/>
  <c r="BD461" i="2"/>
  <c r="BG461" i="2" s="1" a="1"/>
  <c r="BG461" i="2" s="1"/>
  <c r="BD462" i="2"/>
  <c r="BG462" i="2" s="1" a="1"/>
  <c r="BG462" i="2" s="1"/>
  <c r="BD463" i="2"/>
  <c r="BG463" i="2" s="1" a="1"/>
  <c r="BG463" i="2" s="1"/>
  <c r="BD464" i="2"/>
  <c r="BG464" i="2" s="1" a="1"/>
  <c r="BG464" i="2" s="1"/>
  <c r="BD465" i="2"/>
  <c r="BG465" i="2" s="1" a="1"/>
  <c r="BG465" i="2" s="1"/>
  <c r="BD466" i="2"/>
  <c r="BG466" i="2" s="1" a="1"/>
  <c r="BG466" i="2" s="1"/>
  <c r="BD467" i="2"/>
  <c r="BG467" i="2" s="1" a="1"/>
  <c r="BG467" i="2" s="1"/>
  <c r="BD468" i="2"/>
  <c r="BG468" i="2" s="1" a="1"/>
  <c r="BG468" i="2" s="1"/>
  <c r="BD469" i="2"/>
  <c r="BG469" i="2" s="1" a="1"/>
  <c r="BG469" i="2" s="1"/>
  <c r="BD470" i="2"/>
  <c r="BG470" i="2" s="1" a="1"/>
  <c r="BG470" i="2" s="1"/>
  <c r="BD471" i="2"/>
  <c r="BG471" i="2" s="1" a="1"/>
  <c r="BG471" i="2" s="1"/>
  <c r="BD472" i="2"/>
  <c r="BG472" i="2" s="1" a="1"/>
  <c r="BG472" i="2" s="1"/>
  <c r="BD473" i="2"/>
  <c r="BG473" i="2" s="1" a="1"/>
  <c r="BG473" i="2" s="1"/>
  <c r="BD474" i="2"/>
  <c r="BG474" i="2" s="1" a="1"/>
  <c r="BG474" i="2" s="1"/>
  <c r="BD475" i="2"/>
  <c r="BG475" i="2" s="1" a="1"/>
  <c r="BG475" i="2" s="1"/>
  <c r="BD476" i="2"/>
  <c r="BG476" i="2" s="1" a="1"/>
  <c r="BG476" i="2" s="1"/>
  <c r="BD477" i="2"/>
  <c r="BG477" i="2" s="1" a="1"/>
  <c r="BG477" i="2" s="1"/>
  <c r="BD478" i="2"/>
  <c r="BG478" i="2" s="1" a="1"/>
  <c r="BG478" i="2" s="1"/>
  <c r="BD479" i="2"/>
  <c r="BG479" i="2" s="1" a="1"/>
  <c r="BG479" i="2" s="1"/>
  <c r="BD480" i="2"/>
  <c r="BG480" i="2" s="1" a="1"/>
  <c r="BG480" i="2" s="1"/>
  <c r="BD481" i="2"/>
  <c r="BG481" i="2" s="1" a="1"/>
  <c r="BG481" i="2" s="1"/>
  <c r="BD482" i="2"/>
  <c r="BG482" i="2" s="1" a="1"/>
  <c r="BG482" i="2" s="1"/>
  <c r="BD483" i="2"/>
  <c r="BG483" i="2" s="1" a="1"/>
  <c r="BG483" i="2" s="1"/>
  <c r="BD484" i="2"/>
  <c r="BG484" i="2" s="1" a="1"/>
  <c r="BG484" i="2" s="1"/>
  <c r="BD485" i="2"/>
  <c r="BG485" i="2" s="1" a="1"/>
  <c r="BG485" i="2" s="1"/>
  <c r="BD486" i="2"/>
  <c r="BG486" i="2" s="1" a="1"/>
  <c r="BG486" i="2" s="1"/>
  <c r="BD487" i="2"/>
  <c r="BG487" i="2" s="1" a="1"/>
  <c r="BG487" i="2" s="1"/>
  <c r="BD488" i="2"/>
  <c r="BG488" i="2" s="1" a="1"/>
  <c r="BG488" i="2" s="1"/>
  <c r="BD489" i="2"/>
  <c r="BG489" i="2" s="1" a="1"/>
  <c r="BG489" i="2" s="1"/>
  <c r="BD490" i="2"/>
  <c r="BG490" i="2" s="1" a="1"/>
  <c r="BG490" i="2" s="1"/>
  <c r="BD491" i="2"/>
  <c r="BG491" i="2" s="1" a="1"/>
  <c r="BG491" i="2" s="1"/>
  <c r="BD492" i="2"/>
  <c r="BG492" i="2" s="1" a="1"/>
  <c r="BG492" i="2" s="1"/>
  <c r="BD493" i="2"/>
  <c r="BG493" i="2" s="1" a="1"/>
  <c r="BG493" i="2" s="1"/>
  <c r="BD494" i="2"/>
  <c r="BG494" i="2" s="1" a="1"/>
  <c r="BG494" i="2" s="1"/>
  <c r="BD495" i="2"/>
  <c r="BG495" i="2" s="1" a="1"/>
  <c r="BG495" i="2" s="1"/>
  <c r="BD496" i="2"/>
  <c r="BG496" i="2" s="1" a="1"/>
  <c r="BG496" i="2" s="1"/>
  <c r="BD497" i="2"/>
  <c r="BG497" i="2" s="1" a="1"/>
  <c r="BG497" i="2" s="1"/>
  <c r="BD498" i="2"/>
  <c r="BG498" i="2" s="1" a="1"/>
  <c r="BG498" i="2" s="1"/>
  <c r="BD499" i="2"/>
  <c r="BG499" i="2" s="1" a="1"/>
  <c r="BG499" i="2" s="1"/>
  <c r="BD500" i="2"/>
  <c r="BG500" i="2" s="1" a="1"/>
  <c r="BG500" i="2" s="1"/>
  <c r="BD501" i="2"/>
  <c r="BG501" i="2" s="1" a="1"/>
  <c r="BG501" i="2" s="1"/>
  <c r="BD502" i="2"/>
  <c r="BG502" i="2" s="1" a="1"/>
  <c r="BG502" i="2" s="1"/>
  <c r="BD503" i="2"/>
  <c r="BG503" i="2" s="1" a="1"/>
  <c r="BG503" i="2" s="1"/>
  <c r="BD504" i="2"/>
  <c r="BG504" i="2" s="1" a="1"/>
  <c r="BG504" i="2" s="1"/>
  <c r="BD505" i="2"/>
  <c r="BG505" i="2" s="1" a="1"/>
  <c r="BG505" i="2" s="1"/>
  <c r="BD506" i="2"/>
  <c r="BG506" i="2" s="1" a="1"/>
  <c r="BG506" i="2" s="1"/>
  <c r="BD507" i="2"/>
  <c r="BG507" i="2" s="1" a="1"/>
  <c r="BG507" i="2" s="1"/>
  <c r="BD508" i="2"/>
  <c r="BG508" i="2" s="1" a="1"/>
  <c r="BG508" i="2" s="1"/>
  <c r="BD509" i="2"/>
  <c r="BG509" i="2" s="1" a="1"/>
  <c r="BG509" i="2" s="1"/>
  <c r="BD510" i="2"/>
  <c r="BG510" i="2" s="1" a="1"/>
  <c r="BG510" i="2" s="1"/>
  <c r="BD511" i="2"/>
  <c r="BG511" i="2" s="1" a="1"/>
  <c r="BG511" i="2" s="1"/>
  <c r="BD512" i="2"/>
  <c r="BG512" i="2" s="1" a="1"/>
  <c r="BG512" i="2" s="1"/>
  <c r="BD513" i="2"/>
  <c r="BG513" i="2" s="1" a="1"/>
  <c r="BG513" i="2" s="1"/>
  <c r="BD514" i="2"/>
  <c r="BG514" i="2" s="1" a="1"/>
  <c r="BG514" i="2" s="1"/>
  <c r="BD515" i="2"/>
  <c r="BG515" i="2" s="1" a="1"/>
  <c r="BG515" i="2" s="1"/>
  <c r="BD516" i="2"/>
  <c r="BG516" i="2" s="1" a="1"/>
  <c r="BG516" i="2" s="1"/>
  <c r="BD517" i="2"/>
  <c r="BG517" i="2" s="1" a="1"/>
  <c r="BG517" i="2" s="1"/>
  <c r="BD518" i="2"/>
  <c r="BG518" i="2" s="1" a="1"/>
  <c r="BG518" i="2" s="1"/>
  <c r="BD519" i="2"/>
  <c r="BG519" i="2" s="1" a="1"/>
  <c r="BG519" i="2" s="1"/>
  <c r="BD520" i="2"/>
  <c r="BG520" i="2" s="1" a="1"/>
  <c r="BG520" i="2" s="1"/>
  <c r="BD521" i="2"/>
  <c r="BG521" i="2" s="1" a="1"/>
  <c r="BG521" i="2" s="1"/>
  <c r="BD522" i="2"/>
  <c r="BG522" i="2" s="1" a="1"/>
  <c r="BG522" i="2" s="1"/>
  <c r="BD523" i="2"/>
  <c r="BG523" i="2" s="1" a="1"/>
  <c r="BG523" i="2" s="1"/>
  <c r="BD524" i="2"/>
  <c r="BG524" i="2" s="1" a="1"/>
  <c r="BG524" i="2" s="1"/>
  <c r="BD525" i="2"/>
  <c r="BG525" i="2" s="1" a="1"/>
  <c r="BG525" i="2" s="1"/>
  <c r="BD526" i="2"/>
  <c r="BG526" i="2" s="1" a="1"/>
  <c r="BG526" i="2" s="1"/>
  <c r="BD527" i="2"/>
  <c r="BG527" i="2" s="1" a="1"/>
  <c r="BG527" i="2" s="1"/>
  <c r="BD528" i="2"/>
  <c r="BG528" i="2" s="1" a="1"/>
  <c r="BG528" i="2" s="1"/>
  <c r="BD529" i="2"/>
  <c r="BG529" i="2" s="1" a="1"/>
  <c r="BG529" i="2" s="1"/>
  <c r="BD530" i="2"/>
  <c r="BG530" i="2" s="1" a="1"/>
  <c r="BG530" i="2" s="1"/>
  <c r="BD531" i="2"/>
  <c r="BG531" i="2" s="1" a="1"/>
  <c r="BG531" i="2" s="1"/>
  <c r="BD532" i="2"/>
  <c r="BG532" i="2" s="1" a="1"/>
  <c r="BG532" i="2" s="1"/>
  <c r="BD533" i="2"/>
  <c r="BG533" i="2" s="1" a="1"/>
  <c r="BG533" i="2" s="1"/>
  <c r="BD534" i="2"/>
  <c r="BG534" i="2" s="1" a="1"/>
  <c r="BG534" i="2" s="1"/>
  <c r="BD535" i="2"/>
  <c r="BG535" i="2" s="1" a="1"/>
  <c r="BG535" i="2" s="1"/>
  <c r="BD536" i="2"/>
  <c r="BG536" i="2" s="1" a="1"/>
  <c r="BG536" i="2" s="1"/>
  <c r="BD537" i="2"/>
  <c r="BG537" i="2" s="1" a="1"/>
  <c r="BG537" i="2" s="1"/>
  <c r="BD538" i="2"/>
  <c r="BG538" i="2" s="1" a="1"/>
  <c r="BG538" i="2" s="1"/>
  <c r="BD539" i="2"/>
  <c r="BG539" i="2" s="1" a="1"/>
  <c r="BG539" i="2" s="1"/>
  <c r="BD540" i="2"/>
  <c r="BG540" i="2" s="1" a="1"/>
  <c r="BG540" i="2" s="1"/>
  <c r="BD541" i="2"/>
  <c r="BG541" i="2" s="1" a="1"/>
  <c r="BG541" i="2" s="1"/>
  <c r="BD542" i="2"/>
  <c r="BG542" i="2" s="1" a="1"/>
  <c r="BG542" i="2" s="1"/>
  <c r="V3" i="2"/>
  <c r="W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W29" i="2" s="1"/>
  <c r="V30" i="2"/>
  <c r="W30" i="2" s="1"/>
  <c r="V31" i="2"/>
  <c r="W31" i="2" s="1"/>
  <c r="V32" i="2"/>
  <c r="W32" i="2" s="1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W39" i="2" s="1"/>
  <c r="V40" i="2"/>
  <c r="W40" i="2" s="1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W49" i="2" s="1"/>
  <c r="V50" i="2"/>
  <c r="W50" i="2" s="1"/>
  <c r="V51" i="2"/>
  <c r="W51" i="2" s="1"/>
  <c r="V52" i="2"/>
  <c r="W52" i="2" s="1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W59" i="2" s="1"/>
  <c r="V60" i="2"/>
  <c r="W60" i="2" s="1"/>
  <c r="V61" i="2"/>
  <c r="W61" i="2" s="1"/>
  <c r="V62" i="2"/>
  <c r="W62" i="2" s="1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 s="1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W89" i="2" s="1"/>
  <c r="V90" i="2"/>
  <c r="W90" i="2" s="1"/>
  <c r="V91" i="2"/>
  <c r="W91" i="2" s="1"/>
  <c r="V92" i="2"/>
  <c r="W92" i="2" s="1"/>
  <c r="V93" i="2"/>
  <c r="W93" i="2" s="1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W102" i="2" s="1"/>
  <c r="V103" i="2"/>
  <c r="W103" i="2" s="1"/>
  <c r="V104" i="2"/>
  <c r="W104" i="2" s="1"/>
  <c r="V105" i="2"/>
  <c r="W105" i="2" s="1"/>
  <c r="V106" i="2"/>
  <c r="W106" i="2" s="1"/>
  <c r="V107" i="2"/>
  <c r="W107" i="2" s="1"/>
  <c r="V108" i="2"/>
  <c r="W108" i="2" s="1"/>
  <c r="V109" i="2"/>
  <c r="W109" i="2" s="1"/>
  <c r="V110" i="2"/>
  <c r="W110" i="2" s="1"/>
  <c r="V111" i="2"/>
  <c r="W111" i="2" s="1"/>
  <c r="V112" i="2"/>
  <c r="W112" i="2" s="1"/>
  <c r="V113" i="2"/>
  <c r="W113" i="2" s="1"/>
  <c r="V114" i="2"/>
  <c r="W114" i="2" s="1"/>
  <c r="V115" i="2"/>
  <c r="W115" i="2" s="1"/>
  <c r="V116" i="2"/>
  <c r="W116" i="2" s="1"/>
  <c r="V117" i="2"/>
  <c r="W117" i="2" s="1"/>
  <c r="V118" i="2"/>
  <c r="W118" i="2" s="1"/>
  <c r="V119" i="2"/>
  <c r="W119" i="2" s="1"/>
  <c r="V120" i="2"/>
  <c r="W120" i="2" s="1"/>
  <c r="V121" i="2"/>
  <c r="W121" i="2" s="1"/>
  <c r="V122" i="2"/>
  <c r="W122" i="2" s="1"/>
  <c r="V123" i="2"/>
  <c r="W123" i="2" s="1"/>
  <c r="V124" i="2"/>
  <c r="W124" i="2" s="1"/>
  <c r="V125" i="2"/>
  <c r="W125" i="2" s="1"/>
  <c r="V126" i="2"/>
  <c r="W126" i="2" s="1"/>
  <c r="V127" i="2"/>
  <c r="W127" i="2" s="1"/>
  <c r="V128" i="2"/>
  <c r="W128" i="2" s="1"/>
  <c r="V129" i="2"/>
  <c r="W129" i="2" s="1"/>
  <c r="V130" i="2"/>
  <c r="W130" i="2" s="1"/>
  <c r="V131" i="2"/>
  <c r="W131" i="2" s="1"/>
  <c r="V132" i="2"/>
  <c r="W132" i="2" s="1"/>
  <c r="V133" i="2"/>
  <c r="W133" i="2" s="1"/>
  <c r="V134" i="2"/>
  <c r="W134" i="2" s="1"/>
  <c r="V135" i="2"/>
  <c r="W135" i="2" s="1"/>
  <c r="V136" i="2"/>
  <c r="W136" i="2" s="1"/>
  <c r="V137" i="2"/>
  <c r="W137" i="2" s="1"/>
  <c r="V138" i="2"/>
  <c r="W138" i="2" s="1"/>
  <c r="V139" i="2"/>
  <c r="W139" i="2" s="1"/>
  <c r="V140" i="2"/>
  <c r="W140" i="2" s="1"/>
  <c r="V141" i="2"/>
  <c r="W141" i="2" s="1"/>
  <c r="V142" i="2"/>
  <c r="W142" i="2" s="1"/>
  <c r="V143" i="2"/>
  <c r="W143" i="2" s="1"/>
  <c r="V144" i="2"/>
  <c r="W144" i="2" s="1"/>
  <c r="V145" i="2"/>
  <c r="W145" i="2" s="1"/>
  <c r="V146" i="2"/>
  <c r="W146" i="2" s="1"/>
  <c r="V147" i="2"/>
  <c r="W147" i="2" s="1"/>
  <c r="V148" i="2"/>
  <c r="W148" i="2" s="1"/>
  <c r="V149" i="2"/>
  <c r="W149" i="2" s="1"/>
  <c r="V150" i="2"/>
  <c r="W150" i="2" s="1"/>
  <c r="V151" i="2"/>
  <c r="W151" i="2" s="1"/>
  <c r="V152" i="2"/>
  <c r="W152" i="2" s="1"/>
  <c r="V153" i="2"/>
  <c r="W153" i="2" s="1"/>
  <c r="V154" i="2"/>
  <c r="W154" i="2" s="1"/>
  <c r="V155" i="2"/>
  <c r="W155" i="2" s="1"/>
  <c r="V156" i="2"/>
  <c r="W156" i="2" s="1"/>
  <c r="V157" i="2"/>
  <c r="W157" i="2" s="1"/>
  <c r="V158" i="2"/>
  <c r="W158" i="2" s="1"/>
  <c r="V159" i="2"/>
  <c r="W159" i="2" s="1"/>
  <c r="V160" i="2"/>
  <c r="W160" i="2" s="1"/>
  <c r="V161" i="2"/>
  <c r="W161" i="2" s="1"/>
  <c r="V162" i="2"/>
  <c r="W162" i="2" s="1"/>
  <c r="V163" i="2"/>
  <c r="W163" i="2" s="1"/>
  <c r="V164" i="2"/>
  <c r="W164" i="2" s="1"/>
  <c r="V165" i="2"/>
  <c r="W165" i="2" s="1"/>
  <c r="V166" i="2"/>
  <c r="W166" i="2" s="1"/>
  <c r="V167" i="2"/>
  <c r="W167" i="2" s="1"/>
  <c r="V168" i="2"/>
  <c r="W168" i="2" s="1"/>
  <c r="V169" i="2"/>
  <c r="W169" i="2" s="1"/>
  <c r="V170" i="2"/>
  <c r="W170" i="2" s="1"/>
  <c r="V171" i="2"/>
  <c r="W171" i="2" s="1"/>
  <c r="V172" i="2"/>
  <c r="W172" i="2" s="1"/>
  <c r="V173" i="2"/>
  <c r="W173" i="2" s="1"/>
  <c r="V174" i="2"/>
  <c r="W174" i="2" s="1"/>
  <c r="V175" i="2"/>
  <c r="W175" i="2" s="1"/>
  <c r="V176" i="2"/>
  <c r="W176" i="2" s="1"/>
  <c r="V177" i="2"/>
  <c r="W177" i="2" s="1"/>
  <c r="V178" i="2"/>
  <c r="W178" i="2" s="1"/>
  <c r="V179" i="2"/>
  <c r="W179" i="2" s="1"/>
  <c r="V180" i="2"/>
  <c r="W180" i="2" s="1"/>
  <c r="V181" i="2"/>
  <c r="W181" i="2" s="1"/>
  <c r="V182" i="2"/>
  <c r="W182" i="2" s="1"/>
  <c r="V183" i="2"/>
  <c r="W183" i="2" s="1"/>
  <c r="V184" i="2"/>
  <c r="W184" i="2" s="1"/>
  <c r="V185" i="2"/>
  <c r="W185" i="2" s="1"/>
  <c r="V186" i="2"/>
  <c r="W186" i="2" s="1"/>
  <c r="V187" i="2"/>
  <c r="W187" i="2" s="1"/>
  <c r="V188" i="2"/>
  <c r="W188" i="2" s="1"/>
  <c r="V189" i="2"/>
  <c r="W189" i="2" s="1"/>
  <c r="V190" i="2"/>
  <c r="W190" i="2" s="1"/>
  <c r="V191" i="2"/>
  <c r="W191" i="2" s="1"/>
  <c r="V192" i="2"/>
  <c r="W192" i="2" s="1"/>
  <c r="V193" i="2"/>
  <c r="W193" i="2" s="1"/>
  <c r="V194" i="2"/>
  <c r="W194" i="2" s="1"/>
  <c r="V195" i="2"/>
  <c r="W195" i="2" s="1"/>
  <c r="V196" i="2"/>
  <c r="W196" i="2" s="1"/>
  <c r="V197" i="2"/>
  <c r="W197" i="2" s="1"/>
  <c r="V198" i="2"/>
  <c r="W198" i="2" s="1"/>
  <c r="V199" i="2"/>
  <c r="W199" i="2" s="1"/>
  <c r="V200" i="2"/>
  <c r="W200" i="2" s="1"/>
  <c r="V201" i="2"/>
  <c r="W201" i="2" s="1"/>
  <c r="V202" i="2"/>
  <c r="W202" i="2" s="1"/>
  <c r="V203" i="2"/>
  <c r="W203" i="2" s="1"/>
  <c r="V204" i="2"/>
  <c r="W204" i="2" s="1"/>
  <c r="V205" i="2"/>
  <c r="W205" i="2" s="1"/>
  <c r="V206" i="2"/>
  <c r="W206" i="2" s="1"/>
  <c r="V207" i="2"/>
  <c r="W207" i="2" s="1"/>
  <c r="V208" i="2"/>
  <c r="W208" i="2" s="1"/>
  <c r="V209" i="2"/>
  <c r="W209" i="2" s="1"/>
  <c r="V210" i="2"/>
  <c r="W210" i="2" s="1"/>
  <c r="V211" i="2"/>
  <c r="W211" i="2" s="1"/>
  <c r="V212" i="2"/>
  <c r="W212" i="2" s="1"/>
  <c r="V213" i="2"/>
  <c r="W213" i="2" s="1"/>
  <c r="V214" i="2"/>
  <c r="W214" i="2" s="1"/>
  <c r="V215" i="2"/>
  <c r="W215" i="2" s="1"/>
  <c r="V216" i="2"/>
  <c r="W216" i="2" s="1"/>
  <c r="V217" i="2"/>
  <c r="W217" i="2" s="1"/>
  <c r="V218" i="2"/>
  <c r="W218" i="2" s="1"/>
  <c r="V219" i="2"/>
  <c r="W219" i="2" s="1"/>
  <c r="V220" i="2"/>
  <c r="W220" i="2" s="1"/>
  <c r="V221" i="2"/>
  <c r="W221" i="2" s="1"/>
  <c r="V222" i="2"/>
  <c r="W222" i="2" s="1"/>
  <c r="V223" i="2"/>
  <c r="W223" i="2" s="1"/>
  <c r="V224" i="2"/>
  <c r="W224" i="2" s="1"/>
  <c r="V225" i="2"/>
  <c r="W225" i="2" s="1"/>
  <c r="V226" i="2"/>
  <c r="W226" i="2" s="1"/>
  <c r="V227" i="2"/>
  <c r="W227" i="2" s="1"/>
  <c r="V228" i="2"/>
  <c r="W228" i="2" s="1"/>
  <c r="V229" i="2"/>
  <c r="W229" i="2" s="1"/>
  <c r="V230" i="2"/>
  <c r="W230" i="2" s="1"/>
  <c r="V231" i="2"/>
  <c r="W231" i="2" s="1"/>
  <c r="V232" i="2"/>
  <c r="W232" i="2" s="1"/>
  <c r="V233" i="2"/>
  <c r="W233" i="2" s="1"/>
  <c r="V234" i="2"/>
  <c r="W234" i="2" s="1"/>
  <c r="V235" i="2"/>
  <c r="W235" i="2" s="1"/>
  <c r="V236" i="2"/>
  <c r="W236" i="2" s="1"/>
  <c r="V237" i="2"/>
  <c r="W237" i="2" s="1"/>
  <c r="V238" i="2"/>
  <c r="W238" i="2" s="1"/>
  <c r="V239" i="2"/>
  <c r="W239" i="2" s="1"/>
  <c r="V240" i="2"/>
  <c r="W240" i="2" s="1"/>
  <c r="V241" i="2"/>
  <c r="W241" i="2" s="1"/>
  <c r="V242" i="2"/>
  <c r="W242" i="2" s="1"/>
  <c r="V243" i="2"/>
  <c r="W243" i="2" s="1"/>
  <c r="V244" i="2"/>
  <c r="W244" i="2" s="1"/>
  <c r="V245" i="2"/>
  <c r="W245" i="2" s="1"/>
  <c r="V246" i="2"/>
  <c r="W246" i="2" s="1"/>
  <c r="V247" i="2"/>
  <c r="W247" i="2" s="1"/>
  <c r="V248" i="2"/>
  <c r="W248" i="2" s="1"/>
  <c r="V249" i="2"/>
  <c r="W249" i="2" s="1"/>
  <c r="V250" i="2"/>
  <c r="W250" i="2" s="1"/>
  <c r="V251" i="2"/>
  <c r="W251" i="2" s="1"/>
  <c r="V252" i="2"/>
  <c r="W252" i="2" s="1"/>
  <c r="V253" i="2"/>
  <c r="W253" i="2" s="1"/>
  <c r="V254" i="2"/>
  <c r="W254" i="2" s="1"/>
  <c r="V255" i="2"/>
  <c r="W255" i="2" s="1"/>
  <c r="V256" i="2"/>
  <c r="W256" i="2" s="1"/>
  <c r="V257" i="2"/>
  <c r="W257" i="2" s="1"/>
  <c r="V258" i="2"/>
  <c r="W258" i="2" s="1"/>
  <c r="V259" i="2"/>
  <c r="W259" i="2" s="1"/>
  <c r="V260" i="2"/>
  <c r="W260" i="2" s="1"/>
  <c r="V261" i="2"/>
  <c r="W261" i="2" s="1"/>
  <c r="V262" i="2"/>
  <c r="W262" i="2" s="1"/>
  <c r="V263" i="2"/>
  <c r="W263" i="2" s="1"/>
  <c r="V264" i="2"/>
  <c r="W264" i="2" s="1"/>
  <c r="V265" i="2"/>
  <c r="W265" i="2" s="1"/>
  <c r="V266" i="2"/>
  <c r="W266" i="2" s="1"/>
  <c r="V267" i="2"/>
  <c r="W267" i="2" s="1"/>
  <c r="V268" i="2"/>
  <c r="W268" i="2" s="1"/>
  <c r="V269" i="2"/>
  <c r="W269" i="2" s="1"/>
  <c r="V270" i="2"/>
  <c r="W270" i="2" s="1"/>
  <c r="V271" i="2"/>
  <c r="W271" i="2" s="1"/>
  <c r="V272" i="2"/>
  <c r="W272" i="2" s="1"/>
  <c r="V273" i="2"/>
  <c r="W273" i="2" s="1"/>
  <c r="V274" i="2"/>
  <c r="W274" i="2" s="1"/>
  <c r="V275" i="2"/>
  <c r="W275" i="2" s="1"/>
  <c r="V276" i="2"/>
  <c r="W276" i="2" s="1"/>
  <c r="V277" i="2"/>
  <c r="W277" i="2" s="1"/>
  <c r="V278" i="2"/>
  <c r="W278" i="2" s="1"/>
  <c r="V279" i="2"/>
  <c r="W279" i="2" s="1"/>
  <c r="V280" i="2"/>
  <c r="W280" i="2" s="1"/>
  <c r="V281" i="2"/>
  <c r="W281" i="2" s="1"/>
  <c r="V282" i="2"/>
  <c r="W282" i="2" s="1"/>
  <c r="V283" i="2"/>
  <c r="W283" i="2" s="1"/>
  <c r="V284" i="2"/>
  <c r="W284" i="2" s="1"/>
  <c r="V285" i="2"/>
  <c r="W285" i="2" s="1"/>
  <c r="V286" i="2"/>
  <c r="W286" i="2" s="1"/>
  <c r="V287" i="2"/>
  <c r="W287" i="2" s="1"/>
  <c r="V288" i="2"/>
  <c r="W288" i="2" s="1"/>
  <c r="V289" i="2"/>
  <c r="W289" i="2" s="1"/>
  <c r="V290" i="2"/>
  <c r="W290" i="2" s="1"/>
  <c r="V291" i="2"/>
  <c r="W291" i="2" s="1"/>
  <c r="V292" i="2"/>
  <c r="W292" i="2" s="1"/>
  <c r="V293" i="2"/>
  <c r="W293" i="2" s="1"/>
  <c r="V294" i="2"/>
  <c r="W294" i="2" s="1"/>
  <c r="V295" i="2"/>
  <c r="W295" i="2" s="1"/>
  <c r="V296" i="2"/>
  <c r="W296" i="2" s="1"/>
  <c r="V297" i="2"/>
  <c r="W297" i="2" s="1"/>
  <c r="V298" i="2"/>
  <c r="W298" i="2" s="1"/>
  <c r="V299" i="2"/>
  <c r="W299" i="2" s="1"/>
  <c r="V300" i="2"/>
  <c r="W300" i="2" s="1"/>
  <c r="V301" i="2"/>
  <c r="W301" i="2" s="1"/>
  <c r="V302" i="2"/>
  <c r="W302" i="2" s="1"/>
  <c r="V303" i="2"/>
  <c r="W303" i="2" s="1"/>
  <c r="V304" i="2"/>
  <c r="W304" i="2" s="1"/>
  <c r="V305" i="2"/>
  <c r="W305" i="2" s="1"/>
  <c r="V306" i="2"/>
  <c r="W306" i="2" s="1"/>
  <c r="V307" i="2"/>
  <c r="W307" i="2" s="1"/>
  <c r="V308" i="2"/>
  <c r="W308" i="2" s="1"/>
  <c r="V309" i="2"/>
  <c r="W309" i="2" s="1"/>
  <c r="V310" i="2"/>
  <c r="W310" i="2" s="1"/>
  <c r="V311" i="2"/>
  <c r="W311" i="2" s="1"/>
  <c r="V312" i="2"/>
  <c r="W312" i="2" s="1"/>
  <c r="V313" i="2"/>
  <c r="W313" i="2" s="1"/>
  <c r="V314" i="2"/>
  <c r="W314" i="2" s="1"/>
  <c r="V315" i="2"/>
  <c r="W315" i="2" s="1"/>
  <c r="V316" i="2"/>
  <c r="W316" i="2" s="1"/>
  <c r="V317" i="2"/>
  <c r="W317" i="2" s="1"/>
  <c r="V318" i="2"/>
  <c r="W318" i="2" s="1"/>
  <c r="V319" i="2"/>
  <c r="W319" i="2" s="1"/>
  <c r="V320" i="2"/>
  <c r="W320" i="2" s="1"/>
  <c r="V321" i="2"/>
  <c r="W321" i="2" s="1"/>
  <c r="V322" i="2"/>
  <c r="W322" i="2" s="1"/>
  <c r="V323" i="2"/>
  <c r="W323" i="2" s="1"/>
  <c r="V324" i="2"/>
  <c r="W324" i="2" s="1"/>
  <c r="V325" i="2"/>
  <c r="W325" i="2" s="1"/>
  <c r="V326" i="2"/>
  <c r="W326" i="2" s="1"/>
  <c r="V327" i="2"/>
  <c r="W327" i="2" s="1"/>
  <c r="V328" i="2"/>
  <c r="W328" i="2" s="1"/>
  <c r="V329" i="2"/>
  <c r="W329" i="2" s="1"/>
  <c r="V330" i="2"/>
  <c r="W330" i="2" s="1"/>
  <c r="V331" i="2"/>
  <c r="W331" i="2" s="1"/>
  <c r="V332" i="2"/>
  <c r="W332" i="2" s="1"/>
  <c r="V333" i="2"/>
  <c r="W333" i="2" s="1"/>
  <c r="V334" i="2"/>
  <c r="W334" i="2" s="1"/>
  <c r="V335" i="2"/>
  <c r="W335" i="2" s="1"/>
  <c r="V336" i="2"/>
  <c r="W336" i="2" s="1"/>
  <c r="V337" i="2"/>
  <c r="W337" i="2" s="1"/>
  <c r="V338" i="2"/>
  <c r="W338" i="2" s="1"/>
  <c r="V339" i="2"/>
  <c r="W339" i="2" s="1"/>
  <c r="V340" i="2"/>
  <c r="W340" i="2" s="1"/>
  <c r="V341" i="2"/>
  <c r="W341" i="2" s="1"/>
  <c r="V342" i="2"/>
  <c r="W342" i="2" s="1"/>
  <c r="V343" i="2"/>
  <c r="W343" i="2" s="1"/>
  <c r="V344" i="2"/>
  <c r="W344" i="2" s="1"/>
  <c r="V345" i="2"/>
  <c r="W345" i="2" s="1"/>
  <c r="V346" i="2"/>
  <c r="W346" i="2" s="1"/>
  <c r="V347" i="2"/>
  <c r="W347" i="2" s="1"/>
  <c r="V348" i="2"/>
  <c r="W348" i="2" s="1"/>
  <c r="V349" i="2"/>
  <c r="W349" i="2" s="1"/>
  <c r="V350" i="2"/>
  <c r="W350" i="2" s="1"/>
  <c r="V351" i="2"/>
  <c r="W351" i="2" s="1"/>
  <c r="V352" i="2"/>
  <c r="W352" i="2" s="1"/>
  <c r="V353" i="2"/>
  <c r="W353" i="2" s="1"/>
  <c r="V354" i="2"/>
  <c r="W354" i="2" s="1"/>
  <c r="V355" i="2"/>
  <c r="W355" i="2" s="1"/>
  <c r="V356" i="2"/>
  <c r="W356" i="2" s="1"/>
  <c r="V357" i="2"/>
  <c r="W357" i="2" s="1"/>
  <c r="V358" i="2"/>
  <c r="W358" i="2" s="1"/>
  <c r="V359" i="2"/>
  <c r="W359" i="2" s="1"/>
  <c r="V360" i="2"/>
  <c r="W360" i="2" s="1"/>
  <c r="V361" i="2"/>
  <c r="W361" i="2" s="1"/>
  <c r="V362" i="2"/>
  <c r="W362" i="2" s="1"/>
  <c r="V363" i="2"/>
  <c r="W363" i="2" s="1"/>
  <c r="V364" i="2"/>
  <c r="W364" i="2" s="1"/>
  <c r="V365" i="2"/>
  <c r="W365" i="2" s="1"/>
  <c r="V366" i="2"/>
  <c r="W366" i="2" s="1"/>
  <c r="V367" i="2"/>
  <c r="W367" i="2" s="1"/>
  <c r="V368" i="2"/>
  <c r="W368" i="2" s="1"/>
  <c r="V369" i="2"/>
  <c r="W369" i="2" s="1"/>
  <c r="V370" i="2"/>
  <c r="W370" i="2" s="1"/>
  <c r="V371" i="2"/>
  <c r="W371" i="2" s="1"/>
  <c r="V372" i="2"/>
  <c r="W372" i="2" s="1"/>
  <c r="V373" i="2"/>
  <c r="W373" i="2" s="1"/>
  <c r="V374" i="2"/>
  <c r="W374" i="2" s="1"/>
  <c r="V375" i="2"/>
  <c r="W375" i="2" s="1"/>
  <c r="V376" i="2"/>
  <c r="W376" i="2" s="1"/>
  <c r="V377" i="2"/>
  <c r="W377" i="2" s="1"/>
  <c r="V378" i="2"/>
  <c r="W378" i="2" s="1"/>
  <c r="V379" i="2"/>
  <c r="W379" i="2" s="1"/>
  <c r="V380" i="2"/>
  <c r="W380" i="2" s="1"/>
  <c r="V381" i="2"/>
  <c r="W381" i="2" s="1"/>
  <c r="V382" i="2"/>
  <c r="W382" i="2" s="1"/>
  <c r="V383" i="2"/>
  <c r="W383" i="2" s="1"/>
  <c r="V384" i="2"/>
  <c r="W384" i="2" s="1"/>
  <c r="V385" i="2"/>
  <c r="W385" i="2" s="1"/>
  <c r="V386" i="2"/>
  <c r="W386" i="2" s="1"/>
  <c r="V387" i="2"/>
  <c r="W387" i="2" s="1"/>
  <c r="V388" i="2"/>
  <c r="W388" i="2" s="1"/>
  <c r="V389" i="2"/>
  <c r="W389" i="2" s="1"/>
  <c r="V390" i="2"/>
  <c r="W390" i="2" s="1"/>
  <c r="V391" i="2"/>
  <c r="W391" i="2" s="1"/>
  <c r="V392" i="2"/>
  <c r="W392" i="2" s="1"/>
  <c r="V393" i="2"/>
  <c r="W393" i="2" s="1"/>
  <c r="V394" i="2"/>
  <c r="W394" i="2" s="1"/>
  <c r="V395" i="2"/>
  <c r="W395" i="2" s="1"/>
  <c r="V396" i="2"/>
  <c r="W396" i="2" s="1"/>
  <c r="V397" i="2"/>
  <c r="W397" i="2" s="1"/>
  <c r="V398" i="2"/>
  <c r="W398" i="2" s="1"/>
  <c r="V399" i="2"/>
  <c r="W399" i="2" s="1"/>
  <c r="V400" i="2"/>
  <c r="W400" i="2" s="1"/>
  <c r="V401" i="2"/>
  <c r="W401" i="2" s="1"/>
  <c r="V402" i="2"/>
  <c r="W402" i="2" s="1"/>
  <c r="V403" i="2"/>
  <c r="W403" i="2" s="1"/>
  <c r="V404" i="2"/>
  <c r="W404" i="2" s="1"/>
  <c r="V405" i="2"/>
  <c r="W405" i="2" s="1"/>
  <c r="V406" i="2"/>
  <c r="W406" i="2" s="1"/>
  <c r="V407" i="2"/>
  <c r="W407" i="2" s="1"/>
  <c r="V408" i="2"/>
  <c r="W408" i="2" s="1"/>
  <c r="V409" i="2"/>
  <c r="W409" i="2" s="1"/>
  <c r="V410" i="2"/>
  <c r="W410" i="2" s="1"/>
  <c r="V411" i="2"/>
  <c r="W411" i="2" s="1"/>
  <c r="V412" i="2"/>
  <c r="W412" i="2" s="1"/>
  <c r="V413" i="2"/>
  <c r="W413" i="2" s="1"/>
  <c r="V414" i="2"/>
  <c r="W414" i="2" s="1"/>
  <c r="V415" i="2"/>
  <c r="W415" i="2" s="1"/>
  <c r="V416" i="2"/>
  <c r="W416" i="2" s="1"/>
  <c r="V417" i="2"/>
  <c r="W417" i="2" s="1"/>
  <c r="V418" i="2"/>
  <c r="W418" i="2" s="1"/>
  <c r="V419" i="2"/>
  <c r="W419" i="2" s="1"/>
  <c r="V420" i="2"/>
  <c r="W420" i="2" s="1"/>
  <c r="V421" i="2"/>
  <c r="W421" i="2" s="1"/>
  <c r="V422" i="2"/>
  <c r="W422" i="2" s="1"/>
  <c r="V423" i="2"/>
  <c r="W423" i="2" s="1"/>
  <c r="V424" i="2"/>
  <c r="W424" i="2" s="1"/>
  <c r="V425" i="2"/>
  <c r="W425" i="2" s="1"/>
  <c r="V426" i="2"/>
  <c r="W426" i="2" s="1"/>
  <c r="V427" i="2"/>
  <c r="W427" i="2" s="1"/>
  <c r="V428" i="2"/>
  <c r="W428" i="2" s="1"/>
  <c r="V429" i="2"/>
  <c r="W429" i="2" s="1"/>
  <c r="V430" i="2"/>
  <c r="W430" i="2" s="1"/>
  <c r="V431" i="2"/>
  <c r="W431" i="2" s="1"/>
  <c r="V432" i="2"/>
  <c r="W432" i="2" s="1"/>
  <c r="V433" i="2"/>
  <c r="W433" i="2" s="1"/>
  <c r="V434" i="2"/>
  <c r="W434" i="2" s="1"/>
  <c r="V435" i="2"/>
  <c r="W435" i="2" s="1"/>
  <c r="V436" i="2"/>
  <c r="W436" i="2" s="1"/>
  <c r="V437" i="2"/>
  <c r="W437" i="2" s="1"/>
  <c r="V438" i="2"/>
  <c r="W438" i="2" s="1"/>
  <c r="V439" i="2"/>
  <c r="W439" i="2" s="1"/>
  <c r="V440" i="2"/>
  <c r="W440" i="2" s="1"/>
  <c r="V441" i="2"/>
  <c r="W441" i="2" s="1"/>
  <c r="V442" i="2"/>
  <c r="W442" i="2" s="1"/>
  <c r="V443" i="2"/>
  <c r="W443" i="2" s="1"/>
  <c r="V444" i="2"/>
  <c r="W444" i="2" s="1"/>
  <c r="V445" i="2"/>
  <c r="W445" i="2" s="1"/>
  <c r="V446" i="2"/>
  <c r="W446" i="2" s="1"/>
  <c r="V447" i="2"/>
  <c r="W447" i="2" s="1"/>
  <c r="V448" i="2"/>
  <c r="W448" i="2" s="1"/>
  <c r="V449" i="2"/>
  <c r="W449" i="2" s="1"/>
  <c r="V450" i="2"/>
  <c r="W450" i="2" s="1"/>
  <c r="V451" i="2"/>
  <c r="W451" i="2" s="1"/>
  <c r="V452" i="2"/>
  <c r="W452" i="2" s="1"/>
  <c r="V453" i="2"/>
  <c r="W453" i="2" s="1"/>
  <c r="V454" i="2"/>
  <c r="W454" i="2" s="1"/>
  <c r="V455" i="2"/>
  <c r="W455" i="2" s="1"/>
  <c r="V456" i="2"/>
  <c r="W456" i="2" s="1"/>
  <c r="V457" i="2"/>
  <c r="W457" i="2" s="1"/>
  <c r="V458" i="2"/>
  <c r="W458" i="2" s="1"/>
  <c r="V459" i="2"/>
  <c r="W459" i="2" s="1"/>
  <c r="V460" i="2"/>
  <c r="W460" i="2" s="1"/>
  <c r="V461" i="2"/>
  <c r="W461" i="2" s="1"/>
  <c r="V462" i="2"/>
  <c r="W462" i="2" s="1"/>
  <c r="V463" i="2"/>
  <c r="W463" i="2" s="1"/>
  <c r="V464" i="2"/>
  <c r="W464" i="2" s="1"/>
  <c r="V465" i="2"/>
  <c r="W465" i="2" s="1"/>
  <c r="V466" i="2"/>
  <c r="W466" i="2" s="1"/>
  <c r="V467" i="2"/>
  <c r="W467" i="2" s="1"/>
  <c r="V468" i="2"/>
  <c r="W468" i="2" s="1"/>
  <c r="V469" i="2"/>
  <c r="W469" i="2" s="1"/>
  <c r="V470" i="2"/>
  <c r="W470" i="2" s="1"/>
  <c r="V471" i="2"/>
  <c r="W471" i="2" s="1"/>
  <c r="V472" i="2"/>
  <c r="W472" i="2" s="1"/>
  <c r="V473" i="2"/>
  <c r="W473" i="2" s="1"/>
  <c r="V474" i="2"/>
  <c r="W474" i="2" s="1"/>
  <c r="V475" i="2"/>
  <c r="W475" i="2" s="1"/>
  <c r="V476" i="2"/>
  <c r="W476" i="2" s="1"/>
  <c r="V477" i="2"/>
  <c r="W477" i="2" s="1"/>
  <c r="V478" i="2"/>
  <c r="W478" i="2" s="1"/>
  <c r="V479" i="2"/>
  <c r="W479" i="2" s="1"/>
  <c r="V480" i="2"/>
  <c r="W480" i="2" s="1"/>
  <c r="V481" i="2"/>
  <c r="W481" i="2" s="1"/>
  <c r="V482" i="2"/>
  <c r="W482" i="2" s="1"/>
  <c r="V483" i="2"/>
  <c r="W483" i="2" s="1"/>
  <c r="V484" i="2"/>
  <c r="W484" i="2" s="1"/>
  <c r="V485" i="2"/>
  <c r="W485" i="2" s="1"/>
  <c r="V486" i="2"/>
  <c r="W486" i="2" s="1"/>
  <c r="V487" i="2"/>
  <c r="W487" i="2" s="1"/>
  <c r="V488" i="2"/>
  <c r="W488" i="2" s="1"/>
  <c r="V489" i="2"/>
  <c r="W489" i="2" s="1"/>
  <c r="V490" i="2"/>
  <c r="W490" i="2" s="1"/>
  <c r="V491" i="2"/>
  <c r="W491" i="2" s="1"/>
  <c r="V492" i="2"/>
  <c r="W492" i="2" s="1"/>
  <c r="V493" i="2"/>
  <c r="W493" i="2" s="1"/>
  <c r="V494" i="2"/>
  <c r="W494" i="2" s="1"/>
  <c r="V495" i="2"/>
  <c r="W495" i="2" s="1"/>
  <c r="V496" i="2"/>
  <c r="W496" i="2" s="1"/>
  <c r="V497" i="2"/>
  <c r="W497" i="2" s="1"/>
  <c r="V498" i="2"/>
  <c r="W498" i="2" s="1"/>
  <c r="V499" i="2"/>
  <c r="W499" i="2" s="1"/>
  <c r="V500" i="2"/>
  <c r="W500" i="2" s="1"/>
  <c r="V501" i="2"/>
  <c r="W501" i="2" s="1"/>
  <c r="V502" i="2"/>
  <c r="W502" i="2" s="1"/>
  <c r="V503" i="2"/>
  <c r="W503" i="2" s="1"/>
  <c r="V504" i="2"/>
  <c r="W504" i="2" s="1"/>
  <c r="V505" i="2"/>
  <c r="W505" i="2" s="1"/>
  <c r="V506" i="2"/>
  <c r="W506" i="2" s="1"/>
  <c r="V507" i="2"/>
  <c r="W507" i="2" s="1"/>
  <c r="V508" i="2"/>
  <c r="W508" i="2" s="1"/>
  <c r="V509" i="2"/>
  <c r="W509" i="2" s="1"/>
  <c r="V510" i="2"/>
  <c r="W510" i="2" s="1"/>
  <c r="V511" i="2"/>
  <c r="W511" i="2" s="1"/>
  <c r="V512" i="2"/>
  <c r="W512" i="2" s="1"/>
  <c r="V513" i="2"/>
  <c r="W513" i="2" s="1"/>
  <c r="V514" i="2"/>
  <c r="W514" i="2" s="1"/>
  <c r="V515" i="2"/>
  <c r="W515" i="2" s="1"/>
  <c r="V516" i="2"/>
  <c r="W516" i="2" s="1"/>
  <c r="V517" i="2"/>
  <c r="W517" i="2" s="1"/>
  <c r="V518" i="2"/>
  <c r="W518" i="2" s="1"/>
  <c r="V519" i="2"/>
  <c r="W519" i="2" s="1"/>
  <c r="V520" i="2"/>
  <c r="W520" i="2" s="1"/>
  <c r="V521" i="2"/>
  <c r="W521" i="2" s="1"/>
  <c r="V522" i="2"/>
  <c r="W522" i="2" s="1"/>
  <c r="V523" i="2"/>
  <c r="W523" i="2" s="1"/>
  <c r="V524" i="2"/>
  <c r="W524" i="2" s="1"/>
  <c r="V525" i="2"/>
  <c r="W525" i="2" s="1"/>
  <c r="V526" i="2"/>
  <c r="W526" i="2" s="1"/>
  <c r="V527" i="2"/>
  <c r="W527" i="2" s="1"/>
  <c r="V528" i="2"/>
  <c r="W528" i="2" s="1"/>
  <c r="V529" i="2"/>
  <c r="W529" i="2" s="1"/>
  <c r="V530" i="2"/>
  <c r="W530" i="2" s="1"/>
  <c r="V531" i="2"/>
  <c r="W531" i="2" s="1"/>
  <c r="V532" i="2"/>
  <c r="W532" i="2" s="1"/>
  <c r="V533" i="2"/>
  <c r="W533" i="2" s="1"/>
  <c r="V534" i="2"/>
  <c r="W534" i="2" s="1"/>
  <c r="V535" i="2"/>
  <c r="W535" i="2" s="1"/>
  <c r="V536" i="2"/>
  <c r="W536" i="2" s="1"/>
  <c r="V537" i="2"/>
  <c r="W537" i="2" s="1"/>
  <c r="V538" i="2"/>
  <c r="W538" i="2" s="1"/>
  <c r="V539" i="2"/>
  <c r="W539" i="2" s="1"/>
  <c r="V540" i="2"/>
  <c r="W540" i="2" s="1"/>
  <c r="V541" i="2"/>
  <c r="W541" i="2" s="1"/>
  <c r="V542" i="2"/>
  <c r="W542" i="2" s="1"/>
  <c r="V2" i="2"/>
  <c r="W2" i="2" s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<sst xmlns="http://schemas.openxmlformats.org/spreadsheetml/2006/main" count="153" uniqueCount="91">
  <si>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</si>
  <si>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</si>
  <si>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</si>
  <si>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</si>
  <si>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</si>
  <si>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</si>
  <si>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</si>
  <si>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</si>
  <si>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</si>
  <si>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</si>
  <si>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</si>
  <si>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</si>
  <si>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</si>
  <si>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</si>
  <si>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</si>
  <si>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</si>
  <si>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</si>
  <si>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</si>
  <si>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</si>
  <si>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</si>
  <si>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</si>
  <si>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</si>
  <si>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</si>
  <si>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</si>
  <si>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</si>
  <si>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</si>
  <si>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</si>
  <si>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</si>
  <si>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</si>
  <si>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</si>
  <si>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</si>
  <si>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</si>
  <si>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</si>
  <si>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</si>
  <si>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</si>
  <si>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</si>
  <si>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</si>
  <si>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</si>
  <si>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</si>
  <si>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</si>
  <si>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</si>
  <si>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</si>
  <si>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</si>
  <si>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</si>
  <si>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a</t>
  </si>
  <si>
    <t>BMI_index</t>
  </si>
  <si>
    <t>MAP_Mean_arterial_pressure</t>
  </si>
  <si>
    <t>PCOS_confirm</t>
  </si>
  <si>
    <t>Row Labels</t>
  </si>
  <si>
    <t>NO</t>
  </si>
  <si>
    <t>YES</t>
  </si>
  <si>
    <t>Grand Total</t>
  </si>
  <si>
    <t>Count of Sl. No</t>
  </si>
  <si>
    <t>Total_Follicles_number</t>
  </si>
  <si>
    <t>Avg_total_follicles_size</t>
  </si>
  <si>
    <t>Average of AMH(ng/mL)</t>
  </si>
  <si>
    <t>Average of Total_Follicles_number</t>
  </si>
  <si>
    <t>Average of Avg_total_follicles_size</t>
  </si>
  <si>
    <t>Column Labels</t>
  </si>
  <si>
    <t>Pregnant_confirm</t>
  </si>
  <si>
    <t>Weight_gain_confirm</t>
  </si>
  <si>
    <t>Hair_growth_confirm</t>
  </si>
  <si>
    <t>Skin_darkening_confirm</t>
  </si>
  <si>
    <t>Hair_loss_confirm</t>
  </si>
  <si>
    <t>Pimples_confirm</t>
  </si>
  <si>
    <t>Fast_food_confirm</t>
  </si>
  <si>
    <t>Reg_Exercise_confirm</t>
  </si>
  <si>
    <t>FSH/LH_Flag</t>
  </si>
  <si>
    <t>Abnormal</t>
  </si>
  <si>
    <t>Normal</t>
  </si>
  <si>
    <t>Count of Patient File No.</t>
  </si>
  <si>
    <t>Vit D confirm</t>
  </si>
  <si>
    <t>Deficiency</t>
  </si>
  <si>
    <t>Identify Vitamin D deficiency patterns</t>
  </si>
  <si>
    <t>LH/FSH Ratio</t>
  </si>
  <si>
    <t>PCOS_Risk_Tier</t>
  </si>
  <si>
    <t>Low risk</t>
  </si>
  <si>
    <t>Moderate risk</t>
  </si>
  <si>
    <t>High risk and irregular cycle</t>
  </si>
  <si>
    <t>Symptom_score</t>
  </si>
  <si>
    <t>&lt;3</t>
  </si>
  <si>
    <t>3-4</t>
  </si>
  <si>
    <t>obesity</t>
  </si>
  <si>
    <t>Overweight</t>
  </si>
  <si>
    <t>Underweight</t>
  </si>
  <si>
    <t>Count of Total_Follicles_number</t>
  </si>
  <si>
    <t>Clear</t>
  </si>
  <si>
    <t>Investigation Required</t>
  </si>
  <si>
    <t>Average of   I   beta-HCG(mIU/mL)</t>
  </si>
  <si>
    <t>Average of II    beta-HCG(mIU/mL)</t>
  </si>
  <si>
    <t>Beta_HCG_LEVELS_Anomalies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</si>
</sst>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</font>
    <font>
      <sz val="2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[PCOS_data_without_infertility.xlsx]Charts 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'Charts '!$AQ$7:$AQ$8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'!$AP$9:$AP$11</c:f>
              <c:strCache>
                <c:ptCount val="3"/>
                <c:pt idx="0">
                  <c:v>High risk and irregular cycle</c:v>
                </c:pt>
                <c:pt idx="1">
                  <c:v>Low risk</c:v>
                </c:pt>
                <c:pt idx="2">
                  <c:v>Moderate risk</c:v>
                </c:pt>
              </c:strCache>
            </c:strRef>
          </c:cat>
          <c:val>
            <c:numRef>
              <c:f>'Charts '!$AQ$9:$AQ$11</c:f>
              <c:numCache>
                <c:formatCode>General</c:formatCode>
                <c:ptCount val="3"/>
                <c:pt idx="0">
                  <c:v>9</c:v>
                </c:pt>
                <c:pt idx="1">
                  <c:v>173</c:v>
                </c:pt>
                <c:pt idx="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1-4F89-9C5D-314DB6BEB187}"/>
            </c:ext>
          </c:extLst>
        </c:ser>
        <c:ser>
          <c:idx val="1"/>
          <c:order val="1"/>
          <c:tx>
            <c:strRef>
              <c:f>'Charts '!$AR$7:$AR$8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'!$AP$9:$AP$11</c:f>
              <c:strCache>
                <c:ptCount val="3"/>
                <c:pt idx="0">
                  <c:v>High risk and irregular cycle</c:v>
                </c:pt>
                <c:pt idx="1">
                  <c:v>Low risk</c:v>
                </c:pt>
                <c:pt idx="2">
                  <c:v>Moderate risk</c:v>
                </c:pt>
              </c:strCache>
            </c:strRef>
          </c:cat>
          <c:val>
            <c:numRef>
              <c:f>'Charts '!$AR$9:$AR$11</c:f>
              <c:numCache>
                <c:formatCode>General</c:formatCode>
                <c:ptCount val="3"/>
                <c:pt idx="0">
                  <c:v>74</c:v>
                </c:pt>
                <c:pt idx="1">
                  <c:v>5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1-4F89-9C5D-314DB6BEB1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439691375"/>
        <c:axId val="1378743471"/>
      </c:barChart>
      <c:catAx>
        <c:axId val="143969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43471"/>
        <c:crosses val="autoZero"/>
        <c:auto val="1"/>
        <c:lblAlgn val="ctr"/>
        <c:lblOffset val="100"/>
        <c:noMultiLvlLbl val="0"/>
      </c:catAx>
      <c:valAx>
        <c:axId val="1378743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143969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[PCOS_data_without_infertility.xlsx]Charts 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'Charts '!$C$7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'!$B$8:$B$10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'Charts '!$C$8:$C$10</c:f>
              <c:numCache>
                <c:formatCode>General</c:formatCode>
                <c:ptCount val="2"/>
                <c:pt idx="0">
                  <c:v>364</c:v>
                </c:pt>
                <c:pt idx="1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0-453D-BC31-FB26732BC9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[PCOS_data_without_infertility.xlsx]Charts 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'!$J$7</c:f>
              <c:strCache>
                <c:ptCount val="1"/>
                <c:pt idx="0">
                  <c:v>Average of AMH(ng/mL)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'!$I$8:$I$10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'Charts '!$J$8:$J$10</c:f>
              <c:numCache>
                <c:formatCode>General</c:formatCode>
                <c:ptCount val="2"/>
                <c:pt idx="0">
                  <c:v>4.541495867768595</c:v>
                </c:pt>
                <c:pt idx="1">
                  <c:v>7.8446327683615804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1-4795-9844-C2226F553E19}"/>
            </c:ext>
          </c:extLst>
        </c:ser>
        <c:ser>
          <c:idx val="1"/>
          <c:order val="1"/>
          <c:tx>
            <c:strRef>
              <c:f>'Charts '!$K$7</c:f>
              <c:strCache>
                <c:ptCount val="1"/>
                <c:pt idx="0">
                  <c:v>Average of Avg_total_follicles_size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'!$I$8:$I$10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'Charts '!$K$8:$K$10</c:f>
              <c:numCache>
                <c:formatCode>General</c:formatCode>
                <c:ptCount val="2"/>
                <c:pt idx="0">
                  <c:v>29.91346153846154</c:v>
                </c:pt>
                <c:pt idx="1">
                  <c:v>31.613954802259887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21-4795-9844-C2226F553E19}"/>
            </c:ext>
          </c:extLst>
        </c:ser>
        <c:ser>
          <c:idx val="2"/>
          <c:order val="2"/>
          <c:tx>
            <c:strRef>
              <c:f>'Charts '!$L$7</c:f>
              <c:strCache>
                <c:ptCount val="1"/>
                <c:pt idx="0">
                  <c:v>Average of Total_Follicles_number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'!$I$8:$I$10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'Charts '!$L$8:$L$10</c:f>
              <c:numCache>
                <c:formatCode>General</c:formatCode>
                <c:ptCount val="2"/>
                <c:pt idx="0">
                  <c:v>8.9890109890109891</c:v>
                </c:pt>
                <c:pt idx="1">
                  <c:v>20.548022598870055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21-4795-9844-C2226F553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8150383"/>
        <c:axId val="1378705071"/>
      </c:barChart>
      <c:catAx>
        <c:axId val="164815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05071"/>
        <c:crosses val="autoZero"/>
        <c:auto val="1"/>
        <c:lblAlgn val="ctr"/>
        <c:lblOffset val="100"/>
        <c:noMultiLvlLbl val="0"/>
      </c:catAx>
      <c:valAx>
        <c:axId val="13787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5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[PCOS_data_without_infertility.xlsx]Charts 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'!$S$7:$S$8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'Charts '!$R$9:$R$14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'Charts '!$S$9:$S$14</c:f>
              <c:numCache>
                <c:formatCode>General</c:formatCode>
                <c:ptCount val="4"/>
                <c:pt idx="0">
                  <c:v>191</c:v>
                </c:pt>
                <c:pt idx="1">
                  <c:v>34</c:v>
                </c:pt>
                <c:pt idx="2">
                  <c:v>22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0-40C8-80E2-E4CFECB3B3DF}"/>
            </c:ext>
          </c:extLst>
        </c:ser>
        <c:ser>
          <c:idx val="1"/>
          <c:order val="1"/>
          <c:tx>
            <c:strRef>
              <c:f>'Charts '!$T$7:$T$8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'Charts '!$R$9:$R$14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'Charts '!$T$9:$T$14</c:f>
              <c:numCache>
                <c:formatCode>General</c:formatCode>
                <c:ptCount val="4"/>
                <c:pt idx="0">
                  <c:v>90</c:v>
                </c:pt>
                <c:pt idx="1">
                  <c:v>49</c:v>
                </c:pt>
                <c:pt idx="2">
                  <c:v>34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0-40C8-80E2-E4CFECB3B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06450399"/>
        <c:axId val="1378710831"/>
      </c:barChart>
      <c:valAx>
        <c:axId val="137871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450399"/>
        <c:crossBetween val="between"/>
      </c:valAx>
      <c:catAx>
        <c:axId val="16064503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7108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3810</xdr:colOff>
      <xdr:row>13</xdr:row>
      <xdr:rowOff>7620</xdr:rowOff>
    </xdr:from>
    <xdr:to>
      <xdr:col>46</xdr:col>
      <xdr:colOff>102870</xdr:colOff>
      <xdr:row>29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77573-D40E-4D3C-B4A0-FB281518F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987306</xdr:colOff>
      <xdr:row>12</xdr:row>
      <xdr:rowOff>14466</xdr:rowOff>
    </xdr:from>
    <xdr:to>
      <xdr:col>3</xdr:col>
      <xdr:colOff>1937658</xdr:colOff>
      <xdr:row>24</xdr:row>
      <xdr:rowOff>141514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12D073-7CB7-D20D-926C-DA8EBA52E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489856</xdr:colOff>
      <xdr:row>12</xdr:row>
      <xdr:rowOff>48490</xdr:rowOff>
    </xdr:from>
    <xdr:to>
      <xdr:col>10</xdr:col>
      <xdr:colOff>2840182</xdr:colOff>
      <xdr:row>29</xdr:row>
      <xdr:rowOff>9895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B1550D-F506-2642-8724-B5567FF2B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143933</xdr:colOff>
      <xdr:row>14</xdr:row>
      <xdr:rowOff>144373</xdr:rowOff>
    </xdr:from>
    <xdr:to>
      <xdr:col>24</xdr:col>
      <xdr:colOff>287867</xdr:colOff>
      <xdr:row>36</xdr:row>
      <xdr:rowOff>160867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7AF4B9-0B4F-CE93-DC20-84C911D8E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nt mishra" refreshedDate="46252.691664467595" createdVersion="8" refreshedVersion="8" minRefreshableVersion="3" recordCount="541" xr:uid="{CDCCB0DB-F3B6-4C0F-91C6-5EEF0C695945}">
  <cacheSource type="worksheet">
    <worksheetSource name="Table1"/>
  </cacheSource>
  <cacheFields count="61">
    <cacheField name="Sl. No" numFmtId="0">
      <sharedItems containsSemiMixedTypes="0" containsString="0" containsNumber="1" containsInteger="1" minValue="1" maxValue="541"/>
    </cacheField>
    <cacheField name="Patient File No." numFmtId="0">
      <sharedItems containsSemiMixedTypes="0" containsString="0" containsNumber="1" containsInteger="1" minValue="1" maxValue="541"/>
    </cacheField>
    <cacheField name="PCOS (Y/N)" numFmtId="0">
      <sharedItems containsSemiMixedTypes="0" containsString="0" containsNumber="1" containsInteger="1" minValue="0" maxValue="1"/>
    </cacheField>
    <cacheField name="PCOS_confirm" numFmtId="0">
      <sharedItems count="2">
        <s v="NO"/>
        <s v="YES"/>
      </sharedItems>
    </cacheField>
    <cacheField name=" Age (yrs)" numFmtId="0">
      <sharedItems containsSemiMixedTypes="0" containsString="0" containsNumber="1" containsInteger="1" minValue="20" maxValue="48"/>
    </cacheField>
    <cacheField name="Weight (Kg)" numFmtId="0">
      <sharedItems containsSemiMixedTypes="0" containsString="0" containsNumber="1" minValue="31" maxValue="108"/>
    </cacheField>
    <cacheField name="Height(Cm) " numFmtId="0">
      <sharedItems containsSemiMixedTypes="0" containsString="0" containsNumber="1" minValue="137" maxValue="180"/>
    </cacheField>
    <cacheField name="Blood Group" numFmtId="0">
      <sharedItems containsSemiMixedTypes="0" containsString="0" containsNumber="1" containsInteger="1" minValue="11" maxValue="18"/>
    </cacheField>
    <cacheField name="Pulse rate(bpm) " numFmtId="0">
      <sharedItems containsSemiMixedTypes="0" containsString="0" containsNumber="1" containsInteger="1" minValue="13" maxValue="82"/>
    </cacheField>
    <cacheField name="RR (breaths/min)" numFmtId="0">
      <sharedItems containsSemiMixedTypes="0" containsString="0" containsNumber="1" containsInteger="1" minValue="16" maxValue="28"/>
    </cacheField>
    <cacheField name="Hb(g/dl)" numFmtId="0">
      <sharedItems containsSemiMixedTypes="0" containsString="0" containsNumber="1" minValue="8.5" maxValue="14.8"/>
    </cacheField>
    <cacheField name="Cycle(R/I)" numFmtId="0">
      <sharedItems containsSemiMixedTypes="0" containsString="0" containsNumber="1" containsInteger="1" minValue="2" maxValue="5"/>
    </cacheField>
    <cacheField name="Cycle length(days)" numFmtId="0">
      <sharedItems containsSemiMixedTypes="0" containsString="0" containsNumber="1" containsInteger="1" minValue="0" maxValue="12"/>
    </cacheField>
    <cacheField name="Marraige Status (Yrs)" numFmtId="0">
      <sharedItems containsString="0" containsBlank="1" containsNumber="1" minValue="0" maxValue="30"/>
    </cacheField>
    <cacheField name="Pregnant(Y/N)" numFmtId="0">
      <sharedItems containsSemiMixedTypes="0" containsString="0" containsNumber="1" containsInteger="1" minValue="0" maxValue="1"/>
    </cacheField>
    <cacheField name="Pregnant_confirm" numFmtId="0">
      <sharedItems/>
    </cacheField>
    <cacheField name="No. of aborptions" numFmtId="0">
      <sharedItems containsSemiMixedTypes="0" containsString="0" containsNumber="1" containsInteger="1" minValue="0" maxValue="5"/>
    </cacheField>
    <cacheField name="  I   beta-HCG(mIU/mL)" numFmtId="0">
      <sharedItems containsSemiMixedTypes="0" containsString="0" containsNumber="1" minValue="1.3" maxValue="32460.97"/>
    </cacheField>
    <cacheField name="II    beta-HCG(mIU/mL)" numFmtId="0">
      <sharedItems containsMixedTypes="1" containsNumber="1" minValue="0.99" maxValue="25000" count="203">
        <n v="1.99"/>
        <n v="494.08"/>
        <n v="801.45"/>
        <n v="100.51"/>
        <n v="158.51"/>
        <n v="1214.23"/>
        <n v="91.55"/>
        <n v="749.98"/>
        <n v="218.65"/>
        <n v="13"/>
        <n v="610.63"/>
        <n v="4490.18"/>
        <n v="11.24"/>
        <n v="15"/>
        <n v="768.03"/>
        <n v="12"/>
        <n v="10"/>
        <n v="20"/>
        <n v="30.66"/>
        <n v="1455"/>
        <n v="497.41"/>
        <n v="167"/>
        <n v="9.83"/>
        <n v="141.06"/>
        <n v="528.5"/>
        <n v="177.57"/>
        <n v="65.03"/>
        <n v="173.66"/>
        <n v="161.49"/>
        <n v="3.98"/>
        <n v="756.61"/>
        <n v="255.02"/>
        <n v="273.7"/>
        <n v="14.46"/>
        <n v="145.88999999999999"/>
        <n v="100.09"/>
        <n v="110.17"/>
        <n v="174.37"/>
        <n v="75.510000000000005"/>
        <n v="3893.06"/>
        <n v="600.23"/>
        <n v="3350.19"/>
        <n v="97.63"/>
        <n v="14.4"/>
        <n v="2"/>
        <n v="177.58"/>
        <n v="12.17"/>
        <n v="25.3"/>
        <n v="100.2"/>
        <n v="479.66"/>
        <n v="1.9"/>
        <n v="586.05999999999995"/>
        <s v="1.99."/>
        <n v="2.8"/>
        <n v="15.36"/>
        <n v="54.08"/>
        <n v="152.13"/>
        <n v="3.05"/>
        <n v="201.36"/>
        <n v="16069.69"/>
        <n v="57.08"/>
        <n v="232.71"/>
        <n v="23.5"/>
        <n v="180.3"/>
        <n v="102.3"/>
        <n v="481.3"/>
        <n v="563.79999999999995"/>
        <n v="4.32"/>
        <n v="230.5"/>
        <n v="155.30000000000001"/>
        <n v="3.8879999999999999"/>
        <n v="523.6"/>
        <n v="1.65"/>
        <n v="3.83"/>
        <n v="569.1"/>
        <n v="236.5"/>
        <n v="896.6"/>
        <n v="2.58"/>
        <n v="569.29999999999995"/>
        <n v="108.66"/>
        <n v="3.99"/>
        <n v="121.8"/>
        <n v="122.58"/>
        <n v="355.28"/>
        <n v="122.3"/>
        <n v="596.20000000000005"/>
        <n v="588.70000000000005"/>
        <n v="147.6"/>
        <n v="12.37"/>
        <n v="144.63"/>
        <n v="475.04"/>
        <n v="515.53"/>
        <n v="99.69"/>
        <n v="70.42"/>
        <n v="342.91"/>
        <n v="148.52000000000001"/>
        <n v="272.77999999999997"/>
        <n v="355.51"/>
        <n v="150.91"/>
        <n v="391.46"/>
        <n v="464.12"/>
        <n v="41.77"/>
        <n v="1390.58"/>
        <n v="213.83"/>
        <n v="45.9"/>
        <n v="18.36"/>
        <n v="154.47999999999999"/>
        <n v="25000"/>
        <n v="638.52"/>
        <n v="4.76"/>
        <n v="18.13"/>
        <n v="89.34"/>
        <n v="366.04"/>
        <n v="14.34"/>
        <n v="75.62"/>
        <n v="4.96"/>
        <n v="1134.4000000000001"/>
        <n v="785.95"/>
        <n v="229.86"/>
        <n v="3.9"/>
        <n v="297.20999999999998"/>
        <n v="277.27999999999997"/>
        <n v="783.36"/>
        <n v="21084.21"/>
        <n v="409.85"/>
        <n v="410.13"/>
        <n v="479.6"/>
        <n v="545.78"/>
        <n v="320.49"/>
        <n v="78.38"/>
        <n v="204.69"/>
        <n v="900.6"/>
        <n v="159.71"/>
        <n v="296.31"/>
        <n v="4176"/>
        <n v="183.06"/>
        <n v="161.77000000000001"/>
        <n v="61.98"/>
        <n v="403.85"/>
        <n v="34.65"/>
        <n v="48.86"/>
        <n v="371.74"/>
        <n v="970.75"/>
        <n v="109.06"/>
        <n v="1082.82"/>
        <n v="739.13"/>
        <n v="288.72000000000003"/>
        <n v="18.489999999999998"/>
        <n v="169.33"/>
        <n v="418.9"/>
        <n v="53.82"/>
        <n v="10.45"/>
        <n v="764.83"/>
        <n v="116.31"/>
        <n v="300.13"/>
        <n v="5.39"/>
        <n v="346.59"/>
        <n v="6.19"/>
        <n v="187.79"/>
        <n v="459.63"/>
        <n v="3.01"/>
        <n v="278.52"/>
        <n v="10.84"/>
        <n v="184.42"/>
        <n v="4.2"/>
        <n v="278.32"/>
        <n v="232.64"/>
        <n v="167.41"/>
        <n v="230.53"/>
        <n v="10.4"/>
        <n v="465.01"/>
        <n v="41.75"/>
        <n v="8.5399999999999991"/>
        <n v="382.36"/>
        <n v="10.98"/>
        <n v="252.72"/>
        <n v="67.2"/>
        <n v="6.9210000000000003"/>
        <n v="482.21"/>
        <n v="0.99"/>
        <n v="103.5"/>
        <n v="102.87"/>
        <n v="90.67"/>
        <n v="375.18"/>
        <n v="728.01"/>
        <n v="433.97"/>
        <n v="213.14"/>
        <n v="238.14"/>
        <n v="181.23"/>
        <n v="491.85"/>
        <n v="19.440000000000001"/>
        <n v="13.12"/>
        <n v="1.92"/>
        <n v="268.37"/>
        <n v="8"/>
        <n v="9.35"/>
        <n v="127.2"/>
        <n v="56.4"/>
        <n v="168.99"/>
        <n v="237.5"/>
        <n v="10.24"/>
        <n v="104.87"/>
        <n v="5.81"/>
      </sharedItems>
    </cacheField>
    <cacheField name="FSH(mIU/mL)" numFmtId="0">
      <sharedItems containsSemiMixedTypes="0" containsString="0" containsNumber="1" minValue="0.21" maxValue="5052"/>
    </cacheField>
    <cacheField name="LH(mIU/mL)" numFmtId="0">
      <sharedItems containsSemiMixedTypes="0" containsString="0" containsNumber="1" minValue="0.02" maxValue="2018"/>
    </cacheField>
    <cacheField name="FSH/LH" numFmtId="0">
      <sharedItems containsSemiMixedTypes="0" containsString="0" containsNumber="1" minValue="2.1456888007928641E-3" maxValue="1372.8260869565217"/>
    </cacheField>
    <cacheField name="FSH/LH_Flag" numFmtId="0">
      <sharedItems count="2">
        <s v="Abnormal"/>
        <s v="Normal"/>
      </sharedItems>
    </cacheField>
    <cacheField name="Hip(inch)" numFmtId="0">
      <sharedItems containsSemiMixedTypes="0" containsString="0" containsNumber="1" containsInteger="1" minValue="26" maxValue="48"/>
    </cacheField>
    <cacheField name="Waist(inch)" numFmtId="0">
      <sharedItems containsSemiMixedTypes="0" containsString="0" containsNumber="1" containsInteger="1" minValue="24" maxValue="47"/>
    </cacheField>
    <cacheField name="Waist:Hip Ratio" numFmtId="0">
      <sharedItems containsSemiMixedTypes="0" containsString="0" containsNumber="1" minValue="0.76" maxValue="0.98"/>
    </cacheField>
    <cacheField name="TSH (mIU/L)" numFmtId="0">
      <sharedItems containsSemiMixedTypes="0" containsString="0" containsNumber="1" minValue="0.04" maxValue="65"/>
    </cacheField>
    <cacheField name="AMH(ng/mL)" numFmtId="0">
      <sharedItems containsMixedTypes="1" containsNumber="1" minValue="0.1" maxValue="66"/>
    </cacheField>
    <cacheField name="PRL(ng/mL)" numFmtId="0">
      <sharedItems containsSemiMixedTypes="0" containsString="0" containsNumber="1" minValue="0.4" maxValue="128.24"/>
    </cacheField>
    <cacheField name="Vit D3 (ng/mL)" numFmtId="0">
      <sharedItems containsSemiMixedTypes="0" containsString="0" containsNumber="1" minValue="0" maxValue="6014.66"/>
    </cacheField>
    <cacheField name="Vit D confirm" numFmtId="0">
      <sharedItems count="2">
        <s v="Deficiency"/>
        <s v="Normal"/>
      </sharedItems>
    </cacheField>
    <cacheField name="PRG(ng/mL)" numFmtId="0">
      <sharedItems containsSemiMixedTypes="0" containsString="0" containsNumber="1" minValue="4.7E-2" maxValue="85"/>
    </cacheField>
    <cacheField name="RBS(mg/dl)" numFmtId="0">
      <sharedItems containsSemiMixedTypes="0" containsString="0" containsNumber="1" minValue="60" maxValue="350"/>
    </cacheField>
    <cacheField name="Weight gain(Y/N)" numFmtId="0">
      <sharedItems containsSemiMixedTypes="0" containsString="0" containsNumber="1" containsInteger="1" minValue="0" maxValue="1"/>
    </cacheField>
    <cacheField name="Weight_gain_confirm" numFmtId="0">
      <sharedItems count="2">
        <s v="NO"/>
        <s v="YES"/>
      </sharedItems>
    </cacheField>
    <cacheField name="hair growth(Y/N)" numFmtId="0">
      <sharedItems containsSemiMixedTypes="0" containsString="0" containsNumber="1" containsInteger="1" minValue="0" maxValue="1"/>
    </cacheField>
    <cacheField name="Hair_growth_confirm" numFmtId="0">
      <sharedItems/>
    </cacheField>
    <cacheField name="Skin darkening (Y/N)" numFmtId="0">
      <sharedItems containsSemiMixedTypes="0" containsString="0" containsNumber="1" containsInteger="1" minValue="0" maxValue="1"/>
    </cacheField>
    <cacheField name="Skin_darkening_confirm" numFmtId="0">
      <sharedItems/>
    </cacheField>
    <cacheField name="Hair loss(Y/N)" numFmtId="0">
      <sharedItems containsSemiMixedTypes="0" containsString="0" containsNumber="1" containsInteger="1" minValue="0" maxValue="1"/>
    </cacheField>
    <cacheField name="Hair_loss_confirm" numFmtId="0">
      <sharedItems/>
    </cacheField>
    <cacheField name="Pimples(Y/N)" numFmtId="0">
      <sharedItems containsSemiMixedTypes="0" containsString="0" containsNumber="1" containsInteger="1" minValue="0" maxValue="1"/>
    </cacheField>
    <cacheField name="Pimples_confirm" numFmtId="0">
      <sharedItems/>
    </cacheField>
    <cacheField name="Fast food (Y/N)" numFmtId="0">
      <sharedItems containsString="0" containsBlank="1" containsNumber="1" containsInteger="1" minValue="0" maxValue="1"/>
    </cacheField>
    <cacheField name="Fast_food_confirm" numFmtId="0">
      <sharedItems count="2">
        <s v="YES"/>
        <s v="NO"/>
      </sharedItems>
    </cacheField>
    <cacheField name="Reg.Exercise(Y/N)" numFmtId="0">
      <sharedItems containsSemiMixedTypes="0" containsString="0" containsNumber="1" containsInteger="1" minValue="0" maxValue="1"/>
    </cacheField>
    <cacheField name="Reg_Exercise_confirm" numFmtId="0">
      <sharedItems/>
    </cacheField>
    <cacheField name="BP _Systolic (mmHg)" numFmtId="0">
      <sharedItems containsSemiMixedTypes="0" containsString="0" containsNumber="1" containsInteger="1" minValue="12" maxValue="140"/>
    </cacheField>
    <cacheField name="BP _Diastolic (mmHg)" numFmtId="0">
      <sharedItems containsSemiMixedTypes="0" containsString="0" containsNumber="1" containsInteger="1" minValue="8" maxValue="100"/>
    </cacheField>
    <cacheField name="Follicle No. (L)" numFmtId="0">
      <sharedItems containsSemiMixedTypes="0" containsString="0" containsNumber="1" containsInteger="1" minValue="0" maxValue="22"/>
    </cacheField>
    <cacheField name="Follicle No. (R)" numFmtId="0">
      <sharedItems containsSemiMixedTypes="0" containsString="0" containsNumber="1" containsInteger="1" minValue="0" maxValue="20"/>
    </cacheField>
    <cacheField name="Avg. F size (L) (mm)" numFmtId="0">
      <sharedItems containsSemiMixedTypes="0" containsString="0" containsNumber="1" minValue="0" maxValue="24"/>
    </cacheField>
    <cacheField name="Avg. F size (R) (mm)" numFmtId="0">
      <sharedItems containsSemiMixedTypes="0" containsString="0" containsNumber="1" minValue="0" maxValue="24"/>
    </cacheField>
    <cacheField name="Endometrium (mm)" numFmtId="0">
      <sharedItems containsSemiMixedTypes="0" containsString="0" containsNumber="1" minValue="0" maxValue="18"/>
    </cacheField>
    <cacheField name="BMI_index" numFmtId="0">
      <sharedItems count="4">
        <s v="Normal"/>
        <s v="Overweight"/>
        <s v="Underweight"/>
        <s v="obesity"/>
      </sharedItems>
    </cacheField>
    <cacheField name="Total_Follicles_number" numFmtId="0">
      <sharedItems containsSemiMixedTypes="0" containsString="0" containsNumber="1" containsInteger="1" minValue="1" maxValue="41"/>
    </cacheField>
    <cacheField name="Avg_total_follicles_size" numFmtId="0">
      <sharedItems containsSemiMixedTypes="0" containsString="0" containsNumber="1" minValue="5.8" maxValue="44"/>
    </cacheField>
    <cacheField name="MAP_Mean_arterial_pressure" numFmtId="0">
      <sharedItems containsSemiMixedTypes="0" containsString="0" containsNumber="1" minValue="11.333333333333334" maxValue="134"/>
    </cacheField>
    <cacheField name="PCOS_Risk_Tier" numFmtId="0">
      <sharedItems count="3">
        <s v="Low risk"/>
        <s v="Moderate risk"/>
        <s v="High risk and irregular cycle"/>
      </sharedItems>
    </cacheField>
    <cacheField name="Symptom_score" numFmtId="0">
      <sharedItems containsSemiMixedTypes="0" containsString="0" containsNumber="1" containsInteger="1" minValue="0" maxValue="4" count="5">
        <n v="0"/>
        <n v="2"/>
        <n v="1"/>
        <n v="4"/>
        <n v="3"/>
      </sharedItems>
      <fieldGroup base="59">
        <rangePr autoStart="0" autoEnd="0" startNum="3" endNum="4"/>
        <groupItems count="3">
          <s v="&lt;3"/>
          <s v="3-4"/>
          <s v="&gt;4"/>
        </groupItems>
      </fieldGroup>
    </cacheField>
    <cacheField name="Pregnancy_Anomalies" numFmtId="0">
      <sharedItems count="2">
        <s v="Clear"/>
        <s v="Investigation Requi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n v="1"/>
    <n v="1"/>
    <n v="0"/>
    <x v="0"/>
    <n v="28"/>
    <n v="44.6"/>
    <n v="152"/>
    <n v="15"/>
    <n v="78"/>
    <n v="22"/>
    <n v="10.48"/>
    <n v="2"/>
    <n v="5"/>
    <n v="7"/>
    <n v="0"/>
    <s v="NO"/>
    <n v="0"/>
    <n v="1.99"/>
    <x v="0"/>
    <n v="7.95"/>
    <n v="3.68"/>
    <n v="2.1603260869565215"/>
    <x v="0"/>
    <n v="36"/>
    <n v="30"/>
    <n v="0.83"/>
    <n v="0.68"/>
    <n v="2.0699999999999998"/>
    <n v="45.16"/>
    <n v="17.100000000000001"/>
    <x v="0"/>
    <n v="0.56999999999999995"/>
    <n v="92"/>
    <n v="0"/>
    <x v="0"/>
    <n v="0"/>
    <s v="NO"/>
    <n v="0"/>
    <s v="NO"/>
    <n v="0"/>
    <s v="NO"/>
    <n v="0"/>
    <s v="NO"/>
    <n v="1"/>
    <x v="0"/>
    <n v="0"/>
    <s v="NO"/>
    <n v="110"/>
    <n v="80"/>
    <n v="3"/>
    <n v="3"/>
    <n v="18"/>
    <n v="18"/>
    <n v="8.5"/>
    <x v="0"/>
    <n v="6"/>
    <n v="36"/>
    <n v="107.66666666666667"/>
    <x v="0"/>
    <x v="0"/>
    <x v="0"/>
  </r>
  <r>
    <n v="2"/>
    <n v="2"/>
    <n v="0"/>
    <x v="0"/>
    <n v="36"/>
    <n v="65"/>
    <n v="161.5"/>
    <n v="15"/>
    <n v="74"/>
    <n v="20"/>
    <n v="11.7"/>
    <n v="2"/>
    <n v="5"/>
    <n v="11"/>
    <n v="1"/>
    <s v="YES"/>
    <n v="0"/>
    <n v="60.8"/>
    <x v="0"/>
    <n v="6.73"/>
    <n v="1.0900000000000001"/>
    <n v="6.1743119266055047"/>
    <x v="0"/>
    <n v="38"/>
    <n v="32"/>
    <n v="0.84"/>
    <n v="3.16"/>
    <n v="1.53"/>
    <n v="20.09"/>
    <n v="61.3"/>
    <x v="1"/>
    <n v="0.97"/>
    <n v="92"/>
    <n v="0"/>
    <x v="0"/>
    <n v="0"/>
    <s v="NO"/>
    <n v="0"/>
    <s v="NO"/>
    <n v="0"/>
    <s v="NO"/>
    <n v="0"/>
    <s v="NO"/>
    <n v="0"/>
    <x v="1"/>
    <n v="0"/>
    <s v="NO"/>
    <n v="120"/>
    <n v="70"/>
    <n v="3"/>
    <n v="5"/>
    <n v="15"/>
    <n v="14"/>
    <n v="3.7"/>
    <x v="1"/>
    <n v="8"/>
    <n v="29"/>
    <n v="94.333333333333329"/>
    <x v="0"/>
    <x v="0"/>
    <x v="0"/>
  </r>
  <r>
    <n v="3"/>
    <n v="3"/>
    <n v="1"/>
    <x v="1"/>
    <n v="33"/>
    <n v="68.8"/>
    <n v="165"/>
    <n v="11"/>
    <n v="72"/>
    <n v="18"/>
    <n v="11.8"/>
    <n v="2"/>
    <n v="5"/>
    <n v="10"/>
    <n v="1"/>
    <s v="YES"/>
    <n v="0"/>
    <n v="494.08"/>
    <x v="1"/>
    <n v="5.54"/>
    <n v="0.88"/>
    <n v="6.2954545454545459"/>
    <x v="0"/>
    <n v="40"/>
    <n v="36"/>
    <n v="0.9"/>
    <n v="2.54"/>
    <n v="6.63"/>
    <n v="10.52"/>
    <n v="49.7"/>
    <x v="1"/>
    <n v="0.36"/>
    <n v="84"/>
    <n v="0"/>
    <x v="0"/>
    <n v="0"/>
    <s v="NO"/>
    <n v="0"/>
    <s v="NO"/>
    <n v="1"/>
    <s v="YES"/>
    <n v="1"/>
    <s v="YES"/>
    <n v="1"/>
    <x v="0"/>
    <n v="0"/>
    <s v="NO"/>
    <n v="120"/>
    <n v="80"/>
    <n v="13"/>
    <n v="15"/>
    <n v="18"/>
    <n v="20"/>
    <n v="10"/>
    <x v="1"/>
    <n v="28"/>
    <n v="38"/>
    <n v="111"/>
    <x v="1"/>
    <x v="1"/>
    <x v="0"/>
  </r>
  <r>
    <n v="4"/>
    <n v="4"/>
    <n v="0"/>
    <x v="0"/>
    <n v="37"/>
    <n v="65"/>
    <n v="148"/>
    <n v="13"/>
    <n v="72"/>
    <n v="20"/>
    <n v="12"/>
    <n v="2"/>
    <n v="5"/>
    <n v="4"/>
    <n v="0"/>
    <s v="NO"/>
    <n v="0"/>
    <n v="1.99"/>
    <x v="0"/>
    <n v="8.06"/>
    <n v="2.36"/>
    <n v="3.4152542372881358"/>
    <x v="0"/>
    <n v="42"/>
    <n v="36"/>
    <n v="0.86"/>
    <n v="16.41"/>
    <n v="1.22"/>
    <n v="36.9"/>
    <n v="33.4"/>
    <x v="1"/>
    <n v="0.36"/>
    <n v="76"/>
    <n v="0"/>
    <x v="0"/>
    <n v="0"/>
    <s v="NO"/>
    <n v="0"/>
    <s v="NO"/>
    <n v="0"/>
    <s v="NO"/>
    <n v="0"/>
    <s v="NO"/>
    <n v="0"/>
    <x v="1"/>
    <n v="0"/>
    <s v="NO"/>
    <n v="120"/>
    <n v="70"/>
    <n v="2"/>
    <n v="2"/>
    <n v="15"/>
    <n v="14"/>
    <n v="7.5"/>
    <x v="1"/>
    <n v="4"/>
    <n v="29"/>
    <n v="94"/>
    <x v="0"/>
    <x v="0"/>
    <x v="0"/>
  </r>
  <r>
    <n v="5"/>
    <n v="5"/>
    <n v="0"/>
    <x v="0"/>
    <n v="25"/>
    <n v="52"/>
    <n v="161"/>
    <n v="11"/>
    <n v="72"/>
    <n v="18"/>
    <n v="10"/>
    <n v="2"/>
    <n v="5"/>
    <n v="1"/>
    <n v="1"/>
    <s v="YES"/>
    <n v="0"/>
    <n v="801.45"/>
    <x v="2"/>
    <n v="3.98"/>
    <n v="0.9"/>
    <n v="4.4222222222222225"/>
    <x v="0"/>
    <n v="37"/>
    <n v="30"/>
    <n v="0.81"/>
    <n v="3.57"/>
    <n v="2.2599999999999998"/>
    <n v="30.09"/>
    <n v="43.8"/>
    <x v="1"/>
    <n v="0.38"/>
    <n v="84"/>
    <n v="0"/>
    <x v="0"/>
    <n v="0"/>
    <s v="NO"/>
    <n v="0"/>
    <s v="NO"/>
    <n v="1"/>
    <s v="YES"/>
    <n v="0"/>
    <s v="NO"/>
    <n v="0"/>
    <x v="1"/>
    <n v="0"/>
    <s v="NO"/>
    <n v="120"/>
    <n v="80"/>
    <n v="3"/>
    <n v="4"/>
    <n v="16"/>
    <n v="14"/>
    <n v="7"/>
    <x v="0"/>
    <n v="7"/>
    <n v="30"/>
    <n v="107.66666666666667"/>
    <x v="0"/>
    <x v="2"/>
    <x v="0"/>
  </r>
  <r>
    <n v="6"/>
    <n v="6"/>
    <n v="0"/>
    <x v="0"/>
    <n v="36"/>
    <n v="74.099999999999994"/>
    <n v="165"/>
    <n v="15"/>
    <n v="78"/>
    <n v="28"/>
    <n v="11.2"/>
    <n v="2"/>
    <n v="5"/>
    <n v="8"/>
    <n v="1"/>
    <s v="YES"/>
    <n v="0"/>
    <n v="237.97"/>
    <x v="0"/>
    <n v="3.24"/>
    <n v="1.07"/>
    <n v="3.02803738317757"/>
    <x v="0"/>
    <n v="44"/>
    <n v="38"/>
    <n v="0.86"/>
    <n v="1.6"/>
    <n v="6.74"/>
    <n v="16.18"/>
    <n v="52.4"/>
    <x v="1"/>
    <n v="0.3"/>
    <n v="76"/>
    <n v="1"/>
    <x v="1"/>
    <n v="0"/>
    <s v="NO"/>
    <n v="0"/>
    <s v="NO"/>
    <n v="1"/>
    <s v="YES"/>
    <n v="0"/>
    <s v="NO"/>
    <n v="0"/>
    <x v="1"/>
    <n v="0"/>
    <s v="NO"/>
    <n v="110"/>
    <n v="70"/>
    <n v="9"/>
    <n v="6"/>
    <n v="16"/>
    <n v="20"/>
    <n v="8"/>
    <x v="1"/>
    <n v="15"/>
    <n v="36"/>
    <n v="96.333333333333329"/>
    <x v="1"/>
    <x v="2"/>
    <x v="0"/>
  </r>
  <r>
    <n v="7"/>
    <n v="7"/>
    <n v="0"/>
    <x v="0"/>
    <n v="34"/>
    <n v="64"/>
    <n v="156"/>
    <n v="11"/>
    <n v="72"/>
    <n v="18"/>
    <n v="10.9"/>
    <n v="2"/>
    <n v="5"/>
    <n v="2"/>
    <n v="0"/>
    <s v="NO"/>
    <n v="0"/>
    <n v="1.99"/>
    <x v="0"/>
    <n v="2.85"/>
    <n v="0.31"/>
    <n v="9.193548387096774"/>
    <x v="0"/>
    <n v="39"/>
    <n v="33"/>
    <n v="0.85"/>
    <n v="1.51"/>
    <n v="3.05"/>
    <n v="26.41"/>
    <n v="42.7"/>
    <x v="1"/>
    <n v="0.46"/>
    <n v="93"/>
    <n v="0"/>
    <x v="0"/>
    <n v="0"/>
    <s v="NO"/>
    <n v="0"/>
    <s v="NO"/>
    <n v="0"/>
    <s v="NO"/>
    <n v="0"/>
    <s v="NO"/>
    <n v="0"/>
    <x v="1"/>
    <n v="0"/>
    <s v="NO"/>
    <n v="120"/>
    <n v="80"/>
    <n v="6"/>
    <n v="6"/>
    <n v="15"/>
    <n v="16"/>
    <n v="6.8"/>
    <x v="1"/>
    <n v="12"/>
    <n v="31"/>
    <n v="108.66666666666667"/>
    <x v="1"/>
    <x v="0"/>
    <x v="0"/>
  </r>
  <r>
    <n v="8"/>
    <n v="8"/>
    <n v="0"/>
    <x v="0"/>
    <n v="33"/>
    <n v="58.5"/>
    <n v="159"/>
    <n v="13"/>
    <n v="72"/>
    <n v="20"/>
    <n v="11"/>
    <n v="2"/>
    <n v="5"/>
    <n v="13"/>
    <n v="1"/>
    <s v="YES"/>
    <n v="2"/>
    <n v="100.51"/>
    <x v="3"/>
    <n v="4.8600000000000003"/>
    <n v="3.07"/>
    <n v="1.5830618892508146"/>
    <x v="1"/>
    <n v="44"/>
    <n v="38"/>
    <n v="0.86"/>
    <n v="12.18"/>
    <n v="1.54"/>
    <n v="3.97"/>
    <n v="38"/>
    <x v="1"/>
    <n v="0.26"/>
    <n v="91"/>
    <n v="1"/>
    <x v="1"/>
    <n v="0"/>
    <s v="NO"/>
    <n v="0"/>
    <s v="NO"/>
    <n v="0"/>
    <s v="NO"/>
    <n v="0"/>
    <s v="NO"/>
    <n v="0"/>
    <x v="1"/>
    <n v="0"/>
    <s v="NO"/>
    <n v="120"/>
    <n v="80"/>
    <n v="7"/>
    <n v="6"/>
    <n v="15"/>
    <n v="18"/>
    <n v="7.1"/>
    <x v="0"/>
    <n v="13"/>
    <n v="33"/>
    <n v="109"/>
    <x v="1"/>
    <x v="0"/>
    <x v="0"/>
  </r>
  <r>
    <n v="9"/>
    <n v="9"/>
    <n v="0"/>
    <x v="0"/>
    <n v="32"/>
    <n v="40"/>
    <n v="158"/>
    <n v="11"/>
    <n v="72"/>
    <n v="18"/>
    <n v="11.8"/>
    <n v="2"/>
    <n v="5"/>
    <n v="8"/>
    <n v="0"/>
    <s v="NO"/>
    <n v="1"/>
    <n v="1.99"/>
    <x v="0"/>
    <n v="3.76"/>
    <n v="3.02"/>
    <n v="1.2450331125827814"/>
    <x v="1"/>
    <n v="39"/>
    <n v="35"/>
    <n v="0.9"/>
    <n v="1.51"/>
    <n v="1"/>
    <n v="19"/>
    <n v="21.8"/>
    <x v="1"/>
    <n v="0.3"/>
    <n v="116"/>
    <n v="0"/>
    <x v="0"/>
    <n v="0"/>
    <s v="NO"/>
    <n v="0"/>
    <s v="NO"/>
    <n v="0"/>
    <s v="NO"/>
    <n v="0"/>
    <s v="NO"/>
    <n v="0"/>
    <x v="1"/>
    <n v="0"/>
    <s v="NO"/>
    <n v="120"/>
    <n v="80"/>
    <n v="5"/>
    <n v="7"/>
    <n v="17"/>
    <n v="17"/>
    <n v="4.2"/>
    <x v="2"/>
    <n v="12"/>
    <n v="34"/>
    <n v="108.33333333333333"/>
    <x v="1"/>
    <x v="0"/>
    <x v="0"/>
  </r>
  <r>
    <n v="10"/>
    <n v="10"/>
    <n v="0"/>
    <x v="0"/>
    <n v="36"/>
    <n v="52"/>
    <n v="150"/>
    <n v="15"/>
    <n v="80"/>
    <n v="20"/>
    <n v="10"/>
    <n v="4"/>
    <n v="2"/>
    <n v="4"/>
    <n v="0"/>
    <s v="NO"/>
    <n v="0"/>
    <n v="1.99"/>
    <x v="0"/>
    <n v="2.8"/>
    <n v="1.51"/>
    <n v="1.8543046357615893"/>
    <x v="1"/>
    <n v="40"/>
    <n v="38"/>
    <n v="0.95"/>
    <n v="6.65"/>
    <n v="1.61"/>
    <n v="11.74"/>
    <n v="27.7"/>
    <x v="1"/>
    <n v="0.25"/>
    <n v="125"/>
    <n v="0"/>
    <x v="0"/>
    <n v="0"/>
    <s v="NO"/>
    <n v="0"/>
    <s v="NO"/>
    <n v="0"/>
    <s v="NO"/>
    <n v="0"/>
    <s v="NO"/>
    <n v="0"/>
    <x v="1"/>
    <n v="0"/>
    <s v="NO"/>
    <n v="110"/>
    <n v="80"/>
    <n v="1"/>
    <n v="1"/>
    <n v="14"/>
    <n v="17"/>
    <n v="2.5"/>
    <x v="0"/>
    <n v="2"/>
    <n v="31"/>
    <n v="107"/>
    <x v="0"/>
    <x v="0"/>
    <x v="0"/>
  </r>
  <r>
    <n v="11"/>
    <n v="11"/>
    <n v="0"/>
    <x v="0"/>
    <n v="20"/>
    <n v="71"/>
    <n v="163"/>
    <n v="15"/>
    <n v="80"/>
    <n v="20"/>
    <n v="10"/>
    <n v="2"/>
    <n v="5"/>
    <n v="4"/>
    <n v="1"/>
    <s v="YES"/>
    <n v="2"/>
    <n v="158.51"/>
    <x v="4"/>
    <n v="4.8899999999999997"/>
    <n v="2.02"/>
    <n v="2.4207920792079207"/>
    <x v="0"/>
    <n v="39"/>
    <n v="35"/>
    <n v="0.9"/>
    <n v="1.56"/>
    <n v="4.47"/>
    <n v="13.47"/>
    <n v="18.100000000000001"/>
    <x v="0"/>
    <n v="0.36"/>
    <n v="108"/>
    <n v="0"/>
    <x v="0"/>
    <n v="0"/>
    <s v="NO"/>
    <n v="0"/>
    <s v="NO"/>
    <n v="0"/>
    <s v="NO"/>
    <n v="0"/>
    <s v="NO"/>
    <n v="0"/>
    <x v="1"/>
    <n v="0"/>
    <s v="NO"/>
    <n v="110"/>
    <n v="80"/>
    <n v="7"/>
    <n v="15"/>
    <n v="17"/>
    <n v="20"/>
    <n v="6"/>
    <x v="1"/>
    <n v="22"/>
    <n v="37"/>
    <n v="109"/>
    <x v="1"/>
    <x v="0"/>
    <x v="0"/>
  </r>
  <r>
    <n v="12"/>
    <n v="12"/>
    <n v="0"/>
    <x v="0"/>
    <n v="26"/>
    <n v="49"/>
    <n v="160"/>
    <n v="13"/>
    <n v="72"/>
    <n v="20"/>
    <n v="9.5"/>
    <n v="2"/>
    <n v="5"/>
    <n v="3"/>
    <n v="0"/>
    <s v="NO"/>
    <n v="1"/>
    <n v="1.99"/>
    <x v="0"/>
    <n v="4.09"/>
    <n v="1.47"/>
    <n v="2.7823129251700678"/>
    <x v="0"/>
    <n v="39"/>
    <n v="33"/>
    <n v="0.85"/>
    <n v="3.98"/>
    <n v="1.67"/>
    <n v="21.1"/>
    <n v="29.18"/>
    <x v="1"/>
    <n v="0.25"/>
    <n v="100"/>
    <n v="0"/>
    <x v="0"/>
    <n v="0"/>
    <s v="NO"/>
    <n v="0"/>
    <s v="NO"/>
    <n v="0"/>
    <s v="NO"/>
    <n v="0"/>
    <s v="NO"/>
    <n v="0"/>
    <x v="1"/>
    <n v="0"/>
    <s v="NO"/>
    <n v="120"/>
    <n v="80"/>
    <n v="4"/>
    <n v="2"/>
    <n v="18"/>
    <n v="19"/>
    <n v="7.8"/>
    <x v="0"/>
    <n v="6"/>
    <n v="37"/>
    <n v="108"/>
    <x v="0"/>
    <x v="0"/>
    <x v="0"/>
  </r>
  <r>
    <n v="13"/>
    <n v="13"/>
    <n v="1"/>
    <x v="1"/>
    <n v="25"/>
    <n v="74"/>
    <n v="152"/>
    <n v="17"/>
    <n v="72"/>
    <n v="18"/>
    <n v="11.7"/>
    <n v="4"/>
    <n v="2"/>
    <n v="7"/>
    <n v="1"/>
    <s v="YES"/>
    <n v="0"/>
    <n v="1214.23"/>
    <x v="5"/>
    <n v="2"/>
    <n v="1.51"/>
    <n v="1.3245033112582782"/>
    <x v="1"/>
    <n v="45"/>
    <n v="40"/>
    <n v="0.89"/>
    <n v="6.51"/>
    <n v="7.94"/>
    <n v="22.43"/>
    <n v="31.4"/>
    <x v="1"/>
    <n v="0.3"/>
    <n v="125"/>
    <n v="1"/>
    <x v="1"/>
    <n v="1"/>
    <s v="YES"/>
    <n v="1"/>
    <s v="YES"/>
    <n v="1"/>
    <s v="YES"/>
    <n v="1"/>
    <s v="YES"/>
    <n v="1"/>
    <x v="0"/>
    <n v="1"/>
    <s v="YES"/>
    <n v="120"/>
    <n v="80"/>
    <n v="15"/>
    <n v="8"/>
    <n v="20"/>
    <n v="21"/>
    <n v="8"/>
    <x v="3"/>
    <n v="23"/>
    <n v="41"/>
    <n v="111.66666666666667"/>
    <x v="2"/>
    <x v="3"/>
    <x v="0"/>
  </r>
  <r>
    <n v="14"/>
    <n v="14"/>
    <n v="0"/>
    <x v="0"/>
    <n v="38"/>
    <n v="50"/>
    <n v="152"/>
    <n v="13"/>
    <n v="74"/>
    <n v="20"/>
    <n v="12.1"/>
    <n v="2"/>
    <n v="5"/>
    <n v="15"/>
    <n v="0"/>
    <s v="NO"/>
    <n v="0"/>
    <n v="1.99"/>
    <x v="0"/>
    <n v="4.84"/>
    <n v="0.71"/>
    <n v="6.816901408450704"/>
    <x v="0"/>
    <n v="39"/>
    <n v="33"/>
    <n v="0.85"/>
    <n v="1.48"/>
    <n v="2.38"/>
    <n v="15.62"/>
    <n v="21.2"/>
    <x v="1"/>
    <n v="0.4"/>
    <n v="91"/>
    <n v="0"/>
    <x v="0"/>
    <n v="0"/>
    <s v="NO"/>
    <n v="0"/>
    <s v="NO"/>
    <n v="0"/>
    <s v="NO"/>
    <n v="0"/>
    <s v="NO"/>
    <n v="0"/>
    <x v="1"/>
    <n v="0"/>
    <s v="NO"/>
    <n v="110"/>
    <n v="70"/>
    <n v="3"/>
    <n v="3"/>
    <n v="18"/>
    <n v="17"/>
    <n v="5.6"/>
    <x v="0"/>
    <n v="6"/>
    <n v="35"/>
    <n v="94.333333333333329"/>
    <x v="0"/>
    <x v="0"/>
    <x v="0"/>
  </r>
  <r>
    <n v="15"/>
    <n v="15"/>
    <n v="0"/>
    <x v="0"/>
    <n v="34"/>
    <n v="57.3"/>
    <n v="162"/>
    <n v="13"/>
    <n v="74"/>
    <n v="22"/>
    <n v="11.7"/>
    <n v="2"/>
    <n v="5"/>
    <n v="9"/>
    <n v="0"/>
    <s v="NO"/>
    <n v="0"/>
    <n v="1.99"/>
    <x v="0"/>
    <n v="7.45"/>
    <n v="3.71"/>
    <n v="2.0080862533692723"/>
    <x v="0"/>
    <n v="38"/>
    <n v="30"/>
    <n v="0.79"/>
    <n v="1.51"/>
    <n v="0.88"/>
    <n v="19.600000000000001"/>
    <n v="24.9"/>
    <x v="1"/>
    <n v="0.26"/>
    <n v="116"/>
    <n v="0"/>
    <x v="0"/>
    <n v="0"/>
    <s v="NO"/>
    <n v="0"/>
    <s v="NO"/>
    <n v="1"/>
    <s v="YES"/>
    <n v="1"/>
    <s v="YES"/>
    <n v="1"/>
    <x v="0"/>
    <n v="0"/>
    <s v="NO"/>
    <n v="120"/>
    <n v="80"/>
    <n v="4"/>
    <n v="1"/>
    <n v="19"/>
    <n v="21"/>
    <n v="5.5"/>
    <x v="0"/>
    <n v="5"/>
    <n v="40"/>
    <n v="108"/>
    <x v="0"/>
    <x v="1"/>
    <x v="0"/>
  </r>
  <r>
    <n v="16"/>
    <n v="16"/>
    <n v="0"/>
    <x v="0"/>
    <n v="38"/>
    <n v="80.5"/>
    <n v="154"/>
    <n v="13"/>
    <n v="78"/>
    <n v="22"/>
    <n v="11.4"/>
    <n v="2"/>
    <n v="5"/>
    <n v="20"/>
    <n v="0"/>
    <s v="NO"/>
    <n v="0"/>
    <n v="1.99"/>
    <x v="0"/>
    <n v="9.51"/>
    <n v="2.5099999999999998"/>
    <n v="3.7888446215139444"/>
    <x v="0"/>
    <n v="44"/>
    <n v="41"/>
    <n v="0.93"/>
    <n v="1.18"/>
    <n v="0.69"/>
    <n v="92.65"/>
    <n v="9.6999999999999993"/>
    <x v="0"/>
    <n v="0.3"/>
    <n v="116"/>
    <n v="1"/>
    <x v="1"/>
    <n v="0"/>
    <s v="NO"/>
    <n v="0"/>
    <s v="NO"/>
    <n v="0"/>
    <s v="NO"/>
    <n v="0"/>
    <s v="NO"/>
    <n v="0"/>
    <x v="1"/>
    <n v="0"/>
    <s v="NO"/>
    <n v="120"/>
    <n v="80"/>
    <n v="1"/>
    <n v="3"/>
    <n v="14"/>
    <n v="20"/>
    <n v="3.9"/>
    <x v="3"/>
    <n v="4"/>
    <n v="34"/>
    <n v="107"/>
    <x v="0"/>
    <x v="0"/>
    <x v="0"/>
  </r>
  <r>
    <n v="17"/>
    <n v="17"/>
    <n v="0"/>
    <x v="0"/>
    <n v="29"/>
    <n v="43"/>
    <n v="148"/>
    <n v="13"/>
    <n v="80"/>
    <n v="20"/>
    <n v="11.1"/>
    <n v="2"/>
    <n v="5"/>
    <n v="2"/>
    <n v="1"/>
    <s v="YES"/>
    <n v="0"/>
    <n v="8104.21"/>
    <x v="6"/>
    <n v="2.02"/>
    <n v="0.65"/>
    <n v="3.1076923076923078"/>
    <x v="0"/>
    <n v="36"/>
    <n v="29"/>
    <n v="0.81"/>
    <n v="1.98"/>
    <n v="3.78"/>
    <n v="20.25"/>
    <n v="19.100000000000001"/>
    <x v="0"/>
    <n v="0.46"/>
    <n v="91"/>
    <n v="0"/>
    <x v="0"/>
    <n v="0"/>
    <s v="NO"/>
    <n v="0"/>
    <s v="NO"/>
    <n v="0"/>
    <s v="NO"/>
    <n v="0"/>
    <s v="NO"/>
    <n v="0"/>
    <x v="1"/>
    <n v="0"/>
    <s v="NO"/>
    <n v="110"/>
    <n v="70"/>
    <n v="6"/>
    <n v="5"/>
    <n v="20"/>
    <n v="20"/>
    <n v="5.6"/>
    <x v="0"/>
    <n v="11"/>
    <n v="40"/>
    <n v="95.333333333333329"/>
    <x v="1"/>
    <x v="0"/>
    <x v="0"/>
  </r>
  <r>
    <n v="18"/>
    <n v="18"/>
    <n v="0"/>
    <x v="0"/>
    <n v="36"/>
    <n v="69.2"/>
    <n v="160"/>
    <n v="13"/>
    <n v="72"/>
    <n v="18"/>
    <n v="10.8"/>
    <n v="2"/>
    <n v="5"/>
    <n v="7"/>
    <n v="0"/>
    <s v="NO"/>
    <n v="0"/>
    <n v="1.99"/>
    <x v="0"/>
    <n v="4.8600000000000003"/>
    <n v="2.96"/>
    <n v="1.6418918918918921"/>
    <x v="1"/>
    <n v="39"/>
    <n v="32"/>
    <n v="0.82"/>
    <n v="5"/>
    <n v="1.92"/>
    <n v="12.52"/>
    <n v="26"/>
    <x v="1"/>
    <n v="0.25"/>
    <n v="100"/>
    <n v="0"/>
    <x v="0"/>
    <n v="0"/>
    <s v="NO"/>
    <n v="0"/>
    <s v="NO"/>
    <n v="0"/>
    <s v="NO"/>
    <n v="0"/>
    <s v="NO"/>
    <n v="0"/>
    <x v="1"/>
    <n v="0"/>
    <s v="NO"/>
    <n v="110"/>
    <n v="80"/>
    <n v="1"/>
    <n v="2"/>
    <n v="20"/>
    <n v="18"/>
    <n v="4"/>
    <x v="1"/>
    <n v="3"/>
    <n v="38"/>
    <n v="107"/>
    <x v="0"/>
    <x v="0"/>
    <x v="0"/>
  </r>
  <r>
    <n v="19"/>
    <n v="19"/>
    <n v="0"/>
    <x v="0"/>
    <n v="31"/>
    <n v="52.4"/>
    <n v="159"/>
    <n v="17"/>
    <n v="72"/>
    <n v="18"/>
    <n v="12.7"/>
    <n v="2"/>
    <n v="5"/>
    <n v="7"/>
    <n v="0"/>
    <s v="NO"/>
    <n v="0"/>
    <n v="1.99"/>
    <x v="0"/>
    <n v="6.05"/>
    <n v="1.05"/>
    <n v="5.7619047619047619"/>
    <x v="0"/>
    <n v="37"/>
    <n v="33"/>
    <n v="0.89"/>
    <n v="3.19"/>
    <n v="1"/>
    <n v="12.05"/>
    <n v="23.3"/>
    <x v="1"/>
    <n v="0.25"/>
    <n v="127"/>
    <n v="0"/>
    <x v="0"/>
    <n v="0"/>
    <s v="NO"/>
    <n v="0"/>
    <s v="NO"/>
    <n v="0"/>
    <s v="NO"/>
    <n v="0"/>
    <s v="NO"/>
    <n v="0"/>
    <x v="1"/>
    <n v="0"/>
    <s v="NO"/>
    <n v="120"/>
    <n v="80"/>
    <n v="0"/>
    <n v="2"/>
    <n v="0"/>
    <n v="17"/>
    <n v="5.6"/>
    <x v="0"/>
    <n v="2"/>
    <n v="17"/>
    <n v="106.66666666666667"/>
    <x v="0"/>
    <x v="0"/>
    <x v="0"/>
  </r>
  <r>
    <n v="20"/>
    <n v="20"/>
    <n v="1"/>
    <x v="1"/>
    <n v="30"/>
    <n v="85"/>
    <n v="165"/>
    <n v="16"/>
    <n v="72"/>
    <n v="18"/>
    <n v="12.5"/>
    <n v="4"/>
    <n v="7"/>
    <n v="7"/>
    <n v="0"/>
    <s v="NO"/>
    <n v="0"/>
    <n v="23.58"/>
    <x v="0"/>
    <n v="1.89"/>
    <n v="0.81"/>
    <n v="2.333333333333333"/>
    <x v="0"/>
    <n v="44"/>
    <n v="42"/>
    <n v="0.95"/>
    <n v="2.87"/>
    <n v="2.0699999999999998"/>
    <n v="19.13"/>
    <n v="28"/>
    <x v="1"/>
    <n v="0.3"/>
    <n v="100"/>
    <n v="0"/>
    <x v="0"/>
    <n v="1"/>
    <s v="YES"/>
    <n v="1"/>
    <s v="YES"/>
    <n v="1"/>
    <s v="YES"/>
    <n v="1"/>
    <s v="YES"/>
    <n v="1"/>
    <x v="0"/>
    <n v="0"/>
    <s v="NO"/>
    <n v="120"/>
    <n v="80"/>
    <n v="16"/>
    <n v="8"/>
    <n v="18"/>
    <n v="17"/>
    <n v="11"/>
    <x v="3"/>
    <n v="24"/>
    <n v="35"/>
    <n v="112"/>
    <x v="2"/>
    <x v="3"/>
    <x v="1"/>
  </r>
  <r>
    <n v="21"/>
    <n v="21"/>
    <n v="0"/>
    <x v="0"/>
    <n v="25"/>
    <n v="64"/>
    <n v="156"/>
    <n v="11"/>
    <n v="70"/>
    <n v="18"/>
    <n v="11.2"/>
    <n v="2"/>
    <n v="6"/>
    <n v="6"/>
    <n v="0"/>
    <s v="NO"/>
    <n v="0"/>
    <n v="1.99"/>
    <x v="0"/>
    <n v="2.82"/>
    <n v="1.3"/>
    <n v="2.1692307692307691"/>
    <x v="0"/>
    <n v="39"/>
    <n v="34"/>
    <n v="0.87"/>
    <n v="1.86"/>
    <n v="2.85"/>
    <n v="33.619999999999997"/>
    <n v="17.100000000000001"/>
    <x v="0"/>
    <n v="0.4"/>
    <n v="91"/>
    <n v="0"/>
    <x v="0"/>
    <n v="0"/>
    <s v="NO"/>
    <n v="0"/>
    <s v="NO"/>
    <n v="0"/>
    <s v="NO"/>
    <n v="0"/>
    <s v="NO"/>
    <n v="0"/>
    <x v="1"/>
    <n v="0"/>
    <s v="NO"/>
    <n v="110"/>
    <n v="80"/>
    <n v="1"/>
    <n v="2"/>
    <n v="18"/>
    <n v="19"/>
    <n v="5.7"/>
    <x v="1"/>
    <n v="3"/>
    <n v="37"/>
    <n v="107"/>
    <x v="0"/>
    <x v="0"/>
    <x v="0"/>
  </r>
  <r>
    <n v="22"/>
    <n v="22"/>
    <n v="0"/>
    <x v="0"/>
    <n v="38"/>
    <n v="50"/>
    <n v="156"/>
    <n v="15"/>
    <n v="72"/>
    <n v="18"/>
    <n v="11"/>
    <n v="4"/>
    <n v="9"/>
    <n v="12"/>
    <n v="1"/>
    <s v="YES"/>
    <n v="0"/>
    <n v="749.98"/>
    <x v="7"/>
    <n v="3.18"/>
    <n v="2.1800000000000002"/>
    <n v="1.4587155963302751"/>
    <x v="1"/>
    <n v="36"/>
    <n v="29"/>
    <n v="0.81"/>
    <n v="5.71"/>
    <n v="2.13"/>
    <n v="40.74"/>
    <n v="18.899999999999999"/>
    <x v="0"/>
    <n v="0.3"/>
    <n v="84"/>
    <n v="0"/>
    <x v="0"/>
    <n v="0"/>
    <s v="NO"/>
    <n v="0"/>
    <s v="NO"/>
    <n v="0"/>
    <s v="NO"/>
    <n v="0"/>
    <s v="NO"/>
    <n v="0"/>
    <x v="1"/>
    <n v="0"/>
    <s v="NO"/>
    <n v="120"/>
    <n v="80"/>
    <n v="4"/>
    <n v="2"/>
    <n v="17"/>
    <n v="17"/>
    <n v="7.6"/>
    <x v="0"/>
    <n v="6"/>
    <n v="34"/>
    <n v="108"/>
    <x v="0"/>
    <x v="0"/>
    <x v="0"/>
  </r>
  <r>
    <n v="23"/>
    <n v="23"/>
    <n v="0"/>
    <x v="0"/>
    <n v="34"/>
    <n v="64.2"/>
    <n v="155"/>
    <n v="15"/>
    <n v="74"/>
    <n v="20"/>
    <n v="12.1"/>
    <n v="2"/>
    <n v="5"/>
    <n v="10"/>
    <n v="1"/>
    <s v="YES"/>
    <n v="0"/>
    <n v="218.65"/>
    <x v="8"/>
    <n v="4.08"/>
    <n v="2.2999999999999998"/>
    <n v="1.7739130434782611"/>
    <x v="1"/>
    <n v="36"/>
    <n v="32"/>
    <n v="0.89"/>
    <n v="1.25"/>
    <n v="4.13"/>
    <n v="13.38"/>
    <n v="28.6"/>
    <x v="1"/>
    <n v="0.26"/>
    <n v="116"/>
    <n v="0"/>
    <x v="0"/>
    <n v="0"/>
    <s v="NO"/>
    <n v="0"/>
    <s v="NO"/>
    <n v="0"/>
    <s v="NO"/>
    <n v="0"/>
    <s v="NO"/>
    <n v="0"/>
    <x v="1"/>
    <n v="0"/>
    <s v="NO"/>
    <n v="110"/>
    <n v="70"/>
    <n v="5"/>
    <n v="7"/>
    <n v="16"/>
    <n v="17"/>
    <n v="7.6"/>
    <x v="1"/>
    <n v="12"/>
    <n v="33"/>
    <n v="95"/>
    <x v="1"/>
    <x v="0"/>
    <x v="0"/>
  </r>
  <r>
    <n v="24"/>
    <n v="24"/>
    <n v="0"/>
    <x v="0"/>
    <n v="28"/>
    <n v="65"/>
    <n v="152"/>
    <n v="13"/>
    <n v="74"/>
    <n v="22"/>
    <n v="10.5"/>
    <n v="2"/>
    <n v="5"/>
    <n v="5"/>
    <n v="1"/>
    <s v="YES"/>
    <n v="0"/>
    <n v="13"/>
    <x v="9"/>
    <n v="6.41"/>
    <n v="1.69"/>
    <n v="3.7928994082840237"/>
    <x v="0"/>
    <n v="37"/>
    <n v="33"/>
    <n v="0.89"/>
    <n v="0.45"/>
    <n v="2.5"/>
    <n v="17.88"/>
    <n v="30.54"/>
    <x v="1"/>
    <n v="0.73"/>
    <n v="92"/>
    <n v="0"/>
    <x v="0"/>
    <n v="0"/>
    <s v="NO"/>
    <n v="0"/>
    <s v="NO"/>
    <n v="0"/>
    <s v="NO"/>
    <n v="1"/>
    <s v="YES"/>
    <n v="0"/>
    <x v="1"/>
    <n v="0"/>
    <s v="NO"/>
    <n v="110"/>
    <n v="80"/>
    <n v="6"/>
    <n v="8"/>
    <n v="14"/>
    <n v="18"/>
    <n v="8.5"/>
    <x v="1"/>
    <n v="14"/>
    <n v="32"/>
    <n v="108.66666666666667"/>
    <x v="1"/>
    <x v="2"/>
    <x v="0"/>
  </r>
  <r>
    <n v="25"/>
    <n v="25"/>
    <n v="1"/>
    <x v="1"/>
    <n v="34"/>
    <n v="63"/>
    <n v="158"/>
    <n v="11"/>
    <n v="72"/>
    <n v="20"/>
    <n v="11.2"/>
    <n v="2"/>
    <n v="5"/>
    <n v="12"/>
    <n v="1"/>
    <s v="YES"/>
    <n v="0"/>
    <n v="610.63"/>
    <x v="10"/>
    <n v="5.34"/>
    <n v="0.89"/>
    <n v="6"/>
    <x v="0"/>
    <n v="38"/>
    <n v="32"/>
    <n v="0.84"/>
    <n v="0.65"/>
    <n v="1.89"/>
    <n v="11.46"/>
    <n v="21.5"/>
    <x v="1"/>
    <n v="0.98"/>
    <n v="100"/>
    <n v="0"/>
    <x v="0"/>
    <n v="1"/>
    <s v="YES"/>
    <n v="0"/>
    <s v="NO"/>
    <n v="0"/>
    <s v="NO"/>
    <n v="1"/>
    <s v="YES"/>
    <n v="1"/>
    <x v="0"/>
    <n v="0"/>
    <s v="NO"/>
    <n v="120"/>
    <n v="70"/>
    <n v="4"/>
    <n v="6"/>
    <n v="18"/>
    <n v="17"/>
    <n v="7.3"/>
    <x v="1"/>
    <n v="10"/>
    <n v="35"/>
    <n v="94.666666666666671"/>
    <x v="1"/>
    <x v="1"/>
    <x v="0"/>
  </r>
  <r>
    <n v="26"/>
    <n v="26"/>
    <n v="0"/>
    <x v="0"/>
    <n v="41"/>
    <n v="42"/>
    <n v="152"/>
    <n v="12"/>
    <n v="80"/>
    <n v="20"/>
    <n v="11.5"/>
    <n v="2"/>
    <n v="5"/>
    <n v="15"/>
    <n v="1"/>
    <s v="YES"/>
    <n v="0"/>
    <n v="4490.18"/>
    <x v="11"/>
    <n v="8.82"/>
    <n v="4.3899999999999997"/>
    <n v="2.0091116173120729"/>
    <x v="0"/>
    <n v="39"/>
    <n v="32"/>
    <n v="0.82"/>
    <n v="0.84"/>
    <n v="0.26"/>
    <n v="17.350000000000001"/>
    <n v="45.6"/>
    <x v="1"/>
    <n v="0.98"/>
    <n v="92"/>
    <n v="0"/>
    <x v="0"/>
    <n v="0"/>
    <s v="NO"/>
    <n v="0"/>
    <s v="NO"/>
    <n v="0"/>
    <s v="NO"/>
    <n v="0"/>
    <s v="NO"/>
    <n v="0"/>
    <x v="1"/>
    <n v="0"/>
    <s v="NO"/>
    <n v="110"/>
    <n v="70"/>
    <n v="1"/>
    <n v="2"/>
    <n v="15"/>
    <n v="17"/>
    <n v="8.8000000000000007"/>
    <x v="2"/>
    <n v="3"/>
    <n v="32"/>
    <n v="93.666666666666671"/>
    <x v="0"/>
    <x v="0"/>
    <x v="0"/>
  </r>
  <r>
    <n v="27"/>
    <n v="27"/>
    <n v="1"/>
    <x v="1"/>
    <n v="30"/>
    <n v="76"/>
    <n v="160"/>
    <n v="15"/>
    <n v="75"/>
    <n v="18"/>
    <n v="11.2"/>
    <n v="4"/>
    <n v="3"/>
    <n v="5"/>
    <n v="0"/>
    <s v="NO"/>
    <n v="0"/>
    <n v="1.99"/>
    <x v="0"/>
    <n v="6.18"/>
    <n v="2.78"/>
    <n v="2.2230215827338129"/>
    <x v="0"/>
    <n v="45"/>
    <n v="38"/>
    <n v="0.84"/>
    <n v="4.28"/>
    <n v="3.84"/>
    <n v="17.98"/>
    <n v="25.14"/>
    <x v="1"/>
    <n v="0.35"/>
    <n v="100"/>
    <n v="1"/>
    <x v="1"/>
    <n v="1"/>
    <s v="YES"/>
    <n v="1"/>
    <s v="YES"/>
    <n v="1"/>
    <s v="YES"/>
    <n v="1"/>
    <s v="YES"/>
    <n v="1"/>
    <x v="0"/>
    <n v="1"/>
    <s v="YES"/>
    <n v="120"/>
    <n v="80"/>
    <n v="21"/>
    <n v="20"/>
    <n v="11"/>
    <n v="12"/>
    <n v="6.8"/>
    <x v="1"/>
    <n v="41"/>
    <n v="23"/>
    <n v="113.66666666666666"/>
    <x v="2"/>
    <x v="3"/>
    <x v="0"/>
  </r>
  <r>
    <n v="28"/>
    <n v="28"/>
    <n v="0"/>
    <x v="0"/>
    <n v="20"/>
    <n v="68"/>
    <n v="152"/>
    <n v="17"/>
    <n v="72"/>
    <n v="20"/>
    <n v="10"/>
    <n v="4"/>
    <n v="3"/>
    <n v="4"/>
    <n v="1"/>
    <s v="YES"/>
    <n v="0"/>
    <n v="689.58"/>
    <x v="12"/>
    <n v="1.8"/>
    <n v="0.41"/>
    <n v="4.3902439024390247"/>
    <x v="0"/>
    <n v="40"/>
    <n v="33"/>
    <n v="0.83"/>
    <n v="8.39"/>
    <n v="2.5"/>
    <n v="11.24"/>
    <n v="46.3"/>
    <x v="1"/>
    <n v="1.2"/>
    <n v="92"/>
    <n v="0"/>
    <x v="0"/>
    <n v="0"/>
    <s v="NO"/>
    <n v="0"/>
    <s v="NO"/>
    <n v="0"/>
    <s v="NO"/>
    <n v="0"/>
    <s v="NO"/>
    <n v="0"/>
    <x v="1"/>
    <n v="0"/>
    <s v="NO"/>
    <n v="110"/>
    <n v="80"/>
    <n v="3"/>
    <n v="2"/>
    <n v="10"/>
    <n v="11"/>
    <n v="10"/>
    <x v="1"/>
    <n v="5"/>
    <n v="21"/>
    <n v="107.66666666666667"/>
    <x v="0"/>
    <x v="0"/>
    <x v="0"/>
  </r>
  <r>
    <n v="29"/>
    <n v="29"/>
    <n v="0"/>
    <x v="0"/>
    <n v="25"/>
    <n v="62"/>
    <n v="158"/>
    <n v="15"/>
    <n v="78"/>
    <n v="22"/>
    <n v="11.6"/>
    <n v="2"/>
    <n v="5"/>
    <n v="8"/>
    <n v="0"/>
    <s v="NO"/>
    <n v="0"/>
    <n v="15"/>
    <x v="13"/>
    <n v="4.5999999999999996"/>
    <n v="1.06"/>
    <n v="4.3396226415094334"/>
    <x v="0"/>
    <n v="42"/>
    <n v="34"/>
    <n v="0.81"/>
    <n v="3.79"/>
    <n v="3.56"/>
    <n v="15.3"/>
    <n v="36.56"/>
    <x v="1"/>
    <n v="0.25"/>
    <n v="106"/>
    <n v="0"/>
    <x v="0"/>
    <n v="0"/>
    <s v="NO"/>
    <n v="0"/>
    <s v="NO"/>
    <n v="0"/>
    <s v="NO"/>
    <n v="0"/>
    <s v="NO"/>
    <n v="0"/>
    <x v="1"/>
    <n v="0"/>
    <s v="NO"/>
    <n v="120"/>
    <n v="80"/>
    <n v="7"/>
    <n v="4"/>
    <n v="12"/>
    <n v="17"/>
    <n v="6.2"/>
    <x v="0"/>
    <n v="11"/>
    <n v="29"/>
    <n v="109"/>
    <x v="1"/>
    <x v="0"/>
    <x v="1"/>
  </r>
  <r>
    <n v="30"/>
    <n v="30"/>
    <n v="1"/>
    <x v="1"/>
    <n v="28"/>
    <n v="56"/>
    <n v="152"/>
    <n v="13"/>
    <n v="78"/>
    <n v="22"/>
    <n v="11"/>
    <n v="4"/>
    <n v="3"/>
    <n v="7"/>
    <n v="0"/>
    <s v="NO"/>
    <n v="0"/>
    <n v="768.03"/>
    <x v="14"/>
    <n v="2.41"/>
    <n v="1.19"/>
    <n v="2.0252100840336138"/>
    <x v="0"/>
    <n v="40"/>
    <n v="33"/>
    <n v="0.83"/>
    <n v="3.44"/>
    <n v="1.56"/>
    <n v="45.47"/>
    <n v="23.14"/>
    <x v="1"/>
    <n v="0.63"/>
    <n v="100"/>
    <n v="1"/>
    <x v="1"/>
    <n v="0"/>
    <s v="NO"/>
    <n v="1"/>
    <s v="YES"/>
    <n v="0"/>
    <s v="NO"/>
    <n v="1"/>
    <s v="YES"/>
    <n v="1"/>
    <x v="0"/>
    <n v="0"/>
    <s v="NO"/>
    <n v="110"/>
    <n v="80"/>
    <n v="11"/>
    <n v="10"/>
    <n v="13"/>
    <n v="14"/>
    <n v="5"/>
    <x v="0"/>
    <n v="21"/>
    <n v="27"/>
    <n v="110.33333333333333"/>
    <x v="2"/>
    <x v="1"/>
    <x v="1"/>
  </r>
  <r>
    <n v="31"/>
    <n v="31"/>
    <n v="0"/>
    <x v="0"/>
    <n v="32"/>
    <n v="50"/>
    <n v="155"/>
    <n v="17"/>
    <n v="78"/>
    <n v="22"/>
    <n v="10.8"/>
    <n v="2"/>
    <n v="4"/>
    <n v="3.5"/>
    <n v="1"/>
    <s v="YES"/>
    <n v="0"/>
    <n v="612.32000000000005"/>
    <x v="15"/>
    <n v="6.34"/>
    <n v="4.07"/>
    <n v="1.5577395577395576"/>
    <x v="1"/>
    <n v="34"/>
    <n v="28"/>
    <n v="0.82"/>
    <n v="1.4"/>
    <n v="1.69"/>
    <n v="54.09"/>
    <n v="56.2"/>
    <x v="1"/>
    <n v="0.31"/>
    <n v="80"/>
    <n v="0"/>
    <x v="0"/>
    <n v="0"/>
    <s v="NO"/>
    <n v="0"/>
    <s v="NO"/>
    <n v="0"/>
    <s v="NO"/>
    <n v="0"/>
    <s v="NO"/>
    <n v="0"/>
    <x v="1"/>
    <n v="0"/>
    <s v="NO"/>
    <n v="110"/>
    <n v="80"/>
    <n v="10"/>
    <n v="8"/>
    <n v="14"/>
    <n v="14"/>
    <n v="7"/>
    <x v="0"/>
    <n v="18"/>
    <n v="28"/>
    <n v="110"/>
    <x v="1"/>
    <x v="0"/>
    <x v="0"/>
  </r>
  <r>
    <n v="32"/>
    <n v="32"/>
    <n v="1"/>
    <x v="1"/>
    <n v="34"/>
    <n v="57"/>
    <n v="150"/>
    <n v="11"/>
    <n v="72"/>
    <n v="22"/>
    <n v="12"/>
    <n v="2"/>
    <n v="4"/>
    <n v="15"/>
    <n v="0"/>
    <s v="NO"/>
    <n v="0"/>
    <n v="10"/>
    <x v="16"/>
    <n v="5.01"/>
    <n v="6.48"/>
    <n v="0.77314814814814803"/>
    <x v="1"/>
    <n v="40"/>
    <n v="37"/>
    <n v="0.93"/>
    <n v="4.21"/>
    <n v="1.89"/>
    <n v="12.71"/>
    <n v="32.450000000000003"/>
    <x v="1"/>
    <n v="0.27"/>
    <n v="85"/>
    <n v="1"/>
    <x v="1"/>
    <n v="1"/>
    <s v="YES"/>
    <n v="1"/>
    <s v="YES"/>
    <n v="1"/>
    <s v="YES"/>
    <n v="1"/>
    <s v="YES"/>
    <n v="1"/>
    <x v="0"/>
    <n v="0"/>
    <s v="NO"/>
    <n v="110"/>
    <n v="80"/>
    <n v="5"/>
    <n v="10"/>
    <n v="14"/>
    <n v="13"/>
    <n v="6"/>
    <x v="1"/>
    <n v="15"/>
    <n v="27"/>
    <n v="108.33333333333333"/>
    <x v="1"/>
    <x v="3"/>
    <x v="1"/>
  </r>
  <r>
    <n v="33"/>
    <n v="33"/>
    <n v="0"/>
    <x v="0"/>
    <n v="31"/>
    <n v="58"/>
    <n v="155"/>
    <n v="15"/>
    <n v="72"/>
    <n v="18"/>
    <n v="10.5"/>
    <n v="2"/>
    <n v="5"/>
    <n v="2"/>
    <n v="0"/>
    <s v="NO"/>
    <n v="0"/>
    <n v="1.99"/>
    <x v="0"/>
    <n v="2.8"/>
    <n v="0.42"/>
    <n v="6.6666666666666661"/>
    <x v="0"/>
    <n v="39"/>
    <n v="32"/>
    <n v="0.82"/>
    <n v="1.88"/>
    <n v="2.34"/>
    <n v="23.74"/>
    <n v="32.200000000000003"/>
    <x v="1"/>
    <n v="0.52"/>
    <n v="138"/>
    <n v="0"/>
    <x v="0"/>
    <n v="0"/>
    <s v="NO"/>
    <n v="0"/>
    <s v="NO"/>
    <n v="0"/>
    <s v="NO"/>
    <n v="0"/>
    <s v="NO"/>
    <n v="0"/>
    <x v="1"/>
    <n v="0"/>
    <s v="NO"/>
    <n v="120"/>
    <n v="80"/>
    <n v="8"/>
    <n v="9"/>
    <n v="12"/>
    <n v="13"/>
    <n v="7.5"/>
    <x v="0"/>
    <n v="17"/>
    <n v="25"/>
    <n v="109.33333333333333"/>
    <x v="1"/>
    <x v="0"/>
    <x v="0"/>
  </r>
  <r>
    <n v="34"/>
    <n v="34"/>
    <n v="0"/>
    <x v="0"/>
    <n v="38"/>
    <n v="54"/>
    <n v="165"/>
    <n v="15"/>
    <n v="72"/>
    <n v="18"/>
    <n v="10.199999999999999"/>
    <n v="2"/>
    <n v="5"/>
    <n v="15"/>
    <n v="0"/>
    <s v="NO"/>
    <n v="3"/>
    <n v="20"/>
    <x v="17"/>
    <n v="6.11"/>
    <n v="1.97"/>
    <n v="3.1015228426395942"/>
    <x v="0"/>
    <n v="42"/>
    <n v="34"/>
    <n v="0.81"/>
    <n v="2.42"/>
    <n v="1.58"/>
    <n v="40.409999999999997"/>
    <n v="36.85"/>
    <x v="1"/>
    <n v="0.62"/>
    <n v="92"/>
    <n v="0"/>
    <x v="0"/>
    <n v="0"/>
    <s v="NO"/>
    <n v="0"/>
    <s v="NO"/>
    <n v="0"/>
    <s v="NO"/>
    <n v="0"/>
    <s v="NO"/>
    <n v="0"/>
    <x v="1"/>
    <n v="0"/>
    <s v="NO"/>
    <n v="120"/>
    <n v="80"/>
    <n v="2"/>
    <n v="5"/>
    <n v="14"/>
    <n v="12"/>
    <n v="8.5"/>
    <x v="0"/>
    <n v="7"/>
    <n v="26"/>
    <n v="107.33333333333333"/>
    <x v="0"/>
    <x v="0"/>
    <x v="1"/>
  </r>
  <r>
    <n v="35"/>
    <n v="35"/>
    <n v="0"/>
    <x v="0"/>
    <n v="28"/>
    <n v="50"/>
    <n v="158"/>
    <n v="15"/>
    <n v="76"/>
    <n v="20"/>
    <n v="10"/>
    <n v="2"/>
    <n v="5"/>
    <n v="6"/>
    <n v="1"/>
    <s v="YES"/>
    <n v="0"/>
    <n v="1277.49"/>
    <x v="18"/>
    <n v="2.17"/>
    <n v="0.56999999999999995"/>
    <n v="3.8070175438596494"/>
    <x v="0"/>
    <n v="32"/>
    <n v="27"/>
    <n v="0.84"/>
    <n v="1.66"/>
    <n v="2.36"/>
    <n v="55.2"/>
    <n v="36.869999999999997"/>
    <x v="1"/>
    <n v="0.6"/>
    <n v="85"/>
    <n v="0"/>
    <x v="0"/>
    <n v="0"/>
    <s v="NO"/>
    <n v="0"/>
    <s v="NO"/>
    <n v="0"/>
    <s v="NO"/>
    <n v="0"/>
    <s v="NO"/>
    <n v="0"/>
    <x v="1"/>
    <n v="0"/>
    <s v="NO"/>
    <n v="120"/>
    <n v="70"/>
    <n v="11"/>
    <n v="7"/>
    <n v="14"/>
    <n v="19"/>
    <n v="8"/>
    <x v="0"/>
    <n v="18"/>
    <n v="33"/>
    <n v="97"/>
    <x v="1"/>
    <x v="0"/>
    <x v="0"/>
  </r>
  <r>
    <n v="36"/>
    <n v="36"/>
    <n v="0"/>
    <x v="0"/>
    <n v="32"/>
    <n v="71"/>
    <n v="165"/>
    <n v="11"/>
    <n v="72"/>
    <n v="22"/>
    <n v="12"/>
    <n v="2"/>
    <n v="5"/>
    <n v="10"/>
    <n v="1"/>
    <s v="YES"/>
    <n v="0"/>
    <n v="1455"/>
    <x v="19"/>
    <n v="2.65"/>
    <n v="0.52"/>
    <n v="5.0961538461538458"/>
    <x v="0"/>
    <n v="42"/>
    <n v="36"/>
    <n v="0.86"/>
    <n v="2.0299999999999998"/>
    <n v="3.64"/>
    <n v="19.78"/>
    <n v="25.22"/>
    <x v="1"/>
    <n v="0.45"/>
    <n v="80"/>
    <n v="0"/>
    <x v="0"/>
    <n v="0"/>
    <s v="NO"/>
    <n v="0"/>
    <s v="NO"/>
    <n v="0"/>
    <s v="NO"/>
    <n v="0"/>
    <s v="NO"/>
    <n v="0"/>
    <x v="1"/>
    <n v="0"/>
    <s v="NO"/>
    <n v="110"/>
    <n v="80"/>
    <n v="1"/>
    <n v="1"/>
    <n v="11"/>
    <n v="12"/>
    <n v="7"/>
    <x v="1"/>
    <n v="2"/>
    <n v="23"/>
    <n v="107"/>
    <x v="0"/>
    <x v="0"/>
    <x v="0"/>
  </r>
  <r>
    <n v="37"/>
    <n v="37"/>
    <n v="0"/>
    <x v="0"/>
    <n v="37"/>
    <n v="73"/>
    <n v="158"/>
    <n v="15"/>
    <n v="74"/>
    <n v="18"/>
    <n v="10.5"/>
    <n v="4"/>
    <n v="7"/>
    <n v="12"/>
    <n v="0"/>
    <s v="NO"/>
    <n v="0"/>
    <n v="18"/>
    <x v="0"/>
    <n v="3.22"/>
    <n v="0.48"/>
    <n v="6.7083333333333339"/>
    <x v="0"/>
    <n v="45"/>
    <n v="38"/>
    <n v="0.84"/>
    <n v="3.57"/>
    <n v="2.78"/>
    <n v="28.88"/>
    <n v="36.58"/>
    <x v="1"/>
    <n v="0.27"/>
    <n v="92"/>
    <n v="0"/>
    <x v="0"/>
    <n v="0"/>
    <s v="NO"/>
    <n v="0"/>
    <s v="NO"/>
    <n v="0"/>
    <s v="NO"/>
    <n v="0"/>
    <s v="NO"/>
    <n v="0"/>
    <x v="1"/>
    <n v="0"/>
    <s v="NO"/>
    <n v="110"/>
    <n v="80"/>
    <n v="6"/>
    <n v="2"/>
    <n v="11"/>
    <n v="13"/>
    <n v="10"/>
    <x v="1"/>
    <n v="8"/>
    <n v="24"/>
    <n v="108.66666666666667"/>
    <x v="0"/>
    <x v="0"/>
    <x v="1"/>
  </r>
  <r>
    <n v="38"/>
    <n v="38"/>
    <n v="0"/>
    <x v="0"/>
    <n v="26"/>
    <n v="72"/>
    <n v="157"/>
    <n v="11"/>
    <n v="70"/>
    <n v="18"/>
    <n v="11"/>
    <n v="2"/>
    <n v="5"/>
    <n v="1"/>
    <n v="0"/>
    <s v="NO"/>
    <n v="0"/>
    <n v="12"/>
    <x v="0"/>
    <n v="6.04"/>
    <n v="2.3199999999999998"/>
    <n v="2.603448275862069"/>
    <x v="0"/>
    <n v="42"/>
    <n v="34"/>
    <n v="0.81"/>
    <n v="65"/>
    <n v="0.88"/>
    <n v="30.59"/>
    <n v="20.25"/>
    <x v="1"/>
    <n v="0.88"/>
    <n v="90"/>
    <n v="0"/>
    <x v="0"/>
    <n v="0"/>
    <s v="NO"/>
    <n v="0"/>
    <s v="NO"/>
    <n v="0"/>
    <s v="NO"/>
    <n v="0"/>
    <s v="NO"/>
    <n v="0"/>
    <x v="1"/>
    <n v="0"/>
    <s v="NO"/>
    <n v="120"/>
    <n v="80"/>
    <n v="1"/>
    <n v="2"/>
    <n v="6.5"/>
    <n v="8.5"/>
    <n v="10"/>
    <x v="1"/>
    <n v="3"/>
    <n v="15"/>
    <n v="107"/>
    <x v="0"/>
    <x v="0"/>
    <x v="1"/>
  </r>
  <r>
    <n v="39"/>
    <n v="39"/>
    <n v="0"/>
    <x v="0"/>
    <n v="36"/>
    <n v="53"/>
    <n v="158"/>
    <n v="13"/>
    <n v="78"/>
    <n v="22"/>
    <n v="11"/>
    <n v="2"/>
    <n v="5"/>
    <n v="17"/>
    <n v="0"/>
    <s v="NO"/>
    <n v="0"/>
    <n v="10"/>
    <x v="0"/>
    <n v="3.99"/>
    <n v="1.99"/>
    <n v="2.0050251256281406"/>
    <x v="0"/>
    <n v="39"/>
    <n v="32"/>
    <n v="0.82"/>
    <n v="2.3759999999999999"/>
    <n v="2.36"/>
    <n v="19.64"/>
    <n v="45.55"/>
    <x v="1"/>
    <n v="0.65"/>
    <n v="100"/>
    <n v="0"/>
    <x v="0"/>
    <n v="0"/>
    <s v="NO"/>
    <n v="0"/>
    <s v="NO"/>
    <n v="0"/>
    <s v="NO"/>
    <n v="0"/>
    <s v="NO"/>
    <n v="0"/>
    <x v="1"/>
    <n v="0"/>
    <s v="NO"/>
    <n v="110"/>
    <n v="80"/>
    <n v="7"/>
    <n v="5"/>
    <n v="8"/>
    <n v="7"/>
    <n v="15"/>
    <x v="0"/>
    <n v="12"/>
    <n v="15"/>
    <n v="109"/>
    <x v="1"/>
    <x v="0"/>
    <x v="1"/>
  </r>
  <r>
    <n v="40"/>
    <n v="40"/>
    <n v="0"/>
    <x v="0"/>
    <n v="20"/>
    <n v="74"/>
    <n v="171"/>
    <n v="13"/>
    <n v="74"/>
    <n v="16"/>
    <n v="11.1"/>
    <n v="4"/>
    <n v="0"/>
    <n v="1"/>
    <n v="0"/>
    <s v="NO"/>
    <n v="0"/>
    <n v="1.99"/>
    <x v="0"/>
    <n v="3.52"/>
    <n v="9.17"/>
    <n v="0.38386041439476554"/>
    <x v="1"/>
    <n v="42"/>
    <n v="36"/>
    <n v="0.86"/>
    <n v="2.0099999999999998"/>
    <n v="0.33"/>
    <n v="12.49"/>
    <n v="38.630000000000003"/>
    <x v="1"/>
    <n v="0.32"/>
    <n v="80"/>
    <n v="0"/>
    <x v="0"/>
    <n v="0"/>
    <s v="NO"/>
    <n v="0"/>
    <s v="NO"/>
    <n v="0"/>
    <s v="NO"/>
    <n v="0"/>
    <s v="NO"/>
    <n v="0"/>
    <x v="1"/>
    <n v="0"/>
    <s v="NO"/>
    <n v="110"/>
    <n v="70"/>
    <n v="6"/>
    <n v="12"/>
    <n v="13"/>
    <n v="12"/>
    <n v="0"/>
    <x v="1"/>
    <n v="18"/>
    <n v="25"/>
    <n v="95.333333333333329"/>
    <x v="2"/>
    <x v="0"/>
    <x v="0"/>
  </r>
  <r>
    <n v="41"/>
    <n v="41"/>
    <n v="0"/>
    <x v="0"/>
    <n v="32"/>
    <n v="40"/>
    <n v="156"/>
    <n v="15"/>
    <n v="78"/>
    <n v="22"/>
    <n v="10.5"/>
    <n v="2"/>
    <n v="5"/>
    <n v="6"/>
    <n v="0"/>
    <s v="NO"/>
    <n v="0"/>
    <n v="10"/>
    <x v="0"/>
    <n v="7.87"/>
    <n v="4.8899999999999997"/>
    <n v="1.6094069529652353"/>
    <x v="1"/>
    <n v="34"/>
    <n v="30"/>
    <n v="0.88"/>
    <n v="5"/>
    <n v="2.35"/>
    <n v="31.32"/>
    <n v="56.2"/>
    <x v="1"/>
    <n v="0.25"/>
    <n v="107"/>
    <n v="0"/>
    <x v="0"/>
    <n v="0"/>
    <s v="NO"/>
    <n v="0"/>
    <s v="NO"/>
    <n v="0"/>
    <s v="NO"/>
    <n v="0"/>
    <s v="NO"/>
    <n v="0"/>
    <x v="1"/>
    <n v="0"/>
    <s v="NO"/>
    <n v="110"/>
    <n v="80"/>
    <n v="5"/>
    <n v="8"/>
    <n v="14"/>
    <n v="14"/>
    <n v="7.3"/>
    <x v="2"/>
    <n v="13"/>
    <n v="28"/>
    <n v="108.33333333333333"/>
    <x v="1"/>
    <x v="0"/>
    <x v="1"/>
  </r>
  <r>
    <n v="42"/>
    <n v="42"/>
    <n v="0"/>
    <x v="0"/>
    <n v="29"/>
    <n v="78"/>
    <n v="165"/>
    <n v="13"/>
    <n v="72"/>
    <n v="16"/>
    <n v="12.8"/>
    <n v="2"/>
    <n v="5"/>
    <n v="2"/>
    <n v="1"/>
    <s v="YES"/>
    <n v="0"/>
    <n v="497.41"/>
    <x v="20"/>
    <n v="5.6"/>
    <n v="2.13"/>
    <n v="2.629107981220657"/>
    <x v="0"/>
    <n v="42"/>
    <n v="36"/>
    <n v="0.86"/>
    <n v="0.93"/>
    <n v="3.88"/>
    <n v="20.46"/>
    <n v="14.36"/>
    <x v="0"/>
    <n v="85"/>
    <n v="92"/>
    <n v="0"/>
    <x v="0"/>
    <n v="0"/>
    <s v="NO"/>
    <n v="0"/>
    <s v="NO"/>
    <n v="0"/>
    <s v="NO"/>
    <n v="0"/>
    <s v="NO"/>
    <n v="0"/>
    <x v="1"/>
    <n v="0"/>
    <s v="NO"/>
    <n v="110"/>
    <n v="80"/>
    <n v="8"/>
    <n v="10"/>
    <n v="11"/>
    <n v="12"/>
    <n v="6.5"/>
    <x v="1"/>
    <n v="18"/>
    <n v="23"/>
    <n v="109.33333333333333"/>
    <x v="1"/>
    <x v="0"/>
    <x v="0"/>
  </r>
  <r>
    <n v="43"/>
    <n v="43"/>
    <n v="0"/>
    <x v="0"/>
    <n v="28"/>
    <n v="33"/>
    <n v="157"/>
    <n v="13"/>
    <n v="78"/>
    <n v="18"/>
    <n v="11.5"/>
    <n v="4"/>
    <n v="9"/>
    <n v="3.5"/>
    <n v="0"/>
    <s v="NO"/>
    <n v="0"/>
    <n v="10"/>
    <x v="0"/>
    <n v="3.34"/>
    <n v="0.25"/>
    <n v="13.36"/>
    <x v="0"/>
    <n v="32"/>
    <n v="26"/>
    <n v="0.81"/>
    <n v="3.4"/>
    <n v="3.55"/>
    <n v="6.59"/>
    <n v="42.3"/>
    <x v="1"/>
    <n v="0.25"/>
    <n v="84"/>
    <n v="0"/>
    <x v="0"/>
    <n v="0"/>
    <s v="NO"/>
    <n v="0"/>
    <s v="NO"/>
    <n v="0"/>
    <s v="NO"/>
    <n v="0"/>
    <s v="NO"/>
    <n v="0"/>
    <x v="1"/>
    <n v="0"/>
    <s v="NO"/>
    <n v="100"/>
    <n v="70"/>
    <n v="0"/>
    <n v="1"/>
    <n v="0"/>
    <n v="12"/>
    <n v="6.5"/>
    <x v="2"/>
    <n v="1"/>
    <n v="12"/>
    <n v="93.333333333333329"/>
    <x v="0"/>
    <x v="0"/>
    <x v="1"/>
  </r>
  <r>
    <n v="44"/>
    <n v="44"/>
    <n v="0"/>
    <x v="0"/>
    <n v="24"/>
    <n v="68"/>
    <n v="165"/>
    <n v="15"/>
    <n v="72"/>
    <n v="16"/>
    <n v="11"/>
    <n v="2"/>
    <n v="5"/>
    <n v="3.5"/>
    <n v="1"/>
    <s v="YES"/>
    <n v="0"/>
    <n v="161.14699999999999"/>
    <x v="21"/>
    <n v="2.79"/>
    <n v="1.97"/>
    <n v="1.4162436548223352"/>
    <x v="1"/>
    <n v="39"/>
    <n v="33"/>
    <n v="0.85"/>
    <n v="1.48"/>
    <n v="4.33"/>
    <n v="0.4"/>
    <n v="25.366"/>
    <x v="1"/>
    <n v="0.25"/>
    <n v="100"/>
    <n v="0"/>
    <x v="0"/>
    <n v="0"/>
    <s v="NO"/>
    <n v="0"/>
    <s v="NO"/>
    <n v="0"/>
    <s v="NO"/>
    <n v="0"/>
    <s v="NO"/>
    <n v="0"/>
    <x v="1"/>
    <n v="0"/>
    <s v="NO"/>
    <n v="110"/>
    <n v="70"/>
    <n v="6"/>
    <n v="8"/>
    <n v="8"/>
    <n v="8"/>
    <n v="7.12"/>
    <x v="1"/>
    <n v="14"/>
    <n v="16"/>
    <n v="95.333333333333329"/>
    <x v="1"/>
    <x v="0"/>
    <x v="0"/>
  </r>
  <r>
    <n v="45"/>
    <n v="45"/>
    <n v="1"/>
    <x v="1"/>
    <n v="29"/>
    <n v="59"/>
    <n v="158"/>
    <n v="17"/>
    <n v="78"/>
    <n v="22"/>
    <n v="12"/>
    <n v="4"/>
    <n v="7"/>
    <n v="7"/>
    <n v="1"/>
    <s v="YES"/>
    <n v="0"/>
    <n v="1305.3499999999999"/>
    <x v="0"/>
    <n v="3.26"/>
    <n v="0.79"/>
    <n v="4.1265822784810124"/>
    <x v="0"/>
    <n v="39"/>
    <n v="33"/>
    <n v="0.85"/>
    <n v="3.77"/>
    <n v="3.55"/>
    <n v="31.36"/>
    <n v="44.55"/>
    <x v="1"/>
    <n v="0.76"/>
    <n v="100"/>
    <n v="1"/>
    <x v="1"/>
    <n v="1"/>
    <s v="YES"/>
    <n v="1"/>
    <s v="YES"/>
    <n v="1"/>
    <s v="YES"/>
    <n v="1"/>
    <s v="YES"/>
    <n v="1"/>
    <x v="0"/>
    <n v="1"/>
    <s v="YES"/>
    <n v="120"/>
    <n v="80"/>
    <n v="13"/>
    <n v="14"/>
    <n v="16"/>
    <n v="15"/>
    <n v="7"/>
    <x v="0"/>
    <n v="27"/>
    <n v="31"/>
    <n v="111"/>
    <x v="2"/>
    <x v="3"/>
    <x v="0"/>
  </r>
  <r>
    <n v="46"/>
    <n v="46"/>
    <n v="0"/>
    <x v="0"/>
    <n v="25"/>
    <n v="56"/>
    <n v="155"/>
    <n v="15"/>
    <n v="70"/>
    <n v="18"/>
    <n v="10.6"/>
    <n v="2"/>
    <n v="5"/>
    <n v="6"/>
    <n v="1"/>
    <s v="YES"/>
    <n v="0"/>
    <n v="43.5"/>
    <x v="22"/>
    <n v="2.77"/>
    <n v="0.56999999999999995"/>
    <n v="4.859649122807018"/>
    <x v="0"/>
    <n v="40"/>
    <n v="33"/>
    <n v="0.83"/>
    <n v="3.85"/>
    <n v="2.36"/>
    <n v="25.6"/>
    <n v="45.5"/>
    <x v="1"/>
    <n v="0.31"/>
    <n v="92"/>
    <n v="0"/>
    <x v="0"/>
    <n v="0"/>
    <s v="NO"/>
    <n v="0"/>
    <s v="NO"/>
    <n v="0"/>
    <s v="NO"/>
    <n v="0"/>
    <s v="NO"/>
    <n v="0"/>
    <x v="1"/>
    <n v="0"/>
    <s v="NO"/>
    <n v="120"/>
    <n v="80"/>
    <n v="5"/>
    <n v="8"/>
    <n v="14"/>
    <n v="13"/>
    <n v="9.4"/>
    <x v="0"/>
    <n v="13"/>
    <n v="27"/>
    <n v="108.33333333333333"/>
    <x v="1"/>
    <x v="0"/>
    <x v="0"/>
  </r>
  <r>
    <n v="47"/>
    <n v="47"/>
    <n v="1"/>
    <x v="1"/>
    <n v="28"/>
    <n v="75"/>
    <n v="165"/>
    <n v="15"/>
    <n v="72"/>
    <n v="18"/>
    <n v="12"/>
    <n v="2"/>
    <n v="5"/>
    <n v="2.5"/>
    <n v="1"/>
    <s v="YES"/>
    <n v="0"/>
    <n v="141.06"/>
    <x v="23"/>
    <n v="5.81"/>
    <n v="0.27"/>
    <n v="21.518518518518515"/>
    <x v="0"/>
    <n v="45"/>
    <n v="41"/>
    <n v="0.91"/>
    <n v="0.83"/>
    <n v="3.66"/>
    <n v="14.43"/>
    <n v="52.3"/>
    <x v="1"/>
    <n v="0.38"/>
    <n v="100"/>
    <n v="1"/>
    <x v="1"/>
    <n v="1"/>
    <s v="YES"/>
    <n v="0"/>
    <s v="NO"/>
    <n v="1"/>
    <s v="YES"/>
    <n v="1"/>
    <s v="YES"/>
    <n v="1"/>
    <x v="0"/>
    <n v="0"/>
    <s v="NO"/>
    <n v="110"/>
    <n v="70"/>
    <n v="4"/>
    <n v="6"/>
    <n v="10"/>
    <n v="12"/>
    <n v="9"/>
    <x v="1"/>
    <n v="10"/>
    <n v="22"/>
    <n v="94.666666666666671"/>
    <x v="1"/>
    <x v="4"/>
    <x v="0"/>
  </r>
  <r>
    <n v="48"/>
    <n v="48"/>
    <n v="0"/>
    <x v="0"/>
    <n v="26"/>
    <n v="40"/>
    <n v="156"/>
    <n v="13"/>
    <n v="74"/>
    <n v="18"/>
    <n v="10.199999999999999"/>
    <n v="2"/>
    <n v="5"/>
    <n v="3"/>
    <n v="1"/>
    <s v="YES"/>
    <n v="0"/>
    <n v="1500"/>
    <x v="24"/>
    <n v="7.34"/>
    <n v="2.78"/>
    <n v="2.6402877697841727"/>
    <x v="0"/>
    <n v="39"/>
    <n v="33"/>
    <n v="0.85"/>
    <n v="4.45"/>
    <n v="4.33"/>
    <n v="24.58"/>
    <n v="54.62"/>
    <x v="1"/>
    <n v="0.25"/>
    <n v="80"/>
    <n v="0"/>
    <x v="0"/>
    <n v="0"/>
    <s v="NO"/>
    <n v="0"/>
    <s v="NO"/>
    <n v="0"/>
    <s v="NO"/>
    <n v="0"/>
    <s v="NO"/>
    <n v="0"/>
    <x v="1"/>
    <n v="0"/>
    <s v="NO"/>
    <n v="110"/>
    <n v="70"/>
    <n v="5"/>
    <n v="7"/>
    <n v="15"/>
    <n v="18"/>
    <n v="16"/>
    <x v="2"/>
    <n v="12"/>
    <n v="33"/>
    <n v="95"/>
    <x v="1"/>
    <x v="0"/>
    <x v="0"/>
  </r>
  <r>
    <n v="49"/>
    <n v="49"/>
    <n v="0"/>
    <x v="0"/>
    <n v="34"/>
    <n v="51"/>
    <n v="155"/>
    <n v="11"/>
    <n v="78"/>
    <n v="24"/>
    <n v="10.8"/>
    <n v="2"/>
    <n v="5"/>
    <n v="11"/>
    <n v="0"/>
    <s v="NO"/>
    <n v="0"/>
    <n v="10"/>
    <x v="0"/>
    <n v="2.46"/>
    <n v="0.51"/>
    <n v="4.8235294117647056"/>
    <x v="0"/>
    <n v="39"/>
    <n v="34"/>
    <n v="0.87"/>
    <n v="2.16"/>
    <n v="1"/>
    <n v="7.97"/>
    <n v="35.659999999999997"/>
    <x v="1"/>
    <n v="0.25"/>
    <n v="75"/>
    <n v="0"/>
    <x v="0"/>
    <n v="0"/>
    <s v="NO"/>
    <n v="0"/>
    <s v="NO"/>
    <n v="0"/>
    <s v="NO"/>
    <n v="0"/>
    <s v="NO"/>
    <n v="1"/>
    <x v="0"/>
    <n v="0"/>
    <s v="NO"/>
    <n v="110"/>
    <n v="80"/>
    <n v="6"/>
    <n v="8"/>
    <n v="10"/>
    <n v="15"/>
    <n v="9"/>
    <x v="0"/>
    <n v="14"/>
    <n v="25"/>
    <n v="108.66666666666667"/>
    <x v="1"/>
    <x v="0"/>
    <x v="1"/>
  </r>
  <r>
    <n v="50"/>
    <n v="50"/>
    <n v="1"/>
    <x v="1"/>
    <n v="27"/>
    <n v="51"/>
    <n v="154"/>
    <n v="15"/>
    <n v="72"/>
    <n v="18"/>
    <n v="12.8"/>
    <n v="4"/>
    <n v="3"/>
    <n v="4"/>
    <n v="0"/>
    <s v="NO"/>
    <n v="0"/>
    <n v="10"/>
    <x v="0"/>
    <n v="2.2599999999999998"/>
    <n v="2.4"/>
    <n v="0.94166666666666665"/>
    <x v="1"/>
    <n v="38"/>
    <n v="34"/>
    <n v="0.89"/>
    <n v="2.77"/>
    <n v="4.5"/>
    <n v="15.22"/>
    <n v="45.2"/>
    <x v="1"/>
    <n v="0.52"/>
    <n v="100"/>
    <n v="1"/>
    <x v="1"/>
    <n v="1"/>
    <s v="YES"/>
    <n v="1"/>
    <s v="YES"/>
    <n v="1"/>
    <s v="YES"/>
    <n v="1"/>
    <s v="YES"/>
    <n v="1"/>
    <x v="0"/>
    <n v="1"/>
    <s v="YES"/>
    <n v="110"/>
    <n v="70"/>
    <n v="5"/>
    <n v="8"/>
    <n v="14"/>
    <n v="13"/>
    <n v="10.4"/>
    <x v="0"/>
    <n v="13"/>
    <n v="27"/>
    <n v="95"/>
    <x v="1"/>
    <x v="3"/>
    <x v="1"/>
  </r>
  <r>
    <n v="51"/>
    <n v="51"/>
    <n v="1"/>
    <x v="1"/>
    <n v="23"/>
    <n v="68"/>
    <n v="172"/>
    <n v="15"/>
    <n v="72"/>
    <n v="16"/>
    <n v="10.8"/>
    <n v="4"/>
    <n v="10"/>
    <n v="4"/>
    <n v="0"/>
    <s v="NO"/>
    <n v="0"/>
    <n v="77.599999999999994"/>
    <x v="0"/>
    <n v="4.42"/>
    <n v="5.48"/>
    <n v="0.80656934306569339"/>
    <x v="1"/>
    <n v="42"/>
    <n v="34"/>
    <n v="0.81"/>
    <n v="3.26"/>
    <n v="3.2"/>
    <n v="27.65"/>
    <n v="23.114000000000001"/>
    <x v="1"/>
    <n v="0.39"/>
    <n v="70"/>
    <n v="1"/>
    <x v="1"/>
    <n v="1"/>
    <s v="YES"/>
    <n v="1"/>
    <s v="YES"/>
    <n v="1"/>
    <s v="YES"/>
    <n v="1"/>
    <s v="YES"/>
    <n v="0"/>
    <x v="1"/>
    <n v="0"/>
    <s v="NO"/>
    <n v="110"/>
    <n v="70"/>
    <n v="22"/>
    <n v="18"/>
    <n v="12"/>
    <n v="13"/>
    <n v="11"/>
    <x v="0"/>
    <n v="40"/>
    <n v="25"/>
    <n v="100.66666666666667"/>
    <x v="2"/>
    <x v="3"/>
    <x v="1"/>
  </r>
  <r>
    <n v="52"/>
    <n v="52"/>
    <n v="0"/>
    <x v="0"/>
    <n v="23"/>
    <n v="54"/>
    <n v="158"/>
    <n v="16"/>
    <n v="72"/>
    <n v="18"/>
    <n v="10.8"/>
    <n v="2"/>
    <n v="5"/>
    <n v="2"/>
    <n v="1"/>
    <s v="YES"/>
    <n v="0"/>
    <n v="177.57"/>
    <x v="25"/>
    <n v="5.32"/>
    <n v="1.8"/>
    <n v="2.9555555555555557"/>
    <x v="0"/>
    <n v="38"/>
    <n v="32"/>
    <n v="0.84"/>
    <n v="5.17"/>
    <n v="2.1"/>
    <n v="24.5"/>
    <n v="14"/>
    <x v="0"/>
    <n v="0.25"/>
    <n v="70"/>
    <n v="0"/>
    <x v="0"/>
    <n v="0"/>
    <s v="NO"/>
    <n v="0"/>
    <s v="NO"/>
    <n v="0"/>
    <s v="NO"/>
    <n v="0"/>
    <s v="NO"/>
    <n v="0"/>
    <x v="1"/>
    <n v="0"/>
    <s v="NO"/>
    <n v="100"/>
    <n v="70"/>
    <n v="7"/>
    <n v="10"/>
    <n v="15"/>
    <n v="13"/>
    <n v="10"/>
    <x v="0"/>
    <n v="17"/>
    <n v="28"/>
    <n v="95.666666666666671"/>
    <x v="1"/>
    <x v="0"/>
    <x v="0"/>
  </r>
  <r>
    <n v="53"/>
    <n v="53"/>
    <n v="1"/>
    <x v="1"/>
    <n v="31"/>
    <n v="50"/>
    <n v="157"/>
    <n v="15"/>
    <n v="72"/>
    <n v="20"/>
    <n v="10.8"/>
    <n v="2"/>
    <n v="4"/>
    <n v="1.5"/>
    <n v="1"/>
    <s v="YES"/>
    <n v="0"/>
    <n v="160.77000000000001"/>
    <x v="16"/>
    <n v="7.08"/>
    <n v="4.09"/>
    <n v="1.7310513447432763"/>
    <x v="1"/>
    <n v="39"/>
    <n v="32"/>
    <n v="0.82"/>
    <n v="2.2400000000000002"/>
    <n v="4.5"/>
    <n v="21.38"/>
    <n v="64.2"/>
    <x v="1"/>
    <n v="0.56999999999999995"/>
    <n v="107"/>
    <n v="1"/>
    <x v="1"/>
    <n v="0"/>
    <s v="NO"/>
    <n v="1"/>
    <s v="YES"/>
    <n v="0"/>
    <s v="NO"/>
    <n v="1"/>
    <s v="YES"/>
    <n v="1"/>
    <x v="0"/>
    <n v="1"/>
    <s v="YES"/>
    <n v="120"/>
    <n v="80"/>
    <n v="6"/>
    <n v="11"/>
    <n v="12"/>
    <n v="11"/>
    <n v="6"/>
    <x v="0"/>
    <n v="17"/>
    <n v="23"/>
    <n v="108.66666666666667"/>
    <x v="1"/>
    <x v="1"/>
    <x v="0"/>
  </r>
  <r>
    <n v="54"/>
    <n v="54"/>
    <n v="0"/>
    <x v="0"/>
    <n v="32"/>
    <n v="62"/>
    <n v="151"/>
    <n v="15"/>
    <n v="70"/>
    <n v="18"/>
    <n v="10.5"/>
    <n v="2"/>
    <n v="5"/>
    <n v="13"/>
    <n v="1"/>
    <s v="YES"/>
    <n v="0"/>
    <n v="180.33"/>
    <x v="15"/>
    <n v="2.4900000000000002"/>
    <n v="0.72"/>
    <n v="3.4583333333333339"/>
    <x v="0"/>
    <n v="45"/>
    <n v="39"/>
    <n v="0.87"/>
    <n v="0.75"/>
    <n v="6.55"/>
    <n v="18.510000000000002"/>
    <n v="45.36"/>
    <x v="1"/>
    <n v="0.25"/>
    <n v="92"/>
    <n v="0"/>
    <x v="0"/>
    <n v="0"/>
    <s v="NO"/>
    <n v="0"/>
    <s v="NO"/>
    <n v="0"/>
    <s v="NO"/>
    <n v="0"/>
    <s v="NO"/>
    <n v="0"/>
    <x v="1"/>
    <n v="0"/>
    <s v="NO"/>
    <n v="120"/>
    <n v="80"/>
    <n v="4"/>
    <n v="6"/>
    <n v="13"/>
    <n v="14"/>
    <n v="6.8"/>
    <x v="1"/>
    <n v="10"/>
    <n v="27"/>
    <n v="108"/>
    <x v="1"/>
    <x v="0"/>
    <x v="0"/>
  </r>
  <r>
    <n v="55"/>
    <n v="55"/>
    <n v="0"/>
    <x v="0"/>
    <n v="32"/>
    <n v="58"/>
    <n v="152"/>
    <n v="13"/>
    <n v="70"/>
    <n v="18"/>
    <n v="10"/>
    <n v="2"/>
    <n v="5"/>
    <n v="16"/>
    <n v="0"/>
    <s v="NO"/>
    <n v="0"/>
    <n v="1.99"/>
    <x v="0"/>
    <n v="9.43"/>
    <n v="6.08"/>
    <n v="1.5509868421052631"/>
    <x v="1"/>
    <n v="40"/>
    <n v="36"/>
    <n v="0.9"/>
    <n v="2.82"/>
    <n v="1.2"/>
    <n v="33.78"/>
    <n v="56.25"/>
    <x v="1"/>
    <n v="0.45"/>
    <n v="100"/>
    <n v="0"/>
    <x v="0"/>
    <n v="0"/>
    <s v="NO"/>
    <n v="0"/>
    <s v="NO"/>
    <n v="0"/>
    <s v="NO"/>
    <n v="0"/>
    <s v="NO"/>
    <n v="0"/>
    <x v="1"/>
    <n v="0"/>
    <s v="NO"/>
    <n v="120"/>
    <n v="80"/>
    <n v="5"/>
    <n v="9"/>
    <n v="10"/>
    <n v="11"/>
    <n v="6.3"/>
    <x v="1"/>
    <n v="14"/>
    <n v="21"/>
    <n v="108.33333333333333"/>
    <x v="1"/>
    <x v="0"/>
    <x v="0"/>
  </r>
  <r>
    <n v="56"/>
    <n v="56"/>
    <n v="0"/>
    <x v="0"/>
    <n v="37"/>
    <n v="68"/>
    <n v="169"/>
    <n v="15"/>
    <n v="72"/>
    <n v="18"/>
    <n v="10"/>
    <n v="2"/>
    <n v="5"/>
    <n v="7"/>
    <n v="1"/>
    <s v="YES"/>
    <n v="0"/>
    <n v="274.7"/>
    <x v="13"/>
    <n v="3.51"/>
    <n v="0.98"/>
    <n v="3.5816326530612241"/>
    <x v="0"/>
    <n v="44"/>
    <n v="37"/>
    <n v="0.84"/>
    <n v="5.2"/>
    <n v="2.33"/>
    <n v="34.42"/>
    <n v="25.6"/>
    <x v="1"/>
    <n v="0.25"/>
    <n v="92"/>
    <n v="0"/>
    <x v="0"/>
    <n v="0"/>
    <s v="NO"/>
    <n v="0"/>
    <s v="NO"/>
    <n v="0"/>
    <s v="NO"/>
    <n v="0"/>
    <s v="NO"/>
    <n v="0"/>
    <x v="1"/>
    <n v="0"/>
    <s v="NO"/>
    <n v="110"/>
    <n v="80"/>
    <n v="6"/>
    <n v="7"/>
    <n v="9.5"/>
    <n v="11"/>
    <n v="8.9"/>
    <x v="0"/>
    <n v="13"/>
    <n v="20.5"/>
    <n v="108.66666666666667"/>
    <x v="1"/>
    <x v="0"/>
    <x v="0"/>
  </r>
  <r>
    <n v="57"/>
    <n v="57"/>
    <n v="0"/>
    <x v="0"/>
    <n v="38"/>
    <n v="56"/>
    <n v="160"/>
    <n v="11"/>
    <n v="72"/>
    <n v="20"/>
    <n v="10.8"/>
    <n v="2"/>
    <n v="5"/>
    <n v="15"/>
    <n v="1"/>
    <s v="YES"/>
    <n v="0"/>
    <n v="1.99"/>
    <x v="0"/>
    <n v="8.49"/>
    <n v="2.42"/>
    <n v="3.5082644628099175"/>
    <x v="0"/>
    <n v="40"/>
    <n v="34"/>
    <n v="0.85"/>
    <n v="4.45"/>
    <n v="3.22"/>
    <n v="36.450000000000003"/>
    <n v="45.3"/>
    <x v="1"/>
    <n v="0.42"/>
    <n v="130"/>
    <n v="0"/>
    <x v="0"/>
    <n v="0"/>
    <s v="NO"/>
    <n v="0"/>
    <s v="NO"/>
    <n v="0"/>
    <s v="NO"/>
    <n v="0"/>
    <s v="NO"/>
    <n v="0"/>
    <x v="1"/>
    <n v="0"/>
    <s v="NO"/>
    <n v="120"/>
    <n v="80"/>
    <n v="6"/>
    <n v="5"/>
    <n v="11"/>
    <n v="13"/>
    <n v="8.6"/>
    <x v="0"/>
    <n v="11"/>
    <n v="24"/>
    <n v="108.66666666666667"/>
    <x v="1"/>
    <x v="0"/>
    <x v="0"/>
  </r>
  <r>
    <n v="58"/>
    <n v="58"/>
    <n v="0"/>
    <x v="0"/>
    <n v="36"/>
    <n v="58"/>
    <n v="152"/>
    <n v="14"/>
    <n v="72"/>
    <n v="20"/>
    <n v="10"/>
    <n v="2"/>
    <n v="5"/>
    <n v="13"/>
    <n v="1"/>
    <s v="YES"/>
    <n v="1"/>
    <n v="249.87"/>
    <x v="15"/>
    <n v="3.88"/>
    <n v="0.61"/>
    <n v="6.360655737704918"/>
    <x v="0"/>
    <n v="42"/>
    <n v="35"/>
    <n v="0.83"/>
    <n v="1.98"/>
    <n v="2.3330000000000002"/>
    <n v="13.47"/>
    <n v="31.22"/>
    <x v="1"/>
    <n v="0.49"/>
    <n v="82"/>
    <n v="0"/>
    <x v="0"/>
    <n v="0"/>
    <s v="NO"/>
    <n v="0"/>
    <s v="NO"/>
    <n v="0"/>
    <s v="NO"/>
    <n v="0"/>
    <s v="NO"/>
    <n v="0"/>
    <x v="1"/>
    <n v="0"/>
    <s v="NO"/>
    <n v="110"/>
    <n v="80"/>
    <n v="3"/>
    <n v="2"/>
    <n v="12"/>
    <n v="13"/>
    <n v="9.3000000000000007"/>
    <x v="1"/>
    <n v="5"/>
    <n v="25"/>
    <n v="107.66666666666667"/>
    <x v="0"/>
    <x v="0"/>
    <x v="0"/>
  </r>
  <r>
    <n v="59"/>
    <n v="59"/>
    <n v="0"/>
    <x v="0"/>
    <n v="26"/>
    <n v="75"/>
    <n v="158"/>
    <n v="13"/>
    <n v="72"/>
    <n v="18"/>
    <n v="10.5"/>
    <n v="2"/>
    <n v="5"/>
    <n v="8"/>
    <n v="0"/>
    <s v="NO"/>
    <n v="0"/>
    <n v="1.99"/>
    <x v="0"/>
    <n v="6.87"/>
    <n v="3.34"/>
    <n v="2.0568862275449105"/>
    <x v="0"/>
    <n v="45"/>
    <n v="40"/>
    <n v="0.89"/>
    <n v="2.33"/>
    <n v="2.31"/>
    <n v="9.35"/>
    <n v="25.65"/>
    <x v="1"/>
    <n v="0.27"/>
    <n v="92"/>
    <n v="0"/>
    <x v="0"/>
    <n v="0"/>
    <s v="NO"/>
    <n v="0"/>
    <s v="NO"/>
    <n v="0"/>
    <s v="NO"/>
    <n v="0"/>
    <s v="NO"/>
    <n v="0"/>
    <x v="1"/>
    <n v="0"/>
    <s v="NO"/>
    <n v="110"/>
    <n v="80"/>
    <n v="3"/>
    <n v="3"/>
    <n v="16"/>
    <n v="17"/>
    <n v="14"/>
    <x v="3"/>
    <n v="6"/>
    <n v="33"/>
    <n v="107.66666666666667"/>
    <x v="0"/>
    <x v="0"/>
    <x v="0"/>
  </r>
  <r>
    <n v="60"/>
    <n v="60"/>
    <n v="0"/>
    <x v="0"/>
    <n v="26"/>
    <n v="67"/>
    <n v="137"/>
    <n v="15"/>
    <n v="74"/>
    <n v="20"/>
    <n v="11"/>
    <n v="4"/>
    <n v="9"/>
    <n v="12"/>
    <n v="0"/>
    <s v="NO"/>
    <n v="0"/>
    <n v="1.99"/>
    <x v="0"/>
    <n v="5.9"/>
    <n v="2.73"/>
    <n v="2.1611721611721615"/>
    <x v="0"/>
    <n v="44"/>
    <n v="39"/>
    <n v="0.89"/>
    <n v="1.7"/>
    <n v="2.36"/>
    <n v="15.19"/>
    <n v="45.35"/>
    <x v="1"/>
    <n v="0.66"/>
    <n v="92"/>
    <n v="0"/>
    <x v="0"/>
    <n v="0"/>
    <s v="NO"/>
    <n v="0"/>
    <s v="NO"/>
    <n v="0"/>
    <s v="NO"/>
    <n v="0"/>
    <s v="NO"/>
    <n v="0"/>
    <x v="1"/>
    <n v="0"/>
    <s v="NO"/>
    <n v="120"/>
    <n v="70"/>
    <n v="5"/>
    <n v="7"/>
    <n v="14"/>
    <n v="15"/>
    <n v="11"/>
    <x v="3"/>
    <n v="12"/>
    <n v="29"/>
    <n v="95"/>
    <x v="1"/>
    <x v="0"/>
    <x v="0"/>
  </r>
  <r>
    <n v="61"/>
    <n v="61"/>
    <n v="0"/>
    <x v="0"/>
    <n v="29"/>
    <n v="63"/>
    <n v="162"/>
    <n v="13"/>
    <n v="78"/>
    <n v="22"/>
    <n v="11.2"/>
    <n v="2"/>
    <n v="5"/>
    <n v="4"/>
    <n v="1"/>
    <s v="YES"/>
    <n v="0"/>
    <n v="626.91999999999996"/>
    <x v="26"/>
    <n v="6.07"/>
    <n v="3.87"/>
    <n v="1.5684754521963824"/>
    <x v="1"/>
    <n v="42"/>
    <n v="36"/>
    <n v="0.86"/>
    <n v="6.71"/>
    <n v="4.2"/>
    <n v="47.72"/>
    <n v="36.21"/>
    <x v="1"/>
    <n v="0.59"/>
    <n v="92"/>
    <n v="0"/>
    <x v="0"/>
    <n v="0"/>
    <s v="NO"/>
    <n v="0"/>
    <s v="NO"/>
    <n v="0"/>
    <s v="NO"/>
    <n v="0"/>
    <s v="NO"/>
    <n v="0"/>
    <x v="1"/>
    <n v="0"/>
    <s v="NO"/>
    <n v="110"/>
    <n v="80"/>
    <n v="6"/>
    <n v="7"/>
    <n v="13"/>
    <n v="14"/>
    <n v="7.2"/>
    <x v="0"/>
    <n v="13"/>
    <n v="27"/>
    <n v="108.66666666666667"/>
    <x v="1"/>
    <x v="0"/>
    <x v="0"/>
  </r>
  <r>
    <n v="62"/>
    <n v="62"/>
    <n v="1"/>
    <x v="1"/>
    <n v="32"/>
    <n v="76"/>
    <n v="161"/>
    <n v="15"/>
    <n v="78"/>
    <n v="22"/>
    <n v="11.2"/>
    <n v="2"/>
    <n v="5"/>
    <n v="12"/>
    <n v="0"/>
    <s v="NO"/>
    <n v="1"/>
    <n v="8"/>
    <x v="0"/>
    <n v="1.46"/>
    <n v="0.15"/>
    <n v="9.7333333333333343"/>
    <x v="0"/>
    <n v="45"/>
    <n v="39"/>
    <n v="0.87"/>
    <n v="0.44"/>
    <n v="3.21"/>
    <n v="13.16"/>
    <n v="25.45"/>
    <x v="1"/>
    <n v="0.32"/>
    <n v="107"/>
    <n v="1"/>
    <x v="1"/>
    <n v="1"/>
    <s v="YES"/>
    <n v="1"/>
    <s v="YES"/>
    <n v="1"/>
    <s v="YES"/>
    <n v="1"/>
    <s v="YES"/>
    <n v="1"/>
    <x v="0"/>
    <n v="1"/>
    <s v="YES"/>
    <n v="120"/>
    <n v="80"/>
    <n v="9"/>
    <n v="12"/>
    <n v="14"/>
    <n v="13"/>
    <n v="7.8"/>
    <x v="1"/>
    <n v="21"/>
    <n v="27"/>
    <n v="109.66666666666667"/>
    <x v="1"/>
    <x v="3"/>
    <x v="1"/>
  </r>
  <r>
    <n v="63"/>
    <n v="63"/>
    <n v="0"/>
    <x v="0"/>
    <n v="24"/>
    <n v="60"/>
    <n v="170"/>
    <n v="15"/>
    <n v="70"/>
    <n v="20"/>
    <n v="10"/>
    <n v="2"/>
    <n v="5"/>
    <n v="3.5"/>
    <n v="0"/>
    <s v="NO"/>
    <n v="0"/>
    <n v="1.99"/>
    <x v="0"/>
    <n v="5.75"/>
    <n v="7.47"/>
    <n v="0.76974564926372158"/>
    <x v="1"/>
    <n v="41"/>
    <n v="36"/>
    <n v="0.88"/>
    <n v="3.57"/>
    <n v="2.14"/>
    <n v="14.73"/>
    <n v="36.200000000000003"/>
    <x v="1"/>
    <n v="0.81"/>
    <n v="100"/>
    <n v="0"/>
    <x v="0"/>
    <n v="0"/>
    <s v="NO"/>
    <n v="0"/>
    <s v="NO"/>
    <n v="0"/>
    <s v="NO"/>
    <n v="0"/>
    <s v="NO"/>
    <n v="0"/>
    <x v="1"/>
    <n v="0"/>
    <s v="NO"/>
    <n v="120"/>
    <n v="80"/>
    <n v="3"/>
    <n v="5"/>
    <n v="12"/>
    <n v="13.5"/>
    <n v="9.6"/>
    <x v="0"/>
    <n v="8"/>
    <n v="25.5"/>
    <n v="107.66666666666667"/>
    <x v="0"/>
    <x v="0"/>
    <x v="0"/>
  </r>
  <r>
    <n v="64"/>
    <n v="64"/>
    <n v="0"/>
    <x v="0"/>
    <n v="29"/>
    <n v="55"/>
    <n v="147"/>
    <n v="15"/>
    <n v="80"/>
    <n v="20"/>
    <n v="10.199999999999999"/>
    <n v="4"/>
    <n v="2"/>
    <n v="6"/>
    <n v="1"/>
    <s v="YES"/>
    <n v="0"/>
    <n v="757.17"/>
    <x v="17"/>
    <n v="6.76"/>
    <n v="9.2799999999999994"/>
    <n v="0.72844827586206895"/>
    <x v="1"/>
    <n v="39"/>
    <n v="34"/>
    <n v="0.87"/>
    <n v="1.2"/>
    <n v="2.2999999999999998"/>
    <n v="20.79"/>
    <n v="50.2"/>
    <x v="1"/>
    <n v="0.56000000000000005"/>
    <n v="92"/>
    <n v="0"/>
    <x v="0"/>
    <n v="0"/>
    <s v="NO"/>
    <n v="0"/>
    <s v="NO"/>
    <n v="0"/>
    <s v="NO"/>
    <n v="0"/>
    <s v="NO"/>
    <n v="0"/>
    <x v="1"/>
    <n v="0"/>
    <s v="NO"/>
    <n v="120"/>
    <n v="70"/>
    <n v="4"/>
    <n v="7"/>
    <n v="11"/>
    <n v="11"/>
    <n v="8.6"/>
    <x v="1"/>
    <n v="11"/>
    <n v="22"/>
    <n v="94.666666666666671"/>
    <x v="1"/>
    <x v="0"/>
    <x v="0"/>
  </r>
  <r>
    <n v="65"/>
    <n v="65"/>
    <n v="0"/>
    <x v="0"/>
    <n v="27"/>
    <n v="56"/>
    <n v="150"/>
    <n v="11"/>
    <n v="72"/>
    <n v="18"/>
    <n v="10.5"/>
    <n v="4"/>
    <n v="8"/>
    <n v="6"/>
    <n v="0"/>
    <s v="NO"/>
    <n v="0"/>
    <n v="1.99"/>
    <x v="0"/>
    <n v="6.35"/>
    <n v="7.46"/>
    <n v="0.8512064343163539"/>
    <x v="1"/>
    <n v="40"/>
    <n v="35"/>
    <n v="0.88"/>
    <n v="3.72"/>
    <n v="4.5999999999999996"/>
    <n v="37.92"/>
    <n v="49.3"/>
    <x v="1"/>
    <n v="3.66"/>
    <n v="92"/>
    <n v="0"/>
    <x v="0"/>
    <n v="0"/>
    <s v="NO"/>
    <n v="0"/>
    <s v="NO"/>
    <n v="0"/>
    <s v="NO"/>
    <n v="0"/>
    <s v="NO"/>
    <n v="0"/>
    <x v="1"/>
    <n v="0"/>
    <s v="NO"/>
    <n v="110"/>
    <n v="80"/>
    <n v="11"/>
    <n v="10"/>
    <n v="14.5"/>
    <n v="14"/>
    <n v="12.5"/>
    <x v="0"/>
    <n v="21"/>
    <n v="28.5"/>
    <n v="110.33333333333333"/>
    <x v="2"/>
    <x v="0"/>
    <x v="0"/>
  </r>
  <r>
    <n v="66"/>
    <n v="66"/>
    <n v="0"/>
    <x v="0"/>
    <n v="32"/>
    <n v="71"/>
    <n v="172"/>
    <n v="12"/>
    <n v="70"/>
    <n v="18"/>
    <n v="11"/>
    <n v="2"/>
    <n v="5"/>
    <n v="8"/>
    <n v="0"/>
    <s v="NO"/>
    <n v="1"/>
    <n v="10"/>
    <x v="0"/>
    <n v="4.76"/>
    <n v="1.5"/>
    <n v="3.1733333333333333"/>
    <x v="0"/>
    <n v="46"/>
    <n v="39"/>
    <n v="0.85"/>
    <n v="2.4500000000000002"/>
    <n v="2.2999999999999998"/>
    <n v="22.45"/>
    <n v="51.9"/>
    <x v="1"/>
    <n v="0.45"/>
    <n v="100"/>
    <n v="0"/>
    <x v="0"/>
    <n v="0"/>
    <s v="NO"/>
    <n v="0"/>
    <s v="NO"/>
    <n v="0"/>
    <s v="NO"/>
    <n v="0"/>
    <s v="NO"/>
    <n v="0"/>
    <x v="1"/>
    <n v="0"/>
    <s v="NO"/>
    <n v="100"/>
    <n v="70"/>
    <n v="2"/>
    <n v="4"/>
    <n v="12"/>
    <n v="14"/>
    <n v="9.4"/>
    <x v="0"/>
    <n v="6"/>
    <n v="26"/>
    <n v="94"/>
    <x v="0"/>
    <x v="0"/>
    <x v="1"/>
  </r>
  <r>
    <n v="67"/>
    <n v="67"/>
    <n v="0"/>
    <x v="0"/>
    <n v="41"/>
    <n v="56"/>
    <n v="160"/>
    <n v="13"/>
    <n v="78"/>
    <n v="20"/>
    <n v="11.5"/>
    <n v="2"/>
    <n v="5"/>
    <n v="4"/>
    <n v="0"/>
    <s v="NO"/>
    <n v="3"/>
    <n v="31.33"/>
    <x v="0"/>
    <n v="9.66"/>
    <n v="2.35"/>
    <n v="4.1106382978723399"/>
    <x v="0"/>
    <n v="38"/>
    <n v="34"/>
    <n v="0.89"/>
    <n v="3.27"/>
    <n v="5.8"/>
    <n v="54.32"/>
    <n v="36.549999999999997"/>
    <x v="1"/>
    <n v="0.28000000000000003"/>
    <n v="115"/>
    <n v="0"/>
    <x v="0"/>
    <n v="0"/>
    <s v="NO"/>
    <n v="0"/>
    <s v="NO"/>
    <n v="0"/>
    <s v="NO"/>
    <n v="0"/>
    <s v="NO"/>
    <n v="0"/>
    <x v="1"/>
    <n v="0"/>
    <s v="NO"/>
    <n v="120"/>
    <n v="80"/>
    <n v="1"/>
    <n v="2"/>
    <n v="10"/>
    <n v="12"/>
    <n v="9.6999999999999993"/>
    <x v="0"/>
    <n v="3"/>
    <n v="22"/>
    <n v="107"/>
    <x v="0"/>
    <x v="0"/>
    <x v="1"/>
  </r>
  <r>
    <n v="68"/>
    <n v="68"/>
    <n v="0"/>
    <x v="0"/>
    <n v="35"/>
    <n v="62"/>
    <n v="152"/>
    <n v="16"/>
    <n v="78"/>
    <n v="22"/>
    <n v="8.5"/>
    <n v="2"/>
    <n v="5"/>
    <n v="12"/>
    <n v="1"/>
    <s v="YES"/>
    <n v="1"/>
    <n v="218.59"/>
    <x v="0"/>
    <n v="5.41"/>
    <n v="8.4499999999999993"/>
    <n v="0.64023668639053266"/>
    <x v="1"/>
    <n v="39"/>
    <n v="33"/>
    <n v="0.85"/>
    <n v="9.0299999999999994"/>
    <n v="5.2"/>
    <n v="6.27"/>
    <n v="25.36"/>
    <x v="1"/>
    <n v="0.62"/>
    <n v="120"/>
    <n v="0"/>
    <x v="0"/>
    <n v="0"/>
    <s v="NO"/>
    <n v="0"/>
    <s v="NO"/>
    <n v="0"/>
    <s v="NO"/>
    <n v="0"/>
    <s v="NO"/>
    <n v="0"/>
    <x v="1"/>
    <n v="0"/>
    <s v="NO"/>
    <n v="110"/>
    <n v="80"/>
    <n v="14"/>
    <n v="12"/>
    <n v="8"/>
    <n v="5"/>
    <n v="5.5"/>
    <x v="1"/>
    <n v="26"/>
    <n v="13"/>
    <n v="111.33333333333333"/>
    <x v="1"/>
    <x v="0"/>
    <x v="0"/>
  </r>
  <r>
    <n v="69"/>
    <n v="69"/>
    <n v="1"/>
    <x v="1"/>
    <n v="35"/>
    <n v="55"/>
    <n v="153"/>
    <n v="17"/>
    <n v="80"/>
    <n v="20"/>
    <n v="10.3"/>
    <n v="2"/>
    <n v="5"/>
    <n v="18"/>
    <n v="1"/>
    <s v="YES"/>
    <n v="2"/>
    <n v="218.59"/>
    <x v="0"/>
    <n v="1.57"/>
    <n v="0.77"/>
    <n v="2.0389610389610389"/>
    <x v="0"/>
    <n v="38"/>
    <n v="34"/>
    <n v="0.89"/>
    <n v="4.18"/>
    <n v="2.14"/>
    <n v="23.45"/>
    <n v="56.25"/>
    <x v="1"/>
    <n v="0.44"/>
    <n v="100"/>
    <n v="1"/>
    <x v="1"/>
    <n v="1"/>
    <s v="YES"/>
    <n v="1"/>
    <s v="YES"/>
    <n v="1"/>
    <s v="YES"/>
    <n v="1"/>
    <s v="YES"/>
    <n v="0"/>
    <x v="1"/>
    <n v="0"/>
    <s v="NO"/>
    <n v="120"/>
    <n v="70"/>
    <n v="7"/>
    <n v="9"/>
    <n v="5"/>
    <n v="8.5"/>
    <n v="6.2"/>
    <x v="0"/>
    <n v="16"/>
    <n v="13.5"/>
    <n v="95.666666666666671"/>
    <x v="1"/>
    <x v="3"/>
    <x v="0"/>
  </r>
  <r>
    <n v="70"/>
    <n v="70"/>
    <n v="1"/>
    <x v="1"/>
    <n v="34"/>
    <n v="65"/>
    <n v="166"/>
    <n v="15"/>
    <n v="80"/>
    <n v="20"/>
    <n v="11"/>
    <n v="2"/>
    <n v="5"/>
    <n v="9"/>
    <n v="1"/>
    <s v="YES"/>
    <n v="0"/>
    <n v="173.66"/>
    <x v="27"/>
    <n v="2.1800000000000002"/>
    <n v="0.82"/>
    <n v="2.6585365853658538"/>
    <x v="0"/>
    <n v="41"/>
    <n v="36"/>
    <n v="0.88"/>
    <n v="2.85"/>
    <n v="4.63"/>
    <n v="28.9"/>
    <n v="15.44"/>
    <x v="0"/>
    <n v="0.25"/>
    <n v="80"/>
    <n v="1"/>
    <x v="1"/>
    <n v="0"/>
    <s v="NO"/>
    <n v="1"/>
    <s v="YES"/>
    <n v="0"/>
    <s v="NO"/>
    <n v="1"/>
    <s v="YES"/>
    <n v="0"/>
    <x v="1"/>
    <n v="1"/>
    <s v="YES"/>
    <n v="120"/>
    <n v="70"/>
    <n v="11"/>
    <n v="8"/>
    <n v="9.5"/>
    <n v="7"/>
    <n v="8.9"/>
    <x v="0"/>
    <n v="19"/>
    <n v="16.5"/>
    <n v="97"/>
    <x v="1"/>
    <x v="1"/>
    <x v="0"/>
  </r>
  <r>
    <n v="71"/>
    <n v="71"/>
    <n v="0"/>
    <x v="0"/>
    <n v="33"/>
    <n v="54"/>
    <n v="150"/>
    <n v="13"/>
    <n v="72"/>
    <n v="18"/>
    <n v="10.199999999999999"/>
    <n v="2"/>
    <n v="5"/>
    <n v="9"/>
    <n v="0"/>
    <s v="NO"/>
    <n v="0"/>
    <n v="4.42"/>
    <x v="0"/>
    <n v="4.8499999999999996"/>
    <n v="0.72"/>
    <n v="6.7361111111111107"/>
    <x v="0"/>
    <n v="40"/>
    <n v="33"/>
    <n v="0.83"/>
    <n v="2"/>
    <n v="1.01"/>
    <n v="15.64"/>
    <n v="42.36"/>
    <x v="1"/>
    <n v="0.52"/>
    <n v="92"/>
    <n v="0"/>
    <x v="0"/>
    <n v="0"/>
    <s v="NO"/>
    <n v="0"/>
    <s v="NO"/>
    <n v="0"/>
    <s v="NO"/>
    <n v="0"/>
    <s v="NO"/>
    <n v="0"/>
    <x v="1"/>
    <n v="0"/>
    <s v="NO"/>
    <n v="100"/>
    <n v="70"/>
    <n v="5"/>
    <n v="2"/>
    <n v="11.5"/>
    <n v="4.7"/>
    <n v="6.5"/>
    <x v="0"/>
    <n v="7"/>
    <n v="16.2"/>
    <n v="95"/>
    <x v="0"/>
    <x v="0"/>
    <x v="0"/>
  </r>
  <r>
    <n v="72"/>
    <n v="72"/>
    <n v="0"/>
    <x v="0"/>
    <n v="29"/>
    <n v="61"/>
    <n v="151"/>
    <n v="13"/>
    <n v="74"/>
    <n v="20"/>
    <n v="10"/>
    <n v="2"/>
    <n v="5"/>
    <n v="9"/>
    <n v="0"/>
    <s v="NO"/>
    <n v="0"/>
    <n v="15"/>
    <x v="0"/>
    <n v="6.49"/>
    <n v="0.99"/>
    <n v="6.5555555555555562"/>
    <x v="0"/>
    <n v="42"/>
    <n v="35"/>
    <n v="0.83"/>
    <n v="1.66"/>
    <n v="2.58"/>
    <n v="41.63"/>
    <n v="38.44"/>
    <x v="1"/>
    <n v="1.22"/>
    <n v="92"/>
    <n v="0"/>
    <x v="0"/>
    <n v="0"/>
    <s v="NO"/>
    <n v="0"/>
    <s v="NO"/>
    <n v="0"/>
    <s v="NO"/>
    <n v="0"/>
    <s v="NO"/>
    <n v="0"/>
    <x v="1"/>
    <n v="0"/>
    <s v="NO"/>
    <n v="120"/>
    <n v="70"/>
    <n v="5"/>
    <n v="6"/>
    <n v="12"/>
    <n v="6"/>
    <n v="6"/>
    <x v="1"/>
    <n v="11"/>
    <n v="18"/>
    <n v="95"/>
    <x v="1"/>
    <x v="0"/>
    <x v="1"/>
  </r>
  <r>
    <n v="73"/>
    <n v="73"/>
    <n v="0"/>
    <x v="0"/>
    <n v="36"/>
    <n v="65"/>
    <n v="154"/>
    <n v="15"/>
    <n v="70"/>
    <n v="18"/>
    <n v="10"/>
    <n v="2"/>
    <n v="5"/>
    <n v="3"/>
    <n v="1"/>
    <s v="YES"/>
    <n v="0"/>
    <n v="161.49"/>
    <x v="28"/>
    <n v="4.95"/>
    <n v="5.35"/>
    <n v="0.92523364485981319"/>
    <x v="1"/>
    <n v="43"/>
    <n v="38"/>
    <n v="0.88"/>
    <n v="3.17"/>
    <n v="5.8"/>
    <n v="32.07"/>
    <n v="56.45"/>
    <x v="1"/>
    <n v="0.79"/>
    <n v="92"/>
    <n v="0"/>
    <x v="0"/>
    <n v="0"/>
    <s v="NO"/>
    <n v="0"/>
    <s v="NO"/>
    <n v="0"/>
    <s v="NO"/>
    <n v="0"/>
    <s v="NO"/>
    <n v="0"/>
    <x v="1"/>
    <n v="0"/>
    <s v="NO"/>
    <n v="110"/>
    <n v="80"/>
    <n v="3"/>
    <n v="1"/>
    <n v="7.5"/>
    <n v="4.5"/>
    <n v="5.4"/>
    <x v="1"/>
    <n v="4"/>
    <n v="12"/>
    <n v="107.66666666666667"/>
    <x v="0"/>
    <x v="0"/>
    <x v="0"/>
  </r>
  <r>
    <n v="74"/>
    <n v="74"/>
    <n v="0"/>
    <x v="0"/>
    <n v="26"/>
    <n v="70"/>
    <n v="163"/>
    <n v="15"/>
    <n v="72"/>
    <n v="18"/>
    <n v="10.5"/>
    <n v="2"/>
    <n v="5"/>
    <n v="3"/>
    <n v="0"/>
    <s v="NO"/>
    <n v="2"/>
    <n v="1.99"/>
    <x v="0"/>
    <n v="7.31"/>
    <n v="6.68"/>
    <n v="1.0943113772455089"/>
    <x v="1"/>
    <n v="45"/>
    <n v="40"/>
    <n v="0.89"/>
    <n v="2.95"/>
    <n v="0.35"/>
    <n v="22.88"/>
    <n v="14.36"/>
    <x v="0"/>
    <n v="0.27"/>
    <n v="92"/>
    <n v="1"/>
    <x v="1"/>
    <n v="0"/>
    <s v="NO"/>
    <n v="0"/>
    <s v="NO"/>
    <n v="0"/>
    <s v="NO"/>
    <n v="0"/>
    <s v="NO"/>
    <n v="0"/>
    <x v="1"/>
    <n v="0"/>
    <s v="NO"/>
    <n v="110"/>
    <n v="80"/>
    <n v="3"/>
    <n v="4"/>
    <n v="10.5"/>
    <n v="6"/>
    <n v="9.8000000000000007"/>
    <x v="1"/>
    <n v="7"/>
    <n v="16.5"/>
    <n v="107.66666666666667"/>
    <x v="0"/>
    <x v="0"/>
    <x v="0"/>
  </r>
  <r>
    <n v="75"/>
    <n v="75"/>
    <n v="0"/>
    <x v="0"/>
    <n v="35"/>
    <n v="59"/>
    <n v="152"/>
    <n v="13"/>
    <n v="72"/>
    <n v="20"/>
    <n v="11.1"/>
    <n v="4"/>
    <n v="12"/>
    <n v="10"/>
    <n v="1"/>
    <s v="YES"/>
    <n v="2"/>
    <n v="603.80999999999995"/>
    <x v="13"/>
    <n v="5.5"/>
    <n v="4.26"/>
    <n v="1.2910798122065728"/>
    <x v="1"/>
    <n v="42"/>
    <n v="36"/>
    <n v="0.86"/>
    <n v="3.95"/>
    <n v="5.23"/>
    <n v="31.96"/>
    <n v="37.65"/>
    <x v="1"/>
    <n v="0.25"/>
    <n v="93"/>
    <n v="0"/>
    <x v="0"/>
    <n v="0"/>
    <s v="NO"/>
    <n v="0"/>
    <s v="NO"/>
    <n v="0"/>
    <s v="NO"/>
    <n v="0"/>
    <s v="NO"/>
    <n v="0"/>
    <x v="1"/>
    <n v="0"/>
    <s v="NO"/>
    <n v="120"/>
    <n v="80"/>
    <n v="2"/>
    <n v="3"/>
    <n v="9.5"/>
    <n v="6.2"/>
    <n v="8.6999999999999993"/>
    <x v="1"/>
    <n v="5"/>
    <n v="15.7"/>
    <n v="107.33333333333333"/>
    <x v="0"/>
    <x v="0"/>
    <x v="0"/>
  </r>
  <r>
    <n v="76"/>
    <n v="76"/>
    <n v="0"/>
    <x v="0"/>
    <n v="36"/>
    <n v="72"/>
    <n v="154"/>
    <n v="13"/>
    <n v="72"/>
    <n v="18"/>
    <n v="10.199999999999999"/>
    <n v="2"/>
    <n v="4"/>
    <n v="10"/>
    <n v="1"/>
    <s v="YES"/>
    <n v="0"/>
    <n v="486.39"/>
    <x v="29"/>
    <n v="6.72"/>
    <n v="2.83"/>
    <n v="2.3745583038869258"/>
    <x v="0"/>
    <n v="44"/>
    <n v="37"/>
    <n v="0.84"/>
    <n v="2.2400000000000002"/>
    <n v="3.68"/>
    <n v="19.8"/>
    <n v="10.7"/>
    <x v="0"/>
    <n v="0.35"/>
    <n v="100"/>
    <n v="0"/>
    <x v="0"/>
    <n v="0"/>
    <s v="NO"/>
    <n v="0"/>
    <s v="NO"/>
    <n v="0"/>
    <s v="NO"/>
    <n v="0"/>
    <s v="NO"/>
    <n v="0"/>
    <x v="1"/>
    <n v="0"/>
    <s v="NO"/>
    <n v="110"/>
    <n v="80"/>
    <n v="0"/>
    <n v="2"/>
    <n v="0"/>
    <n v="5.8"/>
    <n v="8.5"/>
    <x v="3"/>
    <n v="2"/>
    <n v="5.8"/>
    <n v="106.66666666666667"/>
    <x v="0"/>
    <x v="0"/>
    <x v="0"/>
  </r>
  <r>
    <n v="77"/>
    <n v="77"/>
    <n v="1"/>
    <x v="1"/>
    <n v="32"/>
    <n v="43"/>
    <n v="152"/>
    <n v="13"/>
    <n v="80"/>
    <n v="20"/>
    <n v="10.5"/>
    <n v="4"/>
    <n v="11"/>
    <n v="6"/>
    <n v="1"/>
    <s v="YES"/>
    <n v="0"/>
    <n v="756.61"/>
    <x v="30"/>
    <n v="4.96"/>
    <n v="2.06"/>
    <n v="2.407766990291262"/>
    <x v="0"/>
    <n v="40"/>
    <n v="34"/>
    <n v="0.85"/>
    <n v="4.3600000000000003"/>
    <n v="2.14"/>
    <n v="25.48"/>
    <n v="38.25"/>
    <x v="1"/>
    <n v="0.35"/>
    <n v="92"/>
    <n v="0"/>
    <x v="0"/>
    <n v="1"/>
    <s v="YES"/>
    <n v="1"/>
    <s v="YES"/>
    <n v="1"/>
    <s v="YES"/>
    <n v="0"/>
    <s v="NO"/>
    <n v="1"/>
    <x v="0"/>
    <n v="0"/>
    <s v="NO"/>
    <n v="120"/>
    <n v="70"/>
    <n v="4"/>
    <n v="4"/>
    <n v="10.5"/>
    <n v="10.5"/>
    <n v="12.8"/>
    <x v="0"/>
    <n v="8"/>
    <n v="21"/>
    <n v="94.666666666666671"/>
    <x v="1"/>
    <x v="4"/>
    <x v="0"/>
  </r>
  <r>
    <n v="78"/>
    <n v="78"/>
    <n v="0"/>
    <x v="0"/>
    <n v="34"/>
    <n v="52"/>
    <n v="150"/>
    <n v="11"/>
    <n v="72"/>
    <n v="18"/>
    <n v="12"/>
    <n v="2"/>
    <n v="5"/>
    <n v="0"/>
    <n v="0"/>
    <s v="NO"/>
    <n v="0"/>
    <n v="1.99"/>
    <x v="0"/>
    <n v="5.3"/>
    <n v="2.15"/>
    <n v="2.4651162790697674"/>
    <x v="0"/>
    <n v="41"/>
    <n v="36"/>
    <n v="0.88"/>
    <n v="4.5999999999999996"/>
    <n v="2.5499999999999998"/>
    <n v="16.09"/>
    <n v="35.979999999999997"/>
    <x v="1"/>
    <n v="0.15"/>
    <n v="80"/>
    <n v="0"/>
    <x v="0"/>
    <n v="0"/>
    <s v="NO"/>
    <n v="0"/>
    <s v="NO"/>
    <n v="0"/>
    <s v="NO"/>
    <n v="0"/>
    <s v="NO"/>
    <n v="0"/>
    <x v="1"/>
    <n v="0"/>
    <s v="NO"/>
    <n v="110"/>
    <n v="70"/>
    <n v="7"/>
    <n v="4"/>
    <n v="15"/>
    <n v="12"/>
    <n v="18"/>
    <x v="0"/>
    <n v="11"/>
    <n v="27"/>
    <n v="95.666666666666671"/>
    <x v="1"/>
    <x v="0"/>
    <x v="0"/>
  </r>
  <r>
    <n v="79"/>
    <n v="79"/>
    <n v="0"/>
    <x v="0"/>
    <n v="37"/>
    <n v="48"/>
    <n v="150"/>
    <n v="11"/>
    <n v="75"/>
    <n v="20"/>
    <n v="10.199999999999999"/>
    <n v="2"/>
    <n v="5"/>
    <n v="2"/>
    <n v="0"/>
    <s v="NO"/>
    <n v="1"/>
    <n v="1.99"/>
    <x v="0"/>
    <n v="15.45"/>
    <n v="4.3639999999999999"/>
    <n v="3.5403299725022914"/>
    <x v="0"/>
    <n v="38"/>
    <n v="34"/>
    <n v="0.89"/>
    <n v="1.2"/>
    <n v="4.91"/>
    <n v="17.05"/>
    <n v="29.47"/>
    <x v="1"/>
    <n v="0.52"/>
    <n v="98"/>
    <n v="0"/>
    <x v="0"/>
    <n v="0"/>
    <s v="NO"/>
    <n v="0"/>
    <s v="NO"/>
    <n v="0"/>
    <s v="NO"/>
    <n v="0"/>
    <s v="NO"/>
    <n v="0"/>
    <x v="1"/>
    <n v="0"/>
    <s v="NO"/>
    <n v="110"/>
    <n v="70"/>
    <n v="0"/>
    <n v="2"/>
    <n v="0"/>
    <n v="9"/>
    <n v="8.6"/>
    <x v="0"/>
    <n v="2"/>
    <n v="9"/>
    <n v="93.333333333333329"/>
    <x v="0"/>
    <x v="0"/>
    <x v="0"/>
  </r>
  <r>
    <n v="80"/>
    <n v="80"/>
    <n v="0"/>
    <x v="0"/>
    <n v="38"/>
    <n v="108"/>
    <n v="168"/>
    <n v="14"/>
    <n v="80"/>
    <n v="20"/>
    <n v="11"/>
    <n v="2"/>
    <n v="5"/>
    <n v="12"/>
    <n v="0"/>
    <s v="NO"/>
    <n v="3"/>
    <n v="10"/>
    <x v="0"/>
    <n v="5.01"/>
    <n v="2.6"/>
    <n v="1.9269230769230767"/>
    <x v="1"/>
    <n v="48"/>
    <n v="41"/>
    <n v="0.85"/>
    <n v="1.87"/>
    <n v="1.03"/>
    <n v="27.33"/>
    <n v="36.85"/>
    <x v="1"/>
    <n v="0.54"/>
    <n v="100"/>
    <n v="0"/>
    <x v="0"/>
    <n v="0"/>
    <s v="NO"/>
    <n v="0"/>
    <s v="NO"/>
    <n v="0"/>
    <s v="NO"/>
    <n v="0"/>
    <s v="NO"/>
    <n v="0"/>
    <x v="1"/>
    <n v="0"/>
    <s v="NO"/>
    <n v="110"/>
    <n v="70"/>
    <n v="1"/>
    <n v="2"/>
    <n v="8"/>
    <n v="9"/>
    <n v="10"/>
    <x v="3"/>
    <n v="3"/>
    <n v="17"/>
    <n v="93.666666666666671"/>
    <x v="0"/>
    <x v="0"/>
    <x v="1"/>
  </r>
  <r>
    <n v="81"/>
    <n v="81"/>
    <n v="0"/>
    <x v="0"/>
    <n v="36"/>
    <n v="57.6"/>
    <n v="151"/>
    <n v="11"/>
    <n v="72"/>
    <n v="18"/>
    <n v="11.8"/>
    <n v="4"/>
    <n v="2"/>
    <n v="10"/>
    <n v="0"/>
    <s v="NO"/>
    <n v="0"/>
    <n v="1.99"/>
    <x v="0"/>
    <n v="6.24"/>
    <n v="3.24"/>
    <n v="1.9259259259259258"/>
    <x v="1"/>
    <n v="39"/>
    <n v="34"/>
    <n v="0.87"/>
    <n v="2.02"/>
    <n v="6.56"/>
    <n v="4.25"/>
    <n v="27.8"/>
    <x v="1"/>
    <n v="0.3"/>
    <n v="100"/>
    <n v="0"/>
    <x v="0"/>
    <n v="0"/>
    <s v="NO"/>
    <n v="0"/>
    <s v="NO"/>
    <n v="0"/>
    <s v="NO"/>
    <n v="0"/>
    <s v="NO"/>
    <n v="0"/>
    <x v="1"/>
    <n v="0"/>
    <s v="NO"/>
    <n v="120"/>
    <n v="70"/>
    <n v="8"/>
    <n v="6"/>
    <n v="13"/>
    <n v="15"/>
    <n v="8.5"/>
    <x v="1"/>
    <n v="14"/>
    <n v="28"/>
    <n v="96"/>
    <x v="1"/>
    <x v="0"/>
    <x v="0"/>
  </r>
  <r>
    <n v="82"/>
    <n v="82"/>
    <n v="0"/>
    <x v="0"/>
    <n v="34"/>
    <n v="60"/>
    <n v="162"/>
    <n v="13"/>
    <n v="72"/>
    <n v="16"/>
    <n v="12.5"/>
    <n v="2"/>
    <n v="5"/>
    <n v="7"/>
    <n v="1"/>
    <s v="YES"/>
    <n v="0"/>
    <n v="255.02"/>
    <x v="31"/>
    <n v="3.39"/>
    <n v="0.41"/>
    <n v="8.2682926829268304"/>
    <x v="0"/>
    <n v="40"/>
    <n v="36"/>
    <n v="0.9"/>
    <n v="1.49"/>
    <n v="3.91"/>
    <n v="21.14"/>
    <n v="29.8"/>
    <x v="1"/>
    <n v="0.31"/>
    <n v="133"/>
    <n v="0"/>
    <x v="0"/>
    <n v="0"/>
    <s v="NO"/>
    <n v="0"/>
    <s v="NO"/>
    <n v="0"/>
    <s v="NO"/>
    <n v="0"/>
    <s v="NO"/>
    <n v="0"/>
    <x v="1"/>
    <n v="0"/>
    <s v="NO"/>
    <n v="120"/>
    <n v="80"/>
    <n v="8"/>
    <n v="6"/>
    <n v="16"/>
    <n v="15"/>
    <n v="8.3000000000000007"/>
    <x v="0"/>
    <n v="14"/>
    <n v="31"/>
    <n v="109.33333333333333"/>
    <x v="1"/>
    <x v="0"/>
    <x v="0"/>
  </r>
  <r>
    <n v="83"/>
    <n v="83"/>
    <n v="0"/>
    <x v="0"/>
    <n v="39"/>
    <n v="52"/>
    <n v="161"/>
    <n v="11"/>
    <n v="78"/>
    <n v="20"/>
    <n v="10.8"/>
    <n v="2"/>
    <n v="5"/>
    <n v="9"/>
    <n v="0"/>
    <s v="NO"/>
    <n v="0"/>
    <n v="1.99"/>
    <x v="0"/>
    <n v="4.84"/>
    <n v="7.58"/>
    <n v="0.63852242744063326"/>
    <x v="1"/>
    <n v="39"/>
    <n v="35"/>
    <n v="0.9"/>
    <n v="3.63"/>
    <n v="5.42"/>
    <n v="8.18"/>
    <n v="21.3"/>
    <x v="1"/>
    <n v="0.36"/>
    <n v="91"/>
    <n v="0"/>
    <x v="0"/>
    <n v="0"/>
    <s v="NO"/>
    <n v="0"/>
    <s v="NO"/>
    <n v="0"/>
    <s v="NO"/>
    <n v="0"/>
    <s v="NO"/>
    <n v="0"/>
    <x v="1"/>
    <n v="0"/>
    <s v="NO"/>
    <n v="110"/>
    <n v="80"/>
    <n v="2"/>
    <n v="2"/>
    <n v="15"/>
    <n v="17"/>
    <n v="0"/>
    <x v="0"/>
    <n v="4"/>
    <n v="32"/>
    <n v="107.33333333333333"/>
    <x v="0"/>
    <x v="0"/>
    <x v="0"/>
  </r>
  <r>
    <n v="84"/>
    <n v="84"/>
    <n v="0"/>
    <x v="0"/>
    <n v="35"/>
    <n v="43.7"/>
    <n v="146"/>
    <n v="11"/>
    <n v="72"/>
    <n v="20"/>
    <n v="10.4"/>
    <n v="2"/>
    <n v="5"/>
    <n v="8"/>
    <n v="0"/>
    <s v="NO"/>
    <n v="0"/>
    <n v="1.99"/>
    <x v="0"/>
    <n v="6.36"/>
    <n v="1.94"/>
    <n v="3.2783505154639179"/>
    <x v="0"/>
    <n v="40"/>
    <n v="34"/>
    <n v="0.85"/>
    <n v="0.6"/>
    <n v="1.65"/>
    <n v="20.260000000000002"/>
    <n v="38.200000000000003"/>
    <x v="1"/>
    <n v="0.26"/>
    <n v="108"/>
    <n v="0"/>
    <x v="0"/>
    <n v="0"/>
    <s v="NO"/>
    <n v="0"/>
    <s v="NO"/>
    <n v="0"/>
    <s v="NO"/>
    <n v="0"/>
    <s v="NO"/>
    <n v="0"/>
    <x v="1"/>
    <n v="0"/>
    <s v="NO"/>
    <n v="120"/>
    <n v="80"/>
    <n v="2"/>
    <n v="6"/>
    <n v="14"/>
    <n v="18"/>
    <n v="6"/>
    <x v="0"/>
    <n v="8"/>
    <n v="32"/>
    <n v="107.33333333333333"/>
    <x v="0"/>
    <x v="0"/>
    <x v="0"/>
  </r>
  <r>
    <n v="85"/>
    <n v="85"/>
    <n v="0"/>
    <x v="0"/>
    <n v="34"/>
    <n v="60"/>
    <n v="156"/>
    <n v="14"/>
    <n v="74"/>
    <n v="20"/>
    <n v="12.5"/>
    <n v="2"/>
    <n v="5"/>
    <n v="7"/>
    <n v="0"/>
    <s v="NO"/>
    <n v="0"/>
    <n v="1.99"/>
    <x v="0"/>
    <n v="6.54"/>
    <n v="2.19"/>
    <n v="2.9863013698630136"/>
    <x v="0"/>
    <n v="39"/>
    <n v="32"/>
    <n v="0.82"/>
    <n v="4.24"/>
    <n v="2.06"/>
    <n v="22.13"/>
    <n v="37.1"/>
    <x v="1"/>
    <n v="0.26"/>
    <n v="133"/>
    <n v="0"/>
    <x v="0"/>
    <n v="0"/>
    <s v="NO"/>
    <n v="0"/>
    <s v="NO"/>
    <n v="0"/>
    <s v="NO"/>
    <n v="0"/>
    <s v="NO"/>
    <n v="0"/>
    <x v="1"/>
    <n v="0"/>
    <s v="NO"/>
    <n v="120"/>
    <n v="70"/>
    <n v="2"/>
    <n v="2"/>
    <n v="13"/>
    <n v="15"/>
    <n v="10"/>
    <x v="0"/>
    <n v="4"/>
    <n v="28"/>
    <n v="94"/>
    <x v="0"/>
    <x v="0"/>
    <x v="0"/>
  </r>
  <r>
    <n v="86"/>
    <n v="86"/>
    <n v="0"/>
    <x v="0"/>
    <n v="27"/>
    <n v="61.6"/>
    <n v="153"/>
    <n v="15"/>
    <n v="70"/>
    <n v="18"/>
    <n v="11.2"/>
    <n v="2"/>
    <n v="5"/>
    <n v="7"/>
    <n v="1"/>
    <s v="YES"/>
    <n v="0"/>
    <n v="273.7"/>
    <x v="32"/>
    <n v="3.59"/>
    <n v="1.07"/>
    <n v="3.3551401869158877"/>
    <x v="0"/>
    <n v="41"/>
    <n v="36"/>
    <n v="0.88"/>
    <n v="1.47"/>
    <n v="1.81"/>
    <n v="20.37"/>
    <n v="28.5"/>
    <x v="1"/>
    <n v="0.3"/>
    <n v="91"/>
    <n v="0"/>
    <x v="0"/>
    <n v="0"/>
    <s v="NO"/>
    <n v="0"/>
    <s v="NO"/>
    <n v="0"/>
    <s v="NO"/>
    <n v="0"/>
    <s v="NO"/>
    <n v="0"/>
    <x v="1"/>
    <n v="0"/>
    <s v="NO"/>
    <n v="120"/>
    <n v="80"/>
    <n v="4"/>
    <n v="4"/>
    <n v="16"/>
    <n v="13"/>
    <n v="12"/>
    <x v="1"/>
    <n v="8"/>
    <n v="29"/>
    <n v="108"/>
    <x v="0"/>
    <x v="0"/>
    <x v="0"/>
  </r>
  <r>
    <n v="87"/>
    <n v="87"/>
    <n v="0"/>
    <x v="0"/>
    <n v="31"/>
    <n v="64"/>
    <n v="156"/>
    <n v="15"/>
    <n v="74"/>
    <n v="18"/>
    <n v="12.1"/>
    <n v="4"/>
    <n v="9"/>
    <n v="5"/>
    <n v="0"/>
    <s v="NO"/>
    <n v="0"/>
    <n v="1.99"/>
    <x v="0"/>
    <n v="2.34"/>
    <n v="0.39"/>
    <n v="5.9999999999999991"/>
    <x v="0"/>
    <n v="42"/>
    <n v="36"/>
    <n v="0.86"/>
    <n v="2.7"/>
    <n v="3.81"/>
    <n v="22.52"/>
    <n v="29.8"/>
    <x v="1"/>
    <n v="0.3"/>
    <n v="84"/>
    <n v="0"/>
    <x v="0"/>
    <n v="0"/>
    <s v="NO"/>
    <n v="0"/>
    <s v="NO"/>
    <n v="0"/>
    <s v="NO"/>
    <n v="0"/>
    <s v="NO"/>
    <n v="0"/>
    <x v="1"/>
    <n v="0"/>
    <s v="NO"/>
    <n v="120"/>
    <n v="80"/>
    <n v="8"/>
    <n v="10"/>
    <n v="15"/>
    <n v="13"/>
    <n v="10"/>
    <x v="1"/>
    <n v="18"/>
    <n v="28"/>
    <n v="109.33333333333333"/>
    <x v="2"/>
    <x v="0"/>
    <x v="0"/>
  </r>
  <r>
    <n v="88"/>
    <n v="88"/>
    <n v="0"/>
    <x v="0"/>
    <n v="40"/>
    <n v="56"/>
    <n v="156"/>
    <n v="11"/>
    <n v="80"/>
    <n v="20"/>
    <n v="10.3"/>
    <n v="2"/>
    <n v="5"/>
    <n v="8"/>
    <n v="1"/>
    <s v="YES"/>
    <n v="0"/>
    <n v="162.05000000000001"/>
    <x v="0"/>
    <n v="1"/>
    <n v="0.02"/>
    <n v="50"/>
    <x v="0"/>
    <n v="38"/>
    <n v="34"/>
    <n v="0.89"/>
    <n v="1.52"/>
    <n v="2.2599999999999998"/>
    <n v="28.08"/>
    <n v="55.9"/>
    <x v="1"/>
    <n v="0.75"/>
    <n v="125"/>
    <n v="0"/>
    <x v="0"/>
    <n v="0"/>
    <s v="NO"/>
    <n v="0"/>
    <s v="NO"/>
    <n v="0"/>
    <s v="NO"/>
    <n v="0"/>
    <s v="NO"/>
    <n v="0"/>
    <x v="1"/>
    <n v="0"/>
    <s v="NO"/>
    <n v="120"/>
    <n v="70"/>
    <n v="11"/>
    <n v="9"/>
    <n v="17"/>
    <n v="18"/>
    <n v="4.5999999999999996"/>
    <x v="0"/>
    <n v="20"/>
    <n v="35"/>
    <n v="97"/>
    <x v="1"/>
    <x v="0"/>
    <x v="0"/>
  </r>
  <r>
    <n v="89"/>
    <n v="89"/>
    <n v="1"/>
    <x v="1"/>
    <n v="22"/>
    <n v="69.5"/>
    <n v="168"/>
    <n v="13"/>
    <n v="74"/>
    <n v="20"/>
    <n v="12.5"/>
    <n v="4"/>
    <n v="2"/>
    <n v="3"/>
    <n v="0"/>
    <s v="NO"/>
    <n v="0"/>
    <n v="1.99"/>
    <x v="0"/>
    <n v="5.71"/>
    <n v="1.44"/>
    <n v="3.9652777777777777"/>
    <x v="0"/>
    <n v="44"/>
    <n v="39"/>
    <n v="0.89"/>
    <n v="1.31"/>
    <n v="3.65"/>
    <n v="44.89"/>
    <n v="27.7"/>
    <x v="1"/>
    <n v="0.25"/>
    <n v="100"/>
    <n v="0"/>
    <x v="0"/>
    <n v="0"/>
    <s v="NO"/>
    <n v="0"/>
    <s v="NO"/>
    <n v="0"/>
    <s v="NO"/>
    <n v="0"/>
    <s v="NO"/>
    <n v="0"/>
    <x v="1"/>
    <n v="0"/>
    <s v="NO"/>
    <n v="110"/>
    <n v="80"/>
    <n v="10"/>
    <n v="13"/>
    <n v="15"/>
    <n v="16"/>
    <n v="10"/>
    <x v="0"/>
    <n v="23"/>
    <n v="31"/>
    <n v="110"/>
    <x v="2"/>
    <x v="0"/>
    <x v="0"/>
  </r>
  <r>
    <n v="90"/>
    <n v="90"/>
    <n v="0"/>
    <x v="0"/>
    <n v="36"/>
    <n v="65"/>
    <n v="151"/>
    <n v="15"/>
    <n v="72"/>
    <n v="18"/>
    <n v="10.199999999999999"/>
    <n v="2"/>
    <n v="5"/>
    <n v="11"/>
    <n v="0"/>
    <s v="NO"/>
    <n v="0"/>
    <n v="1.99"/>
    <x v="0"/>
    <n v="4.24"/>
    <n v="1.2"/>
    <n v="3.5333333333333337"/>
    <x v="0"/>
    <n v="41"/>
    <n v="36"/>
    <n v="0.88"/>
    <n v="2.8"/>
    <n v="8.98"/>
    <n v="19.3"/>
    <n v="11.3"/>
    <x v="0"/>
    <n v="0.56000000000000005"/>
    <n v="134"/>
    <n v="0"/>
    <x v="0"/>
    <n v="0"/>
    <s v="NO"/>
    <n v="0"/>
    <s v="NO"/>
    <n v="0"/>
    <s v="NO"/>
    <n v="0"/>
    <s v="NO"/>
    <n v="0"/>
    <x v="1"/>
    <n v="0"/>
    <s v="NO"/>
    <n v="120"/>
    <n v="70"/>
    <n v="11"/>
    <n v="9"/>
    <n v="15"/>
    <n v="16"/>
    <n v="8"/>
    <x v="1"/>
    <n v="20"/>
    <n v="31"/>
    <n v="97"/>
    <x v="1"/>
    <x v="0"/>
    <x v="0"/>
  </r>
  <r>
    <n v="91"/>
    <n v="91"/>
    <n v="0"/>
    <x v="0"/>
    <n v="44"/>
    <n v="74.400000000000006"/>
    <n v="158"/>
    <n v="17"/>
    <n v="78"/>
    <n v="22"/>
    <n v="11.1"/>
    <n v="2"/>
    <n v="5"/>
    <n v="22"/>
    <n v="0"/>
    <s v="NO"/>
    <n v="2"/>
    <n v="1.99"/>
    <x v="0"/>
    <n v="4.21"/>
    <n v="3.65"/>
    <n v="1.1534246575342466"/>
    <x v="1"/>
    <n v="48"/>
    <n v="42"/>
    <n v="0.88"/>
    <n v="3.99"/>
    <n v="1.7"/>
    <n v="7.72"/>
    <n v="34.700000000000003"/>
    <x v="1"/>
    <n v="0.3"/>
    <n v="109"/>
    <n v="0"/>
    <x v="0"/>
    <n v="0"/>
    <s v="NO"/>
    <n v="0"/>
    <s v="NO"/>
    <n v="0"/>
    <s v="NO"/>
    <n v="0"/>
    <s v="NO"/>
    <n v="0"/>
    <x v="1"/>
    <n v="0"/>
    <s v="NO"/>
    <n v="110"/>
    <n v="80"/>
    <n v="4"/>
    <n v="2"/>
    <n v="15"/>
    <n v="7"/>
    <n v="6"/>
    <x v="1"/>
    <n v="6"/>
    <n v="22"/>
    <n v="108"/>
    <x v="0"/>
    <x v="0"/>
    <x v="0"/>
  </r>
  <r>
    <n v="92"/>
    <n v="92"/>
    <n v="0"/>
    <x v="0"/>
    <n v="35"/>
    <n v="45"/>
    <n v="150"/>
    <n v="15"/>
    <n v="74"/>
    <n v="20"/>
    <n v="11.8"/>
    <n v="2"/>
    <n v="5"/>
    <n v="6"/>
    <n v="0"/>
    <s v="NO"/>
    <n v="0"/>
    <n v="1.99"/>
    <x v="0"/>
    <n v="3.25"/>
    <n v="1.56"/>
    <n v="2.0833333333333335"/>
    <x v="0"/>
    <n v="42"/>
    <n v="36"/>
    <n v="0.86"/>
    <n v="1.75"/>
    <n v="3.18"/>
    <n v="15.79"/>
    <n v="34.200000000000003"/>
    <x v="1"/>
    <n v="0.31"/>
    <n v="116"/>
    <n v="0"/>
    <x v="0"/>
    <n v="0"/>
    <s v="NO"/>
    <n v="0"/>
    <s v="NO"/>
    <n v="0"/>
    <s v="NO"/>
    <n v="0"/>
    <s v="NO"/>
    <n v="0"/>
    <x v="1"/>
    <n v="0"/>
    <s v="NO"/>
    <n v="120"/>
    <n v="80"/>
    <n v="7"/>
    <n v="5"/>
    <n v="20"/>
    <n v="18"/>
    <n v="5.7"/>
    <x v="0"/>
    <n v="12"/>
    <n v="38"/>
    <n v="109"/>
    <x v="1"/>
    <x v="0"/>
    <x v="0"/>
  </r>
  <r>
    <n v="93"/>
    <n v="93"/>
    <n v="0"/>
    <x v="0"/>
    <n v="28"/>
    <n v="83.5"/>
    <n v="163"/>
    <n v="15"/>
    <n v="78"/>
    <n v="22"/>
    <n v="12.5"/>
    <n v="4"/>
    <n v="11"/>
    <n v="8"/>
    <n v="0"/>
    <s v="NO"/>
    <n v="0"/>
    <n v="1.99"/>
    <x v="0"/>
    <n v="4.3600000000000003"/>
    <n v="2.69"/>
    <n v="1.6208178438661711"/>
    <x v="1"/>
    <n v="38"/>
    <n v="33"/>
    <n v="0.87"/>
    <n v="2.63"/>
    <n v="2.75"/>
    <n v="13.78"/>
    <n v="29.41"/>
    <x v="1"/>
    <n v="0.35"/>
    <n v="116"/>
    <n v="0"/>
    <x v="0"/>
    <n v="0"/>
    <s v="NO"/>
    <n v="0"/>
    <s v="NO"/>
    <n v="0"/>
    <s v="NO"/>
    <n v="0"/>
    <s v="NO"/>
    <n v="0"/>
    <x v="1"/>
    <n v="0"/>
    <s v="NO"/>
    <n v="110"/>
    <n v="80"/>
    <n v="2"/>
    <n v="2"/>
    <n v="14"/>
    <n v="15"/>
    <n v="8.3000000000000007"/>
    <x v="3"/>
    <n v="4"/>
    <n v="29"/>
    <n v="107.33333333333333"/>
    <x v="0"/>
    <x v="0"/>
    <x v="0"/>
  </r>
  <r>
    <n v="94"/>
    <n v="94"/>
    <n v="0"/>
    <x v="0"/>
    <n v="32"/>
    <n v="52"/>
    <n v="156"/>
    <n v="11"/>
    <n v="72"/>
    <n v="20"/>
    <n v="10.8"/>
    <n v="2"/>
    <n v="5"/>
    <n v="3"/>
    <n v="0"/>
    <s v="NO"/>
    <n v="0"/>
    <n v="1.99"/>
    <x v="0"/>
    <n v="5.0999999999999996"/>
    <n v="8.9600000000000009"/>
    <n v="0.56919642857142849"/>
    <x v="1"/>
    <n v="38"/>
    <n v="32"/>
    <n v="0.84"/>
    <n v="4.3"/>
    <n v="0.86"/>
    <n v="20.010000000000002"/>
    <n v="29.8"/>
    <x v="1"/>
    <n v="0.37"/>
    <n v="97"/>
    <n v="0"/>
    <x v="0"/>
    <n v="0"/>
    <s v="NO"/>
    <n v="0"/>
    <s v="NO"/>
    <n v="0"/>
    <s v="NO"/>
    <n v="0"/>
    <s v="NO"/>
    <n v="0"/>
    <x v="1"/>
    <n v="0"/>
    <s v="NO"/>
    <n v="120"/>
    <n v="80"/>
    <n v="2"/>
    <n v="1"/>
    <n v="14"/>
    <n v="15"/>
    <n v="9"/>
    <x v="0"/>
    <n v="3"/>
    <n v="29"/>
    <n v="107.33333333333333"/>
    <x v="0"/>
    <x v="0"/>
    <x v="0"/>
  </r>
  <r>
    <n v="95"/>
    <n v="95"/>
    <n v="0"/>
    <x v="0"/>
    <n v="27"/>
    <n v="62.5"/>
    <n v="154"/>
    <n v="14"/>
    <n v="70"/>
    <n v="20"/>
    <n v="12.4"/>
    <n v="2"/>
    <n v="5"/>
    <n v="5"/>
    <n v="0"/>
    <s v="NO"/>
    <n v="0"/>
    <n v="1.99"/>
    <x v="0"/>
    <n v="5.32"/>
    <n v="2.79"/>
    <n v="1.9068100358422939"/>
    <x v="1"/>
    <n v="41"/>
    <n v="34"/>
    <n v="0.83"/>
    <n v="6.81"/>
    <n v="2.29"/>
    <n v="27.82"/>
    <n v="22.5"/>
    <x v="1"/>
    <n v="0.36"/>
    <n v="116"/>
    <n v="0"/>
    <x v="0"/>
    <n v="0"/>
    <s v="NO"/>
    <n v="0"/>
    <s v="NO"/>
    <n v="0"/>
    <s v="NO"/>
    <n v="0"/>
    <s v="NO"/>
    <n v="0"/>
    <x v="1"/>
    <n v="0"/>
    <s v="NO"/>
    <n v="120"/>
    <n v="80"/>
    <n v="3"/>
    <n v="5"/>
    <n v="20"/>
    <n v="19"/>
    <n v="6.8"/>
    <x v="1"/>
    <n v="8"/>
    <n v="39"/>
    <n v="107.66666666666667"/>
    <x v="0"/>
    <x v="0"/>
    <x v="0"/>
  </r>
  <r>
    <n v="96"/>
    <n v="96"/>
    <n v="1"/>
    <x v="1"/>
    <n v="22"/>
    <n v="50"/>
    <n v="155"/>
    <n v="15"/>
    <n v="80"/>
    <n v="20"/>
    <n v="12.1"/>
    <n v="2"/>
    <n v="5"/>
    <n v="1"/>
    <n v="1"/>
    <s v="YES"/>
    <n v="0"/>
    <n v="1247.56"/>
    <x v="13"/>
    <n v="2"/>
    <n v="1"/>
    <n v="2"/>
    <x v="0"/>
    <n v="38"/>
    <n v="32"/>
    <n v="0.84"/>
    <n v="2.78"/>
    <n v="2.19"/>
    <n v="27.86"/>
    <n v="18.7"/>
    <x v="0"/>
    <n v="0.3"/>
    <n v="107"/>
    <n v="1"/>
    <x v="1"/>
    <n v="1"/>
    <s v="YES"/>
    <n v="1"/>
    <s v="YES"/>
    <n v="1"/>
    <s v="YES"/>
    <n v="1"/>
    <s v="YES"/>
    <n v="1"/>
    <x v="0"/>
    <n v="0"/>
    <s v="NO"/>
    <n v="120"/>
    <n v="70"/>
    <n v="6"/>
    <n v="10"/>
    <n v="19"/>
    <n v="19"/>
    <n v="6"/>
    <x v="0"/>
    <n v="16"/>
    <n v="38"/>
    <n v="95.333333333333329"/>
    <x v="1"/>
    <x v="3"/>
    <x v="0"/>
  </r>
  <r>
    <n v="97"/>
    <n v="97"/>
    <n v="1"/>
    <x v="1"/>
    <n v="28"/>
    <n v="67.5"/>
    <n v="154"/>
    <n v="16"/>
    <n v="78"/>
    <n v="24"/>
    <n v="11.7"/>
    <n v="2"/>
    <n v="5"/>
    <n v="2"/>
    <n v="0"/>
    <s v="NO"/>
    <n v="3"/>
    <n v="15"/>
    <x v="0"/>
    <n v="4.66"/>
    <n v="2.4300000000000002"/>
    <n v="1.9176954732510287"/>
    <x v="1"/>
    <n v="41"/>
    <n v="36"/>
    <n v="0.88"/>
    <n v="4.6399999999999997"/>
    <n v="8.4600000000000009"/>
    <n v="28.93"/>
    <n v="18.7"/>
    <x v="0"/>
    <n v="0.4"/>
    <n v="104"/>
    <n v="0"/>
    <x v="0"/>
    <n v="0"/>
    <s v="NO"/>
    <n v="0"/>
    <s v="NO"/>
    <n v="0"/>
    <s v="NO"/>
    <n v="0"/>
    <s v="NO"/>
    <n v="0"/>
    <x v="1"/>
    <n v="0"/>
    <s v="NO"/>
    <n v="110"/>
    <n v="70"/>
    <n v="18"/>
    <n v="13"/>
    <n v="17"/>
    <n v="18"/>
    <n v="5.9"/>
    <x v="1"/>
    <n v="31"/>
    <n v="35"/>
    <n v="99.333333333333329"/>
    <x v="1"/>
    <x v="0"/>
    <x v="1"/>
  </r>
  <r>
    <n v="98"/>
    <n v="98"/>
    <n v="1"/>
    <x v="1"/>
    <n v="31"/>
    <n v="91.4"/>
    <n v="154"/>
    <n v="15"/>
    <n v="78"/>
    <n v="24"/>
    <n v="10.7"/>
    <n v="4"/>
    <n v="12"/>
    <n v="10"/>
    <n v="1"/>
    <s v="YES"/>
    <n v="0"/>
    <n v="320.56"/>
    <x v="33"/>
    <n v="3.68"/>
    <n v="2.08"/>
    <n v="1.7692307692307692"/>
    <x v="1"/>
    <n v="39"/>
    <n v="32"/>
    <n v="0.82"/>
    <n v="5"/>
    <n v="4.59"/>
    <n v="40.04"/>
    <n v="28.3"/>
    <x v="1"/>
    <n v="0.41"/>
    <n v="108"/>
    <n v="1"/>
    <x v="1"/>
    <n v="1"/>
    <s v="YES"/>
    <n v="1"/>
    <s v="YES"/>
    <n v="1"/>
    <s v="YES"/>
    <n v="1"/>
    <s v="YES"/>
    <n v="1"/>
    <x v="0"/>
    <n v="0"/>
    <s v="NO"/>
    <n v="110"/>
    <n v="70"/>
    <n v="13"/>
    <n v="10"/>
    <n v="19"/>
    <n v="16"/>
    <n v="5"/>
    <x v="3"/>
    <n v="23"/>
    <n v="35"/>
    <n v="97.666666666666671"/>
    <x v="2"/>
    <x v="3"/>
    <x v="0"/>
  </r>
  <r>
    <n v="99"/>
    <n v="99"/>
    <n v="0"/>
    <x v="0"/>
    <n v="32"/>
    <n v="61"/>
    <n v="163"/>
    <n v="11"/>
    <n v="72"/>
    <n v="20"/>
    <n v="11"/>
    <n v="2"/>
    <n v="5"/>
    <n v="13"/>
    <n v="1"/>
    <s v="YES"/>
    <n v="0"/>
    <n v="145.88999999999999"/>
    <x v="34"/>
    <n v="5.28"/>
    <n v="3.95"/>
    <n v="1.3367088607594937"/>
    <x v="1"/>
    <n v="40"/>
    <n v="39"/>
    <n v="0.98"/>
    <n v="4.3600000000000003"/>
    <n v="1.04"/>
    <n v="30.98"/>
    <n v="19.2"/>
    <x v="0"/>
    <n v="0.36"/>
    <n v="125"/>
    <n v="0"/>
    <x v="0"/>
    <n v="0"/>
    <s v="NO"/>
    <n v="0"/>
    <s v="NO"/>
    <n v="0"/>
    <s v="NO"/>
    <n v="0"/>
    <s v="NO"/>
    <n v="0"/>
    <x v="1"/>
    <n v="0"/>
    <s v="NO"/>
    <n v="120"/>
    <n v="70"/>
    <n v="3"/>
    <n v="2"/>
    <n v="20"/>
    <n v="18"/>
    <n v="5"/>
    <x v="0"/>
    <n v="5"/>
    <n v="38"/>
    <n v="94.333333333333329"/>
    <x v="0"/>
    <x v="0"/>
    <x v="0"/>
  </r>
  <r>
    <n v="100"/>
    <n v="100"/>
    <n v="0"/>
    <x v="0"/>
    <n v="32"/>
    <n v="61.7"/>
    <n v="156"/>
    <n v="15"/>
    <n v="78"/>
    <n v="22"/>
    <n v="12.2"/>
    <n v="2"/>
    <n v="5"/>
    <n v="8"/>
    <n v="0"/>
    <s v="NO"/>
    <n v="5"/>
    <n v="5.03"/>
    <x v="0"/>
    <n v="5.64"/>
    <n v="0.79"/>
    <n v="7.1392405063291129"/>
    <x v="0"/>
    <n v="41"/>
    <n v="34"/>
    <n v="0.83"/>
    <n v="4.1399999999999997"/>
    <n v="4.2699999999999996"/>
    <n v="13.66"/>
    <n v="37.200000000000003"/>
    <x v="1"/>
    <n v="0.4"/>
    <n v="60"/>
    <n v="0"/>
    <x v="0"/>
    <n v="0"/>
    <s v="NO"/>
    <n v="0"/>
    <s v="NO"/>
    <n v="0"/>
    <s v="NO"/>
    <n v="0"/>
    <s v="NO"/>
    <n v="0"/>
    <x v="1"/>
    <n v="0"/>
    <s v="NO"/>
    <n v="110"/>
    <n v="80"/>
    <n v="4"/>
    <n v="2"/>
    <n v="18"/>
    <n v="18"/>
    <n v="7.5"/>
    <x v="1"/>
    <n v="6"/>
    <n v="36"/>
    <n v="108"/>
    <x v="0"/>
    <x v="0"/>
    <x v="1"/>
  </r>
  <r>
    <n v="101"/>
    <n v="101"/>
    <n v="0"/>
    <x v="0"/>
    <n v="30"/>
    <n v="62.2"/>
    <n v="158"/>
    <n v="13"/>
    <n v="72"/>
    <n v="18"/>
    <n v="10.8"/>
    <n v="2"/>
    <n v="5"/>
    <n v="5"/>
    <n v="1"/>
    <s v="YES"/>
    <n v="1"/>
    <n v="100.09"/>
    <x v="35"/>
    <n v="1.48"/>
    <n v="0.3"/>
    <n v="4.9333333333333336"/>
    <x v="0"/>
    <n v="42"/>
    <n v="37"/>
    <n v="0.88"/>
    <n v="1.44"/>
    <n v="3.86"/>
    <n v="20.079999999999998"/>
    <n v="16.899999999999999"/>
    <x v="0"/>
    <n v="0.98"/>
    <n v="116"/>
    <n v="0"/>
    <x v="0"/>
    <n v="0"/>
    <s v="NO"/>
    <n v="0"/>
    <s v="NO"/>
    <n v="0"/>
    <s v="NO"/>
    <n v="0"/>
    <s v="NO"/>
    <n v="0"/>
    <x v="1"/>
    <n v="0"/>
    <s v="NO"/>
    <n v="120"/>
    <n v="80"/>
    <n v="7"/>
    <n v="10"/>
    <n v="19"/>
    <n v="20"/>
    <n v="6.8"/>
    <x v="1"/>
    <n v="17"/>
    <n v="39"/>
    <n v="109"/>
    <x v="1"/>
    <x v="0"/>
    <x v="0"/>
  </r>
  <r>
    <n v="102"/>
    <n v="102"/>
    <n v="0"/>
    <x v="0"/>
    <n v="34"/>
    <n v="74.099999999999994"/>
    <n v="162"/>
    <n v="11"/>
    <n v="78"/>
    <n v="22"/>
    <n v="12.4"/>
    <n v="4"/>
    <n v="11"/>
    <n v="13"/>
    <n v="0"/>
    <s v="NO"/>
    <n v="0"/>
    <n v="1.99"/>
    <x v="0"/>
    <n v="1.47"/>
    <n v="0.3"/>
    <n v="4.9000000000000004"/>
    <x v="0"/>
    <n v="41"/>
    <n v="34"/>
    <n v="0.83"/>
    <n v="1.56"/>
    <n v="1.42"/>
    <n v="13.18"/>
    <n v="44.5"/>
    <x v="1"/>
    <n v="0.3"/>
    <n v="131"/>
    <n v="0"/>
    <x v="0"/>
    <n v="0"/>
    <s v="NO"/>
    <n v="0"/>
    <s v="NO"/>
    <n v="0"/>
    <s v="NO"/>
    <n v="0"/>
    <s v="NO"/>
    <n v="0"/>
    <x v="1"/>
    <n v="0"/>
    <s v="NO"/>
    <n v="110"/>
    <n v="80"/>
    <n v="5"/>
    <n v="2"/>
    <n v="17.5"/>
    <n v="18"/>
    <n v="6.4"/>
    <x v="1"/>
    <n v="7"/>
    <n v="35.5"/>
    <n v="108.33333333333333"/>
    <x v="0"/>
    <x v="0"/>
    <x v="0"/>
  </r>
  <r>
    <n v="103"/>
    <n v="103"/>
    <n v="1"/>
    <x v="1"/>
    <n v="38"/>
    <n v="64.3"/>
    <n v="149"/>
    <n v="11"/>
    <n v="78"/>
    <n v="20"/>
    <n v="12.9"/>
    <n v="4"/>
    <n v="2"/>
    <n v="16"/>
    <n v="1"/>
    <s v="YES"/>
    <n v="1"/>
    <n v="110.17"/>
    <x v="36"/>
    <n v="10.52"/>
    <n v="2.5299999999999998"/>
    <n v="4.1581027667984189"/>
    <x v="0"/>
    <n v="42"/>
    <n v="36"/>
    <n v="0.86"/>
    <n v="1.32"/>
    <n v="10.07"/>
    <n v="14.52"/>
    <n v="70.53"/>
    <x v="1"/>
    <n v="0.1"/>
    <n v="83.2"/>
    <n v="1"/>
    <x v="1"/>
    <n v="1"/>
    <s v="YES"/>
    <n v="1"/>
    <s v="YES"/>
    <n v="1"/>
    <s v="YES"/>
    <n v="1"/>
    <s v="YES"/>
    <n v="1"/>
    <x v="0"/>
    <n v="0"/>
    <s v="NO"/>
    <n v="110"/>
    <n v="70"/>
    <n v="12"/>
    <n v="12"/>
    <n v="17"/>
    <n v="9"/>
    <n v="11.3"/>
    <x v="1"/>
    <n v="24"/>
    <n v="26"/>
    <n v="97.333333333333329"/>
    <x v="2"/>
    <x v="3"/>
    <x v="0"/>
  </r>
  <r>
    <n v="104"/>
    <n v="104"/>
    <n v="0"/>
    <x v="0"/>
    <n v="34"/>
    <n v="57"/>
    <n v="160"/>
    <n v="15"/>
    <n v="72"/>
    <n v="20"/>
    <n v="11.8"/>
    <n v="2"/>
    <n v="5"/>
    <n v="12"/>
    <n v="1"/>
    <s v="YES"/>
    <n v="1"/>
    <n v="174.37"/>
    <x v="37"/>
    <n v="9.4"/>
    <n v="3.72"/>
    <n v="2.5268817204301075"/>
    <x v="0"/>
    <n v="38"/>
    <n v="32"/>
    <n v="0.84"/>
    <n v="4.05"/>
    <n v="0.98"/>
    <n v="17.55"/>
    <n v="24.3"/>
    <x v="1"/>
    <n v="0.38"/>
    <n v="92"/>
    <n v="0"/>
    <x v="0"/>
    <n v="0"/>
    <s v="NO"/>
    <n v="0"/>
    <s v="NO"/>
    <n v="0"/>
    <s v="NO"/>
    <n v="0"/>
    <s v="NO"/>
    <n v="0"/>
    <x v="1"/>
    <n v="0"/>
    <s v="NO"/>
    <n v="120"/>
    <n v="80"/>
    <n v="1"/>
    <n v="0"/>
    <n v="14"/>
    <n v="0"/>
    <n v="7"/>
    <x v="0"/>
    <n v="1"/>
    <n v="14"/>
    <n v="107"/>
    <x v="0"/>
    <x v="0"/>
    <x v="0"/>
  </r>
  <r>
    <n v="105"/>
    <n v="105"/>
    <n v="0"/>
    <x v="0"/>
    <n v="29"/>
    <n v="60"/>
    <n v="159"/>
    <n v="13"/>
    <n v="72"/>
    <n v="18"/>
    <n v="11.2"/>
    <n v="4"/>
    <n v="9"/>
    <n v="6"/>
    <n v="1"/>
    <s v="YES"/>
    <n v="0"/>
    <n v="5202.59"/>
    <x v="38"/>
    <n v="7.11"/>
    <n v="7.45"/>
    <n v="0.95436241610738259"/>
    <x v="1"/>
    <n v="39"/>
    <n v="32"/>
    <n v="0.82"/>
    <n v="5"/>
    <n v="4.07"/>
    <n v="10.119999999999999"/>
    <n v="23.6"/>
    <x v="1"/>
    <n v="0.36"/>
    <n v="91"/>
    <n v="0"/>
    <x v="0"/>
    <n v="0"/>
    <s v="NO"/>
    <n v="0"/>
    <s v="NO"/>
    <n v="0"/>
    <s v="NO"/>
    <n v="0"/>
    <s v="NO"/>
    <n v="0"/>
    <x v="1"/>
    <n v="0"/>
    <s v="NO"/>
    <n v="120"/>
    <n v="80"/>
    <n v="11"/>
    <n v="12"/>
    <n v="18"/>
    <n v="20"/>
    <n v="7"/>
    <x v="0"/>
    <n v="23"/>
    <n v="38"/>
    <n v="110.33333333333333"/>
    <x v="2"/>
    <x v="0"/>
    <x v="0"/>
  </r>
  <r>
    <n v="106"/>
    <n v="106"/>
    <n v="1"/>
    <x v="1"/>
    <n v="25"/>
    <n v="68.599999999999994"/>
    <n v="180"/>
    <n v="11"/>
    <n v="74"/>
    <n v="20"/>
    <n v="10"/>
    <n v="2"/>
    <n v="5"/>
    <n v="4"/>
    <n v="1"/>
    <s v="YES"/>
    <n v="0"/>
    <n v="600.17999999999995"/>
    <x v="0"/>
    <n v="4.96"/>
    <n v="4.75"/>
    <n v="1.0442105263157895"/>
    <x v="1"/>
    <n v="44"/>
    <n v="38"/>
    <n v="0.86"/>
    <n v="2"/>
    <n v="3.2"/>
    <n v="30.74"/>
    <n v="20.7"/>
    <x v="1"/>
    <n v="0.43"/>
    <n v="115"/>
    <n v="1"/>
    <x v="1"/>
    <n v="0"/>
    <s v="NO"/>
    <n v="1"/>
    <s v="YES"/>
    <n v="0"/>
    <s v="NO"/>
    <n v="1"/>
    <s v="YES"/>
    <n v="0"/>
    <x v="1"/>
    <n v="1"/>
    <s v="YES"/>
    <n v="110"/>
    <n v="70"/>
    <n v="12"/>
    <n v="8"/>
    <n v="18"/>
    <n v="17.5"/>
    <n v="9"/>
    <x v="0"/>
    <n v="20"/>
    <n v="35.5"/>
    <n v="97.333333333333329"/>
    <x v="1"/>
    <x v="1"/>
    <x v="0"/>
  </r>
  <r>
    <n v="107"/>
    <n v="107"/>
    <n v="0"/>
    <x v="0"/>
    <n v="28"/>
    <n v="60"/>
    <n v="160"/>
    <n v="15"/>
    <n v="72"/>
    <n v="20"/>
    <n v="10.8"/>
    <n v="4"/>
    <n v="7"/>
    <n v="3"/>
    <n v="0"/>
    <s v="NO"/>
    <n v="0"/>
    <n v="1.99"/>
    <x v="0"/>
    <n v="2.9"/>
    <n v="0.22"/>
    <n v="13.181818181818182"/>
    <x v="0"/>
    <n v="38"/>
    <n v="32"/>
    <n v="0.84"/>
    <n v="1.78"/>
    <n v="3.9"/>
    <n v="6.54"/>
    <n v="30.5"/>
    <x v="1"/>
    <n v="0.25"/>
    <n v="92"/>
    <n v="1"/>
    <x v="1"/>
    <n v="1"/>
    <s v="YES"/>
    <n v="1"/>
    <s v="YES"/>
    <n v="1"/>
    <s v="YES"/>
    <n v="1"/>
    <s v="YES"/>
    <n v="0"/>
    <x v="1"/>
    <n v="0"/>
    <s v="NO"/>
    <n v="120"/>
    <n v="80"/>
    <n v="6"/>
    <n v="4"/>
    <n v="19"/>
    <n v="16"/>
    <n v="4.4000000000000004"/>
    <x v="0"/>
    <n v="10"/>
    <n v="35"/>
    <n v="108.66666666666667"/>
    <x v="1"/>
    <x v="3"/>
    <x v="0"/>
  </r>
  <r>
    <n v="108"/>
    <n v="108"/>
    <n v="1"/>
    <x v="1"/>
    <n v="27"/>
    <n v="54"/>
    <n v="156"/>
    <n v="13"/>
    <n v="72"/>
    <n v="18"/>
    <n v="11.8"/>
    <n v="4"/>
    <n v="8"/>
    <n v="2"/>
    <n v="0"/>
    <s v="NO"/>
    <n v="0"/>
    <n v="120.96"/>
    <x v="0"/>
    <n v="2.62"/>
    <n v="0.33"/>
    <n v="7.9393939393939394"/>
    <x v="0"/>
    <n v="44"/>
    <n v="37"/>
    <n v="0.84"/>
    <n v="1.58"/>
    <n v="10"/>
    <n v="26.29"/>
    <n v="34.1"/>
    <x v="1"/>
    <n v="0.25"/>
    <n v="100"/>
    <n v="1"/>
    <x v="1"/>
    <n v="1"/>
    <s v="YES"/>
    <n v="0"/>
    <s v="NO"/>
    <n v="1"/>
    <s v="YES"/>
    <n v="1"/>
    <s v="YES"/>
    <n v="1"/>
    <x v="0"/>
    <n v="0"/>
    <s v="NO"/>
    <n v="110"/>
    <n v="80"/>
    <n v="11"/>
    <n v="10"/>
    <n v="16"/>
    <n v="14"/>
    <n v="7"/>
    <x v="0"/>
    <n v="21"/>
    <n v="30"/>
    <n v="110.33333333333333"/>
    <x v="2"/>
    <x v="4"/>
    <x v="1"/>
  </r>
  <r>
    <n v="109"/>
    <n v="109"/>
    <n v="1"/>
    <x v="1"/>
    <n v="24"/>
    <n v="53"/>
    <n v="149"/>
    <n v="15"/>
    <n v="72"/>
    <n v="22"/>
    <n v="13.2"/>
    <n v="4"/>
    <n v="9"/>
    <n v="3"/>
    <n v="1"/>
    <s v="YES"/>
    <n v="0"/>
    <n v="397.08"/>
    <x v="39"/>
    <n v="4.62"/>
    <n v="6.03"/>
    <n v="0.76616915422885568"/>
    <x v="1"/>
    <n v="45"/>
    <n v="39"/>
    <n v="0.87"/>
    <n v="1.46"/>
    <n v="16.899999999999999"/>
    <n v="9.82"/>
    <n v="15.3"/>
    <x v="0"/>
    <n v="0.98"/>
    <n v="120"/>
    <n v="1"/>
    <x v="1"/>
    <n v="1"/>
    <s v="YES"/>
    <n v="1"/>
    <s v="YES"/>
    <n v="0"/>
    <s v="NO"/>
    <n v="0"/>
    <s v="NO"/>
    <n v="1"/>
    <x v="0"/>
    <n v="1"/>
    <s v="YES"/>
    <n v="110"/>
    <n v="70"/>
    <n v="11"/>
    <n v="10"/>
    <n v="15"/>
    <n v="16"/>
    <n v="9"/>
    <x v="0"/>
    <n v="21"/>
    <n v="31"/>
    <n v="97"/>
    <x v="2"/>
    <x v="1"/>
    <x v="0"/>
  </r>
  <r>
    <n v="110"/>
    <n v="110"/>
    <n v="0"/>
    <x v="0"/>
    <n v="34"/>
    <n v="80"/>
    <n v="160"/>
    <n v="15"/>
    <n v="74"/>
    <n v="20"/>
    <n v="10"/>
    <n v="4"/>
    <n v="11"/>
    <n v="19"/>
    <n v="1"/>
    <s v="YES"/>
    <n v="0"/>
    <n v="926.24"/>
    <x v="40"/>
    <n v="4.8600000000000003"/>
    <n v="1.97"/>
    <n v="2.467005076142132"/>
    <x v="0"/>
    <n v="42"/>
    <n v="37"/>
    <n v="0.88"/>
    <n v="1.04"/>
    <n v="17"/>
    <n v="19.45"/>
    <n v="39.4"/>
    <x v="1"/>
    <n v="0.34"/>
    <n v="108"/>
    <n v="0"/>
    <x v="0"/>
    <n v="1"/>
    <s v="YES"/>
    <n v="1"/>
    <s v="YES"/>
    <n v="0"/>
    <s v="NO"/>
    <n v="0"/>
    <s v="NO"/>
    <n v="1"/>
    <x v="0"/>
    <n v="1"/>
    <s v="YES"/>
    <n v="120"/>
    <n v="70"/>
    <n v="5"/>
    <n v="4"/>
    <n v="17"/>
    <n v="21"/>
    <n v="9.3000000000000007"/>
    <x v="3"/>
    <n v="9"/>
    <n v="38"/>
    <n v="95"/>
    <x v="1"/>
    <x v="1"/>
    <x v="0"/>
  </r>
  <r>
    <n v="111"/>
    <n v="111"/>
    <n v="0"/>
    <x v="0"/>
    <n v="21"/>
    <n v="59"/>
    <n v="150"/>
    <n v="15"/>
    <n v="72"/>
    <n v="18"/>
    <n v="11.2"/>
    <n v="4"/>
    <n v="6"/>
    <n v="2"/>
    <n v="1"/>
    <s v="YES"/>
    <n v="0"/>
    <n v="26290.26"/>
    <x v="41"/>
    <n v="4.13"/>
    <n v="5.1100000000000003"/>
    <n v="0.80821917808219168"/>
    <x v="1"/>
    <n v="41"/>
    <n v="34"/>
    <n v="0.83"/>
    <n v="1.26"/>
    <n v="21.9"/>
    <n v="13.97"/>
    <n v="33.4"/>
    <x v="1"/>
    <n v="1"/>
    <n v="125"/>
    <n v="0"/>
    <x v="0"/>
    <n v="0"/>
    <s v="NO"/>
    <n v="1"/>
    <s v="YES"/>
    <n v="1"/>
    <s v="YES"/>
    <n v="0"/>
    <s v="NO"/>
    <n v="0"/>
    <x v="1"/>
    <n v="1"/>
    <s v="YES"/>
    <n v="100"/>
    <n v="70"/>
    <n v="1"/>
    <n v="1"/>
    <n v="11"/>
    <n v="10"/>
    <n v="8.5"/>
    <x v="1"/>
    <n v="2"/>
    <n v="21"/>
    <n v="93.666666666666671"/>
    <x v="1"/>
    <x v="1"/>
    <x v="0"/>
  </r>
  <r>
    <n v="112"/>
    <n v="112"/>
    <n v="0"/>
    <x v="0"/>
    <n v="26"/>
    <n v="75"/>
    <n v="170"/>
    <n v="15"/>
    <n v="72"/>
    <n v="18"/>
    <n v="11.2"/>
    <n v="4"/>
    <n v="2"/>
    <n v="3"/>
    <n v="1"/>
    <s v="YES"/>
    <n v="0"/>
    <n v="32460.97"/>
    <x v="42"/>
    <n v="6.21"/>
    <n v="2.1800000000000002"/>
    <n v="2.8486238532110089"/>
    <x v="0"/>
    <n v="40"/>
    <n v="34"/>
    <n v="0.85"/>
    <n v="2.44"/>
    <n v="1.6"/>
    <n v="21.48"/>
    <n v="25.3"/>
    <x v="1"/>
    <n v="0.28000000000000003"/>
    <n v="100"/>
    <n v="0"/>
    <x v="0"/>
    <n v="1"/>
    <s v="YES"/>
    <n v="1"/>
    <s v="YES"/>
    <n v="1"/>
    <s v="YES"/>
    <n v="0"/>
    <s v="NO"/>
    <n v="1"/>
    <x v="0"/>
    <n v="1"/>
    <s v="YES"/>
    <n v="120"/>
    <n v="80"/>
    <n v="5"/>
    <n v="4"/>
    <n v="17"/>
    <n v="19"/>
    <n v="10"/>
    <x v="1"/>
    <n v="9"/>
    <n v="36"/>
    <n v="108.33333333333333"/>
    <x v="1"/>
    <x v="4"/>
    <x v="0"/>
  </r>
  <r>
    <n v="113"/>
    <n v="113"/>
    <n v="0"/>
    <x v="0"/>
    <n v="39"/>
    <n v="71.2"/>
    <n v="170"/>
    <n v="15"/>
    <n v="72"/>
    <n v="20"/>
    <n v="10.1"/>
    <n v="2"/>
    <n v="5"/>
    <n v="12"/>
    <n v="0"/>
    <s v="NO"/>
    <n v="0"/>
    <n v="14.47"/>
    <x v="43"/>
    <n v="4.6100000000000003"/>
    <n v="3.37"/>
    <n v="1.3679525222551929"/>
    <x v="1"/>
    <n v="41"/>
    <n v="36"/>
    <n v="0.88"/>
    <n v="4.33"/>
    <n v="3.3"/>
    <n v="13.92"/>
    <n v="29"/>
    <x v="1"/>
    <n v="0.66"/>
    <n v="100"/>
    <n v="1"/>
    <x v="1"/>
    <n v="0"/>
    <s v="NO"/>
    <n v="0"/>
    <s v="NO"/>
    <n v="1"/>
    <s v="YES"/>
    <n v="0"/>
    <s v="NO"/>
    <n v="0"/>
    <x v="1"/>
    <n v="0"/>
    <s v="NO"/>
    <n v="120"/>
    <n v="80"/>
    <n v="5"/>
    <n v="3"/>
    <n v="19"/>
    <n v="20"/>
    <n v="7"/>
    <x v="0"/>
    <n v="8"/>
    <n v="39"/>
    <n v="108.33333333333333"/>
    <x v="0"/>
    <x v="2"/>
    <x v="1"/>
  </r>
  <r>
    <n v="114"/>
    <n v="114"/>
    <n v="1"/>
    <x v="1"/>
    <n v="32"/>
    <n v="63"/>
    <n v="164"/>
    <n v="17"/>
    <n v="72"/>
    <n v="18"/>
    <n v="11"/>
    <n v="4"/>
    <n v="9"/>
    <n v="9"/>
    <n v="0"/>
    <s v="NO"/>
    <n v="0"/>
    <n v="332.51"/>
    <x v="44"/>
    <n v="5.0199999999999996"/>
    <n v="7.52"/>
    <n v="0.66755319148936165"/>
    <x v="1"/>
    <n v="46"/>
    <n v="40"/>
    <n v="0.87"/>
    <n v="1.46"/>
    <n v="21"/>
    <n v="46.05"/>
    <n v="32.9"/>
    <x v="1"/>
    <n v="0.68"/>
    <n v="92"/>
    <n v="1"/>
    <x v="1"/>
    <n v="0"/>
    <s v="NO"/>
    <n v="1"/>
    <s v="YES"/>
    <n v="1"/>
    <s v="YES"/>
    <n v="1"/>
    <s v="YES"/>
    <n v="1"/>
    <x v="0"/>
    <n v="1"/>
    <s v="YES"/>
    <n v="110"/>
    <n v="80"/>
    <n v="5"/>
    <n v="6"/>
    <n v="18"/>
    <n v="21"/>
    <n v="9"/>
    <x v="0"/>
    <n v="11"/>
    <n v="39"/>
    <n v="108.33333333333333"/>
    <x v="1"/>
    <x v="4"/>
    <x v="1"/>
  </r>
  <r>
    <n v="115"/>
    <n v="115"/>
    <n v="1"/>
    <x v="1"/>
    <n v="29"/>
    <n v="74"/>
    <n v="162"/>
    <n v="15"/>
    <n v="72"/>
    <n v="18"/>
    <n v="11.3"/>
    <n v="2"/>
    <n v="5"/>
    <n v="6"/>
    <n v="0"/>
    <s v="NO"/>
    <n v="0"/>
    <n v="70.17"/>
    <x v="44"/>
    <n v="4.5199999999999996"/>
    <n v="1.92"/>
    <n v="2.3541666666666665"/>
    <x v="0"/>
    <n v="45"/>
    <n v="38"/>
    <n v="0.84"/>
    <n v="1.68"/>
    <n v="12.7"/>
    <n v="11.03"/>
    <n v="22.7"/>
    <x v="1"/>
    <n v="0.7"/>
    <n v="100"/>
    <n v="1"/>
    <x v="1"/>
    <n v="1"/>
    <s v="YES"/>
    <n v="1"/>
    <s v="YES"/>
    <n v="1"/>
    <s v="YES"/>
    <n v="0"/>
    <s v="NO"/>
    <n v="0"/>
    <x v="1"/>
    <n v="1"/>
    <s v="YES"/>
    <n v="110"/>
    <n v="80"/>
    <n v="14"/>
    <n v="5"/>
    <n v="15"/>
    <n v="14"/>
    <n v="8.6999999999999993"/>
    <x v="1"/>
    <n v="19"/>
    <n v="29"/>
    <n v="111.33333333333333"/>
    <x v="1"/>
    <x v="4"/>
    <x v="1"/>
  </r>
  <r>
    <n v="116"/>
    <n v="116"/>
    <n v="0"/>
    <x v="0"/>
    <n v="29"/>
    <n v="67"/>
    <n v="158"/>
    <n v="11"/>
    <n v="72"/>
    <n v="18"/>
    <n v="11.2"/>
    <n v="2"/>
    <n v="5"/>
    <n v="2"/>
    <n v="0"/>
    <s v="NO"/>
    <n v="0"/>
    <n v="177.57"/>
    <x v="45"/>
    <n v="5.36"/>
    <n v="0.42"/>
    <n v="12.761904761904763"/>
    <x v="0"/>
    <n v="38"/>
    <n v="32"/>
    <n v="0.84"/>
    <n v="0.69"/>
    <n v="1.8"/>
    <n v="9.09"/>
    <n v="15.3"/>
    <x v="0"/>
    <n v="0.63"/>
    <n v="108"/>
    <n v="1"/>
    <x v="1"/>
    <n v="0"/>
    <s v="NO"/>
    <n v="1"/>
    <s v="YES"/>
    <n v="0"/>
    <s v="NO"/>
    <n v="0"/>
    <s v="NO"/>
    <n v="0"/>
    <x v="1"/>
    <n v="1"/>
    <s v="YES"/>
    <n v="110"/>
    <n v="70"/>
    <n v="5"/>
    <n v="3"/>
    <n v="15.5"/>
    <n v="15"/>
    <n v="8.3000000000000007"/>
    <x v="1"/>
    <n v="8"/>
    <n v="30.5"/>
    <n v="95"/>
    <x v="1"/>
    <x v="2"/>
    <x v="1"/>
  </r>
  <r>
    <n v="117"/>
    <n v="117"/>
    <n v="0"/>
    <x v="0"/>
    <n v="35"/>
    <n v="63"/>
    <n v="155"/>
    <n v="15"/>
    <n v="80"/>
    <n v="22"/>
    <n v="10.7"/>
    <n v="2"/>
    <n v="5"/>
    <n v="14"/>
    <n v="0"/>
    <s v="NO"/>
    <n v="0"/>
    <n v="3.1"/>
    <x v="46"/>
    <n v="9.81"/>
    <n v="0.34"/>
    <n v="28.852941176470587"/>
    <x v="0"/>
    <n v="36"/>
    <n v="30"/>
    <n v="0.83"/>
    <n v="2.2799999999999998"/>
    <n v="3.6"/>
    <n v="29.97"/>
    <n v="24.3"/>
    <x v="1"/>
    <n v="0.93"/>
    <n v="100"/>
    <n v="0"/>
    <x v="0"/>
    <n v="1"/>
    <s v="YES"/>
    <n v="0"/>
    <s v="NO"/>
    <n v="0"/>
    <s v="NO"/>
    <n v="1"/>
    <s v="YES"/>
    <n v="1"/>
    <x v="0"/>
    <n v="1"/>
    <s v="YES"/>
    <n v="110"/>
    <n v="70"/>
    <n v="4"/>
    <n v="4"/>
    <n v="15"/>
    <n v="14"/>
    <n v="9.8000000000000007"/>
    <x v="1"/>
    <n v="8"/>
    <n v="29"/>
    <n v="94.666666666666671"/>
    <x v="0"/>
    <x v="1"/>
    <x v="0"/>
  </r>
  <r>
    <n v="118"/>
    <n v="118"/>
    <n v="1"/>
    <x v="1"/>
    <n v="28"/>
    <n v="68"/>
    <n v="155"/>
    <n v="13"/>
    <n v="74"/>
    <n v="20"/>
    <n v="11.2"/>
    <n v="4"/>
    <n v="9"/>
    <n v="7"/>
    <n v="0"/>
    <s v="NO"/>
    <n v="0"/>
    <n v="59.39"/>
    <x v="44"/>
    <n v="5.71"/>
    <n v="4.3099999999999996"/>
    <n v="1.3248259860788865"/>
    <x v="1"/>
    <n v="45"/>
    <n v="37"/>
    <n v="0.82"/>
    <n v="2.41"/>
    <n v="15"/>
    <n v="21.86"/>
    <n v="18.3"/>
    <x v="0"/>
    <n v="0.35"/>
    <n v="100"/>
    <n v="1"/>
    <x v="1"/>
    <n v="0"/>
    <s v="NO"/>
    <n v="1"/>
    <s v="YES"/>
    <n v="1"/>
    <s v="YES"/>
    <n v="1"/>
    <s v="YES"/>
    <n v="1"/>
    <x v="0"/>
    <n v="1"/>
    <s v="YES"/>
    <n v="110"/>
    <n v="80"/>
    <n v="21"/>
    <n v="20"/>
    <n v="15"/>
    <n v="17"/>
    <n v="11"/>
    <x v="1"/>
    <n v="41"/>
    <n v="32"/>
    <n v="113.66666666666666"/>
    <x v="2"/>
    <x v="4"/>
    <x v="1"/>
  </r>
  <r>
    <n v="119"/>
    <n v="119"/>
    <n v="0"/>
    <x v="0"/>
    <n v="33"/>
    <n v="83"/>
    <n v="162"/>
    <n v="13"/>
    <n v="78"/>
    <n v="22"/>
    <n v="11"/>
    <n v="2"/>
    <n v="5"/>
    <n v="10"/>
    <n v="0"/>
    <s v="NO"/>
    <n v="0"/>
    <n v="100.68"/>
    <x v="47"/>
    <n v="4.74"/>
    <n v="1.49"/>
    <n v="3.1812080536912752"/>
    <x v="0"/>
    <n v="38"/>
    <n v="31"/>
    <n v="0.82"/>
    <n v="0.56999999999999995"/>
    <n v="5"/>
    <n v="14.72"/>
    <n v="32.4"/>
    <x v="1"/>
    <n v="0.26"/>
    <n v="100"/>
    <n v="0"/>
    <x v="0"/>
    <n v="0"/>
    <s v="NO"/>
    <n v="1"/>
    <s v="YES"/>
    <n v="1"/>
    <s v="YES"/>
    <n v="0"/>
    <s v="NO"/>
    <n v="1"/>
    <x v="0"/>
    <n v="0"/>
    <s v="NO"/>
    <n v="110"/>
    <n v="80"/>
    <n v="7"/>
    <n v="9"/>
    <n v="18"/>
    <n v="20"/>
    <n v="8"/>
    <x v="3"/>
    <n v="16"/>
    <n v="38"/>
    <n v="109"/>
    <x v="1"/>
    <x v="1"/>
    <x v="1"/>
  </r>
  <r>
    <n v="120"/>
    <n v="120"/>
    <n v="0"/>
    <x v="0"/>
    <n v="29"/>
    <n v="55"/>
    <n v="152"/>
    <n v="11"/>
    <n v="72"/>
    <n v="18"/>
    <n v="11.2"/>
    <n v="2"/>
    <n v="5"/>
    <n v="3"/>
    <n v="0"/>
    <s v="NO"/>
    <n v="0"/>
    <n v="566.24"/>
    <x v="48"/>
    <n v="3.62"/>
    <n v="4.25"/>
    <n v="0.85176470588235298"/>
    <x v="1"/>
    <n v="39"/>
    <n v="32"/>
    <n v="0.82"/>
    <n v="1.67"/>
    <n v="3.3"/>
    <n v="12.56"/>
    <n v="17.5"/>
    <x v="0"/>
    <n v="0.48"/>
    <n v="100"/>
    <n v="1"/>
    <x v="1"/>
    <n v="0"/>
    <s v="NO"/>
    <n v="0"/>
    <s v="NO"/>
    <n v="0"/>
    <s v="NO"/>
    <n v="0"/>
    <s v="NO"/>
    <n v="0"/>
    <x v="1"/>
    <n v="0"/>
    <s v="NO"/>
    <n v="110"/>
    <n v="80"/>
    <n v="2"/>
    <n v="4"/>
    <n v="18"/>
    <n v="20"/>
    <n v="11.7"/>
    <x v="0"/>
    <n v="6"/>
    <n v="38"/>
    <n v="107.33333333333333"/>
    <x v="0"/>
    <x v="0"/>
    <x v="1"/>
  </r>
  <r>
    <n v="121"/>
    <n v="121"/>
    <n v="0"/>
    <x v="0"/>
    <n v="30"/>
    <n v="63"/>
    <n v="159"/>
    <n v="15"/>
    <n v="76"/>
    <n v="20"/>
    <n v="10.5"/>
    <n v="4"/>
    <n v="9"/>
    <n v="5"/>
    <n v="0"/>
    <s v="NO"/>
    <n v="0"/>
    <n v="1.99"/>
    <x v="49"/>
    <n v="7.78"/>
    <n v="14.69"/>
    <n v="0.52961198093941464"/>
    <x v="1"/>
    <n v="40"/>
    <n v="33"/>
    <n v="0.83"/>
    <n v="2.9"/>
    <n v="3.3"/>
    <n v="24.15"/>
    <n v="56.3"/>
    <x v="1"/>
    <n v="0.44"/>
    <n v="100"/>
    <n v="0"/>
    <x v="0"/>
    <n v="0"/>
    <s v="NO"/>
    <n v="0"/>
    <s v="NO"/>
    <n v="0"/>
    <s v="NO"/>
    <n v="0"/>
    <s v="NO"/>
    <n v="1"/>
    <x v="0"/>
    <n v="1"/>
    <s v="YES"/>
    <n v="110"/>
    <n v="70"/>
    <n v="3"/>
    <n v="2"/>
    <n v="16"/>
    <n v="14"/>
    <n v="8.6"/>
    <x v="1"/>
    <n v="5"/>
    <n v="30"/>
    <n v="94.333333333333329"/>
    <x v="0"/>
    <x v="0"/>
    <x v="0"/>
  </r>
  <r>
    <n v="122"/>
    <n v="122"/>
    <n v="0"/>
    <x v="0"/>
    <n v="33"/>
    <n v="48"/>
    <n v="148"/>
    <n v="16"/>
    <n v="70"/>
    <n v="18"/>
    <n v="10"/>
    <n v="2"/>
    <n v="5"/>
    <n v="12"/>
    <n v="0"/>
    <s v="NO"/>
    <n v="0"/>
    <n v="357.09"/>
    <x v="50"/>
    <n v="7.6"/>
    <n v="0.48"/>
    <n v="15.833333333333334"/>
    <x v="0"/>
    <n v="38"/>
    <n v="30"/>
    <n v="0.79"/>
    <n v="1.67"/>
    <n v="3.9"/>
    <n v="27.45"/>
    <n v="33.4"/>
    <x v="1"/>
    <n v="6.39"/>
    <n v="100"/>
    <n v="0"/>
    <x v="0"/>
    <n v="1"/>
    <s v="YES"/>
    <n v="0"/>
    <s v="NO"/>
    <n v="0"/>
    <s v="NO"/>
    <n v="0"/>
    <s v="NO"/>
    <n v="0"/>
    <x v="1"/>
    <n v="0"/>
    <s v="NO"/>
    <n v="110"/>
    <n v="80"/>
    <n v="1"/>
    <n v="1"/>
    <n v="15"/>
    <n v="18"/>
    <n v="6.2"/>
    <x v="0"/>
    <n v="2"/>
    <n v="33"/>
    <n v="107"/>
    <x v="0"/>
    <x v="2"/>
    <x v="1"/>
  </r>
  <r>
    <n v="123"/>
    <n v="123"/>
    <n v="1"/>
    <x v="1"/>
    <n v="22"/>
    <n v="79"/>
    <n v="155"/>
    <n v="11"/>
    <n v="72"/>
    <n v="18"/>
    <n v="11.3"/>
    <n v="2"/>
    <n v="5"/>
    <n v="4"/>
    <n v="0"/>
    <s v="NO"/>
    <n v="0"/>
    <n v="138.68"/>
    <x v="51"/>
    <n v="4.1399999999999997"/>
    <n v="4.0599999999999996"/>
    <n v="1.0197044334975369"/>
    <x v="1"/>
    <n v="45"/>
    <n v="37"/>
    <n v="0.82"/>
    <n v="2.9"/>
    <n v="17.899999999999999"/>
    <n v="21.92"/>
    <n v="22.92"/>
    <x v="1"/>
    <n v="0.42"/>
    <n v="92"/>
    <n v="1"/>
    <x v="1"/>
    <n v="0"/>
    <s v="NO"/>
    <n v="1"/>
    <s v="YES"/>
    <n v="0"/>
    <s v="NO"/>
    <n v="1"/>
    <s v="YES"/>
    <n v="1"/>
    <x v="0"/>
    <n v="1"/>
    <s v="YES"/>
    <n v="110"/>
    <n v="80"/>
    <n v="6"/>
    <n v="10"/>
    <n v="16"/>
    <n v="15"/>
    <n v="13.4"/>
    <x v="3"/>
    <n v="16"/>
    <n v="31"/>
    <n v="108.66666666666667"/>
    <x v="1"/>
    <x v="1"/>
    <x v="1"/>
  </r>
  <r>
    <n v="124"/>
    <n v="124"/>
    <n v="1"/>
    <x v="1"/>
    <n v="23"/>
    <n v="40"/>
    <n v="150"/>
    <n v="15"/>
    <n v="74"/>
    <n v="18"/>
    <n v="10.8"/>
    <n v="2"/>
    <n v="5"/>
    <n v="2"/>
    <n v="0"/>
    <s v="NO"/>
    <n v="0"/>
    <n v="1.99"/>
    <x v="52"/>
    <n v="5"/>
    <n v="5.15"/>
    <n v="0.97087378640776689"/>
    <x v="1"/>
    <n v="46"/>
    <n v="38"/>
    <n v="0.83"/>
    <n v="1.69"/>
    <n v="19.8"/>
    <n v="15.23"/>
    <n v="23.5"/>
    <x v="1"/>
    <n v="0.93"/>
    <n v="92"/>
    <n v="1"/>
    <x v="1"/>
    <n v="1"/>
    <s v="YES"/>
    <n v="1"/>
    <s v="YES"/>
    <n v="1"/>
    <s v="YES"/>
    <n v="0"/>
    <s v="NO"/>
    <n v="1"/>
    <x v="0"/>
    <n v="1"/>
    <s v="YES"/>
    <n v="100"/>
    <n v="70"/>
    <n v="10"/>
    <n v="13"/>
    <n v="18"/>
    <n v="17"/>
    <n v="12.5"/>
    <x v="2"/>
    <n v="23"/>
    <n v="35"/>
    <n v="96.666666666666671"/>
    <x v="1"/>
    <x v="4"/>
    <x v="0"/>
  </r>
  <r>
    <n v="125"/>
    <n v="125"/>
    <n v="1"/>
    <x v="1"/>
    <n v="26"/>
    <n v="78"/>
    <n v="159"/>
    <n v="13"/>
    <n v="78"/>
    <n v="20"/>
    <n v="11"/>
    <n v="2"/>
    <n v="5"/>
    <n v="4"/>
    <n v="0"/>
    <s v="NO"/>
    <n v="0"/>
    <n v="1.99"/>
    <x v="0"/>
    <n v="4.88"/>
    <n v="5.84"/>
    <n v="0.83561643835616439"/>
    <x v="1"/>
    <n v="45"/>
    <n v="39"/>
    <n v="0.87"/>
    <n v="2.31"/>
    <n v="9.1999999999999993"/>
    <n v="31.53"/>
    <n v="56.2"/>
    <x v="1"/>
    <n v="0.4"/>
    <n v="100"/>
    <n v="1"/>
    <x v="1"/>
    <n v="0"/>
    <s v="NO"/>
    <n v="1"/>
    <s v="YES"/>
    <n v="1"/>
    <s v="YES"/>
    <n v="1"/>
    <s v="YES"/>
    <n v="1"/>
    <x v="0"/>
    <n v="1"/>
    <s v="YES"/>
    <n v="120"/>
    <n v="80"/>
    <n v="8"/>
    <n v="10"/>
    <n v="16"/>
    <n v="18"/>
    <n v="8.5"/>
    <x v="3"/>
    <n v="18"/>
    <n v="34"/>
    <n v="109.33333333333333"/>
    <x v="1"/>
    <x v="4"/>
    <x v="0"/>
  </r>
  <r>
    <n v="126"/>
    <n v="126"/>
    <n v="0"/>
    <x v="0"/>
    <n v="38"/>
    <n v="54"/>
    <n v="155"/>
    <n v="13"/>
    <n v="72"/>
    <n v="22"/>
    <n v="10.8"/>
    <n v="2"/>
    <n v="5"/>
    <n v="4"/>
    <n v="0"/>
    <s v="NO"/>
    <n v="1"/>
    <n v="363.13"/>
    <x v="53"/>
    <n v="8.36"/>
    <n v="0.78"/>
    <n v="10.717948717948717"/>
    <x v="0"/>
    <n v="41"/>
    <n v="33"/>
    <n v="0.8"/>
    <n v="2.4300000000000002"/>
    <n v="2.4"/>
    <n v="33.51"/>
    <n v="13.5"/>
    <x v="0"/>
    <n v="0.5"/>
    <n v="92"/>
    <n v="1"/>
    <x v="1"/>
    <n v="0"/>
    <s v="NO"/>
    <n v="0"/>
    <s v="NO"/>
    <n v="0"/>
    <s v="NO"/>
    <n v="0"/>
    <s v="NO"/>
    <n v="0"/>
    <x v="1"/>
    <n v="0"/>
    <s v="NO"/>
    <n v="120"/>
    <n v="80"/>
    <n v="7"/>
    <n v="6"/>
    <n v="18"/>
    <n v="17"/>
    <n v="12"/>
    <x v="0"/>
    <n v="13"/>
    <n v="35"/>
    <n v="109"/>
    <x v="1"/>
    <x v="0"/>
    <x v="1"/>
  </r>
  <r>
    <n v="127"/>
    <n v="127"/>
    <n v="0"/>
    <x v="0"/>
    <n v="40"/>
    <n v="56"/>
    <n v="154"/>
    <n v="15"/>
    <n v="72"/>
    <n v="18"/>
    <n v="10.199999999999999"/>
    <n v="2"/>
    <n v="5"/>
    <n v="14"/>
    <n v="0"/>
    <s v="NO"/>
    <n v="0"/>
    <n v="84.79"/>
    <x v="0"/>
    <n v="5.01"/>
    <n v="1.94"/>
    <n v="2.5824742268041239"/>
    <x v="0"/>
    <n v="42"/>
    <n v="33"/>
    <n v="0.79"/>
    <n v="2.08"/>
    <n v="4.5"/>
    <n v="26.34"/>
    <n v="52.2"/>
    <x v="1"/>
    <n v="0.91"/>
    <n v="98"/>
    <n v="0"/>
    <x v="0"/>
    <n v="0"/>
    <s v="NO"/>
    <n v="0"/>
    <s v="NO"/>
    <n v="1"/>
    <s v="YES"/>
    <n v="0"/>
    <s v="NO"/>
    <n v="0"/>
    <x v="1"/>
    <n v="1"/>
    <s v="YES"/>
    <n v="110"/>
    <n v="80"/>
    <n v="2"/>
    <n v="3"/>
    <n v="18"/>
    <n v="18"/>
    <n v="8.5"/>
    <x v="0"/>
    <n v="5"/>
    <n v="36"/>
    <n v="107.33333333333333"/>
    <x v="0"/>
    <x v="2"/>
    <x v="1"/>
  </r>
  <r>
    <n v="128"/>
    <n v="128"/>
    <n v="0"/>
    <x v="0"/>
    <n v="42"/>
    <n v="48"/>
    <n v="148"/>
    <n v="11"/>
    <n v="72"/>
    <n v="18"/>
    <n v="11.2"/>
    <n v="2"/>
    <n v="5"/>
    <n v="8"/>
    <n v="0"/>
    <s v="NO"/>
    <n v="0"/>
    <n v="1.99"/>
    <x v="54"/>
    <n v="6.81"/>
    <n v="3.83"/>
    <n v="1.7780678851174934"/>
    <x v="1"/>
    <n v="40"/>
    <n v="32"/>
    <n v="0.8"/>
    <n v="1.99"/>
    <n v="5.14"/>
    <n v="18.02"/>
    <n v="9.1999999999999993"/>
    <x v="0"/>
    <n v="0.32"/>
    <n v="100"/>
    <n v="0"/>
    <x v="0"/>
    <n v="0"/>
    <s v="NO"/>
    <n v="0"/>
    <s v="NO"/>
    <n v="0"/>
    <s v="NO"/>
    <n v="0"/>
    <s v="NO"/>
    <n v="0"/>
    <x v="1"/>
    <n v="0"/>
    <s v="NO"/>
    <n v="110"/>
    <n v="70"/>
    <n v="1"/>
    <n v="0"/>
    <n v="17"/>
    <n v="15"/>
    <n v="9"/>
    <x v="0"/>
    <n v="1"/>
    <n v="32"/>
    <n v="93.666666666666671"/>
    <x v="0"/>
    <x v="0"/>
    <x v="0"/>
  </r>
  <r>
    <n v="129"/>
    <n v="129"/>
    <n v="0"/>
    <x v="0"/>
    <n v="41"/>
    <n v="54"/>
    <n v="150"/>
    <n v="15"/>
    <n v="70"/>
    <n v="18"/>
    <n v="11.5"/>
    <n v="2"/>
    <n v="5"/>
    <n v="10"/>
    <n v="0"/>
    <s v="NO"/>
    <n v="0"/>
    <n v="98.91"/>
    <x v="55"/>
    <n v="7.37"/>
    <n v="1.51"/>
    <n v="4.8807947019867548"/>
    <x v="0"/>
    <n v="38"/>
    <n v="30"/>
    <n v="0.79"/>
    <n v="15.68"/>
    <n v="2.4"/>
    <n v="20.16"/>
    <n v="25.6"/>
    <x v="1"/>
    <n v="0.28000000000000003"/>
    <n v="92"/>
    <n v="0"/>
    <x v="0"/>
    <n v="0"/>
    <s v="NO"/>
    <n v="0"/>
    <s v="NO"/>
    <n v="0"/>
    <s v="NO"/>
    <n v="0"/>
    <s v="NO"/>
    <n v="0"/>
    <x v="1"/>
    <n v="1"/>
    <s v="YES"/>
    <n v="110"/>
    <n v="80"/>
    <n v="0"/>
    <n v="1"/>
    <n v="15"/>
    <n v="9"/>
    <n v="14"/>
    <x v="0"/>
    <n v="1"/>
    <n v="24"/>
    <n v="106.66666666666667"/>
    <x v="0"/>
    <x v="0"/>
    <x v="1"/>
  </r>
  <r>
    <n v="130"/>
    <n v="130"/>
    <n v="0"/>
    <x v="0"/>
    <n v="40"/>
    <n v="40"/>
    <n v="145"/>
    <n v="11"/>
    <n v="72"/>
    <n v="18"/>
    <n v="10.199999999999999"/>
    <n v="2"/>
    <n v="5"/>
    <n v="4"/>
    <n v="0"/>
    <s v="NO"/>
    <n v="4"/>
    <n v="1.99"/>
    <x v="0"/>
    <n v="4.96"/>
    <n v="0.69"/>
    <n v="7.1884057971014501"/>
    <x v="0"/>
    <n v="38"/>
    <n v="31"/>
    <n v="0.82"/>
    <n v="1.86"/>
    <n v="0.3"/>
    <n v="45.56"/>
    <n v="36.1"/>
    <x v="1"/>
    <n v="0.35"/>
    <n v="92"/>
    <n v="0"/>
    <x v="0"/>
    <n v="1"/>
    <s v="YES"/>
    <n v="0"/>
    <s v="NO"/>
    <n v="0"/>
    <s v="NO"/>
    <n v="0"/>
    <s v="NO"/>
    <n v="0"/>
    <x v="1"/>
    <n v="0"/>
    <s v="NO"/>
    <n v="110"/>
    <n v="80"/>
    <n v="2"/>
    <n v="1"/>
    <n v="19"/>
    <n v="12"/>
    <n v="9.6999999999999993"/>
    <x v="0"/>
    <n v="3"/>
    <n v="31"/>
    <n v="107.33333333333333"/>
    <x v="0"/>
    <x v="2"/>
    <x v="0"/>
  </r>
  <r>
    <n v="131"/>
    <n v="131"/>
    <n v="1"/>
    <x v="1"/>
    <n v="24"/>
    <n v="89"/>
    <n v="173"/>
    <n v="17"/>
    <n v="72"/>
    <n v="18"/>
    <n v="11.2"/>
    <n v="4"/>
    <n v="2"/>
    <n v="4"/>
    <n v="0"/>
    <s v="NO"/>
    <n v="0"/>
    <n v="152.13"/>
    <x v="56"/>
    <n v="5.9"/>
    <n v="9.9"/>
    <n v="0.59595959595959602"/>
    <x v="1"/>
    <n v="44"/>
    <n v="38"/>
    <n v="0.86"/>
    <n v="1.73"/>
    <n v="11.48"/>
    <n v="42.43"/>
    <n v="13"/>
    <x v="0"/>
    <n v="0.6"/>
    <n v="91"/>
    <n v="1"/>
    <x v="1"/>
    <n v="0"/>
    <s v="NO"/>
    <n v="1"/>
    <s v="YES"/>
    <n v="0"/>
    <s v="NO"/>
    <n v="1"/>
    <s v="YES"/>
    <n v="1"/>
    <x v="0"/>
    <n v="1"/>
    <s v="YES"/>
    <n v="120"/>
    <n v="80"/>
    <n v="4"/>
    <n v="8"/>
    <n v="16"/>
    <n v="18"/>
    <n v="8"/>
    <x v="1"/>
    <n v="12"/>
    <n v="34"/>
    <n v="108"/>
    <x v="1"/>
    <x v="1"/>
    <x v="1"/>
  </r>
  <r>
    <n v="132"/>
    <n v="132"/>
    <n v="0"/>
    <x v="0"/>
    <n v="25"/>
    <n v="53.4"/>
    <n v="159"/>
    <n v="11"/>
    <n v="72"/>
    <n v="18"/>
    <n v="10.5"/>
    <n v="2"/>
    <n v="5"/>
    <n v="4"/>
    <n v="0"/>
    <s v="NO"/>
    <n v="0"/>
    <n v="1.99"/>
    <x v="0"/>
    <n v="6.54"/>
    <n v="10.75"/>
    <n v="0.60837209302325579"/>
    <x v="1"/>
    <n v="36"/>
    <n v="30"/>
    <n v="0.83"/>
    <n v="1.29"/>
    <n v="19.3"/>
    <n v="17.68"/>
    <n v="36.799999999999997"/>
    <x v="1"/>
    <n v="0.45"/>
    <n v="100"/>
    <n v="0"/>
    <x v="0"/>
    <n v="0"/>
    <s v="NO"/>
    <n v="0"/>
    <s v="NO"/>
    <n v="0"/>
    <s v="NO"/>
    <n v="1"/>
    <s v="YES"/>
    <n v="1"/>
    <x v="0"/>
    <n v="0"/>
    <s v="NO"/>
    <n v="110"/>
    <n v="70"/>
    <n v="3"/>
    <n v="7"/>
    <n v="15"/>
    <n v="14"/>
    <n v="11.5"/>
    <x v="0"/>
    <n v="10"/>
    <n v="29"/>
    <n v="94.333333333333329"/>
    <x v="1"/>
    <x v="2"/>
    <x v="0"/>
  </r>
  <r>
    <n v="133"/>
    <n v="133"/>
    <n v="1"/>
    <x v="1"/>
    <n v="22"/>
    <n v="60"/>
    <n v="154"/>
    <n v="15"/>
    <n v="70"/>
    <n v="18"/>
    <n v="12.7"/>
    <n v="2"/>
    <n v="5"/>
    <n v="4"/>
    <n v="0"/>
    <s v="NO"/>
    <n v="0"/>
    <n v="1.99"/>
    <x v="0"/>
    <n v="6.44"/>
    <n v="5.78"/>
    <n v="1.1141868512110726"/>
    <x v="1"/>
    <n v="45"/>
    <n v="34"/>
    <n v="0.76"/>
    <n v="2.96"/>
    <n v="8.8000000000000007"/>
    <n v="26.72"/>
    <n v="41.7"/>
    <x v="1"/>
    <n v="0.3"/>
    <n v="85"/>
    <n v="1"/>
    <x v="1"/>
    <n v="1"/>
    <s v="YES"/>
    <n v="1"/>
    <s v="YES"/>
    <n v="0"/>
    <s v="NO"/>
    <n v="0"/>
    <s v="NO"/>
    <n v="1"/>
    <x v="0"/>
    <n v="0"/>
    <s v="NO"/>
    <n v="110"/>
    <n v="80"/>
    <n v="3"/>
    <n v="3"/>
    <n v="16"/>
    <n v="17"/>
    <n v="9.6999999999999993"/>
    <x v="1"/>
    <n v="6"/>
    <n v="33"/>
    <n v="107.66666666666667"/>
    <x v="1"/>
    <x v="1"/>
    <x v="0"/>
  </r>
  <r>
    <n v="134"/>
    <n v="134"/>
    <n v="1"/>
    <x v="1"/>
    <n v="28"/>
    <n v="70"/>
    <n v="157"/>
    <n v="15"/>
    <n v="70"/>
    <n v="18"/>
    <n v="11"/>
    <n v="2"/>
    <n v="5"/>
    <n v="5"/>
    <n v="0"/>
    <s v="NO"/>
    <n v="1"/>
    <n v="342.16"/>
    <x v="0"/>
    <n v="3.41"/>
    <n v="3.58"/>
    <n v="0.95251396648044695"/>
    <x v="1"/>
    <n v="42"/>
    <n v="36"/>
    <n v="0.86"/>
    <n v="1.1299999999999999"/>
    <n v="19"/>
    <n v="21.7"/>
    <n v="18.8"/>
    <x v="0"/>
    <n v="0.56000000000000005"/>
    <n v="120"/>
    <n v="1"/>
    <x v="1"/>
    <n v="1"/>
    <s v="YES"/>
    <n v="1"/>
    <s v="YES"/>
    <n v="0"/>
    <s v="NO"/>
    <n v="0"/>
    <s v="NO"/>
    <n v="1"/>
    <x v="0"/>
    <n v="1"/>
    <s v="YES"/>
    <n v="110"/>
    <n v="80"/>
    <n v="12"/>
    <n v="9"/>
    <n v="19"/>
    <n v="18"/>
    <n v="12"/>
    <x v="1"/>
    <n v="21"/>
    <n v="37"/>
    <n v="110.66666666666667"/>
    <x v="1"/>
    <x v="1"/>
    <x v="1"/>
  </r>
  <r>
    <n v="135"/>
    <n v="135"/>
    <n v="0"/>
    <x v="0"/>
    <n v="35"/>
    <n v="68"/>
    <n v="154"/>
    <n v="15"/>
    <n v="72"/>
    <n v="18"/>
    <n v="12"/>
    <n v="2"/>
    <n v="5"/>
    <n v="10"/>
    <n v="0"/>
    <s v="NO"/>
    <n v="0"/>
    <n v="3.05"/>
    <x v="57"/>
    <n v="4.83"/>
    <n v="1.1499999999999999"/>
    <n v="4.2"/>
    <x v="0"/>
    <n v="38"/>
    <n v="30"/>
    <n v="0.79"/>
    <n v="2.2599999999999998"/>
    <n v="4.3"/>
    <n v="14.79"/>
    <n v="19.2"/>
    <x v="0"/>
    <n v="0.41"/>
    <n v="85"/>
    <n v="0"/>
    <x v="0"/>
    <n v="0"/>
    <s v="NO"/>
    <n v="0"/>
    <s v="NO"/>
    <n v="0"/>
    <s v="NO"/>
    <n v="1"/>
    <s v="YES"/>
    <n v="0"/>
    <x v="1"/>
    <n v="0"/>
    <s v="NO"/>
    <n v="120"/>
    <n v="80"/>
    <n v="3"/>
    <n v="4"/>
    <n v="18"/>
    <n v="17"/>
    <n v="9"/>
    <x v="1"/>
    <n v="7"/>
    <n v="35"/>
    <n v="107.66666666666667"/>
    <x v="0"/>
    <x v="2"/>
    <x v="0"/>
  </r>
  <r>
    <n v="136"/>
    <n v="136"/>
    <n v="0"/>
    <x v="0"/>
    <n v="30"/>
    <n v="71"/>
    <n v="160"/>
    <n v="15"/>
    <n v="72"/>
    <n v="18"/>
    <n v="12"/>
    <n v="2"/>
    <n v="5"/>
    <n v="10"/>
    <n v="0"/>
    <s v="NO"/>
    <n v="2"/>
    <n v="1.99"/>
    <x v="0"/>
    <n v="6.02"/>
    <n v="3.4"/>
    <n v="1.7705882352941176"/>
    <x v="1"/>
    <n v="39"/>
    <n v="31"/>
    <n v="0.79"/>
    <n v="1.33"/>
    <n v="1.4"/>
    <n v="13.87"/>
    <n v="26.87"/>
    <x v="1"/>
    <n v="0.72"/>
    <n v="100"/>
    <n v="0"/>
    <x v="0"/>
    <n v="0"/>
    <s v="NO"/>
    <n v="1"/>
    <s v="YES"/>
    <n v="0"/>
    <s v="NO"/>
    <n v="0"/>
    <s v="NO"/>
    <n v="0"/>
    <x v="1"/>
    <n v="0"/>
    <s v="NO"/>
    <n v="120"/>
    <n v="80"/>
    <n v="4"/>
    <n v="7"/>
    <n v="15"/>
    <n v="17"/>
    <n v="11"/>
    <x v="1"/>
    <n v="11"/>
    <n v="32"/>
    <n v="108"/>
    <x v="1"/>
    <x v="2"/>
    <x v="0"/>
  </r>
  <r>
    <n v="137"/>
    <n v="137"/>
    <n v="0"/>
    <x v="0"/>
    <n v="26"/>
    <n v="60"/>
    <n v="153"/>
    <n v="13"/>
    <n v="78"/>
    <n v="22"/>
    <n v="11.5"/>
    <n v="2"/>
    <n v="5"/>
    <n v="4"/>
    <n v="0"/>
    <s v="NO"/>
    <n v="0"/>
    <n v="201.36"/>
    <x v="58"/>
    <n v="3.59"/>
    <n v="2.54"/>
    <n v="1.4133858267716535"/>
    <x v="1"/>
    <n v="37"/>
    <n v="30"/>
    <n v="0.81"/>
    <n v="0.25"/>
    <n v="12.6"/>
    <n v="8.1199999999999992"/>
    <n v="26.6"/>
    <x v="1"/>
    <n v="0.57999999999999996"/>
    <n v="123"/>
    <n v="1"/>
    <x v="1"/>
    <n v="0"/>
    <s v="NO"/>
    <n v="0"/>
    <s v="NO"/>
    <n v="1"/>
    <s v="YES"/>
    <n v="0"/>
    <s v="NO"/>
    <n v="0"/>
    <x v="1"/>
    <n v="1"/>
    <s v="YES"/>
    <n v="110"/>
    <n v="80"/>
    <n v="4"/>
    <n v="4"/>
    <n v="14"/>
    <n v="13"/>
    <n v="11"/>
    <x v="1"/>
    <n v="8"/>
    <n v="27"/>
    <n v="108"/>
    <x v="0"/>
    <x v="2"/>
    <x v="1"/>
  </r>
  <r>
    <n v="138"/>
    <n v="138"/>
    <n v="0"/>
    <x v="0"/>
    <n v="35"/>
    <n v="40"/>
    <n v="144"/>
    <n v="17"/>
    <n v="72"/>
    <n v="18"/>
    <n v="10.8"/>
    <n v="2"/>
    <n v="5"/>
    <n v="4"/>
    <n v="0"/>
    <s v="NO"/>
    <n v="0"/>
    <n v="1.99"/>
    <x v="0"/>
    <n v="3.08"/>
    <n v="1.28"/>
    <n v="2.40625"/>
    <x v="0"/>
    <n v="39"/>
    <n v="33"/>
    <n v="0.85"/>
    <n v="1.51"/>
    <n v="4.8"/>
    <n v="55.47"/>
    <n v="30.9"/>
    <x v="1"/>
    <n v="0.53"/>
    <n v="100"/>
    <n v="0"/>
    <x v="0"/>
    <n v="1"/>
    <s v="YES"/>
    <n v="0"/>
    <s v="NO"/>
    <n v="0"/>
    <s v="NO"/>
    <n v="0"/>
    <s v="NO"/>
    <n v="0"/>
    <x v="1"/>
    <n v="0"/>
    <s v="NO"/>
    <n v="100"/>
    <n v="70"/>
    <n v="6"/>
    <n v="4"/>
    <n v="17"/>
    <n v="18"/>
    <n v="10.7"/>
    <x v="0"/>
    <n v="10"/>
    <n v="35"/>
    <n v="95.333333333333329"/>
    <x v="1"/>
    <x v="2"/>
    <x v="0"/>
  </r>
  <r>
    <n v="139"/>
    <n v="139"/>
    <n v="0"/>
    <x v="0"/>
    <n v="27"/>
    <n v="59"/>
    <n v="160"/>
    <n v="15"/>
    <n v="70"/>
    <n v="18"/>
    <n v="10.8"/>
    <n v="2"/>
    <n v="5"/>
    <n v="5"/>
    <n v="1"/>
    <s v="YES"/>
    <n v="0"/>
    <n v="21977.29"/>
    <x v="59"/>
    <n v="3.14"/>
    <n v="0.09"/>
    <n v="34.888888888888893"/>
    <x v="0"/>
    <n v="40"/>
    <n v="34"/>
    <n v="0.85"/>
    <n v="0.04"/>
    <n v="4.5999999999999996"/>
    <n v="19.989999999999998"/>
    <n v="47"/>
    <x v="1"/>
    <n v="0.53"/>
    <n v="84"/>
    <n v="0"/>
    <x v="0"/>
    <n v="0"/>
    <s v="NO"/>
    <n v="0"/>
    <s v="NO"/>
    <n v="1"/>
    <s v="YES"/>
    <n v="1"/>
    <s v="YES"/>
    <n v="0"/>
    <x v="1"/>
    <n v="0"/>
    <s v="NO"/>
    <n v="110"/>
    <n v="70"/>
    <n v="8"/>
    <n v="5"/>
    <n v="18"/>
    <n v="15"/>
    <n v="9"/>
    <x v="0"/>
    <n v="13"/>
    <n v="33"/>
    <n v="96"/>
    <x v="1"/>
    <x v="1"/>
    <x v="0"/>
  </r>
  <r>
    <n v="140"/>
    <n v="140"/>
    <n v="0"/>
    <x v="0"/>
    <n v="35"/>
    <n v="65"/>
    <n v="154"/>
    <n v="15"/>
    <n v="72"/>
    <n v="18"/>
    <n v="10.7"/>
    <n v="2"/>
    <n v="5"/>
    <n v="5"/>
    <n v="0"/>
    <s v="NO"/>
    <n v="0"/>
    <n v="1.99"/>
    <x v="0"/>
    <n v="2.36"/>
    <n v="1.1599999999999999"/>
    <n v="2.0344827586206895"/>
    <x v="0"/>
    <n v="38"/>
    <n v="30"/>
    <n v="0.79"/>
    <n v="3.85"/>
    <n v="17.100000000000001"/>
    <n v="6.6"/>
    <n v="25.8"/>
    <x v="1"/>
    <n v="0.44"/>
    <n v="120"/>
    <n v="0"/>
    <x v="0"/>
    <n v="0"/>
    <s v="NO"/>
    <n v="0"/>
    <s v="NO"/>
    <n v="0"/>
    <s v="NO"/>
    <n v="0"/>
    <s v="NO"/>
    <n v="0"/>
    <x v="1"/>
    <n v="0"/>
    <s v="NO"/>
    <n v="120"/>
    <n v="70"/>
    <n v="5"/>
    <n v="7"/>
    <n v="15"/>
    <n v="13"/>
    <n v="8.5"/>
    <x v="1"/>
    <n v="12"/>
    <n v="28"/>
    <n v="95"/>
    <x v="1"/>
    <x v="0"/>
    <x v="0"/>
  </r>
  <r>
    <n v="141"/>
    <n v="141"/>
    <n v="0"/>
    <x v="0"/>
    <n v="36"/>
    <n v="51"/>
    <n v="150"/>
    <n v="13"/>
    <n v="72"/>
    <n v="18"/>
    <n v="10.199999999999999"/>
    <n v="2"/>
    <n v="5"/>
    <n v="8"/>
    <n v="0"/>
    <s v="NO"/>
    <n v="0"/>
    <n v="3.41"/>
    <x v="60"/>
    <n v="7.92"/>
    <n v="1.03"/>
    <n v="7.6893203883495147"/>
    <x v="0"/>
    <n v="37"/>
    <n v="30"/>
    <n v="0.81"/>
    <n v="4.04"/>
    <n v="2.1"/>
    <n v="27.85"/>
    <n v="26.5"/>
    <x v="1"/>
    <n v="0.5"/>
    <n v="92"/>
    <n v="1"/>
    <x v="1"/>
    <n v="0"/>
    <s v="NO"/>
    <n v="1"/>
    <s v="YES"/>
    <n v="0"/>
    <s v="NO"/>
    <n v="0"/>
    <s v="NO"/>
    <n v="0"/>
    <x v="1"/>
    <n v="1"/>
    <s v="YES"/>
    <n v="110"/>
    <n v="80"/>
    <n v="3"/>
    <n v="2"/>
    <n v="9"/>
    <n v="18"/>
    <n v="9"/>
    <x v="0"/>
    <n v="5"/>
    <n v="27"/>
    <n v="107.66666666666667"/>
    <x v="1"/>
    <x v="2"/>
    <x v="0"/>
  </r>
  <r>
    <n v="142"/>
    <n v="142"/>
    <n v="1"/>
    <x v="1"/>
    <n v="28"/>
    <n v="57"/>
    <n v="158"/>
    <n v="15"/>
    <n v="74"/>
    <n v="22"/>
    <n v="10.8"/>
    <n v="2"/>
    <n v="5"/>
    <n v="5"/>
    <n v="0"/>
    <s v="NO"/>
    <n v="0"/>
    <n v="1.99"/>
    <x v="0"/>
    <n v="2.81"/>
    <n v="3.27"/>
    <n v="0.85932721712538229"/>
    <x v="1"/>
    <n v="42"/>
    <n v="33"/>
    <n v="0.79"/>
    <n v="5"/>
    <n v="11.6"/>
    <n v="16.98"/>
    <n v="19.899999999999999"/>
    <x v="0"/>
    <n v="0.25"/>
    <n v="92"/>
    <n v="1"/>
    <x v="1"/>
    <n v="0"/>
    <s v="NO"/>
    <n v="1"/>
    <s v="YES"/>
    <n v="0"/>
    <s v="NO"/>
    <n v="1"/>
    <s v="YES"/>
    <n v="1"/>
    <x v="0"/>
    <n v="1"/>
    <s v="YES"/>
    <n v="110"/>
    <n v="70"/>
    <n v="13"/>
    <n v="12"/>
    <n v="16"/>
    <n v="18"/>
    <n v="11"/>
    <x v="0"/>
    <n v="25"/>
    <n v="34"/>
    <n v="97.666666666666671"/>
    <x v="1"/>
    <x v="1"/>
    <x v="0"/>
  </r>
  <r>
    <n v="143"/>
    <n v="143"/>
    <n v="1"/>
    <x v="1"/>
    <n v="30"/>
    <n v="69"/>
    <n v="158"/>
    <n v="13"/>
    <n v="72"/>
    <n v="18"/>
    <n v="10.4"/>
    <n v="4"/>
    <n v="11"/>
    <n v="14"/>
    <n v="0"/>
    <s v="NO"/>
    <n v="0"/>
    <n v="1.99"/>
    <x v="0"/>
    <n v="6.4"/>
    <n v="3.27"/>
    <n v="1.9571865443425078"/>
    <x v="1"/>
    <n v="42"/>
    <n v="32"/>
    <n v="0.76"/>
    <n v="4.18"/>
    <n v="18.399999999999999"/>
    <n v="23.17"/>
    <n v="41.8"/>
    <x v="1"/>
    <n v="0.46"/>
    <n v="100"/>
    <n v="1"/>
    <x v="1"/>
    <n v="1"/>
    <s v="YES"/>
    <n v="0"/>
    <s v="NO"/>
    <n v="1"/>
    <s v="YES"/>
    <n v="1"/>
    <s v="YES"/>
    <n v="1"/>
    <x v="0"/>
    <n v="1"/>
    <s v="YES"/>
    <n v="110"/>
    <n v="70"/>
    <n v="6"/>
    <n v="7"/>
    <n v="18.5"/>
    <n v="16"/>
    <n v="8"/>
    <x v="1"/>
    <n v="13"/>
    <n v="34.5"/>
    <n v="95.333333333333329"/>
    <x v="1"/>
    <x v="4"/>
    <x v="0"/>
  </r>
  <r>
    <n v="144"/>
    <n v="144"/>
    <n v="0"/>
    <x v="0"/>
    <n v="32"/>
    <n v="45"/>
    <n v="150"/>
    <n v="15"/>
    <n v="70"/>
    <n v="18"/>
    <n v="10.8"/>
    <n v="2"/>
    <n v="5"/>
    <n v="7"/>
    <n v="0"/>
    <s v="NO"/>
    <n v="0"/>
    <n v="1.99"/>
    <x v="0"/>
    <n v="11.12"/>
    <n v="4.22"/>
    <n v="2.6350710900473935"/>
    <x v="0"/>
    <n v="38"/>
    <n v="31"/>
    <n v="0.82"/>
    <n v="0.9"/>
    <n v="1.8"/>
    <n v="3.81"/>
    <n v="27.9"/>
    <x v="1"/>
    <n v="0.25"/>
    <n v="110"/>
    <n v="0"/>
    <x v="0"/>
    <n v="0"/>
    <s v="NO"/>
    <n v="0"/>
    <s v="NO"/>
    <n v="0"/>
    <s v="NO"/>
    <n v="0"/>
    <s v="NO"/>
    <n v="1"/>
    <x v="0"/>
    <n v="1"/>
    <s v="YES"/>
    <n v="110"/>
    <n v="80"/>
    <n v="0"/>
    <n v="5"/>
    <n v="0"/>
    <n v="19"/>
    <n v="7"/>
    <x v="0"/>
    <n v="5"/>
    <n v="19"/>
    <n v="106.66666666666667"/>
    <x v="0"/>
    <x v="0"/>
    <x v="0"/>
  </r>
  <r>
    <n v="145"/>
    <n v="145"/>
    <n v="0"/>
    <x v="0"/>
    <n v="37"/>
    <n v="68"/>
    <n v="153"/>
    <n v="15"/>
    <n v="80"/>
    <n v="22"/>
    <n v="11.2"/>
    <n v="2"/>
    <n v="5"/>
    <n v="14"/>
    <n v="0"/>
    <s v="NO"/>
    <n v="0"/>
    <n v="1.99"/>
    <x v="0"/>
    <n v="4.1900000000000004"/>
    <n v="1.49"/>
    <n v="2.8120805369127519"/>
    <x v="0"/>
    <n v="37"/>
    <n v="30"/>
    <n v="0.81"/>
    <n v="1.4"/>
    <n v="9.9"/>
    <n v="10.01"/>
    <n v="23.5"/>
    <x v="1"/>
    <n v="0.57999999999999996"/>
    <n v="130"/>
    <n v="0"/>
    <x v="0"/>
    <n v="0"/>
    <s v="NO"/>
    <n v="0"/>
    <s v="NO"/>
    <n v="1"/>
    <s v="YES"/>
    <n v="0"/>
    <s v="NO"/>
    <n v="1"/>
    <x v="0"/>
    <n v="1"/>
    <s v="YES"/>
    <n v="120"/>
    <n v="80"/>
    <n v="3"/>
    <n v="3"/>
    <n v="21"/>
    <n v="18"/>
    <n v="9.3000000000000007"/>
    <x v="1"/>
    <n v="6"/>
    <n v="39"/>
    <n v="107.66666666666667"/>
    <x v="0"/>
    <x v="2"/>
    <x v="0"/>
  </r>
  <r>
    <n v="146"/>
    <n v="146"/>
    <n v="0"/>
    <x v="0"/>
    <n v="35"/>
    <n v="68"/>
    <n v="160"/>
    <n v="15"/>
    <n v="74"/>
    <n v="18"/>
    <n v="11.1"/>
    <n v="2"/>
    <n v="5"/>
    <n v="4"/>
    <n v="0"/>
    <s v="NO"/>
    <n v="0"/>
    <n v="1.99"/>
    <x v="0"/>
    <n v="7.42"/>
    <n v="2.1"/>
    <n v="3.5333333333333332"/>
    <x v="0"/>
    <n v="39"/>
    <n v="32"/>
    <n v="0.82"/>
    <n v="1.62"/>
    <n v="3.7"/>
    <n v="18.600000000000001"/>
    <n v="20.100000000000001"/>
    <x v="1"/>
    <n v="0.7"/>
    <n v="108"/>
    <n v="0"/>
    <x v="0"/>
    <n v="0"/>
    <s v="NO"/>
    <n v="0"/>
    <s v="NO"/>
    <n v="0"/>
    <s v="NO"/>
    <n v="0"/>
    <s v="NO"/>
    <n v="0"/>
    <x v="1"/>
    <n v="0"/>
    <s v="NO"/>
    <n v="120"/>
    <n v="70"/>
    <n v="9"/>
    <n v="10"/>
    <n v="17"/>
    <n v="18"/>
    <n v="7.5"/>
    <x v="1"/>
    <n v="19"/>
    <n v="35"/>
    <n v="96.333333333333329"/>
    <x v="1"/>
    <x v="0"/>
    <x v="0"/>
  </r>
  <r>
    <n v="147"/>
    <n v="147"/>
    <n v="0"/>
    <x v="0"/>
    <n v="36"/>
    <n v="85"/>
    <n v="164"/>
    <n v="13"/>
    <n v="72"/>
    <n v="18"/>
    <n v="10.199999999999999"/>
    <n v="2"/>
    <n v="5"/>
    <n v="12"/>
    <n v="0"/>
    <s v="NO"/>
    <n v="1"/>
    <n v="1.99"/>
    <x v="0"/>
    <n v="6.28"/>
    <n v="1.28"/>
    <n v="4.90625"/>
    <x v="0"/>
    <n v="40"/>
    <n v="33"/>
    <n v="0.83"/>
    <n v="3.26"/>
    <n v="2.9"/>
    <n v="12.28"/>
    <n v="10.1"/>
    <x v="0"/>
    <n v="0.32"/>
    <n v="160"/>
    <n v="0"/>
    <x v="0"/>
    <n v="0"/>
    <s v="NO"/>
    <n v="0"/>
    <s v="NO"/>
    <n v="1"/>
    <s v="YES"/>
    <n v="0"/>
    <s v="NO"/>
    <n v="0"/>
    <x v="1"/>
    <n v="0"/>
    <s v="NO"/>
    <n v="120"/>
    <n v="70"/>
    <n v="0"/>
    <n v="4"/>
    <n v="0"/>
    <n v="18"/>
    <n v="10.7"/>
    <x v="3"/>
    <n v="4"/>
    <n v="18"/>
    <n v="93.333333333333329"/>
    <x v="0"/>
    <x v="2"/>
    <x v="0"/>
  </r>
  <r>
    <n v="148"/>
    <n v="148"/>
    <n v="0"/>
    <x v="0"/>
    <n v="28"/>
    <n v="72"/>
    <n v="160"/>
    <n v="17"/>
    <n v="70"/>
    <n v="18"/>
    <n v="10"/>
    <n v="2"/>
    <n v="5"/>
    <n v="3"/>
    <n v="0"/>
    <s v="NO"/>
    <n v="0"/>
    <n v="1.99"/>
    <x v="0"/>
    <n v="8.9600000000000009"/>
    <n v="0.75"/>
    <n v="11.946666666666667"/>
    <x v="0"/>
    <n v="38"/>
    <n v="32"/>
    <n v="0.84"/>
    <n v="1.04"/>
    <n v="2"/>
    <n v="24.51"/>
    <n v="20"/>
    <x v="1"/>
    <n v="0.6"/>
    <n v="92"/>
    <n v="0"/>
    <x v="0"/>
    <n v="1"/>
    <s v="YES"/>
    <n v="1"/>
    <s v="YES"/>
    <n v="1"/>
    <s v="YES"/>
    <n v="0"/>
    <s v="NO"/>
    <n v="0"/>
    <x v="1"/>
    <n v="0"/>
    <s v="NO"/>
    <n v="110"/>
    <n v="80"/>
    <n v="3"/>
    <n v="3"/>
    <n v="17"/>
    <n v="18"/>
    <n v="8"/>
    <x v="1"/>
    <n v="6"/>
    <n v="35"/>
    <n v="107.66666666666667"/>
    <x v="1"/>
    <x v="4"/>
    <x v="0"/>
  </r>
  <r>
    <n v="149"/>
    <n v="149"/>
    <n v="1"/>
    <x v="1"/>
    <n v="23"/>
    <n v="53"/>
    <n v="152"/>
    <n v="11"/>
    <n v="72"/>
    <n v="18"/>
    <n v="11"/>
    <n v="4"/>
    <n v="2"/>
    <n v="3.5"/>
    <n v="0"/>
    <s v="NO"/>
    <n v="0"/>
    <n v="1.99"/>
    <x v="0"/>
    <n v="6.23"/>
    <n v="3.25"/>
    <n v="1.916923076923077"/>
    <x v="1"/>
    <n v="45"/>
    <n v="40"/>
    <n v="0.89"/>
    <n v="0.05"/>
    <n v="4"/>
    <n v="28.17"/>
    <n v="24.9"/>
    <x v="1"/>
    <n v="0.38"/>
    <n v="92"/>
    <n v="1"/>
    <x v="1"/>
    <n v="1"/>
    <s v="YES"/>
    <n v="0"/>
    <s v="NO"/>
    <n v="1"/>
    <s v="YES"/>
    <n v="0"/>
    <s v="NO"/>
    <n v="1"/>
    <x v="0"/>
    <n v="1"/>
    <s v="YES"/>
    <n v="110"/>
    <n v="80"/>
    <n v="4"/>
    <n v="12"/>
    <n v="18"/>
    <n v="16"/>
    <n v="10"/>
    <x v="0"/>
    <n v="16"/>
    <n v="34"/>
    <n v="108"/>
    <x v="2"/>
    <x v="1"/>
    <x v="0"/>
  </r>
  <r>
    <n v="150"/>
    <n v="150"/>
    <n v="0"/>
    <x v="0"/>
    <n v="24"/>
    <n v="52"/>
    <n v="152"/>
    <n v="11"/>
    <n v="80"/>
    <n v="20"/>
    <n v="11"/>
    <n v="2"/>
    <n v="5"/>
    <n v="4"/>
    <n v="0"/>
    <s v="NO"/>
    <n v="0"/>
    <n v="1.99"/>
    <x v="0"/>
    <n v="5.45"/>
    <n v="3.01"/>
    <n v="1.8106312292358806"/>
    <x v="1"/>
    <n v="39"/>
    <n v="32"/>
    <n v="0.82"/>
    <n v="3.46"/>
    <n v="1.6"/>
    <n v="77.319999999999993"/>
    <n v="19.5"/>
    <x v="0"/>
    <n v="0.38"/>
    <n v="92"/>
    <n v="0"/>
    <x v="0"/>
    <n v="0"/>
    <s v="NO"/>
    <n v="0"/>
    <s v="NO"/>
    <n v="1"/>
    <s v="YES"/>
    <n v="0"/>
    <s v="NO"/>
    <n v="0"/>
    <x v="1"/>
    <n v="0"/>
    <s v="NO"/>
    <n v="110"/>
    <n v="70"/>
    <n v="6"/>
    <n v="2"/>
    <n v="19"/>
    <n v="19"/>
    <n v="7.1"/>
    <x v="0"/>
    <n v="8"/>
    <n v="38"/>
    <n v="95.333333333333329"/>
    <x v="0"/>
    <x v="2"/>
    <x v="0"/>
  </r>
  <r>
    <n v="151"/>
    <n v="151"/>
    <n v="1"/>
    <x v="1"/>
    <n v="28"/>
    <n v="63"/>
    <n v="162"/>
    <n v="15"/>
    <n v="78"/>
    <n v="18"/>
    <n v="10.8"/>
    <n v="4"/>
    <n v="2"/>
    <n v="5"/>
    <n v="0"/>
    <s v="NO"/>
    <n v="0"/>
    <n v="232.71"/>
    <x v="61"/>
    <n v="4.21"/>
    <n v="9.5"/>
    <n v="0.44315789473684208"/>
    <x v="1"/>
    <n v="44"/>
    <n v="38"/>
    <n v="0.86"/>
    <n v="0.65"/>
    <n v="15.9"/>
    <n v="17.28"/>
    <n v="23.8"/>
    <x v="1"/>
    <n v="0.98"/>
    <n v="110"/>
    <n v="1"/>
    <x v="1"/>
    <n v="1"/>
    <s v="YES"/>
    <n v="0"/>
    <s v="NO"/>
    <n v="1"/>
    <s v="YES"/>
    <n v="0"/>
    <s v="NO"/>
    <n v="1"/>
    <x v="0"/>
    <n v="1"/>
    <s v="YES"/>
    <n v="110"/>
    <n v="80"/>
    <n v="4"/>
    <n v="9"/>
    <n v="15"/>
    <n v="18"/>
    <n v="10"/>
    <x v="0"/>
    <n v="13"/>
    <n v="33"/>
    <n v="108"/>
    <x v="1"/>
    <x v="1"/>
    <x v="1"/>
  </r>
  <r>
    <n v="152"/>
    <n v="152"/>
    <n v="1"/>
    <x v="1"/>
    <n v="29"/>
    <n v="56.4"/>
    <n v="150"/>
    <n v="13"/>
    <n v="76"/>
    <n v="22"/>
    <n v="10.5"/>
    <n v="4"/>
    <n v="4"/>
    <n v="6"/>
    <n v="0"/>
    <s v="NO"/>
    <n v="0"/>
    <n v="1.99"/>
    <x v="0"/>
    <n v="2.91"/>
    <n v="0.4"/>
    <n v="7.2750000000000004"/>
    <x v="0"/>
    <n v="44"/>
    <n v="35"/>
    <n v="0.8"/>
    <n v="1.64"/>
    <n v="7.51"/>
    <n v="10.6"/>
    <n v="31.2"/>
    <x v="1"/>
    <n v="0.39"/>
    <n v="108"/>
    <n v="1"/>
    <x v="1"/>
    <n v="1"/>
    <s v="YES"/>
    <n v="0"/>
    <s v="NO"/>
    <n v="1"/>
    <s v="YES"/>
    <n v="0"/>
    <s v="NO"/>
    <n v="1"/>
    <x v="0"/>
    <n v="0"/>
    <s v="NO"/>
    <n v="110"/>
    <n v="80"/>
    <n v="12"/>
    <n v="14"/>
    <n v="14"/>
    <n v="18"/>
    <n v="8"/>
    <x v="1"/>
    <n v="26"/>
    <n v="32"/>
    <n v="110.66666666666667"/>
    <x v="2"/>
    <x v="1"/>
    <x v="0"/>
  </r>
  <r>
    <n v="153"/>
    <n v="153"/>
    <n v="1"/>
    <x v="1"/>
    <n v="31"/>
    <n v="60"/>
    <n v="156"/>
    <n v="13"/>
    <n v="72"/>
    <n v="18"/>
    <n v="11.9"/>
    <n v="4"/>
    <n v="5"/>
    <n v="10"/>
    <n v="0"/>
    <s v="NO"/>
    <n v="1"/>
    <n v="1.99"/>
    <x v="0"/>
    <n v="2.68"/>
    <n v="0.65"/>
    <n v="4.1230769230769235"/>
    <x v="0"/>
    <n v="46"/>
    <n v="36"/>
    <n v="0.78"/>
    <n v="1"/>
    <n v="10.039999999999999"/>
    <n v="13.01"/>
    <n v="41.89"/>
    <x v="1"/>
    <n v="0.24"/>
    <n v="100"/>
    <n v="1"/>
    <x v="1"/>
    <n v="1"/>
    <s v="YES"/>
    <n v="1"/>
    <s v="YES"/>
    <n v="1"/>
    <s v="YES"/>
    <n v="1"/>
    <s v="YES"/>
    <n v="1"/>
    <x v="0"/>
    <n v="0"/>
    <s v="NO"/>
    <n v="110"/>
    <n v="80"/>
    <n v="7"/>
    <n v="5"/>
    <n v="15"/>
    <n v="16"/>
    <n v="8.5"/>
    <x v="0"/>
    <n v="12"/>
    <n v="31"/>
    <n v="109"/>
    <x v="1"/>
    <x v="3"/>
    <x v="0"/>
  </r>
  <r>
    <n v="154"/>
    <n v="154"/>
    <n v="1"/>
    <x v="1"/>
    <n v="29"/>
    <n v="52"/>
    <n v="147"/>
    <n v="11"/>
    <n v="74"/>
    <n v="18"/>
    <n v="11.5"/>
    <n v="4"/>
    <n v="4"/>
    <n v="8"/>
    <n v="0"/>
    <s v="NO"/>
    <n v="0"/>
    <n v="1.99"/>
    <x v="0"/>
    <n v="6.65"/>
    <n v="12.95"/>
    <n v="0.5135135135135136"/>
    <x v="1"/>
    <n v="40"/>
    <n v="35"/>
    <n v="0.88"/>
    <n v="1.89"/>
    <n v="6.86"/>
    <n v="27.58"/>
    <n v="21.22"/>
    <x v="1"/>
    <n v="0.44"/>
    <n v="116"/>
    <n v="1"/>
    <x v="1"/>
    <n v="0"/>
    <s v="NO"/>
    <n v="0"/>
    <s v="NO"/>
    <n v="1"/>
    <s v="YES"/>
    <n v="0"/>
    <s v="NO"/>
    <n v="0"/>
    <x v="1"/>
    <n v="0"/>
    <s v="NO"/>
    <n v="110"/>
    <n v="80"/>
    <n v="3"/>
    <n v="5"/>
    <n v="16"/>
    <n v="19"/>
    <n v="8"/>
    <x v="0"/>
    <n v="8"/>
    <n v="35"/>
    <n v="107.66666666666667"/>
    <x v="0"/>
    <x v="2"/>
    <x v="0"/>
  </r>
  <r>
    <n v="155"/>
    <n v="155"/>
    <n v="0"/>
    <x v="0"/>
    <n v="26"/>
    <n v="40"/>
    <n v="152.4"/>
    <n v="11"/>
    <n v="72"/>
    <n v="20"/>
    <n v="10.8"/>
    <n v="2"/>
    <n v="5"/>
    <n v="3"/>
    <n v="1"/>
    <s v="YES"/>
    <n v="0"/>
    <n v="60.8"/>
    <x v="62"/>
    <n v="6.56"/>
    <n v="5.22"/>
    <n v="1.2567049808429118"/>
    <x v="1"/>
    <n v="38"/>
    <n v="32"/>
    <n v="0.84"/>
    <n v="1.66"/>
    <n v="7.02"/>
    <n v="23.69"/>
    <n v="14.5"/>
    <x v="0"/>
    <n v="0.25"/>
    <n v="100"/>
    <n v="0"/>
    <x v="0"/>
    <n v="0"/>
    <s v="NO"/>
    <n v="0"/>
    <s v="NO"/>
    <n v="1"/>
    <s v="YES"/>
    <n v="0"/>
    <s v="NO"/>
    <n v="0"/>
    <x v="1"/>
    <n v="0"/>
    <s v="NO"/>
    <n v="120"/>
    <n v="80"/>
    <n v="6"/>
    <n v="5"/>
    <n v="12"/>
    <n v="14"/>
    <n v="14"/>
    <x v="2"/>
    <n v="11"/>
    <n v="26"/>
    <n v="108.66666666666667"/>
    <x v="1"/>
    <x v="2"/>
    <x v="0"/>
  </r>
  <r>
    <n v="156"/>
    <n v="156"/>
    <n v="0"/>
    <x v="0"/>
    <n v="26"/>
    <n v="49.3"/>
    <n v="158"/>
    <n v="15"/>
    <n v="76"/>
    <n v="18"/>
    <n v="12.5"/>
    <n v="4"/>
    <n v="4"/>
    <n v="4"/>
    <n v="0"/>
    <s v="NO"/>
    <n v="0"/>
    <n v="1.99"/>
    <x v="0"/>
    <n v="5.09"/>
    <n v="3.13"/>
    <n v="1.6261980830670926"/>
    <x v="1"/>
    <n v="45"/>
    <n v="35"/>
    <n v="0.78"/>
    <n v="2.56"/>
    <n v="8.75"/>
    <n v="44.27"/>
    <n v="9.6"/>
    <x v="0"/>
    <n v="0.25"/>
    <n v="73"/>
    <n v="0"/>
    <x v="0"/>
    <n v="1"/>
    <s v="YES"/>
    <n v="0"/>
    <s v="NO"/>
    <n v="0"/>
    <s v="NO"/>
    <n v="0"/>
    <s v="NO"/>
    <n v="0"/>
    <x v="1"/>
    <n v="0"/>
    <s v="NO"/>
    <n v="120"/>
    <n v="80"/>
    <n v="7"/>
    <n v="7"/>
    <n v="14"/>
    <n v="16"/>
    <n v="7.5"/>
    <x v="0"/>
    <n v="14"/>
    <n v="30"/>
    <n v="109"/>
    <x v="1"/>
    <x v="2"/>
    <x v="0"/>
  </r>
  <r>
    <n v="157"/>
    <n v="157"/>
    <n v="0"/>
    <x v="0"/>
    <n v="27"/>
    <n v="53.2"/>
    <n v="158"/>
    <n v="13"/>
    <n v="72"/>
    <n v="22"/>
    <n v="10.5"/>
    <n v="4"/>
    <n v="4"/>
    <n v="5"/>
    <n v="0"/>
    <s v="NO"/>
    <n v="0"/>
    <n v="1.99"/>
    <x v="0"/>
    <n v="3.09"/>
    <n v="0.59"/>
    <n v="5.2372881355932206"/>
    <x v="0"/>
    <n v="37"/>
    <n v="32"/>
    <n v="0.86"/>
    <n v="2.0299999999999998"/>
    <n v="5.27"/>
    <n v="7.16"/>
    <n v="25.3"/>
    <x v="1"/>
    <n v="0.36"/>
    <n v="91"/>
    <n v="0"/>
    <x v="0"/>
    <n v="0"/>
    <s v="NO"/>
    <n v="1"/>
    <s v="YES"/>
    <n v="1"/>
    <s v="YES"/>
    <n v="0"/>
    <s v="NO"/>
    <m/>
    <x v="1"/>
    <n v="1"/>
    <s v="YES"/>
    <n v="120"/>
    <n v="70"/>
    <n v="5"/>
    <n v="7"/>
    <n v="11"/>
    <n v="13"/>
    <n v="11"/>
    <x v="0"/>
    <n v="12"/>
    <n v="24"/>
    <n v="95"/>
    <x v="1"/>
    <x v="1"/>
    <x v="0"/>
  </r>
  <r>
    <n v="158"/>
    <n v="158"/>
    <n v="0"/>
    <x v="0"/>
    <n v="34"/>
    <n v="64"/>
    <n v="158"/>
    <n v="15"/>
    <n v="73"/>
    <n v="20"/>
    <n v="11.8"/>
    <n v="2"/>
    <n v="6"/>
    <n v="12"/>
    <n v="1"/>
    <s v="YES"/>
    <n v="1"/>
    <n v="289.36"/>
    <x v="63"/>
    <n v="6.98"/>
    <n v="1.83"/>
    <n v="3.8142076502732243"/>
    <x v="0"/>
    <n v="42"/>
    <n v="34"/>
    <n v="0.81"/>
    <n v="2.96"/>
    <n v="1.4"/>
    <n v="24.89"/>
    <n v="56.9"/>
    <x v="1"/>
    <n v="0.4"/>
    <n v="110"/>
    <n v="1"/>
    <x v="1"/>
    <n v="0"/>
    <s v="NO"/>
    <n v="1"/>
    <s v="YES"/>
    <n v="1"/>
    <s v="YES"/>
    <n v="1"/>
    <s v="YES"/>
    <n v="1"/>
    <x v="0"/>
    <n v="0"/>
    <s v="NO"/>
    <n v="120"/>
    <n v="80"/>
    <n v="3"/>
    <n v="5"/>
    <n v="12"/>
    <n v="12"/>
    <n v="10"/>
    <x v="1"/>
    <n v="8"/>
    <n v="24"/>
    <n v="107.66666666666667"/>
    <x v="1"/>
    <x v="4"/>
    <x v="0"/>
  </r>
  <r>
    <n v="159"/>
    <n v="159"/>
    <n v="1"/>
    <x v="1"/>
    <n v="25"/>
    <n v="60"/>
    <n v="151"/>
    <n v="15"/>
    <n v="74"/>
    <n v="18"/>
    <n v="11.7"/>
    <n v="2"/>
    <n v="4"/>
    <n v="3"/>
    <n v="0"/>
    <s v="NO"/>
    <n v="0"/>
    <n v="1.99"/>
    <x v="0"/>
    <n v="6.96"/>
    <n v="5.1100000000000003"/>
    <n v="1.3620352250489236"/>
    <x v="1"/>
    <n v="40"/>
    <n v="34"/>
    <n v="0.85"/>
    <n v="3.06"/>
    <n v="9"/>
    <n v="25.04"/>
    <n v="33.6"/>
    <x v="1"/>
    <n v="0.25"/>
    <n v="100"/>
    <n v="1"/>
    <x v="1"/>
    <n v="1"/>
    <s v="YES"/>
    <n v="0"/>
    <s v="NO"/>
    <n v="1"/>
    <s v="YES"/>
    <n v="1"/>
    <s v="YES"/>
    <n v="1"/>
    <x v="0"/>
    <n v="0"/>
    <s v="NO"/>
    <n v="110"/>
    <n v="70"/>
    <n v="9"/>
    <n v="7"/>
    <n v="13"/>
    <n v="16"/>
    <n v="9"/>
    <x v="1"/>
    <n v="16"/>
    <n v="29"/>
    <n v="96.333333333333329"/>
    <x v="1"/>
    <x v="4"/>
    <x v="0"/>
  </r>
  <r>
    <n v="160"/>
    <n v="160"/>
    <n v="0"/>
    <x v="0"/>
    <n v="32"/>
    <n v="64"/>
    <n v="158"/>
    <n v="15"/>
    <n v="73"/>
    <n v="18"/>
    <n v="11.2"/>
    <n v="2"/>
    <n v="5"/>
    <n v="10"/>
    <n v="1"/>
    <s v="YES"/>
    <n v="2"/>
    <n v="366.8"/>
    <x v="64"/>
    <n v="4.33"/>
    <n v="2.48"/>
    <n v="1.745967741935484"/>
    <x v="1"/>
    <n v="38"/>
    <n v="32"/>
    <n v="0.84"/>
    <n v="1.51"/>
    <n v="3.56"/>
    <n v="8.2100000000000009"/>
    <n v="31.5"/>
    <x v="1"/>
    <n v="0.21"/>
    <n v="91"/>
    <n v="0"/>
    <x v="0"/>
    <n v="0"/>
    <s v="NO"/>
    <n v="1"/>
    <s v="YES"/>
    <n v="1"/>
    <s v="YES"/>
    <n v="0"/>
    <s v="NO"/>
    <n v="0"/>
    <x v="1"/>
    <n v="0"/>
    <s v="NO"/>
    <n v="110"/>
    <n v="80"/>
    <n v="5"/>
    <n v="7"/>
    <n v="11"/>
    <n v="12"/>
    <n v="9.5"/>
    <x v="1"/>
    <n v="12"/>
    <n v="23"/>
    <n v="108.33333333333333"/>
    <x v="1"/>
    <x v="1"/>
    <x v="0"/>
  </r>
  <r>
    <n v="161"/>
    <n v="161"/>
    <n v="0"/>
    <x v="0"/>
    <n v="36"/>
    <n v="50"/>
    <n v="143"/>
    <n v="13"/>
    <n v="72"/>
    <n v="20"/>
    <n v="10.5"/>
    <n v="2"/>
    <n v="6"/>
    <n v="15"/>
    <n v="1"/>
    <s v="YES"/>
    <n v="1"/>
    <n v="96.2"/>
    <x v="0"/>
    <n v="1.63"/>
    <n v="0.25"/>
    <n v="6.52"/>
    <x v="0"/>
    <n v="36"/>
    <n v="32"/>
    <n v="0.89"/>
    <n v="0.81"/>
    <n v="3.41"/>
    <n v="18.059999999999999"/>
    <n v="18.5"/>
    <x v="0"/>
    <n v="0.45"/>
    <n v="116"/>
    <n v="0"/>
    <x v="0"/>
    <n v="0"/>
    <s v="NO"/>
    <n v="0"/>
    <s v="NO"/>
    <n v="1"/>
    <s v="YES"/>
    <n v="1"/>
    <s v="YES"/>
    <n v="0"/>
    <x v="1"/>
    <n v="0"/>
    <s v="NO"/>
    <n v="120"/>
    <n v="80"/>
    <n v="3"/>
    <n v="5"/>
    <n v="11"/>
    <n v="13"/>
    <n v="6"/>
    <x v="0"/>
    <n v="8"/>
    <n v="24"/>
    <n v="107.66666666666667"/>
    <x v="0"/>
    <x v="1"/>
    <x v="0"/>
  </r>
  <r>
    <n v="162"/>
    <n v="162"/>
    <n v="0"/>
    <x v="0"/>
    <n v="38"/>
    <n v="70"/>
    <n v="170"/>
    <n v="13"/>
    <n v="75"/>
    <n v="20"/>
    <n v="12.5"/>
    <n v="2"/>
    <n v="5"/>
    <n v="18"/>
    <n v="0"/>
    <s v="NO"/>
    <n v="3"/>
    <n v="1.99"/>
    <x v="0"/>
    <n v="2.5"/>
    <n v="2.5299999999999998"/>
    <n v="0.98814229249011865"/>
    <x v="1"/>
    <n v="40"/>
    <n v="34"/>
    <n v="0.85"/>
    <n v="1.52"/>
    <n v="0.45"/>
    <n v="13.56"/>
    <n v="24"/>
    <x v="1"/>
    <n v="0.32"/>
    <n v="92"/>
    <n v="1"/>
    <x v="1"/>
    <n v="1"/>
    <s v="YES"/>
    <n v="1"/>
    <s v="YES"/>
    <n v="0"/>
    <s v="NO"/>
    <n v="0"/>
    <s v="NO"/>
    <n v="0"/>
    <x v="1"/>
    <n v="0"/>
    <s v="NO"/>
    <n v="12"/>
    <n v="80"/>
    <n v="1"/>
    <n v="1"/>
    <n v="11"/>
    <n v="12"/>
    <n v="5"/>
    <x v="0"/>
    <n v="2"/>
    <n v="23"/>
    <n v="107"/>
    <x v="1"/>
    <x v="1"/>
    <x v="0"/>
  </r>
  <r>
    <n v="163"/>
    <n v="163"/>
    <n v="1"/>
    <x v="1"/>
    <n v="23"/>
    <n v="65"/>
    <n v="158"/>
    <n v="15"/>
    <n v="73"/>
    <n v="20"/>
    <n v="11.2"/>
    <n v="2"/>
    <n v="4"/>
    <n v="3"/>
    <n v="0"/>
    <s v="NO"/>
    <n v="0"/>
    <n v="1.99"/>
    <x v="0"/>
    <n v="4.42"/>
    <n v="5.5"/>
    <n v="0.80363636363636359"/>
    <x v="1"/>
    <n v="42"/>
    <n v="35"/>
    <n v="0.83"/>
    <n v="1.79"/>
    <n v="2.5299999999999998"/>
    <n v="26.64"/>
    <n v="54.6"/>
    <x v="1"/>
    <n v="0.25"/>
    <n v="100"/>
    <n v="1"/>
    <x v="1"/>
    <n v="0"/>
    <s v="NO"/>
    <n v="1"/>
    <s v="YES"/>
    <n v="0"/>
    <s v="NO"/>
    <n v="0"/>
    <s v="NO"/>
    <n v="1"/>
    <x v="0"/>
    <n v="1"/>
    <s v="YES"/>
    <n v="120"/>
    <n v="70"/>
    <n v="10"/>
    <n v="11"/>
    <n v="14"/>
    <n v="16"/>
    <n v="9.4"/>
    <x v="1"/>
    <n v="21"/>
    <n v="30"/>
    <n v="96.666666666666671"/>
    <x v="1"/>
    <x v="2"/>
    <x v="0"/>
  </r>
  <r>
    <n v="164"/>
    <n v="164"/>
    <n v="0"/>
    <x v="0"/>
    <n v="32"/>
    <n v="60.8"/>
    <n v="156"/>
    <n v="13"/>
    <n v="72"/>
    <n v="18"/>
    <n v="11.5"/>
    <n v="2"/>
    <n v="5"/>
    <n v="10"/>
    <n v="0"/>
    <s v="NO"/>
    <n v="0"/>
    <n v="1.99"/>
    <x v="0"/>
    <n v="5.01"/>
    <n v="2.62"/>
    <n v="1.9122137404580151"/>
    <x v="1"/>
    <n v="38"/>
    <n v="32"/>
    <n v="0.84"/>
    <n v="1.93"/>
    <n v="0.28999999999999998"/>
    <n v="17.7"/>
    <n v="9.4"/>
    <x v="0"/>
    <n v="0.25"/>
    <n v="92"/>
    <n v="1"/>
    <x v="1"/>
    <n v="0"/>
    <s v="NO"/>
    <n v="0"/>
    <s v="NO"/>
    <n v="1"/>
    <s v="YES"/>
    <n v="0"/>
    <s v="NO"/>
    <n v="1"/>
    <x v="0"/>
    <n v="1"/>
    <s v="YES"/>
    <n v="120"/>
    <n v="80"/>
    <n v="3"/>
    <n v="2"/>
    <n v="10"/>
    <n v="11"/>
    <n v="8.5"/>
    <x v="1"/>
    <n v="5"/>
    <n v="21"/>
    <n v="107.66666666666667"/>
    <x v="0"/>
    <x v="2"/>
    <x v="0"/>
  </r>
  <r>
    <n v="165"/>
    <n v="165"/>
    <n v="0"/>
    <x v="0"/>
    <n v="35"/>
    <n v="56"/>
    <n v="145"/>
    <n v="17"/>
    <n v="74"/>
    <n v="18"/>
    <n v="11.5"/>
    <n v="4"/>
    <n v="5"/>
    <n v="15"/>
    <n v="1"/>
    <s v="YES"/>
    <n v="1"/>
    <n v="481.3"/>
    <x v="65"/>
    <n v="7.72"/>
    <n v="3.35"/>
    <n v="2.3044776119402983"/>
    <x v="0"/>
    <n v="40"/>
    <n v="33"/>
    <n v="0.83"/>
    <n v="5.51"/>
    <n v="2.6"/>
    <n v="38.93"/>
    <n v="21.5"/>
    <x v="1"/>
    <n v="1.26"/>
    <n v="108"/>
    <n v="1"/>
    <x v="1"/>
    <n v="0"/>
    <s v="NO"/>
    <n v="1"/>
    <s v="YES"/>
    <n v="0"/>
    <s v="NO"/>
    <n v="1"/>
    <s v="YES"/>
    <n v="0"/>
    <x v="1"/>
    <n v="1"/>
    <s v="YES"/>
    <n v="120"/>
    <n v="80"/>
    <n v="2"/>
    <n v="3"/>
    <n v="13"/>
    <n v="14"/>
    <n v="4.5999999999999996"/>
    <x v="1"/>
    <n v="5"/>
    <n v="27"/>
    <n v="107.33333333333333"/>
    <x v="1"/>
    <x v="1"/>
    <x v="0"/>
  </r>
  <r>
    <n v="166"/>
    <n v="166"/>
    <n v="0"/>
    <x v="0"/>
    <n v="32"/>
    <n v="46"/>
    <n v="150"/>
    <n v="11"/>
    <n v="73"/>
    <n v="26"/>
    <n v="11.9"/>
    <n v="2"/>
    <n v="6"/>
    <n v="10"/>
    <n v="0"/>
    <s v="NO"/>
    <n v="0"/>
    <n v="1.99"/>
    <x v="0"/>
    <n v="3.99"/>
    <n v="0.51"/>
    <n v="7.8235294117647065"/>
    <x v="0"/>
    <n v="36"/>
    <n v="30"/>
    <n v="0.83"/>
    <n v="2.04"/>
    <n v="2.83"/>
    <n v="28.71"/>
    <n v="60.2"/>
    <x v="1"/>
    <n v="0.15"/>
    <n v="84"/>
    <n v="0"/>
    <x v="0"/>
    <n v="0"/>
    <s v="NO"/>
    <n v="0"/>
    <s v="NO"/>
    <n v="1"/>
    <s v="YES"/>
    <n v="1"/>
    <s v="YES"/>
    <n v="1"/>
    <x v="0"/>
    <n v="0"/>
    <s v="NO"/>
    <n v="110"/>
    <n v="60"/>
    <n v="5"/>
    <n v="5"/>
    <n v="14"/>
    <n v="13"/>
    <n v="6.5"/>
    <x v="0"/>
    <n v="10"/>
    <n v="27"/>
    <n v="81.666666666666671"/>
    <x v="1"/>
    <x v="1"/>
    <x v="0"/>
  </r>
  <r>
    <n v="167"/>
    <n v="167"/>
    <n v="0"/>
    <x v="0"/>
    <n v="29"/>
    <n v="62"/>
    <n v="154"/>
    <n v="11"/>
    <n v="74"/>
    <n v="18"/>
    <n v="13.4"/>
    <n v="2"/>
    <n v="5"/>
    <n v="6"/>
    <n v="1"/>
    <s v="YES"/>
    <n v="1"/>
    <n v="563.79999999999995"/>
    <x v="66"/>
    <n v="6.11"/>
    <n v="4.1900000000000004"/>
    <n v="1.4582338902147971"/>
    <x v="1"/>
    <n v="38"/>
    <n v="32"/>
    <n v="0.84"/>
    <n v="3.27"/>
    <n v="1.89"/>
    <n v="26"/>
    <n v="15"/>
    <x v="0"/>
    <n v="0.38"/>
    <n v="91"/>
    <n v="1"/>
    <x v="1"/>
    <n v="0"/>
    <s v="NO"/>
    <n v="0"/>
    <s v="NO"/>
    <n v="0"/>
    <s v="NO"/>
    <n v="1"/>
    <s v="YES"/>
    <n v="1"/>
    <x v="0"/>
    <n v="0"/>
    <s v="NO"/>
    <n v="120"/>
    <n v="80"/>
    <n v="4"/>
    <n v="6"/>
    <n v="12"/>
    <n v="12"/>
    <n v="4"/>
    <x v="1"/>
    <n v="10"/>
    <n v="24"/>
    <n v="108"/>
    <x v="1"/>
    <x v="2"/>
    <x v="0"/>
  </r>
  <r>
    <n v="168"/>
    <n v="168"/>
    <n v="1"/>
    <x v="1"/>
    <n v="29"/>
    <n v="60"/>
    <n v="150"/>
    <n v="15"/>
    <n v="73"/>
    <n v="20"/>
    <n v="10.7"/>
    <n v="2"/>
    <n v="6"/>
    <n v="10"/>
    <n v="0"/>
    <s v="NO"/>
    <n v="0"/>
    <n v="2.59"/>
    <x v="0"/>
    <n v="10.206"/>
    <n v="2.0099999999999998"/>
    <n v="5.0776119402985076"/>
    <x v="0"/>
    <n v="38"/>
    <n v="30"/>
    <n v="0.79"/>
    <n v="10.89"/>
    <n v="2.0099999999999998"/>
    <n v="8.4499999999999993"/>
    <n v="13.6"/>
    <x v="0"/>
    <n v="0.41"/>
    <n v="106"/>
    <n v="1"/>
    <x v="1"/>
    <n v="1"/>
    <s v="YES"/>
    <n v="0"/>
    <s v="NO"/>
    <n v="1"/>
    <s v="YES"/>
    <n v="1"/>
    <s v="YES"/>
    <n v="1"/>
    <x v="0"/>
    <n v="0"/>
    <s v="NO"/>
    <n v="120"/>
    <n v="80"/>
    <n v="11"/>
    <n v="12"/>
    <n v="14"/>
    <n v="15"/>
    <n v="10"/>
    <x v="1"/>
    <n v="23"/>
    <n v="29"/>
    <n v="110.33333333333333"/>
    <x v="1"/>
    <x v="4"/>
    <x v="0"/>
  </r>
  <r>
    <n v="169"/>
    <n v="169"/>
    <n v="1"/>
    <x v="1"/>
    <n v="30"/>
    <n v="72.3"/>
    <n v="158"/>
    <n v="15"/>
    <n v="74"/>
    <n v="20"/>
    <n v="10.8"/>
    <n v="4"/>
    <n v="4"/>
    <n v="8"/>
    <n v="0"/>
    <s v="NO"/>
    <n v="0"/>
    <n v="1.99"/>
    <x v="0"/>
    <n v="1"/>
    <n v="0.98"/>
    <n v="1.0204081632653061"/>
    <x v="1"/>
    <n v="40"/>
    <n v="34"/>
    <n v="0.85"/>
    <n v="16.989999999999998"/>
    <n v="2.83"/>
    <n v="15.77"/>
    <n v="22.8"/>
    <x v="1"/>
    <n v="0.25"/>
    <n v="95"/>
    <n v="1"/>
    <x v="1"/>
    <n v="1"/>
    <s v="YES"/>
    <n v="1"/>
    <s v="YES"/>
    <n v="1"/>
    <s v="YES"/>
    <n v="1"/>
    <s v="YES"/>
    <n v="1"/>
    <x v="0"/>
    <n v="0"/>
    <s v="NO"/>
    <n v="120"/>
    <n v="80"/>
    <n v="9"/>
    <n v="12"/>
    <n v="14"/>
    <n v="16"/>
    <n v="9"/>
    <x v="1"/>
    <n v="21"/>
    <n v="30"/>
    <n v="109.66666666666667"/>
    <x v="2"/>
    <x v="3"/>
    <x v="0"/>
  </r>
  <r>
    <n v="170"/>
    <n v="170"/>
    <n v="1"/>
    <x v="1"/>
    <n v="33"/>
    <n v="59.6"/>
    <n v="163"/>
    <n v="11"/>
    <n v="72"/>
    <n v="20"/>
    <n v="11.5"/>
    <n v="4"/>
    <n v="5"/>
    <n v="10"/>
    <n v="0"/>
    <s v="NO"/>
    <n v="1"/>
    <n v="4.3600000000000003"/>
    <x v="67"/>
    <n v="3.84"/>
    <n v="1.22"/>
    <n v="3.1475409836065573"/>
    <x v="0"/>
    <n v="40"/>
    <n v="32"/>
    <n v="0.8"/>
    <n v="2.48"/>
    <n v="5.67"/>
    <n v="6.06"/>
    <n v="54.7"/>
    <x v="1"/>
    <n v="0.25"/>
    <n v="100"/>
    <n v="1"/>
    <x v="1"/>
    <n v="1"/>
    <s v="YES"/>
    <n v="0"/>
    <s v="NO"/>
    <n v="1"/>
    <s v="YES"/>
    <n v="1"/>
    <s v="YES"/>
    <n v="1"/>
    <x v="0"/>
    <n v="1"/>
    <s v="YES"/>
    <n v="120"/>
    <n v="80"/>
    <n v="18"/>
    <n v="20"/>
    <n v="16"/>
    <n v="15"/>
    <n v="10.7"/>
    <x v="0"/>
    <n v="38"/>
    <n v="31"/>
    <n v="112.66666666666666"/>
    <x v="2"/>
    <x v="4"/>
    <x v="0"/>
  </r>
  <r>
    <n v="171"/>
    <n v="171"/>
    <n v="0"/>
    <x v="0"/>
    <n v="28"/>
    <n v="54"/>
    <n v="157"/>
    <n v="15"/>
    <n v="73"/>
    <n v="19"/>
    <n v="11"/>
    <n v="2"/>
    <n v="6"/>
    <n v="6"/>
    <n v="1"/>
    <s v="YES"/>
    <n v="0"/>
    <n v="833.5"/>
    <x v="68"/>
    <n v="4.7300000000000004"/>
    <n v="3.23"/>
    <n v="1.4643962848297214"/>
    <x v="1"/>
    <n v="36"/>
    <n v="34"/>
    <n v="0.94"/>
    <n v="1.22"/>
    <n v="1.68"/>
    <n v="23.54"/>
    <n v="33.549999999999997"/>
    <x v="1"/>
    <n v="0.25"/>
    <n v="115"/>
    <n v="0"/>
    <x v="0"/>
    <n v="0"/>
    <s v="NO"/>
    <n v="0"/>
    <s v="NO"/>
    <n v="1"/>
    <s v="YES"/>
    <n v="1"/>
    <s v="YES"/>
    <n v="0"/>
    <x v="1"/>
    <n v="0"/>
    <s v="NO"/>
    <n v="120"/>
    <n v="80"/>
    <n v="12"/>
    <n v="14"/>
    <n v="13"/>
    <n v="15"/>
    <n v="9.6"/>
    <x v="0"/>
    <n v="26"/>
    <n v="28"/>
    <n v="110.66666666666667"/>
    <x v="1"/>
    <x v="1"/>
    <x v="0"/>
  </r>
  <r>
    <n v="172"/>
    <n v="172"/>
    <n v="1"/>
    <x v="1"/>
    <n v="29"/>
    <n v="60"/>
    <n v="156"/>
    <n v="13"/>
    <n v="74"/>
    <n v="18"/>
    <n v="11.2"/>
    <n v="4"/>
    <n v="4"/>
    <n v="8"/>
    <n v="0"/>
    <s v="NO"/>
    <n v="0"/>
    <n v="1.99"/>
    <x v="0"/>
    <n v="5.43"/>
    <n v="6.82"/>
    <n v="0.79618768328445744"/>
    <x v="1"/>
    <n v="42"/>
    <n v="36"/>
    <n v="0.86"/>
    <n v="3.55"/>
    <n v="3.65"/>
    <n v="16.41"/>
    <n v="26.6"/>
    <x v="1"/>
    <n v="0.12"/>
    <n v="91"/>
    <n v="1"/>
    <x v="1"/>
    <n v="1"/>
    <s v="YES"/>
    <n v="0"/>
    <s v="NO"/>
    <n v="1"/>
    <s v="YES"/>
    <n v="1"/>
    <s v="YES"/>
    <n v="1"/>
    <x v="0"/>
    <n v="0"/>
    <s v="NO"/>
    <n v="120"/>
    <n v="80"/>
    <n v="13"/>
    <n v="12"/>
    <n v="15"/>
    <n v="16"/>
    <n v="8.5"/>
    <x v="0"/>
    <n v="25"/>
    <n v="31"/>
    <n v="111"/>
    <x v="2"/>
    <x v="4"/>
    <x v="0"/>
  </r>
  <r>
    <n v="173"/>
    <n v="173"/>
    <n v="0"/>
    <x v="0"/>
    <n v="31"/>
    <n v="50"/>
    <n v="149"/>
    <n v="13"/>
    <n v="75"/>
    <n v="18"/>
    <n v="10.4"/>
    <n v="2"/>
    <n v="6"/>
    <n v="12"/>
    <n v="1"/>
    <s v="YES"/>
    <n v="1"/>
    <n v="2036.2"/>
    <x v="69"/>
    <n v="1.92"/>
    <n v="0.34"/>
    <n v="5.6470588235294112"/>
    <x v="0"/>
    <n v="36"/>
    <n v="30"/>
    <n v="0.83"/>
    <n v="2.73"/>
    <n v="3.63"/>
    <n v="14.98"/>
    <n v="48"/>
    <x v="1"/>
    <n v="0.9"/>
    <n v="91"/>
    <n v="0"/>
    <x v="0"/>
    <n v="0"/>
    <s v="NO"/>
    <n v="1"/>
    <s v="YES"/>
    <n v="0"/>
    <s v="NO"/>
    <n v="1"/>
    <s v="YES"/>
    <n v="0"/>
    <x v="1"/>
    <n v="1"/>
    <s v="YES"/>
    <n v="120"/>
    <n v="80"/>
    <n v="3"/>
    <n v="2"/>
    <n v="14"/>
    <n v="12"/>
    <n v="5.5"/>
    <x v="0"/>
    <n v="5"/>
    <n v="26"/>
    <n v="107.66666666666667"/>
    <x v="1"/>
    <x v="1"/>
    <x v="0"/>
  </r>
  <r>
    <n v="174"/>
    <n v="174"/>
    <n v="1"/>
    <x v="1"/>
    <n v="35"/>
    <n v="73.5"/>
    <n v="155"/>
    <n v="15"/>
    <n v="72"/>
    <n v="20"/>
    <n v="10.09"/>
    <n v="4"/>
    <n v="5"/>
    <n v="10"/>
    <n v="0"/>
    <s v="NO"/>
    <n v="2"/>
    <n v="3.8879999999999999"/>
    <x v="70"/>
    <n v="3.13"/>
    <n v="0.44"/>
    <n v="7.1136363636363633"/>
    <x v="0"/>
    <n v="42"/>
    <n v="34"/>
    <n v="0.81"/>
    <n v="0.76"/>
    <n v="3.49"/>
    <n v="16.649999999999999"/>
    <n v="31.2"/>
    <x v="1"/>
    <n v="0.41"/>
    <n v="108"/>
    <n v="1"/>
    <x v="1"/>
    <n v="1"/>
    <s v="YES"/>
    <n v="1"/>
    <s v="YES"/>
    <n v="1"/>
    <s v="YES"/>
    <n v="0"/>
    <s v="NO"/>
    <n v="1"/>
    <x v="0"/>
    <n v="0"/>
    <s v="NO"/>
    <n v="120"/>
    <n v="80"/>
    <n v="15"/>
    <n v="16"/>
    <n v="13"/>
    <n v="14"/>
    <n v="9.5"/>
    <x v="3"/>
    <n v="31"/>
    <n v="27"/>
    <n v="111.66666666666667"/>
    <x v="2"/>
    <x v="4"/>
    <x v="0"/>
  </r>
  <r>
    <n v="175"/>
    <n v="175"/>
    <n v="0"/>
    <x v="0"/>
    <n v="37"/>
    <n v="60"/>
    <n v="152"/>
    <n v="11"/>
    <n v="72"/>
    <n v="18"/>
    <n v="11.7"/>
    <n v="2"/>
    <n v="6"/>
    <n v="15"/>
    <n v="1"/>
    <s v="YES"/>
    <n v="1"/>
    <n v="698.2"/>
    <x v="71"/>
    <n v="9.1"/>
    <n v="5.0999999999999996"/>
    <n v="1.7843137254901962"/>
    <x v="1"/>
    <n v="38"/>
    <n v="32"/>
    <n v="0.84"/>
    <n v="2.85"/>
    <n v="2.0099999999999998"/>
    <n v="10.78"/>
    <n v="17.100000000000001"/>
    <x v="0"/>
    <n v="1"/>
    <n v="91"/>
    <n v="1"/>
    <x v="1"/>
    <n v="0"/>
    <s v="NO"/>
    <n v="1"/>
    <s v="YES"/>
    <n v="0"/>
    <s v="NO"/>
    <n v="0"/>
    <s v="NO"/>
    <n v="1"/>
    <x v="0"/>
    <n v="0"/>
    <s v="NO"/>
    <n v="120"/>
    <n v="80"/>
    <n v="1"/>
    <n v="1"/>
    <n v="10"/>
    <n v="11"/>
    <n v="5"/>
    <x v="1"/>
    <n v="2"/>
    <n v="21"/>
    <n v="107"/>
    <x v="1"/>
    <x v="2"/>
    <x v="0"/>
  </r>
  <r>
    <n v="176"/>
    <n v="176"/>
    <n v="1"/>
    <x v="1"/>
    <n v="27"/>
    <n v="58"/>
    <n v="152"/>
    <n v="15"/>
    <n v="74"/>
    <n v="18"/>
    <n v="11.1"/>
    <n v="4"/>
    <n v="4"/>
    <n v="5"/>
    <n v="0"/>
    <s v="NO"/>
    <n v="0"/>
    <n v="1.99"/>
    <x v="0"/>
    <n v="6.25"/>
    <n v="7.35"/>
    <n v="0.85034013605442182"/>
    <x v="1"/>
    <n v="36"/>
    <n v="30"/>
    <n v="0.83"/>
    <n v="2.61"/>
    <n v="8"/>
    <n v="30"/>
    <n v="6.5"/>
    <x v="0"/>
    <n v="0.251"/>
    <n v="84"/>
    <n v="1"/>
    <x v="1"/>
    <n v="0"/>
    <s v="NO"/>
    <n v="1"/>
    <s v="YES"/>
    <n v="1"/>
    <s v="YES"/>
    <n v="1"/>
    <s v="YES"/>
    <n v="1"/>
    <x v="0"/>
    <n v="0"/>
    <s v="NO"/>
    <n v="120"/>
    <n v="80"/>
    <n v="12"/>
    <n v="13"/>
    <n v="15"/>
    <n v="16"/>
    <n v="9"/>
    <x v="1"/>
    <n v="25"/>
    <n v="31"/>
    <n v="110.66666666666667"/>
    <x v="2"/>
    <x v="4"/>
    <x v="0"/>
  </r>
  <r>
    <n v="177"/>
    <n v="177"/>
    <n v="1"/>
    <x v="1"/>
    <n v="28"/>
    <n v="78"/>
    <n v="158"/>
    <n v="16"/>
    <n v="73"/>
    <n v="18"/>
    <n v="10.5"/>
    <n v="2"/>
    <n v="4"/>
    <n v="8"/>
    <n v="0"/>
    <s v="NO"/>
    <n v="0"/>
    <n v="3.66"/>
    <x v="72"/>
    <n v="4.5"/>
    <n v="2.77"/>
    <n v="1.6245487364620939"/>
    <x v="1"/>
    <n v="42"/>
    <n v="38"/>
    <n v="0.9"/>
    <n v="4.04"/>
    <n v="9"/>
    <n v="20.76"/>
    <n v="10.220000000000001"/>
    <x v="0"/>
    <n v="0.26"/>
    <n v="108"/>
    <n v="1"/>
    <x v="1"/>
    <n v="1"/>
    <s v="YES"/>
    <n v="1"/>
    <s v="YES"/>
    <n v="1"/>
    <s v="YES"/>
    <n v="0"/>
    <s v="NO"/>
    <n v="1"/>
    <x v="0"/>
    <n v="0"/>
    <s v="NO"/>
    <n v="110"/>
    <n v="70"/>
    <n v="15"/>
    <n v="14"/>
    <n v="14"/>
    <n v="12"/>
    <n v="8"/>
    <x v="3"/>
    <n v="29"/>
    <n v="26"/>
    <n v="98.333333333333329"/>
    <x v="1"/>
    <x v="4"/>
    <x v="0"/>
  </r>
  <r>
    <n v="178"/>
    <n v="178"/>
    <n v="1"/>
    <x v="1"/>
    <n v="24"/>
    <n v="89"/>
    <n v="173"/>
    <n v="17"/>
    <n v="74"/>
    <n v="18"/>
    <n v="11.2"/>
    <n v="4"/>
    <n v="4"/>
    <n v="2.5"/>
    <n v="0"/>
    <s v="NO"/>
    <n v="0"/>
    <n v="1.99"/>
    <x v="0"/>
    <n v="5.9"/>
    <n v="9.9"/>
    <n v="0.59595959595959602"/>
    <x v="1"/>
    <n v="40"/>
    <n v="35"/>
    <n v="0.88"/>
    <n v="1.73"/>
    <n v="11.48"/>
    <n v="42.43"/>
    <n v="25.69"/>
    <x v="1"/>
    <n v="0.35"/>
    <n v="91"/>
    <n v="1"/>
    <x v="1"/>
    <n v="1"/>
    <s v="YES"/>
    <n v="0"/>
    <s v="NO"/>
    <n v="1"/>
    <s v="YES"/>
    <n v="1"/>
    <s v="YES"/>
    <n v="1"/>
    <x v="0"/>
    <n v="0"/>
    <s v="NO"/>
    <n v="120"/>
    <n v="80"/>
    <n v="11"/>
    <n v="8"/>
    <n v="15"/>
    <n v="14"/>
    <n v="8"/>
    <x v="1"/>
    <n v="19"/>
    <n v="29"/>
    <n v="110.33333333333333"/>
    <x v="2"/>
    <x v="4"/>
    <x v="0"/>
  </r>
  <r>
    <n v="179"/>
    <n v="179"/>
    <n v="1"/>
    <x v="1"/>
    <n v="37"/>
    <n v="88"/>
    <n v="168"/>
    <n v="12"/>
    <n v="74"/>
    <n v="18"/>
    <n v="11.9"/>
    <n v="2"/>
    <n v="5"/>
    <n v="15"/>
    <n v="0"/>
    <s v="NO"/>
    <n v="1"/>
    <n v="3.83"/>
    <x v="73"/>
    <n v="9.2200000000000006"/>
    <n v="3.22"/>
    <n v="2.8633540372670807"/>
    <x v="0"/>
    <n v="41"/>
    <n v="38"/>
    <n v="0.93"/>
    <n v="1.68"/>
    <n v="10.25"/>
    <n v="3.64"/>
    <n v="48.96"/>
    <x v="1"/>
    <n v="0.57999999999999996"/>
    <n v="350"/>
    <n v="1"/>
    <x v="1"/>
    <n v="1"/>
    <s v="YES"/>
    <n v="1"/>
    <s v="YES"/>
    <n v="1"/>
    <s v="YES"/>
    <n v="0"/>
    <s v="NO"/>
    <n v="1"/>
    <x v="0"/>
    <n v="0"/>
    <s v="NO"/>
    <n v="110"/>
    <n v="80"/>
    <n v="12"/>
    <n v="14"/>
    <n v="14"/>
    <n v="16"/>
    <n v="11"/>
    <x v="3"/>
    <n v="26"/>
    <n v="30"/>
    <n v="110.66666666666667"/>
    <x v="1"/>
    <x v="4"/>
    <x v="0"/>
  </r>
  <r>
    <n v="180"/>
    <n v="180"/>
    <n v="0"/>
    <x v="0"/>
    <n v="35"/>
    <n v="58"/>
    <n v="164.5"/>
    <n v="11"/>
    <n v="72"/>
    <n v="20"/>
    <n v="12"/>
    <n v="2"/>
    <n v="6"/>
    <n v="13"/>
    <n v="1"/>
    <s v="YES"/>
    <n v="0"/>
    <n v="2045.3"/>
    <x v="74"/>
    <n v="6.27"/>
    <n v="5.28"/>
    <n v="1.1874999999999998"/>
    <x v="1"/>
    <n v="36"/>
    <n v="32"/>
    <n v="0.89"/>
    <n v="6.95"/>
    <n v="2.36"/>
    <n v="23.98"/>
    <n v="27.2"/>
    <x v="1"/>
    <n v="0.25"/>
    <n v="100"/>
    <n v="0"/>
    <x v="0"/>
    <n v="0"/>
    <s v="NO"/>
    <n v="0"/>
    <s v="NO"/>
    <n v="1"/>
    <s v="YES"/>
    <n v="1"/>
    <s v="YES"/>
    <n v="0"/>
    <x v="1"/>
    <n v="0"/>
    <s v="NO"/>
    <n v="140"/>
    <n v="70"/>
    <n v="3"/>
    <n v="5"/>
    <n v="10"/>
    <n v="11"/>
    <n v="5"/>
    <x v="0"/>
    <n v="8"/>
    <n v="21"/>
    <n v="94.333333333333329"/>
    <x v="0"/>
    <x v="1"/>
    <x v="0"/>
  </r>
  <r>
    <n v="181"/>
    <n v="181"/>
    <n v="1"/>
    <x v="1"/>
    <n v="30"/>
    <n v="70"/>
    <n v="150"/>
    <n v="16"/>
    <n v="74"/>
    <n v="18"/>
    <n v="11.7"/>
    <n v="4"/>
    <n v="4"/>
    <n v="8"/>
    <n v="0"/>
    <s v="NO"/>
    <n v="0"/>
    <n v="1.99"/>
    <x v="0"/>
    <n v="1.98"/>
    <n v="3.2000000000000001E-2"/>
    <n v="61.875"/>
    <x v="0"/>
    <n v="38"/>
    <n v="32"/>
    <n v="0.84"/>
    <n v="1.98"/>
    <n v="32"/>
    <n v="14.13"/>
    <n v="74.5"/>
    <x v="1"/>
    <n v="4.7E-2"/>
    <n v="100"/>
    <n v="1"/>
    <x v="1"/>
    <n v="1"/>
    <s v="YES"/>
    <n v="0"/>
    <s v="NO"/>
    <n v="1"/>
    <s v="YES"/>
    <n v="0"/>
    <s v="NO"/>
    <n v="1"/>
    <x v="0"/>
    <n v="0"/>
    <s v="NO"/>
    <n v="120"/>
    <n v="80"/>
    <n v="8"/>
    <n v="6"/>
    <n v="12"/>
    <n v="11"/>
    <n v="4.5"/>
    <x v="3"/>
    <n v="14"/>
    <n v="23"/>
    <n v="109.33333333333333"/>
    <x v="1"/>
    <x v="1"/>
    <x v="0"/>
  </r>
  <r>
    <n v="182"/>
    <n v="182"/>
    <n v="0"/>
    <x v="0"/>
    <n v="30"/>
    <n v="59"/>
    <n v="167.7"/>
    <n v="13"/>
    <n v="73"/>
    <n v="20"/>
    <n v="13.8"/>
    <n v="2"/>
    <n v="5"/>
    <n v="8"/>
    <n v="0"/>
    <s v="NO"/>
    <n v="0"/>
    <n v="1.3"/>
    <x v="0"/>
    <n v="2.0499999999999998"/>
    <n v="1.02"/>
    <n v="2.0098039215686274"/>
    <x v="0"/>
    <n v="38"/>
    <n v="34"/>
    <n v="0.89"/>
    <n v="1.84"/>
    <n v="3.38"/>
    <n v="35.68"/>
    <n v="39.81"/>
    <x v="1"/>
    <n v="0.38"/>
    <n v="116"/>
    <n v="0"/>
    <x v="0"/>
    <n v="1"/>
    <s v="YES"/>
    <n v="1"/>
    <s v="YES"/>
    <n v="0"/>
    <s v="NO"/>
    <n v="0"/>
    <s v="NO"/>
    <n v="1"/>
    <x v="0"/>
    <n v="1"/>
    <s v="YES"/>
    <n v="130"/>
    <n v="80"/>
    <n v="15"/>
    <n v="16"/>
    <n v="13"/>
    <n v="14"/>
    <n v="9.3000000000000007"/>
    <x v="0"/>
    <n v="31"/>
    <n v="27"/>
    <n v="111.66666666666667"/>
    <x v="1"/>
    <x v="1"/>
    <x v="0"/>
  </r>
  <r>
    <n v="183"/>
    <n v="183"/>
    <n v="0"/>
    <x v="0"/>
    <n v="42"/>
    <n v="50"/>
    <n v="152"/>
    <n v="11"/>
    <n v="73"/>
    <n v="18"/>
    <n v="10.8"/>
    <n v="2"/>
    <n v="5"/>
    <n v="18"/>
    <n v="0"/>
    <s v="NO"/>
    <n v="3"/>
    <n v="1.99"/>
    <x v="0"/>
    <n v="8.01"/>
    <n v="4.3899999999999997"/>
    <n v="1.8246013667425969"/>
    <x v="1"/>
    <n v="36"/>
    <n v="34"/>
    <n v="0.94"/>
    <n v="1.89"/>
    <n v="1.35"/>
    <n v="4.2699999999999996"/>
    <n v="14.5"/>
    <x v="0"/>
    <n v="0.32"/>
    <n v="91"/>
    <n v="0"/>
    <x v="0"/>
    <n v="1"/>
    <s v="YES"/>
    <n v="0"/>
    <s v="NO"/>
    <n v="0"/>
    <s v="NO"/>
    <n v="1"/>
    <s v="YES"/>
    <n v="0"/>
    <x v="1"/>
    <n v="0"/>
    <s v="NO"/>
    <n v="110"/>
    <n v="80"/>
    <n v="1"/>
    <n v="1"/>
    <n v="11"/>
    <n v="12"/>
    <n v="5.5"/>
    <x v="0"/>
    <n v="2"/>
    <n v="23"/>
    <n v="107"/>
    <x v="0"/>
    <x v="1"/>
    <x v="0"/>
  </r>
  <r>
    <n v="184"/>
    <n v="184"/>
    <n v="0"/>
    <x v="0"/>
    <n v="36"/>
    <n v="64"/>
    <n v="150"/>
    <n v="13"/>
    <n v="72"/>
    <n v="18"/>
    <n v="12.5"/>
    <n v="2"/>
    <n v="5"/>
    <n v="13"/>
    <n v="1"/>
    <s v="YES"/>
    <n v="0"/>
    <n v="323"/>
    <x v="75"/>
    <n v="4.32"/>
    <n v="1.6"/>
    <n v="2.7"/>
    <x v="0"/>
    <n v="38"/>
    <n v="35"/>
    <n v="0.92"/>
    <n v="2.2599999999999998"/>
    <n v="2.38"/>
    <n v="14.18"/>
    <n v="63.3"/>
    <x v="1"/>
    <n v="0.28999999999999998"/>
    <n v="100"/>
    <n v="1"/>
    <x v="1"/>
    <n v="1"/>
    <s v="YES"/>
    <n v="0"/>
    <s v="NO"/>
    <n v="1"/>
    <s v="YES"/>
    <n v="1"/>
    <s v="YES"/>
    <n v="0"/>
    <x v="1"/>
    <n v="0"/>
    <s v="NO"/>
    <n v="120"/>
    <n v="80"/>
    <n v="3"/>
    <n v="4"/>
    <n v="13"/>
    <n v="12"/>
    <n v="9"/>
    <x v="1"/>
    <n v="7"/>
    <n v="25"/>
    <n v="107.66666666666667"/>
    <x v="0"/>
    <x v="4"/>
    <x v="0"/>
  </r>
  <r>
    <n v="185"/>
    <n v="185"/>
    <n v="0"/>
    <x v="0"/>
    <n v="26"/>
    <n v="60"/>
    <n v="164.5"/>
    <n v="14"/>
    <n v="73"/>
    <n v="18"/>
    <n v="12.1"/>
    <n v="2"/>
    <n v="6"/>
    <n v="4"/>
    <n v="1"/>
    <s v="YES"/>
    <n v="0"/>
    <n v="896.6"/>
    <x v="76"/>
    <n v="5.38"/>
    <n v="4.3499999999999996"/>
    <n v="1.2367816091954025"/>
    <x v="1"/>
    <n v="38"/>
    <n v="32"/>
    <n v="0.84"/>
    <n v="2.56"/>
    <n v="5.78"/>
    <n v="12.56"/>
    <n v="15.2"/>
    <x v="0"/>
    <n v="0.17"/>
    <n v="108"/>
    <n v="0"/>
    <x v="0"/>
    <n v="0"/>
    <s v="NO"/>
    <n v="0"/>
    <s v="NO"/>
    <n v="1"/>
    <s v="YES"/>
    <n v="1"/>
    <s v="YES"/>
    <n v="1"/>
    <x v="0"/>
    <n v="0"/>
    <s v="NO"/>
    <n v="120"/>
    <n v="80"/>
    <n v="4"/>
    <n v="5"/>
    <n v="10"/>
    <n v="13"/>
    <n v="9"/>
    <x v="0"/>
    <n v="9"/>
    <n v="23"/>
    <n v="108"/>
    <x v="0"/>
    <x v="1"/>
    <x v="0"/>
  </r>
  <r>
    <n v="186"/>
    <n v="186"/>
    <n v="0"/>
    <x v="0"/>
    <n v="27"/>
    <n v="54"/>
    <n v="158.4"/>
    <n v="15"/>
    <n v="72"/>
    <n v="18"/>
    <n v="11.5"/>
    <n v="2"/>
    <n v="5"/>
    <n v="5"/>
    <n v="0"/>
    <s v="NO"/>
    <n v="0"/>
    <n v="1.99"/>
    <x v="0"/>
    <n v="2.63"/>
    <n v="1.1200000000000001"/>
    <n v="2.3482142857142856"/>
    <x v="0"/>
    <n v="36"/>
    <n v="30"/>
    <n v="0.83"/>
    <n v="1"/>
    <n v="4.66"/>
    <n v="23.95"/>
    <n v="41"/>
    <x v="1"/>
    <n v="0.25"/>
    <n v="100"/>
    <n v="0"/>
    <x v="0"/>
    <n v="0"/>
    <s v="NO"/>
    <n v="1"/>
    <s v="YES"/>
    <n v="1"/>
    <s v="YES"/>
    <n v="0"/>
    <s v="NO"/>
    <n v="1"/>
    <x v="0"/>
    <n v="1"/>
    <s v="YES"/>
    <n v="110"/>
    <n v="80"/>
    <n v="5"/>
    <n v="7"/>
    <n v="13"/>
    <n v="14"/>
    <n v="6.5"/>
    <x v="0"/>
    <n v="12"/>
    <n v="27"/>
    <n v="108.33333333333333"/>
    <x v="1"/>
    <x v="1"/>
    <x v="0"/>
  </r>
  <r>
    <n v="187"/>
    <n v="187"/>
    <n v="1"/>
    <x v="1"/>
    <n v="32"/>
    <n v="66"/>
    <n v="155"/>
    <n v="17"/>
    <n v="74"/>
    <n v="18"/>
    <n v="12.5"/>
    <n v="4"/>
    <n v="5"/>
    <n v="10"/>
    <n v="0"/>
    <s v="NO"/>
    <n v="1"/>
    <n v="2.58"/>
    <x v="77"/>
    <n v="2"/>
    <n v="1.24"/>
    <n v="1.6129032258064517"/>
    <x v="1"/>
    <n v="39"/>
    <n v="35"/>
    <n v="0.9"/>
    <n v="1.68"/>
    <n v="1.99"/>
    <n v="60.2"/>
    <n v="18.3"/>
    <x v="0"/>
    <n v="0.25"/>
    <n v="93"/>
    <n v="1"/>
    <x v="1"/>
    <n v="1"/>
    <s v="YES"/>
    <n v="0"/>
    <s v="NO"/>
    <n v="1"/>
    <s v="YES"/>
    <n v="0"/>
    <s v="NO"/>
    <n v="1"/>
    <x v="0"/>
    <n v="0"/>
    <s v="NO"/>
    <n v="120"/>
    <n v="80"/>
    <n v="7"/>
    <n v="8"/>
    <n v="13"/>
    <n v="12"/>
    <n v="5.9"/>
    <x v="1"/>
    <n v="15"/>
    <n v="25"/>
    <n v="109"/>
    <x v="2"/>
    <x v="1"/>
    <x v="0"/>
  </r>
  <r>
    <n v="188"/>
    <n v="188"/>
    <n v="0"/>
    <x v="0"/>
    <n v="43"/>
    <n v="66.3"/>
    <n v="157"/>
    <n v="14"/>
    <n v="75"/>
    <n v="18"/>
    <n v="11.7"/>
    <n v="2"/>
    <n v="5"/>
    <n v="19"/>
    <n v="1"/>
    <s v="YES"/>
    <n v="2"/>
    <n v="569.29999999999995"/>
    <x v="78"/>
    <n v="3.76"/>
    <n v="3.18"/>
    <n v="1.1823899371069182"/>
    <x v="1"/>
    <n v="38"/>
    <n v="34"/>
    <n v="0.89"/>
    <n v="1.72"/>
    <n v="1.28"/>
    <n v="2.5099999999999998"/>
    <n v="46.9"/>
    <x v="1"/>
    <n v="0.63"/>
    <n v="91"/>
    <n v="1"/>
    <x v="1"/>
    <n v="0"/>
    <s v="NO"/>
    <n v="0"/>
    <s v="NO"/>
    <n v="1"/>
    <s v="YES"/>
    <n v="0"/>
    <s v="NO"/>
    <n v="0"/>
    <x v="1"/>
    <n v="0"/>
    <s v="NO"/>
    <n v="110"/>
    <n v="80"/>
    <n v="2"/>
    <n v="3"/>
    <n v="11"/>
    <n v="12"/>
    <n v="9.6999999999999993"/>
    <x v="1"/>
    <n v="5"/>
    <n v="23"/>
    <n v="107.33333333333333"/>
    <x v="0"/>
    <x v="2"/>
    <x v="0"/>
  </r>
  <r>
    <n v="189"/>
    <n v="189"/>
    <n v="0"/>
    <x v="0"/>
    <n v="28"/>
    <n v="76"/>
    <n v="154"/>
    <n v="16"/>
    <n v="72"/>
    <n v="20"/>
    <n v="12.5"/>
    <n v="2"/>
    <n v="6"/>
    <n v="8"/>
    <n v="1"/>
    <s v="YES"/>
    <n v="0"/>
    <n v="108.66"/>
    <x v="79"/>
    <n v="6.53"/>
    <n v="3.62"/>
    <n v="1.8038674033149171"/>
    <x v="1"/>
    <n v="40"/>
    <n v="34"/>
    <n v="0.85"/>
    <n v="2.92"/>
    <n v="3.99"/>
    <n v="6.72"/>
    <n v="21"/>
    <x v="1"/>
    <n v="0.56999999999999995"/>
    <n v="116"/>
    <n v="0"/>
    <x v="0"/>
    <n v="1"/>
    <s v="YES"/>
    <n v="0"/>
    <s v="NO"/>
    <n v="1"/>
    <s v="YES"/>
    <n v="0"/>
    <s v="NO"/>
    <n v="1"/>
    <x v="0"/>
    <n v="0"/>
    <s v="NO"/>
    <n v="120"/>
    <n v="80"/>
    <n v="1"/>
    <n v="2"/>
    <n v="13"/>
    <n v="13"/>
    <n v="6.3"/>
    <x v="3"/>
    <n v="3"/>
    <n v="26"/>
    <n v="107"/>
    <x v="0"/>
    <x v="1"/>
    <x v="0"/>
  </r>
  <r>
    <n v="190"/>
    <n v="190"/>
    <n v="1"/>
    <x v="1"/>
    <n v="23"/>
    <n v="58"/>
    <n v="159"/>
    <n v="15"/>
    <n v="74"/>
    <n v="18"/>
    <n v="10.8"/>
    <n v="4"/>
    <n v="4"/>
    <n v="2.5"/>
    <n v="0"/>
    <s v="NO"/>
    <n v="0"/>
    <n v="1.99"/>
    <x v="0"/>
    <n v="3.26"/>
    <n v="2.19"/>
    <n v="1.4885844748858448"/>
    <x v="1"/>
    <n v="37"/>
    <n v="34"/>
    <n v="0.92"/>
    <n v="0.55000000000000004"/>
    <n v="5.69"/>
    <n v="25.35"/>
    <n v="8.6"/>
    <x v="0"/>
    <n v="0.19"/>
    <n v="133"/>
    <n v="1"/>
    <x v="1"/>
    <n v="1"/>
    <s v="YES"/>
    <n v="0"/>
    <s v="NO"/>
    <n v="1"/>
    <s v="YES"/>
    <n v="1"/>
    <s v="YES"/>
    <n v="1"/>
    <x v="0"/>
    <n v="1"/>
    <s v="YES"/>
    <n v="110"/>
    <n v="80"/>
    <n v="7"/>
    <n v="9"/>
    <n v="16"/>
    <n v="15"/>
    <n v="13"/>
    <x v="0"/>
    <n v="16"/>
    <n v="31"/>
    <n v="109"/>
    <x v="2"/>
    <x v="4"/>
    <x v="0"/>
  </r>
  <r>
    <n v="191"/>
    <n v="191"/>
    <n v="0"/>
    <x v="0"/>
    <n v="34"/>
    <n v="54"/>
    <n v="153"/>
    <n v="13"/>
    <n v="73"/>
    <n v="18"/>
    <n v="12.8"/>
    <n v="4"/>
    <n v="4"/>
    <n v="12"/>
    <n v="0"/>
    <s v="NO"/>
    <n v="0"/>
    <n v="1.99"/>
    <x v="0"/>
    <n v="6.89"/>
    <n v="4.75"/>
    <n v="1.4505263157894737"/>
    <x v="1"/>
    <n v="36"/>
    <n v="30"/>
    <n v="0.83"/>
    <n v="1.61"/>
    <n v="7.81"/>
    <n v="14.76"/>
    <n v="54.01"/>
    <x v="1"/>
    <n v="0.11"/>
    <n v="98"/>
    <n v="0"/>
    <x v="0"/>
    <n v="1"/>
    <s v="YES"/>
    <n v="0"/>
    <s v="NO"/>
    <n v="0"/>
    <s v="NO"/>
    <n v="1"/>
    <s v="YES"/>
    <n v="0"/>
    <x v="1"/>
    <n v="1"/>
    <s v="YES"/>
    <n v="120"/>
    <n v="80"/>
    <n v="6"/>
    <n v="6"/>
    <n v="11"/>
    <n v="12"/>
    <n v="6"/>
    <x v="0"/>
    <n v="12"/>
    <n v="23"/>
    <n v="108.66666666666667"/>
    <x v="1"/>
    <x v="1"/>
    <x v="0"/>
  </r>
  <r>
    <n v="192"/>
    <n v="192"/>
    <n v="1"/>
    <x v="1"/>
    <n v="29"/>
    <n v="63"/>
    <n v="153"/>
    <n v="17"/>
    <n v="74"/>
    <n v="18"/>
    <n v="11"/>
    <n v="4"/>
    <n v="3"/>
    <n v="8"/>
    <n v="0"/>
    <s v="NO"/>
    <n v="0"/>
    <n v="3.99"/>
    <x v="80"/>
    <n v="3.63"/>
    <n v="1.02"/>
    <n v="3.5588235294117645"/>
    <x v="0"/>
    <n v="39"/>
    <n v="35"/>
    <n v="0.9"/>
    <n v="2.66"/>
    <n v="6.41"/>
    <n v="29.08"/>
    <n v="6014.66"/>
    <x v="1"/>
    <n v="0.25"/>
    <n v="123"/>
    <n v="1"/>
    <x v="1"/>
    <n v="1"/>
    <s v="YES"/>
    <n v="1"/>
    <s v="YES"/>
    <n v="1"/>
    <s v="YES"/>
    <n v="1"/>
    <s v="YES"/>
    <n v="1"/>
    <x v="0"/>
    <n v="0"/>
    <s v="NO"/>
    <n v="120"/>
    <n v="70"/>
    <n v="14"/>
    <n v="16"/>
    <n v="16"/>
    <n v="17"/>
    <n v="9"/>
    <x v="1"/>
    <n v="30"/>
    <n v="33"/>
    <n v="98"/>
    <x v="2"/>
    <x v="3"/>
    <x v="0"/>
  </r>
  <r>
    <n v="193"/>
    <n v="193"/>
    <n v="0"/>
    <x v="0"/>
    <n v="30"/>
    <n v="67"/>
    <n v="167"/>
    <n v="12"/>
    <n v="72"/>
    <n v="22"/>
    <n v="12"/>
    <n v="4"/>
    <n v="5"/>
    <n v="10"/>
    <n v="1"/>
    <s v="YES"/>
    <n v="1"/>
    <n v="455.8"/>
    <x v="81"/>
    <n v="5.7"/>
    <n v="2.37"/>
    <n v="2.4050632911392404"/>
    <x v="0"/>
    <n v="37"/>
    <n v="32"/>
    <n v="0.86"/>
    <n v="2.36"/>
    <n v="5.76"/>
    <n v="10.79"/>
    <n v="28.7"/>
    <x v="1"/>
    <n v="0.25"/>
    <n v="108"/>
    <n v="0"/>
    <x v="0"/>
    <n v="1"/>
    <s v="YES"/>
    <n v="0"/>
    <s v="NO"/>
    <n v="0"/>
    <s v="NO"/>
    <n v="1"/>
    <s v="YES"/>
    <n v="0"/>
    <x v="1"/>
    <n v="1"/>
    <s v="YES"/>
    <n v="110"/>
    <n v="80"/>
    <n v="2"/>
    <n v="4"/>
    <n v="10"/>
    <n v="13"/>
    <n v="6"/>
    <x v="0"/>
    <n v="6"/>
    <n v="23"/>
    <n v="107.33333333333333"/>
    <x v="0"/>
    <x v="1"/>
    <x v="0"/>
  </r>
  <r>
    <n v="194"/>
    <n v="194"/>
    <n v="0"/>
    <x v="0"/>
    <n v="30"/>
    <n v="55"/>
    <n v="173.7"/>
    <n v="11"/>
    <n v="72"/>
    <n v="20"/>
    <n v="13.8"/>
    <n v="2"/>
    <n v="5"/>
    <n v="8"/>
    <n v="0"/>
    <s v="NO"/>
    <n v="0"/>
    <n v="2.0099999999999998"/>
    <x v="0"/>
    <n v="5.64"/>
    <n v="4.45"/>
    <n v="1.2674157303370785"/>
    <x v="1"/>
    <n v="34"/>
    <n v="32"/>
    <n v="0.94"/>
    <n v="10.220000000000001"/>
    <n v="1.68"/>
    <n v="20.63"/>
    <n v="29.1"/>
    <x v="1"/>
    <n v="0.89"/>
    <n v="91"/>
    <n v="0"/>
    <x v="0"/>
    <n v="0"/>
    <s v="NO"/>
    <n v="0"/>
    <s v="NO"/>
    <n v="1"/>
    <s v="YES"/>
    <n v="1"/>
    <s v="YES"/>
    <n v="0"/>
    <x v="1"/>
    <n v="0"/>
    <s v="NO"/>
    <n v="120"/>
    <n v="80"/>
    <n v="2"/>
    <n v="2"/>
    <n v="10"/>
    <n v="11"/>
    <n v="7"/>
    <x v="2"/>
    <n v="4"/>
    <n v="21"/>
    <n v="107.33333333333333"/>
    <x v="0"/>
    <x v="1"/>
    <x v="0"/>
  </r>
  <r>
    <n v="195"/>
    <n v="195"/>
    <n v="0"/>
    <x v="0"/>
    <n v="29"/>
    <n v="50"/>
    <n v="152"/>
    <n v="13"/>
    <n v="74"/>
    <n v="18"/>
    <n v="10.8"/>
    <n v="4"/>
    <n v="3"/>
    <n v="6"/>
    <n v="1"/>
    <s v="YES"/>
    <n v="0"/>
    <n v="122.58"/>
    <x v="82"/>
    <n v="5.49"/>
    <n v="7.06"/>
    <n v="0.7776203966005667"/>
    <x v="1"/>
    <n v="36"/>
    <n v="34"/>
    <n v="0.94"/>
    <n v="2.8"/>
    <n v="8.75"/>
    <n v="25.73"/>
    <n v="57.08"/>
    <x v="1"/>
    <n v="0.4"/>
    <n v="102"/>
    <n v="0"/>
    <x v="0"/>
    <n v="1"/>
    <s v="YES"/>
    <n v="0"/>
    <s v="NO"/>
    <n v="0"/>
    <s v="NO"/>
    <n v="1"/>
    <s v="YES"/>
    <n v="1"/>
    <x v="0"/>
    <n v="0"/>
    <s v="NO"/>
    <n v="120"/>
    <n v="80"/>
    <n v="5"/>
    <n v="6"/>
    <n v="13"/>
    <n v="12"/>
    <n v="7"/>
    <x v="0"/>
    <n v="11"/>
    <n v="25"/>
    <n v="108.33333333333333"/>
    <x v="1"/>
    <x v="1"/>
    <x v="0"/>
  </r>
  <r>
    <n v="196"/>
    <n v="196"/>
    <n v="1"/>
    <x v="1"/>
    <n v="35"/>
    <n v="60"/>
    <n v="153.4"/>
    <n v="13"/>
    <n v="72"/>
    <n v="20"/>
    <n v="13.2"/>
    <n v="4"/>
    <n v="4"/>
    <n v="14"/>
    <n v="0"/>
    <s v="NO"/>
    <n v="1"/>
    <n v="1.99"/>
    <x v="0"/>
    <n v="22"/>
    <n v="3.39"/>
    <n v="6.4896755162241888"/>
    <x v="0"/>
    <n v="38"/>
    <n v="35"/>
    <n v="0.92"/>
    <n v="2.42"/>
    <n v="6.65"/>
    <n v="16.34"/>
    <n v="5418.6"/>
    <x v="1"/>
    <n v="0.31"/>
    <n v="100"/>
    <n v="1"/>
    <x v="1"/>
    <n v="0"/>
    <s v="NO"/>
    <n v="1"/>
    <s v="YES"/>
    <n v="1"/>
    <s v="YES"/>
    <n v="1"/>
    <s v="YES"/>
    <n v="1"/>
    <x v="0"/>
    <n v="0"/>
    <s v="NO"/>
    <n v="120"/>
    <n v="80"/>
    <n v="8"/>
    <n v="10"/>
    <n v="15"/>
    <n v="13"/>
    <n v="5.5"/>
    <x v="1"/>
    <n v="18"/>
    <n v="28"/>
    <n v="109.33333333333333"/>
    <x v="2"/>
    <x v="4"/>
    <x v="0"/>
  </r>
  <r>
    <n v="197"/>
    <n v="197"/>
    <n v="1"/>
    <x v="1"/>
    <n v="35"/>
    <n v="56"/>
    <n v="156"/>
    <n v="14"/>
    <n v="73"/>
    <n v="18"/>
    <n v="12.1"/>
    <n v="2"/>
    <n v="4"/>
    <n v="15"/>
    <n v="0"/>
    <s v="NO"/>
    <n v="0"/>
    <n v="2.1"/>
    <x v="0"/>
    <n v="2.5569999999999999"/>
    <n v="1.17"/>
    <n v="2.1854700854700857"/>
    <x v="0"/>
    <n v="38"/>
    <n v="34"/>
    <n v="0.89"/>
    <n v="3.03"/>
    <n v="4.1500000000000004"/>
    <n v="26.18"/>
    <n v="6.077"/>
    <x v="0"/>
    <n v="0.47"/>
    <n v="138"/>
    <n v="1"/>
    <x v="1"/>
    <n v="1"/>
    <s v="YES"/>
    <n v="0"/>
    <s v="NO"/>
    <n v="1"/>
    <s v="YES"/>
    <n v="1"/>
    <s v="YES"/>
    <n v="1"/>
    <x v="0"/>
    <n v="1"/>
    <s v="YES"/>
    <n v="120"/>
    <n v="80"/>
    <n v="12"/>
    <n v="11"/>
    <n v="14"/>
    <n v="14"/>
    <n v="5.6"/>
    <x v="0"/>
    <n v="23"/>
    <n v="28"/>
    <n v="110.66666666666667"/>
    <x v="1"/>
    <x v="4"/>
    <x v="0"/>
  </r>
  <r>
    <n v="198"/>
    <n v="198"/>
    <n v="0"/>
    <x v="0"/>
    <n v="28"/>
    <n v="70"/>
    <n v="158"/>
    <n v="15"/>
    <n v="72"/>
    <n v="18"/>
    <n v="12"/>
    <n v="2"/>
    <n v="5"/>
    <n v="6"/>
    <n v="0"/>
    <s v="NO"/>
    <n v="0"/>
    <n v="1.99"/>
    <x v="0"/>
    <n v="5.3"/>
    <n v="2.72"/>
    <n v="1.9485294117647056"/>
    <x v="1"/>
    <n v="39"/>
    <n v="35"/>
    <n v="0.9"/>
    <n v="2.4900000000000002"/>
    <n v="1.86"/>
    <n v="10.87"/>
    <n v="61.58"/>
    <x v="1"/>
    <n v="0.79"/>
    <n v="90"/>
    <n v="1"/>
    <x v="1"/>
    <n v="1"/>
    <s v="YES"/>
    <n v="0"/>
    <s v="NO"/>
    <n v="1"/>
    <s v="YES"/>
    <n v="0"/>
    <s v="NO"/>
    <n v="1"/>
    <x v="0"/>
    <n v="0"/>
    <s v="NO"/>
    <n v="110"/>
    <n v="80"/>
    <n v="5"/>
    <n v="7"/>
    <n v="12"/>
    <n v="14"/>
    <n v="9"/>
    <x v="1"/>
    <n v="12"/>
    <n v="26"/>
    <n v="108.33333333333333"/>
    <x v="1"/>
    <x v="1"/>
    <x v="0"/>
  </r>
  <r>
    <n v="199"/>
    <n v="199"/>
    <n v="0"/>
    <x v="0"/>
    <n v="32"/>
    <n v="49"/>
    <n v="154"/>
    <n v="11"/>
    <n v="72"/>
    <n v="20"/>
    <n v="11.2"/>
    <n v="2"/>
    <n v="5"/>
    <n v="12"/>
    <n v="1"/>
    <s v="YES"/>
    <n v="1"/>
    <n v="689.1"/>
    <x v="83"/>
    <n v="7.09"/>
    <n v="3.81"/>
    <n v="1.8608923884514434"/>
    <x v="1"/>
    <n v="35"/>
    <n v="32"/>
    <n v="0.91"/>
    <n v="1.361"/>
    <n v="2.04"/>
    <n v="23.24"/>
    <n v="47.36"/>
    <x v="1"/>
    <n v="0.25"/>
    <n v="92"/>
    <n v="0"/>
    <x v="0"/>
    <n v="0"/>
    <s v="NO"/>
    <n v="0"/>
    <s v="NO"/>
    <n v="1"/>
    <s v="YES"/>
    <n v="1"/>
    <s v="YES"/>
    <n v="1"/>
    <x v="0"/>
    <n v="0"/>
    <s v="NO"/>
    <n v="110"/>
    <n v="70"/>
    <n v="6"/>
    <n v="4"/>
    <n v="10"/>
    <n v="14"/>
    <n v="6"/>
    <x v="0"/>
    <n v="10"/>
    <n v="24"/>
    <n v="95.333333333333329"/>
    <x v="1"/>
    <x v="1"/>
    <x v="0"/>
  </r>
  <r>
    <n v="200"/>
    <n v="200"/>
    <n v="1"/>
    <x v="1"/>
    <n v="25"/>
    <n v="58"/>
    <n v="160"/>
    <n v="15"/>
    <n v="74"/>
    <n v="18"/>
    <n v="11.9"/>
    <n v="4"/>
    <n v="3"/>
    <n v="3"/>
    <n v="0"/>
    <s v="NO"/>
    <n v="0"/>
    <n v="1.99"/>
    <x v="0"/>
    <n v="3.8"/>
    <n v="3.57"/>
    <n v="1.0644257703081232"/>
    <x v="1"/>
    <n v="38"/>
    <n v="36"/>
    <n v="0.95"/>
    <n v="3.9"/>
    <n v="7.25"/>
    <n v="30.78"/>
    <n v="55.6"/>
    <x v="1"/>
    <n v="0.25"/>
    <n v="90"/>
    <n v="1"/>
    <x v="1"/>
    <n v="1"/>
    <s v="YES"/>
    <n v="1"/>
    <s v="YES"/>
    <n v="1"/>
    <s v="YES"/>
    <n v="0"/>
    <s v="NO"/>
    <n v="1"/>
    <x v="0"/>
    <n v="0"/>
    <s v="NO"/>
    <n v="110"/>
    <n v="80"/>
    <n v="12"/>
    <n v="12"/>
    <n v="14"/>
    <n v="17"/>
    <n v="10.5"/>
    <x v="0"/>
    <n v="24"/>
    <n v="31"/>
    <n v="110.66666666666667"/>
    <x v="2"/>
    <x v="4"/>
    <x v="0"/>
  </r>
  <r>
    <n v="201"/>
    <n v="201"/>
    <n v="0"/>
    <x v="0"/>
    <n v="30"/>
    <n v="47"/>
    <n v="158"/>
    <n v="15"/>
    <n v="73"/>
    <n v="18"/>
    <n v="11.2"/>
    <n v="2"/>
    <n v="6"/>
    <n v="10"/>
    <n v="0"/>
    <s v="NO"/>
    <n v="0"/>
    <n v="3.44"/>
    <x v="0"/>
    <n v="8.99"/>
    <n v="3.1"/>
    <n v="2.9"/>
    <x v="0"/>
    <n v="36"/>
    <n v="32"/>
    <n v="0.89"/>
    <n v="1.71"/>
    <n v="1.04"/>
    <n v="28.67"/>
    <n v="22"/>
    <x v="1"/>
    <n v="0.24"/>
    <n v="91"/>
    <n v="0"/>
    <x v="0"/>
    <n v="0"/>
    <s v="NO"/>
    <n v="0"/>
    <s v="NO"/>
    <n v="1"/>
    <s v="YES"/>
    <n v="1"/>
    <s v="YES"/>
    <n v="1"/>
    <x v="0"/>
    <n v="1"/>
    <s v="YES"/>
    <n v="120"/>
    <n v="8"/>
    <n v="2"/>
    <n v="1"/>
    <n v="11"/>
    <n v="14"/>
    <n v="6"/>
    <x v="0"/>
    <n v="3"/>
    <n v="25"/>
    <n v="11.333333333333334"/>
    <x v="0"/>
    <x v="1"/>
    <x v="0"/>
  </r>
  <r>
    <n v="202"/>
    <n v="202"/>
    <n v="0"/>
    <x v="0"/>
    <n v="28"/>
    <n v="56"/>
    <n v="158"/>
    <n v="13"/>
    <n v="72"/>
    <n v="20"/>
    <n v="10.8"/>
    <n v="2"/>
    <n v="5"/>
    <n v="8"/>
    <n v="1"/>
    <s v="YES"/>
    <n v="0"/>
    <n v="122.3"/>
    <x v="84"/>
    <n v="5.2"/>
    <n v="4.97"/>
    <n v="1.046277665995976"/>
    <x v="1"/>
    <n v="37"/>
    <n v="35"/>
    <n v="0.95"/>
    <n v="2.74"/>
    <n v="1.91"/>
    <n v="14"/>
    <n v="9.01"/>
    <x v="0"/>
    <n v="0.14000000000000001"/>
    <n v="100"/>
    <n v="1"/>
    <x v="1"/>
    <n v="0"/>
    <s v="NO"/>
    <n v="0"/>
    <s v="NO"/>
    <n v="1"/>
    <s v="YES"/>
    <n v="0"/>
    <s v="NO"/>
    <n v="1"/>
    <x v="0"/>
    <n v="0"/>
    <s v="NO"/>
    <n v="120"/>
    <n v="80"/>
    <n v="2"/>
    <n v="4"/>
    <n v="12"/>
    <n v="12"/>
    <n v="9.8000000000000007"/>
    <x v="0"/>
    <n v="6"/>
    <n v="24"/>
    <n v="107.33333333333333"/>
    <x v="0"/>
    <x v="2"/>
    <x v="0"/>
  </r>
  <r>
    <n v="203"/>
    <n v="203"/>
    <n v="0"/>
    <x v="0"/>
    <n v="28"/>
    <n v="80"/>
    <n v="163"/>
    <n v="15"/>
    <n v="74"/>
    <n v="20"/>
    <n v="11.8"/>
    <n v="2"/>
    <n v="6"/>
    <n v="6"/>
    <n v="1"/>
    <s v="YES"/>
    <n v="0"/>
    <n v="596.20000000000005"/>
    <x v="85"/>
    <n v="3.08"/>
    <n v="4.08"/>
    <n v="0.75490196078431371"/>
    <x v="1"/>
    <n v="40"/>
    <n v="36"/>
    <n v="0.9"/>
    <n v="1.71"/>
    <n v="2.2999999999999998"/>
    <n v="10.3"/>
    <n v="62"/>
    <x v="1"/>
    <n v="0.9"/>
    <n v="116"/>
    <n v="1"/>
    <x v="1"/>
    <n v="1"/>
    <s v="YES"/>
    <n v="1"/>
    <s v="YES"/>
    <n v="1"/>
    <s v="YES"/>
    <n v="1"/>
    <s v="YES"/>
    <n v="1"/>
    <x v="0"/>
    <n v="0"/>
    <s v="NO"/>
    <n v="120"/>
    <n v="80"/>
    <n v="3"/>
    <n v="2"/>
    <n v="12"/>
    <n v="14"/>
    <n v="9.9"/>
    <x v="3"/>
    <n v="5"/>
    <n v="26"/>
    <n v="107.66666666666667"/>
    <x v="1"/>
    <x v="3"/>
    <x v="0"/>
  </r>
  <r>
    <n v="204"/>
    <n v="204"/>
    <n v="1"/>
    <x v="1"/>
    <n v="23"/>
    <n v="49"/>
    <n v="145"/>
    <n v="14"/>
    <n v="73"/>
    <n v="18"/>
    <n v="13.2"/>
    <n v="4"/>
    <n v="4"/>
    <n v="4"/>
    <n v="0"/>
    <s v="NO"/>
    <n v="0"/>
    <n v="1.99"/>
    <x v="0"/>
    <n v="4.07"/>
    <n v="2.59"/>
    <n v="1.5714285714285716"/>
    <x v="1"/>
    <n v="36"/>
    <n v="34"/>
    <n v="0.94"/>
    <n v="2.04"/>
    <n v="5.61"/>
    <n v="10.220000000000001"/>
    <n v="15.36"/>
    <x v="0"/>
    <n v="0.79"/>
    <n v="108"/>
    <n v="1"/>
    <x v="1"/>
    <n v="1"/>
    <s v="YES"/>
    <n v="0"/>
    <s v="NO"/>
    <n v="1"/>
    <s v="YES"/>
    <n v="0"/>
    <s v="NO"/>
    <n v="1"/>
    <x v="0"/>
    <n v="0"/>
    <s v="NO"/>
    <n v="110"/>
    <n v="80"/>
    <n v="14"/>
    <n v="16"/>
    <n v="17"/>
    <n v="15"/>
    <n v="10.6"/>
    <x v="0"/>
    <n v="30"/>
    <n v="32"/>
    <n v="111.33333333333333"/>
    <x v="2"/>
    <x v="1"/>
    <x v="0"/>
  </r>
  <r>
    <n v="205"/>
    <n v="205"/>
    <n v="0"/>
    <x v="0"/>
    <n v="30"/>
    <n v="55"/>
    <n v="162"/>
    <n v="12"/>
    <n v="72"/>
    <n v="18"/>
    <n v="11.2"/>
    <n v="2"/>
    <n v="6"/>
    <n v="10"/>
    <n v="0"/>
    <s v="NO"/>
    <n v="0"/>
    <n v="4.5999999999999996"/>
    <x v="53"/>
    <n v="6.06"/>
    <n v="3.79"/>
    <n v="1.5989445910290236"/>
    <x v="1"/>
    <n v="37"/>
    <n v="35"/>
    <n v="0.95"/>
    <n v="2.2599999999999998"/>
    <n v="3.02"/>
    <n v="30.71"/>
    <n v="48.63"/>
    <x v="1"/>
    <n v="0.41"/>
    <n v="91"/>
    <n v="0"/>
    <x v="0"/>
    <n v="0"/>
    <s v="NO"/>
    <n v="0"/>
    <s v="NO"/>
    <n v="1"/>
    <s v="YES"/>
    <n v="1"/>
    <s v="YES"/>
    <n v="1"/>
    <x v="0"/>
    <n v="1"/>
    <s v="YES"/>
    <n v="120"/>
    <n v="70"/>
    <n v="5"/>
    <n v="6"/>
    <n v="12"/>
    <n v="15"/>
    <n v="8.5"/>
    <x v="0"/>
    <n v="11"/>
    <n v="27"/>
    <n v="95"/>
    <x v="1"/>
    <x v="1"/>
    <x v="0"/>
  </r>
  <r>
    <n v="206"/>
    <n v="206"/>
    <n v="1"/>
    <x v="1"/>
    <n v="28"/>
    <n v="62"/>
    <n v="160"/>
    <n v="15"/>
    <n v="73"/>
    <n v="18"/>
    <n v="12"/>
    <n v="4"/>
    <n v="5"/>
    <n v="7"/>
    <n v="0"/>
    <s v="NO"/>
    <n v="0"/>
    <n v="2.1"/>
    <x v="0"/>
    <n v="3.44"/>
    <n v="0.77"/>
    <n v="4.4675324675324672"/>
    <x v="0"/>
    <n v="39"/>
    <n v="35"/>
    <n v="0.9"/>
    <n v="0.75"/>
    <n v="5.25"/>
    <n v="23.12"/>
    <n v="43.68"/>
    <x v="1"/>
    <n v="0.32"/>
    <n v="140"/>
    <n v="1"/>
    <x v="1"/>
    <n v="1"/>
    <s v="YES"/>
    <n v="1"/>
    <s v="YES"/>
    <n v="0"/>
    <s v="NO"/>
    <n v="1"/>
    <s v="YES"/>
    <n v="1"/>
    <x v="0"/>
    <n v="1"/>
    <s v="YES"/>
    <n v="110"/>
    <n v="80"/>
    <n v="15"/>
    <n v="18"/>
    <n v="15"/>
    <n v="19"/>
    <n v="8"/>
    <x v="0"/>
    <n v="33"/>
    <n v="34"/>
    <n v="111.66666666666667"/>
    <x v="2"/>
    <x v="4"/>
    <x v="0"/>
  </r>
  <r>
    <n v="207"/>
    <n v="207"/>
    <n v="1"/>
    <x v="1"/>
    <n v="24"/>
    <n v="83"/>
    <n v="161"/>
    <n v="15"/>
    <n v="75"/>
    <n v="18"/>
    <n v="12.6"/>
    <n v="4"/>
    <n v="4"/>
    <n v="2.5"/>
    <n v="0"/>
    <s v="NO"/>
    <n v="0"/>
    <n v="2.5"/>
    <x v="0"/>
    <n v="3.3"/>
    <n v="0.79"/>
    <n v="4.1772151898734169"/>
    <x v="0"/>
    <n v="42"/>
    <n v="38"/>
    <n v="0.9"/>
    <n v="2.59"/>
    <n v="2.38"/>
    <n v="30.33"/>
    <n v="63.1"/>
    <x v="1"/>
    <n v="0.32"/>
    <n v="110"/>
    <n v="1"/>
    <x v="1"/>
    <n v="1"/>
    <s v="YES"/>
    <n v="1"/>
    <s v="YES"/>
    <n v="1"/>
    <s v="YES"/>
    <n v="1"/>
    <s v="YES"/>
    <n v="1"/>
    <x v="0"/>
    <n v="0"/>
    <s v="NO"/>
    <n v="120"/>
    <n v="80"/>
    <n v="16"/>
    <n v="15"/>
    <n v="12"/>
    <n v="14"/>
    <n v="5.5"/>
    <x v="3"/>
    <n v="31"/>
    <n v="26"/>
    <n v="112"/>
    <x v="2"/>
    <x v="3"/>
    <x v="0"/>
  </r>
  <r>
    <n v="208"/>
    <n v="208"/>
    <n v="0"/>
    <x v="0"/>
    <n v="32"/>
    <n v="60"/>
    <n v="145"/>
    <n v="15"/>
    <n v="73"/>
    <n v="18"/>
    <n v="11.2"/>
    <n v="4"/>
    <n v="5"/>
    <n v="12"/>
    <n v="1"/>
    <s v="YES"/>
    <n v="2"/>
    <n v="2054.3000000000002"/>
    <x v="86"/>
    <n v="2.4700000000000002"/>
    <n v="1.43"/>
    <n v="1.7272727272727275"/>
    <x v="1"/>
    <n v="37"/>
    <n v="34"/>
    <n v="0.92"/>
    <n v="3.64"/>
    <n v="7"/>
    <n v="11.76"/>
    <n v="87.2"/>
    <x v="1"/>
    <n v="0.25"/>
    <n v="108"/>
    <n v="1"/>
    <x v="1"/>
    <n v="0"/>
    <s v="NO"/>
    <n v="0"/>
    <s v="NO"/>
    <n v="1"/>
    <s v="YES"/>
    <n v="1"/>
    <s v="YES"/>
    <n v="0"/>
    <x v="1"/>
    <n v="0"/>
    <s v="NO"/>
    <n v="120"/>
    <n v="80"/>
    <n v="3"/>
    <n v="4"/>
    <n v="14"/>
    <n v="12"/>
    <n v="7.5"/>
    <x v="1"/>
    <n v="7"/>
    <n v="26"/>
    <n v="107.66666666666667"/>
    <x v="0"/>
    <x v="1"/>
    <x v="0"/>
  </r>
  <r>
    <n v="209"/>
    <n v="209"/>
    <n v="0"/>
    <x v="0"/>
    <n v="27"/>
    <n v="51"/>
    <n v="150"/>
    <n v="13"/>
    <n v="72"/>
    <n v="18"/>
    <n v="12.01"/>
    <n v="2"/>
    <n v="6"/>
    <n v="7"/>
    <n v="1"/>
    <s v="YES"/>
    <n v="0"/>
    <n v="147.6"/>
    <x v="87"/>
    <n v="5.79"/>
    <n v="3.57"/>
    <n v="1.6218487394957983"/>
    <x v="1"/>
    <n v="36"/>
    <n v="33"/>
    <n v="0.92"/>
    <n v="1.22"/>
    <n v="3.17"/>
    <n v="25.04"/>
    <n v="90"/>
    <x v="1"/>
    <n v="0.66"/>
    <n v="84"/>
    <n v="0"/>
    <x v="0"/>
    <n v="0"/>
    <s v="NO"/>
    <n v="0"/>
    <s v="NO"/>
    <n v="1"/>
    <s v="YES"/>
    <n v="1"/>
    <s v="YES"/>
    <n v="0"/>
    <x v="1"/>
    <n v="0"/>
    <s v="NO"/>
    <n v="110"/>
    <n v="80"/>
    <n v="5"/>
    <n v="7"/>
    <n v="12"/>
    <n v="13"/>
    <n v="6.5"/>
    <x v="0"/>
    <n v="12"/>
    <n v="25"/>
    <n v="108.33333333333333"/>
    <x v="1"/>
    <x v="1"/>
    <x v="0"/>
  </r>
  <r>
    <n v="210"/>
    <n v="210"/>
    <n v="1"/>
    <x v="1"/>
    <n v="35"/>
    <n v="62"/>
    <n v="146"/>
    <n v="17"/>
    <n v="74"/>
    <n v="20"/>
    <n v="13.4"/>
    <n v="4"/>
    <n v="4"/>
    <n v="12"/>
    <n v="0"/>
    <s v="NO"/>
    <n v="1"/>
    <n v="1.99"/>
    <x v="0"/>
    <n v="1.59"/>
    <n v="0.6"/>
    <n v="2.6500000000000004"/>
    <x v="0"/>
    <n v="38"/>
    <n v="35"/>
    <n v="0.92"/>
    <n v="1.58"/>
    <n v="5.57"/>
    <n v="12.37"/>
    <n v="46.58"/>
    <x v="1"/>
    <n v="1.1000000000000001"/>
    <n v="98"/>
    <n v="1"/>
    <x v="1"/>
    <n v="1"/>
    <s v="YES"/>
    <n v="0"/>
    <s v="NO"/>
    <n v="1"/>
    <s v="YES"/>
    <n v="1"/>
    <s v="YES"/>
    <n v="1"/>
    <x v="0"/>
    <n v="1"/>
    <s v="YES"/>
    <n v="120"/>
    <n v="80"/>
    <n v="8"/>
    <n v="10"/>
    <n v="13"/>
    <n v="15"/>
    <n v="5.5"/>
    <x v="1"/>
    <n v="18"/>
    <n v="28"/>
    <n v="109.33333333333333"/>
    <x v="2"/>
    <x v="4"/>
    <x v="0"/>
  </r>
  <r>
    <n v="211"/>
    <n v="211"/>
    <n v="1"/>
    <x v="1"/>
    <n v="32"/>
    <n v="54"/>
    <n v="145"/>
    <n v="11"/>
    <n v="72"/>
    <n v="18"/>
    <n v="10.8"/>
    <n v="4"/>
    <n v="5"/>
    <n v="10"/>
    <n v="0"/>
    <s v="NO"/>
    <n v="0"/>
    <n v="2.2000000000000002"/>
    <x v="0"/>
    <n v="3.13"/>
    <n v="0.42"/>
    <n v="7.4523809523809526"/>
    <x v="0"/>
    <n v="37"/>
    <n v="34"/>
    <n v="0.92"/>
    <n v="1.45"/>
    <n v="4.57"/>
    <n v="31.96"/>
    <n v="21.2"/>
    <x v="1"/>
    <n v="0.36"/>
    <n v="102"/>
    <n v="1"/>
    <x v="1"/>
    <n v="0"/>
    <s v="NO"/>
    <n v="1"/>
    <s v="YES"/>
    <n v="1"/>
    <s v="YES"/>
    <n v="0"/>
    <s v="NO"/>
    <n v="1"/>
    <x v="0"/>
    <n v="0"/>
    <s v="NO"/>
    <n v="120"/>
    <n v="80"/>
    <n v="12"/>
    <n v="15"/>
    <n v="15"/>
    <n v="18"/>
    <n v="6.1"/>
    <x v="1"/>
    <n v="27"/>
    <n v="33"/>
    <n v="110.66666666666667"/>
    <x v="2"/>
    <x v="1"/>
    <x v="0"/>
  </r>
  <r>
    <n v="212"/>
    <n v="212"/>
    <n v="1"/>
    <x v="1"/>
    <n v="39"/>
    <n v="55"/>
    <n v="150"/>
    <n v="15"/>
    <n v="78"/>
    <n v="20"/>
    <n v="10.7"/>
    <n v="4"/>
    <n v="4"/>
    <n v="13"/>
    <n v="0"/>
    <s v="NO"/>
    <n v="0"/>
    <n v="12.37"/>
    <x v="88"/>
    <n v="5.4"/>
    <n v="1.95"/>
    <n v="2.7692307692307696"/>
    <x v="0"/>
    <n v="34"/>
    <n v="32"/>
    <n v="0.94"/>
    <n v="1"/>
    <n v="0.37"/>
    <n v="21.88"/>
    <n v="18.600000000000001"/>
    <x v="0"/>
    <n v="0.46"/>
    <n v="94"/>
    <n v="0"/>
    <x v="0"/>
    <n v="1"/>
    <s v="YES"/>
    <n v="1"/>
    <s v="YES"/>
    <n v="0"/>
    <s v="NO"/>
    <n v="0"/>
    <s v="NO"/>
    <n v="1"/>
    <x v="0"/>
    <n v="0"/>
    <s v="NO"/>
    <n v="120"/>
    <n v="80"/>
    <n v="12"/>
    <n v="11"/>
    <n v="17"/>
    <n v="14"/>
    <n v="15"/>
    <x v="0"/>
    <n v="23"/>
    <n v="31"/>
    <n v="110.66666666666667"/>
    <x v="2"/>
    <x v="1"/>
    <x v="1"/>
  </r>
  <r>
    <n v="213"/>
    <n v="213"/>
    <n v="0"/>
    <x v="0"/>
    <n v="27"/>
    <n v="52"/>
    <n v="150"/>
    <n v="11"/>
    <n v="82"/>
    <n v="20"/>
    <n v="11.1"/>
    <n v="2"/>
    <n v="5"/>
    <n v="5"/>
    <n v="0"/>
    <s v="NO"/>
    <n v="0"/>
    <n v="1.99"/>
    <x v="0"/>
    <n v="4.97"/>
    <n v="2.23"/>
    <n v="2.2286995515695067"/>
    <x v="0"/>
    <n v="42"/>
    <n v="38"/>
    <n v="0.9"/>
    <n v="1.94"/>
    <n v="16.899999999999999"/>
    <n v="9.1199999999999992"/>
    <n v="23.6"/>
    <x v="1"/>
    <n v="0.25"/>
    <n v="93"/>
    <n v="0"/>
    <x v="0"/>
    <n v="0"/>
    <s v="NO"/>
    <n v="0"/>
    <s v="NO"/>
    <n v="1"/>
    <s v="YES"/>
    <n v="1"/>
    <s v="YES"/>
    <n v="0"/>
    <x v="1"/>
    <n v="1"/>
    <s v="YES"/>
    <n v="120"/>
    <n v="80"/>
    <n v="1"/>
    <n v="1"/>
    <n v="17"/>
    <n v="16"/>
    <n v="9.4"/>
    <x v="0"/>
    <n v="2"/>
    <n v="33"/>
    <n v="107"/>
    <x v="0"/>
    <x v="1"/>
    <x v="0"/>
  </r>
  <r>
    <n v="214"/>
    <n v="214"/>
    <n v="1"/>
    <x v="1"/>
    <n v="26"/>
    <n v="70"/>
    <n v="150"/>
    <n v="15"/>
    <n v="72"/>
    <n v="20"/>
    <n v="12"/>
    <n v="4"/>
    <n v="5"/>
    <n v="3"/>
    <n v="1"/>
    <s v="YES"/>
    <n v="0"/>
    <n v="144.63"/>
    <x v="89"/>
    <n v="3.63"/>
    <n v="8.34"/>
    <n v="0.43525179856115109"/>
    <x v="1"/>
    <n v="36"/>
    <n v="34"/>
    <n v="0.94"/>
    <n v="2.29"/>
    <n v="26.4"/>
    <n v="29.72"/>
    <n v="22.4"/>
    <x v="1"/>
    <n v="0.38"/>
    <n v="93"/>
    <n v="1"/>
    <x v="1"/>
    <n v="1"/>
    <s v="YES"/>
    <n v="0"/>
    <s v="NO"/>
    <n v="0"/>
    <s v="NO"/>
    <n v="1"/>
    <s v="YES"/>
    <n v="1"/>
    <x v="0"/>
    <n v="0"/>
    <s v="NO"/>
    <n v="110"/>
    <n v="80"/>
    <n v="8"/>
    <n v="7"/>
    <n v="17"/>
    <n v="14"/>
    <n v="6"/>
    <x v="3"/>
    <n v="15"/>
    <n v="31"/>
    <n v="109.33333333333333"/>
    <x v="2"/>
    <x v="1"/>
    <x v="0"/>
  </r>
  <r>
    <n v="215"/>
    <n v="215"/>
    <n v="0"/>
    <x v="0"/>
    <n v="29"/>
    <n v="63"/>
    <n v="152"/>
    <n v="11"/>
    <n v="72"/>
    <n v="18"/>
    <n v="13.2"/>
    <n v="2"/>
    <n v="6"/>
    <n v="11"/>
    <n v="1"/>
    <s v="YES"/>
    <n v="4"/>
    <n v="25000"/>
    <x v="90"/>
    <n v="1.99"/>
    <n v="1.61"/>
    <n v="1.2360248447204969"/>
    <x v="1"/>
    <n v="38"/>
    <n v="34"/>
    <n v="0.89"/>
    <n v="1.77"/>
    <n v="5.96"/>
    <n v="21.95"/>
    <n v="22.7"/>
    <x v="1"/>
    <n v="0.46"/>
    <n v="95"/>
    <n v="1"/>
    <x v="1"/>
    <n v="0"/>
    <s v="NO"/>
    <n v="0"/>
    <s v="NO"/>
    <n v="1"/>
    <s v="YES"/>
    <n v="1"/>
    <s v="YES"/>
    <n v="1"/>
    <x v="0"/>
    <n v="0"/>
    <s v="NO"/>
    <n v="110"/>
    <n v="80"/>
    <n v="6"/>
    <n v="7"/>
    <n v="16"/>
    <n v="14"/>
    <n v="5"/>
    <x v="1"/>
    <n v="13"/>
    <n v="30"/>
    <n v="108.66666666666667"/>
    <x v="1"/>
    <x v="1"/>
    <x v="0"/>
  </r>
  <r>
    <n v="216"/>
    <n v="216"/>
    <n v="0"/>
    <x v="0"/>
    <n v="41"/>
    <n v="71"/>
    <n v="160"/>
    <n v="15"/>
    <n v="74"/>
    <n v="20"/>
    <n v="11"/>
    <n v="4"/>
    <n v="3"/>
    <n v="16"/>
    <n v="0"/>
    <s v="NO"/>
    <n v="1"/>
    <n v="1.99"/>
    <x v="0"/>
    <n v="4.74"/>
    <n v="3.6"/>
    <n v="1.3166666666666667"/>
    <x v="1"/>
    <n v="40"/>
    <n v="36"/>
    <n v="0.9"/>
    <n v="1.0900000000000001"/>
    <n v="9.1"/>
    <n v="22.62"/>
    <n v="31.6"/>
    <x v="1"/>
    <n v="0.25"/>
    <n v="85"/>
    <n v="1"/>
    <x v="1"/>
    <n v="0"/>
    <s v="NO"/>
    <n v="0"/>
    <s v="NO"/>
    <n v="1"/>
    <s v="YES"/>
    <n v="1"/>
    <s v="YES"/>
    <n v="1"/>
    <x v="0"/>
    <n v="1"/>
    <s v="YES"/>
    <n v="120"/>
    <n v="80"/>
    <n v="9"/>
    <n v="7"/>
    <n v="14"/>
    <n v="14"/>
    <n v="10"/>
    <x v="1"/>
    <n v="16"/>
    <n v="28"/>
    <n v="109.66666666666667"/>
    <x v="2"/>
    <x v="1"/>
    <x v="0"/>
  </r>
  <r>
    <n v="217"/>
    <n v="217"/>
    <n v="1"/>
    <x v="1"/>
    <n v="36"/>
    <n v="66"/>
    <n v="162"/>
    <n v="15"/>
    <n v="72"/>
    <n v="20"/>
    <n v="11"/>
    <n v="2"/>
    <n v="5"/>
    <n v="13"/>
    <n v="1"/>
    <s v="YES"/>
    <n v="2"/>
    <n v="515.53"/>
    <x v="91"/>
    <n v="1.63"/>
    <n v="0.17"/>
    <n v="9.588235294117645"/>
    <x v="0"/>
    <n v="36"/>
    <n v="34"/>
    <n v="0.94"/>
    <n v="1.86"/>
    <n v="6.6"/>
    <n v="25"/>
    <n v="0"/>
    <x v="0"/>
    <n v="0.25"/>
    <n v="93"/>
    <n v="1"/>
    <x v="1"/>
    <n v="1"/>
    <s v="YES"/>
    <n v="1"/>
    <s v="YES"/>
    <n v="1"/>
    <s v="YES"/>
    <n v="1"/>
    <s v="YES"/>
    <n v="1"/>
    <x v="0"/>
    <n v="1"/>
    <s v="YES"/>
    <n v="120"/>
    <n v="80"/>
    <n v="14"/>
    <n v="6"/>
    <n v="15"/>
    <n v="13"/>
    <n v="9.6999999999999993"/>
    <x v="1"/>
    <n v="20"/>
    <n v="28"/>
    <n v="111.33333333333333"/>
    <x v="1"/>
    <x v="3"/>
    <x v="0"/>
  </r>
  <r>
    <n v="218"/>
    <n v="218"/>
    <n v="1"/>
    <x v="1"/>
    <n v="34"/>
    <n v="72"/>
    <n v="158"/>
    <n v="13"/>
    <n v="72"/>
    <n v="18"/>
    <n v="11"/>
    <n v="4"/>
    <n v="4"/>
    <n v="13"/>
    <n v="0"/>
    <s v="NO"/>
    <n v="1"/>
    <n v="1.99"/>
    <x v="92"/>
    <n v="4.76"/>
    <n v="2.7"/>
    <n v="1.7629629629629628"/>
    <x v="1"/>
    <n v="38"/>
    <n v="35"/>
    <n v="0.92"/>
    <n v="2.2999999999999998"/>
    <n v="22"/>
    <n v="12.46"/>
    <n v="22.7"/>
    <x v="1"/>
    <n v="0.25"/>
    <n v="93"/>
    <n v="1"/>
    <x v="1"/>
    <n v="1"/>
    <s v="YES"/>
    <n v="0"/>
    <s v="NO"/>
    <n v="1"/>
    <s v="YES"/>
    <n v="1"/>
    <s v="YES"/>
    <n v="1"/>
    <x v="0"/>
    <n v="0"/>
    <s v="NO"/>
    <n v="110"/>
    <n v="80"/>
    <n v="9"/>
    <n v="12"/>
    <n v="15"/>
    <n v="13"/>
    <n v="10"/>
    <x v="1"/>
    <n v="21"/>
    <n v="28"/>
    <n v="109.66666666666667"/>
    <x v="2"/>
    <x v="4"/>
    <x v="0"/>
  </r>
  <r>
    <n v="219"/>
    <n v="219"/>
    <n v="0"/>
    <x v="0"/>
    <n v="26"/>
    <n v="47.8"/>
    <n v="158"/>
    <n v="13"/>
    <n v="72"/>
    <n v="20"/>
    <n v="10.199999999999999"/>
    <n v="2"/>
    <n v="6"/>
    <n v="7"/>
    <n v="1"/>
    <s v="YES"/>
    <n v="0"/>
    <n v="70.42"/>
    <x v="93"/>
    <n v="6.28"/>
    <n v="4.04"/>
    <n v="1.5544554455445545"/>
    <x v="1"/>
    <n v="34"/>
    <n v="32"/>
    <n v="0.94"/>
    <n v="2.11"/>
    <n v="1.9"/>
    <n v="11.83"/>
    <n v="23.8"/>
    <x v="1"/>
    <n v="0.25"/>
    <n v="120"/>
    <n v="0"/>
    <x v="0"/>
    <n v="0"/>
    <s v="NO"/>
    <n v="0"/>
    <s v="NO"/>
    <n v="1"/>
    <s v="YES"/>
    <n v="1"/>
    <s v="YES"/>
    <n v="0"/>
    <x v="1"/>
    <n v="0"/>
    <s v="NO"/>
    <n v="120"/>
    <n v="80"/>
    <n v="6"/>
    <n v="6"/>
    <n v="17"/>
    <n v="16"/>
    <n v="10.199999999999999"/>
    <x v="0"/>
    <n v="12"/>
    <n v="33"/>
    <n v="108.66666666666667"/>
    <x v="1"/>
    <x v="1"/>
    <x v="0"/>
  </r>
  <r>
    <n v="220"/>
    <n v="220"/>
    <n v="0"/>
    <x v="0"/>
    <n v="27"/>
    <n v="76.8"/>
    <n v="155"/>
    <n v="13"/>
    <n v="78"/>
    <n v="20"/>
    <n v="11.1"/>
    <n v="4"/>
    <n v="4"/>
    <n v="1"/>
    <n v="0"/>
    <s v="NO"/>
    <n v="0"/>
    <n v="342.91"/>
    <x v="94"/>
    <n v="7.26"/>
    <n v="5.33"/>
    <n v="1.3621013133208255"/>
    <x v="1"/>
    <n v="37"/>
    <n v="35"/>
    <n v="0.95"/>
    <n v="6.07"/>
    <n v="4.3"/>
    <n v="23.54"/>
    <n v="21.8"/>
    <x v="1"/>
    <n v="0.25"/>
    <n v="93"/>
    <n v="1"/>
    <x v="1"/>
    <n v="0"/>
    <s v="NO"/>
    <n v="0"/>
    <s v="NO"/>
    <n v="1"/>
    <s v="YES"/>
    <n v="1"/>
    <s v="YES"/>
    <n v="1"/>
    <x v="0"/>
    <n v="0"/>
    <s v="NO"/>
    <n v="120"/>
    <n v="80"/>
    <n v="3"/>
    <n v="2"/>
    <n v="14"/>
    <n v="15"/>
    <n v="14"/>
    <x v="3"/>
    <n v="5"/>
    <n v="29"/>
    <n v="107.66666666666667"/>
    <x v="0"/>
    <x v="1"/>
    <x v="1"/>
  </r>
  <r>
    <n v="221"/>
    <n v="221"/>
    <n v="0"/>
    <x v="0"/>
    <n v="39"/>
    <n v="61"/>
    <n v="152"/>
    <n v="11"/>
    <n v="72"/>
    <n v="18"/>
    <n v="11"/>
    <n v="2"/>
    <n v="4"/>
    <n v="20"/>
    <n v="0"/>
    <s v="NO"/>
    <n v="3"/>
    <n v="1.99"/>
    <x v="0"/>
    <n v="8.91"/>
    <n v="1.49"/>
    <n v="5.9798657718120802"/>
    <x v="0"/>
    <n v="36"/>
    <n v="34"/>
    <n v="0.94"/>
    <n v="2.31"/>
    <n v="0.37"/>
    <n v="14.22"/>
    <n v="25.5"/>
    <x v="1"/>
    <n v="0.25"/>
    <n v="93"/>
    <n v="0"/>
    <x v="0"/>
    <n v="0"/>
    <s v="NO"/>
    <n v="0"/>
    <s v="NO"/>
    <n v="1"/>
    <s v="YES"/>
    <n v="0"/>
    <s v="NO"/>
    <n v="0"/>
    <x v="1"/>
    <n v="1"/>
    <s v="YES"/>
    <n v="120"/>
    <n v="80"/>
    <n v="1"/>
    <n v="1"/>
    <n v="16"/>
    <n v="12"/>
    <n v="10"/>
    <x v="1"/>
    <n v="2"/>
    <n v="28"/>
    <n v="107"/>
    <x v="0"/>
    <x v="2"/>
    <x v="0"/>
  </r>
  <r>
    <n v="222"/>
    <n v="222"/>
    <n v="1"/>
    <x v="1"/>
    <n v="31"/>
    <n v="31"/>
    <n v="158"/>
    <n v="15"/>
    <n v="80"/>
    <n v="20"/>
    <n v="12"/>
    <n v="4"/>
    <n v="3"/>
    <n v="3"/>
    <n v="0"/>
    <s v="NO"/>
    <n v="0"/>
    <n v="1.99"/>
    <x v="0"/>
    <n v="3.99"/>
    <n v="6.63"/>
    <n v="0.6018099547511313"/>
    <x v="1"/>
    <n v="32"/>
    <n v="28"/>
    <n v="0.88"/>
    <n v="1.3"/>
    <n v="17.600000000000001"/>
    <n v="13.91"/>
    <n v="19.57"/>
    <x v="0"/>
    <n v="0.25"/>
    <n v="133"/>
    <n v="0"/>
    <x v="0"/>
    <n v="1"/>
    <s v="YES"/>
    <n v="1"/>
    <s v="YES"/>
    <n v="1"/>
    <s v="YES"/>
    <n v="0"/>
    <s v="NO"/>
    <n v="1"/>
    <x v="0"/>
    <n v="0"/>
    <s v="NO"/>
    <n v="120"/>
    <n v="70"/>
    <n v="7"/>
    <n v="6"/>
    <n v="14"/>
    <n v="16"/>
    <n v="10"/>
    <x v="2"/>
    <n v="13"/>
    <n v="30"/>
    <n v="95.666666666666671"/>
    <x v="1"/>
    <x v="4"/>
    <x v="0"/>
  </r>
  <r>
    <n v="223"/>
    <n v="223"/>
    <n v="1"/>
    <x v="1"/>
    <n v="27"/>
    <n v="65"/>
    <n v="158"/>
    <n v="17"/>
    <n v="78"/>
    <n v="20"/>
    <n v="11.1"/>
    <n v="2"/>
    <n v="5"/>
    <n v="5"/>
    <n v="1"/>
    <s v="YES"/>
    <n v="0"/>
    <n v="148.52000000000001"/>
    <x v="95"/>
    <n v="4.96"/>
    <n v="1.75"/>
    <n v="2.8342857142857141"/>
    <x v="0"/>
    <n v="35"/>
    <n v="32"/>
    <n v="0.91"/>
    <n v="2.2000000000000002"/>
    <n v="1.1000000000000001"/>
    <n v="12.11"/>
    <n v="25.7"/>
    <x v="1"/>
    <n v="0.35"/>
    <n v="93"/>
    <n v="1"/>
    <x v="1"/>
    <n v="1"/>
    <s v="YES"/>
    <n v="1"/>
    <s v="YES"/>
    <n v="0"/>
    <s v="NO"/>
    <n v="1"/>
    <s v="YES"/>
    <n v="1"/>
    <x v="0"/>
    <n v="0"/>
    <s v="NO"/>
    <n v="120"/>
    <n v="70"/>
    <n v="14"/>
    <n v="10"/>
    <n v="16"/>
    <n v="15"/>
    <n v="8"/>
    <x v="1"/>
    <n v="24"/>
    <n v="31"/>
    <n v="98"/>
    <x v="1"/>
    <x v="4"/>
    <x v="0"/>
  </r>
  <r>
    <n v="224"/>
    <n v="224"/>
    <n v="0"/>
    <x v="0"/>
    <n v="30"/>
    <n v="62"/>
    <n v="169"/>
    <n v="11"/>
    <n v="18"/>
    <n v="20"/>
    <n v="12"/>
    <n v="2"/>
    <n v="5"/>
    <n v="5"/>
    <n v="0"/>
    <s v="NO"/>
    <n v="0"/>
    <n v="1.99"/>
    <x v="0"/>
    <n v="7.04"/>
    <n v="4.09"/>
    <n v="1.7212713936430319"/>
    <x v="1"/>
    <n v="38"/>
    <n v="34"/>
    <n v="0.89"/>
    <n v="1.54"/>
    <n v="7.8"/>
    <n v="19.600000000000001"/>
    <n v="31.8"/>
    <x v="1"/>
    <n v="0.25"/>
    <n v="95"/>
    <n v="0"/>
    <x v="0"/>
    <n v="0"/>
    <s v="NO"/>
    <n v="0"/>
    <s v="NO"/>
    <n v="1"/>
    <s v="YES"/>
    <n v="0"/>
    <s v="NO"/>
    <n v="1"/>
    <x v="0"/>
    <n v="1"/>
    <s v="YES"/>
    <n v="120"/>
    <n v="70"/>
    <n v="4"/>
    <n v="3"/>
    <n v="14"/>
    <n v="18"/>
    <n v="8.6999999999999993"/>
    <x v="0"/>
    <n v="7"/>
    <n v="32"/>
    <n v="94.666666666666671"/>
    <x v="0"/>
    <x v="2"/>
    <x v="0"/>
  </r>
  <r>
    <n v="225"/>
    <n v="225"/>
    <n v="0"/>
    <x v="0"/>
    <n v="36"/>
    <n v="62"/>
    <n v="152"/>
    <n v="11"/>
    <n v="70"/>
    <n v="18"/>
    <n v="10"/>
    <n v="2"/>
    <n v="6"/>
    <n v="11"/>
    <n v="0"/>
    <s v="NO"/>
    <n v="0"/>
    <n v="1.99"/>
    <x v="0"/>
    <n v="4.59"/>
    <n v="0.57999999999999996"/>
    <n v="7.9137931034482758"/>
    <x v="0"/>
    <n v="38"/>
    <n v="36"/>
    <n v="0.95"/>
    <n v="2.67"/>
    <n v="2.9"/>
    <n v="45.46"/>
    <n v="18.7"/>
    <x v="0"/>
    <n v="0.35"/>
    <n v="106"/>
    <n v="1"/>
    <x v="1"/>
    <n v="0"/>
    <s v="NO"/>
    <n v="1"/>
    <s v="YES"/>
    <n v="1"/>
    <s v="YES"/>
    <n v="0"/>
    <s v="NO"/>
    <n v="1"/>
    <x v="0"/>
    <n v="0"/>
    <s v="NO"/>
    <n v="110"/>
    <n v="80"/>
    <n v="6"/>
    <n v="6"/>
    <n v="17"/>
    <n v="16"/>
    <n v="7.7"/>
    <x v="1"/>
    <n v="12"/>
    <n v="33"/>
    <n v="108.66666666666667"/>
    <x v="1"/>
    <x v="1"/>
    <x v="0"/>
  </r>
  <r>
    <n v="226"/>
    <n v="226"/>
    <n v="0"/>
    <x v="0"/>
    <n v="32"/>
    <n v="52"/>
    <n v="150"/>
    <n v="13"/>
    <n v="70"/>
    <n v="18"/>
    <n v="9.4"/>
    <n v="2"/>
    <n v="5"/>
    <n v="12"/>
    <n v="0"/>
    <s v="NO"/>
    <n v="0"/>
    <n v="272.77999999999997"/>
    <x v="96"/>
    <n v="4.33"/>
    <n v="2.11"/>
    <n v="2.0521327014218009"/>
    <x v="0"/>
    <n v="35"/>
    <n v="33"/>
    <n v="0.94"/>
    <n v="2.1"/>
    <n v="7.7"/>
    <n v="40.47"/>
    <n v="41"/>
    <x v="1"/>
    <n v="0.25"/>
    <n v="93"/>
    <n v="0"/>
    <x v="0"/>
    <n v="0"/>
    <s v="NO"/>
    <n v="0"/>
    <s v="NO"/>
    <n v="1"/>
    <s v="YES"/>
    <n v="0"/>
    <s v="NO"/>
    <n v="0"/>
    <x v="1"/>
    <n v="1"/>
    <s v="YES"/>
    <n v="110"/>
    <n v="80"/>
    <n v="6"/>
    <n v="7"/>
    <n v="16"/>
    <n v="15"/>
    <n v="12"/>
    <x v="0"/>
    <n v="13"/>
    <n v="31"/>
    <n v="108.66666666666667"/>
    <x v="1"/>
    <x v="2"/>
    <x v="1"/>
  </r>
  <r>
    <n v="227"/>
    <n v="227"/>
    <n v="0"/>
    <x v="0"/>
    <n v="35"/>
    <n v="61"/>
    <n v="158"/>
    <n v="13"/>
    <n v="72"/>
    <n v="18"/>
    <n v="10.5"/>
    <n v="2"/>
    <n v="6"/>
    <n v="13"/>
    <n v="1"/>
    <s v="YES"/>
    <n v="1"/>
    <n v="355.51"/>
    <x v="97"/>
    <n v="3.71"/>
    <n v="2.67"/>
    <n v="1.3895131086142323"/>
    <x v="1"/>
    <n v="36"/>
    <n v="34"/>
    <n v="0.94"/>
    <n v="2.97"/>
    <n v="9.6999999999999993"/>
    <n v="20.350000000000001"/>
    <n v="15"/>
    <x v="0"/>
    <n v="0.25"/>
    <n v="93"/>
    <n v="0"/>
    <x v="0"/>
    <n v="1"/>
    <s v="YES"/>
    <n v="0"/>
    <s v="NO"/>
    <n v="0"/>
    <s v="NO"/>
    <n v="1"/>
    <s v="YES"/>
    <n v="1"/>
    <x v="0"/>
    <n v="1"/>
    <s v="YES"/>
    <n v="120"/>
    <n v="80"/>
    <n v="12"/>
    <n v="13"/>
    <n v="14"/>
    <n v="17"/>
    <n v="13"/>
    <x v="0"/>
    <n v="25"/>
    <n v="31"/>
    <n v="110.66666666666667"/>
    <x v="1"/>
    <x v="1"/>
    <x v="0"/>
  </r>
  <r>
    <n v="228"/>
    <n v="228"/>
    <n v="1"/>
    <x v="1"/>
    <n v="29"/>
    <n v="75"/>
    <n v="163"/>
    <n v="15"/>
    <n v="72"/>
    <n v="18"/>
    <n v="10.7"/>
    <n v="2"/>
    <n v="6"/>
    <n v="3"/>
    <n v="0"/>
    <s v="NO"/>
    <n v="0"/>
    <n v="1.99"/>
    <x v="0"/>
    <n v="3.27"/>
    <n v="1.56"/>
    <n v="2.0961538461538463"/>
    <x v="0"/>
    <n v="37"/>
    <n v="35"/>
    <n v="0.95"/>
    <n v="2.38"/>
    <n v="0.2"/>
    <n v="34.729999999999997"/>
    <n v="10.1"/>
    <x v="0"/>
    <n v="0.43"/>
    <n v="85"/>
    <n v="1"/>
    <x v="1"/>
    <n v="1"/>
    <s v="YES"/>
    <n v="1"/>
    <s v="YES"/>
    <n v="1"/>
    <s v="YES"/>
    <n v="1"/>
    <s v="YES"/>
    <n v="1"/>
    <x v="0"/>
    <n v="0"/>
    <s v="NO"/>
    <n v="110"/>
    <n v="80"/>
    <n v="1"/>
    <n v="3"/>
    <n v="11"/>
    <n v="12"/>
    <n v="6"/>
    <x v="1"/>
    <n v="4"/>
    <n v="23"/>
    <n v="107"/>
    <x v="1"/>
    <x v="3"/>
    <x v="0"/>
  </r>
  <r>
    <n v="229"/>
    <n v="229"/>
    <n v="0"/>
    <x v="0"/>
    <n v="31"/>
    <n v="61"/>
    <n v="147"/>
    <n v="13"/>
    <n v="74"/>
    <n v="20"/>
    <n v="12.3"/>
    <n v="2"/>
    <n v="4"/>
    <n v="10"/>
    <n v="0"/>
    <s v="NO"/>
    <n v="2"/>
    <n v="1.99"/>
    <x v="0"/>
    <n v="7.8"/>
    <n v="1.54"/>
    <n v="5.0649350649350646"/>
    <x v="0"/>
    <n v="40"/>
    <n v="38"/>
    <n v="0.95"/>
    <n v="2.06"/>
    <n v="2.5"/>
    <n v="10.68"/>
    <n v="10.4"/>
    <x v="0"/>
    <n v="0.25"/>
    <n v="83"/>
    <n v="1"/>
    <x v="1"/>
    <n v="0"/>
    <s v="NO"/>
    <n v="0"/>
    <s v="NO"/>
    <n v="1"/>
    <s v="YES"/>
    <n v="1"/>
    <s v="YES"/>
    <n v="1"/>
    <x v="0"/>
    <n v="1"/>
    <s v="YES"/>
    <n v="120"/>
    <n v="80"/>
    <n v="2"/>
    <n v="4"/>
    <n v="16"/>
    <n v="12"/>
    <n v="10.8"/>
    <x v="1"/>
    <n v="6"/>
    <n v="28"/>
    <n v="107.33333333333333"/>
    <x v="0"/>
    <x v="1"/>
    <x v="0"/>
  </r>
  <r>
    <n v="230"/>
    <n v="230"/>
    <n v="0"/>
    <x v="0"/>
    <n v="28"/>
    <n v="74.3"/>
    <n v="154"/>
    <n v="13"/>
    <n v="72"/>
    <n v="18"/>
    <n v="10.7"/>
    <n v="2"/>
    <n v="5"/>
    <n v="6"/>
    <n v="0"/>
    <s v="NO"/>
    <n v="3"/>
    <n v="1.99"/>
    <x v="0"/>
    <n v="3.7"/>
    <n v="4.5999999999999996"/>
    <n v="0.80434782608695665"/>
    <x v="1"/>
    <n v="38"/>
    <n v="36"/>
    <n v="0.95"/>
    <n v="1.7"/>
    <n v="12"/>
    <n v="46.25"/>
    <n v="10.8"/>
    <x v="0"/>
    <n v="0.77"/>
    <n v="85"/>
    <n v="1"/>
    <x v="1"/>
    <n v="0"/>
    <s v="NO"/>
    <n v="1"/>
    <s v="YES"/>
    <n v="1"/>
    <s v="YES"/>
    <n v="0"/>
    <s v="NO"/>
    <n v="1"/>
    <x v="0"/>
    <n v="0"/>
    <s v="NO"/>
    <n v="110"/>
    <n v="80"/>
    <n v="6"/>
    <n v="5"/>
    <n v="14"/>
    <n v="13"/>
    <n v="8.5"/>
    <x v="3"/>
    <n v="11"/>
    <n v="27"/>
    <n v="108.66666666666667"/>
    <x v="1"/>
    <x v="1"/>
    <x v="0"/>
  </r>
  <r>
    <n v="231"/>
    <n v="231"/>
    <n v="1"/>
    <x v="1"/>
    <n v="40"/>
    <n v="71"/>
    <n v="152"/>
    <n v="15"/>
    <n v="72"/>
    <n v="18"/>
    <n v="13.2"/>
    <n v="2"/>
    <n v="5"/>
    <n v="7"/>
    <n v="0"/>
    <s v="NO"/>
    <n v="0"/>
    <n v="1.99"/>
    <x v="0"/>
    <n v="2.78"/>
    <n v="0.98"/>
    <n v="2.8367346938775508"/>
    <x v="0"/>
    <n v="38"/>
    <n v="35"/>
    <n v="0.92"/>
    <n v="3.78"/>
    <n v="1.4"/>
    <n v="29.03"/>
    <n v="20.8"/>
    <x v="1"/>
    <n v="0.36"/>
    <n v="160"/>
    <n v="1"/>
    <x v="1"/>
    <n v="1"/>
    <s v="YES"/>
    <n v="0"/>
    <s v="NO"/>
    <n v="1"/>
    <s v="YES"/>
    <n v="0"/>
    <s v="NO"/>
    <n v="1"/>
    <x v="0"/>
    <n v="0"/>
    <s v="NO"/>
    <n v="120"/>
    <n v="80"/>
    <n v="4"/>
    <n v="2"/>
    <n v="17"/>
    <n v="10"/>
    <n v="12"/>
    <x v="3"/>
    <n v="6"/>
    <n v="27"/>
    <n v="108"/>
    <x v="0"/>
    <x v="1"/>
    <x v="0"/>
  </r>
  <r>
    <n v="232"/>
    <n v="232"/>
    <n v="0"/>
    <x v="0"/>
    <n v="22"/>
    <n v="78"/>
    <n v="154"/>
    <n v="15"/>
    <n v="72"/>
    <n v="18"/>
    <n v="12.4"/>
    <n v="2"/>
    <n v="5"/>
    <n v="9"/>
    <n v="0"/>
    <s v="NO"/>
    <n v="1"/>
    <n v="150.91"/>
    <x v="98"/>
    <n v="5.21"/>
    <n v="2.19"/>
    <n v="2.3789954337899544"/>
    <x v="0"/>
    <n v="40"/>
    <n v="36"/>
    <n v="0.9"/>
    <n v="1.24"/>
    <n v="16.7"/>
    <n v="10.02"/>
    <n v="20.8"/>
    <x v="1"/>
    <n v="0.27"/>
    <n v="77"/>
    <n v="1"/>
    <x v="1"/>
    <n v="0"/>
    <s v="NO"/>
    <n v="0"/>
    <s v="NO"/>
    <n v="0"/>
    <s v="NO"/>
    <n v="1"/>
    <s v="YES"/>
    <n v="0"/>
    <x v="1"/>
    <n v="0"/>
    <s v="NO"/>
    <n v="120"/>
    <n v="80"/>
    <n v="1"/>
    <n v="1"/>
    <n v="13"/>
    <n v="10"/>
    <n v="8.8000000000000007"/>
    <x v="3"/>
    <n v="2"/>
    <n v="23"/>
    <n v="107"/>
    <x v="0"/>
    <x v="2"/>
    <x v="1"/>
  </r>
  <r>
    <n v="233"/>
    <n v="233"/>
    <n v="1"/>
    <x v="1"/>
    <n v="35"/>
    <n v="55"/>
    <n v="162"/>
    <n v="13"/>
    <n v="72"/>
    <n v="18"/>
    <n v="12.4"/>
    <n v="4"/>
    <n v="4"/>
    <n v="7"/>
    <n v="0"/>
    <s v="NO"/>
    <n v="0"/>
    <n v="451.96"/>
    <x v="0"/>
    <n v="2.63"/>
    <n v="1.05"/>
    <n v="2.5047619047619047"/>
    <x v="0"/>
    <n v="35"/>
    <n v="32"/>
    <n v="0.91"/>
    <n v="2.08"/>
    <n v="13.6"/>
    <n v="28.85"/>
    <n v="32.200000000000003"/>
    <x v="1"/>
    <n v="0.34"/>
    <n v="86"/>
    <n v="0"/>
    <x v="0"/>
    <n v="1"/>
    <s v="YES"/>
    <n v="1"/>
    <s v="YES"/>
    <n v="0"/>
    <s v="NO"/>
    <n v="1"/>
    <s v="YES"/>
    <n v="1"/>
    <x v="0"/>
    <n v="0"/>
    <s v="NO"/>
    <n v="120"/>
    <n v="80"/>
    <n v="16"/>
    <n v="14"/>
    <n v="15"/>
    <n v="18"/>
    <n v="11.5"/>
    <x v="0"/>
    <n v="30"/>
    <n v="33"/>
    <n v="112"/>
    <x v="2"/>
    <x v="4"/>
    <x v="1"/>
  </r>
  <r>
    <n v="234"/>
    <n v="234"/>
    <n v="0"/>
    <x v="0"/>
    <n v="31"/>
    <n v="50"/>
    <n v="152"/>
    <n v="15"/>
    <n v="72"/>
    <n v="18"/>
    <n v="10"/>
    <n v="2"/>
    <n v="6"/>
    <n v="4.5"/>
    <n v="0"/>
    <s v="NO"/>
    <n v="1"/>
    <n v="392.73"/>
    <x v="0"/>
    <n v="5.37"/>
    <n v="8.15"/>
    <n v="0.65889570552147236"/>
    <x v="1"/>
    <n v="34"/>
    <n v="30"/>
    <n v="0.88"/>
    <n v="25.91"/>
    <n v="16.8"/>
    <n v="14.41"/>
    <n v="23.91"/>
    <x v="1"/>
    <n v="0.25"/>
    <n v="92"/>
    <n v="0"/>
    <x v="0"/>
    <n v="0"/>
    <s v="NO"/>
    <n v="0"/>
    <s v="NO"/>
    <n v="0"/>
    <s v="NO"/>
    <n v="1"/>
    <s v="YES"/>
    <n v="1"/>
    <x v="0"/>
    <n v="1"/>
    <s v="YES"/>
    <n v="120"/>
    <n v="80"/>
    <n v="7"/>
    <n v="5"/>
    <n v="17"/>
    <n v="15"/>
    <n v="9"/>
    <x v="0"/>
    <n v="12"/>
    <n v="32"/>
    <n v="109"/>
    <x v="1"/>
    <x v="2"/>
    <x v="1"/>
  </r>
  <r>
    <n v="235"/>
    <n v="235"/>
    <n v="0"/>
    <x v="0"/>
    <n v="27"/>
    <n v="45"/>
    <n v="152"/>
    <n v="13"/>
    <n v="72"/>
    <n v="18"/>
    <n v="11.5"/>
    <n v="2"/>
    <n v="6"/>
    <n v="4"/>
    <n v="0"/>
    <s v="NO"/>
    <n v="0"/>
    <n v="391.46"/>
    <x v="99"/>
    <n v="1.85"/>
    <n v="0.1"/>
    <n v="18.5"/>
    <x v="0"/>
    <n v="32"/>
    <n v="30"/>
    <n v="0.94"/>
    <n v="3.79"/>
    <n v="3.5"/>
    <n v="29.32"/>
    <n v="22.3"/>
    <x v="1"/>
    <n v="0.25"/>
    <n v="73"/>
    <n v="0"/>
    <x v="0"/>
    <n v="1"/>
    <s v="YES"/>
    <n v="1"/>
    <s v="YES"/>
    <n v="0"/>
    <s v="NO"/>
    <n v="1"/>
    <s v="YES"/>
    <n v="0"/>
    <x v="1"/>
    <n v="1"/>
    <s v="YES"/>
    <n v="120"/>
    <n v="80"/>
    <n v="1"/>
    <n v="3"/>
    <n v="14"/>
    <n v="16"/>
    <n v="8.5"/>
    <x v="0"/>
    <n v="4"/>
    <n v="30"/>
    <n v="107"/>
    <x v="1"/>
    <x v="4"/>
    <x v="1"/>
  </r>
  <r>
    <n v="236"/>
    <n v="236"/>
    <n v="0"/>
    <x v="0"/>
    <n v="28"/>
    <n v="58.1"/>
    <n v="153"/>
    <n v="13"/>
    <n v="72"/>
    <n v="18"/>
    <n v="12.4"/>
    <n v="2"/>
    <n v="5"/>
    <n v="4"/>
    <n v="0"/>
    <s v="NO"/>
    <n v="0"/>
    <n v="418.82"/>
    <x v="0"/>
    <n v="7.5"/>
    <n v="1.48"/>
    <n v="5.0675675675675675"/>
    <x v="0"/>
    <n v="36"/>
    <n v="34"/>
    <n v="0.94"/>
    <n v="0.73"/>
    <n v="1.3"/>
    <n v="27.73"/>
    <n v="31.1"/>
    <x v="1"/>
    <n v="0.25"/>
    <n v="86"/>
    <n v="0"/>
    <x v="0"/>
    <n v="1"/>
    <s v="YES"/>
    <n v="0"/>
    <s v="NO"/>
    <n v="0"/>
    <s v="NO"/>
    <n v="0"/>
    <s v="NO"/>
    <n v="1"/>
    <x v="0"/>
    <n v="1"/>
    <s v="YES"/>
    <n v="110"/>
    <n v="70"/>
    <n v="0"/>
    <n v="5"/>
    <n v="17"/>
    <n v="18"/>
    <n v="4.8"/>
    <x v="0"/>
    <n v="5"/>
    <n v="35"/>
    <n v="93.333333333333329"/>
    <x v="0"/>
    <x v="2"/>
    <x v="1"/>
  </r>
  <r>
    <n v="237"/>
    <n v="237"/>
    <n v="0"/>
    <x v="0"/>
    <n v="33"/>
    <n v="54"/>
    <n v="146"/>
    <n v="15"/>
    <n v="72"/>
    <n v="18"/>
    <n v="12.8"/>
    <n v="2"/>
    <n v="3"/>
    <n v="8"/>
    <n v="0"/>
    <s v="NO"/>
    <n v="1"/>
    <n v="1.99"/>
    <x v="0"/>
    <n v="3.21"/>
    <n v="0.56999999999999995"/>
    <n v="5.6315789473684212"/>
    <x v="0"/>
    <n v="38"/>
    <n v="35"/>
    <n v="0.92"/>
    <n v="10.96"/>
    <n v="3.14"/>
    <n v="44.96"/>
    <n v="28.7"/>
    <x v="1"/>
    <n v="0.25"/>
    <n v="80"/>
    <n v="0"/>
    <x v="0"/>
    <n v="0"/>
    <s v="NO"/>
    <n v="0"/>
    <s v="NO"/>
    <n v="0"/>
    <s v="NO"/>
    <n v="1"/>
    <s v="YES"/>
    <n v="1"/>
    <x v="0"/>
    <n v="1"/>
    <s v="YES"/>
    <n v="120"/>
    <n v="80"/>
    <n v="5"/>
    <n v="5"/>
    <n v="18"/>
    <n v="20"/>
    <n v="7"/>
    <x v="1"/>
    <n v="10"/>
    <n v="38"/>
    <n v="108.33333333333333"/>
    <x v="1"/>
    <x v="2"/>
    <x v="0"/>
  </r>
  <r>
    <n v="238"/>
    <n v="238"/>
    <n v="1"/>
    <x v="1"/>
    <n v="25"/>
    <n v="42"/>
    <n v="154"/>
    <n v="14"/>
    <n v="72"/>
    <n v="18"/>
    <n v="12.5"/>
    <n v="4"/>
    <n v="3"/>
    <n v="4"/>
    <n v="0"/>
    <s v="NO"/>
    <n v="0"/>
    <n v="1.99"/>
    <x v="0"/>
    <n v="6.58"/>
    <n v="3.09"/>
    <n v="2.1294498381877025"/>
    <x v="0"/>
    <n v="33"/>
    <n v="30"/>
    <n v="0.91"/>
    <n v="0.85"/>
    <n v="1.25"/>
    <n v="12.81"/>
    <n v="30.2"/>
    <x v="1"/>
    <n v="0.67"/>
    <n v="100"/>
    <n v="1"/>
    <x v="1"/>
    <n v="0"/>
    <s v="NO"/>
    <n v="0"/>
    <s v="NO"/>
    <n v="1"/>
    <s v="YES"/>
    <n v="1"/>
    <s v="YES"/>
    <n v="0"/>
    <x v="1"/>
    <n v="0"/>
    <s v="NO"/>
    <n v="120"/>
    <n v="80"/>
    <n v="6"/>
    <n v="5"/>
    <n v="15"/>
    <n v="17"/>
    <n v="9"/>
    <x v="2"/>
    <n v="11"/>
    <n v="32"/>
    <n v="108.66666666666667"/>
    <x v="1"/>
    <x v="1"/>
    <x v="0"/>
  </r>
  <r>
    <n v="239"/>
    <n v="239"/>
    <n v="0"/>
    <x v="0"/>
    <n v="32"/>
    <n v="66"/>
    <n v="164"/>
    <n v="15"/>
    <n v="72"/>
    <n v="18"/>
    <n v="11.1"/>
    <n v="4"/>
    <n v="4"/>
    <n v="13"/>
    <n v="0"/>
    <s v="NO"/>
    <n v="0"/>
    <n v="464.12"/>
    <x v="100"/>
    <n v="3.84"/>
    <n v="1.53"/>
    <n v="2.5098039215686274"/>
    <x v="0"/>
    <n v="34"/>
    <n v="31"/>
    <n v="0.91"/>
    <n v="0.95"/>
    <n v="7.7"/>
    <n v="34.94"/>
    <n v="16.7"/>
    <x v="0"/>
    <n v="0.25"/>
    <n v="98"/>
    <n v="0"/>
    <x v="0"/>
    <n v="0"/>
    <s v="NO"/>
    <n v="1"/>
    <s v="YES"/>
    <n v="0"/>
    <s v="NO"/>
    <n v="1"/>
    <s v="YES"/>
    <n v="1"/>
    <x v="0"/>
    <n v="1"/>
    <s v="YES"/>
    <n v="120"/>
    <n v="80"/>
    <n v="5"/>
    <n v="5"/>
    <n v="17"/>
    <n v="19"/>
    <n v="9"/>
    <x v="0"/>
    <n v="10"/>
    <n v="36"/>
    <n v="108.33333333333333"/>
    <x v="1"/>
    <x v="1"/>
    <x v="1"/>
  </r>
  <r>
    <n v="240"/>
    <n v="240"/>
    <n v="0"/>
    <x v="0"/>
    <n v="20"/>
    <n v="56"/>
    <n v="159"/>
    <n v="13"/>
    <n v="72"/>
    <n v="18"/>
    <n v="12.4"/>
    <n v="2"/>
    <n v="5"/>
    <n v="1.5"/>
    <n v="1"/>
    <s v="YES"/>
    <n v="0"/>
    <n v="389.26"/>
    <x v="101"/>
    <n v="5.9"/>
    <n v="3.13"/>
    <n v="1.8849840255591057"/>
    <x v="1"/>
    <n v="35"/>
    <n v="33"/>
    <n v="0.94"/>
    <n v="0.61"/>
    <n v="7.3"/>
    <n v="10.6"/>
    <n v="22"/>
    <x v="1"/>
    <n v="0.25"/>
    <n v="86"/>
    <n v="0"/>
    <x v="0"/>
    <n v="0"/>
    <s v="NO"/>
    <n v="0"/>
    <s v="NO"/>
    <n v="0"/>
    <s v="NO"/>
    <n v="1"/>
    <s v="YES"/>
    <n v="0"/>
    <x v="1"/>
    <n v="1"/>
    <s v="YES"/>
    <n v="120"/>
    <n v="80"/>
    <n v="10"/>
    <n v="5"/>
    <n v="15"/>
    <n v="18"/>
    <n v="8"/>
    <x v="0"/>
    <n v="15"/>
    <n v="33"/>
    <n v="110"/>
    <x v="1"/>
    <x v="2"/>
    <x v="0"/>
  </r>
  <r>
    <n v="241"/>
    <n v="241"/>
    <n v="1"/>
    <x v="1"/>
    <n v="24"/>
    <n v="53.6"/>
    <n v="166"/>
    <n v="15"/>
    <n v="72"/>
    <n v="18"/>
    <n v="10.7"/>
    <n v="2"/>
    <n v="5"/>
    <n v="3"/>
    <n v="1"/>
    <s v="YES"/>
    <n v="0"/>
    <n v="1390.58"/>
    <x v="102"/>
    <n v="3.9"/>
    <n v="0.99"/>
    <n v="3.9393939393939394"/>
    <x v="0"/>
    <n v="34"/>
    <n v="32"/>
    <n v="0.94"/>
    <n v="5"/>
    <n v="7.2"/>
    <n v="40.28"/>
    <n v="30.7"/>
    <x v="1"/>
    <n v="0.26"/>
    <n v="86"/>
    <n v="0"/>
    <x v="0"/>
    <n v="1"/>
    <s v="YES"/>
    <n v="0"/>
    <s v="NO"/>
    <n v="1"/>
    <s v="YES"/>
    <n v="1"/>
    <s v="YES"/>
    <n v="0"/>
    <x v="1"/>
    <n v="0"/>
    <s v="NO"/>
    <n v="110"/>
    <n v="80"/>
    <n v="12"/>
    <n v="9"/>
    <n v="15"/>
    <n v="18"/>
    <n v="8"/>
    <x v="0"/>
    <n v="21"/>
    <n v="33"/>
    <n v="110.66666666666667"/>
    <x v="1"/>
    <x v="4"/>
    <x v="0"/>
  </r>
  <r>
    <n v="242"/>
    <n v="242"/>
    <n v="0"/>
    <x v="0"/>
    <n v="23"/>
    <n v="60"/>
    <n v="157"/>
    <n v="17"/>
    <n v="72"/>
    <n v="18"/>
    <n v="11.5"/>
    <n v="2"/>
    <n v="6"/>
    <n v="2"/>
    <n v="0"/>
    <s v="NO"/>
    <n v="0"/>
    <n v="1.99"/>
    <x v="0"/>
    <n v="6.09"/>
    <n v="2.15"/>
    <n v="2.8325581395348838"/>
    <x v="0"/>
    <n v="38"/>
    <n v="35"/>
    <n v="0.92"/>
    <n v="1.37"/>
    <n v="3.29"/>
    <n v="29.11"/>
    <n v="26"/>
    <x v="1"/>
    <n v="0.25"/>
    <n v="93"/>
    <n v="0"/>
    <x v="0"/>
    <n v="0"/>
    <s v="NO"/>
    <n v="0"/>
    <s v="NO"/>
    <n v="1"/>
    <s v="YES"/>
    <n v="1"/>
    <s v="YES"/>
    <n v="0"/>
    <x v="1"/>
    <n v="0"/>
    <s v="NO"/>
    <n v="110"/>
    <n v="80"/>
    <n v="6"/>
    <n v="4"/>
    <n v="16"/>
    <n v="19"/>
    <n v="14"/>
    <x v="0"/>
    <n v="10"/>
    <n v="35"/>
    <n v="108.66666666666667"/>
    <x v="1"/>
    <x v="1"/>
    <x v="0"/>
  </r>
  <r>
    <n v="243"/>
    <n v="243"/>
    <n v="0"/>
    <x v="0"/>
    <n v="37"/>
    <n v="65"/>
    <n v="159"/>
    <n v="13"/>
    <n v="72"/>
    <n v="20"/>
    <n v="12.6"/>
    <n v="2"/>
    <n v="5"/>
    <n v="10"/>
    <n v="0"/>
    <s v="NO"/>
    <n v="0"/>
    <n v="1.99"/>
    <x v="0"/>
    <n v="1.32"/>
    <n v="0.99"/>
    <n v="1.3333333333333335"/>
    <x v="1"/>
    <n v="36"/>
    <n v="33"/>
    <n v="0.92"/>
    <n v="2"/>
    <n v="2.69"/>
    <n v="15.2"/>
    <n v="35.799999999999997"/>
    <x v="1"/>
    <n v="0.36199999999999999"/>
    <n v="113"/>
    <n v="1"/>
    <x v="1"/>
    <n v="1"/>
    <s v="YES"/>
    <n v="0"/>
    <s v="NO"/>
    <n v="1"/>
    <s v="YES"/>
    <n v="0"/>
    <s v="NO"/>
    <n v="1"/>
    <x v="0"/>
    <n v="0"/>
    <s v="NO"/>
    <n v="120"/>
    <n v="80"/>
    <n v="6"/>
    <n v="5"/>
    <n v="15"/>
    <n v="18"/>
    <n v="9"/>
    <x v="1"/>
    <n v="11"/>
    <n v="33"/>
    <n v="108.66666666666667"/>
    <x v="1"/>
    <x v="1"/>
    <x v="0"/>
  </r>
  <r>
    <n v="244"/>
    <n v="244"/>
    <n v="1"/>
    <x v="1"/>
    <n v="29"/>
    <n v="63"/>
    <n v="152"/>
    <n v="15"/>
    <n v="72"/>
    <n v="18"/>
    <n v="11.5"/>
    <n v="2"/>
    <n v="6"/>
    <n v="2"/>
    <n v="0"/>
    <s v="NO"/>
    <n v="0"/>
    <n v="213.83"/>
    <x v="103"/>
    <n v="3.18"/>
    <n v="1"/>
    <n v="3.18"/>
    <x v="0"/>
    <n v="40"/>
    <n v="37"/>
    <n v="0.93"/>
    <n v="2.4700000000000002"/>
    <n v="2.1"/>
    <n v="29.62"/>
    <n v="31.6"/>
    <x v="1"/>
    <n v="0.25"/>
    <n v="92"/>
    <n v="1"/>
    <x v="1"/>
    <n v="1"/>
    <s v="YES"/>
    <n v="1"/>
    <s v="YES"/>
    <n v="1"/>
    <s v="YES"/>
    <n v="0"/>
    <s v="NO"/>
    <n v="1"/>
    <x v="0"/>
    <n v="0"/>
    <s v="NO"/>
    <n v="120"/>
    <n v="80"/>
    <n v="4"/>
    <n v="7"/>
    <n v="10"/>
    <n v="15"/>
    <n v="9.1999999999999993"/>
    <x v="1"/>
    <n v="11"/>
    <n v="25"/>
    <n v="108"/>
    <x v="1"/>
    <x v="4"/>
    <x v="1"/>
  </r>
  <r>
    <n v="245"/>
    <n v="245"/>
    <n v="1"/>
    <x v="1"/>
    <n v="39"/>
    <n v="104"/>
    <n v="164.4"/>
    <n v="15"/>
    <n v="72"/>
    <n v="18"/>
    <n v="12"/>
    <n v="2"/>
    <n v="6"/>
    <n v="11"/>
    <n v="0"/>
    <s v="NO"/>
    <n v="1"/>
    <n v="1.99"/>
    <x v="0"/>
    <n v="6.4"/>
    <n v="2.2599999999999998"/>
    <n v="2.8318584070796464"/>
    <x v="0"/>
    <n v="46"/>
    <n v="44"/>
    <n v="0.96"/>
    <n v="5"/>
    <n v="4.0999999999999996"/>
    <n v="13.39"/>
    <n v="32.6"/>
    <x v="1"/>
    <n v="0.25"/>
    <n v="106"/>
    <n v="1"/>
    <x v="1"/>
    <n v="1"/>
    <s v="YES"/>
    <n v="1"/>
    <s v="YES"/>
    <n v="1"/>
    <s v="YES"/>
    <n v="1"/>
    <s v="YES"/>
    <n v="1"/>
    <x v="0"/>
    <n v="0"/>
    <s v="NO"/>
    <n v="120"/>
    <n v="80"/>
    <n v="9"/>
    <n v="7"/>
    <n v="16"/>
    <n v="13"/>
    <n v="9.6"/>
    <x v="3"/>
    <n v="16"/>
    <n v="29"/>
    <n v="109.66666666666667"/>
    <x v="1"/>
    <x v="3"/>
    <x v="0"/>
  </r>
  <r>
    <n v="246"/>
    <n v="246"/>
    <n v="1"/>
    <x v="1"/>
    <n v="23"/>
    <n v="57"/>
    <n v="153"/>
    <n v="15"/>
    <n v="73"/>
    <n v="18"/>
    <n v="12"/>
    <n v="2"/>
    <n v="4"/>
    <n v="3"/>
    <n v="1"/>
    <s v="YES"/>
    <n v="0"/>
    <n v="353.6"/>
    <x v="104"/>
    <n v="3.18"/>
    <n v="1.29"/>
    <n v="2.4651162790697674"/>
    <x v="0"/>
    <n v="38"/>
    <n v="35"/>
    <n v="0.92"/>
    <n v="0.9"/>
    <n v="6.2"/>
    <n v="23.09"/>
    <n v="30.1"/>
    <x v="1"/>
    <n v="0.25"/>
    <n v="106"/>
    <n v="0"/>
    <x v="0"/>
    <n v="0"/>
    <s v="NO"/>
    <n v="1"/>
    <s v="YES"/>
    <n v="1"/>
    <s v="YES"/>
    <n v="1"/>
    <s v="YES"/>
    <n v="1"/>
    <x v="0"/>
    <n v="1"/>
    <s v="YES"/>
    <n v="120"/>
    <n v="80"/>
    <n v="8"/>
    <n v="10"/>
    <n v="17"/>
    <n v="18"/>
    <n v="9"/>
    <x v="0"/>
    <n v="18"/>
    <n v="35"/>
    <n v="109.33333333333333"/>
    <x v="1"/>
    <x v="4"/>
    <x v="0"/>
  </r>
  <r>
    <n v="247"/>
    <n v="247"/>
    <n v="0"/>
    <x v="0"/>
    <n v="26"/>
    <n v="54"/>
    <n v="163"/>
    <n v="15"/>
    <n v="74"/>
    <n v="20"/>
    <n v="10"/>
    <n v="2"/>
    <n v="5"/>
    <n v="2"/>
    <n v="0"/>
    <s v="NO"/>
    <n v="0"/>
    <n v="30.6"/>
    <x v="105"/>
    <n v="4.0999999999999996"/>
    <n v="2.04"/>
    <n v="2.0098039215686274"/>
    <x v="0"/>
    <n v="36"/>
    <n v="34"/>
    <n v="0.94"/>
    <n v="0.3"/>
    <n v="14.6"/>
    <n v="13.27"/>
    <n v="12.2"/>
    <x v="0"/>
    <n v="0.25"/>
    <n v="93"/>
    <n v="0"/>
    <x v="0"/>
    <n v="0"/>
    <s v="NO"/>
    <n v="0"/>
    <s v="NO"/>
    <n v="1"/>
    <s v="YES"/>
    <n v="0"/>
    <s v="NO"/>
    <n v="1"/>
    <x v="0"/>
    <n v="1"/>
    <s v="YES"/>
    <n v="120"/>
    <n v="70"/>
    <n v="1"/>
    <n v="2"/>
    <n v="14"/>
    <n v="16"/>
    <n v="8"/>
    <x v="0"/>
    <n v="3"/>
    <n v="30"/>
    <n v="93.666666666666671"/>
    <x v="0"/>
    <x v="2"/>
    <x v="1"/>
  </r>
  <r>
    <n v="248"/>
    <n v="248"/>
    <n v="1"/>
    <x v="1"/>
    <n v="24"/>
    <n v="79"/>
    <n v="165"/>
    <n v="16"/>
    <n v="72"/>
    <n v="18"/>
    <n v="10.199999999999999"/>
    <n v="2"/>
    <n v="5"/>
    <n v="4"/>
    <n v="0"/>
    <s v="NO"/>
    <n v="0"/>
    <n v="154.47999999999999"/>
    <x v="106"/>
    <n v="3.07"/>
    <n v="1.87"/>
    <n v="1.641711229946524"/>
    <x v="1"/>
    <n v="42"/>
    <n v="38"/>
    <n v="0.9"/>
    <n v="4.07"/>
    <n v="4.71"/>
    <n v="31.4"/>
    <n v="24"/>
    <x v="1"/>
    <n v="0.25"/>
    <n v="86"/>
    <n v="1"/>
    <x v="1"/>
    <n v="1"/>
    <s v="YES"/>
    <n v="1"/>
    <s v="YES"/>
    <n v="0"/>
    <s v="NO"/>
    <n v="1"/>
    <s v="YES"/>
    <n v="1"/>
    <x v="0"/>
    <n v="0"/>
    <s v="NO"/>
    <n v="110"/>
    <n v="80"/>
    <n v="10"/>
    <n v="15"/>
    <n v="18"/>
    <n v="19"/>
    <n v="10.3"/>
    <x v="1"/>
    <n v="25"/>
    <n v="37"/>
    <n v="110"/>
    <x v="1"/>
    <x v="4"/>
    <x v="1"/>
  </r>
  <r>
    <n v="249"/>
    <n v="249"/>
    <n v="1"/>
    <x v="1"/>
    <n v="33"/>
    <n v="65"/>
    <n v="153"/>
    <n v="17"/>
    <n v="72"/>
    <n v="18"/>
    <n v="12"/>
    <n v="4"/>
    <n v="5"/>
    <n v="1"/>
    <n v="0"/>
    <s v="NO"/>
    <n v="0"/>
    <n v="1.99"/>
    <x v="0"/>
    <n v="5.42"/>
    <n v="7.85"/>
    <n v="0.69044585987261153"/>
    <x v="1"/>
    <n v="38"/>
    <n v="36"/>
    <n v="0.95"/>
    <n v="1.31"/>
    <n v="1.25"/>
    <n v="111.74"/>
    <n v="12.8"/>
    <x v="0"/>
    <n v="0.25"/>
    <n v="146"/>
    <n v="1"/>
    <x v="1"/>
    <n v="1"/>
    <s v="YES"/>
    <n v="1"/>
    <s v="YES"/>
    <n v="0"/>
    <s v="NO"/>
    <n v="1"/>
    <s v="YES"/>
    <n v="1"/>
    <x v="0"/>
    <n v="0"/>
    <s v="NO"/>
    <n v="110"/>
    <n v="70"/>
    <n v="7"/>
    <n v="10"/>
    <n v="16"/>
    <n v="19"/>
    <n v="12"/>
    <x v="1"/>
    <n v="17"/>
    <n v="35"/>
    <n v="95.666666666666671"/>
    <x v="2"/>
    <x v="4"/>
    <x v="0"/>
  </r>
  <r>
    <n v="250"/>
    <n v="250"/>
    <n v="0"/>
    <x v="0"/>
    <n v="29"/>
    <n v="52"/>
    <n v="157"/>
    <n v="15"/>
    <n v="72"/>
    <n v="18"/>
    <n v="14.2"/>
    <n v="2"/>
    <n v="4"/>
    <n v="1.5"/>
    <n v="0"/>
    <s v="NO"/>
    <n v="1"/>
    <n v="1.99"/>
    <x v="0"/>
    <n v="4.7"/>
    <n v="1.6"/>
    <n v="2.9375"/>
    <x v="0"/>
    <n v="35"/>
    <n v="33"/>
    <n v="0.94"/>
    <n v="0.28999999999999998"/>
    <n v="1"/>
    <n v="23.79"/>
    <n v="39.700000000000003"/>
    <x v="1"/>
    <n v="0.25"/>
    <n v="94"/>
    <n v="0"/>
    <x v="0"/>
    <n v="0"/>
    <s v="NO"/>
    <n v="0"/>
    <s v="NO"/>
    <n v="1"/>
    <s v="YES"/>
    <n v="0"/>
    <s v="NO"/>
    <n v="0"/>
    <x v="1"/>
    <n v="0"/>
    <s v="NO"/>
    <n v="120"/>
    <n v="70"/>
    <n v="4"/>
    <n v="6"/>
    <n v="18"/>
    <n v="17"/>
    <n v="11"/>
    <x v="0"/>
    <n v="10"/>
    <n v="35"/>
    <n v="94.666666666666671"/>
    <x v="1"/>
    <x v="2"/>
    <x v="0"/>
  </r>
  <r>
    <n v="251"/>
    <n v="251"/>
    <n v="1"/>
    <x v="1"/>
    <n v="45"/>
    <n v="85"/>
    <n v="153"/>
    <n v="15"/>
    <n v="72"/>
    <n v="18"/>
    <n v="12"/>
    <n v="4"/>
    <n v="4"/>
    <n v="18"/>
    <n v="0"/>
    <s v="NO"/>
    <n v="0"/>
    <n v="50.43"/>
    <x v="0"/>
    <n v="65.400000000000006"/>
    <n v="0.2"/>
    <n v="327"/>
    <x v="0"/>
    <n v="44"/>
    <n v="40"/>
    <n v="0.91"/>
    <n v="2.96"/>
    <n v="11.1"/>
    <n v="21.7"/>
    <n v="18.7"/>
    <x v="0"/>
    <n v="0.25"/>
    <n v="86"/>
    <n v="1"/>
    <x v="1"/>
    <n v="1"/>
    <s v="YES"/>
    <n v="1"/>
    <s v="YES"/>
    <n v="1"/>
    <s v="YES"/>
    <n v="1"/>
    <s v="YES"/>
    <n v="1"/>
    <x v="0"/>
    <n v="0"/>
    <s v="NO"/>
    <n v="120"/>
    <n v="80"/>
    <n v="10"/>
    <n v="15"/>
    <n v="15"/>
    <n v="17"/>
    <n v="8.3000000000000007"/>
    <x v="3"/>
    <n v="25"/>
    <n v="32"/>
    <n v="110"/>
    <x v="2"/>
    <x v="3"/>
    <x v="1"/>
  </r>
  <r>
    <n v="252"/>
    <n v="252"/>
    <n v="0"/>
    <x v="0"/>
    <n v="30"/>
    <n v="63.8"/>
    <n v="148"/>
    <n v="11"/>
    <n v="72"/>
    <n v="18"/>
    <n v="11.5"/>
    <n v="4"/>
    <n v="3"/>
    <n v="7"/>
    <n v="0"/>
    <s v="NO"/>
    <n v="0"/>
    <n v="1.99"/>
    <x v="0"/>
    <n v="7.38"/>
    <n v="3.46"/>
    <n v="2.1329479768786128"/>
    <x v="0"/>
    <n v="40"/>
    <n v="37"/>
    <n v="0.93"/>
    <n v="2.93"/>
    <n v="1.9"/>
    <n v="15.28"/>
    <n v="21.2"/>
    <x v="1"/>
    <n v="0.25"/>
    <n v="80"/>
    <n v="0"/>
    <x v="0"/>
    <n v="0"/>
    <s v="NO"/>
    <n v="0"/>
    <s v="NO"/>
    <n v="0"/>
    <s v="NO"/>
    <n v="0"/>
    <s v="NO"/>
    <n v="1"/>
    <x v="0"/>
    <n v="1"/>
    <s v="YES"/>
    <n v="120"/>
    <n v="70"/>
    <n v="0"/>
    <n v="1"/>
    <n v="17"/>
    <n v="15"/>
    <n v="13"/>
    <x v="1"/>
    <n v="1"/>
    <n v="32"/>
    <n v="93.333333333333329"/>
    <x v="0"/>
    <x v="0"/>
    <x v="0"/>
  </r>
  <r>
    <n v="253"/>
    <n v="253"/>
    <n v="1"/>
    <x v="1"/>
    <n v="47"/>
    <n v="62.7"/>
    <n v="154"/>
    <n v="15"/>
    <n v="72"/>
    <n v="18"/>
    <n v="10"/>
    <n v="4"/>
    <n v="4"/>
    <n v="30"/>
    <n v="1"/>
    <s v="YES"/>
    <n v="2"/>
    <n v="25000"/>
    <x v="107"/>
    <n v="1.88"/>
    <n v="0.25"/>
    <n v="7.52"/>
    <x v="0"/>
    <n v="38"/>
    <n v="36"/>
    <n v="0.95"/>
    <n v="2.4700000000000002"/>
    <n v="6.2"/>
    <n v="31.47"/>
    <n v="12.1"/>
    <x v="0"/>
    <n v="0.25"/>
    <n v="92"/>
    <n v="1"/>
    <x v="1"/>
    <n v="1"/>
    <s v="YES"/>
    <n v="1"/>
    <s v="YES"/>
    <n v="1"/>
    <s v="YES"/>
    <n v="0"/>
    <s v="NO"/>
    <n v="0"/>
    <x v="1"/>
    <n v="0"/>
    <s v="NO"/>
    <n v="110"/>
    <n v="80"/>
    <n v="14"/>
    <n v="11"/>
    <n v="16"/>
    <n v="19"/>
    <n v="9.3000000000000007"/>
    <x v="1"/>
    <n v="25"/>
    <n v="35"/>
    <n v="111.33333333333333"/>
    <x v="2"/>
    <x v="4"/>
    <x v="0"/>
  </r>
  <r>
    <n v="254"/>
    <n v="254"/>
    <n v="0"/>
    <x v="0"/>
    <n v="36"/>
    <n v="46"/>
    <n v="150"/>
    <n v="15"/>
    <n v="72"/>
    <n v="18"/>
    <n v="13.3"/>
    <n v="2"/>
    <n v="5"/>
    <n v="18"/>
    <n v="0"/>
    <s v="NO"/>
    <n v="0"/>
    <n v="1.99"/>
    <x v="0"/>
    <n v="1.58"/>
    <n v="0.26"/>
    <n v="6.0769230769230766"/>
    <x v="0"/>
    <n v="34"/>
    <n v="32"/>
    <n v="0.94"/>
    <n v="4.8600000000000003"/>
    <n v="1.9"/>
    <n v="26.08"/>
    <n v="26.3"/>
    <x v="1"/>
    <n v="0.25"/>
    <n v="105"/>
    <n v="0"/>
    <x v="0"/>
    <n v="0"/>
    <s v="NO"/>
    <n v="0"/>
    <s v="NO"/>
    <n v="0"/>
    <s v="NO"/>
    <n v="1"/>
    <s v="YES"/>
    <n v="0"/>
    <x v="1"/>
    <n v="0"/>
    <s v="NO"/>
    <n v="110"/>
    <n v="80"/>
    <n v="1"/>
    <n v="3"/>
    <n v="18"/>
    <n v="14"/>
    <n v="6"/>
    <x v="0"/>
    <n v="4"/>
    <n v="32"/>
    <n v="107"/>
    <x v="0"/>
    <x v="2"/>
    <x v="0"/>
  </r>
  <r>
    <n v="255"/>
    <n v="255"/>
    <n v="0"/>
    <x v="0"/>
    <n v="28"/>
    <n v="52"/>
    <n v="156"/>
    <n v="13"/>
    <n v="72"/>
    <n v="16"/>
    <n v="11.2"/>
    <n v="2"/>
    <n v="5"/>
    <n v="11"/>
    <n v="0"/>
    <s v="NO"/>
    <n v="1"/>
    <n v="41.25"/>
    <x v="0"/>
    <n v="8.94"/>
    <n v="3.54"/>
    <n v="2.5254237288135593"/>
    <x v="0"/>
    <n v="34"/>
    <n v="32"/>
    <n v="0.94"/>
    <n v="1.76"/>
    <n v="1.5"/>
    <n v="19.23"/>
    <n v="29.5"/>
    <x v="1"/>
    <n v="0.25"/>
    <n v="100"/>
    <n v="0"/>
    <x v="0"/>
    <n v="0"/>
    <s v="NO"/>
    <n v="0"/>
    <s v="NO"/>
    <n v="0"/>
    <s v="NO"/>
    <n v="1"/>
    <s v="YES"/>
    <n v="0"/>
    <x v="1"/>
    <n v="0"/>
    <s v="NO"/>
    <n v="120"/>
    <n v="70"/>
    <n v="2"/>
    <n v="3"/>
    <n v="15"/>
    <n v="18"/>
    <n v="8"/>
    <x v="0"/>
    <n v="5"/>
    <n v="33"/>
    <n v="94"/>
    <x v="0"/>
    <x v="2"/>
    <x v="1"/>
  </r>
  <r>
    <n v="256"/>
    <n v="256"/>
    <n v="0"/>
    <x v="0"/>
    <n v="36"/>
    <n v="32"/>
    <n v="154"/>
    <n v="15"/>
    <n v="72"/>
    <n v="20"/>
    <n v="12.5"/>
    <n v="2"/>
    <n v="6"/>
    <n v="15"/>
    <n v="0"/>
    <s v="NO"/>
    <n v="0"/>
    <n v="1.99"/>
    <x v="108"/>
    <n v="1.32"/>
    <n v="0.95"/>
    <n v="1.3894736842105264"/>
    <x v="1"/>
    <n v="32"/>
    <n v="30"/>
    <n v="0.94"/>
    <n v="0.92"/>
    <n v="2.9"/>
    <n v="5.27"/>
    <n v="31.5"/>
    <x v="1"/>
    <n v="0.4"/>
    <n v="80"/>
    <n v="0"/>
    <x v="0"/>
    <n v="0"/>
    <s v="NO"/>
    <n v="0"/>
    <s v="NO"/>
    <n v="1"/>
    <s v="YES"/>
    <n v="1"/>
    <s v="YES"/>
    <n v="0"/>
    <x v="1"/>
    <n v="0"/>
    <s v="NO"/>
    <n v="120"/>
    <n v="80"/>
    <n v="5"/>
    <n v="7"/>
    <n v="16"/>
    <n v="17"/>
    <n v="8.1999999999999993"/>
    <x v="2"/>
    <n v="12"/>
    <n v="33"/>
    <n v="108.33333333333333"/>
    <x v="1"/>
    <x v="1"/>
    <x v="0"/>
  </r>
  <r>
    <n v="257"/>
    <n v="257"/>
    <n v="0"/>
    <x v="0"/>
    <n v="33"/>
    <n v="35"/>
    <n v="150"/>
    <n v="13"/>
    <n v="74"/>
    <n v="20"/>
    <n v="12"/>
    <n v="2"/>
    <n v="5"/>
    <n v="10"/>
    <n v="0"/>
    <s v="NO"/>
    <n v="1"/>
    <n v="413.62"/>
    <x v="0"/>
    <n v="3.88"/>
    <n v="0.47"/>
    <n v="8.2553191489361701"/>
    <x v="0"/>
    <n v="30"/>
    <n v="28"/>
    <n v="0.93"/>
    <n v="1.42"/>
    <n v="2.25"/>
    <n v="29.89"/>
    <n v="27.6"/>
    <x v="1"/>
    <n v="0.25"/>
    <n v="107"/>
    <n v="0"/>
    <x v="0"/>
    <n v="0"/>
    <s v="NO"/>
    <n v="0"/>
    <s v="NO"/>
    <n v="1"/>
    <s v="YES"/>
    <n v="1"/>
    <s v="YES"/>
    <n v="0"/>
    <x v="1"/>
    <n v="0"/>
    <s v="NO"/>
    <n v="120"/>
    <n v="70"/>
    <n v="4"/>
    <n v="1"/>
    <n v="18.5"/>
    <n v="19"/>
    <n v="8.5"/>
    <x v="2"/>
    <n v="5"/>
    <n v="37.5"/>
    <n v="94.666666666666671"/>
    <x v="0"/>
    <x v="1"/>
    <x v="1"/>
  </r>
  <r>
    <n v="258"/>
    <n v="258"/>
    <n v="0"/>
    <x v="0"/>
    <n v="27"/>
    <n v="48"/>
    <n v="155.44800000000001"/>
    <n v="15"/>
    <n v="72"/>
    <n v="18"/>
    <n v="12.5"/>
    <n v="2"/>
    <n v="6"/>
    <n v="6.5"/>
    <n v="0"/>
    <s v="NO"/>
    <n v="0"/>
    <n v="1.99"/>
    <x v="0"/>
    <n v="1.76"/>
    <n v="0.1"/>
    <n v="17.599999999999998"/>
    <x v="0"/>
    <n v="33"/>
    <n v="30"/>
    <n v="0.91"/>
    <n v="1.17"/>
    <n v="6.8"/>
    <n v="22.51"/>
    <n v="13.7"/>
    <x v="0"/>
    <n v="0.4"/>
    <n v="72"/>
    <n v="0"/>
    <x v="0"/>
    <n v="0"/>
    <s v="NO"/>
    <n v="0"/>
    <s v="NO"/>
    <n v="1"/>
    <s v="YES"/>
    <n v="0"/>
    <s v="NO"/>
    <n v="1"/>
    <x v="0"/>
    <n v="0"/>
    <s v="NO"/>
    <n v="110"/>
    <n v="80"/>
    <n v="2"/>
    <n v="5"/>
    <n v="17"/>
    <n v="18"/>
    <n v="9"/>
    <x v="0"/>
    <n v="7"/>
    <n v="35"/>
    <n v="107.33333333333333"/>
    <x v="0"/>
    <x v="2"/>
    <x v="0"/>
  </r>
  <r>
    <n v="259"/>
    <n v="259"/>
    <n v="0"/>
    <x v="0"/>
    <n v="43"/>
    <n v="33"/>
    <n v="152"/>
    <n v="15"/>
    <n v="72"/>
    <n v="18"/>
    <n v="11.1"/>
    <n v="2"/>
    <n v="6"/>
    <n v="6"/>
    <n v="0"/>
    <s v="NO"/>
    <n v="0"/>
    <n v="221.28"/>
    <x v="0"/>
    <n v="12.28"/>
    <n v="2.52"/>
    <n v="4.8730158730158726"/>
    <x v="0"/>
    <n v="30"/>
    <n v="28"/>
    <n v="0.93"/>
    <n v="1.25"/>
    <n v="0.8"/>
    <n v="10.99"/>
    <n v="22.4"/>
    <x v="1"/>
    <n v="0.25"/>
    <n v="100"/>
    <n v="0"/>
    <x v="0"/>
    <n v="0"/>
    <s v="NO"/>
    <n v="0"/>
    <s v="NO"/>
    <n v="1"/>
    <s v="YES"/>
    <n v="1"/>
    <s v="YES"/>
    <n v="1"/>
    <x v="0"/>
    <n v="1"/>
    <s v="YES"/>
    <n v="120"/>
    <n v="80"/>
    <n v="9"/>
    <n v="8"/>
    <n v="18"/>
    <n v="19"/>
    <n v="10"/>
    <x v="2"/>
    <n v="17"/>
    <n v="37"/>
    <n v="109.66666666666667"/>
    <x v="1"/>
    <x v="1"/>
    <x v="1"/>
  </r>
  <r>
    <n v="260"/>
    <n v="260"/>
    <n v="1"/>
    <x v="1"/>
    <n v="31"/>
    <n v="50"/>
    <n v="158.49600000000001"/>
    <n v="11"/>
    <n v="74"/>
    <n v="20"/>
    <n v="12.5"/>
    <n v="2"/>
    <n v="5"/>
    <n v="4"/>
    <n v="0"/>
    <s v="NO"/>
    <n v="0"/>
    <n v="227.36"/>
    <x v="0"/>
    <n v="2.12"/>
    <n v="0.37"/>
    <n v="5.7297297297297298"/>
    <x v="0"/>
    <n v="34"/>
    <n v="32"/>
    <n v="0.94"/>
    <n v="5.01"/>
    <n v="7.21"/>
    <n v="27.01"/>
    <n v="32.1"/>
    <x v="1"/>
    <n v="0.25"/>
    <n v="100"/>
    <n v="0"/>
    <x v="0"/>
    <n v="1"/>
    <s v="YES"/>
    <n v="1"/>
    <s v="YES"/>
    <n v="1"/>
    <s v="YES"/>
    <n v="0"/>
    <s v="NO"/>
    <n v="1"/>
    <x v="0"/>
    <n v="0"/>
    <s v="NO"/>
    <n v="120"/>
    <n v="80"/>
    <n v="10"/>
    <n v="15"/>
    <n v="17"/>
    <n v="18"/>
    <n v="8"/>
    <x v="0"/>
    <n v="25"/>
    <n v="35"/>
    <n v="110"/>
    <x v="1"/>
    <x v="4"/>
    <x v="1"/>
  </r>
  <r>
    <n v="261"/>
    <n v="261"/>
    <n v="0"/>
    <x v="0"/>
    <n v="38"/>
    <n v="34"/>
    <n v="153"/>
    <n v="13"/>
    <n v="72"/>
    <n v="18"/>
    <n v="14.8"/>
    <n v="2"/>
    <n v="5"/>
    <n v="8"/>
    <n v="0"/>
    <s v="NO"/>
    <n v="1"/>
    <n v="1.99"/>
    <x v="0"/>
    <n v="2.95"/>
    <n v="0.49"/>
    <n v="6.0204081632653068"/>
    <x v="0"/>
    <n v="32"/>
    <n v="30"/>
    <n v="0.94"/>
    <n v="2.61"/>
    <n v="4.2"/>
    <n v="30.24"/>
    <n v="24.6"/>
    <x v="1"/>
    <n v="0.39"/>
    <n v="100"/>
    <n v="0"/>
    <x v="0"/>
    <n v="0"/>
    <s v="NO"/>
    <n v="0"/>
    <s v="NO"/>
    <n v="1"/>
    <s v="YES"/>
    <n v="0"/>
    <s v="NO"/>
    <n v="1"/>
    <x v="0"/>
    <n v="0"/>
    <s v="NO"/>
    <n v="130"/>
    <n v="80"/>
    <n v="1"/>
    <n v="3"/>
    <n v="15"/>
    <n v="17"/>
    <n v="8.4"/>
    <x v="2"/>
    <n v="4"/>
    <n v="32"/>
    <n v="107"/>
    <x v="0"/>
    <x v="2"/>
    <x v="0"/>
  </r>
  <r>
    <n v="262"/>
    <n v="262"/>
    <n v="0"/>
    <x v="0"/>
    <n v="32"/>
    <n v="35"/>
    <n v="150"/>
    <n v="11"/>
    <n v="70"/>
    <n v="18"/>
    <n v="11.5"/>
    <n v="2"/>
    <n v="4"/>
    <n v="4"/>
    <n v="0"/>
    <s v="NO"/>
    <n v="0"/>
    <n v="643.41"/>
    <x v="0"/>
    <n v="1.7"/>
    <n v="0.46"/>
    <n v="3.695652173913043"/>
    <x v="0"/>
    <n v="32"/>
    <n v="30"/>
    <n v="0.94"/>
    <n v="2.84"/>
    <n v="6.2"/>
    <n v="19.27"/>
    <n v="20.9"/>
    <x v="1"/>
    <n v="0.25"/>
    <n v="72"/>
    <n v="0"/>
    <x v="0"/>
    <n v="0"/>
    <s v="NO"/>
    <n v="0"/>
    <s v="NO"/>
    <n v="0"/>
    <s v="NO"/>
    <n v="0"/>
    <s v="NO"/>
    <n v="1"/>
    <x v="0"/>
    <n v="0"/>
    <s v="NO"/>
    <n v="110"/>
    <n v="80"/>
    <n v="1"/>
    <n v="0"/>
    <n v="19"/>
    <n v="20"/>
    <n v="10"/>
    <x v="2"/>
    <n v="1"/>
    <n v="39"/>
    <n v="107"/>
    <x v="0"/>
    <x v="0"/>
    <x v="1"/>
  </r>
  <r>
    <n v="263"/>
    <n v="263"/>
    <n v="0"/>
    <x v="0"/>
    <n v="38"/>
    <n v="53.5"/>
    <n v="158.49600000000001"/>
    <n v="13"/>
    <n v="72"/>
    <n v="18"/>
    <n v="12.5"/>
    <n v="2"/>
    <n v="5"/>
    <n v="14"/>
    <n v="0"/>
    <s v="NO"/>
    <n v="0"/>
    <n v="1.99"/>
    <x v="0"/>
    <n v="1.8"/>
    <n v="0.49"/>
    <n v="3.6734693877551021"/>
    <x v="0"/>
    <n v="35"/>
    <n v="33"/>
    <n v="0.94"/>
    <n v="1.56"/>
    <n v="0.9"/>
    <n v="45.78"/>
    <n v="23.5"/>
    <x v="1"/>
    <n v="0.25"/>
    <n v="87"/>
    <n v="0"/>
    <x v="0"/>
    <n v="0"/>
    <s v="NO"/>
    <n v="0"/>
    <s v="NO"/>
    <n v="0"/>
    <s v="NO"/>
    <n v="0"/>
    <s v="NO"/>
    <n v="0"/>
    <x v="1"/>
    <n v="0"/>
    <s v="NO"/>
    <n v="110"/>
    <n v="70"/>
    <n v="4"/>
    <n v="1"/>
    <n v="17"/>
    <n v="13"/>
    <n v="6.5"/>
    <x v="0"/>
    <n v="5"/>
    <n v="30"/>
    <n v="94.666666666666671"/>
    <x v="0"/>
    <x v="0"/>
    <x v="0"/>
  </r>
  <r>
    <n v="264"/>
    <n v="264"/>
    <n v="0"/>
    <x v="0"/>
    <n v="37"/>
    <n v="45"/>
    <n v="156"/>
    <n v="17"/>
    <n v="74"/>
    <n v="20"/>
    <n v="12.1"/>
    <n v="2"/>
    <n v="5"/>
    <n v="10"/>
    <n v="0"/>
    <s v="NO"/>
    <n v="0"/>
    <n v="3.25"/>
    <x v="109"/>
    <n v="10.39"/>
    <n v="4.1100000000000003"/>
    <n v="2.5279805352798053"/>
    <x v="0"/>
    <n v="35"/>
    <n v="32"/>
    <n v="0.91"/>
    <n v="1.71"/>
    <n v="16.8"/>
    <n v="33.58"/>
    <n v="43.9"/>
    <x v="1"/>
    <n v="0.25"/>
    <n v="100"/>
    <n v="0"/>
    <x v="0"/>
    <n v="0"/>
    <s v="NO"/>
    <n v="0"/>
    <s v="NO"/>
    <n v="1"/>
    <s v="YES"/>
    <n v="1"/>
    <s v="YES"/>
    <n v="0"/>
    <x v="1"/>
    <n v="0"/>
    <s v="NO"/>
    <n v="120"/>
    <n v="80"/>
    <n v="5"/>
    <n v="5"/>
    <n v="19"/>
    <n v="18"/>
    <n v="8.6999999999999993"/>
    <x v="2"/>
    <n v="10"/>
    <n v="37"/>
    <n v="108.33333333333333"/>
    <x v="1"/>
    <x v="1"/>
    <x v="0"/>
  </r>
  <r>
    <n v="265"/>
    <n v="265"/>
    <n v="0"/>
    <x v="0"/>
    <n v="34"/>
    <n v="35"/>
    <n v="155"/>
    <n v="13"/>
    <n v="74"/>
    <n v="20"/>
    <n v="12.4"/>
    <n v="2"/>
    <n v="4"/>
    <n v="8"/>
    <n v="0"/>
    <s v="NO"/>
    <n v="0"/>
    <n v="165.61"/>
    <x v="0"/>
    <n v="4.9400000000000004"/>
    <n v="2.2999999999999998"/>
    <n v="2.1478260869565222"/>
    <x v="0"/>
    <n v="32"/>
    <n v="29"/>
    <n v="0.91"/>
    <n v="3.36"/>
    <n v="16.899999999999999"/>
    <n v="23.62"/>
    <n v="16.399999999999999"/>
    <x v="0"/>
    <n v="0.26"/>
    <n v="88"/>
    <n v="0"/>
    <x v="0"/>
    <n v="0"/>
    <s v="NO"/>
    <n v="0"/>
    <s v="NO"/>
    <n v="1"/>
    <s v="YES"/>
    <n v="1"/>
    <s v="YES"/>
    <n v="0"/>
    <x v="1"/>
    <n v="0"/>
    <s v="NO"/>
    <n v="110"/>
    <n v="70"/>
    <n v="10"/>
    <n v="7"/>
    <n v="18"/>
    <n v="18"/>
    <n v="9"/>
    <x v="2"/>
    <n v="17"/>
    <n v="36"/>
    <n v="96.666666666666671"/>
    <x v="1"/>
    <x v="1"/>
    <x v="1"/>
  </r>
  <r>
    <n v="266"/>
    <n v="266"/>
    <n v="0"/>
    <x v="0"/>
    <n v="40"/>
    <n v="32"/>
    <n v="152"/>
    <n v="15"/>
    <n v="72"/>
    <n v="20"/>
    <n v="10"/>
    <n v="2"/>
    <n v="3"/>
    <n v="2"/>
    <n v="0"/>
    <s v="NO"/>
    <n v="1"/>
    <n v="1.99"/>
    <x v="0"/>
    <n v="5.01"/>
    <n v="1.6"/>
    <n v="3.1312499999999996"/>
    <x v="0"/>
    <n v="30"/>
    <n v="28"/>
    <n v="0.93"/>
    <n v="5"/>
    <n v="8.5"/>
    <n v="23.3"/>
    <n v="27.7"/>
    <x v="1"/>
    <n v="0.27"/>
    <n v="88"/>
    <n v="0"/>
    <x v="0"/>
    <n v="0"/>
    <s v="NO"/>
    <n v="0"/>
    <s v="NO"/>
    <n v="0"/>
    <s v="NO"/>
    <n v="0"/>
    <s v="NO"/>
    <n v="1"/>
    <x v="0"/>
    <n v="1"/>
    <s v="YES"/>
    <n v="120"/>
    <n v="80"/>
    <n v="6"/>
    <n v="5"/>
    <n v="18"/>
    <n v="17"/>
    <n v="8"/>
    <x v="2"/>
    <n v="11"/>
    <n v="35"/>
    <n v="108.66666666666667"/>
    <x v="1"/>
    <x v="0"/>
    <x v="0"/>
  </r>
  <r>
    <n v="267"/>
    <n v="267"/>
    <n v="0"/>
    <x v="0"/>
    <n v="25"/>
    <n v="64.400000000000006"/>
    <n v="157"/>
    <n v="11"/>
    <n v="72"/>
    <n v="18"/>
    <n v="11.5"/>
    <n v="2"/>
    <n v="5"/>
    <n v="4"/>
    <n v="0"/>
    <s v="NO"/>
    <n v="0"/>
    <n v="92.92"/>
    <x v="0"/>
    <n v="6.93"/>
    <n v="2.86"/>
    <n v="2.4230769230769229"/>
    <x v="0"/>
    <n v="34"/>
    <n v="32"/>
    <n v="0.94"/>
    <n v="4"/>
    <n v="3.9"/>
    <n v="21.92"/>
    <n v="30.8"/>
    <x v="1"/>
    <n v="0.4"/>
    <n v="84"/>
    <n v="0"/>
    <x v="0"/>
    <n v="0"/>
    <s v="NO"/>
    <n v="0"/>
    <s v="NO"/>
    <n v="1"/>
    <s v="YES"/>
    <n v="1"/>
    <s v="YES"/>
    <n v="0"/>
    <x v="1"/>
    <n v="0"/>
    <s v="NO"/>
    <n v="110"/>
    <n v="80"/>
    <n v="3"/>
    <n v="2"/>
    <n v="19"/>
    <n v="18"/>
    <n v="5.6"/>
    <x v="1"/>
    <n v="5"/>
    <n v="37"/>
    <n v="107.66666666666667"/>
    <x v="0"/>
    <x v="1"/>
    <x v="1"/>
  </r>
  <r>
    <n v="268"/>
    <n v="268"/>
    <n v="1"/>
    <x v="1"/>
    <n v="28"/>
    <n v="58.9"/>
    <n v="159"/>
    <n v="11"/>
    <n v="72"/>
    <n v="20"/>
    <n v="12.4"/>
    <n v="2"/>
    <n v="6"/>
    <n v="1"/>
    <n v="0"/>
    <s v="NO"/>
    <n v="0"/>
    <n v="117.14"/>
    <x v="110"/>
    <n v="7.35"/>
    <n v="3.61"/>
    <n v="2.0360110803324099"/>
    <x v="0"/>
    <n v="36"/>
    <n v="34"/>
    <n v="0.94"/>
    <n v="1.71"/>
    <n v="66"/>
    <n v="15.37"/>
    <n v="30.2"/>
    <x v="1"/>
    <n v="0.44"/>
    <n v="70"/>
    <n v="0"/>
    <x v="0"/>
    <n v="1"/>
    <s v="YES"/>
    <n v="1"/>
    <s v="YES"/>
    <n v="1"/>
    <s v="YES"/>
    <n v="0"/>
    <s v="NO"/>
    <n v="1"/>
    <x v="0"/>
    <n v="1"/>
    <s v="YES"/>
    <n v="120"/>
    <n v="80"/>
    <n v="7"/>
    <n v="10"/>
    <n v="19"/>
    <n v="19"/>
    <n v="10"/>
    <x v="0"/>
    <n v="17"/>
    <n v="38"/>
    <n v="109"/>
    <x v="1"/>
    <x v="4"/>
    <x v="1"/>
  </r>
  <r>
    <n v="269"/>
    <n v="269"/>
    <n v="0"/>
    <x v="0"/>
    <n v="25"/>
    <n v="53.5"/>
    <n v="152"/>
    <n v="11"/>
    <n v="72"/>
    <n v="18"/>
    <n v="12.4"/>
    <n v="4"/>
    <n v="3"/>
    <n v="3"/>
    <n v="0"/>
    <s v="NO"/>
    <n v="0"/>
    <n v="100.58"/>
    <x v="0"/>
    <n v="5.46"/>
    <n v="0.91"/>
    <n v="6"/>
    <x v="0"/>
    <n v="32"/>
    <n v="30"/>
    <n v="0.94"/>
    <n v="3.25"/>
    <n v="26.8"/>
    <n v="33.07"/>
    <n v="21.4"/>
    <x v="1"/>
    <n v="0.25"/>
    <n v="70"/>
    <n v="0"/>
    <x v="0"/>
    <n v="0"/>
    <s v="NO"/>
    <n v="0"/>
    <s v="NO"/>
    <n v="1"/>
    <s v="YES"/>
    <n v="0"/>
    <s v="NO"/>
    <n v="0"/>
    <x v="1"/>
    <n v="0"/>
    <s v="NO"/>
    <n v="110"/>
    <n v="80"/>
    <n v="6"/>
    <n v="5"/>
    <n v="17"/>
    <n v="19"/>
    <n v="7"/>
    <x v="0"/>
    <n v="11"/>
    <n v="36"/>
    <n v="108.66666666666667"/>
    <x v="1"/>
    <x v="2"/>
    <x v="1"/>
  </r>
  <r>
    <n v="270"/>
    <n v="270"/>
    <n v="1"/>
    <x v="1"/>
    <n v="26"/>
    <n v="59"/>
    <n v="154"/>
    <n v="17"/>
    <n v="70"/>
    <n v="18"/>
    <n v="10.5"/>
    <n v="2"/>
    <n v="4"/>
    <n v="3"/>
    <n v="0"/>
    <s v="NO"/>
    <n v="0"/>
    <n v="1.99"/>
    <x v="0"/>
    <n v="1"/>
    <n v="0.1"/>
    <n v="10"/>
    <x v="0"/>
    <n v="35"/>
    <n v="33"/>
    <n v="0.94"/>
    <n v="0.59"/>
    <n v="1.1499999999999999"/>
    <n v="35.06"/>
    <n v="20.7"/>
    <x v="1"/>
    <n v="0.25"/>
    <n v="100"/>
    <n v="1"/>
    <x v="1"/>
    <n v="1"/>
    <s v="YES"/>
    <n v="1"/>
    <s v="YES"/>
    <n v="1"/>
    <s v="YES"/>
    <n v="1"/>
    <s v="YES"/>
    <n v="1"/>
    <x v="0"/>
    <n v="0"/>
    <s v="NO"/>
    <n v="110"/>
    <n v="80"/>
    <n v="9"/>
    <n v="4"/>
    <n v="20"/>
    <n v="16"/>
    <n v="13"/>
    <x v="0"/>
    <n v="13"/>
    <n v="36"/>
    <n v="109.66666666666667"/>
    <x v="1"/>
    <x v="3"/>
    <x v="0"/>
  </r>
  <r>
    <n v="271"/>
    <n v="271"/>
    <n v="0"/>
    <x v="0"/>
    <n v="30"/>
    <n v="55.1"/>
    <n v="167.64"/>
    <n v="11"/>
    <n v="72"/>
    <n v="18"/>
    <n v="12"/>
    <n v="2"/>
    <n v="5"/>
    <n v="8.5"/>
    <n v="0"/>
    <s v="NO"/>
    <n v="0"/>
    <n v="127.04"/>
    <x v="0"/>
    <n v="7.86"/>
    <n v="2.23"/>
    <n v="3.5246636771300448"/>
    <x v="0"/>
    <n v="34"/>
    <n v="32"/>
    <n v="0.94"/>
    <n v="1.54"/>
    <n v="4.0999999999999996"/>
    <n v="24.01"/>
    <n v="22.1"/>
    <x v="1"/>
    <n v="0.25"/>
    <n v="83"/>
    <n v="1"/>
    <x v="1"/>
    <n v="1"/>
    <s v="YES"/>
    <n v="1"/>
    <s v="YES"/>
    <n v="1"/>
    <s v="YES"/>
    <n v="1"/>
    <s v="YES"/>
    <n v="1"/>
    <x v="0"/>
    <n v="0"/>
    <s v="NO"/>
    <n v="110"/>
    <n v="80"/>
    <n v="7"/>
    <n v="6"/>
    <n v="19"/>
    <n v="18"/>
    <n v="8"/>
    <x v="0"/>
    <n v="13"/>
    <n v="37"/>
    <n v="109"/>
    <x v="1"/>
    <x v="3"/>
    <x v="1"/>
  </r>
  <r>
    <n v="272"/>
    <n v="272"/>
    <n v="0"/>
    <x v="0"/>
    <n v="26"/>
    <n v="55.7"/>
    <n v="162"/>
    <n v="17"/>
    <n v="72"/>
    <n v="18"/>
    <n v="11"/>
    <n v="2"/>
    <n v="6"/>
    <n v="1"/>
    <n v="0"/>
    <s v="NO"/>
    <n v="0"/>
    <n v="164.91"/>
    <x v="0"/>
    <n v="6.12"/>
    <n v="3.25"/>
    <n v="1.8830769230769231"/>
    <x v="1"/>
    <n v="36"/>
    <n v="33"/>
    <n v="0.92"/>
    <n v="4.75"/>
    <n v="3.2"/>
    <n v="15.63"/>
    <n v="31.6"/>
    <x v="1"/>
    <n v="0.25"/>
    <n v="84"/>
    <n v="0"/>
    <x v="0"/>
    <n v="0"/>
    <s v="NO"/>
    <n v="0"/>
    <s v="NO"/>
    <n v="0"/>
    <s v="NO"/>
    <n v="1"/>
    <s v="YES"/>
    <n v="0"/>
    <x v="1"/>
    <n v="1"/>
    <s v="YES"/>
    <n v="110"/>
    <n v="70"/>
    <n v="2"/>
    <n v="3"/>
    <n v="18"/>
    <n v="18"/>
    <n v="8.6999999999999993"/>
    <x v="0"/>
    <n v="5"/>
    <n v="36"/>
    <n v="94"/>
    <x v="0"/>
    <x v="2"/>
    <x v="1"/>
  </r>
  <r>
    <n v="273"/>
    <n v="273"/>
    <n v="0"/>
    <x v="0"/>
    <n v="43"/>
    <n v="40"/>
    <n v="152"/>
    <n v="15"/>
    <n v="72"/>
    <n v="18"/>
    <n v="11.5"/>
    <n v="2"/>
    <n v="6"/>
    <n v="25"/>
    <n v="0"/>
    <s v="NO"/>
    <n v="0"/>
    <n v="1.99"/>
    <x v="0"/>
    <n v="14.99"/>
    <n v="7.09"/>
    <n v="2.1142454160789845"/>
    <x v="0"/>
    <n v="30"/>
    <n v="28"/>
    <n v="0.93"/>
    <n v="6.09"/>
    <n v="0.16"/>
    <n v="24.78"/>
    <n v="24.5"/>
    <x v="1"/>
    <n v="0.3"/>
    <n v="100"/>
    <n v="0"/>
    <x v="0"/>
    <n v="0"/>
    <s v="NO"/>
    <n v="0"/>
    <s v="NO"/>
    <n v="0"/>
    <s v="NO"/>
    <n v="1"/>
    <s v="YES"/>
    <n v="0"/>
    <x v="1"/>
    <n v="1"/>
    <s v="YES"/>
    <n v="120"/>
    <n v="70"/>
    <n v="4"/>
    <n v="4"/>
    <n v="17"/>
    <n v="18"/>
    <n v="8.3000000000000007"/>
    <x v="2"/>
    <n v="8"/>
    <n v="35"/>
    <n v="94.666666666666671"/>
    <x v="0"/>
    <x v="2"/>
    <x v="0"/>
  </r>
  <r>
    <n v="274"/>
    <n v="274"/>
    <n v="0"/>
    <x v="0"/>
    <n v="30"/>
    <n v="52"/>
    <n v="152"/>
    <n v="13"/>
    <n v="78"/>
    <n v="20"/>
    <n v="11.1"/>
    <n v="2"/>
    <n v="4"/>
    <n v="6"/>
    <n v="1"/>
    <s v="YES"/>
    <n v="0"/>
    <n v="785.44"/>
    <x v="0"/>
    <n v="6.3"/>
    <n v="6.26"/>
    <n v="1.0063897763578276"/>
    <x v="1"/>
    <n v="32"/>
    <n v="30"/>
    <n v="0.94"/>
    <n v="2.58"/>
    <n v="8.1"/>
    <n v="38.24"/>
    <n v="26.3"/>
    <x v="1"/>
    <n v="0.25"/>
    <n v="112"/>
    <n v="0"/>
    <x v="0"/>
    <n v="0"/>
    <s v="NO"/>
    <n v="0"/>
    <s v="NO"/>
    <n v="1"/>
    <s v="YES"/>
    <n v="1"/>
    <s v="YES"/>
    <n v="0"/>
    <x v="1"/>
    <n v="1"/>
    <s v="YES"/>
    <n v="120"/>
    <n v="80"/>
    <n v="8"/>
    <n v="7"/>
    <n v="18"/>
    <n v="16"/>
    <n v="7"/>
    <x v="0"/>
    <n v="15"/>
    <n v="34"/>
    <n v="109.33333333333333"/>
    <x v="1"/>
    <x v="1"/>
    <x v="0"/>
  </r>
  <r>
    <n v="275"/>
    <n v="275"/>
    <n v="0"/>
    <x v="0"/>
    <n v="30"/>
    <n v="58.9"/>
    <n v="153"/>
    <n v="13"/>
    <n v="72"/>
    <n v="18"/>
    <n v="12"/>
    <n v="2"/>
    <n v="5"/>
    <n v="4"/>
    <n v="0"/>
    <s v="NO"/>
    <n v="0"/>
    <n v="1.99"/>
    <x v="0"/>
    <n v="5.59"/>
    <n v="3.85"/>
    <n v="1.4519480519480519"/>
    <x v="1"/>
    <n v="35"/>
    <n v="33"/>
    <n v="0.94"/>
    <n v="3"/>
    <n v="0.56000000000000005"/>
    <n v="128.24"/>
    <n v="30.3"/>
    <x v="1"/>
    <n v="0.35"/>
    <n v="88"/>
    <n v="0"/>
    <x v="0"/>
    <n v="0"/>
    <s v="NO"/>
    <n v="0"/>
    <s v="NO"/>
    <n v="0"/>
    <s v="NO"/>
    <n v="0"/>
    <s v="NO"/>
    <n v="0"/>
    <x v="1"/>
    <n v="1"/>
    <s v="YES"/>
    <n v="120"/>
    <n v="80"/>
    <n v="4"/>
    <n v="6"/>
    <n v="17"/>
    <n v="17"/>
    <n v="10.3"/>
    <x v="1"/>
    <n v="10"/>
    <n v="34"/>
    <n v="108"/>
    <x v="1"/>
    <x v="0"/>
    <x v="0"/>
  </r>
  <r>
    <n v="276"/>
    <n v="276"/>
    <n v="1"/>
    <x v="1"/>
    <n v="27"/>
    <n v="47"/>
    <n v="152"/>
    <n v="15"/>
    <n v="74"/>
    <n v="20"/>
    <n v="10.7"/>
    <n v="2"/>
    <n v="5"/>
    <n v="8"/>
    <n v="0"/>
    <s v="NO"/>
    <n v="0"/>
    <n v="355.08"/>
    <x v="0"/>
    <n v="6.8"/>
    <n v="4.6100000000000003"/>
    <n v="1.4750542299349239"/>
    <x v="1"/>
    <n v="33"/>
    <n v="28"/>
    <n v="0.85"/>
    <n v="3.49"/>
    <n v="5.3"/>
    <n v="14.65"/>
    <n v="26.1"/>
    <x v="1"/>
    <n v="0.25"/>
    <n v="90"/>
    <n v="0"/>
    <x v="0"/>
    <n v="0"/>
    <s v="NO"/>
    <n v="0"/>
    <s v="NO"/>
    <n v="0"/>
    <s v="NO"/>
    <n v="0"/>
    <s v="NO"/>
    <n v="0"/>
    <x v="1"/>
    <n v="1"/>
    <s v="YES"/>
    <n v="120"/>
    <n v="70"/>
    <n v="12"/>
    <n v="15"/>
    <n v="16"/>
    <n v="18"/>
    <n v="8.6999999999999993"/>
    <x v="0"/>
    <n v="27"/>
    <n v="34"/>
    <n v="97.333333333333329"/>
    <x v="1"/>
    <x v="0"/>
    <x v="1"/>
  </r>
  <r>
    <n v="277"/>
    <n v="277"/>
    <n v="1"/>
    <x v="1"/>
    <n v="36"/>
    <n v="65.7"/>
    <n v="151"/>
    <n v="15"/>
    <n v="72"/>
    <n v="20"/>
    <n v="11"/>
    <n v="4"/>
    <n v="4"/>
    <n v="8"/>
    <n v="0"/>
    <s v="NO"/>
    <n v="1"/>
    <n v="89.34"/>
    <x v="111"/>
    <n v="7.47"/>
    <n v="6.64"/>
    <n v="1.125"/>
    <x v="1"/>
    <n v="37"/>
    <n v="35"/>
    <n v="0.95"/>
    <n v="5"/>
    <n v="1.8"/>
    <n v="8"/>
    <n v="19.899999999999999"/>
    <x v="0"/>
    <n v="0.25"/>
    <n v="92"/>
    <n v="1"/>
    <x v="1"/>
    <n v="0"/>
    <s v="NO"/>
    <n v="0"/>
    <s v="NO"/>
    <n v="1"/>
    <s v="YES"/>
    <n v="1"/>
    <s v="YES"/>
    <n v="1"/>
    <x v="0"/>
    <n v="0"/>
    <s v="NO"/>
    <n v="120"/>
    <n v="80"/>
    <n v="6"/>
    <n v="5"/>
    <n v="18"/>
    <n v="16"/>
    <n v="8.8000000000000007"/>
    <x v="1"/>
    <n v="11"/>
    <n v="34"/>
    <n v="108.66666666666667"/>
    <x v="1"/>
    <x v="1"/>
    <x v="1"/>
  </r>
  <r>
    <n v="278"/>
    <n v="278"/>
    <n v="1"/>
    <x v="1"/>
    <n v="29"/>
    <n v="66"/>
    <n v="150"/>
    <n v="15"/>
    <n v="72"/>
    <n v="18"/>
    <n v="12"/>
    <n v="4"/>
    <n v="5"/>
    <n v="9"/>
    <n v="0"/>
    <s v="NO"/>
    <n v="0"/>
    <n v="1.99"/>
    <x v="0"/>
    <n v="2.56"/>
    <n v="2.41"/>
    <n v="1.0622406639004149"/>
    <x v="1"/>
    <n v="36"/>
    <n v="34"/>
    <n v="0.94"/>
    <n v="2.86"/>
    <n v="7.3"/>
    <n v="12.91"/>
    <n v="19"/>
    <x v="0"/>
    <n v="0.39"/>
    <n v="92"/>
    <n v="0"/>
    <x v="0"/>
    <n v="1"/>
    <s v="YES"/>
    <n v="1"/>
    <s v="YES"/>
    <n v="1"/>
    <s v="YES"/>
    <n v="0"/>
    <s v="NO"/>
    <n v="0"/>
    <x v="1"/>
    <n v="1"/>
    <s v="YES"/>
    <n v="110"/>
    <n v="70"/>
    <n v="1"/>
    <n v="1"/>
    <n v="12"/>
    <n v="14"/>
    <n v="9.5"/>
    <x v="1"/>
    <n v="2"/>
    <n v="26"/>
    <n v="93.666666666666671"/>
    <x v="1"/>
    <x v="4"/>
    <x v="0"/>
  </r>
  <r>
    <n v="279"/>
    <n v="279"/>
    <n v="1"/>
    <x v="1"/>
    <n v="45"/>
    <n v="50"/>
    <n v="154"/>
    <n v="17"/>
    <n v="72"/>
    <n v="18"/>
    <n v="10.199999999999999"/>
    <n v="4"/>
    <n v="4"/>
    <n v="11"/>
    <n v="0"/>
    <s v="NO"/>
    <n v="2"/>
    <n v="412.9"/>
    <x v="112"/>
    <n v="2.2400000000000002"/>
    <n v="1.99"/>
    <n v="1.1256281407035178"/>
    <x v="1"/>
    <n v="30"/>
    <n v="27"/>
    <n v="0.9"/>
    <n v="22.59"/>
    <n v="6.5"/>
    <n v="16.84"/>
    <n v="10.5"/>
    <x v="0"/>
    <n v="0.5"/>
    <n v="138"/>
    <n v="1"/>
    <x v="1"/>
    <n v="1"/>
    <s v="YES"/>
    <n v="1"/>
    <s v="YES"/>
    <n v="1"/>
    <s v="YES"/>
    <n v="1"/>
    <s v="YES"/>
    <n v="1"/>
    <x v="0"/>
    <n v="0"/>
    <s v="NO"/>
    <n v="120"/>
    <n v="80"/>
    <n v="4"/>
    <n v="8"/>
    <n v="15"/>
    <n v="18"/>
    <n v="7.2"/>
    <x v="0"/>
    <n v="12"/>
    <n v="33"/>
    <n v="108"/>
    <x v="1"/>
    <x v="3"/>
    <x v="1"/>
  </r>
  <r>
    <n v="280"/>
    <n v="280"/>
    <n v="0"/>
    <x v="0"/>
    <n v="26"/>
    <n v="54"/>
    <n v="150"/>
    <n v="11"/>
    <n v="72"/>
    <n v="18"/>
    <n v="12"/>
    <n v="4"/>
    <n v="3"/>
    <n v="5"/>
    <n v="0"/>
    <s v="NO"/>
    <n v="0"/>
    <n v="184.8"/>
    <x v="0"/>
    <n v="5.81"/>
    <n v="3.91"/>
    <n v="1.4859335038363171"/>
    <x v="1"/>
    <n v="36"/>
    <n v="34"/>
    <n v="0.94"/>
    <n v="2.35"/>
    <n v="21"/>
    <n v="29.69"/>
    <n v="20.100000000000001"/>
    <x v="1"/>
    <n v="0.48"/>
    <n v="125"/>
    <n v="1"/>
    <x v="1"/>
    <n v="1"/>
    <s v="YES"/>
    <n v="1"/>
    <s v="YES"/>
    <n v="1"/>
    <s v="YES"/>
    <n v="0"/>
    <s v="NO"/>
    <n v="1"/>
    <x v="0"/>
    <n v="0"/>
    <s v="NO"/>
    <n v="120"/>
    <n v="70"/>
    <n v="3"/>
    <n v="2"/>
    <n v="15"/>
    <n v="13"/>
    <n v="9"/>
    <x v="0"/>
    <n v="5"/>
    <n v="28"/>
    <n v="94.333333333333329"/>
    <x v="1"/>
    <x v="4"/>
    <x v="1"/>
  </r>
  <r>
    <n v="281"/>
    <n v="281"/>
    <n v="0"/>
    <x v="0"/>
    <n v="31"/>
    <n v="65"/>
    <n v="158"/>
    <n v="15"/>
    <n v="72"/>
    <n v="18"/>
    <n v="12.4"/>
    <n v="2"/>
    <n v="5"/>
    <n v="4"/>
    <n v="0"/>
    <s v="NO"/>
    <n v="0"/>
    <n v="1.99"/>
    <x v="0"/>
    <n v="2.95"/>
    <n v="0.26"/>
    <n v="11.346153846153847"/>
    <x v="0"/>
    <n v="38"/>
    <n v="36"/>
    <n v="0.95"/>
    <n v="3.23"/>
    <n v="0.9"/>
    <n v="17.190000000000001"/>
    <n v="25.5"/>
    <x v="1"/>
    <n v="0.66"/>
    <n v="92"/>
    <n v="0"/>
    <x v="0"/>
    <n v="1"/>
    <s v="YES"/>
    <n v="0"/>
    <s v="NO"/>
    <n v="1"/>
    <s v="YES"/>
    <n v="1"/>
    <s v="YES"/>
    <n v="0"/>
    <x v="1"/>
    <n v="1"/>
    <s v="YES"/>
    <n v="120"/>
    <n v="70"/>
    <n v="3"/>
    <n v="3"/>
    <n v="18"/>
    <n v="15"/>
    <n v="8.9"/>
    <x v="1"/>
    <n v="6"/>
    <n v="33"/>
    <n v="94.333333333333329"/>
    <x v="0"/>
    <x v="4"/>
    <x v="0"/>
  </r>
  <r>
    <n v="282"/>
    <n v="282"/>
    <n v="0"/>
    <x v="0"/>
    <n v="31"/>
    <n v="51"/>
    <n v="155"/>
    <n v="17"/>
    <n v="70"/>
    <n v="18"/>
    <n v="11"/>
    <n v="4"/>
    <n v="5"/>
    <n v="5"/>
    <n v="0"/>
    <s v="NO"/>
    <n v="0"/>
    <n v="1.99"/>
    <x v="0"/>
    <n v="60.37"/>
    <n v="9.99"/>
    <n v="6.0430430430430429"/>
    <x v="0"/>
    <n v="33"/>
    <n v="30"/>
    <n v="0.91"/>
    <n v="1"/>
    <n v="15.3"/>
    <n v="20.47"/>
    <n v="25.6"/>
    <x v="1"/>
    <n v="0.33"/>
    <n v="92"/>
    <n v="0"/>
    <x v="0"/>
    <n v="0"/>
    <s v="NO"/>
    <n v="0"/>
    <s v="NO"/>
    <n v="0"/>
    <s v="NO"/>
    <n v="1"/>
    <s v="YES"/>
    <n v="0"/>
    <x v="1"/>
    <n v="1"/>
    <s v="YES"/>
    <n v="110"/>
    <n v="80"/>
    <n v="4"/>
    <n v="5"/>
    <n v="16"/>
    <n v="19"/>
    <n v="7"/>
    <x v="0"/>
    <n v="9"/>
    <n v="35"/>
    <n v="108"/>
    <x v="0"/>
    <x v="2"/>
    <x v="0"/>
  </r>
  <r>
    <n v="283"/>
    <n v="283"/>
    <n v="1"/>
    <x v="1"/>
    <n v="38"/>
    <n v="62"/>
    <n v="154"/>
    <n v="15"/>
    <n v="74"/>
    <n v="20"/>
    <n v="10.5"/>
    <n v="4"/>
    <n v="4"/>
    <n v="5"/>
    <n v="1"/>
    <s v="YES"/>
    <n v="0"/>
    <n v="454.27"/>
    <x v="113"/>
    <n v="8.15"/>
    <n v="3.26"/>
    <n v="2.5000000000000004"/>
    <x v="0"/>
    <n v="35"/>
    <n v="33"/>
    <n v="0.94"/>
    <n v="7.02"/>
    <n v="10.6"/>
    <n v="22.9"/>
    <n v="16.7"/>
    <x v="0"/>
    <n v="0.48"/>
    <n v="92"/>
    <n v="1"/>
    <x v="1"/>
    <n v="0"/>
    <s v="NO"/>
    <n v="0"/>
    <s v="NO"/>
    <n v="1"/>
    <s v="YES"/>
    <n v="1"/>
    <s v="YES"/>
    <n v="1"/>
    <x v="0"/>
    <n v="0"/>
    <s v="NO"/>
    <n v="120"/>
    <n v="80"/>
    <n v="8"/>
    <n v="5"/>
    <n v="15"/>
    <n v="17"/>
    <n v="9.8000000000000007"/>
    <x v="1"/>
    <n v="13"/>
    <n v="32"/>
    <n v="109.33333333333333"/>
    <x v="1"/>
    <x v="1"/>
    <x v="0"/>
  </r>
  <r>
    <n v="284"/>
    <n v="284"/>
    <n v="0"/>
    <x v="0"/>
    <n v="32"/>
    <n v="68"/>
    <n v="158"/>
    <n v="17"/>
    <n v="72"/>
    <n v="18"/>
    <n v="10.5"/>
    <n v="2"/>
    <n v="6"/>
    <n v="13"/>
    <n v="0"/>
    <s v="NO"/>
    <n v="0"/>
    <n v="3.1"/>
    <x v="114"/>
    <n v="2.35"/>
    <n v="0.28999999999999998"/>
    <n v="8.1034482758620694"/>
    <x v="0"/>
    <n v="37"/>
    <n v="35"/>
    <n v="0.95"/>
    <n v="5"/>
    <n v="4.2"/>
    <n v="38.51"/>
    <n v="24"/>
    <x v="1"/>
    <n v="0.7"/>
    <n v="100"/>
    <n v="1"/>
    <x v="1"/>
    <n v="0"/>
    <s v="NO"/>
    <n v="0"/>
    <s v="NO"/>
    <n v="0"/>
    <s v="NO"/>
    <n v="1"/>
    <s v="YES"/>
    <n v="1"/>
    <x v="0"/>
    <n v="1"/>
    <s v="YES"/>
    <n v="110"/>
    <n v="80"/>
    <n v="3"/>
    <n v="5"/>
    <n v="17"/>
    <n v="16"/>
    <n v="9.8000000000000007"/>
    <x v="1"/>
    <n v="8"/>
    <n v="33"/>
    <n v="107.66666666666667"/>
    <x v="0"/>
    <x v="2"/>
    <x v="0"/>
  </r>
  <r>
    <n v="285"/>
    <n v="285"/>
    <n v="0"/>
    <x v="0"/>
    <n v="32"/>
    <n v="46"/>
    <n v="152"/>
    <n v="15"/>
    <n v="72"/>
    <n v="20"/>
    <n v="11.5"/>
    <n v="2"/>
    <n v="6"/>
    <n v="8"/>
    <n v="0"/>
    <s v="NO"/>
    <n v="0"/>
    <n v="1.99"/>
    <x v="0"/>
    <n v="4.79"/>
    <n v="4.5"/>
    <n v="1.0644444444444445"/>
    <x v="1"/>
    <n v="32"/>
    <n v="30"/>
    <n v="0.94"/>
    <n v="2"/>
    <n v="4.7"/>
    <n v="96.63"/>
    <n v="22.6"/>
    <x v="1"/>
    <n v="0.5"/>
    <n v="112"/>
    <n v="0"/>
    <x v="0"/>
    <n v="0"/>
    <s v="NO"/>
    <n v="0"/>
    <s v="NO"/>
    <n v="1"/>
    <s v="YES"/>
    <n v="1"/>
    <s v="YES"/>
    <n v="0"/>
    <x v="1"/>
    <n v="0"/>
    <s v="NO"/>
    <n v="120"/>
    <n v="80"/>
    <n v="1"/>
    <n v="1"/>
    <n v="11"/>
    <n v="16"/>
    <n v="11"/>
    <x v="0"/>
    <n v="2"/>
    <n v="27"/>
    <n v="107"/>
    <x v="0"/>
    <x v="1"/>
    <x v="0"/>
  </r>
  <r>
    <n v="286"/>
    <n v="286"/>
    <n v="0"/>
    <x v="0"/>
    <n v="38"/>
    <n v="52"/>
    <n v="156"/>
    <n v="17"/>
    <n v="72"/>
    <n v="18"/>
    <n v="10.8"/>
    <n v="2"/>
    <n v="5"/>
    <n v="10"/>
    <n v="0"/>
    <s v="NO"/>
    <n v="0"/>
    <n v="227.56"/>
    <x v="115"/>
    <n v="3.75"/>
    <n v="0.34"/>
    <n v="11.029411764705882"/>
    <x v="0"/>
    <n v="33"/>
    <n v="30"/>
    <n v="0.91"/>
    <n v="1.26"/>
    <n v="4.8"/>
    <n v="17.07"/>
    <n v="20.100000000000001"/>
    <x v="1"/>
    <n v="0.3"/>
    <n v="110"/>
    <n v="0"/>
    <x v="0"/>
    <n v="0"/>
    <s v="NO"/>
    <n v="0"/>
    <s v="NO"/>
    <n v="1"/>
    <s v="YES"/>
    <n v="0"/>
    <s v="NO"/>
    <n v="0"/>
    <x v="1"/>
    <n v="1"/>
    <s v="YES"/>
    <n v="120"/>
    <n v="80"/>
    <n v="1"/>
    <n v="2"/>
    <n v="20"/>
    <n v="17"/>
    <n v="7.2"/>
    <x v="0"/>
    <n v="3"/>
    <n v="37"/>
    <n v="107"/>
    <x v="0"/>
    <x v="2"/>
    <x v="1"/>
  </r>
  <r>
    <n v="287"/>
    <n v="287"/>
    <n v="0"/>
    <x v="0"/>
    <n v="26"/>
    <n v="67"/>
    <n v="154"/>
    <n v="11"/>
    <n v="72"/>
    <n v="18"/>
    <n v="13.2"/>
    <n v="2"/>
    <n v="5"/>
    <n v="5"/>
    <n v="0"/>
    <s v="NO"/>
    <n v="1"/>
    <n v="1.99"/>
    <x v="0"/>
    <n v="7.76"/>
    <n v="2.71"/>
    <n v="2.8634686346863467"/>
    <x v="0"/>
    <n v="36"/>
    <n v="34"/>
    <n v="0.94"/>
    <n v="3.71"/>
    <n v="1.7"/>
    <n v="23.98"/>
    <n v="17.100000000000001"/>
    <x v="0"/>
    <n v="0.25"/>
    <n v="122"/>
    <n v="1"/>
    <x v="1"/>
    <n v="0"/>
    <s v="NO"/>
    <n v="0"/>
    <s v="NO"/>
    <n v="1"/>
    <s v="YES"/>
    <n v="0"/>
    <s v="NO"/>
    <n v="1"/>
    <x v="0"/>
    <n v="0"/>
    <s v="NO"/>
    <n v="120"/>
    <n v="70"/>
    <n v="2"/>
    <n v="1"/>
    <n v="16"/>
    <n v="14"/>
    <n v="7.8"/>
    <x v="1"/>
    <n v="3"/>
    <n v="30"/>
    <n v="94"/>
    <x v="0"/>
    <x v="2"/>
    <x v="0"/>
  </r>
  <r>
    <n v="288"/>
    <n v="288"/>
    <n v="1"/>
    <x v="1"/>
    <n v="29"/>
    <n v="53"/>
    <n v="152"/>
    <n v="17"/>
    <n v="78"/>
    <n v="22"/>
    <n v="11"/>
    <n v="2"/>
    <n v="5"/>
    <n v="2.5"/>
    <n v="0"/>
    <s v="NO"/>
    <n v="0"/>
    <n v="53.09"/>
    <x v="0"/>
    <n v="6.06"/>
    <n v="2.14"/>
    <n v="2.8317757009345792"/>
    <x v="0"/>
    <n v="34"/>
    <n v="32"/>
    <n v="0.94"/>
    <n v="2.35"/>
    <n v="5.4"/>
    <n v="12.26"/>
    <n v="18"/>
    <x v="0"/>
    <n v="0.25"/>
    <n v="100"/>
    <n v="0"/>
    <x v="0"/>
    <n v="1"/>
    <s v="YES"/>
    <n v="1"/>
    <s v="YES"/>
    <n v="0"/>
    <s v="NO"/>
    <n v="1"/>
    <s v="YES"/>
    <n v="0"/>
    <x v="1"/>
    <n v="0"/>
    <s v="NO"/>
    <n v="110"/>
    <n v="80"/>
    <n v="10"/>
    <n v="7"/>
    <n v="18"/>
    <n v="14"/>
    <n v="9"/>
    <x v="0"/>
    <n v="17"/>
    <n v="32"/>
    <n v="110"/>
    <x v="1"/>
    <x v="4"/>
    <x v="1"/>
  </r>
  <r>
    <n v="289"/>
    <n v="289"/>
    <n v="0"/>
    <x v="0"/>
    <n v="35"/>
    <n v="66"/>
    <n v="155"/>
    <n v="15"/>
    <n v="78"/>
    <n v="22"/>
    <n v="10.5"/>
    <n v="4"/>
    <n v="3"/>
    <n v="4"/>
    <n v="0"/>
    <s v="NO"/>
    <n v="2"/>
    <n v="1.99"/>
    <x v="0"/>
    <n v="6.51"/>
    <n v="3.23"/>
    <n v="2.0154798761609904"/>
    <x v="0"/>
    <n v="37"/>
    <n v="35"/>
    <n v="0.95"/>
    <n v="4.6100000000000003"/>
    <n v="1.2"/>
    <n v="18.14"/>
    <n v="27.2"/>
    <x v="1"/>
    <n v="0.31"/>
    <n v="100"/>
    <n v="1"/>
    <x v="1"/>
    <n v="0"/>
    <s v="NO"/>
    <n v="0"/>
    <s v="NO"/>
    <n v="0"/>
    <s v="NO"/>
    <n v="0"/>
    <s v="NO"/>
    <n v="1"/>
    <x v="0"/>
    <n v="0"/>
    <s v="NO"/>
    <n v="110"/>
    <n v="80"/>
    <n v="1"/>
    <n v="0"/>
    <n v="15"/>
    <n v="18"/>
    <n v="7.7"/>
    <x v="1"/>
    <n v="1"/>
    <n v="33"/>
    <n v="107"/>
    <x v="0"/>
    <x v="0"/>
    <x v="0"/>
  </r>
  <r>
    <n v="290"/>
    <n v="290"/>
    <n v="0"/>
    <x v="0"/>
    <n v="27"/>
    <n v="65"/>
    <n v="162"/>
    <n v="15"/>
    <n v="72"/>
    <n v="18"/>
    <n v="10.7"/>
    <n v="2"/>
    <n v="5"/>
    <n v="3.5"/>
    <n v="0"/>
    <s v="NO"/>
    <n v="1"/>
    <n v="213.21"/>
    <x v="0"/>
    <n v="5.47"/>
    <n v="4.95"/>
    <n v="1.1050505050505051"/>
    <x v="1"/>
    <n v="38"/>
    <n v="36"/>
    <n v="0.95"/>
    <n v="4.29"/>
    <n v="5.4"/>
    <n v="41.03"/>
    <n v="21.4"/>
    <x v="1"/>
    <n v="0.25"/>
    <n v="92"/>
    <n v="1"/>
    <x v="1"/>
    <n v="1"/>
    <s v="YES"/>
    <n v="1"/>
    <s v="YES"/>
    <n v="1"/>
    <s v="YES"/>
    <n v="1"/>
    <s v="YES"/>
    <n v="0"/>
    <x v="1"/>
    <n v="0"/>
    <s v="NO"/>
    <n v="110"/>
    <n v="80"/>
    <n v="5"/>
    <n v="3"/>
    <n v="16"/>
    <n v="17"/>
    <n v="8"/>
    <x v="0"/>
    <n v="8"/>
    <n v="33"/>
    <n v="108.33333333333333"/>
    <x v="1"/>
    <x v="3"/>
    <x v="1"/>
  </r>
  <r>
    <n v="291"/>
    <n v="291"/>
    <n v="1"/>
    <x v="1"/>
    <n v="27"/>
    <n v="83"/>
    <n v="164"/>
    <n v="13"/>
    <n v="70"/>
    <n v="18"/>
    <n v="11"/>
    <n v="2"/>
    <n v="6"/>
    <n v="2"/>
    <n v="0"/>
    <s v="NO"/>
    <n v="0"/>
    <n v="1.99"/>
    <x v="0"/>
    <n v="4.5999999999999996"/>
    <n v="2.4900000000000002"/>
    <n v="1.8473895582329314"/>
    <x v="1"/>
    <n v="39"/>
    <n v="36"/>
    <n v="0.92"/>
    <n v="6.48"/>
    <n v="17.5"/>
    <n v="12.88"/>
    <n v="26.6"/>
    <x v="1"/>
    <n v="0.5"/>
    <n v="92"/>
    <n v="0"/>
    <x v="0"/>
    <n v="0"/>
    <s v="NO"/>
    <n v="0"/>
    <s v="NO"/>
    <n v="1"/>
    <s v="YES"/>
    <n v="1"/>
    <s v="YES"/>
    <n v="0"/>
    <x v="1"/>
    <n v="0"/>
    <s v="NO"/>
    <n v="110"/>
    <n v="80"/>
    <n v="1"/>
    <n v="1"/>
    <n v="14"/>
    <n v="15"/>
    <n v="8.5"/>
    <x v="3"/>
    <n v="2"/>
    <n v="29"/>
    <n v="107"/>
    <x v="0"/>
    <x v="1"/>
    <x v="0"/>
  </r>
  <r>
    <n v="292"/>
    <n v="292"/>
    <n v="0"/>
    <x v="0"/>
    <n v="35"/>
    <n v="53"/>
    <n v="158"/>
    <n v="17"/>
    <n v="74"/>
    <n v="20"/>
    <n v="12.4"/>
    <n v="2"/>
    <n v="6"/>
    <n v="11"/>
    <n v="0"/>
    <s v="NO"/>
    <n v="1"/>
    <n v="1.99"/>
    <x v="0"/>
    <n v="8.99"/>
    <n v="4.88"/>
    <n v="1.8422131147540985"/>
    <x v="1"/>
    <n v="35"/>
    <n v="33"/>
    <n v="0.94"/>
    <n v="1.32"/>
    <n v="6"/>
    <n v="17"/>
    <n v="30.5"/>
    <x v="1"/>
    <n v="0.4"/>
    <n v="110"/>
    <n v="1"/>
    <x v="1"/>
    <n v="0"/>
    <s v="NO"/>
    <n v="0"/>
    <s v="NO"/>
    <n v="0"/>
    <s v="NO"/>
    <n v="1"/>
    <s v="YES"/>
    <n v="1"/>
    <x v="0"/>
    <n v="0"/>
    <s v="NO"/>
    <n v="120"/>
    <n v="80"/>
    <n v="1"/>
    <n v="3"/>
    <n v="16"/>
    <n v="17"/>
    <n v="9"/>
    <x v="0"/>
    <n v="4"/>
    <n v="33"/>
    <n v="107"/>
    <x v="0"/>
    <x v="2"/>
    <x v="0"/>
  </r>
  <r>
    <n v="293"/>
    <n v="293"/>
    <n v="0"/>
    <x v="0"/>
    <n v="30"/>
    <n v="68"/>
    <n v="158"/>
    <n v="15"/>
    <n v="72"/>
    <n v="18"/>
    <n v="10.5"/>
    <n v="2"/>
    <n v="4"/>
    <n v="10"/>
    <n v="0"/>
    <s v="NO"/>
    <n v="0"/>
    <n v="1.99"/>
    <x v="0"/>
    <n v="1.76"/>
    <n v="0.2"/>
    <n v="8.7999999999999989"/>
    <x v="0"/>
    <n v="37"/>
    <n v="35"/>
    <n v="0.95"/>
    <n v="0.94"/>
    <n v="2"/>
    <n v="43.63"/>
    <n v="35.799999999999997"/>
    <x v="1"/>
    <n v="0.41"/>
    <n v="92"/>
    <n v="0"/>
    <x v="0"/>
    <n v="1"/>
    <s v="YES"/>
    <n v="1"/>
    <s v="YES"/>
    <n v="1"/>
    <s v="YES"/>
    <n v="0"/>
    <s v="NO"/>
    <n v="0"/>
    <x v="1"/>
    <n v="1"/>
    <s v="YES"/>
    <n v="120"/>
    <n v="70"/>
    <n v="2"/>
    <n v="2"/>
    <n v="12"/>
    <n v="16"/>
    <n v="10.5"/>
    <x v="1"/>
    <n v="4"/>
    <n v="28"/>
    <n v="94"/>
    <x v="1"/>
    <x v="4"/>
    <x v="0"/>
  </r>
  <r>
    <n v="294"/>
    <n v="294"/>
    <n v="1"/>
    <x v="1"/>
    <n v="27"/>
    <n v="36"/>
    <n v="153"/>
    <n v="13"/>
    <n v="70"/>
    <n v="18"/>
    <n v="11.4"/>
    <n v="2"/>
    <n v="5"/>
    <n v="6.5"/>
    <n v="1"/>
    <s v="YES"/>
    <n v="0"/>
    <n v="1134.4000000000001"/>
    <x v="116"/>
    <n v="4.25"/>
    <n v="5.1100000000000003"/>
    <n v="0.83170254403131105"/>
    <x v="1"/>
    <n v="30"/>
    <n v="28"/>
    <n v="0.93"/>
    <n v="2.08"/>
    <n v="21.8"/>
    <n v="19.309999999999999"/>
    <n v="23.3"/>
    <x v="1"/>
    <n v="0.41"/>
    <n v="79"/>
    <n v="1"/>
    <x v="1"/>
    <n v="1"/>
    <s v="YES"/>
    <n v="1"/>
    <s v="YES"/>
    <n v="0"/>
    <s v="NO"/>
    <n v="1"/>
    <s v="YES"/>
    <n v="1"/>
    <x v="0"/>
    <n v="0"/>
    <s v="NO"/>
    <n v="110"/>
    <n v="80"/>
    <n v="11"/>
    <n v="12"/>
    <n v="13"/>
    <n v="15"/>
    <n v="5.5"/>
    <x v="2"/>
    <n v="23"/>
    <n v="28"/>
    <n v="110.33333333333333"/>
    <x v="1"/>
    <x v="4"/>
    <x v="0"/>
  </r>
  <r>
    <n v="295"/>
    <n v="295"/>
    <n v="1"/>
    <x v="1"/>
    <n v="28"/>
    <n v="55.5"/>
    <n v="144"/>
    <n v="13"/>
    <n v="72"/>
    <n v="20"/>
    <n v="11.8"/>
    <n v="2"/>
    <n v="5"/>
    <n v="6.5"/>
    <n v="1"/>
    <s v="YES"/>
    <n v="2"/>
    <n v="785.95"/>
    <x v="117"/>
    <n v="4"/>
    <n v="2.95"/>
    <n v="1.3559322033898304"/>
    <x v="1"/>
    <n v="38"/>
    <n v="35"/>
    <n v="0.92"/>
    <n v="0.86"/>
    <n v="18.5"/>
    <n v="7.49"/>
    <n v="20.399999999999999"/>
    <x v="1"/>
    <n v="0.62"/>
    <n v="95"/>
    <n v="1"/>
    <x v="1"/>
    <n v="1"/>
    <s v="YES"/>
    <n v="1"/>
    <s v="YES"/>
    <n v="0"/>
    <s v="NO"/>
    <n v="1"/>
    <s v="YES"/>
    <n v="1"/>
    <x v="0"/>
    <n v="0"/>
    <s v="NO"/>
    <n v="120"/>
    <n v="80"/>
    <n v="13"/>
    <n v="20"/>
    <n v="14"/>
    <n v="16"/>
    <n v="9.6"/>
    <x v="1"/>
    <n v="33"/>
    <n v="30"/>
    <n v="111"/>
    <x v="1"/>
    <x v="4"/>
    <x v="0"/>
  </r>
  <r>
    <n v="296"/>
    <n v="296"/>
    <n v="1"/>
    <x v="1"/>
    <n v="30"/>
    <n v="57"/>
    <n v="155"/>
    <n v="13"/>
    <n v="72"/>
    <n v="18"/>
    <n v="12"/>
    <n v="2"/>
    <n v="5"/>
    <n v="10"/>
    <n v="0"/>
    <s v="NO"/>
    <n v="0"/>
    <n v="291.43"/>
    <x v="0"/>
    <n v="5.47"/>
    <n v="3"/>
    <n v="1.8233333333333333"/>
    <x v="1"/>
    <n v="35"/>
    <n v="33"/>
    <n v="0.94"/>
    <n v="6.54"/>
    <n v="12.4"/>
    <n v="39.6"/>
    <n v="23.9"/>
    <x v="1"/>
    <n v="0.94"/>
    <n v="106"/>
    <n v="0"/>
    <x v="0"/>
    <n v="0"/>
    <s v="NO"/>
    <n v="0"/>
    <s v="NO"/>
    <n v="0"/>
    <s v="NO"/>
    <n v="0"/>
    <s v="NO"/>
    <n v="1"/>
    <x v="0"/>
    <n v="1"/>
    <s v="YES"/>
    <n v="110"/>
    <n v="70"/>
    <n v="9"/>
    <n v="10"/>
    <n v="18"/>
    <n v="19"/>
    <n v="8"/>
    <x v="0"/>
    <n v="19"/>
    <n v="37"/>
    <n v="96.333333333333329"/>
    <x v="1"/>
    <x v="0"/>
    <x v="1"/>
  </r>
  <r>
    <n v="297"/>
    <n v="297"/>
    <n v="0"/>
    <x v="0"/>
    <n v="31"/>
    <n v="50"/>
    <n v="155"/>
    <n v="15"/>
    <n v="13"/>
    <n v="18"/>
    <n v="11"/>
    <n v="2"/>
    <n v="4"/>
    <n v="12"/>
    <n v="0"/>
    <s v="NO"/>
    <n v="0"/>
    <n v="20.81"/>
    <x v="0"/>
    <n v="6.6980000000000004"/>
    <n v="5.13"/>
    <n v="1.3056530214424953"/>
    <x v="1"/>
    <n v="33"/>
    <n v="30"/>
    <n v="0.91"/>
    <n v="3.8610000000000002"/>
    <n v="10.8"/>
    <n v="14.02"/>
    <n v="24.9"/>
    <x v="1"/>
    <n v="0.41"/>
    <n v="100"/>
    <n v="0"/>
    <x v="0"/>
    <n v="0"/>
    <s v="NO"/>
    <n v="1"/>
    <s v="YES"/>
    <n v="0"/>
    <s v="NO"/>
    <n v="1"/>
    <s v="YES"/>
    <n v="0"/>
    <x v="1"/>
    <n v="0"/>
    <s v="NO"/>
    <n v="110"/>
    <n v="70"/>
    <n v="8"/>
    <n v="5"/>
    <n v="17"/>
    <n v="15"/>
    <n v="8.5"/>
    <x v="0"/>
    <n v="13"/>
    <n v="32"/>
    <n v="96"/>
    <x v="1"/>
    <x v="1"/>
    <x v="1"/>
  </r>
  <r>
    <n v="298"/>
    <n v="298"/>
    <n v="0"/>
    <x v="0"/>
    <n v="20"/>
    <n v="52"/>
    <n v="150"/>
    <n v="15"/>
    <n v="72"/>
    <n v="18"/>
    <n v="10.5"/>
    <n v="2"/>
    <n v="6"/>
    <n v="3"/>
    <n v="0"/>
    <s v="NO"/>
    <n v="0"/>
    <n v="1.99"/>
    <x v="0"/>
    <n v="4.87"/>
    <n v="3.61"/>
    <n v="1.3490304709141274"/>
    <x v="1"/>
    <n v="34"/>
    <n v="32"/>
    <n v="0.94"/>
    <n v="2.93"/>
    <n v="4.5"/>
    <n v="20.18"/>
    <n v="27"/>
    <x v="1"/>
    <n v="0.34"/>
    <n v="88"/>
    <n v="0"/>
    <x v="0"/>
    <n v="0"/>
    <s v="NO"/>
    <n v="0"/>
    <s v="NO"/>
    <n v="1"/>
    <s v="YES"/>
    <n v="1"/>
    <s v="YES"/>
    <n v="1"/>
    <x v="0"/>
    <n v="0"/>
    <s v="NO"/>
    <n v="110"/>
    <n v="70"/>
    <n v="7"/>
    <n v="9"/>
    <n v="13"/>
    <n v="17"/>
    <n v="9.6"/>
    <x v="0"/>
    <n v="16"/>
    <n v="30"/>
    <n v="95.666666666666671"/>
    <x v="1"/>
    <x v="1"/>
    <x v="0"/>
  </r>
  <r>
    <n v="299"/>
    <n v="299"/>
    <n v="0"/>
    <x v="0"/>
    <n v="34"/>
    <n v="67"/>
    <n v="152"/>
    <n v="15"/>
    <n v="74"/>
    <n v="20"/>
    <n v="11.5"/>
    <n v="2"/>
    <n v="6"/>
    <n v="13"/>
    <n v="0"/>
    <s v="NO"/>
    <n v="1"/>
    <n v="1.99"/>
    <x v="0"/>
    <n v="5.59"/>
    <n v="3.05"/>
    <n v="1.8327868852459017"/>
    <x v="1"/>
    <n v="37"/>
    <n v="35"/>
    <n v="0.95"/>
    <n v="3.67"/>
    <n v="4.2"/>
    <n v="14.88"/>
    <n v="13.9"/>
    <x v="0"/>
    <n v="0.7"/>
    <n v="95"/>
    <n v="1"/>
    <x v="1"/>
    <n v="1"/>
    <s v="YES"/>
    <n v="1"/>
    <s v="YES"/>
    <n v="1"/>
    <s v="YES"/>
    <n v="1"/>
    <s v="YES"/>
    <n v="1"/>
    <x v="0"/>
    <n v="0"/>
    <s v="NO"/>
    <n v="120"/>
    <n v="70"/>
    <n v="1"/>
    <n v="0"/>
    <n v="16"/>
    <n v="12"/>
    <n v="7.7"/>
    <x v="1"/>
    <n v="1"/>
    <n v="28"/>
    <n v="93.666666666666671"/>
    <x v="1"/>
    <x v="3"/>
    <x v="0"/>
  </r>
  <r>
    <n v="300"/>
    <n v="300"/>
    <n v="0"/>
    <x v="0"/>
    <n v="26"/>
    <n v="50"/>
    <n v="152"/>
    <n v="11"/>
    <n v="72"/>
    <n v="20"/>
    <n v="11"/>
    <n v="4"/>
    <n v="5"/>
    <n v="2"/>
    <n v="0"/>
    <s v="NO"/>
    <n v="0"/>
    <n v="1.99"/>
    <x v="0"/>
    <n v="5.7"/>
    <n v="4.5"/>
    <n v="1.2666666666666666"/>
    <x v="1"/>
    <n v="32"/>
    <n v="28"/>
    <n v="0.88"/>
    <n v="1.24"/>
    <n v="1.2"/>
    <n v="38.700000000000003"/>
    <n v="23.2"/>
    <x v="1"/>
    <n v="0.26"/>
    <n v="92"/>
    <n v="0"/>
    <x v="0"/>
    <n v="0"/>
    <s v="NO"/>
    <n v="1"/>
    <s v="YES"/>
    <n v="0"/>
    <s v="NO"/>
    <n v="0"/>
    <s v="NO"/>
    <n v="1"/>
    <x v="0"/>
    <n v="1"/>
    <s v="YES"/>
    <n v="120"/>
    <n v="80"/>
    <n v="1"/>
    <n v="0"/>
    <n v="15"/>
    <n v="18"/>
    <n v="11"/>
    <x v="0"/>
    <n v="1"/>
    <n v="33"/>
    <n v="107"/>
    <x v="1"/>
    <x v="2"/>
    <x v="0"/>
  </r>
  <r>
    <n v="301"/>
    <n v="301"/>
    <n v="1"/>
    <x v="1"/>
    <n v="40"/>
    <n v="85"/>
    <n v="173"/>
    <n v="13"/>
    <n v="72"/>
    <n v="18"/>
    <n v="10.5"/>
    <n v="2"/>
    <n v="5"/>
    <n v="13"/>
    <n v="0"/>
    <s v="NO"/>
    <n v="1"/>
    <n v="1.99"/>
    <x v="0"/>
    <n v="4.38"/>
    <n v="1.64"/>
    <n v="2.6707317073170733"/>
    <x v="0"/>
    <n v="38"/>
    <n v="36"/>
    <n v="0.95"/>
    <n v="3.74"/>
    <n v="10.8"/>
    <n v="29.76"/>
    <n v="18.3"/>
    <x v="0"/>
    <n v="0.33"/>
    <n v="100"/>
    <n v="1"/>
    <x v="1"/>
    <n v="0"/>
    <s v="NO"/>
    <n v="0"/>
    <s v="NO"/>
    <n v="0"/>
    <s v="NO"/>
    <n v="1"/>
    <s v="YES"/>
    <n v="1"/>
    <x v="0"/>
    <n v="0"/>
    <s v="NO"/>
    <n v="110"/>
    <n v="80"/>
    <n v="2"/>
    <n v="1"/>
    <n v="18"/>
    <n v="15"/>
    <n v="7"/>
    <x v="1"/>
    <n v="3"/>
    <n v="33"/>
    <n v="107.33333333333333"/>
    <x v="0"/>
    <x v="2"/>
    <x v="0"/>
  </r>
  <r>
    <n v="302"/>
    <n v="302"/>
    <n v="0"/>
    <x v="0"/>
    <n v="28"/>
    <n v="53"/>
    <n v="152"/>
    <n v="11"/>
    <n v="72"/>
    <n v="18"/>
    <n v="11.2"/>
    <n v="2"/>
    <n v="4"/>
    <n v="7.5"/>
    <n v="0"/>
    <s v="NO"/>
    <n v="1"/>
    <n v="110.78"/>
    <x v="0"/>
    <n v="5.71"/>
    <n v="2.83"/>
    <n v="2.0176678445229683"/>
    <x v="0"/>
    <n v="33"/>
    <n v="30"/>
    <n v="0.91"/>
    <n v="4.6900000000000004"/>
    <n v="10"/>
    <n v="22.1"/>
    <n v="30.3"/>
    <x v="1"/>
    <n v="0.4"/>
    <n v="100"/>
    <n v="1"/>
    <x v="1"/>
    <n v="1"/>
    <s v="YES"/>
    <n v="1"/>
    <s v="YES"/>
    <n v="1"/>
    <s v="YES"/>
    <n v="0"/>
    <s v="NO"/>
    <n v="1"/>
    <x v="0"/>
    <n v="0"/>
    <s v="NO"/>
    <n v="110"/>
    <n v="80"/>
    <n v="7"/>
    <n v="5"/>
    <n v="16"/>
    <n v="13"/>
    <n v="9"/>
    <x v="0"/>
    <n v="12"/>
    <n v="29"/>
    <n v="109"/>
    <x v="1"/>
    <x v="4"/>
    <x v="1"/>
  </r>
  <r>
    <n v="303"/>
    <n v="303"/>
    <n v="0"/>
    <x v="0"/>
    <n v="26"/>
    <n v="64"/>
    <n v="153"/>
    <n v="17"/>
    <n v="72"/>
    <n v="18"/>
    <n v="12"/>
    <n v="4"/>
    <n v="3"/>
    <n v="3"/>
    <n v="0"/>
    <s v="NO"/>
    <n v="0"/>
    <n v="1.99"/>
    <x v="0"/>
    <n v="5.14"/>
    <n v="8.17"/>
    <n v="0.62913096695226434"/>
    <x v="1"/>
    <n v="34"/>
    <n v="31"/>
    <n v="0.91"/>
    <n v="1.1000000000000001"/>
    <n v="18.7"/>
    <n v="31.83"/>
    <n v="30"/>
    <x v="1"/>
    <n v="0.46"/>
    <n v="135"/>
    <n v="0"/>
    <x v="0"/>
    <n v="0"/>
    <s v="NO"/>
    <n v="0"/>
    <s v="NO"/>
    <n v="1"/>
    <s v="YES"/>
    <n v="0"/>
    <s v="NO"/>
    <n v="0"/>
    <x v="1"/>
    <n v="1"/>
    <s v="YES"/>
    <n v="120"/>
    <n v="80"/>
    <n v="3"/>
    <n v="4"/>
    <n v="16"/>
    <n v="14"/>
    <n v="9.5"/>
    <x v="1"/>
    <n v="7"/>
    <n v="30"/>
    <n v="107.66666666666667"/>
    <x v="0"/>
    <x v="2"/>
    <x v="0"/>
  </r>
  <r>
    <n v="304"/>
    <n v="304"/>
    <n v="1"/>
    <x v="1"/>
    <n v="25"/>
    <n v="57"/>
    <n v="148"/>
    <n v="15"/>
    <n v="72"/>
    <n v="20"/>
    <n v="10"/>
    <n v="2"/>
    <n v="5"/>
    <n v="1"/>
    <n v="0"/>
    <s v="NO"/>
    <n v="0"/>
    <n v="1.99"/>
    <x v="50"/>
    <n v="2.52"/>
    <n v="1.41"/>
    <n v="1.7872340425531916"/>
    <x v="1"/>
    <n v="30"/>
    <n v="28"/>
    <n v="0.93"/>
    <n v="3.04"/>
    <n v="18"/>
    <n v="35.03"/>
    <n v="31.2"/>
    <x v="1"/>
    <n v="0.56000000000000005"/>
    <n v="80"/>
    <n v="1"/>
    <x v="1"/>
    <n v="1"/>
    <s v="YES"/>
    <n v="1"/>
    <s v="YES"/>
    <n v="1"/>
    <s v="YES"/>
    <n v="1"/>
    <s v="YES"/>
    <n v="0"/>
    <x v="1"/>
    <n v="0"/>
    <s v="NO"/>
    <n v="110"/>
    <n v="80"/>
    <n v="10"/>
    <n v="12"/>
    <n v="15"/>
    <n v="14"/>
    <n v="9"/>
    <x v="1"/>
    <n v="22"/>
    <n v="29"/>
    <n v="110"/>
    <x v="1"/>
    <x v="3"/>
    <x v="0"/>
  </r>
  <r>
    <n v="305"/>
    <n v="305"/>
    <n v="0"/>
    <x v="0"/>
    <n v="35"/>
    <n v="52"/>
    <n v="150"/>
    <n v="13"/>
    <n v="70"/>
    <n v="18"/>
    <n v="10.7"/>
    <n v="2"/>
    <n v="5"/>
    <n v="7"/>
    <n v="0"/>
    <s v="NO"/>
    <n v="0"/>
    <n v="1.99"/>
    <x v="0"/>
    <n v="5.04"/>
    <n v="2.2200000000000002"/>
    <n v="2.2702702702702702"/>
    <x v="0"/>
    <n v="34"/>
    <n v="32"/>
    <n v="0.94"/>
    <n v="0.81"/>
    <n v="0.28000000000000003"/>
    <n v="16.399999999999999"/>
    <n v="25"/>
    <x v="1"/>
    <n v="0.33"/>
    <n v="94"/>
    <n v="0"/>
    <x v="0"/>
    <n v="0"/>
    <s v="NO"/>
    <n v="0"/>
    <s v="NO"/>
    <n v="0"/>
    <s v="NO"/>
    <n v="1"/>
    <s v="YES"/>
    <n v="0"/>
    <x v="1"/>
    <n v="1"/>
    <s v="YES"/>
    <n v="110"/>
    <n v="80"/>
    <n v="3"/>
    <n v="2"/>
    <n v="17"/>
    <n v="15"/>
    <n v="12"/>
    <x v="0"/>
    <n v="5"/>
    <n v="32"/>
    <n v="107.66666666666667"/>
    <x v="0"/>
    <x v="2"/>
    <x v="0"/>
  </r>
  <r>
    <n v="306"/>
    <n v="306"/>
    <n v="0"/>
    <x v="0"/>
    <n v="37"/>
    <n v="56"/>
    <n v="152"/>
    <n v="13"/>
    <n v="74"/>
    <n v="20"/>
    <n v="11.7"/>
    <n v="2"/>
    <n v="5"/>
    <n v="9"/>
    <n v="0"/>
    <s v="NO"/>
    <n v="0"/>
    <n v="42"/>
    <x v="0"/>
    <n v="2.91"/>
    <n v="0.35"/>
    <n v="8.3142857142857149"/>
    <x v="0"/>
    <n v="35"/>
    <n v="33"/>
    <n v="0.94"/>
    <n v="16"/>
    <s v="a"/>
    <n v="2.2200000000000002"/>
    <n v="38.6"/>
    <x v="1"/>
    <n v="0.3"/>
    <n v="100"/>
    <n v="0"/>
    <x v="0"/>
    <n v="0"/>
    <s v="NO"/>
    <n v="0"/>
    <s v="NO"/>
    <n v="0"/>
    <s v="NO"/>
    <n v="1"/>
    <s v="YES"/>
    <n v="0"/>
    <x v="1"/>
    <n v="1"/>
    <s v="YES"/>
    <n v="120"/>
    <n v="70"/>
    <n v="4"/>
    <n v="5"/>
    <n v="17"/>
    <n v="16"/>
    <n v="5.6"/>
    <x v="0"/>
    <n v="9"/>
    <n v="33"/>
    <n v="94.666666666666671"/>
    <x v="0"/>
    <x v="2"/>
    <x v="1"/>
  </r>
  <r>
    <n v="307"/>
    <n v="307"/>
    <n v="1"/>
    <x v="1"/>
    <n v="41"/>
    <n v="40"/>
    <n v="155"/>
    <n v="13"/>
    <n v="72"/>
    <n v="16"/>
    <n v="11"/>
    <n v="2"/>
    <n v="5"/>
    <n v="7"/>
    <n v="0"/>
    <s v="NO"/>
    <n v="0"/>
    <n v="1.99"/>
    <x v="0"/>
    <n v="3.68"/>
    <n v="0.83"/>
    <n v="4.4337349397590362"/>
    <x v="0"/>
    <n v="34"/>
    <n v="32"/>
    <n v="0.94"/>
    <n v="1.1299999999999999"/>
    <n v="1.03"/>
    <n v="7.49"/>
    <n v="33.1"/>
    <x v="1"/>
    <n v="0.25"/>
    <n v="82"/>
    <n v="0"/>
    <x v="0"/>
    <n v="1"/>
    <s v="YES"/>
    <n v="1"/>
    <s v="YES"/>
    <n v="0"/>
    <s v="NO"/>
    <n v="1"/>
    <s v="YES"/>
    <n v="0"/>
    <x v="1"/>
    <n v="0"/>
    <s v="NO"/>
    <n v="110"/>
    <n v="70"/>
    <n v="8"/>
    <n v="12"/>
    <n v="11"/>
    <n v="11.5"/>
    <n v="5.5"/>
    <x v="2"/>
    <n v="20"/>
    <n v="22.5"/>
    <n v="96"/>
    <x v="1"/>
    <x v="4"/>
    <x v="0"/>
  </r>
  <r>
    <n v="308"/>
    <n v="308"/>
    <n v="0"/>
    <x v="0"/>
    <n v="24"/>
    <n v="68"/>
    <n v="158"/>
    <n v="15"/>
    <n v="72"/>
    <n v="16"/>
    <n v="10.8"/>
    <n v="2"/>
    <n v="6"/>
    <n v="3"/>
    <n v="1"/>
    <s v="YES"/>
    <n v="0"/>
    <n v="229.86"/>
    <x v="118"/>
    <n v="3.33"/>
    <n v="1.99"/>
    <n v="1.6733668341708543"/>
    <x v="1"/>
    <n v="39"/>
    <n v="36"/>
    <n v="0.92"/>
    <n v="2"/>
    <n v="3.02"/>
    <n v="10.57"/>
    <n v="22.5"/>
    <x v="1"/>
    <n v="0.25"/>
    <n v="80"/>
    <n v="1"/>
    <x v="1"/>
    <n v="0"/>
    <s v="NO"/>
    <n v="0"/>
    <s v="NO"/>
    <n v="0"/>
    <s v="NO"/>
    <n v="1"/>
    <s v="YES"/>
    <n v="1"/>
    <x v="0"/>
    <n v="0"/>
    <s v="NO"/>
    <n v="120"/>
    <n v="80"/>
    <n v="2"/>
    <n v="4"/>
    <n v="12.5"/>
    <n v="12"/>
    <n v="8"/>
    <x v="1"/>
    <n v="6"/>
    <n v="24.5"/>
    <n v="107.33333333333333"/>
    <x v="0"/>
    <x v="2"/>
    <x v="0"/>
  </r>
  <r>
    <n v="309"/>
    <n v="309"/>
    <n v="1"/>
    <x v="1"/>
    <n v="33"/>
    <n v="52"/>
    <n v="152"/>
    <n v="11"/>
    <n v="72"/>
    <n v="18"/>
    <n v="11"/>
    <n v="2"/>
    <n v="5"/>
    <n v="8"/>
    <n v="0"/>
    <s v="NO"/>
    <n v="1"/>
    <n v="1.99"/>
    <x v="0"/>
    <n v="5.84"/>
    <n v="4.54"/>
    <n v="1.2863436123348018"/>
    <x v="1"/>
    <n v="38"/>
    <n v="32"/>
    <n v="0.84"/>
    <n v="3.74"/>
    <n v="1"/>
    <n v="33.68"/>
    <n v="31.55"/>
    <x v="1"/>
    <n v="0.25"/>
    <n v="92"/>
    <n v="0"/>
    <x v="0"/>
    <n v="1"/>
    <s v="YES"/>
    <n v="1"/>
    <s v="YES"/>
    <n v="1"/>
    <s v="YES"/>
    <n v="1"/>
    <s v="YES"/>
    <n v="1"/>
    <x v="0"/>
    <n v="0"/>
    <s v="NO"/>
    <n v="110"/>
    <n v="70"/>
    <n v="6"/>
    <n v="9"/>
    <n v="13"/>
    <n v="13"/>
    <n v="6"/>
    <x v="0"/>
    <n v="15"/>
    <n v="26"/>
    <n v="95.333333333333329"/>
    <x v="1"/>
    <x v="3"/>
    <x v="0"/>
  </r>
  <r>
    <n v="310"/>
    <n v="310"/>
    <n v="1"/>
    <x v="1"/>
    <n v="24"/>
    <n v="52"/>
    <n v="162"/>
    <n v="15"/>
    <n v="72"/>
    <n v="18"/>
    <n v="11"/>
    <n v="4"/>
    <n v="3"/>
    <n v="4"/>
    <n v="0"/>
    <s v="NO"/>
    <n v="0"/>
    <n v="1.99"/>
    <x v="0"/>
    <n v="3.26"/>
    <n v="1.66"/>
    <n v="1.963855421686747"/>
    <x v="1"/>
    <n v="39"/>
    <n v="32"/>
    <n v="0.82"/>
    <n v="2.41"/>
    <n v="1.5"/>
    <n v="9.64"/>
    <n v="28.4"/>
    <x v="1"/>
    <n v="0.78"/>
    <n v="92"/>
    <n v="0"/>
    <x v="0"/>
    <n v="0"/>
    <s v="NO"/>
    <n v="1"/>
    <s v="YES"/>
    <n v="0"/>
    <s v="NO"/>
    <n v="1"/>
    <s v="YES"/>
    <n v="1"/>
    <x v="0"/>
    <n v="0"/>
    <s v="NO"/>
    <n v="110"/>
    <n v="80"/>
    <n v="6"/>
    <n v="7"/>
    <n v="15"/>
    <n v="16"/>
    <n v="7"/>
    <x v="0"/>
    <n v="13"/>
    <n v="31"/>
    <n v="108.66666666666667"/>
    <x v="1"/>
    <x v="1"/>
    <x v="0"/>
  </r>
  <r>
    <n v="311"/>
    <n v="311"/>
    <n v="0"/>
    <x v="0"/>
    <n v="39"/>
    <n v="55"/>
    <n v="158"/>
    <n v="15"/>
    <n v="72"/>
    <n v="20"/>
    <n v="12"/>
    <n v="2"/>
    <n v="5"/>
    <n v="14"/>
    <n v="0"/>
    <s v="NO"/>
    <n v="0"/>
    <n v="3.9"/>
    <x v="119"/>
    <n v="7.27"/>
    <n v="2.48"/>
    <n v="2.9314516129032255"/>
    <x v="0"/>
    <n v="38"/>
    <n v="34"/>
    <n v="0.89"/>
    <n v="5"/>
    <n v="3"/>
    <n v="38.15"/>
    <n v="30.5"/>
    <x v="1"/>
    <n v="0.25"/>
    <n v="95"/>
    <n v="1"/>
    <x v="1"/>
    <n v="0"/>
    <s v="NO"/>
    <n v="0"/>
    <s v="NO"/>
    <n v="0"/>
    <s v="NO"/>
    <n v="1"/>
    <s v="YES"/>
    <n v="0"/>
    <x v="1"/>
    <n v="1"/>
    <s v="YES"/>
    <n v="110"/>
    <n v="70"/>
    <n v="1"/>
    <n v="2"/>
    <n v="15"/>
    <n v="11"/>
    <n v="7.3"/>
    <x v="0"/>
    <n v="3"/>
    <n v="26"/>
    <n v="93.666666666666671"/>
    <x v="0"/>
    <x v="2"/>
    <x v="0"/>
  </r>
  <r>
    <n v="312"/>
    <n v="312"/>
    <n v="1"/>
    <x v="1"/>
    <n v="30"/>
    <n v="72"/>
    <n v="161"/>
    <n v="11"/>
    <n v="72"/>
    <n v="22"/>
    <n v="12.2"/>
    <n v="4"/>
    <n v="2"/>
    <n v="1.5"/>
    <n v="1"/>
    <s v="YES"/>
    <n v="0"/>
    <n v="297.20999999999998"/>
    <x v="120"/>
    <n v="11.62"/>
    <n v="2.06"/>
    <n v="5.6407766990291259"/>
    <x v="0"/>
    <n v="45"/>
    <n v="38"/>
    <n v="0.84"/>
    <n v="2.13"/>
    <n v="1"/>
    <n v="14.06"/>
    <n v="32.4"/>
    <x v="1"/>
    <n v="0.38"/>
    <n v="108"/>
    <n v="1"/>
    <x v="1"/>
    <n v="1"/>
    <s v="YES"/>
    <n v="1"/>
    <s v="YES"/>
    <n v="1"/>
    <s v="YES"/>
    <n v="1"/>
    <s v="YES"/>
    <n v="1"/>
    <x v="0"/>
    <n v="0"/>
    <s v="NO"/>
    <n v="110"/>
    <n v="80"/>
    <n v="12"/>
    <n v="6"/>
    <n v="17"/>
    <n v="18"/>
    <n v="12"/>
    <x v="1"/>
    <n v="18"/>
    <n v="35"/>
    <n v="110.66666666666667"/>
    <x v="2"/>
    <x v="3"/>
    <x v="0"/>
  </r>
  <r>
    <n v="313"/>
    <n v="313"/>
    <n v="1"/>
    <x v="1"/>
    <n v="28"/>
    <n v="56"/>
    <n v="158"/>
    <n v="15"/>
    <n v="74"/>
    <n v="20"/>
    <n v="12"/>
    <n v="2"/>
    <n v="5"/>
    <n v="7"/>
    <n v="1"/>
    <s v="YES"/>
    <n v="0"/>
    <n v="277.27999999999997"/>
    <x v="121"/>
    <n v="4.8899999999999997"/>
    <n v="1.97"/>
    <n v="2.4822335025380711"/>
    <x v="0"/>
    <n v="39"/>
    <n v="32"/>
    <n v="0.82"/>
    <n v="1.57"/>
    <n v="1.06"/>
    <n v="19.04"/>
    <n v="34.1"/>
    <x v="1"/>
    <n v="0.46"/>
    <n v="100"/>
    <n v="1"/>
    <x v="1"/>
    <n v="0"/>
    <s v="NO"/>
    <n v="1"/>
    <s v="YES"/>
    <n v="0"/>
    <s v="NO"/>
    <n v="1"/>
    <s v="YES"/>
    <n v="1"/>
    <x v="0"/>
    <n v="0"/>
    <s v="NO"/>
    <n v="120"/>
    <n v="70"/>
    <n v="7"/>
    <n v="12"/>
    <n v="15"/>
    <n v="18"/>
    <n v="11"/>
    <x v="0"/>
    <n v="19"/>
    <n v="33"/>
    <n v="95.666666666666671"/>
    <x v="1"/>
    <x v="1"/>
    <x v="0"/>
  </r>
  <r>
    <n v="314"/>
    <n v="314"/>
    <n v="0"/>
    <x v="0"/>
    <n v="38"/>
    <n v="50"/>
    <n v="161"/>
    <n v="15"/>
    <n v="72"/>
    <n v="22"/>
    <n v="12"/>
    <n v="2"/>
    <n v="5"/>
    <n v="13"/>
    <n v="1"/>
    <s v="YES"/>
    <n v="0"/>
    <n v="1.99"/>
    <x v="122"/>
    <n v="3.71"/>
    <n v="2.44"/>
    <n v="1.5204918032786885"/>
    <x v="1"/>
    <n v="38"/>
    <n v="32"/>
    <n v="0.84"/>
    <n v="0.54"/>
    <n v="3.05"/>
    <n v="53.39"/>
    <n v="42.5"/>
    <x v="1"/>
    <n v="0.28999999999999998"/>
    <n v="100"/>
    <n v="0"/>
    <x v="0"/>
    <n v="0"/>
    <s v="NO"/>
    <n v="0"/>
    <s v="NO"/>
    <n v="0"/>
    <s v="NO"/>
    <n v="1"/>
    <s v="YES"/>
    <n v="1"/>
    <x v="0"/>
    <n v="1"/>
    <s v="YES"/>
    <n v="110"/>
    <n v="80"/>
    <n v="7"/>
    <n v="9"/>
    <n v="11"/>
    <n v="15"/>
    <n v="7.8"/>
    <x v="0"/>
    <n v="16"/>
    <n v="26"/>
    <n v="109"/>
    <x v="1"/>
    <x v="2"/>
    <x v="0"/>
  </r>
  <r>
    <n v="315"/>
    <n v="315"/>
    <n v="1"/>
    <x v="1"/>
    <n v="34"/>
    <n v="55"/>
    <n v="158"/>
    <n v="11"/>
    <n v="78"/>
    <n v="20"/>
    <n v="11"/>
    <n v="2"/>
    <n v="6"/>
    <n v="10"/>
    <n v="0"/>
    <s v="NO"/>
    <n v="0"/>
    <n v="1.99"/>
    <x v="0"/>
    <n v="6.47"/>
    <n v="5.57"/>
    <n v="1.1615798922800717"/>
    <x v="1"/>
    <n v="36"/>
    <n v="32"/>
    <n v="0.89"/>
    <n v="3.01"/>
    <n v="5.4"/>
    <n v="24.7"/>
    <n v="35.799999999999997"/>
    <x v="1"/>
    <n v="0.35"/>
    <n v="100"/>
    <n v="0"/>
    <x v="0"/>
    <n v="1"/>
    <s v="YES"/>
    <n v="1"/>
    <s v="YES"/>
    <n v="0"/>
    <s v="NO"/>
    <n v="1"/>
    <s v="YES"/>
    <n v="1"/>
    <x v="0"/>
    <n v="0"/>
    <s v="NO"/>
    <n v="120"/>
    <n v="80"/>
    <n v="5"/>
    <n v="5"/>
    <n v="12"/>
    <n v="10"/>
    <n v="11"/>
    <x v="0"/>
    <n v="10"/>
    <n v="22"/>
    <n v="108.33333333333333"/>
    <x v="1"/>
    <x v="4"/>
    <x v="0"/>
  </r>
  <r>
    <n v="316"/>
    <n v="316"/>
    <n v="0"/>
    <x v="0"/>
    <n v="28"/>
    <n v="65"/>
    <n v="167"/>
    <n v="11"/>
    <n v="72"/>
    <n v="18"/>
    <n v="9"/>
    <n v="2"/>
    <n v="6"/>
    <n v="5"/>
    <n v="1"/>
    <s v="YES"/>
    <n v="0"/>
    <n v="21084.21"/>
    <x v="123"/>
    <n v="3.76"/>
    <n v="0.62"/>
    <n v="6.064516129032258"/>
    <x v="0"/>
    <n v="38"/>
    <n v="34"/>
    <n v="0.89"/>
    <n v="1.82"/>
    <n v="3.02"/>
    <n v="28.56"/>
    <n v="52.4"/>
    <x v="1"/>
    <n v="0.25"/>
    <n v="120"/>
    <n v="0"/>
    <x v="0"/>
    <n v="0"/>
    <s v="NO"/>
    <n v="0"/>
    <s v="NO"/>
    <n v="0"/>
    <s v="NO"/>
    <n v="0"/>
    <s v="NO"/>
    <n v="1"/>
    <x v="0"/>
    <n v="0"/>
    <s v="NO"/>
    <n v="110"/>
    <n v="80"/>
    <n v="8"/>
    <n v="12"/>
    <n v="14"/>
    <n v="18"/>
    <n v="8.5"/>
    <x v="0"/>
    <n v="20"/>
    <n v="32"/>
    <n v="109.33333333333333"/>
    <x v="1"/>
    <x v="0"/>
    <x v="0"/>
  </r>
  <r>
    <n v="317"/>
    <n v="317"/>
    <n v="0"/>
    <x v="0"/>
    <n v="30"/>
    <n v="66"/>
    <n v="152"/>
    <n v="11"/>
    <n v="72"/>
    <n v="18"/>
    <n v="12"/>
    <n v="2"/>
    <n v="5"/>
    <n v="7"/>
    <n v="1"/>
    <s v="YES"/>
    <n v="0"/>
    <n v="409.85"/>
    <x v="124"/>
    <n v="3.4"/>
    <n v="1.31"/>
    <n v="2.5954198473282442"/>
    <x v="0"/>
    <n v="40"/>
    <n v="36"/>
    <n v="0.9"/>
    <n v="1.68"/>
    <n v="2.23"/>
    <n v="10.45"/>
    <n v="36.5"/>
    <x v="1"/>
    <n v="0.36"/>
    <n v="110"/>
    <n v="1"/>
    <x v="1"/>
    <n v="0"/>
    <s v="NO"/>
    <n v="0"/>
    <s v="NO"/>
    <n v="1"/>
    <s v="YES"/>
    <n v="1"/>
    <s v="YES"/>
    <n v="1"/>
    <x v="0"/>
    <n v="0"/>
    <s v="NO"/>
    <n v="110"/>
    <n v="80"/>
    <n v="8"/>
    <n v="4"/>
    <n v="16"/>
    <n v="17"/>
    <n v="10"/>
    <x v="1"/>
    <n v="12"/>
    <n v="33"/>
    <n v="109.33333333333333"/>
    <x v="1"/>
    <x v="1"/>
    <x v="0"/>
  </r>
  <r>
    <n v="318"/>
    <n v="318"/>
    <n v="0"/>
    <x v="0"/>
    <n v="28"/>
    <n v="53"/>
    <n v="159"/>
    <n v="11"/>
    <n v="74"/>
    <n v="18"/>
    <n v="10.8"/>
    <n v="2"/>
    <n v="6"/>
    <n v="4"/>
    <n v="1"/>
    <s v="YES"/>
    <n v="0"/>
    <n v="17243.97"/>
    <x v="125"/>
    <n v="4.8899999999999997"/>
    <n v="0.57999999999999996"/>
    <n v="8.431034482758621"/>
    <x v="0"/>
    <n v="36"/>
    <n v="30"/>
    <n v="0.83"/>
    <n v="1.1399999999999999"/>
    <n v="2.06"/>
    <n v="21.19"/>
    <n v="22.2"/>
    <x v="1"/>
    <n v="0.27"/>
    <n v="80"/>
    <n v="0"/>
    <x v="0"/>
    <n v="0"/>
    <s v="NO"/>
    <n v="0"/>
    <s v="NO"/>
    <n v="1"/>
    <s v="YES"/>
    <n v="1"/>
    <s v="YES"/>
    <n v="1"/>
    <x v="0"/>
    <n v="0"/>
    <s v="NO"/>
    <n v="100"/>
    <n v="70"/>
    <n v="4"/>
    <n v="6"/>
    <n v="14"/>
    <n v="18"/>
    <n v="7.7"/>
    <x v="0"/>
    <n v="10"/>
    <n v="32"/>
    <n v="94.666666666666671"/>
    <x v="1"/>
    <x v="1"/>
    <x v="0"/>
  </r>
  <r>
    <n v="319"/>
    <n v="319"/>
    <n v="0"/>
    <x v="0"/>
    <n v="47"/>
    <n v="60"/>
    <n v="164.5"/>
    <n v="13"/>
    <n v="72"/>
    <n v="18"/>
    <n v="13"/>
    <n v="2"/>
    <n v="5"/>
    <n v="24"/>
    <n v="1"/>
    <s v="YES"/>
    <n v="0"/>
    <n v="479.6"/>
    <x v="126"/>
    <n v="4.59"/>
    <n v="1.4"/>
    <n v="3.2785714285714285"/>
    <x v="0"/>
    <n v="36"/>
    <n v="32"/>
    <n v="0.89"/>
    <n v="5.89"/>
    <n v="3.33"/>
    <n v="13.78"/>
    <n v="35.4"/>
    <x v="1"/>
    <n v="0.41"/>
    <n v="100"/>
    <n v="0"/>
    <x v="0"/>
    <n v="0"/>
    <s v="NO"/>
    <n v="0"/>
    <s v="NO"/>
    <n v="1"/>
    <s v="YES"/>
    <n v="1"/>
    <s v="YES"/>
    <n v="1"/>
    <x v="0"/>
    <n v="0"/>
    <s v="NO"/>
    <n v="110"/>
    <n v="80"/>
    <n v="6"/>
    <n v="6"/>
    <n v="15"/>
    <n v="18"/>
    <n v="8.4"/>
    <x v="0"/>
    <n v="12"/>
    <n v="33"/>
    <n v="108.66666666666667"/>
    <x v="1"/>
    <x v="1"/>
    <x v="0"/>
  </r>
  <r>
    <n v="320"/>
    <n v="320"/>
    <n v="0"/>
    <x v="0"/>
    <n v="32"/>
    <n v="60"/>
    <n v="154"/>
    <n v="15"/>
    <n v="72"/>
    <n v="18"/>
    <n v="13.8"/>
    <n v="2"/>
    <n v="5"/>
    <n v="5"/>
    <n v="1"/>
    <s v="YES"/>
    <n v="0"/>
    <n v="545.78"/>
    <x v="127"/>
    <n v="6.03"/>
    <n v="3.24"/>
    <n v="1.8611111111111112"/>
    <x v="1"/>
    <n v="38"/>
    <n v="34"/>
    <n v="0.89"/>
    <n v="3.28"/>
    <n v="1"/>
    <n v="22.14"/>
    <n v="25.1"/>
    <x v="1"/>
    <n v="0.38"/>
    <n v="85"/>
    <n v="1"/>
    <x v="1"/>
    <n v="0"/>
    <s v="NO"/>
    <n v="0"/>
    <s v="NO"/>
    <n v="1"/>
    <s v="YES"/>
    <n v="1"/>
    <s v="YES"/>
    <n v="1"/>
    <x v="0"/>
    <n v="0"/>
    <s v="NO"/>
    <n v="120"/>
    <n v="80"/>
    <n v="1"/>
    <n v="2"/>
    <n v="16"/>
    <n v="17"/>
    <n v="6.4"/>
    <x v="1"/>
    <n v="3"/>
    <n v="33"/>
    <n v="107"/>
    <x v="0"/>
    <x v="1"/>
    <x v="0"/>
  </r>
  <r>
    <n v="321"/>
    <n v="321"/>
    <n v="1"/>
    <x v="1"/>
    <n v="33"/>
    <n v="64"/>
    <n v="162"/>
    <n v="13"/>
    <n v="72"/>
    <n v="18"/>
    <n v="10.199999999999999"/>
    <n v="2"/>
    <n v="5"/>
    <n v="13"/>
    <n v="1"/>
    <s v="YES"/>
    <n v="0"/>
    <n v="783.98"/>
    <x v="0"/>
    <n v="3.17"/>
    <n v="1.45"/>
    <n v="2.1862068965517243"/>
    <x v="0"/>
    <n v="36"/>
    <n v="30"/>
    <n v="0.83"/>
    <n v="0.82"/>
    <n v="2.65"/>
    <n v="18.13"/>
    <n v="33.5"/>
    <x v="1"/>
    <n v="0.25"/>
    <n v="82"/>
    <n v="0"/>
    <x v="0"/>
    <n v="1"/>
    <s v="YES"/>
    <n v="1"/>
    <s v="YES"/>
    <n v="1"/>
    <s v="YES"/>
    <n v="1"/>
    <s v="YES"/>
    <n v="1"/>
    <x v="0"/>
    <n v="0"/>
    <s v="NO"/>
    <n v="110"/>
    <n v="80"/>
    <n v="7"/>
    <n v="20"/>
    <n v="15"/>
    <n v="17"/>
    <n v="12"/>
    <x v="0"/>
    <n v="27"/>
    <n v="32"/>
    <n v="109"/>
    <x v="1"/>
    <x v="3"/>
    <x v="0"/>
  </r>
  <r>
    <n v="322"/>
    <n v="322"/>
    <n v="0"/>
    <x v="0"/>
    <n v="38"/>
    <n v="50"/>
    <n v="150"/>
    <n v="17"/>
    <n v="72"/>
    <n v="18"/>
    <n v="12"/>
    <n v="4"/>
    <n v="3"/>
    <n v="12"/>
    <n v="0"/>
    <s v="NO"/>
    <n v="0"/>
    <n v="1.99"/>
    <x v="0"/>
    <n v="4.3"/>
    <n v="2.62"/>
    <n v="1.6412213740458015"/>
    <x v="1"/>
    <n v="34"/>
    <n v="30"/>
    <n v="0.88"/>
    <n v="2.42"/>
    <n v="11"/>
    <n v="32.229999999999997"/>
    <n v="29.4"/>
    <x v="1"/>
    <n v="0.26"/>
    <n v="80"/>
    <n v="0"/>
    <x v="0"/>
    <n v="0"/>
    <s v="NO"/>
    <n v="0"/>
    <s v="NO"/>
    <n v="1"/>
    <s v="YES"/>
    <n v="1"/>
    <s v="YES"/>
    <n v="1"/>
    <x v="0"/>
    <n v="0"/>
    <s v="NO"/>
    <n v="110"/>
    <n v="80"/>
    <n v="5"/>
    <n v="11"/>
    <n v="8"/>
    <n v="12"/>
    <n v="10.5"/>
    <x v="0"/>
    <n v="16"/>
    <n v="20"/>
    <n v="108.33333333333333"/>
    <x v="2"/>
    <x v="1"/>
    <x v="0"/>
  </r>
  <r>
    <n v="323"/>
    <n v="323"/>
    <n v="0"/>
    <x v="0"/>
    <n v="28"/>
    <n v="61"/>
    <n v="150"/>
    <n v="11"/>
    <n v="72"/>
    <n v="24"/>
    <n v="10.8"/>
    <n v="2"/>
    <n v="6"/>
    <n v="6.5"/>
    <n v="0"/>
    <s v="NO"/>
    <n v="0"/>
    <n v="1.99"/>
    <x v="0"/>
    <n v="7.03"/>
    <n v="2.2999999999999998"/>
    <n v="3.0565217391304351"/>
    <x v="0"/>
    <n v="39"/>
    <n v="35"/>
    <n v="0.9"/>
    <n v="0.22"/>
    <n v="3.6"/>
    <n v="26.89"/>
    <n v="32.4"/>
    <x v="1"/>
    <n v="0.35"/>
    <n v="85"/>
    <n v="1"/>
    <x v="1"/>
    <n v="0"/>
    <s v="NO"/>
    <n v="0"/>
    <s v="NO"/>
    <n v="0"/>
    <s v="NO"/>
    <n v="1"/>
    <s v="YES"/>
    <n v="1"/>
    <x v="0"/>
    <n v="0"/>
    <s v="NO"/>
    <n v="110"/>
    <n v="80"/>
    <n v="7"/>
    <n v="11"/>
    <n v="15"/>
    <n v="18"/>
    <n v="8"/>
    <x v="1"/>
    <n v="18"/>
    <n v="33"/>
    <n v="109"/>
    <x v="1"/>
    <x v="2"/>
    <x v="0"/>
  </r>
  <r>
    <n v="324"/>
    <n v="324"/>
    <n v="1"/>
    <x v="1"/>
    <n v="37"/>
    <n v="56"/>
    <n v="155"/>
    <n v="17"/>
    <n v="78"/>
    <n v="22"/>
    <n v="12"/>
    <n v="4"/>
    <n v="2"/>
    <n v="14"/>
    <n v="1"/>
    <s v="YES"/>
    <n v="0"/>
    <n v="320.49"/>
    <x v="128"/>
    <n v="2.06"/>
    <n v="0.79"/>
    <n v="2.6075949367088609"/>
    <x v="0"/>
    <n v="37"/>
    <n v="34"/>
    <n v="0.92"/>
    <n v="4.62"/>
    <n v="5.7"/>
    <n v="63.3"/>
    <n v="35.700000000000003"/>
    <x v="1"/>
    <n v="0.25"/>
    <n v="110"/>
    <n v="1"/>
    <x v="1"/>
    <n v="0"/>
    <s v="NO"/>
    <n v="1"/>
    <s v="YES"/>
    <n v="1"/>
    <s v="YES"/>
    <n v="1"/>
    <s v="YES"/>
    <n v="1"/>
    <x v="0"/>
    <n v="0"/>
    <s v="NO"/>
    <n v="110"/>
    <n v="80"/>
    <n v="14"/>
    <n v="19"/>
    <n v="18"/>
    <n v="19"/>
    <n v="12"/>
    <x v="0"/>
    <n v="33"/>
    <n v="37"/>
    <n v="111.33333333333333"/>
    <x v="2"/>
    <x v="4"/>
    <x v="0"/>
  </r>
  <r>
    <n v="325"/>
    <n v="325"/>
    <n v="0"/>
    <x v="0"/>
    <n v="40"/>
    <n v="64"/>
    <n v="158"/>
    <n v="13"/>
    <n v="74"/>
    <n v="28"/>
    <n v="10.8"/>
    <n v="2"/>
    <n v="5"/>
    <n v="17"/>
    <n v="0"/>
    <s v="NO"/>
    <n v="0"/>
    <n v="1.99"/>
    <x v="0"/>
    <n v="6.2"/>
    <n v="5"/>
    <n v="1.24"/>
    <x v="1"/>
    <n v="39"/>
    <n v="35"/>
    <n v="0.9"/>
    <n v="7.27"/>
    <n v="1.03"/>
    <n v="35.659999999999997"/>
    <n v="27.6"/>
    <x v="1"/>
    <n v="0.31"/>
    <n v="100"/>
    <n v="1"/>
    <x v="1"/>
    <n v="0"/>
    <s v="NO"/>
    <n v="0"/>
    <s v="NO"/>
    <n v="0"/>
    <s v="NO"/>
    <n v="1"/>
    <s v="YES"/>
    <n v="1"/>
    <x v="0"/>
    <n v="1"/>
    <s v="YES"/>
    <n v="110"/>
    <n v="80"/>
    <n v="4"/>
    <n v="7"/>
    <n v="10"/>
    <n v="16"/>
    <n v="9"/>
    <x v="1"/>
    <n v="11"/>
    <n v="26"/>
    <n v="108"/>
    <x v="1"/>
    <x v="2"/>
    <x v="0"/>
  </r>
  <r>
    <n v="326"/>
    <n v="326"/>
    <n v="0"/>
    <x v="0"/>
    <n v="35"/>
    <n v="57"/>
    <n v="158"/>
    <n v="15"/>
    <n v="80"/>
    <n v="22"/>
    <n v="10.6"/>
    <n v="2"/>
    <n v="6"/>
    <n v="17"/>
    <n v="1"/>
    <s v="YES"/>
    <n v="0"/>
    <n v="12"/>
    <x v="15"/>
    <n v="4.08"/>
    <n v="1.32"/>
    <n v="3.0909090909090908"/>
    <x v="0"/>
    <n v="36"/>
    <n v="32"/>
    <n v="0.89"/>
    <n v="4.0199999999999996"/>
    <n v="6.33"/>
    <n v="26.01"/>
    <n v="23.4"/>
    <x v="1"/>
    <n v="0.28999999999999998"/>
    <n v="85"/>
    <n v="0"/>
    <x v="0"/>
    <n v="0"/>
    <s v="NO"/>
    <n v="0"/>
    <s v="NO"/>
    <n v="1"/>
    <s v="YES"/>
    <n v="1"/>
    <s v="YES"/>
    <n v="1"/>
    <x v="0"/>
    <n v="1"/>
    <s v="YES"/>
    <n v="110"/>
    <n v="70"/>
    <n v="4"/>
    <n v="4"/>
    <n v="10"/>
    <n v="15"/>
    <n v="11"/>
    <x v="0"/>
    <n v="8"/>
    <n v="25"/>
    <n v="94.666666666666671"/>
    <x v="0"/>
    <x v="1"/>
    <x v="0"/>
  </r>
  <r>
    <n v="327"/>
    <n v="327"/>
    <n v="0"/>
    <x v="0"/>
    <n v="45"/>
    <n v="54"/>
    <n v="152"/>
    <n v="13"/>
    <n v="72"/>
    <n v="16"/>
    <n v="10.6"/>
    <n v="2"/>
    <n v="6"/>
    <n v="23"/>
    <n v="0"/>
    <s v="NO"/>
    <n v="3"/>
    <n v="3.01"/>
    <x v="129"/>
    <n v="5.27"/>
    <n v="3.05"/>
    <n v="1.7278688524590164"/>
    <x v="1"/>
    <n v="38"/>
    <n v="35"/>
    <n v="0.92"/>
    <n v="3.69"/>
    <n v="2.5"/>
    <n v="22.29"/>
    <n v="37.9"/>
    <x v="1"/>
    <n v="0.48"/>
    <n v="100"/>
    <n v="0"/>
    <x v="0"/>
    <n v="0"/>
    <s v="NO"/>
    <n v="0"/>
    <s v="NO"/>
    <n v="1"/>
    <s v="YES"/>
    <n v="1"/>
    <s v="YES"/>
    <n v="0"/>
    <x v="1"/>
    <n v="1"/>
    <s v="YES"/>
    <n v="120"/>
    <n v="80"/>
    <n v="2"/>
    <n v="4"/>
    <n v="10"/>
    <n v="15"/>
    <n v="13"/>
    <x v="0"/>
    <n v="6"/>
    <n v="25"/>
    <n v="107.33333333333333"/>
    <x v="0"/>
    <x v="1"/>
    <x v="0"/>
  </r>
  <r>
    <n v="328"/>
    <n v="328"/>
    <n v="0"/>
    <x v="0"/>
    <n v="31"/>
    <n v="55"/>
    <n v="161"/>
    <n v="11"/>
    <n v="74"/>
    <n v="18"/>
    <n v="10.199999999999999"/>
    <n v="2"/>
    <n v="5"/>
    <n v="11"/>
    <n v="1"/>
    <s v="YES"/>
    <n v="0"/>
    <n v="204.69"/>
    <x v="130"/>
    <n v="3.83"/>
    <n v="4.79"/>
    <n v="0.79958246346555328"/>
    <x v="1"/>
    <n v="37"/>
    <n v="34"/>
    <n v="0.92"/>
    <n v="0.45"/>
    <n v="2.2000000000000002"/>
    <n v="20.32"/>
    <n v="32.6"/>
    <x v="1"/>
    <n v="0.34"/>
    <n v="85"/>
    <n v="0"/>
    <x v="0"/>
    <n v="0"/>
    <s v="NO"/>
    <n v="0"/>
    <s v="NO"/>
    <n v="1"/>
    <s v="YES"/>
    <n v="1"/>
    <s v="YES"/>
    <n v="0"/>
    <x v="1"/>
    <n v="1"/>
    <s v="YES"/>
    <n v="110"/>
    <n v="70"/>
    <n v="4"/>
    <n v="3"/>
    <n v="18"/>
    <n v="13"/>
    <n v="9"/>
    <x v="0"/>
    <n v="7"/>
    <n v="31"/>
    <n v="94.666666666666671"/>
    <x v="0"/>
    <x v="1"/>
    <x v="0"/>
  </r>
  <r>
    <n v="329"/>
    <n v="329"/>
    <n v="1"/>
    <x v="1"/>
    <n v="30"/>
    <n v="65"/>
    <n v="161"/>
    <n v="11"/>
    <n v="70"/>
    <n v="18"/>
    <n v="11"/>
    <n v="4"/>
    <n v="2"/>
    <n v="7"/>
    <n v="1"/>
    <s v="YES"/>
    <n v="0"/>
    <n v="336.95"/>
    <x v="15"/>
    <n v="6.86"/>
    <n v="14.24"/>
    <n v="0.4817415730337079"/>
    <x v="1"/>
    <n v="39"/>
    <n v="34"/>
    <n v="0.87"/>
    <n v="2.3199999999999998"/>
    <n v="15.7"/>
    <n v="8.7799999999999994"/>
    <n v="18.7"/>
    <x v="0"/>
    <n v="0.32"/>
    <n v="100"/>
    <n v="1"/>
    <x v="1"/>
    <n v="1"/>
    <s v="YES"/>
    <n v="1"/>
    <s v="YES"/>
    <n v="0"/>
    <s v="NO"/>
    <n v="1"/>
    <s v="YES"/>
    <n v="1"/>
    <x v="0"/>
    <n v="0"/>
    <s v="NO"/>
    <n v="110"/>
    <n v="80"/>
    <n v="7"/>
    <n v="10"/>
    <n v="13"/>
    <n v="17"/>
    <n v="8"/>
    <x v="1"/>
    <n v="17"/>
    <n v="30"/>
    <n v="109"/>
    <x v="2"/>
    <x v="4"/>
    <x v="0"/>
  </r>
  <r>
    <n v="330"/>
    <n v="330"/>
    <n v="0"/>
    <x v="0"/>
    <n v="29"/>
    <n v="53"/>
    <n v="161"/>
    <n v="15"/>
    <n v="72"/>
    <n v="18"/>
    <n v="10.199999999999999"/>
    <n v="2"/>
    <n v="6"/>
    <n v="5"/>
    <n v="1"/>
    <s v="YES"/>
    <n v="0"/>
    <n v="900.6"/>
    <x v="131"/>
    <n v="5052"/>
    <n v="3.68"/>
    <n v="1372.8260869565217"/>
    <x v="0"/>
    <n v="38"/>
    <n v="35"/>
    <n v="0.92"/>
    <n v="0.83"/>
    <n v="3.5"/>
    <n v="30.58"/>
    <n v="28.6"/>
    <x v="1"/>
    <n v="0.3"/>
    <n v="108"/>
    <n v="0"/>
    <x v="0"/>
    <n v="0"/>
    <s v="NO"/>
    <n v="0"/>
    <s v="NO"/>
    <n v="1"/>
    <s v="YES"/>
    <n v="1"/>
    <s v="YES"/>
    <n v="1"/>
    <x v="0"/>
    <n v="0"/>
    <s v="NO"/>
    <n v="110"/>
    <n v="80"/>
    <n v="6"/>
    <n v="4"/>
    <n v="16"/>
    <n v="17"/>
    <n v="6"/>
    <x v="0"/>
    <n v="10"/>
    <n v="33"/>
    <n v="108.66666666666667"/>
    <x v="1"/>
    <x v="1"/>
    <x v="0"/>
  </r>
  <r>
    <n v="331"/>
    <n v="331"/>
    <n v="0"/>
    <x v="0"/>
    <n v="33"/>
    <n v="60"/>
    <n v="162"/>
    <n v="11"/>
    <n v="72"/>
    <n v="18"/>
    <n v="10.3"/>
    <n v="2"/>
    <n v="6"/>
    <n v="13"/>
    <n v="0"/>
    <s v="NO"/>
    <n v="0"/>
    <n v="1.99"/>
    <x v="0"/>
    <n v="5.89"/>
    <n v="1.27"/>
    <n v="4.6377952755905509"/>
    <x v="0"/>
    <n v="38"/>
    <n v="35"/>
    <n v="0.92"/>
    <n v="0.69"/>
    <n v="1.1000000000000001"/>
    <n v="1.36"/>
    <n v="20.3"/>
    <x v="1"/>
    <n v="0.25"/>
    <n v="100"/>
    <n v="0"/>
    <x v="0"/>
    <n v="0"/>
    <s v="NO"/>
    <n v="0"/>
    <s v="NO"/>
    <n v="1"/>
    <s v="YES"/>
    <n v="1"/>
    <s v="YES"/>
    <n v="0"/>
    <x v="1"/>
    <n v="0"/>
    <s v="NO"/>
    <n v="120"/>
    <n v="80"/>
    <n v="1"/>
    <n v="2"/>
    <n v="12"/>
    <n v="18"/>
    <n v="9"/>
    <x v="0"/>
    <n v="3"/>
    <n v="30"/>
    <n v="107"/>
    <x v="0"/>
    <x v="1"/>
    <x v="0"/>
  </r>
  <r>
    <n v="332"/>
    <n v="332"/>
    <n v="0"/>
    <x v="0"/>
    <n v="29"/>
    <n v="59"/>
    <n v="155"/>
    <n v="17"/>
    <n v="70"/>
    <n v="18"/>
    <n v="10.7"/>
    <n v="4"/>
    <n v="3"/>
    <n v="12"/>
    <n v="1"/>
    <s v="YES"/>
    <n v="0"/>
    <n v="12"/>
    <x v="15"/>
    <n v="6.47"/>
    <n v="1.47"/>
    <n v="4.4013605442176873"/>
    <x v="0"/>
    <n v="38"/>
    <n v="34"/>
    <n v="0.89"/>
    <n v="1.57"/>
    <n v="1.3"/>
    <n v="34.14"/>
    <n v="32.4"/>
    <x v="1"/>
    <n v="0.25"/>
    <n v="92"/>
    <n v="0"/>
    <x v="0"/>
    <n v="0"/>
    <s v="NO"/>
    <n v="0"/>
    <s v="NO"/>
    <n v="0"/>
    <s v="NO"/>
    <n v="0"/>
    <s v="NO"/>
    <n v="1"/>
    <x v="0"/>
    <n v="0"/>
    <s v="NO"/>
    <n v="110"/>
    <n v="80"/>
    <n v="3"/>
    <n v="3"/>
    <n v="13"/>
    <n v="10"/>
    <n v="6"/>
    <x v="0"/>
    <n v="6"/>
    <n v="23"/>
    <n v="107.66666666666667"/>
    <x v="0"/>
    <x v="0"/>
    <x v="0"/>
  </r>
  <r>
    <n v="333"/>
    <n v="333"/>
    <n v="0"/>
    <x v="0"/>
    <n v="27"/>
    <n v="59"/>
    <n v="158"/>
    <n v="15"/>
    <n v="72"/>
    <n v="18"/>
    <n v="10"/>
    <n v="2"/>
    <n v="6"/>
    <n v="6"/>
    <n v="1"/>
    <s v="YES"/>
    <n v="0"/>
    <n v="159.71"/>
    <x v="132"/>
    <n v="1.85"/>
    <n v="0.67"/>
    <n v="2.761194029850746"/>
    <x v="0"/>
    <n v="36"/>
    <n v="32"/>
    <n v="0.89"/>
    <n v="2.13"/>
    <n v="3"/>
    <n v="23.15"/>
    <n v="34.5"/>
    <x v="1"/>
    <n v="0.25"/>
    <n v="92"/>
    <n v="0"/>
    <x v="0"/>
    <n v="0"/>
    <s v="NO"/>
    <n v="0"/>
    <s v="NO"/>
    <n v="1"/>
    <s v="YES"/>
    <n v="1"/>
    <s v="YES"/>
    <n v="0"/>
    <x v="1"/>
    <n v="0"/>
    <s v="NO"/>
    <n v="110"/>
    <n v="70"/>
    <n v="3"/>
    <n v="3"/>
    <n v="14"/>
    <n v="12"/>
    <n v="10.5"/>
    <x v="0"/>
    <n v="6"/>
    <n v="26"/>
    <n v="94.333333333333329"/>
    <x v="0"/>
    <x v="1"/>
    <x v="0"/>
  </r>
  <r>
    <n v="334"/>
    <n v="334"/>
    <n v="0"/>
    <x v="0"/>
    <n v="31"/>
    <n v="45"/>
    <n v="153"/>
    <n v="13"/>
    <n v="80"/>
    <n v="20"/>
    <n v="10.8"/>
    <n v="2"/>
    <n v="5"/>
    <n v="8"/>
    <n v="1"/>
    <s v="YES"/>
    <n v="0"/>
    <n v="15"/>
    <x v="13"/>
    <n v="3.91"/>
    <n v="2.5099999999999998"/>
    <n v="1.557768924302789"/>
    <x v="1"/>
    <n v="35"/>
    <n v="30"/>
    <n v="0.86"/>
    <n v="2.2400000000000002"/>
    <n v="3"/>
    <n v="23.2"/>
    <n v="47.5"/>
    <x v="1"/>
    <n v="0.25"/>
    <n v="100"/>
    <n v="0"/>
    <x v="0"/>
    <n v="0"/>
    <s v="NO"/>
    <n v="1"/>
    <s v="YES"/>
    <n v="1"/>
    <s v="YES"/>
    <n v="0"/>
    <s v="NO"/>
    <n v="0"/>
    <x v="1"/>
    <n v="0"/>
    <s v="NO"/>
    <n v="110"/>
    <n v="80"/>
    <n v="4"/>
    <n v="1"/>
    <n v="11"/>
    <n v="10"/>
    <n v="12"/>
    <x v="0"/>
    <n v="5"/>
    <n v="21"/>
    <n v="108"/>
    <x v="1"/>
    <x v="1"/>
    <x v="0"/>
  </r>
  <r>
    <n v="335"/>
    <n v="335"/>
    <n v="0"/>
    <x v="0"/>
    <n v="30"/>
    <n v="62"/>
    <n v="152"/>
    <n v="15"/>
    <n v="74"/>
    <n v="18"/>
    <n v="11.5"/>
    <n v="2"/>
    <n v="5"/>
    <n v="6"/>
    <n v="1"/>
    <s v="YES"/>
    <n v="0"/>
    <n v="296.31"/>
    <x v="133"/>
    <n v="0.21"/>
    <n v="0.92"/>
    <n v="0.22826086956521738"/>
    <x v="1"/>
    <n v="38"/>
    <n v="35"/>
    <n v="0.92"/>
    <n v="1.75"/>
    <n v="2.17"/>
    <n v="12.11"/>
    <n v="22.9"/>
    <x v="1"/>
    <n v="0.42"/>
    <n v="77"/>
    <n v="1"/>
    <x v="1"/>
    <n v="0"/>
    <s v="NO"/>
    <n v="0"/>
    <s v="NO"/>
    <n v="1"/>
    <s v="YES"/>
    <n v="1"/>
    <s v="YES"/>
    <n v="1"/>
    <x v="0"/>
    <n v="0"/>
    <s v="NO"/>
    <n v="120"/>
    <n v="80"/>
    <n v="6"/>
    <n v="7"/>
    <n v="15"/>
    <n v="11"/>
    <n v="11"/>
    <x v="1"/>
    <n v="13"/>
    <n v="26"/>
    <n v="108.66666666666667"/>
    <x v="1"/>
    <x v="1"/>
    <x v="0"/>
  </r>
  <r>
    <n v="336"/>
    <n v="336"/>
    <n v="0"/>
    <x v="0"/>
    <n v="30"/>
    <n v="46"/>
    <n v="161"/>
    <n v="15"/>
    <n v="78"/>
    <n v="22"/>
    <n v="10.8"/>
    <n v="2"/>
    <n v="5"/>
    <n v="5"/>
    <n v="1"/>
    <s v="YES"/>
    <n v="0"/>
    <n v="8012.99"/>
    <x v="134"/>
    <n v="2.44"/>
    <n v="0.22"/>
    <n v="11.09090909090909"/>
    <x v="0"/>
    <n v="34"/>
    <n v="31"/>
    <n v="0.91"/>
    <n v="0.79"/>
    <n v="3.3"/>
    <n v="14.98"/>
    <n v="13.4"/>
    <x v="0"/>
    <n v="0.89"/>
    <n v="100"/>
    <n v="0"/>
    <x v="0"/>
    <n v="0"/>
    <s v="NO"/>
    <n v="0"/>
    <s v="NO"/>
    <n v="1"/>
    <s v="YES"/>
    <n v="1"/>
    <s v="YES"/>
    <n v="0"/>
    <x v="1"/>
    <n v="0"/>
    <s v="NO"/>
    <n v="110"/>
    <n v="80"/>
    <n v="2"/>
    <n v="2"/>
    <n v="14"/>
    <n v="15"/>
    <n v="9"/>
    <x v="2"/>
    <n v="4"/>
    <n v="29"/>
    <n v="107.33333333333333"/>
    <x v="0"/>
    <x v="1"/>
    <x v="0"/>
  </r>
  <r>
    <n v="337"/>
    <n v="337"/>
    <n v="1"/>
    <x v="1"/>
    <n v="21"/>
    <n v="82"/>
    <n v="158"/>
    <n v="16"/>
    <n v="78"/>
    <n v="24"/>
    <n v="10.6"/>
    <n v="4"/>
    <n v="3"/>
    <n v="3"/>
    <n v="1"/>
    <s v="YES"/>
    <n v="0"/>
    <n v="1.99"/>
    <x v="135"/>
    <n v="3.41"/>
    <n v="1.39"/>
    <n v="2.4532374100719427"/>
    <x v="0"/>
    <n v="44"/>
    <n v="38"/>
    <n v="0.86"/>
    <n v="5"/>
    <n v="14.7"/>
    <n v="31.7"/>
    <n v="33.700000000000003"/>
    <x v="1"/>
    <n v="0.25"/>
    <n v="85"/>
    <n v="1"/>
    <x v="1"/>
    <n v="1"/>
    <s v="YES"/>
    <n v="1"/>
    <s v="YES"/>
    <n v="1"/>
    <s v="YES"/>
    <n v="1"/>
    <s v="YES"/>
    <n v="1"/>
    <x v="0"/>
    <n v="0"/>
    <s v="NO"/>
    <n v="110"/>
    <n v="80"/>
    <n v="8"/>
    <n v="10"/>
    <n v="15"/>
    <n v="12"/>
    <n v="10"/>
    <x v="3"/>
    <n v="18"/>
    <n v="27"/>
    <n v="109.33333333333333"/>
    <x v="2"/>
    <x v="3"/>
    <x v="0"/>
  </r>
  <r>
    <n v="338"/>
    <n v="338"/>
    <n v="1"/>
    <x v="1"/>
    <n v="36"/>
    <n v="89"/>
    <n v="161"/>
    <n v="15"/>
    <n v="78"/>
    <n v="24"/>
    <n v="14"/>
    <n v="4"/>
    <n v="3"/>
    <n v="5"/>
    <n v="0"/>
    <s v="NO"/>
    <n v="0"/>
    <n v="1.99"/>
    <x v="0"/>
    <n v="7.1"/>
    <n v="2.2200000000000002"/>
    <n v="3.198198198198198"/>
    <x v="0"/>
    <n v="44"/>
    <n v="40"/>
    <n v="0.91"/>
    <n v="4.2300000000000004"/>
    <n v="2.8"/>
    <n v="10.16"/>
    <n v="35.1"/>
    <x v="1"/>
    <n v="0.25"/>
    <n v="130"/>
    <n v="1"/>
    <x v="1"/>
    <n v="1"/>
    <s v="YES"/>
    <n v="1"/>
    <s v="YES"/>
    <n v="1"/>
    <s v="YES"/>
    <n v="1"/>
    <s v="YES"/>
    <n v="1"/>
    <x v="0"/>
    <n v="0"/>
    <s v="NO"/>
    <n v="110"/>
    <n v="80"/>
    <n v="16"/>
    <n v="12"/>
    <n v="11"/>
    <n v="9"/>
    <n v="9"/>
    <x v="3"/>
    <n v="28"/>
    <n v="20"/>
    <n v="112"/>
    <x v="2"/>
    <x v="3"/>
    <x v="0"/>
  </r>
  <r>
    <n v="339"/>
    <n v="339"/>
    <n v="1"/>
    <x v="1"/>
    <n v="31"/>
    <n v="73"/>
    <n v="161"/>
    <n v="15"/>
    <n v="78"/>
    <n v="24"/>
    <n v="10.7"/>
    <n v="4"/>
    <n v="2"/>
    <n v="7"/>
    <n v="0"/>
    <s v="NO"/>
    <n v="0"/>
    <n v="1.99"/>
    <x v="0"/>
    <n v="3.61"/>
    <n v="5.09"/>
    <n v="0.70923379174852652"/>
    <x v="1"/>
    <n v="42"/>
    <n v="38"/>
    <n v="0.9"/>
    <n v="1.69"/>
    <n v="1.06"/>
    <n v="14.11"/>
    <n v="29.1"/>
    <x v="1"/>
    <n v="0.79"/>
    <n v="92"/>
    <n v="1"/>
    <x v="1"/>
    <n v="1"/>
    <s v="YES"/>
    <n v="1"/>
    <s v="YES"/>
    <n v="0"/>
    <s v="NO"/>
    <n v="0"/>
    <s v="NO"/>
    <n v="1"/>
    <x v="0"/>
    <n v="0"/>
    <s v="NO"/>
    <n v="110"/>
    <n v="80"/>
    <n v="12"/>
    <n v="10"/>
    <n v="10"/>
    <n v="10"/>
    <n v="9.3000000000000007"/>
    <x v="1"/>
    <n v="22"/>
    <n v="20"/>
    <n v="110.66666666666667"/>
    <x v="2"/>
    <x v="1"/>
    <x v="0"/>
  </r>
  <r>
    <n v="340"/>
    <n v="340"/>
    <n v="0"/>
    <x v="0"/>
    <n v="29"/>
    <n v="53"/>
    <n v="152"/>
    <n v="17"/>
    <n v="78"/>
    <n v="22"/>
    <n v="10.6"/>
    <n v="2"/>
    <n v="5"/>
    <n v="2"/>
    <n v="1"/>
    <s v="YES"/>
    <n v="0"/>
    <n v="1.99"/>
    <x v="17"/>
    <n v="5.71"/>
    <n v="4.32"/>
    <n v="1.3217592592592591"/>
    <x v="1"/>
    <n v="38"/>
    <n v="34"/>
    <n v="0.89"/>
    <n v="3.98"/>
    <n v="9.1"/>
    <n v="20.78"/>
    <n v="19.7"/>
    <x v="0"/>
    <n v="0.32"/>
    <n v="123"/>
    <n v="0"/>
    <x v="0"/>
    <n v="0"/>
    <s v="NO"/>
    <n v="1"/>
    <s v="YES"/>
    <n v="0"/>
    <s v="NO"/>
    <n v="0"/>
    <s v="NO"/>
    <n v="1"/>
    <x v="0"/>
    <n v="1"/>
    <s v="YES"/>
    <n v="110"/>
    <n v="80"/>
    <n v="1"/>
    <n v="1"/>
    <n v="10"/>
    <n v="12"/>
    <n v="8.1999999999999993"/>
    <x v="0"/>
    <n v="2"/>
    <n v="22"/>
    <n v="107"/>
    <x v="1"/>
    <x v="2"/>
    <x v="0"/>
  </r>
  <r>
    <n v="341"/>
    <n v="341"/>
    <n v="1"/>
    <x v="1"/>
    <n v="26"/>
    <n v="60"/>
    <n v="152"/>
    <n v="13"/>
    <n v="78"/>
    <n v="22"/>
    <n v="12.5"/>
    <n v="4"/>
    <n v="2"/>
    <n v="5"/>
    <n v="1"/>
    <s v="YES"/>
    <n v="0"/>
    <n v="161.77000000000001"/>
    <x v="136"/>
    <n v="6.83"/>
    <n v="4.62"/>
    <n v="1.4783549783549783"/>
    <x v="1"/>
    <n v="40"/>
    <n v="36"/>
    <n v="0.9"/>
    <n v="2.39"/>
    <n v="5.9"/>
    <n v="34.200000000000003"/>
    <n v="38.6"/>
    <x v="1"/>
    <n v="0.3"/>
    <n v="76"/>
    <n v="1"/>
    <x v="1"/>
    <n v="1"/>
    <s v="YES"/>
    <n v="0"/>
    <s v="NO"/>
    <n v="0"/>
    <s v="NO"/>
    <n v="1"/>
    <s v="YES"/>
    <n v="1"/>
    <x v="0"/>
    <n v="0"/>
    <s v="NO"/>
    <n v="100"/>
    <n v="80"/>
    <n v="10"/>
    <n v="15"/>
    <n v="14"/>
    <n v="11"/>
    <n v="10"/>
    <x v="1"/>
    <n v="25"/>
    <n v="25"/>
    <n v="110"/>
    <x v="2"/>
    <x v="1"/>
    <x v="0"/>
  </r>
  <r>
    <n v="342"/>
    <n v="342"/>
    <n v="1"/>
    <x v="1"/>
    <n v="26"/>
    <n v="65"/>
    <n v="158"/>
    <n v="15"/>
    <n v="75"/>
    <n v="24"/>
    <n v="10.5"/>
    <n v="2"/>
    <n v="5"/>
    <n v="7"/>
    <n v="1"/>
    <s v="YES"/>
    <n v="0"/>
    <n v="61.98"/>
    <x v="137"/>
    <n v="7.12"/>
    <n v="7.89"/>
    <n v="0.90240811153358691"/>
    <x v="1"/>
    <n v="40"/>
    <n v="35"/>
    <n v="0.88"/>
    <n v="2.29"/>
    <n v="8.9"/>
    <n v="32.409999999999997"/>
    <n v="23.4"/>
    <x v="1"/>
    <n v="0.33"/>
    <n v="107"/>
    <n v="1"/>
    <x v="1"/>
    <n v="1"/>
    <s v="YES"/>
    <n v="0"/>
    <s v="NO"/>
    <n v="0"/>
    <s v="NO"/>
    <n v="1"/>
    <s v="YES"/>
    <n v="1"/>
    <x v="0"/>
    <n v="0"/>
    <s v="NO"/>
    <n v="110"/>
    <n v="80"/>
    <n v="10"/>
    <n v="7"/>
    <n v="10"/>
    <n v="11"/>
    <n v="8.6999999999999993"/>
    <x v="1"/>
    <n v="17"/>
    <n v="21"/>
    <n v="110"/>
    <x v="1"/>
    <x v="1"/>
    <x v="0"/>
  </r>
  <r>
    <n v="343"/>
    <n v="343"/>
    <n v="1"/>
    <x v="1"/>
    <n v="32"/>
    <n v="40"/>
    <n v="158"/>
    <n v="15"/>
    <n v="78"/>
    <n v="22"/>
    <n v="11.2"/>
    <n v="2"/>
    <n v="5"/>
    <n v="12"/>
    <n v="1"/>
    <s v="YES"/>
    <n v="0"/>
    <n v="403.85"/>
    <x v="138"/>
    <n v="6.72"/>
    <n v="3.24"/>
    <n v="2.074074074074074"/>
    <x v="0"/>
    <n v="36"/>
    <n v="32"/>
    <n v="0.89"/>
    <n v="1.77"/>
    <n v="3.6"/>
    <n v="13.27"/>
    <n v="57.7"/>
    <x v="1"/>
    <n v="0.25"/>
    <n v="107"/>
    <n v="0"/>
    <x v="0"/>
    <n v="0"/>
    <s v="NO"/>
    <n v="0"/>
    <s v="NO"/>
    <n v="1"/>
    <s v="YES"/>
    <n v="1"/>
    <s v="YES"/>
    <n v="1"/>
    <x v="0"/>
    <n v="0"/>
    <s v="NO"/>
    <n v="110"/>
    <n v="80"/>
    <n v="4"/>
    <n v="15"/>
    <n v="15"/>
    <n v="12"/>
    <n v="11"/>
    <x v="2"/>
    <n v="19"/>
    <n v="27"/>
    <n v="108"/>
    <x v="1"/>
    <x v="1"/>
    <x v="0"/>
  </r>
  <r>
    <n v="344"/>
    <n v="344"/>
    <n v="0"/>
    <x v="0"/>
    <n v="25"/>
    <n v="85"/>
    <n v="161"/>
    <n v="11"/>
    <n v="78"/>
    <n v="22"/>
    <n v="10.199999999999999"/>
    <n v="2"/>
    <n v="5"/>
    <n v="3"/>
    <n v="1"/>
    <s v="YES"/>
    <n v="2"/>
    <n v="136.71"/>
    <x v="0"/>
    <n v="7.1"/>
    <n v="5.16"/>
    <n v="1.375968992248062"/>
    <x v="1"/>
    <n v="42"/>
    <n v="38"/>
    <n v="0.9"/>
    <n v="2.15"/>
    <n v="2.31"/>
    <n v="19.21"/>
    <n v="31.4"/>
    <x v="1"/>
    <n v="0.25"/>
    <n v="100"/>
    <n v="1"/>
    <x v="1"/>
    <n v="0"/>
    <s v="NO"/>
    <n v="0"/>
    <s v="NO"/>
    <n v="1"/>
    <s v="YES"/>
    <n v="0"/>
    <s v="NO"/>
    <n v="1"/>
    <x v="0"/>
    <n v="0"/>
    <s v="NO"/>
    <n v="110"/>
    <n v="80"/>
    <n v="10"/>
    <n v="5"/>
    <n v="15"/>
    <n v="17"/>
    <n v="8"/>
    <x v="3"/>
    <n v="15"/>
    <n v="32"/>
    <n v="110"/>
    <x v="1"/>
    <x v="2"/>
    <x v="0"/>
  </r>
  <r>
    <n v="345"/>
    <n v="345"/>
    <n v="0"/>
    <x v="0"/>
    <n v="36"/>
    <n v="62"/>
    <n v="158"/>
    <n v="13"/>
    <n v="78"/>
    <n v="22"/>
    <n v="11"/>
    <n v="2"/>
    <n v="6"/>
    <n v="14"/>
    <n v="1"/>
    <s v="YES"/>
    <n v="0"/>
    <n v="34.65"/>
    <x v="139"/>
    <n v="4.4800000000000004"/>
    <n v="1.25"/>
    <n v="3.5840000000000005"/>
    <x v="0"/>
    <n v="40"/>
    <n v="36"/>
    <n v="0.9"/>
    <n v="0.72"/>
    <n v="3.6"/>
    <n v="8.3800000000000008"/>
    <n v="30.1"/>
    <x v="1"/>
    <n v="0.25"/>
    <n v="107"/>
    <n v="0"/>
    <x v="0"/>
    <n v="0"/>
    <s v="NO"/>
    <n v="0"/>
    <s v="NO"/>
    <n v="1"/>
    <s v="YES"/>
    <n v="1"/>
    <s v="YES"/>
    <n v="1"/>
    <x v="0"/>
    <n v="0"/>
    <s v="NO"/>
    <n v="110"/>
    <n v="80"/>
    <n v="3"/>
    <n v="5"/>
    <n v="10"/>
    <n v="11"/>
    <n v="9.1999999999999993"/>
    <x v="0"/>
    <n v="8"/>
    <n v="21"/>
    <n v="107.66666666666667"/>
    <x v="0"/>
    <x v="1"/>
    <x v="0"/>
  </r>
  <r>
    <n v="346"/>
    <n v="346"/>
    <n v="0"/>
    <x v="0"/>
    <n v="30"/>
    <n v="50"/>
    <n v="152"/>
    <n v="15"/>
    <n v="78"/>
    <n v="22"/>
    <n v="10.5"/>
    <n v="4"/>
    <n v="3"/>
    <n v="2"/>
    <n v="1"/>
    <s v="YES"/>
    <n v="0"/>
    <n v="48.86"/>
    <x v="140"/>
    <n v="4.63"/>
    <n v="0.3"/>
    <n v="15.433333333333334"/>
    <x v="0"/>
    <n v="38"/>
    <n v="35"/>
    <n v="0.92"/>
    <n v="1.1299999999999999"/>
    <n v="2.8"/>
    <n v="5.65"/>
    <n v="36.9"/>
    <x v="1"/>
    <n v="0.25"/>
    <n v="92"/>
    <n v="0"/>
    <x v="0"/>
    <n v="0"/>
    <s v="NO"/>
    <n v="0"/>
    <s v="NO"/>
    <n v="0"/>
    <s v="NO"/>
    <n v="1"/>
    <s v="YES"/>
    <n v="1"/>
    <x v="0"/>
    <n v="0"/>
    <s v="NO"/>
    <n v="110"/>
    <n v="80"/>
    <n v="1"/>
    <n v="1"/>
    <n v="10"/>
    <n v="10"/>
    <n v="13"/>
    <x v="0"/>
    <n v="2"/>
    <n v="20"/>
    <n v="107"/>
    <x v="0"/>
    <x v="2"/>
    <x v="0"/>
  </r>
  <r>
    <n v="347"/>
    <n v="347"/>
    <n v="1"/>
    <x v="1"/>
    <n v="28"/>
    <n v="83"/>
    <n v="164"/>
    <n v="11"/>
    <n v="74"/>
    <n v="20"/>
    <n v="11.1"/>
    <n v="4"/>
    <n v="2"/>
    <n v="7"/>
    <n v="0"/>
    <s v="NO"/>
    <n v="1"/>
    <n v="1.99"/>
    <x v="0"/>
    <n v="5.5"/>
    <n v="3.03"/>
    <n v="1.8151815181518154"/>
    <x v="1"/>
    <n v="42"/>
    <n v="37"/>
    <n v="0.88"/>
    <n v="20.85"/>
    <n v="20.399999999999999"/>
    <n v="14.63"/>
    <n v="10.5"/>
    <x v="0"/>
    <n v="0.52"/>
    <n v="110"/>
    <n v="1"/>
    <x v="1"/>
    <n v="1"/>
    <s v="YES"/>
    <n v="0"/>
    <s v="NO"/>
    <n v="1"/>
    <s v="YES"/>
    <n v="1"/>
    <s v="YES"/>
    <n v="1"/>
    <x v="0"/>
    <n v="0"/>
    <s v="NO"/>
    <n v="110"/>
    <n v="80"/>
    <n v="10"/>
    <n v="12"/>
    <n v="15"/>
    <n v="17"/>
    <n v="10"/>
    <x v="3"/>
    <n v="22"/>
    <n v="32"/>
    <n v="110"/>
    <x v="2"/>
    <x v="4"/>
    <x v="0"/>
  </r>
  <r>
    <n v="348"/>
    <n v="348"/>
    <n v="0"/>
    <x v="0"/>
    <n v="31"/>
    <n v="56"/>
    <n v="158"/>
    <n v="11"/>
    <n v="72"/>
    <n v="18"/>
    <n v="10.199999999999999"/>
    <n v="2"/>
    <n v="6"/>
    <n v="10"/>
    <n v="1"/>
    <s v="YES"/>
    <n v="0"/>
    <n v="371.74"/>
    <x v="141"/>
    <n v="1.8"/>
    <n v="0.35"/>
    <n v="5.1428571428571432"/>
    <x v="0"/>
    <n v="38"/>
    <n v="35"/>
    <n v="0.92"/>
    <n v="0.53"/>
    <n v="1.5"/>
    <n v="20.9"/>
    <n v="34"/>
    <x v="1"/>
    <n v="0.25"/>
    <n v="100"/>
    <n v="0"/>
    <x v="0"/>
    <n v="0"/>
    <s v="NO"/>
    <n v="0"/>
    <s v="NO"/>
    <n v="1"/>
    <s v="YES"/>
    <n v="1"/>
    <s v="YES"/>
    <n v="1"/>
    <x v="0"/>
    <n v="0"/>
    <s v="NO"/>
    <n v="110"/>
    <n v="70"/>
    <n v="6"/>
    <n v="4"/>
    <n v="10"/>
    <n v="11"/>
    <n v="11"/>
    <x v="0"/>
    <n v="10"/>
    <n v="21"/>
    <n v="95.333333333333329"/>
    <x v="1"/>
    <x v="1"/>
    <x v="0"/>
  </r>
  <r>
    <n v="349"/>
    <n v="349"/>
    <n v="0"/>
    <x v="0"/>
    <n v="32"/>
    <n v="57"/>
    <n v="157"/>
    <n v="13"/>
    <n v="72"/>
    <n v="20"/>
    <n v="10.8"/>
    <n v="2"/>
    <n v="5"/>
    <n v="4"/>
    <n v="0"/>
    <s v="NO"/>
    <n v="0"/>
    <n v="1.99"/>
    <x v="0"/>
    <n v="3.98"/>
    <n v="1.43"/>
    <n v="2.7832167832167833"/>
    <x v="0"/>
    <n v="38"/>
    <n v="34"/>
    <n v="0.89"/>
    <n v="4.29"/>
    <n v="4.5999999999999996"/>
    <n v="15.39"/>
    <n v="26.1"/>
    <x v="1"/>
    <n v="0.45"/>
    <n v="80"/>
    <n v="0"/>
    <x v="0"/>
    <n v="0"/>
    <s v="NO"/>
    <n v="1"/>
    <s v="YES"/>
    <n v="0"/>
    <s v="NO"/>
    <n v="1"/>
    <s v="YES"/>
    <n v="1"/>
    <x v="0"/>
    <n v="1"/>
    <s v="YES"/>
    <n v="110"/>
    <n v="70"/>
    <n v="4"/>
    <n v="8"/>
    <n v="11"/>
    <n v="15"/>
    <n v="10.8"/>
    <x v="0"/>
    <n v="12"/>
    <n v="26"/>
    <n v="94.666666666666671"/>
    <x v="1"/>
    <x v="1"/>
    <x v="0"/>
  </r>
  <r>
    <n v="350"/>
    <n v="350"/>
    <n v="0"/>
    <x v="0"/>
    <n v="30"/>
    <n v="71"/>
    <n v="157"/>
    <n v="13"/>
    <n v="72"/>
    <n v="18"/>
    <n v="11"/>
    <n v="4"/>
    <n v="2"/>
    <n v="5"/>
    <n v="0"/>
    <s v="NO"/>
    <n v="0"/>
    <n v="1.99"/>
    <x v="0"/>
    <n v="7.57"/>
    <n v="4.6500000000000004"/>
    <n v="1.6279569892473118"/>
    <x v="1"/>
    <n v="42"/>
    <n v="36"/>
    <n v="0.86"/>
    <n v="1.42"/>
    <n v="5"/>
    <n v="20.45"/>
    <n v="13.9"/>
    <x v="0"/>
    <n v="0.59"/>
    <n v="92"/>
    <n v="1"/>
    <x v="1"/>
    <n v="0"/>
    <s v="NO"/>
    <n v="0"/>
    <s v="NO"/>
    <n v="1"/>
    <s v="YES"/>
    <n v="1"/>
    <s v="YES"/>
    <n v="1"/>
    <x v="0"/>
    <n v="0"/>
    <s v="NO"/>
    <n v="110"/>
    <n v="80"/>
    <n v="1"/>
    <n v="3"/>
    <n v="12"/>
    <n v="15"/>
    <n v="14"/>
    <x v="1"/>
    <n v="4"/>
    <n v="27"/>
    <n v="107"/>
    <x v="0"/>
    <x v="1"/>
    <x v="0"/>
  </r>
  <r>
    <n v="351"/>
    <n v="351"/>
    <n v="0"/>
    <x v="0"/>
    <n v="22"/>
    <n v="56"/>
    <n v="154"/>
    <n v="13"/>
    <n v="72"/>
    <n v="18"/>
    <n v="10.8"/>
    <n v="2"/>
    <n v="6"/>
    <n v="1"/>
    <n v="1"/>
    <s v="YES"/>
    <n v="0"/>
    <n v="213.49"/>
    <x v="0"/>
    <n v="4.6900000000000004"/>
    <n v="3.67"/>
    <n v="1.2779291553133516"/>
    <x v="1"/>
    <n v="39"/>
    <n v="34"/>
    <n v="0.87"/>
    <n v="3.62"/>
    <n v="3.9"/>
    <n v="25.5"/>
    <n v="35.5"/>
    <x v="1"/>
    <n v="1.24"/>
    <n v="100"/>
    <n v="0"/>
    <x v="0"/>
    <n v="0"/>
    <s v="NO"/>
    <n v="0"/>
    <s v="NO"/>
    <n v="1"/>
    <s v="YES"/>
    <n v="1"/>
    <s v="YES"/>
    <n v="1"/>
    <x v="0"/>
    <n v="0"/>
    <s v="NO"/>
    <n v="110"/>
    <n v="80"/>
    <n v="10"/>
    <n v="6"/>
    <n v="15"/>
    <n v="12"/>
    <n v="9"/>
    <x v="0"/>
    <n v="16"/>
    <n v="27"/>
    <n v="110"/>
    <x v="1"/>
    <x v="1"/>
    <x v="0"/>
  </r>
  <r>
    <n v="352"/>
    <n v="352"/>
    <n v="1"/>
    <x v="1"/>
    <n v="36"/>
    <n v="54"/>
    <n v="148"/>
    <n v="13"/>
    <n v="78"/>
    <n v="24"/>
    <n v="10.199999999999999"/>
    <n v="4"/>
    <n v="2"/>
    <n v="15"/>
    <n v="1"/>
    <s v="YES"/>
    <n v="0"/>
    <n v="970.75"/>
    <x v="142"/>
    <n v="5.26"/>
    <n v="9.8699999999999992"/>
    <n v="0.53292806484295852"/>
    <x v="1"/>
    <n v="38"/>
    <n v="33"/>
    <n v="0.87"/>
    <n v="1.45"/>
    <n v="9.8000000000000007"/>
    <n v="8.1"/>
    <n v="42.1"/>
    <x v="1"/>
    <n v="0.48"/>
    <n v="85"/>
    <n v="0"/>
    <x v="0"/>
    <n v="1"/>
    <s v="YES"/>
    <n v="0"/>
    <s v="NO"/>
    <n v="1"/>
    <s v="YES"/>
    <n v="1"/>
    <s v="YES"/>
    <n v="1"/>
    <x v="0"/>
    <n v="0"/>
    <s v="NO"/>
    <n v="100"/>
    <n v="80"/>
    <n v="10"/>
    <n v="7"/>
    <n v="13"/>
    <n v="15"/>
    <n v="9"/>
    <x v="0"/>
    <n v="17"/>
    <n v="28"/>
    <n v="110"/>
    <x v="2"/>
    <x v="4"/>
    <x v="0"/>
  </r>
  <r>
    <n v="353"/>
    <n v="353"/>
    <n v="1"/>
    <x v="1"/>
    <n v="27"/>
    <n v="60"/>
    <n v="164"/>
    <n v="15"/>
    <n v="72"/>
    <n v="18"/>
    <n v="10.7"/>
    <n v="2"/>
    <n v="6"/>
    <n v="2.5"/>
    <n v="1"/>
    <s v="YES"/>
    <n v="0"/>
    <n v="109.06"/>
    <x v="143"/>
    <n v="3.19"/>
    <n v="2.96"/>
    <n v="1.0777027027027026"/>
    <x v="1"/>
    <n v="40"/>
    <n v="35"/>
    <n v="0.88"/>
    <n v="2.96"/>
    <n v="3.65"/>
    <n v="18.920000000000002"/>
    <n v="36.4"/>
    <x v="1"/>
    <n v="0.25"/>
    <n v="100"/>
    <n v="0"/>
    <x v="0"/>
    <n v="1"/>
    <s v="YES"/>
    <n v="1"/>
    <s v="YES"/>
    <n v="0"/>
    <s v="NO"/>
    <n v="0"/>
    <s v="NO"/>
    <n v="1"/>
    <x v="0"/>
    <n v="0"/>
    <s v="NO"/>
    <n v="120"/>
    <n v="80"/>
    <n v="4"/>
    <n v="5"/>
    <n v="15"/>
    <n v="18"/>
    <n v="8"/>
    <x v="0"/>
    <n v="9"/>
    <n v="33"/>
    <n v="108"/>
    <x v="1"/>
    <x v="1"/>
    <x v="0"/>
  </r>
  <r>
    <n v="354"/>
    <n v="354"/>
    <n v="0"/>
    <x v="0"/>
    <n v="30"/>
    <n v="55"/>
    <n v="164"/>
    <n v="13"/>
    <n v="74"/>
    <n v="22"/>
    <n v="10.199999999999999"/>
    <n v="2"/>
    <n v="6"/>
    <n v="7"/>
    <n v="1"/>
    <s v="YES"/>
    <n v="1"/>
    <n v="1082.82"/>
    <x v="144"/>
    <n v="5.74"/>
    <n v="2.81"/>
    <n v="2.0427046263345194"/>
    <x v="0"/>
    <n v="37"/>
    <n v="34"/>
    <n v="0.92"/>
    <n v="1.84"/>
    <n v="3.5"/>
    <n v="24.52"/>
    <n v="31.2"/>
    <x v="1"/>
    <n v="0.25"/>
    <n v="92"/>
    <n v="0"/>
    <x v="0"/>
    <n v="0"/>
    <s v="NO"/>
    <n v="0"/>
    <s v="NO"/>
    <n v="1"/>
    <s v="YES"/>
    <n v="1"/>
    <s v="YES"/>
    <n v="1"/>
    <x v="0"/>
    <n v="0"/>
    <s v="NO"/>
    <n v="110"/>
    <n v="80"/>
    <n v="6"/>
    <n v="4"/>
    <n v="13"/>
    <n v="15"/>
    <n v="5.6"/>
    <x v="0"/>
    <n v="10"/>
    <n v="28"/>
    <n v="108.66666666666667"/>
    <x v="1"/>
    <x v="1"/>
    <x v="0"/>
  </r>
  <r>
    <n v="355"/>
    <n v="355"/>
    <n v="0"/>
    <x v="0"/>
    <n v="33"/>
    <n v="50"/>
    <n v="152"/>
    <n v="15"/>
    <n v="80"/>
    <n v="20"/>
    <n v="9.8000000000000007"/>
    <n v="4"/>
    <n v="2"/>
    <n v="12"/>
    <n v="1"/>
    <s v="YES"/>
    <n v="0"/>
    <n v="739.13"/>
    <x v="145"/>
    <n v="6.68"/>
    <n v="4.03"/>
    <n v="1.6575682382133994"/>
    <x v="1"/>
    <n v="38"/>
    <n v="35"/>
    <n v="0.92"/>
    <n v="2.38"/>
    <n v="10.7"/>
    <n v="24.52"/>
    <n v="45.4"/>
    <x v="1"/>
    <n v="0.32"/>
    <n v="85"/>
    <n v="0"/>
    <x v="0"/>
    <n v="0"/>
    <s v="NO"/>
    <n v="0"/>
    <s v="NO"/>
    <n v="1"/>
    <s v="YES"/>
    <n v="1"/>
    <s v="YES"/>
    <n v="1"/>
    <x v="0"/>
    <n v="0"/>
    <s v="NO"/>
    <n v="110"/>
    <n v="80"/>
    <n v="7"/>
    <n v="4"/>
    <n v="15"/>
    <n v="18"/>
    <n v="10.6"/>
    <x v="0"/>
    <n v="11"/>
    <n v="33"/>
    <n v="109"/>
    <x v="1"/>
    <x v="1"/>
    <x v="0"/>
  </r>
  <r>
    <n v="356"/>
    <n v="356"/>
    <n v="0"/>
    <x v="0"/>
    <n v="28"/>
    <n v="61"/>
    <n v="158"/>
    <n v="15"/>
    <n v="72"/>
    <n v="18"/>
    <n v="10.5"/>
    <n v="2"/>
    <n v="6"/>
    <n v="6"/>
    <n v="1"/>
    <s v="YES"/>
    <n v="0"/>
    <n v="288.72000000000003"/>
    <x v="146"/>
    <n v="4.16"/>
    <n v="0.27"/>
    <n v="15.407407407407407"/>
    <x v="0"/>
    <n v="40"/>
    <n v="35"/>
    <n v="0.88"/>
    <n v="6.31"/>
    <n v="4.8"/>
    <n v="54.88"/>
    <n v="17.399999999999999"/>
    <x v="0"/>
    <n v="0.25"/>
    <n v="100"/>
    <n v="0"/>
    <x v="0"/>
    <n v="1"/>
    <s v="YES"/>
    <n v="0"/>
    <s v="NO"/>
    <n v="0"/>
    <s v="NO"/>
    <n v="1"/>
    <s v="YES"/>
    <n v="0"/>
    <x v="1"/>
    <n v="1"/>
    <s v="YES"/>
    <n v="110"/>
    <n v="80"/>
    <n v="5"/>
    <n v="7"/>
    <n v="15"/>
    <n v="18"/>
    <n v="7"/>
    <x v="0"/>
    <n v="12"/>
    <n v="33"/>
    <n v="108.33333333333333"/>
    <x v="1"/>
    <x v="1"/>
    <x v="0"/>
  </r>
  <r>
    <n v="357"/>
    <n v="357"/>
    <n v="1"/>
    <x v="1"/>
    <n v="32"/>
    <n v="80.400000000000006"/>
    <n v="165"/>
    <n v="18"/>
    <n v="72"/>
    <n v="18"/>
    <n v="11.5"/>
    <n v="4"/>
    <n v="3"/>
    <n v="10"/>
    <n v="0"/>
    <s v="NO"/>
    <n v="0"/>
    <n v="4.68"/>
    <x v="0"/>
    <n v="4.4800000000000004"/>
    <n v="0.21"/>
    <n v="21.333333333333336"/>
    <x v="0"/>
    <n v="42"/>
    <n v="38"/>
    <n v="0.9"/>
    <n v="2.06"/>
    <n v="4.5"/>
    <n v="48.57"/>
    <n v="19.3"/>
    <x v="0"/>
    <n v="0.27"/>
    <n v="105"/>
    <n v="1"/>
    <x v="1"/>
    <n v="1"/>
    <s v="YES"/>
    <n v="1"/>
    <s v="YES"/>
    <n v="0"/>
    <s v="NO"/>
    <n v="1"/>
    <s v="YES"/>
    <n v="1"/>
    <x v="0"/>
    <n v="0"/>
    <s v="NO"/>
    <n v="120"/>
    <n v="80"/>
    <n v="9"/>
    <n v="12"/>
    <n v="15"/>
    <n v="15"/>
    <n v="11"/>
    <x v="1"/>
    <n v="21"/>
    <n v="30"/>
    <n v="109.66666666666667"/>
    <x v="2"/>
    <x v="4"/>
    <x v="0"/>
  </r>
  <r>
    <n v="358"/>
    <n v="358"/>
    <n v="0"/>
    <x v="0"/>
    <n v="32"/>
    <n v="47"/>
    <n v="158"/>
    <n v="15"/>
    <n v="74"/>
    <n v="20"/>
    <n v="10.199999999999999"/>
    <n v="2"/>
    <n v="6"/>
    <n v="7"/>
    <n v="1"/>
    <s v="YES"/>
    <n v="0"/>
    <n v="18.489999999999998"/>
    <x v="147"/>
    <n v="4.5199999999999996"/>
    <n v="3.27"/>
    <n v="1.3822629969418958"/>
    <x v="1"/>
    <n v="37"/>
    <n v="33"/>
    <n v="0.89"/>
    <n v="1.4"/>
    <n v="2.6"/>
    <n v="19.78"/>
    <n v="18.8"/>
    <x v="0"/>
    <n v="1"/>
    <n v="115"/>
    <n v="0"/>
    <x v="0"/>
    <n v="1"/>
    <s v="YES"/>
    <n v="0"/>
    <s v="NO"/>
    <n v="0"/>
    <s v="NO"/>
    <n v="1"/>
    <s v="YES"/>
    <n v="0"/>
    <x v="1"/>
    <n v="0"/>
    <s v="NO"/>
    <n v="110"/>
    <n v="80"/>
    <n v="1"/>
    <n v="1"/>
    <n v="14"/>
    <n v="16"/>
    <n v="6.4"/>
    <x v="0"/>
    <n v="2"/>
    <n v="30"/>
    <n v="107"/>
    <x v="0"/>
    <x v="1"/>
    <x v="0"/>
  </r>
  <r>
    <n v="359"/>
    <n v="359"/>
    <n v="0"/>
    <x v="0"/>
    <n v="34"/>
    <n v="53"/>
    <n v="145"/>
    <n v="12"/>
    <n v="78"/>
    <n v="20"/>
    <n v="10.8"/>
    <n v="2"/>
    <n v="6"/>
    <n v="10"/>
    <n v="1"/>
    <s v="YES"/>
    <n v="0"/>
    <n v="169.33"/>
    <x v="148"/>
    <n v="3.27"/>
    <n v="0.63"/>
    <n v="5.1904761904761907"/>
    <x v="0"/>
    <n v="38"/>
    <n v="35"/>
    <n v="0.92"/>
    <n v="1.46"/>
    <n v="3.9"/>
    <n v="31.77"/>
    <n v="23.9"/>
    <x v="1"/>
    <n v="0.4"/>
    <n v="115"/>
    <n v="1"/>
    <x v="1"/>
    <n v="0"/>
    <s v="NO"/>
    <n v="1"/>
    <s v="YES"/>
    <n v="0"/>
    <s v="NO"/>
    <n v="0"/>
    <s v="NO"/>
    <n v="1"/>
    <x v="0"/>
    <n v="0"/>
    <s v="NO"/>
    <n v="120"/>
    <n v="70"/>
    <n v="2"/>
    <n v="2"/>
    <n v="10"/>
    <n v="15"/>
    <n v="12"/>
    <x v="1"/>
    <n v="4"/>
    <n v="25"/>
    <n v="94"/>
    <x v="1"/>
    <x v="2"/>
    <x v="0"/>
  </r>
  <r>
    <n v="360"/>
    <n v="360"/>
    <n v="0"/>
    <x v="0"/>
    <n v="36"/>
    <n v="61"/>
    <n v="154"/>
    <n v="13"/>
    <n v="70"/>
    <n v="18"/>
    <n v="10.5"/>
    <n v="2"/>
    <n v="6"/>
    <n v="12"/>
    <n v="1"/>
    <s v="YES"/>
    <n v="0"/>
    <n v="418.9"/>
    <x v="149"/>
    <n v="2.85"/>
    <n v="1.71"/>
    <n v="1.6666666666666667"/>
    <x v="1"/>
    <n v="38"/>
    <n v="35"/>
    <n v="0.92"/>
    <n v="1.54"/>
    <n v="3.09"/>
    <n v="26.09"/>
    <n v="20.16"/>
    <x v="1"/>
    <n v="0.31"/>
    <n v="95"/>
    <n v="1"/>
    <x v="1"/>
    <n v="0"/>
    <s v="NO"/>
    <n v="0"/>
    <s v="NO"/>
    <n v="1"/>
    <s v="YES"/>
    <n v="1"/>
    <s v="YES"/>
    <n v="0"/>
    <x v="1"/>
    <n v="1"/>
    <s v="YES"/>
    <n v="120"/>
    <n v="80"/>
    <n v="2"/>
    <n v="3"/>
    <n v="13"/>
    <n v="11"/>
    <n v="6.8"/>
    <x v="1"/>
    <n v="5"/>
    <n v="24"/>
    <n v="107.33333333333333"/>
    <x v="0"/>
    <x v="1"/>
    <x v="0"/>
  </r>
  <r>
    <n v="361"/>
    <n v="361"/>
    <n v="0"/>
    <x v="0"/>
    <n v="34"/>
    <n v="61"/>
    <n v="154"/>
    <n v="15"/>
    <n v="72"/>
    <n v="18"/>
    <n v="10.5"/>
    <n v="2"/>
    <n v="5"/>
    <n v="7"/>
    <n v="0"/>
    <s v="NO"/>
    <n v="0"/>
    <n v="1.99"/>
    <x v="0"/>
    <n v="6.42"/>
    <n v="3.45"/>
    <n v="1.8608695652173912"/>
    <x v="1"/>
    <n v="39"/>
    <n v="34"/>
    <n v="0.87"/>
    <n v="2.64"/>
    <n v="10.9"/>
    <n v="14.52"/>
    <n v="39.1"/>
    <x v="1"/>
    <n v="0.25"/>
    <n v="100"/>
    <n v="1"/>
    <x v="1"/>
    <n v="0"/>
    <s v="NO"/>
    <n v="0"/>
    <s v="NO"/>
    <n v="1"/>
    <s v="YES"/>
    <n v="0"/>
    <s v="NO"/>
    <n v="0"/>
    <x v="1"/>
    <n v="0"/>
    <s v="NO"/>
    <n v="120"/>
    <n v="70"/>
    <n v="3"/>
    <n v="3"/>
    <n v="13"/>
    <n v="14"/>
    <n v="13.5"/>
    <x v="1"/>
    <n v="6"/>
    <n v="27"/>
    <n v="94.333333333333329"/>
    <x v="0"/>
    <x v="2"/>
    <x v="0"/>
  </r>
  <r>
    <n v="362"/>
    <n v="362"/>
    <n v="0"/>
    <x v="0"/>
    <n v="35"/>
    <n v="62"/>
    <n v="148"/>
    <n v="13"/>
    <n v="78"/>
    <n v="20"/>
    <n v="10.8"/>
    <n v="2"/>
    <n v="6"/>
    <n v="17"/>
    <n v="0"/>
    <s v="NO"/>
    <n v="1"/>
    <n v="1.99"/>
    <x v="0"/>
    <n v="2.71"/>
    <n v="1.41"/>
    <n v="1.9219858156028369"/>
    <x v="1"/>
    <n v="40"/>
    <n v="36"/>
    <n v="0.9"/>
    <n v="1.87"/>
    <n v="5.2"/>
    <n v="28.27"/>
    <n v="30.9"/>
    <x v="1"/>
    <n v="0.3"/>
    <n v="92"/>
    <n v="1"/>
    <x v="1"/>
    <n v="0"/>
    <s v="NO"/>
    <n v="0"/>
    <s v="NO"/>
    <n v="1"/>
    <s v="YES"/>
    <n v="1"/>
    <s v="YES"/>
    <n v="0"/>
    <x v="1"/>
    <n v="1"/>
    <s v="YES"/>
    <n v="120"/>
    <n v="70"/>
    <n v="2"/>
    <n v="3"/>
    <n v="10"/>
    <n v="10"/>
    <n v="7"/>
    <x v="1"/>
    <n v="5"/>
    <n v="20"/>
    <n v="94"/>
    <x v="0"/>
    <x v="1"/>
    <x v="0"/>
  </r>
  <r>
    <n v="363"/>
    <n v="363"/>
    <n v="0"/>
    <x v="0"/>
    <n v="42"/>
    <n v="50"/>
    <n v="161"/>
    <n v="15"/>
    <n v="74"/>
    <n v="16"/>
    <n v="10"/>
    <n v="4"/>
    <n v="3"/>
    <n v="5"/>
    <n v="1"/>
    <s v="YES"/>
    <n v="0"/>
    <n v="14.83"/>
    <x v="150"/>
    <n v="4.91"/>
    <n v="0.67"/>
    <n v="7.3283582089552235"/>
    <x v="0"/>
    <n v="37"/>
    <n v="32"/>
    <n v="0.86"/>
    <n v="0.97"/>
    <n v="1.6"/>
    <n v="23.58"/>
    <n v="21.3"/>
    <x v="1"/>
    <n v="0.25"/>
    <n v="82"/>
    <n v="0"/>
    <x v="0"/>
    <n v="0"/>
    <s v="NO"/>
    <n v="0"/>
    <s v="NO"/>
    <n v="1"/>
    <s v="YES"/>
    <n v="0"/>
    <s v="NO"/>
    <n v="0"/>
    <x v="1"/>
    <n v="0"/>
    <s v="NO"/>
    <n v="120"/>
    <n v="80"/>
    <n v="1"/>
    <n v="1"/>
    <n v="14"/>
    <n v="13"/>
    <n v="9.1999999999999993"/>
    <x v="0"/>
    <n v="2"/>
    <n v="27"/>
    <n v="107"/>
    <x v="0"/>
    <x v="2"/>
    <x v="0"/>
  </r>
  <r>
    <n v="364"/>
    <n v="364"/>
    <n v="0"/>
    <x v="0"/>
    <n v="31"/>
    <n v="48"/>
    <n v="152"/>
    <n v="17"/>
    <n v="72"/>
    <n v="18"/>
    <n v="11"/>
    <n v="2"/>
    <n v="6"/>
    <n v="8"/>
    <n v="0"/>
    <s v="NO"/>
    <n v="0"/>
    <n v="1.99"/>
    <x v="0"/>
    <n v="5.98"/>
    <n v="1"/>
    <n v="5.98"/>
    <x v="0"/>
    <n v="35"/>
    <n v="30"/>
    <n v="0.86"/>
    <n v="3.13"/>
    <n v="1"/>
    <n v="20.83"/>
    <n v="43.4"/>
    <x v="1"/>
    <n v="0.56000000000000005"/>
    <n v="100"/>
    <n v="0"/>
    <x v="0"/>
    <n v="0"/>
    <s v="NO"/>
    <n v="0"/>
    <s v="NO"/>
    <n v="1"/>
    <s v="YES"/>
    <n v="1"/>
    <s v="YES"/>
    <n v="1"/>
    <x v="0"/>
    <n v="0"/>
    <s v="NO"/>
    <n v="110"/>
    <n v="80"/>
    <n v="1"/>
    <n v="3"/>
    <n v="13"/>
    <n v="13"/>
    <n v="7"/>
    <x v="0"/>
    <n v="4"/>
    <n v="26"/>
    <n v="107"/>
    <x v="0"/>
    <x v="1"/>
    <x v="0"/>
  </r>
  <r>
    <n v="365"/>
    <n v="365"/>
    <n v="0"/>
    <x v="0"/>
    <n v="35"/>
    <n v="48"/>
    <n v="158"/>
    <n v="15"/>
    <n v="72"/>
    <n v="20"/>
    <n v="10.8"/>
    <n v="2"/>
    <n v="5"/>
    <n v="10"/>
    <n v="1"/>
    <s v="YES"/>
    <n v="1"/>
    <n v="650.71"/>
    <x v="0"/>
    <n v="7.77"/>
    <n v="3.64"/>
    <n v="2.1346153846153846"/>
    <x v="0"/>
    <n v="36"/>
    <n v="30"/>
    <n v="0.83"/>
    <n v="1.45"/>
    <n v="6.4"/>
    <n v="29.56"/>
    <n v="24.6"/>
    <x v="1"/>
    <n v="0.55000000000000004"/>
    <n v="110"/>
    <n v="0"/>
    <x v="0"/>
    <n v="0"/>
    <s v="NO"/>
    <n v="1"/>
    <s v="YES"/>
    <n v="0"/>
    <s v="NO"/>
    <n v="0"/>
    <s v="NO"/>
    <n v="1"/>
    <x v="0"/>
    <n v="0"/>
    <s v="NO"/>
    <n v="120"/>
    <n v="80"/>
    <n v="3"/>
    <n v="3"/>
    <n v="16"/>
    <n v="15"/>
    <n v="9"/>
    <x v="0"/>
    <n v="6"/>
    <n v="31"/>
    <n v="107.66666666666667"/>
    <x v="1"/>
    <x v="2"/>
    <x v="0"/>
  </r>
  <r>
    <n v="366"/>
    <n v="366"/>
    <n v="0"/>
    <x v="0"/>
    <n v="38"/>
    <n v="77.900000000000006"/>
    <n v="161"/>
    <n v="15"/>
    <n v="72"/>
    <n v="24"/>
    <n v="11.1"/>
    <n v="2"/>
    <n v="5"/>
    <n v="2"/>
    <n v="0"/>
    <s v="NO"/>
    <n v="0"/>
    <n v="1.99"/>
    <x v="0"/>
    <n v="4.32"/>
    <n v="1.35"/>
    <n v="3.2"/>
    <x v="0"/>
    <n v="42"/>
    <n v="37"/>
    <n v="0.88"/>
    <n v="1.1200000000000001"/>
    <n v="2.8"/>
    <n v="19.2"/>
    <n v="20.5"/>
    <x v="1"/>
    <n v="0.34"/>
    <n v="100"/>
    <n v="1"/>
    <x v="1"/>
    <n v="1"/>
    <s v="YES"/>
    <n v="0"/>
    <s v="NO"/>
    <n v="0"/>
    <s v="NO"/>
    <n v="1"/>
    <s v="YES"/>
    <n v="1"/>
    <x v="0"/>
    <n v="0"/>
    <s v="NO"/>
    <n v="140"/>
    <n v="100"/>
    <n v="2"/>
    <n v="2"/>
    <n v="15"/>
    <n v="14"/>
    <n v="8.5"/>
    <x v="3"/>
    <n v="4"/>
    <n v="29"/>
    <n v="134"/>
    <x v="0"/>
    <x v="1"/>
    <x v="0"/>
  </r>
  <r>
    <n v="367"/>
    <n v="367"/>
    <n v="1"/>
    <x v="1"/>
    <n v="23"/>
    <n v="67"/>
    <n v="152"/>
    <n v="11"/>
    <n v="72"/>
    <n v="20"/>
    <n v="10"/>
    <n v="4"/>
    <n v="2"/>
    <n v="2"/>
    <n v="0"/>
    <s v="NO"/>
    <n v="0"/>
    <n v="1.99"/>
    <x v="0"/>
    <n v="3.23"/>
    <n v="2.34"/>
    <n v="1.3803418803418803"/>
    <x v="1"/>
    <n v="38"/>
    <n v="32"/>
    <n v="0.84"/>
    <n v="1.27"/>
    <n v="6.4"/>
    <n v="22.99"/>
    <n v="15.9"/>
    <x v="0"/>
    <n v="0.32"/>
    <n v="92"/>
    <n v="1"/>
    <x v="1"/>
    <n v="0"/>
    <s v="NO"/>
    <n v="1"/>
    <s v="YES"/>
    <n v="1"/>
    <s v="YES"/>
    <n v="1"/>
    <s v="YES"/>
    <n v="0"/>
    <x v="1"/>
    <n v="0"/>
    <s v="NO"/>
    <n v="120"/>
    <n v="80"/>
    <n v="8"/>
    <n v="11"/>
    <n v="13"/>
    <n v="15"/>
    <n v="9.8000000000000007"/>
    <x v="1"/>
    <n v="19"/>
    <n v="28"/>
    <n v="109.33333333333333"/>
    <x v="2"/>
    <x v="4"/>
    <x v="0"/>
  </r>
  <r>
    <n v="368"/>
    <n v="368"/>
    <n v="0"/>
    <x v="0"/>
    <n v="20"/>
    <n v="64"/>
    <n v="165"/>
    <n v="15"/>
    <n v="72"/>
    <n v="18"/>
    <n v="11.5"/>
    <n v="2"/>
    <n v="6"/>
    <n v="8"/>
    <n v="1"/>
    <s v="YES"/>
    <n v="0"/>
    <n v="10.45"/>
    <x v="151"/>
    <n v="2.08"/>
    <n v="0.15"/>
    <n v="13.866666666666667"/>
    <x v="0"/>
    <n v="38"/>
    <n v="35"/>
    <n v="0.92"/>
    <n v="5"/>
    <n v="2.19"/>
    <n v="50.51"/>
    <n v="28.7"/>
    <x v="1"/>
    <n v="0.25"/>
    <n v="86"/>
    <n v="0"/>
    <x v="0"/>
    <n v="0"/>
    <s v="NO"/>
    <n v="0"/>
    <s v="NO"/>
    <n v="1"/>
    <s v="YES"/>
    <n v="1"/>
    <s v="YES"/>
    <n v="1"/>
    <x v="0"/>
    <n v="0"/>
    <s v="NO"/>
    <n v="120"/>
    <n v="80"/>
    <n v="5"/>
    <n v="7"/>
    <n v="15"/>
    <n v="14"/>
    <n v="11"/>
    <x v="0"/>
    <n v="12"/>
    <n v="29"/>
    <n v="108.33333333333333"/>
    <x v="1"/>
    <x v="1"/>
    <x v="0"/>
  </r>
  <r>
    <n v="369"/>
    <n v="369"/>
    <n v="1"/>
    <x v="1"/>
    <n v="22"/>
    <n v="58"/>
    <n v="161"/>
    <n v="13"/>
    <n v="74"/>
    <n v="22"/>
    <n v="10"/>
    <n v="4"/>
    <n v="3"/>
    <n v="5"/>
    <n v="1"/>
    <s v="YES"/>
    <n v="0"/>
    <n v="764.83"/>
    <x v="152"/>
    <n v="4.0599999999999996"/>
    <n v="3.92"/>
    <n v="1.0357142857142856"/>
    <x v="1"/>
    <n v="38"/>
    <n v="34"/>
    <n v="0.89"/>
    <n v="5"/>
    <n v="15"/>
    <n v="37.49"/>
    <n v="22"/>
    <x v="1"/>
    <n v="0.56000000000000005"/>
    <n v="92"/>
    <n v="0"/>
    <x v="0"/>
    <n v="1"/>
    <s v="YES"/>
    <n v="0"/>
    <s v="NO"/>
    <n v="1"/>
    <s v="YES"/>
    <n v="1"/>
    <s v="YES"/>
    <n v="1"/>
    <x v="0"/>
    <n v="0"/>
    <s v="NO"/>
    <n v="120"/>
    <n v="80"/>
    <n v="8"/>
    <n v="11"/>
    <n v="15"/>
    <n v="14"/>
    <n v="10"/>
    <x v="0"/>
    <n v="19"/>
    <n v="29"/>
    <n v="109.33333333333333"/>
    <x v="2"/>
    <x v="4"/>
    <x v="0"/>
  </r>
  <r>
    <n v="370"/>
    <n v="370"/>
    <n v="0"/>
    <x v="0"/>
    <n v="35"/>
    <n v="60"/>
    <n v="152"/>
    <n v="15"/>
    <n v="74"/>
    <n v="18"/>
    <n v="10"/>
    <n v="2"/>
    <n v="5"/>
    <n v="3"/>
    <n v="1"/>
    <s v="YES"/>
    <n v="0"/>
    <n v="116.31"/>
    <x v="153"/>
    <n v="6.52"/>
    <n v="3.42"/>
    <n v="1.9064327485380117"/>
    <x v="1"/>
    <n v="39"/>
    <n v="36"/>
    <n v="0.92"/>
    <n v="0.77"/>
    <n v="2.5"/>
    <n v="40.729999999999997"/>
    <n v="20"/>
    <x v="1"/>
    <n v="0.3"/>
    <n v="92"/>
    <n v="1"/>
    <x v="1"/>
    <n v="0"/>
    <s v="NO"/>
    <n v="0"/>
    <s v="NO"/>
    <n v="1"/>
    <s v="YES"/>
    <n v="0"/>
    <s v="NO"/>
    <n v="1"/>
    <x v="0"/>
    <n v="0"/>
    <s v="NO"/>
    <n v="110"/>
    <n v="80"/>
    <n v="3"/>
    <n v="4"/>
    <n v="12"/>
    <n v="15"/>
    <n v="8"/>
    <x v="1"/>
    <n v="7"/>
    <n v="27"/>
    <n v="107.66666666666667"/>
    <x v="0"/>
    <x v="2"/>
    <x v="0"/>
  </r>
  <r>
    <n v="371"/>
    <n v="371"/>
    <n v="1"/>
    <x v="1"/>
    <n v="28"/>
    <n v="58"/>
    <n v="164"/>
    <n v="13"/>
    <n v="72"/>
    <n v="18"/>
    <n v="11.5"/>
    <n v="2"/>
    <n v="6"/>
    <n v="1"/>
    <n v="1"/>
    <s v="YES"/>
    <n v="0"/>
    <n v="785.42"/>
    <x v="154"/>
    <n v="6.22"/>
    <n v="4.4400000000000004"/>
    <n v="1.4009009009009008"/>
    <x v="1"/>
    <n v="37"/>
    <n v="34"/>
    <n v="0.92"/>
    <n v="0.64"/>
    <n v="4.2"/>
    <n v="27.24"/>
    <n v="26"/>
    <x v="1"/>
    <n v="0.28999999999999998"/>
    <n v="100"/>
    <n v="0"/>
    <x v="0"/>
    <n v="1"/>
    <s v="YES"/>
    <n v="1"/>
    <s v="YES"/>
    <n v="0"/>
    <s v="NO"/>
    <n v="1"/>
    <s v="YES"/>
    <n v="1"/>
    <x v="0"/>
    <n v="1"/>
    <s v="YES"/>
    <n v="110"/>
    <n v="80"/>
    <n v="15"/>
    <n v="12"/>
    <n v="18"/>
    <n v="20"/>
    <n v="12"/>
    <x v="0"/>
    <n v="27"/>
    <n v="38"/>
    <n v="111.66666666666667"/>
    <x v="1"/>
    <x v="4"/>
    <x v="0"/>
  </r>
  <r>
    <n v="372"/>
    <n v="372"/>
    <n v="0"/>
    <x v="0"/>
    <n v="31"/>
    <n v="68"/>
    <n v="161"/>
    <n v="15"/>
    <n v="72"/>
    <n v="18"/>
    <n v="12.8"/>
    <n v="2"/>
    <n v="6"/>
    <n v="6"/>
    <n v="1"/>
    <s v="YES"/>
    <n v="0"/>
    <n v="96.22"/>
    <x v="155"/>
    <n v="1.58"/>
    <n v="0.24"/>
    <n v="6.5833333333333339"/>
    <x v="0"/>
    <n v="39"/>
    <n v="35"/>
    <n v="0.9"/>
    <n v="6.91"/>
    <n v="5.0999999999999996"/>
    <n v="15.85"/>
    <n v="25.6"/>
    <x v="1"/>
    <n v="0.5"/>
    <n v="87"/>
    <n v="1"/>
    <x v="1"/>
    <n v="0"/>
    <s v="NO"/>
    <n v="0"/>
    <s v="NO"/>
    <n v="1"/>
    <s v="YES"/>
    <n v="1"/>
    <s v="YES"/>
    <n v="1"/>
    <x v="0"/>
    <n v="0"/>
    <s v="NO"/>
    <n v="110"/>
    <n v="80"/>
    <n v="4"/>
    <n v="9"/>
    <n v="12"/>
    <n v="17"/>
    <n v="9"/>
    <x v="1"/>
    <n v="13"/>
    <n v="29"/>
    <n v="108"/>
    <x v="1"/>
    <x v="1"/>
    <x v="0"/>
  </r>
  <r>
    <n v="373"/>
    <n v="373"/>
    <n v="1"/>
    <x v="1"/>
    <n v="29"/>
    <n v="74"/>
    <n v="159"/>
    <n v="11"/>
    <n v="72"/>
    <n v="20"/>
    <n v="10.199999999999999"/>
    <n v="4"/>
    <n v="3"/>
    <n v="3"/>
    <n v="1"/>
    <s v="YES"/>
    <n v="1"/>
    <n v="346.59"/>
    <x v="156"/>
    <n v="5.76"/>
    <n v="6.42"/>
    <n v="0.89719626168224298"/>
    <x v="1"/>
    <n v="40"/>
    <n v="37"/>
    <n v="0.93"/>
    <n v="0.95"/>
    <n v="6"/>
    <n v="45.54"/>
    <n v="36.200000000000003"/>
    <x v="1"/>
    <n v="0.32"/>
    <n v="92"/>
    <n v="1"/>
    <x v="1"/>
    <n v="1"/>
    <s v="YES"/>
    <n v="1"/>
    <s v="YES"/>
    <n v="0"/>
    <s v="NO"/>
    <n v="0"/>
    <s v="NO"/>
    <n v="1"/>
    <x v="0"/>
    <n v="0"/>
    <s v="NO"/>
    <n v="120"/>
    <n v="80"/>
    <n v="12"/>
    <n v="9"/>
    <n v="17"/>
    <n v="19"/>
    <n v="8"/>
    <x v="1"/>
    <n v="21"/>
    <n v="36"/>
    <n v="110.66666666666667"/>
    <x v="2"/>
    <x v="1"/>
    <x v="0"/>
  </r>
  <r>
    <n v="374"/>
    <n v="374"/>
    <n v="0"/>
    <x v="0"/>
    <n v="28"/>
    <n v="42"/>
    <n v="163"/>
    <n v="13"/>
    <n v="70"/>
    <n v="18"/>
    <n v="12"/>
    <n v="2"/>
    <n v="5"/>
    <n v="7"/>
    <n v="1"/>
    <s v="YES"/>
    <n v="0"/>
    <n v="347.98"/>
    <x v="0"/>
    <n v="2.59"/>
    <n v="0.63"/>
    <n v="4.1111111111111107"/>
    <x v="0"/>
    <n v="35"/>
    <n v="30"/>
    <n v="0.86"/>
    <n v="5.74"/>
    <n v="5.8"/>
    <n v="33.04"/>
    <n v="39.299999999999997"/>
    <x v="1"/>
    <n v="0.39500000000000002"/>
    <n v="84"/>
    <n v="0"/>
    <x v="0"/>
    <n v="0"/>
    <s v="NO"/>
    <n v="0"/>
    <s v="NO"/>
    <n v="1"/>
    <s v="YES"/>
    <n v="1"/>
    <s v="YES"/>
    <n v="0"/>
    <x v="1"/>
    <n v="0"/>
    <s v="NO"/>
    <n v="120"/>
    <n v="70"/>
    <n v="8"/>
    <n v="7"/>
    <n v="15"/>
    <n v="15"/>
    <n v="11"/>
    <x v="2"/>
    <n v="15"/>
    <n v="30"/>
    <n v="96"/>
    <x v="1"/>
    <x v="1"/>
    <x v="0"/>
  </r>
  <r>
    <n v="375"/>
    <n v="375"/>
    <n v="0"/>
    <x v="0"/>
    <n v="32"/>
    <n v="65"/>
    <n v="161"/>
    <n v="11"/>
    <n v="74"/>
    <n v="20"/>
    <n v="10.199999999999999"/>
    <n v="2"/>
    <n v="6"/>
    <n v="11"/>
    <n v="1"/>
    <s v="YES"/>
    <n v="0"/>
    <n v="6.19"/>
    <x v="157"/>
    <n v="2.17"/>
    <n v="2.02"/>
    <n v="1.0742574257425743"/>
    <x v="1"/>
    <n v="38"/>
    <n v="34"/>
    <n v="0.89"/>
    <n v="4.78"/>
    <n v="0.2"/>
    <n v="99.93"/>
    <n v="17.3"/>
    <x v="0"/>
    <n v="0.25"/>
    <n v="115"/>
    <n v="1"/>
    <x v="1"/>
    <n v="0"/>
    <s v="NO"/>
    <n v="0"/>
    <s v="NO"/>
    <n v="0"/>
    <s v="NO"/>
    <n v="1"/>
    <s v="YES"/>
    <n v="1"/>
    <x v="0"/>
    <n v="0"/>
    <s v="NO"/>
    <n v="110"/>
    <n v="70"/>
    <n v="1"/>
    <n v="2"/>
    <n v="13"/>
    <n v="14"/>
    <n v="7.5"/>
    <x v="1"/>
    <n v="3"/>
    <n v="27"/>
    <n v="93.666666666666671"/>
    <x v="0"/>
    <x v="2"/>
    <x v="0"/>
  </r>
  <r>
    <n v="376"/>
    <n v="376"/>
    <n v="1"/>
    <x v="1"/>
    <n v="27"/>
    <n v="60"/>
    <n v="158"/>
    <n v="14"/>
    <n v="72"/>
    <n v="20"/>
    <n v="11.2"/>
    <n v="2"/>
    <n v="4"/>
    <n v="8"/>
    <n v="1"/>
    <s v="YES"/>
    <n v="0"/>
    <n v="187.79"/>
    <x v="158"/>
    <n v="5.4"/>
    <n v="3.07"/>
    <n v="1.7589576547231272"/>
    <x v="1"/>
    <n v="36"/>
    <n v="32"/>
    <n v="0.89"/>
    <n v="6.75"/>
    <n v="9"/>
    <n v="40.43"/>
    <n v="23.1"/>
    <x v="1"/>
    <n v="0.46"/>
    <n v="100"/>
    <n v="0"/>
    <x v="0"/>
    <n v="1"/>
    <s v="YES"/>
    <n v="0"/>
    <s v="NO"/>
    <n v="0"/>
    <s v="NO"/>
    <n v="1"/>
    <s v="YES"/>
    <n v="0"/>
    <x v="1"/>
    <n v="1"/>
    <s v="YES"/>
    <n v="120"/>
    <n v="80"/>
    <n v="9"/>
    <n v="10"/>
    <n v="14"/>
    <n v="12"/>
    <n v="10.3"/>
    <x v="0"/>
    <n v="19"/>
    <n v="26"/>
    <n v="109.66666666666667"/>
    <x v="1"/>
    <x v="1"/>
    <x v="0"/>
  </r>
  <r>
    <n v="377"/>
    <n v="377"/>
    <n v="0"/>
    <x v="0"/>
    <n v="35"/>
    <n v="60"/>
    <n v="152"/>
    <n v="11"/>
    <n v="72"/>
    <n v="18"/>
    <n v="10"/>
    <n v="2"/>
    <n v="6"/>
    <n v="10"/>
    <n v="1"/>
    <s v="YES"/>
    <n v="0"/>
    <n v="459.63"/>
    <x v="159"/>
    <n v="3.91"/>
    <n v="1.01"/>
    <n v="3.8712871287128712"/>
    <x v="0"/>
    <n v="38"/>
    <n v="35"/>
    <n v="0.92"/>
    <n v="2.4500000000000002"/>
    <n v="1.2"/>
    <n v="8.6"/>
    <n v="20.7"/>
    <x v="1"/>
    <n v="0.3"/>
    <n v="115"/>
    <n v="0"/>
    <x v="0"/>
    <n v="0"/>
    <s v="NO"/>
    <n v="1"/>
    <s v="YES"/>
    <n v="0"/>
    <s v="NO"/>
    <n v="1"/>
    <s v="YES"/>
    <n v="1"/>
    <x v="0"/>
    <n v="0"/>
    <s v="NO"/>
    <n v="120"/>
    <n v="80"/>
    <n v="1"/>
    <n v="2"/>
    <n v="18"/>
    <n v="11"/>
    <n v="9"/>
    <x v="1"/>
    <n v="3"/>
    <n v="29"/>
    <n v="107"/>
    <x v="1"/>
    <x v="1"/>
    <x v="0"/>
  </r>
  <r>
    <n v="378"/>
    <n v="378"/>
    <n v="0"/>
    <x v="0"/>
    <n v="28"/>
    <n v="61"/>
    <n v="152"/>
    <n v="15"/>
    <n v="74"/>
    <n v="22"/>
    <n v="10.5"/>
    <n v="4"/>
    <n v="3"/>
    <n v="3"/>
    <n v="0"/>
    <s v="NO"/>
    <n v="0"/>
    <n v="2"/>
    <x v="160"/>
    <n v="3.3"/>
    <n v="0.59"/>
    <n v="5.593220338983051"/>
    <x v="0"/>
    <n v="39"/>
    <n v="35"/>
    <n v="0.9"/>
    <n v="2.78"/>
    <n v="9.1"/>
    <n v="7.81"/>
    <n v="10.1"/>
    <x v="0"/>
    <n v="0.27"/>
    <n v="92"/>
    <n v="1"/>
    <x v="1"/>
    <n v="0"/>
    <s v="NO"/>
    <n v="0"/>
    <s v="NO"/>
    <n v="0"/>
    <s v="NO"/>
    <n v="1"/>
    <s v="YES"/>
    <n v="1"/>
    <x v="0"/>
    <n v="0"/>
    <s v="NO"/>
    <n v="120"/>
    <n v="80"/>
    <n v="8"/>
    <n v="7"/>
    <n v="19"/>
    <n v="15"/>
    <n v="5.5"/>
    <x v="1"/>
    <n v="15"/>
    <n v="34"/>
    <n v="109.33333333333333"/>
    <x v="2"/>
    <x v="2"/>
    <x v="0"/>
  </r>
  <r>
    <n v="379"/>
    <n v="379"/>
    <n v="0"/>
    <x v="0"/>
    <n v="23"/>
    <n v="50"/>
    <n v="155"/>
    <n v="15"/>
    <n v="72"/>
    <n v="18"/>
    <n v="10.8"/>
    <n v="4"/>
    <n v="6"/>
    <n v="3"/>
    <n v="0"/>
    <s v="NO"/>
    <n v="0"/>
    <n v="2"/>
    <x v="44"/>
    <n v="9.59"/>
    <n v="5.98"/>
    <n v="1.6036789297658862"/>
    <x v="1"/>
    <n v="37"/>
    <n v="34"/>
    <n v="0.92"/>
    <n v="3.63"/>
    <n v="2.9"/>
    <n v="30.85"/>
    <n v="21.1"/>
    <x v="1"/>
    <n v="0.75"/>
    <n v="92"/>
    <n v="0"/>
    <x v="0"/>
    <n v="0"/>
    <s v="NO"/>
    <n v="0"/>
    <s v="NO"/>
    <n v="1"/>
    <s v="YES"/>
    <n v="1"/>
    <s v="YES"/>
    <n v="0"/>
    <x v="1"/>
    <n v="0"/>
    <s v="NO"/>
    <n v="110"/>
    <n v="70"/>
    <n v="3"/>
    <n v="5"/>
    <n v="18"/>
    <n v="18"/>
    <n v="11.2"/>
    <x v="0"/>
    <n v="8"/>
    <n v="36"/>
    <n v="94.333333333333329"/>
    <x v="0"/>
    <x v="1"/>
    <x v="0"/>
  </r>
  <r>
    <n v="380"/>
    <n v="380"/>
    <n v="0"/>
    <x v="0"/>
    <n v="31"/>
    <n v="55.5"/>
    <n v="151"/>
    <n v="15"/>
    <n v="74"/>
    <n v="18"/>
    <n v="11.1"/>
    <n v="2"/>
    <n v="6"/>
    <n v="5"/>
    <n v="1"/>
    <s v="YES"/>
    <n v="0"/>
    <n v="278.32"/>
    <x v="161"/>
    <n v="2.4900000000000002"/>
    <n v="3.39"/>
    <n v="0.73451327433628322"/>
    <x v="1"/>
    <n v="38"/>
    <n v="34"/>
    <n v="0.89"/>
    <n v="1.62"/>
    <n v="3.1"/>
    <n v="24.33"/>
    <n v="24.1"/>
    <x v="1"/>
    <n v="0.25"/>
    <n v="92"/>
    <n v="0"/>
    <x v="0"/>
    <n v="0"/>
    <s v="NO"/>
    <n v="1"/>
    <s v="YES"/>
    <n v="0"/>
    <s v="NO"/>
    <n v="1"/>
    <s v="YES"/>
    <n v="1"/>
    <x v="0"/>
    <n v="0"/>
    <s v="NO"/>
    <n v="110"/>
    <n v="80"/>
    <n v="6"/>
    <n v="7"/>
    <n v="18"/>
    <n v="22"/>
    <n v="9"/>
    <x v="0"/>
    <n v="13"/>
    <n v="40"/>
    <n v="108.66666666666667"/>
    <x v="1"/>
    <x v="1"/>
    <x v="0"/>
  </r>
  <r>
    <n v="381"/>
    <n v="381"/>
    <n v="0"/>
    <x v="0"/>
    <n v="37"/>
    <n v="65"/>
    <n v="161"/>
    <n v="15"/>
    <n v="72"/>
    <n v="20"/>
    <n v="10.3"/>
    <n v="2"/>
    <n v="5"/>
    <n v="6"/>
    <n v="0"/>
    <s v="NO"/>
    <n v="0"/>
    <n v="1.99"/>
    <x v="0"/>
    <n v="6.46"/>
    <n v="1.43"/>
    <n v="4.5174825174825175"/>
    <x v="0"/>
    <n v="38"/>
    <n v="34"/>
    <n v="0.89"/>
    <n v="1.44"/>
    <n v="5.6"/>
    <n v="19.32"/>
    <n v="24.1"/>
    <x v="1"/>
    <n v="0.25"/>
    <n v="82"/>
    <n v="1"/>
    <x v="1"/>
    <n v="0"/>
    <s v="NO"/>
    <n v="0"/>
    <s v="NO"/>
    <n v="0"/>
    <s v="NO"/>
    <n v="1"/>
    <s v="YES"/>
    <n v="1"/>
    <x v="0"/>
    <n v="0"/>
    <s v="NO"/>
    <n v="120"/>
    <n v="80"/>
    <n v="6"/>
    <n v="6"/>
    <n v="12"/>
    <n v="15"/>
    <n v="10"/>
    <x v="1"/>
    <n v="12"/>
    <n v="27"/>
    <n v="108.66666666666667"/>
    <x v="1"/>
    <x v="2"/>
    <x v="0"/>
  </r>
  <r>
    <n v="382"/>
    <n v="382"/>
    <n v="0"/>
    <x v="0"/>
    <n v="35"/>
    <n v="60"/>
    <n v="146"/>
    <n v="15"/>
    <n v="82"/>
    <n v="20"/>
    <n v="10"/>
    <n v="4"/>
    <n v="3"/>
    <n v="10"/>
    <n v="0"/>
    <s v="NO"/>
    <n v="0"/>
    <n v="1.99"/>
    <x v="0"/>
    <n v="2.75"/>
    <n v="2.78"/>
    <n v="0.98920863309352525"/>
    <x v="1"/>
    <n v="37"/>
    <n v="35"/>
    <n v="0.95"/>
    <n v="1.57"/>
    <n v="7.9"/>
    <n v="15.38"/>
    <n v="21.7"/>
    <x v="1"/>
    <n v="0.25"/>
    <n v="110"/>
    <n v="1"/>
    <x v="1"/>
    <n v="0"/>
    <s v="NO"/>
    <n v="0"/>
    <s v="NO"/>
    <n v="1"/>
    <s v="YES"/>
    <n v="0"/>
    <s v="NO"/>
    <n v="1"/>
    <x v="0"/>
    <n v="0"/>
    <s v="NO"/>
    <n v="120"/>
    <n v="80"/>
    <n v="5"/>
    <n v="5"/>
    <n v="13"/>
    <n v="15"/>
    <n v="6.5"/>
    <x v="1"/>
    <n v="10"/>
    <n v="28"/>
    <n v="108.33333333333333"/>
    <x v="1"/>
    <x v="2"/>
    <x v="0"/>
  </r>
  <r>
    <n v="383"/>
    <n v="383"/>
    <n v="0"/>
    <x v="0"/>
    <n v="29"/>
    <n v="46"/>
    <n v="150"/>
    <n v="11"/>
    <n v="72"/>
    <n v="20"/>
    <n v="10.8"/>
    <n v="2"/>
    <n v="6"/>
    <n v="6"/>
    <n v="1"/>
    <s v="YES"/>
    <n v="1"/>
    <n v="10.84"/>
    <x v="162"/>
    <n v="5.08"/>
    <n v="1.06"/>
    <n v="4.7924528301886795"/>
    <x v="0"/>
    <n v="34"/>
    <n v="33"/>
    <n v="0.97"/>
    <n v="2.66"/>
    <n v="18.899999999999999"/>
    <n v="52.31"/>
    <n v="40.299999999999997"/>
    <x v="1"/>
    <n v="0.28999999999999998"/>
    <n v="110"/>
    <n v="0"/>
    <x v="0"/>
    <n v="0"/>
    <s v="NO"/>
    <n v="0"/>
    <s v="NO"/>
    <n v="1"/>
    <s v="YES"/>
    <n v="1"/>
    <s v="YES"/>
    <n v="1"/>
    <x v="0"/>
    <n v="0"/>
    <s v="NO"/>
    <n v="120"/>
    <n v="80"/>
    <n v="8"/>
    <n v="5"/>
    <n v="16"/>
    <n v="12"/>
    <n v="7"/>
    <x v="0"/>
    <n v="13"/>
    <n v="28"/>
    <n v="109.33333333333333"/>
    <x v="1"/>
    <x v="1"/>
    <x v="0"/>
  </r>
  <r>
    <n v="384"/>
    <n v="384"/>
    <n v="0"/>
    <x v="0"/>
    <n v="32"/>
    <n v="60.5"/>
    <n v="158"/>
    <n v="13"/>
    <n v="72"/>
    <n v="18"/>
    <n v="11"/>
    <n v="2"/>
    <n v="6"/>
    <n v="9"/>
    <n v="0"/>
    <s v="NO"/>
    <n v="2"/>
    <n v="1.99"/>
    <x v="0"/>
    <n v="4.6100000000000003"/>
    <n v="1.52"/>
    <n v="3.0328947368421053"/>
    <x v="0"/>
    <n v="38"/>
    <n v="34"/>
    <n v="0.89"/>
    <n v="1.4"/>
    <n v="11.4"/>
    <n v="25.54"/>
    <n v="20.100000000000001"/>
    <x v="1"/>
    <n v="0.25"/>
    <n v="100"/>
    <n v="1"/>
    <x v="1"/>
    <n v="0"/>
    <s v="NO"/>
    <n v="0"/>
    <s v="NO"/>
    <n v="0"/>
    <s v="NO"/>
    <n v="1"/>
    <s v="YES"/>
    <n v="0"/>
    <x v="1"/>
    <n v="1"/>
    <s v="YES"/>
    <n v="120"/>
    <n v="80"/>
    <n v="2"/>
    <n v="3"/>
    <n v="18"/>
    <n v="20"/>
    <n v="8"/>
    <x v="0"/>
    <n v="5"/>
    <n v="38"/>
    <n v="107.33333333333333"/>
    <x v="0"/>
    <x v="2"/>
    <x v="0"/>
  </r>
  <r>
    <n v="385"/>
    <n v="385"/>
    <n v="0"/>
    <x v="0"/>
    <n v="37"/>
    <n v="50"/>
    <n v="148"/>
    <n v="15"/>
    <n v="72"/>
    <n v="18"/>
    <n v="10.199999999999999"/>
    <n v="2"/>
    <n v="7"/>
    <n v="5"/>
    <n v="1"/>
    <s v="YES"/>
    <n v="0"/>
    <n v="184.42"/>
    <x v="163"/>
    <n v="4.41"/>
    <n v="1.43"/>
    <n v="3.0839160839160842"/>
    <x v="0"/>
    <n v="37"/>
    <n v="33"/>
    <n v="0.89"/>
    <n v="2.73"/>
    <n v="3.8"/>
    <n v="18.93"/>
    <n v="19.5"/>
    <x v="0"/>
    <n v="0.44"/>
    <n v="100"/>
    <n v="0"/>
    <x v="0"/>
    <n v="0"/>
    <s v="NO"/>
    <n v="0"/>
    <s v="NO"/>
    <n v="1"/>
    <s v="YES"/>
    <n v="0"/>
    <s v="NO"/>
    <n v="1"/>
    <x v="0"/>
    <n v="0"/>
    <s v="NO"/>
    <n v="110"/>
    <n v="80"/>
    <n v="5"/>
    <n v="3"/>
    <n v="15"/>
    <n v="17"/>
    <n v="7.5"/>
    <x v="0"/>
    <n v="8"/>
    <n v="32"/>
    <n v="108.33333333333333"/>
    <x v="0"/>
    <x v="2"/>
    <x v="0"/>
  </r>
  <r>
    <n v="386"/>
    <n v="386"/>
    <n v="0"/>
    <x v="0"/>
    <n v="41"/>
    <n v="76.900000000000006"/>
    <n v="165"/>
    <n v="15"/>
    <n v="72"/>
    <n v="18"/>
    <n v="11"/>
    <n v="4"/>
    <n v="3"/>
    <n v="14"/>
    <n v="0"/>
    <s v="NO"/>
    <n v="0"/>
    <n v="4.2"/>
    <x v="164"/>
    <n v="6.52"/>
    <n v="6.65"/>
    <n v="0.9804511278195488"/>
    <x v="1"/>
    <n v="42"/>
    <n v="38"/>
    <n v="0.9"/>
    <n v="0.57999999999999996"/>
    <n v="4.5"/>
    <n v="19.809999999999999"/>
    <n v="18.600000000000001"/>
    <x v="0"/>
    <n v="0.48"/>
    <n v="100"/>
    <n v="1"/>
    <x v="1"/>
    <n v="0"/>
    <s v="NO"/>
    <n v="1"/>
    <s v="YES"/>
    <n v="1"/>
    <s v="YES"/>
    <n v="0"/>
    <s v="NO"/>
    <n v="1"/>
    <x v="0"/>
    <n v="0"/>
    <s v="NO"/>
    <n v="130"/>
    <n v="80"/>
    <n v="4"/>
    <n v="2"/>
    <n v="14"/>
    <n v="11"/>
    <n v="7"/>
    <x v="1"/>
    <n v="6"/>
    <n v="25"/>
    <n v="108"/>
    <x v="1"/>
    <x v="1"/>
    <x v="0"/>
  </r>
  <r>
    <n v="387"/>
    <n v="387"/>
    <n v="0"/>
    <x v="0"/>
    <n v="40"/>
    <n v="63"/>
    <n v="171"/>
    <n v="15"/>
    <n v="72"/>
    <n v="18"/>
    <n v="11"/>
    <n v="2"/>
    <n v="6"/>
    <n v="17"/>
    <n v="0"/>
    <s v="NO"/>
    <n v="0"/>
    <n v="1.99"/>
    <x v="0"/>
    <n v="1.94"/>
    <n v="0.49"/>
    <n v="3.9591836734693877"/>
    <x v="0"/>
    <n v="38"/>
    <n v="34"/>
    <n v="0.89"/>
    <n v="5"/>
    <n v="2"/>
    <n v="42.66"/>
    <n v="20.8"/>
    <x v="1"/>
    <n v="0.79"/>
    <n v="138"/>
    <n v="0"/>
    <x v="0"/>
    <n v="0"/>
    <s v="NO"/>
    <n v="1"/>
    <s v="YES"/>
    <n v="0"/>
    <s v="NO"/>
    <n v="0"/>
    <s v="NO"/>
    <n v="1"/>
    <x v="0"/>
    <n v="0"/>
    <s v="NO"/>
    <n v="110"/>
    <n v="70"/>
    <n v="3"/>
    <n v="1"/>
    <n v="11"/>
    <n v="12"/>
    <n v="8.3000000000000007"/>
    <x v="0"/>
    <n v="4"/>
    <n v="23"/>
    <n v="94.333333333333329"/>
    <x v="1"/>
    <x v="2"/>
    <x v="0"/>
  </r>
  <r>
    <n v="388"/>
    <n v="388"/>
    <n v="1"/>
    <x v="1"/>
    <n v="24"/>
    <n v="60"/>
    <n v="152"/>
    <n v="11"/>
    <n v="74"/>
    <n v="16"/>
    <n v="11"/>
    <n v="2"/>
    <n v="5"/>
    <n v="8"/>
    <n v="1"/>
    <s v="YES"/>
    <n v="0"/>
    <n v="305.76"/>
    <x v="0"/>
    <n v="5.97"/>
    <n v="2.73"/>
    <n v="2.1868131868131866"/>
    <x v="0"/>
    <n v="38"/>
    <n v="32"/>
    <n v="0.84"/>
    <n v="3.3"/>
    <n v="4.5"/>
    <n v="27.96"/>
    <n v="19.3"/>
    <x v="0"/>
    <n v="0.25"/>
    <n v="125"/>
    <n v="1"/>
    <x v="1"/>
    <n v="0"/>
    <s v="NO"/>
    <n v="1"/>
    <s v="YES"/>
    <n v="1"/>
    <s v="YES"/>
    <n v="1"/>
    <s v="YES"/>
    <n v="1"/>
    <x v="0"/>
    <n v="0"/>
    <s v="NO"/>
    <n v="110"/>
    <n v="70"/>
    <n v="16"/>
    <n v="14"/>
    <n v="12"/>
    <n v="15"/>
    <n v="7.5"/>
    <x v="1"/>
    <n v="30"/>
    <n v="27"/>
    <n v="98.666666666666671"/>
    <x v="1"/>
    <x v="4"/>
    <x v="0"/>
  </r>
  <r>
    <n v="389"/>
    <n v="389"/>
    <n v="0"/>
    <x v="0"/>
    <n v="31"/>
    <n v="55.5"/>
    <n v="151"/>
    <n v="15"/>
    <n v="74"/>
    <n v="18"/>
    <n v="11.1"/>
    <n v="2"/>
    <n v="5"/>
    <n v="5"/>
    <n v="1"/>
    <s v="YES"/>
    <n v="0"/>
    <n v="278.32"/>
    <x v="165"/>
    <n v="2.4900000000000002"/>
    <n v="3.39"/>
    <n v="0.73451327433628322"/>
    <x v="1"/>
    <n v="37"/>
    <n v="34"/>
    <n v="0.92"/>
    <n v="1.62"/>
    <n v="3.1"/>
    <n v="24.33"/>
    <n v="24.1"/>
    <x v="1"/>
    <n v="0.25"/>
    <n v="92"/>
    <n v="0"/>
    <x v="0"/>
    <n v="0"/>
    <s v="NO"/>
    <n v="0"/>
    <s v="NO"/>
    <n v="0"/>
    <s v="NO"/>
    <n v="1"/>
    <s v="YES"/>
    <n v="1"/>
    <x v="0"/>
    <n v="1"/>
    <s v="YES"/>
    <n v="110"/>
    <n v="80"/>
    <n v="6"/>
    <n v="7"/>
    <n v="18"/>
    <n v="12"/>
    <n v="9"/>
    <x v="0"/>
    <n v="13"/>
    <n v="30"/>
    <n v="108.66666666666667"/>
    <x v="1"/>
    <x v="2"/>
    <x v="0"/>
  </r>
  <r>
    <n v="390"/>
    <n v="390"/>
    <n v="0"/>
    <x v="0"/>
    <n v="23"/>
    <n v="50"/>
    <n v="155"/>
    <n v="15"/>
    <n v="72"/>
    <n v="18"/>
    <n v="10.8"/>
    <n v="4"/>
    <n v="2"/>
    <n v="3"/>
    <n v="0"/>
    <s v="NO"/>
    <n v="0"/>
    <n v="2"/>
    <x v="44"/>
    <n v="9.59"/>
    <n v="5.98"/>
    <n v="1.6036789297658862"/>
    <x v="1"/>
    <n v="36"/>
    <n v="32"/>
    <n v="0.89"/>
    <n v="3.63"/>
    <n v="2.9"/>
    <n v="30.85"/>
    <n v="21.1"/>
    <x v="1"/>
    <n v="0.75"/>
    <n v="92"/>
    <n v="0"/>
    <x v="0"/>
    <n v="0"/>
    <s v="NO"/>
    <n v="0"/>
    <s v="NO"/>
    <n v="1"/>
    <s v="YES"/>
    <n v="0"/>
    <s v="NO"/>
    <n v="0"/>
    <x v="1"/>
    <n v="1"/>
    <s v="YES"/>
    <n v="110"/>
    <n v="70"/>
    <n v="3"/>
    <n v="5"/>
    <n v="15"/>
    <n v="12"/>
    <n v="11.2"/>
    <x v="0"/>
    <n v="8"/>
    <n v="27"/>
    <n v="94.333333333333329"/>
    <x v="0"/>
    <x v="2"/>
    <x v="0"/>
  </r>
  <r>
    <n v="391"/>
    <n v="391"/>
    <n v="1"/>
    <x v="1"/>
    <n v="28"/>
    <n v="61"/>
    <n v="152"/>
    <n v="15"/>
    <n v="74"/>
    <n v="20"/>
    <n v="10.5"/>
    <n v="4"/>
    <n v="2"/>
    <n v="3"/>
    <n v="0"/>
    <s v="NO"/>
    <n v="0"/>
    <n v="2"/>
    <x v="160"/>
    <n v="3.3"/>
    <n v="0.59"/>
    <n v="5.593220338983051"/>
    <x v="0"/>
    <n v="38"/>
    <n v="35"/>
    <n v="0.92"/>
    <n v="2.78"/>
    <n v="9.1"/>
    <n v="7.81"/>
    <n v="10.1"/>
    <x v="0"/>
    <n v="0.27"/>
    <n v="92"/>
    <n v="1"/>
    <x v="1"/>
    <n v="0"/>
    <s v="NO"/>
    <n v="0"/>
    <s v="NO"/>
    <n v="1"/>
    <s v="YES"/>
    <n v="1"/>
    <s v="YES"/>
    <n v="1"/>
    <x v="0"/>
    <n v="0"/>
    <s v="NO"/>
    <n v="120"/>
    <n v="80"/>
    <n v="10"/>
    <n v="9"/>
    <n v="19"/>
    <n v="15"/>
    <n v="10"/>
    <x v="1"/>
    <n v="19"/>
    <n v="34"/>
    <n v="110"/>
    <x v="2"/>
    <x v="1"/>
    <x v="0"/>
  </r>
  <r>
    <n v="392"/>
    <n v="392"/>
    <n v="0"/>
    <x v="0"/>
    <n v="35"/>
    <n v="60"/>
    <n v="152"/>
    <n v="11"/>
    <n v="72"/>
    <n v="18"/>
    <n v="10"/>
    <n v="2"/>
    <n v="6"/>
    <n v="10"/>
    <n v="1"/>
    <s v="YES"/>
    <n v="0"/>
    <n v="459.63"/>
    <x v="159"/>
    <n v="3.91"/>
    <n v="1.01"/>
    <n v="3.8712871287128712"/>
    <x v="0"/>
    <n v="39"/>
    <n v="36"/>
    <n v="0.92"/>
    <n v="2.4500000000000002"/>
    <n v="1.2"/>
    <n v="8.6"/>
    <n v="20.7"/>
    <x v="1"/>
    <n v="0.3"/>
    <n v="115"/>
    <n v="1"/>
    <x v="1"/>
    <n v="0"/>
    <s v="NO"/>
    <n v="0"/>
    <s v="NO"/>
    <n v="1"/>
    <s v="YES"/>
    <n v="0"/>
    <s v="NO"/>
    <n v="0"/>
    <x v="1"/>
    <n v="0"/>
    <s v="NO"/>
    <n v="120"/>
    <n v="80"/>
    <n v="1"/>
    <n v="2"/>
    <n v="15"/>
    <n v="11"/>
    <n v="9"/>
    <x v="1"/>
    <n v="3"/>
    <n v="26"/>
    <n v="107"/>
    <x v="0"/>
    <x v="2"/>
    <x v="0"/>
  </r>
  <r>
    <n v="393"/>
    <n v="393"/>
    <n v="1"/>
    <x v="1"/>
    <n v="27"/>
    <n v="45"/>
    <n v="158"/>
    <n v="14"/>
    <n v="72"/>
    <n v="20"/>
    <n v="11.2"/>
    <n v="2"/>
    <n v="5"/>
    <n v="8"/>
    <n v="1"/>
    <s v="YES"/>
    <n v="0"/>
    <n v="187.79"/>
    <x v="158"/>
    <n v="5.4"/>
    <n v="3.07"/>
    <n v="1.7589576547231272"/>
    <x v="1"/>
    <n v="36"/>
    <n v="32"/>
    <n v="0.89"/>
    <n v="6.75"/>
    <n v="9"/>
    <n v="40.43"/>
    <n v="23.1"/>
    <x v="1"/>
    <n v="0.46"/>
    <n v="100"/>
    <n v="0"/>
    <x v="0"/>
    <n v="0"/>
    <s v="NO"/>
    <n v="1"/>
    <s v="YES"/>
    <n v="0"/>
    <s v="NO"/>
    <n v="0"/>
    <s v="NO"/>
    <n v="1"/>
    <x v="0"/>
    <n v="1"/>
    <s v="YES"/>
    <n v="120"/>
    <n v="80"/>
    <n v="10"/>
    <n v="11"/>
    <n v="15"/>
    <n v="13"/>
    <n v="10.3"/>
    <x v="2"/>
    <n v="21"/>
    <n v="28"/>
    <n v="110"/>
    <x v="1"/>
    <x v="2"/>
    <x v="0"/>
  </r>
  <r>
    <n v="394"/>
    <n v="394"/>
    <n v="0"/>
    <x v="0"/>
    <n v="32"/>
    <n v="65"/>
    <n v="161"/>
    <n v="11"/>
    <n v="74"/>
    <n v="20"/>
    <n v="10.199999999999999"/>
    <n v="2"/>
    <n v="5"/>
    <n v="11"/>
    <n v="1"/>
    <s v="YES"/>
    <n v="0"/>
    <n v="6.19"/>
    <x v="157"/>
    <n v="2.17"/>
    <n v="2.02"/>
    <n v="1.0742574257425743"/>
    <x v="1"/>
    <n v="38"/>
    <n v="35"/>
    <n v="0.92"/>
    <n v="4.78"/>
    <n v="0.2"/>
    <n v="99.93"/>
    <n v="17.3"/>
    <x v="0"/>
    <n v="0.25"/>
    <n v="115"/>
    <n v="1"/>
    <x v="1"/>
    <n v="0"/>
    <s v="NO"/>
    <n v="0"/>
    <s v="NO"/>
    <n v="0"/>
    <s v="NO"/>
    <n v="0"/>
    <s v="NO"/>
    <n v="1"/>
    <x v="0"/>
    <n v="0"/>
    <s v="NO"/>
    <n v="110"/>
    <n v="70"/>
    <n v="1"/>
    <n v="2"/>
    <n v="13"/>
    <n v="15"/>
    <n v="7.5"/>
    <x v="1"/>
    <n v="3"/>
    <n v="28"/>
    <n v="93.666666666666671"/>
    <x v="0"/>
    <x v="0"/>
    <x v="0"/>
  </r>
  <r>
    <n v="395"/>
    <n v="395"/>
    <n v="0"/>
    <x v="0"/>
    <n v="28"/>
    <n v="42"/>
    <n v="163"/>
    <n v="13"/>
    <n v="70"/>
    <n v="18"/>
    <n v="12"/>
    <n v="2"/>
    <n v="6"/>
    <n v="7"/>
    <n v="1"/>
    <s v="YES"/>
    <n v="0"/>
    <n v="347.98"/>
    <x v="0"/>
    <n v="2.59"/>
    <n v="0.63"/>
    <n v="4.1111111111111107"/>
    <x v="0"/>
    <n v="35"/>
    <n v="30"/>
    <n v="0.86"/>
    <n v="5.74"/>
    <n v="5.8"/>
    <n v="33.04"/>
    <n v="39.299999999999997"/>
    <x v="1"/>
    <n v="0.39500000000000002"/>
    <n v="84"/>
    <n v="0"/>
    <x v="0"/>
    <n v="0"/>
    <s v="NO"/>
    <n v="1"/>
    <s v="YES"/>
    <n v="0"/>
    <s v="NO"/>
    <n v="1"/>
    <s v="YES"/>
    <n v="1"/>
    <x v="0"/>
    <n v="0"/>
    <s v="NO"/>
    <n v="120"/>
    <n v="70"/>
    <n v="8"/>
    <n v="7"/>
    <n v="16"/>
    <n v="15"/>
    <n v="11"/>
    <x v="2"/>
    <n v="15"/>
    <n v="31"/>
    <n v="96"/>
    <x v="1"/>
    <x v="1"/>
    <x v="0"/>
  </r>
  <r>
    <n v="396"/>
    <n v="396"/>
    <n v="1"/>
    <x v="1"/>
    <n v="29"/>
    <n v="74"/>
    <n v="159"/>
    <n v="11"/>
    <n v="72"/>
    <n v="20"/>
    <n v="10.8"/>
    <n v="4"/>
    <n v="3"/>
    <n v="3"/>
    <n v="1"/>
    <s v="YES"/>
    <n v="0"/>
    <n v="346.59"/>
    <x v="156"/>
    <n v="5.76"/>
    <n v="6.42"/>
    <n v="0.89719626168224298"/>
    <x v="1"/>
    <n v="42"/>
    <n v="38"/>
    <n v="0.9"/>
    <n v="0.95"/>
    <n v="6"/>
    <n v="45.54"/>
    <n v="36.200000000000003"/>
    <x v="1"/>
    <n v="0.32"/>
    <n v="92"/>
    <n v="1"/>
    <x v="1"/>
    <n v="0"/>
    <s v="NO"/>
    <n v="1"/>
    <s v="YES"/>
    <n v="1"/>
    <s v="YES"/>
    <n v="1"/>
    <s v="YES"/>
    <n v="1"/>
    <x v="0"/>
    <n v="0"/>
    <s v="NO"/>
    <n v="120"/>
    <n v="80"/>
    <n v="10"/>
    <n v="9"/>
    <n v="15"/>
    <n v="14"/>
    <n v="8"/>
    <x v="1"/>
    <n v="19"/>
    <n v="29"/>
    <n v="110"/>
    <x v="2"/>
    <x v="4"/>
    <x v="0"/>
  </r>
  <r>
    <n v="397"/>
    <n v="397"/>
    <n v="0"/>
    <x v="0"/>
    <n v="31"/>
    <n v="68"/>
    <n v="161"/>
    <n v="15"/>
    <n v="72"/>
    <n v="18"/>
    <n v="12.8"/>
    <n v="2"/>
    <n v="6"/>
    <n v="6"/>
    <n v="1"/>
    <s v="YES"/>
    <n v="0"/>
    <n v="96.22"/>
    <x v="155"/>
    <n v="1.58"/>
    <n v="0.24"/>
    <n v="6.5833333333333339"/>
    <x v="0"/>
    <n v="40"/>
    <n v="37"/>
    <n v="0.93"/>
    <n v="6.91"/>
    <n v="5.0999999999999996"/>
    <n v="15.85"/>
    <n v="25.6"/>
    <x v="1"/>
    <n v="0.5"/>
    <n v="87"/>
    <n v="1"/>
    <x v="1"/>
    <n v="0"/>
    <s v="NO"/>
    <n v="0"/>
    <s v="NO"/>
    <n v="1"/>
    <s v="YES"/>
    <n v="1"/>
    <s v="YES"/>
    <n v="0"/>
    <x v="1"/>
    <n v="0"/>
    <s v="NO"/>
    <n v="110"/>
    <n v="80"/>
    <n v="4"/>
    <n v="9"/>
    <n v="12"/>
    <n v="15"/>
    <n v="7"/>
    <x v="1"/>
    <n v="13"/>
    <n v="27"/>
    <n v="108"/>
    <x v="1"/>
    <x v="1"/>
    <x v="0"/>
  </r>
  <r>
    <n v="398"/>
    <n v="398"/>
    <n v="0"/>
    <x v="0"/>
    <n v="35"/>
    <n v="60"/>
    <n v="152"/>
    <n v="15"/>
    <n v="74"/>
    <n v="18"/>
    <n v="10"/>
    <n v="2"/>
    <n v="6"/>
    <n v="3"/>
    <n v="1"/>
    <s v="YES"/>
    <n v="0"/>
    <n v="116.31"/>
    <x v="153"/>
    <n v="6.52"/>
    <n v="3.42"/>
    <n v="1.9064327485380117"/>
    <x v="1"/>
    <n v="38"/>
    <n v="34"/>
    <n v="0.89"/>
    <n v="0.77"/>
    <n v="2.5"/>
    <n v="40.729999999999997"/>
    <n v="20"/>
    <x v="1"/>
    <n v="0.3"/>
    <n v="92"/>
    <n v="1"/>
    <x v="1"/>
    <n v="0"/>
    <s v="NO"/>
    <n v="0"/>
    <s v="NO"/>
    <n v="0"/>
    <s v="NO"/>
    <n v="1"/>
    <s v="YES"/>
    <n v="0"/>
    <x v="1"/>
    <n v="1"/>
    <s v="YES"/>
    <n v="110"/>
    <n v="80"/>
    <n v="3"/>
    <n v="4"/>
    <n v="12"/>
    <n v="11"/>
    <n v="8"/>
    <x v="1"/>
    <n v="7"/>
    <n v="23"/>
    <n v="107.66666666666667"/>
    <x v="0"/>
    <x v="2"/>
    <x v="0"/>
  </r>
  <r>
    <n v="399"/>
    <n v="399"/>
    <n v="1"/>
    <x v="1"/>
    <n v="36"/>
    <n v="60"/>
    <n v="154"/>
    <n v="11"/>
    <n v="72"/>
    <n v="18"/>
    <n v="11.2"/>
    <n v="2"/>
    <n v="4"/>
    <n v="5"/>
    <n v="1"/>
    <s v="YES"/>
    <n v="1"/>
    <n v="232.64"/>
    <x v="166"/>
    <n v="3.72"/>
    <n v="1.6"/>
    <n v="2.3250000000000002"/>
    <x v="0"/>
    <n v="38"/>
    <n v="35"/>
    <n v="0.92"/>
    <n v="1.6"/>
    <n v="1.6"/>
    <n v="18.350000000000001"/>
    <n v="24.6"/>
    <x v="1"/>
    <n v="0.48"/>
    <n v="92"/>
    <n v="1"/>
    <x v="1"/>
    <n v="1"/>
    <s v="YES"/>
    <n v="0"/>
    <s v="NO"/>
    <n v="0"/>
    <s v="NO"/>
    <n v="1"/>
    <s v="YES"/>
    <n v="1"/>
    <x v="0"/>
    <n v="0"/>
    <s v="NO"/>
    <n v="110"/>
    <n v="80"/>
    <n v="6"/>
    <n v="9"/>
    <n v="19"/>
    <n v="17"/>
    <n v="5.8"/>
    <x v="1"/>
    <n v="15"/>
    <n v="36"/>
    <n v="108.66666666666667"/>
    <x v="1"/>
    <x v="1"/>
    <x v="0"/>
  </r>
  <r>
    <n v="400"/>
    <n v="400"/>
    <n v="0"/>
    <x v="0"/>
    <n v="30"/>
    <n v="67"/>
    <n v="165"/>
    <n v="13"/>
    <n v="80"/>
    <n v="20"/>
    <n v="10"/>
    <n v="2"/>
    <n v="6"/>
    <n v="5"/>
    <n v="1"/>
    <s v="YES"/>
    <n v="0"/>
    <n v="167.41"/>
    <x v="167"/>
    <n v="5.73"/>
    <n v="2.42"/>
    <n v="2.3677685950413228"/>
    <x v="0"/>
    <n v="39"/>
    <n v="35"/>
    <n v="0.9"/>
    <n v="2.31"/>
    <n v="1.9"/>
    <n v="25.13"/>
    <n v="12.4"/>
    <x v="0"/>
    <n v="0.57999999999999996"/>
    <n v="100"/>
    <n v="0"/>
    <x v="0"/>
    <n v="0"/>
    <s v="NO"/>
    <n v="0"/>
    <s v="NO"/>
    <n v="1"/>
    <s v="YES"/>
    <n v="0"/>
    <s v="NO"/>
    <n v="1"/>
    <x v="0"/>
    <n v="0"/>
    <s v="NO"/>
    <n v="120"/>
    <n v="70"/>
    <n v="3"/>
    <n v="3"/>
    <n v="18"/>
    <n v="19"/>
    <n v="9.6"/>
    <x v="0"/>
    <n v="6"/>
    <n v="37"/>
    <n v="94.333333333333329"/>
    <x v="0"/>
    <x v="2"/>
    <x v="0"/>
  </r>
  <r>
    <n v="401"/>
    <n v="401"/>
    <n v="0"/>
    <x v="0"/>
    <n v="27"/>
    <n v="58"/>
    <n v="161"/>
    <n v="13"/>
    <n v="74"/>
    <n v="18"/>
    <n v="10.5"/>
    <n v="2"/>
    <n v="5"/>
    <n v="8"/>
    <n v="0"/>
    <s v="NO"/>
    <n v="0"/>
    <n v="1.99"/>
    <x v="0"/>
    <n v="2.1"/>
    <n v="1.08"/>
    <n v="1.9444444444444444"/>
    <x v="1"/>
    <n v="37"/>
    <n v="34"/>
    <n v="0.92"/>
    <n v="3.4"/>
    <n v="1.1399999999999999"/>
    <n v="10.76"/>
    <n v="25.4"/>
    <x v="1"/>
    <n v="0.25"/>
    <n v="100"/>
    <n v="0"/>
    <x v="0"/>
    <n v="0"/>
    <s v="NO"/>
    <n v="0"/>
    <s v="NO"/>
    <n v="1"/>
    <s v="YES"/>
    <n v="1"/>
    <s v="YES"/>
    <n v="0"/>
    <x v="1"/>
    <n v="0"/>
    <s v="NO"/>
    <n v="120"/>
    <n v="70"/>
    <n v="4"/>
    <n v="4"/>
    <n v="14"/>
    <n v="16"/>
    <n v="7"/>
    <x v="0"/>
    <n v="8"/>
    <n v="30"/>
    <n v="94.666666666666671"/>
    <x v="0"/>
    <x v="1"/>
    <x v="0"/>
  </r>
  <r>
    <n v="402"/>
    <n v="402"/>
    <n v="0"/>
    <x v="0"/>
    <n v="28"/>
    <n v="65.599999999999994"/>
    <n v="159"/>
    <n v="11"/>
    <n v="72"/>
    <n v="20"/>
    <n v="10.5"/>
    <n v="2"/>
    <n v="6"/>
    <n v="5"/>
    <n v="0"/>
    <s v="NO"/>
    <n v="0"/>
    <n v="2"/>
    <x v="44"/>
    <n v="4.4400000000000004"/>
    <n v="1.03"/>
    <n v="4.3106796116504853"/>
    <x v="0"/>
    <n v="39"/>
    <n v="36"/>
    <n v="0.92"/>
    <n v="3.67"/>
    <n v="5.7"/>
    <n v="23.65"/>
    <n v="15.5"/>
    <x v="0"/>
    <n v="0.57999999999999996"/>
    <n v="130"/>
    <n v="1"/>
    <x v="1"/>
    <n v="0"/>
    <s v="NO"/>
    <n v="0"/>
    <s v="NO"/>
    <n v="1"/>
    <s v="YES"/>
    <n v="0"/>
    <s v="NO"/>
    <n v="1"/>
    <x v="0"/>
    <n v="0"/>
    <s v="NO"/>
    <n v="120"/>
    <n v="80"/>
    <n v="5"/>
    <n v="5"/>
    <n v="14"/>
    <n v="16"/>
    <n v="8"/>
    <x v="1"/>
    <n v="10"/>
    <n v="30"/>
    <n v="108.33333333333333"/>
    <x v="1"/>
    <x v="2"/>
    <x v="0"/>
  </r>
  <r>
    <n v="403"/>
    <n v="403"/>
    <n v="1"/>
    <x v="1"/>
    <n v="28"/>
    <n v="65"/>
    <n v="158"/>
    <n v="11"/>
    <n v="74"/>
    <n v="20"/>
    <n v="10.5"/>
    <n v="4"/>
    <n v="3"/>
    <n v="4.5"/>
    <n v="1"/>
    <s v="YES"/>
    <n v="0"/>
    <n v="230.53"/>
    <x v="168"/>
    <n v="5.18"/>
    <n v="6.02"/>
    <n v="0.86046511627906974"/>
    <x v="1"/>
    <n v="36"/>
    <n v="32"/>
    <n v="0.89"/>
    <n v="1.57"/>
    <n v="28.6"/>
    <n v="12.62"/>
    <n v="21.2"/>
    <x v="1"/>
    <n v="0.25"/>
    <n v="125"/>
    <n v="1"/>
    <x v="1"/>
    <n v="0"/>
    <s v="NO"/>
    <n v="1"/>
    <s v="YES"/>
    <n v="1"/>
    <s v="YES"/>
    <n v="1"/>
    <s v="YES"/>
    <n v="1"/>
    <x v="0"/>
    <n v="0"/>
    <s v="NO"/>
    <n v="110"/>
    <n v="70"/>
    <n v="11"/>
    <n v="12"/>
    <n v="19"/>
    <n v="17"/>
    <n v="11"/>
    <x v="1"/>
    <n v="23"/>
    <n v="36"/>
    <n v="97"/>
    <x v="2"/>
    <x v="4"/>
    <x v="0"/>
  </r>
  <r>
    <n v="404"/>
    <n v="404"/>
    <n v="1"/>
    <x v="1"/>
    <n v="27"/>
    <n v="64"/>
    <n v="160"/>
    <n v="13"/>
    <n v="78"/>
    <n v="22"/>
    <n v="10.8"/>
    <n v="2"/>
    <n v="5"/>
    <n v="3"/>
    <n v="0"/>
    <s v="NO"/>
    <n v="0"/>
    <n v="2"/>
    <x v="44"/>
    <n v="3.07"/>
    <n v="0.55000000000000004"/>
    <n v="5.5818181818181811"/>
    <x v="0"/>
    <n v="36"/>
    <n v="32"/>
    <n v="0.89"/>
    <n v="2.2799999999999998"/>
    <n v="5.5"/>
    <n v="28.89"/>
    <n v="25.1"/>
    <x v="1"/>
    <n v="0.25"/>
    <n v="80"/>
    <n v="1"/>
    <x v="1"/>
    <n v="0"/>
    <s v="NO"/>
    <n v="1"/>
    <s v="YES"/>
    <n v="1"/>
    <s v="YES"/>
    <n v="0"/>
    <s v="NO"/>
    <n v="1"/>
    <x v="0"/>
    <n v="0"/>
    <s v="NO"/>
    <n v="120"/>
    <n v="80"/>
    <n v="4"/>
    <n v="11"/>
    <n v="18"/>
    <n v="20"/>
    <n v="7"/>
    <x v="1"/>
    <n v="15"/>
    <n v="38"/>
    <n v="108"/>
    <x v="1"/>
    <x v="1"/>
    <x v="0"/>
  </r>
  <r>
    <n v="405"/>
    <n v="405"/>
    <n v="0"/>
    <x v="0"/>
    <n v="26"/>
    <n v="38"/>
    <n v="148"/>
    <n v="15"/>
    <n v="72"/>
    <n v="18"/>
    <n v="10.5"/>
    <n v="2"/>
    <n v="6"/>
    <n v="3"/>
    <n v="1"/>
    <s v="YES"/>
    <n v="0"/>
    <n v="10.4"/>
    <x v="169"/>
    <n v="2.72"/>
    <n v="2.5299999999999998"/>
    <n v="1.0750988142292492"/>
    <x v="1"/>
    <n v="28"/>
    <n v="25"/>
    <n v="0.89"/>
    <n v="1.5"/>
    <n v="3.8"/>
    <n v="42.01"/>
    <n v="47.8"/>
    <x v="1"/>
    <n v="0.46"/>
    <n v="130"/>
    <n v="0"/>
    <x v="0"/>
    <n v="0"/>
    <s v="NO"/>
    <n v="1"/>
    <s v="YES"/>
    <n v="0"/>
    <s v="NO"/>
    <n v="0"/>
    <s v="NO"/>
    <n v="0"/>
    <x v="1"/>
    <n v="0"/>
    <s v="NO"/>
    <n v="120"/>
    <n v="70"/>
    <n v="4"/>
    <n v="5"/>
    <n v="18"/>
    <n v="20"/>
    <n v="9.5"/>
    <x v="2"/>
    <n v="9"/>
    <n v="38"/>
    <n v="94.666666666666671"/>
    <x v="1"/>
    <x v="2"/>
    <x v="0"/>
  </r>
  <r>
    <n v="406"/>
    <n v="406"/>
    <n v="0"/>
    <x v="0"/>
    <n v="33"/>
    <n v="50"/>
    <n v="158"/>
    <n v="15"/>
    <n v="74"/>
    <n v="18"/>
    <n v="10.199999999999999"/>
    <n v="2"/>
    <n v="5"/>
    <n v="2"/>
    <n v="1"/>
    <s v="YES"/>
    <n v="0"/>
    <n v="465.01"/>
    <x v="170"/>
    <n v="3.39"/>
    <n v="2.77"/>
    <n v="1.2238267148014441"/>
    <x v="1"/>
    <n v="35"/>
    <n v="31"/>
    <n v="0.89"/>
    <n v="2.77"/>
    <n v="4.2"/>
    <n v="19.059999999999999"/>
    <n v="43.3"/>
    <x v="1"/>
    <n v="0.31"/>
    <n v="82"/>
    <n v="0"/>
    <x v="0"/>
    <n v="0"/>
    <s v="NO"/>
    <n v="0"/>
    <s v="NO"/>
    <n v="1"/>
    <s v="YES"/>
    <n v="1"/>
    <s v="YES"/>
    <n v="1"/>
    <x v="0"/>
    <n v="0"/>
    <s v="NO"/>
    <n v="120"/>
    <n v="80"/>
    <n v="2"/>
    <n v="3"/>
    <n v="14"/>
    <n v="24"/>
    <n v="6.8"/>
    <x v="0"/>
    <n v="5"/>
    <n v="38"/>
    <n v="107.33333333333333"/>
    <x v="0"/>
    <x v="1"/>
    <x v="0"/>
  </r>
  <r>
    <n v="407"/>
    <n v="407"/>
    <n v="0"/>
    <x v="0"/>
    <n v="33"/>
    <n v="45"/>
    <n v="142"/>
    <n v="11"/>
    <n v="72"/>
    <n v="20"/>
    <n v="11.5"/>
    <n v="2"/>
    <n v="6"/>
    <n v="9"/>
    <n v="0"/>
    <s v="NO"/>
    <n v="0"/>
    <n v="1.99"/>
    <x v="0"/>
    <n v="2.39"/>
    <n v="0.89"/>
    <n v="2.6853932584269664"/>
    <x v="0"/>
    <n v="35"/>
    <n v="31"/>
    <n v="0.89"/>
    <n v="1.67"/>
    <n v="0.5"/>
    <n v="38.450000000000003"/>
    <n v="23.7"/>
    <x v="1"/>
    <n v="0.28000000000000003"/>
    <n v="85"/>
    <n v="0"/>
    <x v="0"/>
    <n v="0"/>
    <s v="NO"/>
    <n v="0"/>
    <s v="NO"/>
    <n v="1"/>
    <s v="YES"/>
    <n v="0"/>
    <s v="NO"/>
    <n v="1"/>
    <x v="0"/>
    <n v="0"/>
    <s v="NO"/>
    <n v="120"/>
    <n v="80"/>
    <n v="1"/>
    <n v="3"/>
    <n v="17"/>
    <n v="20"/>
    <n v="9"/>
    <x v="0"/>
    <n v="4"/>
    <n v="37"/>
    <n v="107"/>
    <x v="0"/>
    <x v="2"/>
    <x v="0"/>
  </r>
  <r>
    <n v="408"/>
    <n v="408"/>
    <n v="0"/>
    <x v="0"/>
    <n v="36"/>
    <n v="59"/>
    <n v="155"/>
    <n v="15"/>
    <n v="74"/>
    <n v="20"/>
    <n v="10"/>
    <n v="2"/>
    <n v="5"/>
    <n v="17"/>
    <n v="0"/>
    <s v="NO"/>
    <n v="0"/>
    <n v="2"/>
    <x v="44"/>
    <n v="5.21"/>
    <n v="1.78"/>
    <n v="2.9269662921348316"/>
    <x v="0"/>
    <n v="38"/>
    <n v="34"/>
    <n v="0.89"/>
    <n v="1.87"/>
    <n v="0.9"/>
    <n v="22.83"/>
    <n v="25.9"/>
    <x v="1"/>
    <n v="0.38"/>
    <n v="100"/>
    <n v="0"/>
    <x v="0"/>
    <n v="0"/>
    <s v="NO"/>
    <n v="0"/>
    <s v="NO"/>
    <n v="0"/>
    <s v="NO"/>
    <n v="1"/>
    <s v="YES"/>
    <n v="1"/>
    <x v="0"/>
    <n v="0"/>
    <s v="NO"/>
    <n v="120"/>
    <n v="80"/>
    <n v="2"/>
    <n v="3"/>
    <n v="17"/>
    <n v="18"/>
    <n v="11"/>
    <x v="0"/>
    <n v="5"/>
    <n v="35"/>
    <n v="107.33333333333333"/>
    <x v="0"/>
    <x v="2"/>
    <x v="0"/>
  </r>
  <r>
    <n v="409"/>
    <n v="409"/>
    <n v="0"/>
    <x v="0"/>
    <n v="45"/>
    <n v="57"/>
    <n v="160"/>
    <n v="15"/>
    <n v="72"/>
    <n v="22"/>
    <n v="10.3"/>
    <n v="2"/>
    <n v="6"/>
    <n v="23"/>
    <n v="0"/>
    <s v="NO"/>
    <n v="0"/>
    <n v="1.99"/>
    <x v="0"/>
    <n v="4.08"/>
    <n v="3.6"/>
    <n v="1.1333333333333333"/>
    <x v="1"/>
    <n v="38"/>
    <n v="35"/>
    <n v="0.92"/>
    <n v="1.96"/>
    <n v="4.8"/>
    <n v="20.190000000000001"/>
    <n v="17.399999999999999"/>
    <x v="0"/>
    <n v="0.4"/>
    <n v="130"/>
    <n v="0"/>
    <x v="0"/>
    <n v="0"/>
    <s v="NO"/>
    <n v="1"/>
    <s v="YES"/>
    <n v="0"/>
    <s v="NO"/>
    <n v="1"/>
    <s v="YES"/>
    <n v="1"/>
    <x v="0"/>
    <n v="0"/>
    <s v="NO"/>
    <n v="110"/>
    <n v="70"/>
    <n v="3"/>
    <n v="6"/>
    <n v="14"/>
    <n v="12"/>
    <n v="9"/>
    <x v="0"/>
    <n v="9"/>
    <n v="26"/>
    <n v="94.333333333333329"/>
    <x v="1"/>
    <x v="1"/>
    <x v="0"/>
  </r>
  <r>
    <n v="410"/>
    <n v="410"/>
    <n v="0"/>
    <x v="0"/>
    <n v="40"/>
    <n v="60"/>
    <n v="161"/>
    <n v="13"/>
    <n v="74"/>
    <n v="20"/>
    <n v="11.2"/>
    <n v="2"/>
    <n v="6"/>
    <n v="13"/>
    <n v="1"/>
    <s v="YES"/>
    <n v="0"/>
    <n v="41.75"/>
    <x v="171"/>
    <n v="5.13"/>
    <n v="2.97"/>
    <n v="1.7272727272727271"/>
    <x v="1"/>
    <n v="38"/>
    <n v="35"/>
    <n v="0.92"/>
    <n v="2.78"/>
    <n v="1.3"/>
    <n v="11.81"/>
    <n v="16.100000000000001"/>
    <x v="0"/>
    <n v="0.25"/>
    <n v="146"/>
    <n v="0"/>
    <x v="0"/>
    <n v="0"/>
    <s v="NO"/>
    <n v="0"/>
    <s v="NO"/>
    <n v="1"/>
    <s v="YES"/>
    <n v="1"/>
    <s v="YES"/>
    <n v="0"/>
    <x v="1"/>
    <n v="0"/>
    <s v="NO"/>
    <n v="110"/>
    <n v="70"/>
    <n v="3"/>
    <n v="0"/>
    <n v="10"/>
    <n v="11"/>
    <n v="4"/>
    <x v="0"/>
    <n v="3"/>
    <n v="21"/>
    <n v="94.333333333333329"/>
    <x v="0"/>
    <x v="1"/>
    <x v="0"/>
  </r>
  <r>
    <n v="411"/>
    <n v="411"/>
    <n v="0"/>
    <x v="0"/>
    <n v="34"/>
    <n v="54.7"/>
    <n v="158"/>
    <n v="13"/>
    <n v="72"/>
    <n v="20"/>
    <n v="10.4"/>
    <n v="2"/>
    <n v="5"/>
    <n v="9"/>
    <n v="1"/>
    <s v="YES"/>
    <n v="0"/>
    <n v="363.08"/>
    <x v="172"/>
    <n v="6.71"/>
    <n v="8.7100000000000009"/>
    <n v="0.77037887485648671"/>
    <x v="1"/>
    <n v="37"/>
    <n v="33"/>
    <n v="0.89"/>
    <n v="3.65"/>
    <n v="6.4"/>
    <n v="12.31"/>
    <n v="25.8"/>
    <x v="1"/>
    <n v="4.25"/>
    <n v="100"/>
    <n v="0"/>
    <x v="0"/>
    <n v="0"/>
    <s v="NO"/>
    <n v="0"/>
    <s v="NO"/>
    <n v="1"/>
    <s v="YES"/>
    <n v="1"/>
    <s v="YES"/>
    <n v="1"/>
    <x v="0"/>
    <n v="1"/>
    <s v="YES"/>
    <n v="120"/>
    <n v="80"/>
    <n v="1"/>
    <n v="1"/>
    <n v="13"/>
    <n v="15"/>
    <n v="8"/>
    <x v="0"/>
    <n v="2"/>
    <n v="28"/>
    <n v="107"/>
    <x v="0"/>
    <x v="1"/>
    <x v="0"/>
  </r>
  <r>
    <n v="412"/>
    <n v="412"/>
    <n v="0"/>
    <x v="0"/>
    <n v="40"/>
    <n v="53"/>
    <n v="150"/>
    <n v="15"/>
    <n v="78"/>
    <n v="20"/>
    <n v="11.4"/>
    <n v="2"/>
    <n v="5"/>
    <n v="14"/>
    <n v="1"/>
    <s v="YES"/>
    <n v="0"/>
    <n v="382.36"/>
    <x v="173"/>
    <n v="4.8"/>
    <n v="3.83"/>
    <n v="1.2532637075718014"/>
    <x v="1"/>
    <n v="34"/>
    <n v="30"/>
    <n v="0.88"/>
    <n v="1.98"/>
    <n v="8.1"/>
    <n v="8.1"/>
    <n v="44.1"/>
    <x v="1"/>
    <n v="0.25"/>
    <n v="115"/>
    <n v="0"/>
    <x v="0"/>
    <n v="0"/>
    <s v="NO"/>
    <n v="0"/>
    <s v="NO"/>
    <n v="1"/>
    <s v="YES"/>
    <n v="0"/>
    <s v="NO"/>
    <n v="1"/>
    <x v="0"/>
    <n v="0"/>
    <s v="NO"/>
    <n v="120"/>
    <n v="70"/>
    <n v="3"/>
    <n v="4"/>
    <n v="2"/>
    <n v="13"/>
    <n v="11"/>
    <x v="0"/>
    <n v="7"/>
    <n v="15"/>
    <n v="94.333333333333329"/>
    <x v="0"/>
    <x v="2"/>
    <x v="0"/>
  </r>
  <r>
    <n v="413"/>
    <n v="413"/>
    <n v="1"/>
    <x v="1"/>
    <n v="23"/>
    <n v="55"/>
    <n v="152"/>
    <n v="13"/>
    <n v="78"/>
    <n v="18"/>
    <n v="10.8"/>
    <n v="2"/>
    <n v="5"/>
    <n v="3"/>
    <n v="0"/>
    <s v="NO"/>
    <n v="0"/>
    <n v="1.99"/>
    <x v="0"/>
    <n v="40.08"/>
    <n v="1.99"/>
    <n v="20.140703517587937"/>
    <x v="0"/>
    <n v="36"/>
    <n v="32"/>
    <n v="0.89"/>
    <n v="1.35"/>
    <n v="10.8"/>
    <n v="43.94"/>
    <n v="29.4"/>
    <x v="1"/>
    <n v="0.4"/>
    <n v="108"/>
    <n v="0"/>
    <x v="0"/>
    <n v="1"/>
    <s v="YES"/>
    <n v="1"/>
    <s v="YES"/>
    <n v="1"/>
    <s v="YES"/>
    <n v="1"/>
    <s v="YES"/>
    <n v="0"/>
    <x v="1"/>
    <n v="1"/>
    <s v="YES"/>
    <n v="110"/>
    <n v="70"/>
    <n v="10"/>
    <n v="18"/>
    <n v="14"/>
    <n v="14"/>
    <n v="10.3"/>
    <x v="0"/>
    <n v="28"/>
    <n v="28"/>
    <n v="96.666666666666671"/>
    <x v="1"/>
    <x v="3"/>
    <x v="0"/>
  </r>
  <r>
    <n v="414"/>
    <n v="414"/>
    <n v="0"/>
    <x v="0"/>
    <n v="26"/>
    <n v="52"/>
    <n v="150"/>
    <n v="15"/>
    <n v="74"/>
    <n v="20"/>
    <n v="10"/>
    <n v="2"/>
    <n v="5"/>
    <n v="9"/>
    <n v="0"/>
    <s v="NO"/>
    <n v="0"/>
    <n v="1.99"/>
    <x v="0"/>
    <n v="3.52"/>
    <n v="2.14"/>
    <n v="1.6448598130841121"/>
    <x v="1"/>
    <n v="35"/>
    <n v="31"/>
    <n v="0.89"/>
    <n v="0.74"/>
    <n v="5.2"/>
    <n v="15.59"/>
    <n v="30.1"/>
    <x v="1"/>
    <n v="0.3"/>
    <n v="115"/>
    <n v="0"/>
    <x v="0"/>
    <n v="0"/>
    <s v="NO"/>
    <n v="0"/>
    <s v="NO"/>
    <n v="1"/>
    <s v="YES"/>
    <n v="1"/>
    <s v="YES"/>
    <n v="1"/>
    <x v="0"/>
    <n v="0"/>
    <s v="NO"/>
    <n v="110"/>
    <n v="70"/>
    <n v="1"/>
    <n v="1"/>
    <n v="13"/>
    <n v="14"/>
    <n v="13"/>
    <x v="0"/>
    <n v="2"/>
    <n v="27"/>
    <n v="93.666666666666671"/>
    <x v="0"/>
    <x v="1"/>
    <x v="0"/>
  </r>
  <r>
    <n v="415"/>
    <n v="415"/>
    <n v="1"/>
    <x v="1"/>
    <n v="30"/>
    <n v="64"/>
    <n v="158"/>
    <n v="11"/>
    <n v="74"/>
    <n v="22"/>
    <n v="10.199999999999999"/>
    <n v="2"/>
    <n v="4"/>
    <n v="2.2000000000000002"/>
    <n v="1"/>
    <s v="YES"/>
    <n v="0"/>
    <n v="2229.81"/>
    <x v="174"/>
    <n v="4.75"/>
    <n v="7.2"/>
    <n v="0.65972222222222221"/>
    <x v="1"/>
    <n v="38"/>
    <n v="35"/>
    <n v="0.92"/>
    <n v="4.75"/>
    <n v="7.2"/>
    <n v="32.06"/>
    <n v="33.799999999999997"/>
    <x v="1"/>
    <n v="0.25"/>
    <n v="92"/>
    <n v="1"/>
    <x v="1"/>
    <n v="0"/>
    <s v="NO"/>
    <n v="1"/>
    <s v="YES"/>
    <n v="0"/>
    <s v="NO"/>
    <n v="1"/>
    <s v="YES"/>
    <n v="1"/>
    <x v="0"/>
    <n v="0"/>
    <s v="NO"/>
    <n v="110"/>
    <n v="70"/>
    <n v="12"/>
    <n v="14"/>
    <n v="14"/>
    <n v="14"/>
    <n v="9.5"/>
    <x v="1"/>
    <n v="26"/>
    <n v="28"/>
    <n v="97.333333333333329"/>
    <x v="1"/>
    <x v="1"/>
    <x v="0"/>
  </r>
  <r>
    <n v="416"/>
    <n v="416"/>
    <n v="1"/>
    <x v="1"/>
    <n v="31"/>
    <n v="60"/>
    <n v="160"/>
    <n v="15"/>
    <n v="80"/>
    <n v="20"/>
    <n v="10.8"/>
    <n v="4"/>
    <n v="2"/>
    <n v="7"/>
    <n v="1"/>
    <s v="YES"/>
    <n v="0"/>
    <n v="252.72"/>
    <x v="175"/>
    <n v="1.8"/>
    <n v="0.9"/>
    <n v="2"/>
    <x v="0"/>
    <n v="39"/>
    <n v="35"/>
    <n v="0.9"/>
    <n v="1.86"/>
    <n v="15"/>
    <n v="41.94"/>
    <n v="23.6"/>
    <x v="1"/>
    <n v="0.25"/>
    <n v="92"/>
    <n v="0"/>
    <x v="0"/>
    <n v="1"/>
    <s v="YES"/>
    <n v="1"/>
    <s v="YES"/>
    <n v="0"/>
    <s v="NO"/>
    <n v="1"/>
    <s v="YES"/>
    <n v="1"/>
    <x v="0"/>
    <n v="0"/>
    <s v="NO"/>
    <n v="120"/>
    <n v="80"/>
    <n v="8"/>
    <n v="12"/>
    <n v="12"/>
    <n v="16"/>
    <n v="6.5"/>
    <x v="0"/>
    <n v="20"/>
    <n v="28"/>
    <n v="109.33333333333333"/>
    <x v="2"/>
    <x v="4"/>
    <x v="0"/>
  </r>
  <r>
    <n v="417"/>
    <n v="417"/>
    <n v="0"/>
    <x v="0"/>
    <n v="26"/>
    <n v="45"/>
    <n v="149"/>
    <n v="13"/>
    <n v="74"/>
    <n v="20"/>
    <n v="10.199999999999999"/>
    <n v="2"/>
    <n v="5"/>
    <n v="8"/>
    <n v="1"/>
    <s v="YES"/>
    <n v="0"/>
    <n v="67.2"/>
    <x v="176"/>
    <n v="7.14"/>
    <n v="3.79"/>
    <n v="1.8839050131926121"/>
    <x v="1"/>
    <n v="32"/>
    <n v="28"/>
    <n v="0.88"/>
    <n v="1"/>
    <n v="3.4"/>
    <n v="10.8"/>
    <n v="28.1"/>
    <x v="1"/>
    <n v="0.25"/>
    <n v="100"/>
    <n v="0"/>
    <x v="0"/>
    <n v="0"/>
    <s v="NO"/>
    <n v="0"/>
    <s v="NO"/>
    <n v="1"/>
    <s v="YES"/>
    <n v="0"/>
    <s v="NO"/>
    <n v="1"/>
    <x v="0"/>
    <n v="0"/>
    <s v="NO"/>
    <n v="120"/>
    <n v="80"/>
    <n v="6"/>
    <n v="2"/>
    <n v="14"/>
    <n v="13"/>
    <n v="8"/>
    <x v="0"/>
    <n v="8"/>
    <n v="27"/>
    <n v="108.66666666666667"/>
    <x v="0"/>
    <x v="2"/>
    <x v="0"/>
  </r>
  <r>
    <n v="418"/>
    <n v="418"/>
    <n v="0"/>
    <x v="0"/>
    <n v="32"/>
    <n v="71.8"/>
    <n v="162"/>
    <n v="11"/>
    <n v="72"/>
    <n v="18"/>
    <n v="10.8"/>
    <n v="2"/>
    <n v="6"/>
    <n v="4"/>
    <n v="0"/>
    <s v="NO"/>
    <n v="0"/>
    <n v="1.99"/>
    <x v="0"/>
    <n v="3.68"/>
    <n v="0.13"/>
    <n v="28.307692307692307"/>
    <x v="0"/>
    <n v="41"/>
    <n v="38"/>
    <n v="0.93"/>
    <n v="2.64"/>
    <n v="2.2799999999999998"/>
    <n v="20.93"/>
    <n v="27.1"/>
    <x v="1"/>
    <n v="0.25"/>
    <n v="92"/>
    <n v="1"/>
    <x v="1"/>
    <n v="0"/>
    <s v="NO"/>
    <n v="1"/>
    <s v="YES"/>
    <n v="0"/>
    <s v="NO"/>
    <n v="1"/>
    <s v="YES"/>
    <n v="0"/>
    <x v="1"/>
    <n v="1"/>
    <s v="YES"/>
    <n v="120"/>
    <n v="80"/>
    <n v="3"/>
    <n v="3"/>
    <n v="14"/>
    <n v="13"/>
    <n v="9"/>
    <x v="1"/>
    <n v="6"/>
    <n v="27"/>
    <n v="107.66666666666667"/>
    <x v="1"/>
    <x v="1"/>
    <x v="0"/>
  </r>
  <r>
    <n v="419"/>
    <n v="419"/>
    <n v="1"/>
    <x v="1"/>
    <n v="27"/>
    <n v="65"/>
    <n v="160"/>
    <n v="15"/>
    <n v="74"/>
    <n v="20"/>
    <n v="11.2"/>
    <n v="2"/>
    <n v="4"/>
    <n v="2"/>
    <n v="0"/>
    <s v="NO"/>
    <n v="0"/>
    <n v="1.99"/>
    <x v="0"/>
    <n v="3.85"/>
    <n v="1.02"/>
    <n v="3.7745098039215685"/>
    <x v="0"/>
    <n v="37"/>
    <n v="34"/>
    <n v="0.92"/>
    <n v="2.39"/>
    <n v="2.6"/>
    <n v="9.34"/>
    <n v="15.6"/>
    <x v="0"/>
    <n v="0.25"/>
    <n v="110"/>
    <n v="1"/>
    <x v="1"/>
    <n v="0"/>
    <s v="NO"/>
    <n v="1"/>
    <s v="YES"/>
    <n v="0"/>
    <s v="NO"/>
    <n v="1"/>
    <s v="YES"/>
    <n v="1"/>
    <x v="0"/>
    <n v="0"/>
    <s v="NO"/>
    <n v="110"/>
    <n v="80"/>
    <n v="4"/>
    <n v="9"/>
    <n v="10"/>
    <n v="15"/>
    <n v="6.7"/>
    <x v="1"/>
    <n v="13"/>
    <n v="25"/>
    <n v="108"/>
    <x v="1"/>
    <x v="1"/>
    <x v="0"/>
  </r>
  <r>
    <n v="420"/>
    <n v="420"/>
    <n v="0"/>
    <x v="0"/>
    <n v="36"/>
    <n v="58"/>
    <n v="154"/>
    <n v="15"/>
    <n v="72"/>
    <n v="18"/>
    <n v="11"/>
    <n v="2"/>
    <n v="5"/>
    <n v="12"/>
    <n v="0"/>
    <s v="NO"/>
    <n v="0"/>
    <n v="1.99"/>
    <x v="0"/>
    <n v="4.75"/>
    <n v="2.46"/>
    <n v="1.9308943089430894"/>
    <x v="1"/>
    <n v="36"/>
    <n v="32"/>
    <n v="0.89"/>
    <n v="0.95"/>
    <n v="4.8"/>
    <n v="26.39"/>
    <n v="25.4"/>
    <x v="1"/>
    <n v="0.35"/>
    <n v="92"/>
    <n v="0"/>
    <x v="0"/>
    <n v="0"/>
    <s v="NO"/>
    <n v="0"/>
    <s v="NO"/>
    <n v="1"/>
    <s v="YES"/>
    <n v="1"/>
    <s v="YES"/>
    <n v="1"/>
    <x v="0"/>
    <n v="0"/>
    <s v="NO"/>
    <n v="110"/>
    <n v="80"/>
    <n v="3"/>
    <n v="3"/>
    <n v="13"/>
    <n v="15"/>
    <n v="7.8"/>
    <x v="0"/>
    <n v="6"/>
    <n v="28"/>
    <n v="107.66666666666667"/>
    <x v="0"/>
    <x v="1"/>
    <x v="0"/>
  </r>
  <r>
    <n v="421"/>
    <n v="421"/>
    <n v="1"/>
    <x v="1"/>
    <n v="25"/>
    <n v="45.6"/>
    <n v="152"/>
    <n v="11"/>
    <n v="74"/>
    <n v="20"/>
    <n v="11"/>
    <n v="2"/>
    <n v="5"/>
    <n v="1"/>
    <n v="1"/>
    <s v="YES"/>
    <n v="0"/>
    <n v="6.9210000000000003"/>
    <x v="177"/>
    <n v="5.12"/>
    <n v="3.6"/>
    <n v="1.4222222222222223"/>
    <x v="1"/>
    <n v="30"/>
    <n v="26"/>
    <n v="0.87"/>
    <n v="1.88"/>
    <n v="11.9"/>
    <n v="20.52"/>
    <n v="29.3"/>
    <x v="1"/>
    <n v="0.25"/>
    <n v="115"/>
    <n v="0"/>
    <x v="0"/>
    <n v="1"/>
    <s v="YES"/>
    <n v="0"/>
    <s v="NO"/>
    <n v="1"/>
    <s v="YES"/>
    <n v="1"/>
    <s v="YES"/>
    <n v="1"/>
    <x v="0"/>
    <n v="0"/>
    <s v="NO"/>
    <n v="120"/>
    <n v="80"/>
    <n v="14"/>
    <n v="10"/>
    <n v="15"/>
    <n v="15"/>
    <n v="10"/>
    <x v="0"/>
    <n v="24"/>
    <n v="30"/>
    <n v="111.33333333333333"/>
    <x v="1"/>
    <x v="4"/>
    <x v="0"/>
  </r>
  <r>
    <n v="422"/>
    <n v="422"/>
    <n v="0"/>
    <x v="0"/>
    <n v="40"/>
    <n v="74.099999999999994"/>
    <n v="164"/>
    <n v="15"/>
    <n v="78"/>
    <n v="20"/>
    <n v="11.5"/>
    <n v="2"/>
    <n v="6"/>
    <n v="18"/>
    <n v="0"/>
    <s v="NO"/>
    <n v="0"/>
    <n v="1.99"/>
    <x v="0"/>
    <n v="1"/>
    <n v="0.6"/>
    <n v="1.6666666666666667"/>
    <x v="1"/>
    <n v="42"/>
    <n v="38"/>
    <n v="0.9"/>
    <n v="4.45"/>
    <n v="6.9"/>
    <n v="26.35"/>
    <n v="17.100000000000001"/>
    <x v="0"/>
    <n v="0.35"/>
    <n v="92"/>
    <n v="1"/>
    <x v="1"/>
    <n v="0"/>
    <s v="NO"/>
    <n v="1"/>
    <s v="YES"/>
    <n v="0"/>
    <s v="NO"/>
    <n v="1"/>
    <s v="YES"/>
    <n v="1"/>
    <x v="0"/>
    <n v="1"/>
    <s v="YES"/>
    <n v="120"/>
    <n v="80"/>
    <n v="2"/>
    <n v="4"/>
    <n v="10"/>
    <n v="16"/>
    <n v="7.2"/>
    <x v="1"/>
    <n v="6"/>
    <n v="26"/>
    <n v="107.33333333333333"/>
    <x v="1"/>
    <x v="1"/>
    <x v="0"/>
  </r>
  <r>
    <n v="423"/>
    <n v="423"/>
    <n v="1"/>
    <x v="1"/>
    <n v="38"/>
    <n v="68"/>
    <n v="164"/>
    <n v="15"/>
    <n v="74"/>
    <n v="20"/>
    <n v="10.4"/>
    <n v="4"/>
    <n v="2"/>
    <n v="1"/>
    <n v="1"/>
    <s v="YES"/>
    <n v="0"/>
    <n v="482.21"/>
    <x v="178"/>
    <n v="7.1"/>
    <n v="4.2699999999999996"/>
    <n v="1.6627634660421546"/>
    <x v="1"/>
    <n v="38"/>
    <n v="35"/>
    <n v="0.92"/>
    <n v="3.98"/>
    <n v="0.1"/>
    <n v="6.18"/>
    <n v="25.3"/>
    <x v="1"/>
    <n v="0.37"/>
    <n v="107"/>
    <n v="1"/>
    <x v="1"/>
    <n v="0"/>
    <s v="NO"/>
    <n v="1"/>
    <s v="YES"/>
    <n v="1"/>
    <s v="YES"/>
    <n v="1"/>
    <s v="YES"/>
    <n v="1"/>
    <x v="0"/>
    <n v="0"/>
    <s v="NO"/>
    <n v="120"/>
    <n v="80"/>
    <n v="13"/>
    <n v="12"/>
    <n v="15"/>
    <n v="15"/>
    <n v="8.1999999999999993"/>
    <x v="1"/>
    <n v="25"/>
    <n v="30"/>
    <n v="111"/>
    <x v="2"/>
    <x v="4"/>
    <x v="0"/>
  </r>
  <r>
    <n v="424"/>
    <n v="424"/>
    <n v="0"/>
    <x v="0"/>
    <n v="42"/>
    <n v="55"/>
    <n v="150"/>
    <n v="13"/>
    <n v="74"/>
    <n v="20"/>
    <n v="10.7"/>
    <n v="2"/>
    <n v="5"/>
    <n v="5"/>
    <n v="1"/>
    <s v="YES"/>
    <n v="0"/>
    <n v="40.22"/>
    <x v="0"/>
    <n v="2.97"/>
    <n v="0.2"/>
    <n v="14.85"/>
    <x v="0"/>
    <n v="36"/>
    <n v="32"/>
    <n v="0.89"/>
    <n v="3.58"/>
    <n v="12.8"/>
    <n v="37.9"/>
    <n v="23.1"/>
    <x v="1"/>
    <n v="0.3"/>
    <n v="107"/>
    <n v="0"/>
    <x v="0"/>
    <n v="0"/>
    <s v="NO"/>
    <n v="0"/>
    <s v="NO"/>
    <n v="1"/>
    <s v="YES"/>
    <n v="1"/>
    <s v="YES"/>
    <n v="1"/>
    <x v="0"/>
    <n v="0"/>
    <s v="NO"/>
    <n v="120"/>
    <n v="80"/>
    <n v="4"/>
    <n v="5"/>
    <n v="14"/>
    <n v="10"/>
    <n v="11"/>
    <x v="0"/>
    <n v="9"/>
    <n v="24"/>
    <n v="108"/>
    <x v="0"/>
    <x v="1"/>
    <x v="0"/>
  </r>
  <r>
    <n v="425"/>
    <n v="425"/>
    <n v="0"/>
    <x v="0"/>
    <n v="29"/>
    <n v="51"/>
    <n v="158"/>
    <n v="15"/>
    <n v="72"/>
    <n v="20"/>
    <n v="11"/>
    <n v="2"/>
    <n v="5"/>
    <n v="7"/>
    <n v="1"/>
    <s v="YES"/>
    <n v="0"/>
    <n v="50.11"/>
    <x v="179"/>
    <n v="2.0099999999999998"/>
    <n v="1.81"/>
    <n v="1.1104972375690607"/>
    <x v="1"/>
    <n v="32"/>
    <n v="28"/>
    <n v="0.88"/>
    <n v="1.34"/>
    <n v="2.7"/>
    <n v="71.77"/>
    <n v="23.5"/>
    <x v="1"/>
    <n v="0.25"/>
    <n v="100"/>
    <n v="0"/>
    <x v="0"/>
    <n v="0"/>
    <s v="NO"/>
    <n v="0"/>
    <s v="NO"/>
    <n v="0"/>
    <s v="NO"/>
    <n v="0"/>
    <s v="NO"/>
    <n v="1"/>
    <x v="0"/>
    <n v="1"/>
    <s v="YES"/>
    <n v="110"/>
    <n v="80"/>
    <n v="6"/>
    <n v="3"/>
    <n v="12"/>
    <n v="11"/>
    <n v="8.5"/>
    <x v="0"/>
    <n v="9"/>
    <n v="23"/>
    <n v="108.66666666666667"/>
    <x v="0"/>
    <x v="0"/>
    <x v="0"/>
  </r>
  <r>
    <n v="426"/>
    <n v="426"/>
    <n v="1"/>
    <x v="1"/>
    <n v="37"/>
    <n v="59"/>
    <n v="148"/>
    <n v="11"/>
    <n v="74"/>
    <n v="20"/>
    <n v="10.8"/>
    <n v="4"/>
    <n v="3"/>
    <n v="4"/>
    <n v="0"/>
    <s v="NO"/>
    <n v="0"/>
    <n v="1.99"/>
    <x v="0"/>
    <n v="7.61"/>
    <n v="4.55"/>
    <n v="1.6725274725274726"/>
    <x v="1"/>
    <n v="36"/>
    <n v="32"/>
    <n v="0.89"/>
    <n v="3.51"/>
    <n v="6"/>
    <n v="13.62"/>
    <n v="26.4"/>
    <x v="1"/>
    <n v="0.28999999999999998"/>
    <n v="92"/>
    <n v="1"/>
    <x v="1"/>
    <n v="0"/>
    <s v="NO"/>
    <n v="1"/>
    <s v="YES"/>
    <n v="0"/>
    <s v="NO"/>
    <n v="1"/>
    <s v="YES"/>
    <n v="1"/>
    <x v="0"/>
    <n v="0"/>
    <s v="NO"/>
    <n v="120"/>
    <n v="80"/>
    <n v="8"/>
    <n v="12"/>
    <n v="17"/>
    <n v="0.17"/>
    <n v="11.2"/>
    <x v="1"/>
    <n v="20"/>
    <n v="17.170000000000002"/>
    <n v="109.33333333333333"/>
    <x v="2"/>
    <x v="1"/>
    <x v="0"/>
  </r>
  <r>
    <n v="427"/>
    <n v="427"/>
    <n v="0"/>
    <x v="0"/>
    <n v="33"/>
    <n v="64"/>
    <n v="158"/>
    <n v="13"/>
    <n v="74"/>
    <n v="20"/>
    <n v="11"/>
    <n v="2"/>
    <n v="5"/>
    <n v="12"/>
    <n v="1"/>
    <s v="YES"/>
    <n v="1"/>
    <n v="103.5"/>
    <x v="180"/>
    <n v="3.35"/>
    <n v="0.56000000000000005"/>
    <n v="5.9821428571428568"/>
    <x v="0"/>
    <n v="36"/>
    <n v="32"/>
    <n v="0.89"/>
    <n v="2.98"/>
    <n v="0.84"/>
    <n v="25.97"/>
    <n v="23.8"/>
    <x v="1"/>
    <n v="0.25"/>
    <n v="106"/>
    <n v="1"/>
    <x v="1"/>
    <n v="0"/>
    <s v="NO"/>
    <n v="0"/>
    <s v="NO"/>
    <n v="1"/>
    <s v="YES"/>
    <n v="0"/>
    <s v="NO"/>
    <n v="0"/>
    <x v="1"/>
    <n v="1"/>
    <s v="YES"/>
    <n v="110"/>
    <n v="80"/>
    <n v="7"/>
    <n v="3"/>
    <n v="19"/>
    <n v="17"/>
    <n v="9"/>
    <x v="1"/>
    <n v="10"/>
    <n v="36"/>
    <n v="109"/>
    <x v="1"/>
    <x v="2"/>
    <x v="0"/>
  </r>
  <r>
    <n v="428"/>
    <n v="428"/>
    <n v="1"/>
    <x v="1"/>
    <n v="32"/>
    <n v="63"/>
    <n v="158"/>
    <n v="11"/>
    <n v="72"/>
    <n v="18"/>
    <n v="10.6"/>
    <n v="4"/>
    <n v="2"/>
    <n v="10"/>
    <n v="1"/>
    <s v="YES"/>
    <n v="1"/>
    <n v="102.87"/>
    <x v="181"/>
    <n v="3.27"/>
    <n v="2.2999999999999998"/>
    <n v="1.4217391304347826"/>
    <x v="1"/>
    <n v="36"/>
    <n v="31"/>
    <n v="0.86"/>
    <n v="0.86"/>
    <n v="2.9"/>
    <n v="67.97"/>
    <n v="18.100000000000001"/>
    <x v="0"/>
    <n v="0.38"/>
    <n v="115"/>
    <n v="1"/>
    <x v="1"/>
    <n v="0"/>
    <s v="NO"/>
    <n v="1"/>
    <s v="YES"/>
    <n v="1"/>
    <s v="YES"/>
    <n v="1"/>
    <s v="YES"/>
    <n v="0"/>
    <x v="1"/>
    <n v="0"/>
    <s v="NO"/>
    <n v="110"/>
    <n v="70"/>
    <n v="3"/>
    <n v="11"/>
    <n v="19"/>
    <n v="17"/>
    <n v="8.9"/>
    <x v="1"/>
    <n v="14"/>
    <n v="36"/>
    <n v="94.333333333333329"/>
    <x v="1"/>
    <x v="4"/>
    <x v="0"/>
  </r>
  <r>
    <n v="429"/>
    <n v="429"/>
    <n v="1"/>
    <x v="1"/>
    <n v="28"/>
    <n v="48"/>
    <n v="148"/>
    <n v="11"/>
    <n v="74"/>
    <n v="20"/>
    <n v="10.199999999999999"/>
    <n v="2"/>
    <n v="6"/>
    <n v="4"/>
    <n v="1"/>
    <s v="YES"/>
    <n v="0"/>
    <n v="90.67"/>
    <x v="182"/>
    <n v="4"/>
    <n v="1.61"/>
    <n v="2.4844720496894408"/>
    <x v="0"/>
    <n v="30"/>
    <n v="26"/>
    <n v="0.87"/>
    <n v="1.1499999999999999"/>
    <n v="4.5999999999999996"/>
    <n v="64.47"/>
    <n v="34.4"/>
    <x v="1"/>
    <n v="0.25"/>
    <n v="100"/>
    <n v="0"/>
    <x v="0"/>
    <n v="0"/>
    <s v="NO"/>
    <n v="1"/>
    <s v="YES"/>
    <n v="1"/>
    <s v="YES"/>
    <n v="1"/>
    <s v="YES"/>
    <n v="1"/>
    <x v="0"/>
    <n v="0"/>
    <s v="NO"/>
    <n v="110"/>
    <n v="70"/>
    <n v="11"/>
    <n v="9"/>
    <n v="19"/>
    <n v="15"/>
    <n v="11.5"/>
    <x v="0"/>
    <n v="20"/>
    <n v="34"/>
    <n v="97"/>
    <x v="1"/>
    <x v="4"/>
    <x v="0"/>
  </r>
  <r>
    <n v="430"/>
    <n v="430"/>
    <n v="1"/>
    <x v="1"/>
    <n v="33"/>
    <n v="60"/>
    <n v="152"/>
    <n v="13"/>
    <n v="72"/>
    <n v="18"/>
    <n v="12.5"/>
    <n v="2"/>
    <n v="5"/>
    <n v="6"/>
    <n v="1"/>
    <s v="YES"/>
    <n v="0"/>
    <n v="375.18"/>
    <x v="183"/>
    <n v="2.5"/>
    <n v="1.17"/>
    <n v="2.1367521367521367"/>
    <x v="0"/>
    <n v="38"/>
    <n v="34"/>
    <n v="0.89"/>
    <n v="2.5299999999999998"/>
    <n v="20"/>
    <n v="25.37"/>
    <n v="35.1"/>
    <x v="1"/>
    <n v="0.25"/>
    <n v="92"/>
    <n v="1"/>
    <x v="1"/>
    <n v="0"/>
    <s v="NO"/>
    <n v="1"/>
    <s v="YES"/>
    <n v="1"/>
    <s v="YES"/>
    <n v="1"/>
    <s v="YES"/>
    <n v="1"/>
    <x v="0"/>
    <n v="0"/>
    <s v="NO"/>
    <n v="130"/>
    <n v="80"/>
    <n v="14"/>
    <n v="16"/>
    <n v="16"/>
    <n v="16"/>
    <n v="10.199999999999999"/>
    <x v="1"/>
    <n v="30"/>
    <n v="32"/>
    <n v="111.33333333333333"/>
    <x v="1"/>
    <x v="4"/>
    <x v="0"/>
  </r>
  <r>
    <n v="431"/>
    <n v="431"/>
    <n v="1"/>
    <x v="1"/>
    <n v="25"/>
    <n v="65"/>
    <n v="154"/>
    <n v="13"/>
    <n v="72"/>
    <n v="20"/>
    <n v="11"/>
    <n v="4"/>
    <n v="3"/>
    <n v="5"/>
    <n v="1"/>
    <s v="YES"/>
    <n v="0"/>
    <n v="728.01"/>
    <x v="184"/>
    <n v="4.59"/>
    <n v="2.34"/>
    <n v="1.9615384615384617"/>
    <x v="1"/>
    <n v="36"/>
    <n v="32"/>
    <n v="0.89"/>
    <n v="2.38"/>
    <n v="8.9"/>
    <n v="24.84"/>
    <n v="18.7"/>
    <x v="0"/>
    <n v="0.46"/>
    <n v="72"/>
    <n v="1"/>
    <x v="1"/>
    <n v="0"/>
    <s v="NO"/>
    <n v="1"/>
    <s v="YES"/>
    <n v="0"/>
    <s v="NO"/>
    <n v="0"/>
    <s v="NO"/>
    <n v="0"/>
    <x v="1"/>
    <n v="1"/>
    <s v="YES"/>
    <n v="120"/>
    <n v="80"/>
    <n v="4"/>
    <n v="6"/>
    <n v="13"/>
    <n v="14"/>
    <n v="7.6"/>
    <x v="1"/>
    <n v="10"/>
    <n v="27"/>
    <n v="108"/>
    <x v="1"/>
    <x v="2"/>
    <x v="0"/>
  </r>
  <r>
    <n v="432"/>
    <n v="432"/>
    <n v="0"/>
    <x v="0"/>
    <n v="42"/>
    <n v="65"/>
    <n v="158"/>
    <n v="11"/>
    <n v="72"/>
    <n v="18"/>
    <n v="10.5"/>
    <n v="2"/>
    <n v="6"/>
    <n v="2"/>
    <n v="1"/>
    <s v="YES"/>
    <n v="0"/>
    <n v="433.97"/>
    <x v="185"/>
    <n v="6.76"/>
    <n v="1.76"/>
    <n v="3.8409090909090908"/>
    <x v="0"/>
    <n v="38"/>
    <n v="35"/>
    <n v="0.92"/>
    <n v="3.5049999999999999"/>
    <n v="1.2"/>
    <n v="12.4"/>
    <n v="22.7"/>
    <x v="1"/>
    <n v="0.35"/>
    <n v="115"/>
    <n v="1"/>
    <x v="1"/>
    <n v="0"/>
    <s v="NO"/>
    <n v="0"/>
    <s v="NO"/>
    <n v="0"/>
    <s v="NO"/>
    <n v="1"/>
    <s v="YES"/>
    <n v="1"/>
    <x v="0"/>
    <n v="0"/>
    <s v="NO"/>
    <n v="110"/>
    <n v="70"/>
    <n v="5"/>
    <n v="7"/>
    <n v="14"/>
    <n v="15"/>
    <n v="7"/>
    <x v="1"/>
    <n v="12"/>
    <n v="29"/>
    <n v="95"/>
    <x v="1"/>
    <x v="2"/>
    <x v="0"/>
  </r>
  <r>
    <n v="433"/>
    <n v="433"/>
    <n v="0"/>
    <x v="0"/>
    <n v="29"/>
    <n v="50"/>
    <n v="148"/>
    <n v="15"/>
    <n v="72"/>
    <n v="22"/>
    <n v="11"/>
    <n v="2"/>
    <n v="5"/>
    <n v="5"/>
    <n v="0"/>
    <s v="NO"/>
    <n v="0"/>
    <n v="1.99"/>
    <x v="0"/>
    <n v="5.64"/>
    <n v="2.71"/>
    <n v="2.0811808118081179"/>
    <x v="0"/>
    <n v="32"/>
    <n v="28"/>
    <n v="0.88"/>
    <n v="1.24"/>
    <n v="2.8"/>
    <n v="15.31"/>
    <n v="32.700000000000003"/>
    <x v="1"/>
    <n v="0.25"/>
    <n v="225"/>
    <n v="0"/>
    <x v="0"/>
    <n v="0"/>
    <s v="NO"/>
    <n v="0"/>
    <s v="NO"/>
    <n v="1"/>
    <s v="YES"/>
    <n v="1"/>
    <s v="YES"/>
    <n v="0"/>
    <x v="1"/>
    <n v="0"/>
    <s v="NO"/>
    <n v="120"/>
    <n v="70"/>
    <n v="4"/>
    <n v="6"/>
    <n v="10"/>
    <n v="13"/>
    <n v="7"/>
    <x v="0"/>
    <n v="10"/>
    <n v="23"/>
    <n v="94.666666666666671"/>
    <x v="1"/>
    <x v="1"/>
    <x v="0"/>
  </r>
  <r>
    <n v="434"/>
    <n v="434"/>
    <n v="0"/>
    <x v="0"/>
    <n v="33"/>
    <n v="57"/>
    <n v="163"/>
    <n v="15"/>
    <n v="72"/>
    <n v="18"/>
    <n v="11.5"/>
    <n v="2"/>
    <n v="6"/>
    <n v="10"/>
    <n v="0"/>
    <s v="NO"/>
    <n v="0"/>
    <n v="1.99"/>
    <x v="0"/>
    <n v="4.09"/>
    <n v="2.63"/>
    <n v="1.5551330798479088"/>
    <x v="1"/>
    <n v="32"/>
    <n v="28"/>
    <n v="0.88"/>
    <n v="1.08"/>
    <n v="10.3"/>
    <n v="10.62"/>
    <n v="27.2"/>
    <x v="1"/>
    <n v="0.25"/>
    <n v="100"/>
    <n v="0"/>
    <x v="0"/>
    <n v="0"/>
    <s v="NO"/>
    <n v="0"/>
    <s v="NO"/>
    <n v="1"/>
    <s v="YES"/>
    <n v="1"/>
    <s v="YES"/>
    <n v="1"/>
    <x v="0"/>
    <n v="1"/>
    <s v="YES"/>
    <n v="110"/>
    <n v="70"/>
    <n v="5"/>
    <n v="7"/>
    <n v="13"/>
    <n v="11"/>
    <n v="10"/>
    <x v="0"/>
    <n v="12"/>
    <n v="24"/>
    <n v="95"/>
    <x v="1"/>
    <x v="1"/>
    <x v="0"/>
  </r>
  <r>
    <n v="435"/>
    <n v="435"/>
    <n v="1"/>
    <x v="1"/>
    <n v="23"/>
    <n v="70"/>
    <n v="158"/>
    <n v="13"/>
    <n v="72"/>
    <n v="18"/>
    <n v="11"/>
    <n v="2"/>
    <n v="5"/>
    <n v="2"/>
    <n v="0"/>
    <s v="NO"/>
    <n v="0"/>
    <n v="1.99"/>
    <x v="0"/>
    <n v="4.5"/>
    <n v="1.5"/>
    <n v="3"/>
    <x v="0"/>
    <n v="42"/>
    <n v="38"/>
    <n v="0.9"/>
    <n v="2.04"/>
    <n v="9.9"/>
    <n v="17.5"/>
    <n v="18"/>
    <x v="0"/>
    <n v="0.5"/>
    <n v="92"/>
    <n v="1"/>
    <x v="1"/>
    <n v="0"/>
    <s v="NO"/>
    <n v="1"/>
    <s v="YES"/>
    <n v="1"/>
    <s v="YES"/>
    <n v="1"/>
    <s v="YES"/>
    <n v="1"/>
    <x v="0"/>
    <n v="0"/>
    <s v="NO"/>
    <n v="110"/>
    <n v="70"/>
    <n v="8"/>
    <n v="11"/>
    <n v="14"/>
    <n v="15"/>
    <n v="11"/>
    <x v="1"/>
    <n v="19"/>
    <n v="29"/>
    <n v="96"/>
    <x v="1"/>
    <x v="4"/>
    <x v="0"/>
  </r>
  <r>
    <n v="436"/>
    <n v="436"/>
    <n v="0"/>
    <x v="0"/>
    <n v="30"/>
    <n v="64"/>
    <n v="170"/>
    <n v="15"/>
    <n v="72"/>
    <n v="18"/>
    <n v="11.1"/>
    <n v="2"/>
    <n v="5"/>
    <n v="6"/>
    <n v="0"/>
    <s v="NO"/>
    <n v="0"/>
    <n v="1399"/>
    <x v="0"/>
    <n v="3.75"/>
    <n v="1.57"/>
    <n v="2.3885350318471334"/>
    <x v="0"/>
    <n v="40"/>
    <n v="36"/>
    <n v="0.9"/>
    <n v="1.51"/>
    <n v="2.5"/>
    <n v="27.72"/>
    <n v="31.8"/>
    <x v="1"/>
    <n v="0.25"/>
    <n v="94"/>
    <n v="0"/>
    <x v="0"/>
    <n v="0"/>
    <s v="NO"/>
    <n v="0"/>
    <s v="NO"/>
    <n v="1"/>
    <s v="YES"/>
    <n v="1"/>
    <s v="YES"/>
    <n v="0"/>
    <x v="1"/>
    <n v="1"/>
    <s v="YES"/>
    <n v="110"/>
    <n v="80"/>
    <n v="4"/>
    <n v="3"/>
    <n v="11"/>
    <n v="16"/>
    <n v="9"/>
    <x v="0"/>
    <n v="7"/>
    <n v="27"/>
    <n v="108"/>
    <x v="0"/>
    <x v="1"/>
    <x v="1"/>
  </r>
  <r>
    <n v="437"/>
    <n v="437"/>
    <n v="0"/>
    <x v="0"/>
    <n v="29"/>
    <n v="48"/>
    <n v="150"/>
    <n v="15"/>
    <n v="70"/>
    <n v="18"/>
    <n v="10.199999999999999"/>
    <n v="2"/>
    <n v="6"/>
    <n v="6"/>
    <n v="1"/>
    <s v="YES"/>
    <n v="0"/>
    <n v="213.14"/>
    <x v="186"/>
    <n v="13.9"/>
    <n v="0.5"/>
    <n v="27.8"/>
    <x v="0"/>
    <n v="32"/>
    <n v="27"/>
    <n v="0.84"/>
    <n v="0.82"/>
    <n v="3.6"/>
    <n v="30.98"/>
    <n v="74.5"/>
    <x v="1"/>
    <n v="0.8"/>
    <n v="92"/>
    <n v="0"/>
    <x v="0"/>
    <n v="0"/>
    <s v="NO"/>
    <n v="0"/>
    <s v="NO"/>
    <n v="1"/>
    <s v="YES"/>
    <n v="0"/>
    <s v="NO"/>
    <n v="1"/>
    <x v="0"/>
    <n v="0"/>
    <s v="NO"/>
    <n v="110"/>
    <n v="80"/>
    <n v="4"/>
    <n v="4"/>
    <n v="14"/>
    <n v="13"/>
    <n v="10"/>
    <x v="0"/>
    <n v="8"/>
    <n v="27"/>
    <n v="108"/>
    <x v="0"/>
    <x v="2"/>
    <x v="0"/>
  </r>
  <r>
    <n v="438"/>
    <n v="438"/>
    <n v="1"/>
    <x v="1"/>
    <n v="32"/>
    <n v="71"/>
    <n v="157"/>
    <n v="13"/>
    <n v="74"/>
    <n v="20"/>
    <n v="10.5"/>
    <n v="4"/>
    <n v="3"/>
    <n v="13"/>
    <n v="0"/>
    <s v="NO"/>
    <n v="0"/>
    <n v="4.2"/>
    <x v="164"/>
    <n v="6.55"/>
    <n v="4.3"/>
    <n v="1.5232558139534884"/>
    <x v="1"/>
    <n v="42"/>
    <n v="38"/>
    <n v="0.9"/>
    <n v="2.27"/>
    <n v="8"/>
    <n v="18.940000000000001"/>
    <n v="36.6"/>
    <x v="1"/>
    <n v="0.25"/>
    <n v="85"/>
    <n v="1"/>
    <x v="1"/>
    <n v="0"/>
    <s v="NO"/>
    <n v="1"/>
    <s v="YES"/>
    <n v="1"/>
    <s v="YES"/>
    <n v="1"/>
    <s v="YES"/>
    <n v="1"/>
    <x v="0"/>
    <n v="0"/>
    <s v="NO"/>
    <n v="120"/>
    <n v="80"/>
    <n v="9"/>
    <n v="12"/>
    <n v="18"/>
    <n v="19"/>
    <n v="8"/>
    <x v="1"/>
    <n v="21"/>
    <n v="37"/>
    <n v="109.66666666666667"/>
    <x v="2"/>
    <x v="4"/>
    <x v="0"/>
  </r>
  <r>
    <n v="439"/>
    <n v="439"/>
    <n v="1"/>
    <x v="1"/>
    <n v="33"/>
    <n v="76"/>
    <n v="164"/>
    <n v="11"/>
    <n v="72"/>
    <n v="20"/>
    <n v="11"/>
    <n v="4"/>
    <n v="2"/>
    <n v="6"/>
    <n v="1"/>
    <s v="YES"/>
    <n v="1"/>
    <n v="86.42"/>
    <x v="187"/>
    <n v="3.47"/>
    <n v="3.13"/>
    <n v="1.1086261980830672"/>
    <x v="1"/>
    <n v="42"/>
    <n v="39"/>
    <n v="0.93"/>
    <n v="3.9"/>
    <n v="1.01"/>
    <n v="30.53"/>
    <n v="32.9"/>
    <x v="1"/>
    <n v="0.38"/>
    <n v="100"/>
    <n v="1"/>
    <x v="1"/>
    <n v="0"/>
    <s v="NO"/>
    <n v="1"/>
    <s v="YES"/>
    <n v="0"/>
    <s v="NO"/>
    <n v="1"/>
    <s v="YES"/>
    <n v="1"/>
    <x v="0"/>
    <n v="0"/>
    <s v="NO"/>
    <n v="110"/>
    <n v="80"/>
    <n v="11"/>
    <n v="9"/>
    <n v="16"/>
    <n v="19"/>
    <n v="10"/>
    <x v="1"/>
    <n v="20"/>
    <n v="35"/>
    <n v="110.33333333333333"/>
    <x v="2"/>
    <x v="1"/>
    <x v="0"/>
  </r>
  <r>
    <n v="440"/>
    <n v="440"/>
    <n v="1"/>
    <x v="1"/>
    <n v="34"/>
    <n v="73"/>
    <n v="161"/>
    <n v="13"/>
    <n v="72"/>
    <n v="20"/>
    <n v="11.2"/>
    <n v="2"/>
    <n v="5"/>
    <n v="3"/>
    <n v="1"/>
    <s v="YES"/>
    <n v="0"/>
    <n v="70.53"/>
    <x v="0"/>
    <n v="4.54"/>
    <n v="1.36"/>
    <n v="3.3382352941176467"/>
    <x v="0"/>
    <n v="40"/>
    <n v="36"/>
    <n v="0.9"/>
    <n v="2.33"/>
    <n v="10.199999999999999"/>
    <n v="15.26"/>
    <n v="18.2"/>
    <x v="0"/>
    <n v="0.25"/>
    <n v="130"/>
    <n v="1"/>
    <x v="1"/>
    <n v="0"/>
    <s v="NO"/>
    <n v="0"/>
    <s v="NO"/>
    <n v="1"/>
    <s v="YES"/>
    <n v="1"/>
    <s v="YES"/>
    <n v="1"/>
    <x v="0"/>
    <n v="0"/>
    <s v="NO"/>
    <n v="110"/>
    <n v="80"/>
    <n v="7"/>
    <n v="13"/>
    <n v="15"/>
    <n v="19"/>
    <n v="10.3"/>
    <x v="1"/>
    <n v="20"/>
    <n v="34"/>
    <n v="109"/>
    <x v="1"/>
    <x v="1"/>
    <x v="0"/>
  </r>
  <r>
    <n v="441"/>
    <n v="441"/>
    <n v="0"/>
    <x v="0"/>
    <n v="26"/>
    <n v="56"/>
    <n v="160"/>
    <n v="11"/>
    <n v="70"/>
    <n v="20"/>
    <n v="11.1"/>
    <n v="2"/>
    <n v="6"/>
    <n v="3"/>
    <n v="1"/>
    <s v="YES"/>
    <n v="0"/>
    <n v="1.99"/>
    <x v="188"/>
    <n v="5.71"/>
    <n v="2.42"/>
    <n v="2.3595041322314052"/>
    <x v="0"/>
    <n v="34"/>
    <n v="30"/>
    <n v="0.88"/>
    <n v="1.46"/>
    <n v="11"/>
    <n v="21.87"/>
    <n v="16.899999999999999"/>
    <x v="0"/>
    <n v="0.25"/>
    <n v="110"/>
    <n v="0"/>
    <x v="0"/>
    <n v="0"/>
    <s v="NO"/>
    <n v="0"/>
    <s v="NO"/>
    <n v="1"/>
    <s v="YES"/>
    <n v="0"/>
    <s v="NO"/>
    <n v="1"/>
    <x v="0"/>
    <n v="1"/>
    <s v="YES"/>
    <n v="110"/>
    <n v="70"/>
    <n v="9"/>
    <n v="6"/>
    <n v="19"/>
    <n v="14"/>
    <n v="8"/>
    <x v="0"/>
    <n v="15"/>
    <n v="33"/>
    <n v="96.333333333333329"/>
    <x v="1"/>
    <x v="2"/>
    <x v="0"/>
  </r>
  <r>
    <n v="442"/>
    <n v="442"/>
    <n v="0"/>
    <x v="0"/>
    <n v="31"/>
    <n v="64"/>
    <n v="170"/>
    <n v="15"/>
    <n v="74"/>
    <n v="18"/>
    <n v="11"/>
    <n v="4"/>
    <n v="3"/>
    <n v="6"/>
    <n v="0"/>
    <s v="NO"/>
    <n v="0"/>
    <n v="3.35"/>
    <x v="0"/>
    <n v="1.06"/>
    <n v="1.49"/>
    <n v="0.71140939597315445"/>
    <x v="1"/>
    <n v="36"/>
    <n v="32"/>
    <n v="0.89"/>
    <n v="3.02"/>
    <n v="0.6"/>
    <n v="10.43"/>
    <n v="12"/>
    <x v="0"/>
    <n v="0.86"/>
    <n v="115"/>
    <n v="0"/>
    <x v="0"/>
    <n v="0"/>
    <s v="NO"/>
    <n v="0"/>
    <s v="NO"/>
    <n v="0"/>
    <s v="NO"/>
    <n v="1"/>
    <s v="YES"/>
    <n v="0"/>
    <x v="1"/>
    <n v="1"/>
    <s v="YES"/>
    <n v="110"/>
    <n v="80"/>
    <n v="3"/>
    <n v="5"/>
    <n v="11"/>
    <n v="12"/>
    <n v="3"/>
    <x v="0"/>
    <n v="8"/>
    <n v="23"/>
    <n v="107.66666666666667"/>
    <x v="0"/>
    <x v="2"/>
    <x v="0"/>
  </r>
  <r>
    <n v="443"/>
    <n v="443"/>
    <n v="0"/>
    <x v="0"/>
    <n v="40"/>
    <n v="56"/>
    <n v="158"/>
    <n v="15"/>
    <n v="72"/>
    <n v="18"/>
    <n v="12.8"/>
    <n v="2"/>
    <n v="6"/>
    <n v="22"/>
    <n v="1"/>
    <s v="YES"/>
    <n v="2"/>
    <n v="407.25"/>
    <x v="189"/>
    <n v="5.65"/>
    <n v="3.31"/>
    <n v="1.7069486404833838"/>
    <x v="1"/>
    <n v="34"/>
    <n v="30"/>
    <n v="0.88"/>
    <n v="3.85"/>
    <n v="0.5"/>
    <n v="29.5"/>
    <n v="24.3"/>
    <x v="1"/>
    <n v="0.54"/>
    <n v="107"/>
    <n v="0"/>
    <x v="0"/>
    <n v="0"/>
    <s v="NO"/>
    <n v="0"/>
    <s v="NO"/>
    <n v="1"/>
    <s v="YES"/>
    <n v="0"/>
    <s v="NO"/>
    <n v="0"/>
    <x v="1"/>
    <n v="1"/>
    <s v="YES"/>
    <n v="110"/>
    <n v="70"/>
    <n v="6"/>
    <n v="2"/>
    <n v="9"/>
    <n v="11"/>
    <n v="7"/>
    <x v="0"/>
    <n v="8"/>
    <n v="20"/>
    <n v="95.333333333333329"/>
    <x v="0"/>
    <x v="2"/>
    <x v="0"/>
  </r>
  <r>
    <n v="444"/>
    <n v="444"/>
    <n v="1"/>
    <x v="1"/>
    <n v="39"/>
    <n v="55"/>
    <n v="150"/>
    <n v="15"/>
    <n v="78"/>
    <n v="20"/>
    <n v="10.7"/>
    <n v="4"/>
    <n v="7"/>
    <n v="13"/>
    <n v="1"/>
    <s v="YES"/>
    <n v="0"/>
    <n v="12.37"/>
    <x v="190"/>
    <n v="5.4"/>
    <n v="1.95"/>
    <n v="2.7692307692307696"/>
    <x v="0"/>
    <n v="38"/>
    <n v="36"/>
    <n v="0.95"/>
    <n v="1"/>
    <n v="0.37"/>
    <n v="21.88"/>
    <n v="18.600000000000001"/>
    <x v="0"/>
    <n v="0.46"/>
    <n v="94"/>
    <n v="0"/>
    <x v="0"/>
    <n v="0"/>
    <s v="NO"/>
    <n v="0"/>
    <s v="NO"/>
    <n v="0"/>
    <s v="NO"/>
    <n v="1"/>
    <s v="YES"/>
    <n v="1"/>
    <x v="0"/>
    <n v="0"/>
    <s v="NO"/>
    <n v="120"/>
    <n v="80"/>
    <n v="12"/>
    <n v="11"/>
    <n v="19"/>
    <n v="19"/>
    <n v="8.1"/>
    <x v="0"/>
    <n v="23"/>
    <n v="38"/>
    <n v="110.66666666666667"/>
    <x v="2"/>
    <x v="2"/>
    <x v="0"/>
  </r>
  <r>
    <n v="445"/>
    <n v="445"/>
    <n v="1"/>
    <x v="1"/>
    <n v="27"/>
    <n v="52"/>
    <n v="150"/>
    <n v="11"/>
    <n v="82"/>
    <n v="20"/>
    <n v="11.1"/>
    <n v="2"/>
    <n v="5"/>
    <n v="5"/>
    <n v="0"/>
    <s v="NO"/>
    <n v="0"/>
    <n v="1.99"/>
    <x v="0"/>
    <n v="4.97"/>
    <n v="2.23"/>
    <n v="2.2286995515695067"/>
    <x v="0"/>
    <n v="36"/>
    <n v="32"/>
    <n v="0.89"/>
    <n v="1.94"/>
    <n v="16.899999999999999"/>
    <n v="9.1199999999999992"/>
    <n v="23.6"/>
    <x v="1"/>
    <n v="0.25"/>
    <n v="93"/>
    <n v="0"/>
    <x v="0"/>
    <n v="0"/>
    <s v="NO"/>
    <n v="0"/>
    <s v="NO"/>
    <n v="0"/>
    <s v="NO"/>
    <n v="0"/>
    <s v="NO"/>
    <n v="1"/>
    <x v="0"/>
    <n v="1"/>
    <s v="YES"/>
    <n v="120"/>
    <n v="80"/>
    <n v="1"/>
    <n v="1"/>
    <n v="16"/>
    <n v="17"/>
    <n v="8.5500000000000007"/>
    <x v="0"/>
    <n v="2"/>
    <n v="33"/>
    <n v="107"/>
    <x v="0"/>
    <x v="0"/>
    <x v="0"/>
  </r>
  <r>
    <n v="446"/>
    <n v="446"/>
    <n v="1"/>
    <x v="1"/>
    <n v="26"/>
    <n v="72"/>
    <n v="150"/>
    <n v="15"/>
    <n v="72"/>
    <n v="20"/>
    <n v="12"/>
    <n v="4"/>
    <n v="2"/>
    <n v="3"/>
    <n v="0"/>
    <s v="NO"/>
    <n v="0"/>
    <n v="144.63"/>
    <x v="0"/>
    <n v="3.63"/>
    <n v="8.34"/>
    <n v="0.43525179856115109"/>
    <x v="1"/>
    <n v="42"/>
    <n v="40"/>
    <n v="0.95"/>
    <n v="2.92"/>
    <n v="26.4"/>
    <n v="29.72"/>
    <n v="22.4"/>
    <x v="1"/>
    <n v="0.38"/>
    <n v="93"/>
    <n v="1"/>
    <x v="1"/>
    <n v="0"/>
    <s v="NO"/>
    <n v="1"/>
    <s v="YES"/>
    <n v="0"/>
    <s v="NO"/>
    <n v="1"/>
    <s v="YES"/>
    <n v="1"/>
    <x v="0"/>
    <n v="0"/>
    <s v="NO"/>
    <n v="110"/>
    <n v="80"/>
    <n v="8"/>
    <n v="7"/>
    <n v="20"/>
    <n v="20"/>
    <n v="6"/>
    <x v="3"/>
    <n v="15"/>
    <n v="40"/>
    <n v="109.33333333333333"/>
    <x v="2"/>
    <x v="1"/>
    <x v="1"/>
  </r>
  <r>
    <n v="447"/>
    <n v="447"/>
    <n v="0"/>
    <x v="0"/>
    <n v="29"/>
    <n v="63"/>
    <n v="162"/>
    <n v="11"/>
    <n v="72"/>
    <n v="18"/>
    <n v="13.2"/>
    <n v="2"/>
    <n v="5"/>
    <n v="11"/>
    <n v="0"/>
    <s v="NO"/>
    <n v="0"/>
    <n v="30004"/>
    <x v="90"/>
    <n v="1.99"/>
    <n v="1.61"/>
    <n v="1.2360248447204969"/>
    <x v="1"/>
    <n v="39"/>
    <n v="37"/>
    <n v="0.95"/>
    <n v="1.77"/>
    <n v="5.96"/>
    <n v="21.95"/>
    <n v="22.7"/>
    <x v="1"/>
    <n v="0.46"/>
    <n v="95"/>
    <n v="0"/>
    <x v="0"/>
    <n v="1"/>
    <s v="YES"/>
    <n v="1"/>
    <s v="YES"/>
    <n v="0"/>
    <s v="NO"/>
    <n v="0"/>
    <s v="NO"/>
    <n v="1"/>
    <x v="0"/>
    <n v="0"/>
    <s v="NO"/>
    <n v="110"/>
    <n v="80"/>
    <n v="6"/>
    <n v="7"/>
    <n v="18"/>
    <n v="19"/>
    <n v="5.9"/>
    <x v="0"/>
    <n v="13"/>
    <n v="37"/>
    <n v="108.66666666666667"/>
    <x v="1"/>
    <x v="1"/>
    <x v="1"/>
  </r>
  <r>
    <n v="448"/>
    <n v="448"/>
    <n v="1"/>
    <x v="1"/>
    <n v="47"/>
    <n v="62.7"/>
    <n v="160"/>
    <n v="15"/>
    <n v="72"/>
    <n v="18"/>
    <n v="10"/>
    <n v="4"/>
    <n v="7"/>
    <n v="30"/>
    <n v="0"/>
    <s v="NO"/>
    <n v="0"/>
    <n v="30007"/>
    <x v="0"/>
    <n v="1.88"/>
    <n v="0.25"/>
    <n v="7.52"/>
    <x v="0"/>
    <n v="39"/>
    <n v="36"/>
    <n v="0.92"/>
    <n v="2.4700000000000002"/>
    <n v="6.2"/>
    <n v="31.47"/>
    <n v="12.1"/>
    <x v="0"/>
    <n v="0.25"/>
    <n v="92"/>
    <n v="0"/>
    <x v="0"/>
    <n v="0"/>
    <s v="NO"/>
    <n v="0"/>
    <s v="NO"/>
    <n v="0"/>
    <s v="NO"/>
    <n v="1"/>
    <s v="YES"/>
    <n v="1"/>
    <x v="0"/>
    <n v="1"/>
    <s v="YES"/>
    <n v="110"/>
    <n v="80"/>
    <n v="14"/>
    <n v="11"/>
    <n v="20"/>
    <n v="19"/>
    <n v="6"/>
    <x v="0"/>
    <n v="25"/>
    <n v="39"/>
    <n v="111.33333333333333"/>
    <x v="2"/>
    <x v="2"/>
    <x v="1"/>
  </r>
  <r>
    <n v="449"/>
    <n v="449"/>
    <n v="0"/>
    <x v="0"/>
    <n v="41"/>
    <n v="71.5"/>
    <n v="160"/>
    <n v="15"/>
    <n v="74"/>
    <n v="20"/>
    <n v="11"/>
    <n v="4"/>
    <n v="7"/>
    <n v="16"/>
    <n v="1"/>
    <s v="YES"/>
    <n v="1"/>
    <n v="1.9"/>
    <x v="0"/>
    <n v="4.74"/>
    <n v="3.6"/>
    <n v="1.3166666666666667"/>
    <x v="1"/>
    <n v="42"/>
    <n v="39"/>
    <n v="0.93"/>
    <n v="1.0900000000000001"/>
    <n v="9.1"/>
    <n v="22.62"/>
    <n v="31.6"/>
    <x v="1"/>
    <n v="0.25"/>
    <n v="85"/>
    <n v="1"/>
    <x v="1"/>
    <n v="1"/>
    <s v="YES"/>
    <n v="1"/>
    <s v="YES"/>
    <n v="0"/>
    <s v="NO"/>
    <n v="0"/>
    <s v="NO"/>
    <n v="1"/>
    <x v="0"/>
    <n v="0"/>
    <s v="NO"/>
    <n v="120"/>
    <n v="80"/>
    <n v="9"/>
    <n v="7"/>
    <n v="19"/>
    <n v="18"/>
    <n v="8"/>
    <x v="1"/>
    <n v="16"/>
    <n v="37"/>
    <n v="109.66666666666667"/>
    <x v="2"/>
    <x v="1"/>
    <x v="0"/>
  </r>
  <r>
    <n v="450"/>
    <n v="450"/>
    <n v="1"/>
    <x v="1"/>
    <n v="33"/>
    <n v="63"/>
    <n v="159"/>
    <n v="15"/>
    <n v="72"/>
    <n v="18"/>
    <n v="10.1"/>
    <n v="4"/>
    <n v="2"/>
    <n v="7"/>
    <n v="1"/>
    <s v="YES"/>
    <n v="0"/>
    <n v="294.06"/>
    <x v="0"/>
    <n v="5.0199999999999996"/>
    <n v="12.04"/>
    <n v="0.4169435215946844"/>
    <x v="1"/>
    <n v="39"/>
    <n v="37"/>
    <n v="0.95"/>
    <n v="3.15"/>
    <n v="0.8"/>
    <n v="33.229999999999997"/>
    <n v="40.200000000000003"/>
    <x v="1"/>
    <n v="0.3"/>
    <n v="100"/>
    <n v="0"/>
    <x v="0"/>
    <n v="0"/>
    <s v="NO"/>
    <n v="0"/>
    <s v="NO"/>
    <n v="0"/>
    <s v="NO"/>
    <n v="1"/>
    <s v="YES"/>
    <n v="1"/>
    <x v="0"/>
    <n v="0"/>
    <s v="NO"/>
    <n v="120"/>
    <n v="80"/>
    <n v="6"/>
    <n v="8"/>
    <n v="19"/>
    <n v="17"/>
    <n v="8.1999999999999993"/>
    <x v="1"/>
    <n v="14"/>
    <n v="36"/>
    <n v="108.66666666666667"/>
    <x v="1"/>
    <x v="2"/>
    <x v="0"/>
  </r>
  <r>
    <n v="451"/>
    <n v="451"/>
    <n v="1"/>
    <x v="1"/>
    <n v="34"/>
    <n v="69"/>
    <n v="167.64"/>
    <n v="15"/>
    <n v="80"/>
    <n v="20"/>
    <n v="11.5"/>
    <n v="2"/>
    <n v="5"/>
    <n v="10"/>
    <n v="0"/>
    <s v="NO"/>
    <n v="0"/>
    <n v="53.51"/>
    <x v="191"/>
    <n v="4.07"/>
    <n v="1.93"/>
    <n v="2.1088082901554408"/>
    <x v="0"/>
    <n v="40"/>
    <n v="38"/>
    <n v="0.95"/>
    <n v="3.08"/>
    <n v="0.91"/>
    <n v="25.61"/>
    <n v="61.3"/>
    <x v="1"/>
    <n v="0.32"/>
    <n v="107"/>
    <n v="1"/>
    <x v="1"/>
    <n v="1"/>
    <s v="YES"/>
    <n v="0"/>
    <s v="NO"/>
    <n v="1"/>
    <s v="YES"/>
    <n v="1"/>
    <s v="YES"/>
    <n v="1"/>
    <x v="0"/>
    <n v="0"/>
    <s v="NO"/>
    <n v="110"/>
    <n v="80"/>
    <n v="20"/>
    <n v="16"/>
    <n v="18"/>
    <n v="14"/>
    <n v="7"/>
    <x v="0"/>
    <n v="36"/>
    <n v="32"/>
    <n v="113.33333333333334"/>
    <x v="1"/>
    <x v="4"/>
    <x v="1"/>
  </r>
  <r>
    <n v="452"/>
    <n v="452"/>
    <n v="1"/>
    <x v="1"/>
    <n v="30"/>
    <n v="44"/>
    <n v="161.54400000000001"/>
    <n v="12"/>
    <n v="72"/>
    <n v="18"/>
    <n v="11.4"/>
    <n v="2"/>
    <n v="4"/>
    <n v="4"/>
    <n v="1"/>
    <s v="YES"/>
    <n v="0"/>
    <n v="595.79999999999995"/>
    <x v="192"/>
    <n v="8.25"/>
    <n v="0.46"/>
    <n v="17.934782608695652"/>
    <x v="0"/>
    <n v="28"/>
    <n v="24"/>
    <n v="0.86"/>
    <n v="3.51"/>
    <n v="0.98"/>
    <n v="26.42"/>
    <n v="30.5"/>
    <x v="1"/>
    <n v="0.24"/>
    <n v="84"/>
    <n v="0"/>
    <x v="0"/>
    <n v="0"/>
    <s v="NO"/>
    <n v="0"/>
    <s v="NO"/>
    <n v="0"/>
    <s v="NO"/>
    <n v="0"/>
    <s v="NO"/>
    <n v="0"/>
    <x v="1"/>
    <n v="1"/>
    <s v="YES"/>
    <n v="100"/>
    <n v="70"/>
    <n v="5"/>
    <n v="18"/>
    <n v="11"/>
    <n v="21"/>
    <n v="9.65"/>
    <x v="2"/>
    <n v="23"/>
    <n v="32"/>
    <n v="95"/>
    <x v="1"/>
    <x v="0"/>
    <x v="0"/>
  </r>
  <r>
    <n v="453"/>
    <n v="453"/>
    <n v="1"/>
    <x v="1"/>
    <n v="31"/>
    <n v="50"/>
    <n v="158"/>
    <n v="11"/>
    <n v="74"/>
    <n v="20"/>
    <n v="10.8"/>
    <n v="2"/>
    <n v="5"/>
    <n v="11"/>
    <n v="0"/>
    <s v="NO"/>
    <n v="0"/>
    <n v="482.87"/>
    <x v="0"/>
    <n v="3.07"/>
    <n v="0.5"/>
    <n v="6.14"/>
    <x v="0"/>
    <n v="36"/>
    <n v="30"/>
    <n v="0.83"/>
    <n v="1.33"/>
    <n v="0.89"/>
    <n v="19.510000000000002"/>
    <n v="29.2"/>
    <x v="1"/>
    <n v="0.25"/>
    <n v="92"/>
    <n v="0"/>
    <x v="0"/>
    <n v="0"/>
    <s v="NO"/>
    <n v="1"/>
    <s v="YES"/>
    <n v="0"/>
    <s v="NO"/>
    <n v="1"/>
    <s v="YES"/>
    <n v="1"/>
    <x v="0"/>
    <n v="1"/>
    <s v="YES"/>
    <n v="110"/>
    <n v="80"/>
    <n v="10"/>
    <n v="19"/>
    <n v="17"/>
    <n v="18"/>
    <n v="8.5"/>
    <x v="0"/>
    <n v="29"/>
    <n v="35"/>
    <n v="110"/>
    <x v="1"/>
    <x v="1"/>
    <x v="1"/>
  </r>
  <r>
    <n v="454"/>
    <n v="454"/>
    <n v="1"/>
    <x v="1"/>
    <n v="35"/>
    <n v="57"/>
    <n v="154"/>
    <n v="15"/>
    <n v="72"/>
    <n v="18"/>
    <n v="10.7"/>
    <n v="2"/>
    <n v="5"/>
    <n v="7"/>
    <n v="0"/>
    <s v="NO"/>
    <n v="0"/>
    <n v="950.41"/>
    <x v="0"/>
    <n v="4.41"/>
    <n v="1.97"/>
    <n v="2.2385786802030458"/>
    <x v="0"/>
    <n v="38"/>
    <n v="32"/>
    <n v="0.84"/>
    <n v="5"/>
    <n v="0.87"/>
    <n v="12.71"/>
    <n v="16"/>
    <x v="0"/>
    <n v="0.27"/>
    <n v="92"/>
    <n v="0"/>
    <x v="0"/>
    <n v="0"/>
    <s v="NO"/>
    <n v="0"/>
    <s v="NO"/>
    <n v="0"/>
    <s v="NO"/>
    <n v="0"/>
    <s v="NO"/>
    <n v="0"/>
    <x v="1"/>
    <n v="1"/>
    <s v="YES"/>
    <n v="110"/>
    <n v="70"/>
    <n v="11"/>
    <n v="15"/>
    <n v="19"/>
    <n v="21"/>
    <n v="7.85"/>
    <x v="0"/>
    <n v="26"/>
    <n v="40"/>
    <n v="97"/>
    <x v="1"/>
    <x v="0"/>
    <x v="1"/>
  </r>
  <r>
    <n v="455"/>
    <n v="455"/>
    <n v="1"/>
    <x v="1"/>
    <n v="35"/>
    <n v="61"/>
    <n v="158"/>
    <n v="13"/>
    <n v="72"/>
    <n v="18"/>
    <n v="10.5"/>
    <n v="2"/>
    <n v="5"/>
    <n v="13"/>
    <n v="0"/>
    <s v="NO"/>
    <n v="1"/>
    <n v="355.51"/>
    <x v="0"/>
    <n v="3.71"/>
    <n v="2.67"/>
    <n v="1.3895131086142323"/>
    <x v="1"/>
    <n v="38"/>
    <n v="33"/>
    <n v="0.87"/>
    <n v="2.97"/>
    <n v="9.6999999999999993"/>
    <n v="20.350000000000001"/>
    <n v="15"/>
    <x v="0"/>
    <n v="0.28999999999999998"/>
    <n v="93"/>
    <n v="0"/>
    <x v="0"/>
    <n v="0"/>
    <s v="NO"/>
    <n v="1"/>
    <s v="YES"/>
    <n v="0"/>
    <s v="NO"/>
    <n v="1"/>
    <s v="YES"/>
    <n v="1"/>
    <x v="0"/>
    <n v="1"/>
    <s v="YES"/>
    <n v="120"/>
    <n v="80"/>
    <n v="12"/>
    <n v="13"/>
    <n v="19"/>
    <n v="18"/>
    <n v="8.1999999999999993"/>
    <x v="0"/>
    <n v="25"/>
    <n v="37"/>
    <n v="110.66666666666667"/>
    <x v="1"/>
    <x v="1"/>
    <x v="1"/>
  </r>
  <r>
    <n v="456"/>
    <n v="456"/>
    <n v="1"/>
    <x v="1"/>
    <n v="32"/>
    <n v="52"/>
    <n v="150"/>
    <n v="13"/>
    <n v="70"/>
    <n v="18"/>
    <n v="9.4"/>
    <n v="2"/>
    <n v="5"/>
    <n v="12"/>
    <n v="0"/>
    <s v="NO"/>
    <n v="0"/>
    <n v="272.77999999999997"/>
    <x v="0"/>
    <n v="4.33"/>
    <n v="2018"/>
    <n v="2.1456888007928641E-3"/>
    <x v="1"/>
    <n v="36"/>
    <n v="32"/>
    <n v="0.89"/>
    <n v="2.1"/>
    <n v="7.7"/>
    <n v="40.47"/>
    <n v="41.04"/>
    <x v="1"/>
    <n v="0.25"/>
    <n v="93"/>
    <n v="0"/>
    <x v="0"/>
    <n v="0"/>
    <s v="NO"/>
    <n v="0"/>
    <s v="NO"/>
    <n v="0"/>
    <s v="NO"/>
    <n v="1"/>
    <s v="YES"/>
    <n v="0"/>
    <x v="1"/>
    <n v="1"/>
    <s v="YES"/>
    <n v="110"/>
    <n v="80"/>
    <n v="6"/>
    <n v="7"/>
    <n v="18"/>
    <n v="18"/>
    <n v="9"/>
    <x v="0"/>
    <n v="13"/>
    <n v="36"/>
    <n v="108.66666666666667"/>
    <x v="1"/>
    <x v="2"/>
    <x v="1"/>
  </r>
  <r>
    <n v="457"/>
    <n v="457"/>
    <n v="1"/>
    <x v="1"/>
    <n v="31"/>
    <n v="51"/>
    <n v="156"/>
    <n v="17"/>
    <n v="78"/>
    <n v="20"/>
    <n v="11.1"/>
    <n v="2"/>
    <n v="6"/>
    <n v="5"/>
    <n v="0"/>
    <s v="NO"/>
    <n v="0"/>
    <n v="148.52000000000001"/>
    <x v="0"/>
    <n v="4.96"/>
    <n v="1.75"/>
    <n v="2.8342857142857141"/>
    <x v="0"/>
    <n v="36"/>
    <n v="31"/>
    <n v="0.86"/>
    <n v="2.2000000000000002"/>
    <n v="1.1000000000000001"/>
    <n v="12.11"/>
    <n v="25.7"/>
    <x v="1"/>
    <n v="0.35"/>
    <n v="93"/>
    <n v="0"/>
    <x v="0"/>
    <n v="0"/>
    <s v="NO"/>
    <n v="1"/>
    <s v="YES"/>
    <n v="0"/>
    <s v="NO"/>
    <n v="1"/>
    <s v="YES"/>
    <n v="0"/>
    <x v="1"/>
    <n v="1"/>
    <s v="YES"/>
    <n v="120"/>
    <n v="70"/>
    <n v="14"/>
    <n v="10"/>
    <n v="17"/>
    <n v="17"/>
    <n v="7"/>
    <x v="0"/>
    <n v="24"/>
    <n v="34"/>
    <n v="98"/>
    <x v="1"/>
    <x v="1"/>
    <x v="1"/>
  </r>
  <r>
    <n v="458"/>
    <n v="458"/>
    <n v="1"/>
    <x v="1"/>
    <n v="31"/>
    <n v="38"/>
    <n v="158.49600000000001"/>
    <n v="15"/>
    <n v="80"/>
    <n v="20"/>
    <n v="12"/>
    <n v="4"/>
    <n v="2"/>
    <n v="3"/>
    <n v="0"/>
    <s v="NO"/>
    <n v="0"/>
    <n v="1.92"/>
    <x v="0"/>
    <n v="3.99"/>
    <n v="6.63"/>
    <n v="0.6018099547511313"/>
    <x v="1"/>
    <n v="26"/>
    <n v="25"/>
    <n v="0.96"/>
    <n v="1.3"/>
    <n v="17.600000000000001"/>
    <n v="13.91"/>
    <n v="19.5"/>
    <x v="0"/>
    <n v="0.25"/>
    <n v="133"/>
    <n v="0"/>
    <x v="0"/>
    <n v="0"/>
    <s v="NO"/>
    <n v="0"/>
    <s v="NO"/>
    <n v="0"/>
    <s v="NO"/>
    <n v="1"/>
    <s v="YES"/>
    <n v="0"/>
    <x v="1"/>
    <n v="0"/>
    <s v="NO"/>
    <n v="120"/>
    <n v="70"/>
    <n v="7"/>
    <n v="6"/>
    <n v="17"/>
    <n v="19"/>
    <n v="8"/>
    <x v="2"/>
    <n v="13"/>
    <n v="36"/>
    <n v="95.666666666666671"/>
    <x v="1"/>
    <x v="2"/>
    <x v="0"/>
  </r>
  <r>
    <n v="459"/>
    <n v="459"/>
    <n v="1"/>
    <x v="1"/>
    <n v="36"/>
    <n v="66"/>
    <n v="162"/>
    <n v="15"/>
    <n v="72"/>
    <n v="20"/>
    <n v="11"/>
    <n v="4"/>
    <n v="7"/>
    <m/>
    <n v="0"/>
    <s v="NO"/>
    <n v="0"/>
    <n v="515.33000000000004"/>
    <x v="0"/>
    <n v="1.64"/>
    <n v="0.17"/>
    <n v="9.6470588235294112"/>
    <x v="0"/>
    <n v="39"/>
    <n v="37"/>
    <n v="0.95"/>
    <n v="1.86"/>
    <n v="6.6"/>
    <n v="25"/>
    <n v="20.8"/>
    <x v="1"/>
    <n v="0.25"/>
    <n v="93"/>
    <n v="0"/>
    <x v="0"/>
    <n v="0"/>
    <s v="NO"/>
    <n v="0"/>
    <s v="NO"/>
    <n v="0"/>
    <s v="NO"/>
    <n v="0"/>
    <s v="NO"/>
    <n v="0"/>
    <x v="1"/>
    <n v="0"/>
    <s v="NO"/>
    <n v="120"/>
    <n v="80"/>
    <n v="14"/>
    <n v="5"/>
    <n v="19"/>
    <n v="19"/>
    <n v="8"/>
    <x v="1"/>
    <n v="19"/>
    <n v="38"/>
    <n v="111.33333333333333"/>
    <x v="2"/>
    <x v="0"/>
    <x v="1"/>
  </r>
  <r>
    <n v="460"/>
    <n v="460"/>
    <n v="0"/>
    <x v="0"/>
    <n v="36"/>
    <n v="55"/>
    <n v="154"/>
    <n v="13"/>
    <n v="74"/>
    <n v="18"/>
    <n v="10"/>
    <n v="2"/>
    <n v="5"/>
    <n v="8"/>
    <n v="0"/>
    <s v="NO"/>
    <n v="0"/>
    <n v="8"/>
    <x v="0"/>
    <n v="3.22"/>
    <n v="0.1"/>
    <n v="32.200000000000003"/>
    <x v="0"/>
    <n v="38"/>
    <n v="37"/>
    <n v="0.97"/>
    <n v="2.91"/>
    <n v="5"/>
    <n v="22.84"/>
    <n v="53.21"/>
    <x v="1"/>
    <n v="0.26"/>
    <n v="92"/>
    <n v="0"/>
    <x v="0"/>
    <n v="0"/>
    <s v="NO"/>
    <n v="0"/>
    <s v="NO"/>
    <n v="1"/>
    <s v="YES"/>
    <n v="0"/>
    <s v="NO"/>
    <n v="1"/>
    <x v="0"/>
    <n v="0"/>
    <s v="NO"/>
    <n v="110"/>
    <n v="80"/>
    <n v="4"/>
    <n v="1"/>
    <n v="22"/>
    <n v="14"/>
    <n v="10.5"/>
    <x v="0"/>
    <n v="5"/>
    <n v="36"/>
    <n v="108"/>
    <x v="0"/>
    <x v="2"/>
    <x v="1"/>
  </r>
  <r>
    <n v="461"/>
    <n v="461"/>
    <n v="0"/>
    <x v="0"/>
    <n v="27"/>
    <n v="63"/>
    <n v="158"/>
    <n v="12"/>
    <n v="72"/>
    <n v="18"/>
    <n v="11.2"/>
    <n v="2"/>
    <n v="4"/>
    <n v="2.5"/>
    <n v="0"/>
    <s v="NO"/>
    <n v="1"/>
    <n v="152.66999999999999"/>
    <x v="0"/>
    <n v="7.9"/>
    <n v="3.36"/>
    <n v="2.3511904761904763"/>
    <x v="0"/>
    <n v="39"/>
    <n v="37"/>
    <n v="0.95"/>
    <n v="2.2799999999999998"/>
    <n v="7"/>
    <n v="13.11"/>
    <n v="42.12"/>
    <x v="1"/>
    <n v="0.25"/>
    <n v="80"/>
    <n v="0"/>
    <x v="0"/>
    <n v="0"/>
    <s v="NO"/>
    <n v="0"/>
    <s v="NO"/>
    <n v="0"/>
    <s v="NO"/>
    <n v="0"/>
    <s v="NO"/>
    <n v="1"/>
    <x v="0"/>
    <n v="0"/>
    <s v="NO"/>
    <n v="110"/>
    <n v="70"/>
    <n v="5"/>
    <n v="8"/>
    <n v="18"/>
    <n v="19"/>
    <n v="7.35"/>
    <x v="1"/>
    <n v="13"/>
    <n v="37"/>
    <n v="95"/>
    <x v="1"/>
    <x v="0"/>
    <x v="1"/>
  </r>
  <r>
    <n v="462"/>
    <n v="462"/>
    <n v="0"/>
    <x v="0"/>
    <n v="33"/>
    <n v="55"/>
    <n v="158.49600000000001"/>
    <n v="15"/>
    <n v="72"/>
    <n v="22"/>
    <n v="12"/>
    <n v="2"/>
    <n v="5"/>
    <n v="6"/>
    <n v="1"/>
    <s v="YES"/>
    <n v="0"/>
    <n v="480.2"/>
    <x v="50"/>
    <n v="3.82"/>
    <n v="1.38"/>
    <n v="2.7681159420289858"/>
    <x v="0"/>
    <n v="38"/>
    <n v="36"/>
    <n v="0.95"/>
    <n v="2.16"/>
    <n v="9"/>
    <n v="32.369999999999997"/>
    <n v="19.8"/>
    <x v="0"/>
    <n v="0.24"/>
    <n v="92"/>
    <n v="0"/>
    <x v="0"/>
    <n v="0"/>
    <s v="NO"/>
    <n v="0"/>
    <s v="NO"/>
    <n v="0"/>
    <s v="NO"/>
    <n v="0"/>
    <s v="NO"/>
    <n v="1"/>
    <x v="0"/>
    <n v="0"/>
    <s v="NO"/>
    <n v="110"/>
    <n v="80"/>
    <n v="0"/>
    <n v="4"/>
    <n v="0"/>
    <n v="20"/>
    <n v="8.9"/>
    <x v="0"/>
    <n v="4"/>
    <n v="20"/>
    <n v="106.66666666666667"/>
    <x v="0"/>
    <x v="0"/>
    <x v="0"/>
  </r>
  <r>
    <n v="463"/>
    <n v="463"/>
    <n v="1"/>
    <x v="1"/>
    <n v="33"/>
    <n v="89"/>
    <n v="163"/>
    <n v="12"/>
    <n v="78"/>
    <n v="22"/>
    <n v="10.8"/>
    <n v="4"/>
    <n v="7"/>
    <n v="6"/>
    <n v="1"/>
    <s v="YES"/>
    <n v="0"/>
    <n v="381.99"/>
    <x v="13"/>
    <n v="3.45"/>
    <n v="0.72"/>
    <n v="4.791666666666667"/>
    <x v="0"/>
    <n v="46"/>
    <n v="40"/>
    <n v="0.87"/>
    <n v="0.73"/>
    <n v="0.7"/>
    <n v="15.23"/>
    <n v="16.7"/>
    <x v="0"/>
    <n v="0.28000000000000003"/>
    <n v="100"/>
    <n v="1"/>
    <x v="1"/>
    <n v="0"/>
    <s v="NO"/>
    <n v="1"/>
    <s v="YES"/>
    <n v="1"/>
    <s v="YES"/>
    <n v="1"/>
    <s v="YES"/>
    <n v="1"/>
    <x v="0"/>
    <n v="0"/>
    <s v="NO"/>
    <n v="120"/>
    <n v="80"/>
    <n v="13"/>
    <n v="12"/>
    <n v="19"/>
    <n v="18"/>
    <n v="7.9"/>
    <x v="3"/>
    <n v="25"/>
    <n v="37"/>
    <n v="111"/>
    <x v="2"/>
    <x v="4"/>
    <x v="0"/>
  </r>
  <r>
    <n v="464"/>
    <n v="464"/>
    <n v="0"/>
    <x v="0"/>
    <n v="41"/>
    <n v="45"/>
    <n v="160"/>
    <n v="14"/>
    <n v="78"/>
    <n v="22"/>
    <n v="11"/>
    <n v="2"/>
    <n v="5"/>
    <n v="18"/>
    <n v="1"/>
    <s v="YES"/>
    <n v="0"/>
    <n v="152.9"/>
    <x v="193"/>
    <n v="4.41"/>
    <n v="1.27"/>
    <n v="3.4724409448818898"/>
    <x v="0"/>
    <n v="38"/>
    <n v="37"/>
    <n v="0.97"/>
    <n v="2.19"/>
    <n v="10"/>
    <n v="22.61"/>
    <n v="25.456"/>
    <x v="1"/>
    <n v="0.3"/>
    <n v="100"/>
    <n v="0"/>
    <x v="0"/>
    <n v="1"/>
    <s v="YES"/>
    <n v="1"/>
    <s v="YES"/>
    <n v="1"/>
    <s v="YES"/>
    <n v="1"/>
    <s v="YES"/>
    <n v="1"/>
    <x v="0"/>
    <n v="0"/>
    <s v="NO"/>
    <n v="110"/>
    <n v="80"/>
    <n v="2"/>
    <n v="1"/>
    <n v="19"/>
    <n v="18"/>
    <n v="7.2"/>
    <x v="2"/>
    <n v="3"/>
    <n v="37"/>
    <n v="107.33333333333333"/>
    <x v="1"/>
    <x v="3"/>
    <x v="0"/>
  </r>
  <r>
    <n v="465"/>
    <n v="465"/>
    <n v="1"/>
    <x v="1"/>
    <n v="34"/>
    <n v="54"/>
    <n v="153"/>
    <n v="16"/>
    <n v="72"/>
    <n v="20"/>
    <n v="11"/>
    <n v="4"/>
    <n v="7"/>
    <n v="3.5"/>
    <n v="0"/>
    <s v="NO"/>
    <n v="0"/>
    <n v="598.08000000000004"/>
    <x v="0"/>
    <n v="2.2400000000000002"/>
    <n v="2.2999999999999998"/>
    <n v="0.97391304347826102"/>
    <x v="1"/>
    <n v="36"/>
    <n v="35"/>
    <n v="0.97"/>
    <n v="6.66"/>
    <n v="0.85"/>
    <n v="60.4"/>
    <n v="46.21"/>
    <x v="1"/>
    <n v="0.25"/>
    <n v="90"/>
    <n v="0"/>
    <x v="0"/>
    <n v="0"/>
    <s v="NO"/>
    <n v="0"/>
    <s v="NO"/>
    <n v="0"/>
    <s v="NO"/>
    <n v="0"/>
    <s v="NO"/>
    <n v="0"/>
    <x v="1"/>
    <n v="0"/>
    <s v="NO"/>
    <n v="110"/>
    <n v="80"/>
    <n v="21"/>
    <n v="19"/>
    <n v="16"/>
    <n v="18"/>
    <n v="7.6"/>
    <x v="0"/>
    <n v="40"/>
    <n v="34"/>
    <n v="113.66666666666666"/>
    <x v="2"/>
    <x v="0"/>
    <x v="1"/>
  </r>
  <r>
    <n v="466"/>
    <n v="466"/>
    <n v="0"/>
    <x v="0"/>
    <n v="33"/>
    <n v="50"/>
    <n v="150"/>
    <n v="15"/>
    <n v="70"/>
    <n v="18"/>
    <n v="10.8"/>
    <n v="2"/>
    <n v="4"/>
    <n v="8"/>
    <n v="0"/>
    <s v="NO"/>
    <n v="0"/>
    <n v="194.39"/>
    <x v="0"/>
    <n v="2.58"/>
    <n v="0.2"/>
    <n v="12.9"/>
    <x v="0"/>
    <n v="36"/>
    <n v="34"/>
    <n v="0.94"/>
    <n v="1.79"/>
    <n v="6"/>
    <n v="20.83"/>
    <n v="58.32"/>
    <x v="1"/>
    <n v="0.45"/>
    <n v="90"/>
    <n v="0"/>
    <x v="0"/>
    <n v="0"/>
    <s v="NO"/>
    <n v="0"/>
    <s v="NO"/>
    <n v="0"/>
    <s v="NO"/>
    <n v="0"/>
    <s v="NO"/>
    <n v="0"/>
    <x v="1"/>
    <n v="0"/>
    <s v="NO"/>
    <n v="110"/>
    <n v="80"/>
    <n v="6"/>
    <n v="9"/>
    <n v="20"/>
    <n v="18"/>
    <n v="8"/>
    <x v="0"/>
    <n v="15"/>
    <n v="38"/>
    <n v="108.66666666666667"/>
    <x v="1"/>
    <x v="0"/>
    <x v="1"/>
  </r>
  <r>
    <n v="467"/>
    <n v="467"/>
    <n v="0"/>
    <x v="0"/>
    <n v="35"/>
    <n v="61.8"/>
    <n v="153"/>
    <n v="17"/>
    <n v="70"/>
    <n v="20"/>
    <n v="12"/>
    <n v="2"/>
    <n v="4"/>
    <n v="11"/>
    <n v="0"/>
    <s v="NO"/>
    <n v="0"/>
    <n v="1.99"/>
    <x v="0"/>
    <n v="6.75"/>
    <n v="3.23"/>
    <n v="2.0897832817337463"/>
    <x v="0"/>
    <n v="39"/>
    <n v="38"/>
    <n v="0.97"/>
    <n v="2.2799999999999998"/>
    <n v="6"/>
    <n v="10.61"/>
    <n v="62.5"/>
    <x v="1"/>
    <n v="0.48"/>
    <n v="100"/>
    <n v="0"/>
    <x v="0"/>
    <n v="0"/>
    <s v="NO"/>
    <n v="0"/>
    <s v="NO"/>
    <n v="0"/>
    <s v="NO"/>
    <n v="0"/>
    <s v="NO"/>
    <n v="1"/>
    <x v="0"/>
    <n v="0"/>
    <s v="NO"/>
    <n v="120"/>
    <n v="80"/>
    <n v="11"/>
    <n v="9"/>
    <n v="21"/>
    <n v="16"/>
    <n v="8"/>
    <x v="1"/>
    <n v="20"/>
    <n v="37"/>
    <n v="110.33333333333333"/>
    <x v="1"/>
    <x v="0"/>
    <x v="0"/>
  </r>
  <r>
    <n v="468"/>
    <n v="468"/>
    <n v="1"/>
    <x v="1"/>
    <n v="32"/>
    <n v="64"/>
    <n v="162"/>
    <n v="12"/>
    <n v="72"/>
    <n v="18"/>
    <n v="11.5"/>
    <n v="4"/>
    <n v="2"/>
    <n v="9"/>
    <n v="1"/>
    <s v="YES"/>
    <n v="0"/>
    <n v="561.72"/>
    <x v="0"/>
    <n v="3.58"/>
    <n v="3.55"/>
    <n v="1.0084507042253521"/>
    <x v="1"/>
    <n v="39"/>
    <n v="34"/>
    <n v="0.87"/>
    <n v="0.57999999999999996"/>
    <n v="0.78"/>
    <n v="25.37"/>
    <n v="15.3"/>
    <x v="0"/>
    <n v="0.36"/>
    <n v="102"/>
    <n v="1"/>
    <x v="1"/>
    <n v="0"/>
    <s v="NO"/>
    <n v="0"/>
    <s v="NO"/>
    <n v="0"/>
    <s v="NO"/>
    <n v="0"/>
    <s v="NO"/>
    <n v="0"/>
    <x v="1"/>
    <n v="0"/>
    <s v="NO"/>
    <n v="110"/>
    <n v="70"/>
    <n v="13"/>
    <n v="12"/>
    <n v="19"/>
    <n v="19"/>
    <n v="7"/>
    <x v="0"/>
    <n v="25"/>
    <n v="38"/>
    <n v="97.666666666666671"/>
    <x v="2"/>
    <x v="0"/>
    <x v="0"/>
  </r>
  <r>
    <n v="469"/>
    <n v="469"/>
    <n v="0"/>
    <x v="0"/>
    <n v="40"/>
    <n v="56"/>
    <n v="148"/>
    <n v="12"/>
    <n v="72"/>
    <n v="18"/>
    <n v="10.5"/>
    <n v="2"/>
    <n v="5"/>
    <n v="7"/>
    <n v="1"/>
    <s v="YES"/>
    <n v="1"/>
    <n v="10"/>
    <x v="0"/>
    <n v="6.56"/>
    <n v="3.44"/>
    <n v="1.9069767441860463"/>
    <x v="1"/>
    <n v="38"/>
    <n v="34"/>
    <n v="0.89"/>
    <n v="5"/>
    <n v="16"/>
    <n v="32.46"/>
    <n v="21.6"/>
    <x v="1"/>
    <n v="0.25"/>
    <n v="92"/>
    <n v="0"/>
    <x v="0"/>
    <n v="0"/>
    <s v="NO"/>
    <n v="1"/>
    <s v="YES"/>
    <n v="0"/>
    <s v="NO"/>
    <n v="0"/>
    <s v="NO"/>
    <n v="1"/>
    <x v="0"/>
    <n v="1"/>
    <s v="YES"/>
    <n v="110"/>
    <n v="80"/>
    <n v="9"/>
    <n v="10"/>
    <n v="22"/>
    <n v="17"/>
    <n v="8.15"/>
    <x v="1"/>
    <n v="19"/>
    <n v="39"/>
    <n v="109.66666666666667"/>
    <x v="1"/>
    <x v="2"/>
    <x v="0"/>
  </r>
  <r>
    <n v="470"/>
    <n v="470"/>
    <n v="1"/>
    <x v="1"/>
    <n v="25"/>
    <n v="55"/>
    <n v="154"/>
    <n v="15"/>
    <n v="74"/>
    <n v="20"/>
    <n v="12"/>
    <n v="2"/>
    <n v="5"/>
    <n v="4"/>
    <n v="0"/>
    <s v="NO"/>
    <n v="0"/>
    <n v="10"/>
    <x v="0"/>
    <n v="4.67"/>
    <n v="0.71"/>
    <n v="6.5774647887323949"/>
    <x v="0"/>
    <n v="38"/>
    <n v="36"/>
    <n v="0.95"/>
    <n v="1.82"/>
    <n v="0.74"/>
    <n v="24.81"/>
    <n v="60.265000000000001"/>
    <x v="1"/>
    <n v="0.35"/>
    <n v="102"/>
    <n v="0"/>
    <x v="0"/>
    <n v="0"/>
    <s v="NO"/>
    <n v="0"/>
    <s v="NO"/>
    <n v="1"/>
    <s v="YES"/>
    <n v="0"/>
    <s v="NO"/>
    <n v="0"/>
    <x v="1"/>
    <n v="1"/>
    <s v="YES"/>
    <n v="110"/>
    <n v="70"/>
    <n v="12"/>
    <n v="12"/>
    <n v="24"/>
    <n v="18"/>
    <n v="8.9"/>
    <x v="0"/>
    <n v="24"/>
    <n v="42"/>
    <n v="97.333333333333329"/>
    <x v="1"/>
    <x v="2"/>
    <x v="1"/>
  </r>
  <r>
    <n v="471"/>
    <n v="471"/>
    <n v="1"/>
    <x v="1"/>
    <n v="34"/>
    <n v="52"/>
    <n v="149"/>
    <n v="13"/>
    <n v="80"/>
    <n v="20"/>
    <n v="12"/>
    <n v="4"/>
    <n v="7"/>
    <n v="10"/>
    <n v="0"/>
    <s v="NO"/>
    <n v="2"/>
    <n v="1.98"/>
    <x v="194"/>
    <n v="5.48"/>
    <n v="6.37"/>
    <n v="0.86028257456828894"/>
    <x v="1"/>
    <n v="36"/>
    <n v="32"/>
    <n v="0.89"/>
    <n v="2.93"/>
    <n v="0.91"/>
    <n v="19.21"/>
    <n v="12.3"/>
    <x v="0"/>
    <n v="0.34"/>
    <n v="100"/>
    <n v="0"/>
    <x v="0"/>
    <n v="1"/>
    <s v="YES"/>
    <n v="1"/>
    <s v="YES"/>
    <n v="1"/>
    <s v="YES"/>
    <n v="0"/>
    <s v="NO"/>
    <n v="1"/>
    <x v="0"/>
    <n v="1"/>
    <s v="YES"/>
    <n v="110"/>
    <n v="80"/>
    <n v="8"/>
    <n v="10"/>
    <n v="17"/>
    <n v="20"/>
    <n v="7"/>
    <x v="0"/>
    <n v="18"/>
    <n v="37"/>
    <n v="109.33333333333333"/>
    <x v="2"/>
    <x v="4"/>
    <x v="0"/>
  </r>
  <r>
    <n v="472"/>
    <n v="472"/>
    <n v="1"/>
    <x v="1"/>
    <n v="31"/>
    <n v="50"/>
    <n v="152"/>
    <n v="13"/>
    <n v="80"/>
    <n v="20"/>
    <n v="11"/>
    <n v="2"/>
    <n v="5"/>
    <n v="7"/>
    <n v="0"/>
    <s v="NO"/>
    <n v="0"/>
    <n v="381.9"/>
    <x v="0"/>
    <n v="6.21"/>
    <n v="1"/>
    <n v="6.21"/>
    <x v="0"/>
    <n v="36"/>
    <n v="34"/>
    <n v="0.94"/>
    <n v="1.75"/>
    <n v="0.99"/>
    <n v="32.06"/>
    <n v="18.5"/>
    <x v="0"/>
    <n v="0.25"/>
    <n v="90"/>
    <n v="0"/>
    <x v="0"/>
    <n v="0"/>
    <s v="NO"/>
    <n v="0"/>
    <s v="NO"/>
    <n v="1"/>
    <s v="YES"/>
    <n v="0"/>
    <s v="NO"/>
    <n v="1"/>
    <x v="0"/>
    <n v="0"/>
    <s v="NO"/>
    <n v="110"/>
    <n v="70"/>
    <n v="5"/>
    <n v="14"/>
    <n v="15"/>
    <n v="20"/>
    <n v="7.5"/>
    <x v="0"/>
    <n v="19"/>
    <n v="35"/>
    <n v="95"/>
    <x v="1"/>
    <x v="2"/>
    <x v="1"/>
  </r>
  <r>
    <n v="473"/>
    <n v="473"/>
    <n v="1"/>
    <x v="1"/>
    <n v="26"/>
    <n v="68"/>
    <n v="164.59200000000001"/>
    <n v="11"/>
    <n v="72"/>
    <n v="18"/>
    <n v="12"/>
    <n v="2"/>
    <n v="5"/>
    <n v="6"/>
    <n v="1"/>
    <s v="YES"/>
    <n v="1"/>
    <n v="10"/>
    <x v="195"/>
    <n v="5.05"/>
    <n v="2.0099999999999998"/>
    <n v="2.5124378109452739"/>
    <x v="0"/>
    <n v="42"/>
    <n v="38"/>
    <n v="0.9"/>
    <n v="1.27"/>
    <n v="0.9"/>
    <n v="14.85"/>
    <n v="32.799999999999997"/>
    <x v="1"/>
    <n v="0.24"/>
    <n v="92"/>
    <n v="1"/>
    <x v="1"/>
    <n v="0"/>
    <s v="NO"/>
    <n v="0"/>
    <s v="NO"/>
    <n v="0"/>
    <s v="NO"/>
    <n v="1"/>
    <s v="YES"/>
    <n v="1"/>
    <x v="0"/>
    <n v="0"/>
    <s v="NO"/>
    <n v="110"/>
    <n v="70"/>
    <n v="12"/>
    <n v="14"/>
    <n v="19"/>
    <n v="18"/>
    <n v="8.9499999999999993"/>
    <x v="1"/>
    <n v="26"/>
    <n v="37"/>
    <n v="97.333333333333329"/>
    <x v="1"/>
    <x v="2"/>
    <x v="0"/>
  </r>
  <r>
    <n v="474"/>
    <n v="474"/>
    <n v="0"/>
    <x v="0"/>
    <n v="39"/>
    <n v="50"/>
    <n v="154"/>
    <n v="15"/>
    <n v="78"/>
    <n v="22"/>
    <n v="12.1"/>
    <n v="2"/>
    <n v="5"/>
    <n v="16"/>
    <n v="0"/>
    <s v="NO"/>
    <n v="0"/>
    <n v="1.97"/>
    <x v="0"/>
    <n v="3.8"/>
    <n v="2"/>
    <n v="1.9"/>
    <x v="1"/>
    <n v="34"/>
    <n v="30"/>
    <n v="0.88"/>
    <n v="4.3499999999999996"/>
    <n v="4.13"/>
    <n v="14.13"/>
    <n v="23.7"/>
    <x v="1"/>
    <n v="0.25"/>
    <n v="100"/>
    <n v="0"/>
    <x v="0"/>
    <n v="0"/>
    <s v="NO"/>
    <n v="0"/>
    <s v="NO"/>
    <n v="0"/>
    <s v="NO"/>
    <n v="0"/>
    <s v="NO"/>
    <n v="0"/>
    <x v="1"/>
    <n v="0"/>
    <s v="NO"/>
    <n v="120"/>
    <n v="80"/>
    <n v="5"/>
    <n v="7"/>
    <n v="19"/>
    <n v="20"/>
    <n v="5"/>
    <x v="0"/>
    <n v="12"/>
    <n v="39"/>
    <n v="108.33333333333333"/>
    <x v="1"/>
    <x v="0"/>
    <x v="0"/>
  </r>
  <r>
    <n v="475"/>
    <n v="475"/>
    <n v="0"/>
    <x v="0"/>
    <n v="48"/>
    <n v="55"/>
    <n v="151"/>
    <n v="15"/>
    <n v="70"/>
    <n v="18"/>
    <n v="9.4"/>
    <n v="4"/>
    <n v="2"/>
    <n v="25"/>
    <n v="0"/>
    <s v="NO"/>
    <n v="0"/>
    <n v="4983.21"/>
    <x v="196"/>
    <n v="4.08"/>
    <n v="2.6"/>
    <n v="1.5692307692307692"/>
    <x v="1"/>
    <n v="38"/>
    <n v="36"/>
    <n v="0.95"/>
    <n v="0.45"/>
    <n v="4.0199999999999996"/>
    <n v="27.72"/>
    <n v="29.2"/>
    <x v="1"/>
    <n v="0.3"/>
    <n v="91"/>
    <n v="0"/>
    <x v="0"/>
    <n v="0"/>
    <s v="NO"/>
    <n v="0"/>
    <s v="NO"/>
    <n v="0"/>
    <s v="NO"/>
    <n v="1"/>
    <s v="YES"/>
    <n v="0"/>
    <x v="1"/>
    <n v="1"/>
    <s v="YES"/>
    <n v="130"/>
    <n v="80"/>
    <n v="9"/>
    <n v="10"/>
    <n v="18"/>
    <n v="19"/>
    <n v="9"/>
    <x v="0"/>
    <n v="19"/>
    <n v="37"/>
    <n v="109.66666666666667"/>
    <x v="2"/>
    <x v="2"/>
    <x v="1"/>
  </r>
  <r>
    <n v="476"/>
    <n v="476"/>
    <n v="1"/>
    <x v="1"/>
    <n v="31"/>
    <n v="55"/>
    <n v="156"/>
    <n v="13"/>
    <n v="72"/>
    <n v="20"/>
    <n v="12.1"/>
    <n v="2"/>
    <n v="4"/>
    <n v="7"/>
    <n v="1"/>
    <s v="YES"/>
    <n v="0"/>
    <n v="1.99"/>
    <x v="197"/>
    <n v="6.53"/>
    <n v="7.48"/>
    <n v="0.87299465240641705"/>
    <x v="1"/>
    <n v="38"/>
    <n v="32"/>
    <n v="0.84"/>
    <n v="2.31"/>
    <n v="6.09"/>
    <n v="14.79"/>
    <n v="30.8"/>
    <x v="1"/>
    <n v="0.25"/>
    <n v="84"/>
    <n v="0"/>
    <x v="0"/>
    <n v="0"/>
    <s v="NO"/>
    <n v="1"/>
    <s v="YES"/>
    <n v="0"/>
    <s v="NO"/>
    <n v="0"/>
    <s v="NO"/>
    <n v="0"/>
    <x v="1"/>
    <n v="1"/>
    <s v="YES"/>
    <n v="120"/>
    <n v="80"/>
    <n v="6"/>
    <n v="15"/>
    <n v="18"/>
    <n v="20"/>
    <n v="8.5"/>
    <x v="0"/>
    <n v="21"/>
    <n v="38"/>
    <n v="108.66666666666667"/>
    <x v="1"/>
    <x v="2"/>
    <x v="0"/>
  </r>
  <r>
    <n v="477"/>
    <n v="477"/>
    <n v="0"/>
    <x v="0"/>
    <n v="32"/>
    <n v="61"/>
    <n v="165"/>
    <n v="17"/>
    <n v="78"/>
    <n v="20"/>
    <n v="11.5"/>
    <n v="2"/>
    <n v="5"/>
    <n v="1.5"/>
    <n v="1"/>
    <s v="YES"/>
    <n v="0"/>
    <n v="1.97"/>
    <x v="0"/>
    <n v="9.14"/>
    <n v="3.37"/>
    <n v="2.7121661721068251"/>
    <x v="0"/>
    <n v="40"/>
    <n v="35"/>
    <n v="0.88"/>
    <n v="0.57999999999999996"/>
    <n v="0.71"/>
    <n v="20.07"/>
    <n v="36.299999999999997"/>
    <x v="1"/>
    <n v="0.64"/>
    <n v="116"/>
    <n v="0"/>
    <x v="0"/>
    <n v="0"/>
    <s v="NO"/>
    <n v="0"/>
    <s v="NO"/>
    <n v="0"/>
    <s v="NO"/>
    <n v="0"/>
    <s v="NO"/>
    <n v="0"/>
    <x v="1"/>
    <n v="1"/>
    <s v="YES"/>
    <n v="110"/>
    <n v="80"/>
    <n v="2"/>
    <n v="1"/>
    <n v="20"/>
    <n v="17"/>
    <n v="6.4"/>
    <x v="0"/>
    <n v="3"/>
    <n v="37"/>
    <n v="107.33333333333333"/>
    <x v="0"/>
    <x v="0"/>
    <x v="0"/>
  </r>
  <r>
    <n v="478"/>
    <n v="478"/>
    <n v="1"/>
    <x v="1"/>
    <n v="42"/>
    <n v="94"/>
    <n v="155.44800000000001"/>
    <n v="16"/>
    <n v="74"/>
    <n v="18"/>
    <n v="10.7"/>
    <n v="4"/>
    <n v="7"/>
    <n v="16"/>
    <n v="0"/>
    <s v="NO"/>
    <n v="0"/>
    <n v="501.31"/>
    <x v="0"/>
    <n v="5.59"/>
    <n v="2.02"/>
    <n v="2.7673267326732671"/>
    <x v="0"/>
    <n v="48"/>
    <n v="47"/>
    <n v="0.98"/>
    <n v="1.91"/>
    <n v="3.62"/>
    <n v="7.38"/>
    <n v="28.2"/>
    <x v="1"/>
    <n v="0.55000000000000004"/>
    <n v="91"/>
    <n v="1"/>
    <x v="1"/>
    <n v="1"/>
    <s v="YES"/>
    <n v="1"/>
    <s v="YES"/>
    <n v="1"/>
    <s v="YES"/>
    <n v="0"/>
    <s v="NO"/>
    <n v="1"/>
    <x v="0"/>
    <n v="0"/>
    <s v="NO"/>
    <n v="130"/>
    <n v="80"/>
    <n v="18"/>
    <n v="11"/>
    <n v="20"/>
    <n v="19"/>
    <n v="9.1999999999999993"/>
    <x v="3"/>
    <n v="29"/>
    <n v="39"/>
    <n v="112.66666666666666"/>
    <x v="2"/>
    <x v="4"/>
    <x v="1"/>
  </r>
  <r>
    <n v="479"/>
    <n v="479"/>
    <n v="0"/>
    <x v="0"/>
    <n v="28"/>
    <n v="60"/>
    <n v="160"/>
    <n v="15"/>
    <n v="72"/>
    <n v="18"/>
    <n v="11.7"/>
    <n v="2"/>
    <n v="5"/>
    <n v="4"/>
    <n v="0"/>
    <s v="NO"/>
    <n v="0"/>
    <n v="21.45"/>
    <x v="198"/>
    <n v="8.25"/>
    <n v="2.84"/>
    <n v="2.904929577464789"/>
    <x v="0"/>
    <n v="39"/>
    <n v="37"/>
    <n v="0.95"/>
    <n v="1"/>
    <n v="0.89"/>
    <n v="33.24"/>
    <n v="26.3"/>
    <x v="1"/>
    <n v="0.39"/>
    <n v="91"/>
    <n v="0"/>
    <x v="0"/>
    <n v="0"/>
    <s v="NO"/>
    <n v="0"/>
    <s v="NO"/>
    <n v="0"/>
    <s v="NO"/>
    <n v="0"/>
    <s v="NO"/>
    <n v="0"/>
    <x v="1"/>
    <n v="0"/>
    <s v="NO"/>
    <n v="120"/>
    <n v="80"/>
    <n v="3"/>
    <n v="5"/>
    <n v="18"/>
    <n v="17"/>
    <n v="6"/>
    <x v="0"/>
    <n v="8"/>
    <n v="35"/>
    <n v="107.66666666666667"/>
    <x v="0"/>
    <x v="0"/>
    <x v="1"/>
  </r>
  <r>
    <n v="480"/>
    <n v="480"/>
    <n v="0"/>
    <x v="0"/>
    <n v="27"/>
    <n v="60"/>
    <n v="158.49600000000001"/>
    <n v="11"/>
    <n v="72"/>
    <n v="20"/>
    <n v="10.4"/>
    <n v="2"/>
    <n v="5"/>
    <n v="7"/>
    <n v="1"/>
    <s v="YES"/>
    <n v="0"/>
    <n v="696.83"/>
    <x v="0"/>
    <n v="5.86"/>
    <n v="2.37"/>
    <n v="2.4725738396624473"/>
    <x v="0"/>
    <n v="39"/>
    <n v="38"/>
    <n v="0.97"/>
    <n v="1"/>
    <n v="1.97"/>
    <n v="15.82"/>
    <n v="25.3"/>
    <x v="1"/>
    <n v="0.4"/>
    <n v="116"/>
    <n v="0"/>
    <x v="0"/>
    <n v="0"/>
    <s v="NO"/>
    <n v="1"/>
    <s v="YES"/>
    <n v="1"/>
    <s v="YES"/>
    <n v="1"/>
    <s v="YES"/>
    <n v="0"/>
    <x v="1"/>
    <n v="0"/>
    <s v="NO"/>
    <n v="110"/>
    <n v="80"/>
    <n v="5"/>
    <n v="8"/>
    <n v="18"/>
    <n v="18"/>
    <n v="9"/>
    <x v="0"/>
    <n v="13"/>
    <n v="36"/>
    <n v="108.33333333333333"/>
    <x v="1"/>
    <x v="4"/>
    <x v="0"/>
  </r>
  <r>
    <n v="481"/>
    <n v="481"/>
    <n v="0"/>
    <x v="0"/>
    <n v="26"/>
    <n v="52"/>
    <n v="164.59200000000001"/>
    <n v="13"/>
    <n v="70"/>
    <n v="18"/>
    <n v="10"/>
    <n v="2"/>
    <n v="5"/>
    <n v="3"/>
    <n v="0"/>
    <s v="NO"/>
    <n v="0"/>
    <n v="22"/>
    <x v="0"/>
    <n v="6.8"/>
    <n v="0.43"/>
    <n v="15.813953488372093"/>
    <x v="0"/>
    <n v="36"/>
    <n v="35"/>
    <n v="0.97"/>
    <n v="1.47"/>
    <n v="1.4"/>
    <n v="49.01"/>
    <n v="24.5"/>
    <x v="1"/>
    <n v="0.25"/>
    <n v="84"/>
    <n v="0"/>
    <x v="0"/>
    <n v="0"/>
    <s v="NO"/>
    <n v="0"/>
    <s v="NO"/>
    <n v="0"/>
    <s v="NO"/>
    <n v="0"/>
    <s v="NO"/>
    <n v="0"/>
    <x v="1"/>
    <n v="0"/>
    <s v="NO"/>
    <n v="110"/>
    <n v="80"/>
    <n v="7"/>
    <n v="5"/>
    <n v="20"/>
    <n v="21"/>
    <n v="8"/>
    <x v="0"/>
    <n v="12"/>
    <n v="41"/>
    <n v="109"/>
    <x v="1"/>
    <x v="0"/>
    <x v="1"/>
  </r>
  <r>
    <n v="482"/>
    <n v="482"/>
    <n v="0"/>
    <x v="0"/>
    <n v="44"/>
    <n v="66.099999999999994"/>
    <n v="148"/>
    <n v="13"/>
    <n v="70"/>
    <n v="20"/>
    <n v="10.4"/>
    <n v="2"/>
    <n v="5"/>
    <n v="8"/>
    <n v="0"/>
    <s v="NO"/>
    <n v="0"/>
    <n v="1.89"/>
    <x v="0"/>
    <n v="7.81"/>
    <n v="2.02"/>
    <n v="3.8663366336633662"/>
    <x v="0"/>
    <n v="40"/>
    <n v="34"/>
    <n v="0.85"/>
    <n v="3.25"/>
    <n v="3.03"/>
    <n v="13.79"/>
    <n v="27.5"/>
    <x v="1"/>
    <n v="0.4"/>
    <n v="125"/>
    <n v="1"/>
    <x v="1"/>
    <n v="0"/>
    <s v="NO"/>
    <n v="0"/>
    <s v="NO"/>
    <n v="0"/>
    <s v="NO"/>
    <n v="1"/>
    <s v="YES"/>
    <n v="0"/>
    <x v="1"/>
    <n v="0"/>
    <s v="NO"/>
    <n v="130"/>
    <n v="80"/>
    <n v="5"/>
    <n v="9"/>
    <n v="16"/>
    <n v="19"/>
    <n v="4.5"/>
    <x v="3"/>
    <n v="14"/>
    <n v="35"/>
    <n v="108.33333333333333"/>
    <x v="1"/>
    <x v="2"/>
    <x v="0"/>
  </r>
  <r>
    <n v="483"/>
    <n v="483"/>
    <n v="0"/>
    <x v="0"/>
    <n v="32"/>
    <n v="43"/>
    <n v="161.54400000000001"/>
    <n v="13"/>
    <n v="72"/>
    <n v="22"/>
    <n v="12.1"/>
    <n v="2"/>
    <n v="5"/>
    <n v="7"/>
    <n v="1"/>
    <s v="YES"/>
    <n v="0"/>
    <n v="1.99"/>
    <x v="0"/>
    <n v="5.51"/>
    <n v="4.0999999999999996"/>
    <n v="1.3439024390243903"/>
    <x v="1"/>
    <n v="34"/>
    <n v="30"/>
    <n v="0.88"/>
    <n v="2.27"/>
    <n v="3.86"/>
    <n v="40.29"/>
    <n v="32.6"/>
    <x v="1"/>
    <n v="0.37"/>
    <n v="108"/>
    <n v="0"/>
    <x v="0"/>
    <n v="0"/>
    <s v="NO"/>
    <n v="0"/>
    <s v="NO"/>
    <n v="0"/>
    <s v="NO"/>
    <n v="1"/>
    <s v="YES"/>
    <n v="1"/>
    <x v="0"/>
    <n v="1"/>
    <s v="YES"/>
    <n v="110"/>
    <n v="80"/>
    <n v="1"/>
    <n v="3"/>
    <n v="19"/>
    <n v="19"/>
    <n v="8.6"/>
    <x v="2"/>
    <n v="4"/>
    <n v="38"/>
    <n v="107"/>
    <x v="0"/>
    <x v="2"/>
    <x v="0"/>
  </r>
  <r>
    <n v="484"/>
    <n v="484"/>
    <n v="1"/>
    <x v="1"/>
    <n v="33"/>
    <n v="87.9"/>
    <n v="158"/>
    <n v="15"/>
    <n v="72"/>
    <n v="20"/>
    <n v="10"/>
    <n v="4"/>
    <n v="2"/>
    <n v="8"/>
    <n v="0"/>
    <s v="NO"/>
    <n v="0"/>
    <n v="70.349999999999994"/>
    <x v="0"/>
    <n v="2.81"/>
    <n v="0.37"/>
    <n v="7.5945945945945947"/>
    <x v="0"/>
    <n v="46"/>
    <n v="44"/>
    <n v="0.96"/>
    <n v="6.55"/>
    <n v="5.75"/>
    <n v="28.05"/>
    <n v="21"/>
    <x v="1"/>
    <n v="0.21"/>
    <n v="116"/>
    <n v="1"/>
    <x v="1"/>
    <n v="0"/>
    <s v="NO"/>
    <n v="0"/>
    <s v="NO"/>
    <n v="0"/>
    <s v="NO"/>
    <n v="1"/>
    <s v="YES"/>
    <n v="1"/>
    <x v="0"/>
    <n v="0"/>
    <s v="NO"/>
    <n v="120"/>
    <n v="80"/>
    <n v="7"/>
    <n v="12"/>
    <n v="20"/>
    <n v="14"/>
    <n v="8"/>
    <x v="3"/>
    <n v="19"/>
    <n v="34"/>
    <n v="109"/>
    <x v="2"/>
    <x v="2"/>
    <x v="1"/>
  </r>
  <r>
    <n v="485"/>
    <n v="485"/>
    <n v="0"/>
    <x v="0"/>
    <n v="31"/>
    <n v="63"/>
    <n v="156"/>
    <n v="11"/>
    <n v="72"/>
    <n v="20"/>
    <n v="10.8"/>
    <n v="2"/>
    <n v="5"/>
    <n v="5"/>
    <n v="0"/>
    <s v="NO"/>
    <n v="0"/>
    <n v="1.99"/>
    <x v="0"/>
    <n v="5.28"/>
    <n v="3.46"/>
    <n v="1.5260115606936417"/>
    <x v="1"/>
    <n v="39"/>
    <n v="36"/>
    <n v="0.92"/>
    <n v="2.48"/>
    <n v="6.26"/>
    <n v="28.08"/>
    <n v="16.25"/>
    <x v="0"/>
    <n v="25.3"/>
    <n v="116"/>
    <n v="0"/>
    <x v="0"/>
    <n v="1"/>
    <s v="YES"/>
    <n v="0"/>
    <s v="NO"/>
    <n v="1"/>
    <s v="YES"/>
    <n v="0"/>
    <s v="NO"/>
    <n v="1"/>
    <x v="0"/>
    <n v="1"/>
    <s v="YES"/>
    <n v="120"/>
    <n v="80"/>
    <n v="9"/>
    <n v="10"/>
    <n v="18"/>
    <n v="17"/>
    <n v="7.25"/>
    <x v="1"/>
    <n v="19"/>
    <n v="35"/>
    <n v="109.66666666666667"/>
    <x v="1"/>
    <x v="1"/>
    <x v="0"/>
  </r>
  <r>
    <n v="486"/>
    <n v="486"/>
    <n v="0"/>
    <x v="0"/>
    <n v="30"/>
    <n v="44.8"/>
    <n v="157"/>
    <n v="15"/>
    <n v="80"/>
    <n v="20"/>
    <n v="10"/>
    <n v="2"/>
    <n v="5"/>
    <n v="9"/>
    <n v="1"/>
    <s v="YES"/>
    <n v="0"/>
    <n v="1238.4000000000001"/>
    <x v="199"/>
    <n v="1"/>
    <n v="0.1"/>
    <n v="10"/>
    <x v="0"/>
    <n v="34"/>
    <n v="30"/>
    <n v="0.88"/>
    <n v="3.26"/>
    <n v="0.72"/>
    <n v="44.42"/>
    <n v="33.299999999999997"/>
    <x v="1"/>
    <n v="0.25"/>
    <n v="91"/>
    <n v="0"/>
    <x v="0"/>
    <n v="0"/>
    <s v="NO"/>
    <n v="0"/>
    <s v="NO"/>
    <n v="0"/>
    <s v="NO"/>
    <n v="0"/>
    <s v="NO"/>
    <n v="1"/>
    <x v="0"/>
    <n v="1"/>
    <s v="YES"/>
    <n v="110"/>
    <n v="80"/>
    <n v="2"/>
    <n v="4"/>
    <n v="15"/>
    <n v="18"/>
    <n v="8.5"/>
    <x v="2"/>
    <n v="6"/>
    <n v="33"/>
    <n v="107.33333333333333"/>
    <x v="0"/>
    <x v="0"/>
    <x v="0"/>
  </r>
  <r>
    <n v="487"/>
    <n v="487"/>
    <n v="1"/>
    <x v="1"/>
    <n v="30"/>
    <n v="49.1"/>
    <n v="159"/>
    <n v="11"/>
    <n v="74"/>
    <n v="18"/>
    <n v="11.7"/>
    <n v="4"/>
    <n v="2"/>
    <n v="4"/>
    <n v="1"/>
    <s v="YES"/>
    <n v="0"/>
    <n v="710.4"/>
    <x v="0"/>
    <n v="7.59"/>
    <n v="6.69"/>
    <n v="1.1345291479820627"/>
    <x v="1"/>
    <n v="36"/>
    <n v="32"/>
    <n v="0.89"/>
    <n v="3.58"/>
    <n v="10.53"/>
    <n v="22.73"/>
    <n v="21.7"/>
    <x v="1"/>
    <n v="0.39"/>
    <n v="116"/>
    <n v="0"/>
    <x v="0"/>
    <n v="1"/>
    <s v="YES"/>
    <n v="1"/>
    <s v="YES"/>
    <n v="0"/>
    <s v="NO"/>
    <n v="0"/>
    <s v="NO"/>
    <n v="1"/>
    <x v="0"/>
    <n v="1"/>
    <s v="YES"/>
    <n v="110"/>
    <n v="80"/>
    <n v="16"/>
    <n v="16"/>
    <n v="19"/>
    <n v="19"/>
    <n v="10.5"/>
    <x v="0"/>
    <n v="32"/>
    <n v="38"/>
    <n v="112"/>
    <x v="2"/>
    <x v="1"/>
    <x v="0"/>
  </r>
  <r>
    <n v="488"/>
    <n v="488"/>
    <n v="0"/>
    <x v="0"/>
    <n v="36"/>
    <n v="62"/>
    <n v="152"/>
    <n v="15"/>
    <n v="74"/>
    <n v="20"/>
    <n v="12.1"/>
    <n v="4"/>
    <n v="2"/>
    <n v="9"/>
    <n v="0"/>
    <s v="NO"/>
    <n v="3"/>
    <n v="1.97"/>
    <x v="0"/>
    <n v="3.35"/>
    <n v="5.0599999999999996"/>
    <n v="0.66205533596837951"/>
    <x v="1"/>
    <n v="40"/>
    <n v="37"/>
    <n v="0.93"/>
    <n v="1.75"/>
    <n v="10.32"/>
    <n v="24.63"/>
    <n v="27.6"/>
    <x v="1"/>
    <n v="0.34"/>
    <n v="84"/>
    <n v="1"/>
    <x v="1"/>
    <n v="1"/>
    <s v="YES"/>
    <n v="0"/>
    <s v="NO"/>
    <n v="0"/>
    <s v="NO"/>
    <n v="0"/>
    <s v="NO"/>
    <n v="1"/>
    <x v="0"/>
    <n v="0"/>
    <s v="NO"/>
    <n v="120"/>
    <n v="70"/>
    <n v="4"/>
    <n v="4"/>
    <n v="18"/>
    <n v="19"/>
    <n v="6.75"/>
    <x v="1"/>
    <n v="8"/>
    <n v="37"/>
    <n v="94.666666666666671"/>
    <x v="0"/>
    <x v="2"/>
    <x v="0"/>
  </r>
  <r>
    <n v="489"/>
    <n v="489"/>
    <n v="0"/>
    <x v="0"/>
    <n v="36"/>
    <n v="76.900000000000006"/>
    <n v="165"/>
    <n v="11"/>
    <n v="72"/>
    <n v="18"/>
    <n v="10.8"/>
    <n v="2"/>
    <n v="5"/>
    <n v="7"/>
    <n v="0"/>
    <s v="NO"/>
    <n v="0"/>
    <n v="37.19"/>
    <x v="0"/>
    <n v="5.65"/>
    <n v="2.0099999999999998"/>
    <n v="2.8109452736318414"/>
    <x v="0"/>
    <n v="42"/>
    <n v="41"/>
    <n v="0.98"/>
    <n v="6.96"/>
    <n v="2.39"/>
    <n v="16.64"/>
    <n v="22"/>
    <x v="1"/>
    <n v="0.25"/>
    <n v="116"/>
    <n v="1"/>
    <x v="1"/>
    <n v="0"/>
    <s v="NO"/>
    <n v="0"/>
    <s v="NO"/>
    <n v="0"/>
    <s v="NO"/>
    <n v="0"/>
    <s v="NO"/>
    <n v="1"/>
    <x v="0"/>
    <n v="0"/>
    <s v="NO"/>
    <n v="110"/>
    <n v="80"/>
    <n v="5"/>
    <n v="9"/>
    <n v="20"/>
    <n v="19"/>
    <n v="6.8"/>
    <x v="1"/>
    <n v="14"/>
    <n v="39"/>
    <n v="108.33333333333333"/>
    <x v="1"/>
    <x v="0"/>
    <x v="1"/>
  </r>
  <r>
    <n v="490"/>
    <n v="490"/>
    <n v="1"/>
    <x v="1"/>
    <n v="28"/>
    <n v="63"/>
    <n v="143"/>
    <n v="11"/>
    <n v="72"/>
    <n v="18"/>
    <n v="11.8"/>
    <n v="2"/>
    <n v="4"/>
    <n v="11"/>
    <n v="0"/>
    <s v="NO"/>
    <n v="0"/>
    <n v="1.99"/>
    <x v="0"/>
    <n v="7.09"/>
    <n v="2.34"/>
    <n v="3.0299145299145303"/>
    <x v="0"/>
    <n v="40"/>
    <n v="39"/>
    <n v="0.98"/>
    <n v="0.27"/>
    <n v="2.7"/>
    <n v="44.36"/>
    <n v="37.6"/>
    <x v="1"/>
    <n v="0.37"/>
    <n v="84"/>
    <n v="1"/>
    <x v="1"/>
    <n v="0"/>
    <s v="NO"/>
    <n v="0"/>
    <s v="NO"/>
    <n v="0"/>
    <s v="NO"/>
    <n v="0"/>
    <s v="NO"/>
    <n v="0"/>
    <x v="1"/>
    <n v="0"/>
    <s v="NO"/>
    <n v="120"/>
    <n v="80"/>
    <n v="7"/>
    <n v="15"/>
    <n v="16"/>
    <n v="16"/>
    <n v="10"/>
    <x v="3"/>
    <n v="22"/>
    <n v="32"/>
    <n v="109"/>
    <x v="1"/>
    <x v="0"/>
    <x v="0"/>
  </r>
  <r>
    <n v="491"/>
    <n v="491"/>
    <n v="0"/>
    <x v="0"/>
    <n v="35"/>
    <n v="61"/>
    <n v="154"/>
    <n v="12"/>
    <n v="80"/>
    <n v="20"/>
    <n v="10.199999999999999"/>
    <n v="4"/>
    <n v="7"/>
    <n v="16"/>
    <n v="0"/>
    <s v="NO"/>
    <n v="0"/>
    <n v="1.99"/>
    <x v="0"/>
    <n v="4.62"/>
    <n v="1.23"/>
    <n v="3.75609756097561"/>
    <x v="0"/>
    <n v="40"/>
    <n v="38"/>
    <n v="0.95"/>
    <n v="1.17"/>
    <n v="1.1000000000000001"/>
    <n v="54.86"/>
    <n v="27.2"/>
    <x v="1"/>
    <n v="0.5"/>
    <n v="92"/>
    <n v="1"/>
    <x v="1"/>
    <n v="1"/>
    <s v="YES"/>
    <n v="1"/>
    <s v="YES"/>
    <n v="1"/>
    <s v="YES"/>
    <n v="1"/>
    <s v="YES"/>
    <n v="1"/>
    <x v="0"/>
    <n v="0"/>
    <s v="NO"/>
    <n v="120"/>
    <n v="70"/>
    <n v="3"/>
    <n v="2"/>
    <n v="19"/>
    <n v="16"/>
    <n v="6"/>
    <x v="1"/>
    <n v="5"/>
    <n v="35"/>
    <n v="94.333333333333329"/>
    <x v="1"/>
    <x v="3"/>
    <x v="0"/>
  </r>
  <r>
    <n v="492"/>
    <n v="492"/>
    <n v="0"/>
    <x v="0"/>
    <n v="23"/>
    <n v="66"/>
    <n v="164.59200000000001"/>
    <n v="16"/>
    <n v="72"/>
    <n v="18"/>
    <n v="11.5"/>
    <n v="4"/>
    <n v="2"/>
    <n v="3"/>
    <n v="1"/>
    <s v="YES"/>
    <n v="0"/>
    <n v="658.29"/>
    <x v="0"/>
    <n v="8.1300000000000008"/>
    <n v="1.39"/>
    <n v="5.8489208633093535"/>
    <x v="0"/>
    <n v="38"/>
    <n v="37"/>
    <n v="0.97"/>
    <n v="4.1399999999999997"/>
    <n v="4.9000000000000004"/>
    <n v="27.2"/>
    <n v="36.1"/>
    <x v="1"/>
    <n v="0.25"/>
    <n v="100"/>
    <n v="0"/>
    <x v="0"/>
    <n v="0"/>
    <s v="NO"/>
    <n v="0"/>
    <s v="NO"/>
    <n v="0"/>
    <s v="NO"/>
    <n v="1"/>
    <s v="YES"/>
    <n v="1"/>
    <x v="0"/>
    <n v="0"/>
    <s v="NO"/>
    <n v="110"/>
    <n v="80"/>
    <n v="6"/>
    <n v="5"/>
    <n v="18"/>
    <n v="20"/>
    <n v="7.2"/>
    <x v="0"/>
    <n v="11"/>
    <n v="38"/>
    <n v="108.66666666666667"/>
    <x v="1"/>
    <x v="2"/>
    <x v="0"/>
  </r>
  <r>
    <n v="493"/>
    <n v="493"/>
    <n v="0"/>
    <x v="0"/>
    <n v="25"/>
    <n v="58"/>
    <n v="155.44800000000001"/>
    <n v="14"/>
    <n v="72"/>
    <n v="18"/>
    <n v="10.8"/>
    <n v="2"/>
    <n v="5"/>
    <n v="3"/>
    <n v="1"/>
    <s v="YES"/>
    <n v="0"/>
    <n v="1.99"/>
    <x v="0"/>
    <n v="5.68"/>
    <n v="4.21"/>
    <n v="1.3491686460807601"/>
    <x v="1"/>
    <n v="34"/>
    <n v="32"/>
    <n v="0.94"/>
    <n v="2.76"/>
    <n v="10.6"/>
    <n v="24.01"/>
    <n v="19.3"/>
    <x v="0"/>
    <n v="0.48"/>
    <n v="92"/>
    <n v="0"/>
    <x v="0"/>
    <n v="1"/>
    <s v="YES"/>
    <n v="0"/>
    <s v="NO"/>
    <n v="1"/>
    <s v="YES"/>
    <n v="0"/>
    <s v="NO"/>
    <n v="0"/>
    <x v="1"/>
    <n v="0"/>
    <s v="NO"/>
    <n v="120"/>
    <n v="80"/>
    <n v="1"/>
    <n v="2"/>
    <n v="19"/>
    <n v="18"/>
    <n v="10.35"/>
    <x v="0"/>
    <n v="3"/>
    <n v="37"/>
    <n v="107"/>
    <x v="0"/>
    <x v="1"/>
    <x v="0"/>
  </r>
  <r>
    <n v="494"/>
    <n v="494"/>
    <n v="1"/>
    <x v="1"/>
    <n v="30"/>
    <n v="50"/>
    <n v="154"/>
    <n v="15"/>
    <n v="72"/>
    <n v="20"/>
    <n v="10.8"/>
    <n v="2"/>
    <n v="4"/>
    <n v="6"/>
    <n v="1"/>
    <s v="YES"/>
    <n v="0"/>
    <n v="492.02"/>
    <x v="0"/>
    <n v="7.73"/>
    <n v="0.26"/>
    <n v="29.73076923076923"/>
    <x v="0"/>
    <n v="34"/>
    <n v="33"/>
    <n v="0.97"/>
    <n v="8.3000000000000007"/>
    <n v="4.3"/>
    <n v="13.14"/>
    <n v="25.7"/>
    <x v="1"/>
    <n v="0.25"/>
    <n v="85"/>
    <n v="0"/>
    <x v="0"/>
    <n v="0"/>
    <s v="NO"/>
    <n v="0"/>
    <s v="NO"/>
    <n v="0"/>
    <s v="NO"/>
    <n v="0"/>
    <s v="NO"/>
    <n v="0"/>
    <x v="1"/>
    <n v="1"/>
    <s v="YES"/>
    <n v="120"/>
    <n v="80"/>
    <n v="9"/>
    <n v="19"/>
    <n v="19"/>
    <n v="18"/>
    <n v="6"/>
    <x v="0"/>
    <n v="28"/>
    <n v="37"/>
    <n v="109.66666666666667"/>
    <x v="1"/>
    <x v="0"/>
    <x v="0"/>
  </r>
  <r>
    <n v="495"/>
    <n v="495"/>
    <n v="0"/>
    <x v="0"/>
    <n v="30"/>
    <n v="48"/>
    <n v="148"/>
    <n v="15"/>
    <n v="80"/>
    <n v="20"/>
    <n v="10.5"/>
    <n v="2"/>
    <n v="5"/>
    <n v="6"/>
    <n v="1"/>
    <s v="YES"/>
    <n v="0"/>
    <n v="341.47"/>
    <x v="0"/>
    <n v="2.44"/>
    <n v="0.35"/>
    <n v="6.9714285714285715"/>
    <x v="0"/>
    <n v="28"/>
    <n v="27"/>
    <n v="0.96"/>
    <n v="1.47"/>
    <n v="5.0999999999999996"/>
    <n v="13.38"/>
    <n v="38.200000000000003"/>
    <x v="1"/>
    <n v="0.251"/>
    <n v="92"/>
    <n v="1"/>
    <x v="1"/>
    <n v="0"/>
    <s v="NO"/>
    <n v="1"/>
    <s v="YES"/>
    <n v="0"/>
    <s v="NO"/>
    <n v="1"/>
    <s v="YES"/>
    <n v="1"/>
    <x v="0"/>
    <n v="0"/>
    <s v="NO"/>
    <n v="110"/>
    <n v="70"/>
    <n v="5"/>
    <n v="8"/>
    <n v="18"/>
    <n v="18"/>
    <n v="7"/>
    <x v="0"/>
    <n v="13"/>
    <n v="36"/>
    <n v="95"/>
    <x v="1"/>
    <x v="1"/>
    <x v="0"/>
  </r>
  <r>
    <n v="496"/>
    <n v="496"/>
    <n v="1"/>
    <x v="1"/>
    <n v="27"/>
    <n v="64"/>
    <n v="155"/>
    <n v="13"/>
    <n v="72"/>
    <n v="20"/>
    <n v="11.5"/>
    <n v="4"/>
    <n v="2"/>
    <n v="5"/>
    <n v="0"/>
    <s v="NO"/>
    <n v="0"/>
    <n v="275.60000000000002"/>
    <x v="0"/>
    <n v="5.74"/>
    <n v="1.29"/>
    <n v="4.4496124031007751"/>
    <x v="0"/>
    <n v="40"/>
    <n v="36"/>
    <n v="0.9"/>
    <n v="1.51"/>
    <n v="16.8"/>
    <n v="27.51"/>
    <n v="23.4"/>
    <x v="1"/>
    <n v="0.61"/>
    <n v="140"/>
    <n v="1"/>
    <x v="1"/>
    <n v="1"/>
    <s v="YES"/>
    <n v="1"/>
    <s v="YES"/>
    <n v="1"/>
    <s v="YES"/>
    <n v="1"/>
    <s v="YES"/>
    <n v="1"/>
    <x v="0"/>
    <n v="0"/>
    <s v="NO"/>
    <n v="120"/>
    <n v="70"/>
    <n v="10"/>
    <n v="11"/>
    <n v="18"/>
    <n v="16"/>
    <n v="6.4"/>
    <x v="1"/>
    <n v="21"/>
    <n v="34"/>
    <n v="96.666666666666671"/>
    <x v="2"/>
    <x v="3"/>
    <x v="1"/>
  </r>
  <r>
    <n v="497"/>
    <n v="497"/>
    <n v="0"/>
    <x v="0"/>
    <n v="34"/>
    <n v="45"/>
    <n v="150"/>
    <n v="17"/>
    <n v="70"/>
    <n v="18"/>
    <n v="10.7"/>
    <n v="2"/>
    <n v="5"/>
    <n v="8"/>
    <n v="0"/>
    <s v="NO"/>
    <n v="0"/>
    <n v="336.51"/>
    <x v="0"/>
    <n v="3.1"/>
    <n v="3.48"/>
    <n v="0.8908045977011495"/>
    <x v="1"/>
    <n v="28"/>
    <n v="26"/>
    <n v="0.93"/>
    <n v="2.17"/>
    <n v="7.9"/>
    <n v="14.08"/>
    <n v="27.1"/>
    <x v="1"/>
    <n v="0.4"/>
    <n v="103"/>
    <n v="0"/>
    <x v="0"/>
    <n v="0"/>
    <s v="NO"/>
    <n v="0"/>
    <s v="NO"/>
    <n v="0"/>
    <s v="NO"/>
    <n v="0"/>
    <s v="NO"/>
    <n v="0"/>
    <x v="1"/>
    <n v="0"/>
    <s v="NO"/>
    <n v="110"/>
    <n v="80"/>
    <n v="5"/>
    <n v="4"/>
    <n v="18"/>
    <n v="16"/>
    <n v="5.4"/>
    <x v="0"/>
    <n v="9"/>
    <n v="34"/>
    <n v="108.33333333333333"/>
    <x v="0"/>
    <x v="0"/>
    <x v="1"/>
  </r>
  <r>
    <n v="498"/>
    <n v="498"/>
    <n v="0"/>
    <x v="0"/>
    <n v="35"/>
    <n v="54"/>
    <n v="140"/>
    <n v="11"/>
    <n v="72"/>
    <n v="20"/>
    <n v="10.8"/>
    <n v="2"/>
    <n v="5"/>
    <n v="5"/>
    <n v="1"/>
    <s v="YES"/>
    <n v="0"/>
    <n v="5.65"/>
    <x v="0"/>
    <n v="4.62"/>
    <n v="1.33"/>
    <n v="3.4736842105263155"/>
    <x v="0"/>
    <n v="36"/>
    <n v="34"/>
    <n v="0.94"/>
    <n v="4.07"/>
    <n v="3.1"/>
    <n v="27.17"/>
    <n v="31.6"/>
    <x v="1"/>
    <n v="0.38"/>
    <n v="112"/>
    <n v="0"/>
    <x v="0"/>
    <n v="0"/>
    <s v="NO"/>
    <n v="0"/>
    <s v="NO"/>
    <n v="0"/>
    <s v="NO"/>
    <n v="1"/>
    <s v="YES"/>
    <n v="0"/>
    <x v="1"/>
    <n v="0"/>
    <s v="NO"/>
    <n v="110"/>
    <n v="70"/>
    <n v="9"/>
    <n v="7"/>
    <n v="20"/>
    <n v="16"/>
    <n v="6.6"/>
    <x v="1"/>
    <n v="16"/>
    <n v="36"/>
    <n v="96.333333333333329"/>
    <x v="1"/>
    <x v="2"/>
    <x v="0"/>
  </r>
  <r>
    <n v="499"/>
    <n v="499"/>
    <n v="0"/>
    <x v="0"/>
    <n v="23"/>
    <n v="52"/>
    <n v="148"/>
    <n v="15"/>
    <n v="72"/>
    <n v="20"/>
    <n v="11"/>
    <n v="2"/>
    <n v="5"/>
    <n v="4"/>
    <n v="0"/>
    <s v="NO"/>
    <n v="0"/>
    <n v="1.99"/>
    <x v="0"/>
    <n v="7.72"/>
    <n v="4.0999999999999996"/>
    <n v="1.8829268292682928"/>
    <x v="1"/>
    <n v="32"/>
    <n v="30"/>
    <n v="0.94"/>
    <n v="5"/>
    <n v="5.0999999999999996"/>
    <n v="12.6"/>
    <n v="25.9"/>
    <x v="1"/>
    <n v="0.5"/>
    <n v="92"/>
    <n v="0"/>
    <x v="0"/>
    <n v="0"/>
    <s v="NO"/>
    <n v="0"/>
    <s v="NO"/>
    <n v="0"/>
    <s v="NO"/>
    <n v="0"/>
    <s v="NO"/>
    <n v="0"/>
    <x v="1"/>
    <n v="0"/>
    <s v="NO"/>
    <n v="120"/>
    <n v="80"/>
    <n v="1"/>
    <n v="1"/>
    <n v="7"/>
    <n v="17"/>
    <n v="6"/>
    <x v="0"/>
    <n v="2"/>
    <n v="24"/>
    <n v="107"/>
    <x v="0"/>
    <x v="0"/>
    <x v="0"/>
  </r>
  <r>
    <n v="500"/>
    <n v="500"/>
    <n v="0"/>
    <x v="0"/>
    <n v="28"/>
    <n v="65"/>
    <n v="163"/>
    <n v="14"/>
    <n v="74"/>
    <n v="20"/>
    <n v="10.8"/>
    <n v="2"/>
    <n v="5"/>
    <n v="3"/>
    <n v="0"/>
    <s v="NO"/>
    <n v="0"/>
    <n v="296.57"/>
    <x v="0"/>
    <n v="6.5"/>
    <n v="10.5"/>
    <n v="0.61904761904761907"/>
    <x v="1"/>
    <n v="32"/>
    <n v="31"/>
    <n v="0.97"/>
    <n v="1.83"/>
    <n v="11.2"/>
    <n v="34.159999999999997"/>
    <n v="33"/>
    <x v="1"/>
    <n v="0.3"/>
    <n v="100"/>
    <n v="0"/>
    <x v="0"/>
    <n v="0"/>
    <s v="NO"/>
    <n v="0"/>
    <s v="NO"/>
    <n v="0"/>
    <s v="NO"/>
    <n v="0"/>
    <s v="NO"/>
    <n v="0"/>
    <x v="1"/>
    <n v="0"/>
    <s v="NO"/>
    <n v="120"/>
    <n v="80"/>
    <n v="8"/>
    <n v="7"/>
    <n v="18"/>
    <n v="20"/>
    <n v="8.8000000000000007"/>
    <x v="0"/>
    <n v="15"/>
    <n v="38"/>
    <n v="109.33333333333333"/>
    <x v="1"/>
    <x v="0"/>
    <x v="1"/>
  </r>
  <r>
    <n v="501"/>
    <n v="501"/>
    <n v="0"/>
    <x v="0"/>
    <n v="40"/>
    <n v="59"/>
    <n v="152"/>
    <n v="13"/>
    <n v="72"/>
    <n v="18"/>
    <n v="11.5"/>
    <n v="2"/>
    <n v="5"/>
    <n v="10"/>
    <n v="1"/>
    <s v="YES"/>
    <n v="1"/>
    <n v="1.99"/>
    <x v="0"/>
    <n v="3.87"/>
    <n v="1.07"/>
    <n v="3.6168224299065419"/>
    <x v="0"/>
    <n v="44"/>
    <n v="42"/>
    <n v="0.95"/>
    <n v="2.92"/>
    <n v="1.7"/>
    <n v="7.12"/>
    <n v="34.200000000000003"/>
    <x v="1"/>
    <n v="0.49"/>
    <n v="120"/>
    <n v="1"/>
    <x v="1"/>
    <n v="1"/>
    <s v="YES"/>
    <n v="0"/>
    <s v="NO"/>
    <n v="1"/>
    <s v="YES"/>
    <n v="0"/>
    <s v="NO"/>
    <n v="0"/>
    <x v="1"/>
    <n v="0"/>
    <s v="NO"/>
    <n v="100"/>
    <n v="70"/>
    <n v="3"/>
    <n v="5"/>
    <n v="17"/>
    <n v="18"/>
    <n v="14.2"/>
    <x v="1"/>
    <n v="8"/>
    <n v="35"/>
    <n v="94.333333333333329"/>
    <x v="0"/>
    <x v="1"/>
    <x v="0"/>
  </r>
  <r>
    <n v="502"/>
    <n v="502"/>
    <n v="0"/>
    <x v="0"/>
    <n v="38"/>
    <n v="70"/>
    <n v="164.59200000000001"/>
    <n v="16"/>
    <n v="72"/>
    <n v="18"/>
    <n v="12.1"/>
    <n v="2"/>
    <n v="4"/>
    <n v="8"/>
    <n v="0"/>
    <s v="NO"/>
    <n v="0"/>
    <n v="1.99"/>
    <x v="0"/>
    <n v="3.5"/>
    <n v="0.2"/>
    <n v="17.5"/>
    <x v="0"/>
    <n v="46"/>
    <n v="42"/>
    <n v="0.91"/>
    <n v="3.1"/>
    <n v="5.2"/>
    <n v="24.68"/>
    <n v="32.200000000000003"/>
    <x v="1"/>
    <n v="0.45"/>
    <n v="92"/>
    <n v="1"/>
    <x v="1"/>
    <n v="1"/>
    <s v="YES"/>
    <n v="0"/>
    <s v="NO"/>
    <n v="0"/>
    <s v="NO"/>
    <n v="1"/>
    <s v="YES"/>
    <n v="0"/>
    <x v="1"/>
    <n v="0"/>
    <s v="NO"/>
    <n v="110"/>
    <n v="70"/>
    <n v="2"/>
    <n v="7"/>
    <n v="19"/>
    <n v="19"/>
    <n v="9"/>
    <x v="1"/>
    <n v="9"/>
    <n v="38"/>
    <n v="94"/>
    <x v="0"/>
    <x v="1"/>
    <x v="0"/>
  </r>
  <r>
    <n v="503"/>
    <n v="503"/>
    <n v="0"/>
    <x v="0"/>
    <n v="38"/>
    <n v="52"/>
    <n v="150"/>
    <n v="15"/>
    <n v="80"/>
    <n v="20"/>
    <n v="11"/>
    <n v="2"/>
    <n v="5"/>
    <n v="15"/>
    <n v="0"/>
    <s v="NO"/>
    <n v="0"/>
    <n v="469.55"/>
    <x v="0"/>
    <n v="6.81"/>
    <n v="5.75"/>
    <n v="1.1843478260869564"/>
    <x v="1"/>
    <n v="36"/>
    <n v="35"/>
    <n v="0.97"/>
    <n v="1.22"/>
    <n v="2.2000000000000002"/>
    <n v="37.56"/>
    <n v="25.3"/>
    <x v="1"/>
    <n v="0.25"/>
    <n v="100"/>
    <n v="0"/>
    <x v="0"/>
    <n v="0"/>
    <s v="NO"/>
    <n v="0"/>
    <s v="NO"/>
    <n v="0"/>
    <s v="NO"/>
    <n v="0"/>
    <s v="NO"/>
    <n v="0"/>
    <x v="1"/>
    <n v="0"/>
    <s v="NO"/>
    <n v="120"/>
    <n v="80"/>
    <n v="3"/>
    <n v="1"/>
    <n v="21"/>
    <n v="19"/>
    <n v="9.3000000000000007"/>
    <x v="0"/>
    <n v="4"/>
    <n v="40"/>
    <n v="107.66666666666667"/>
    <x v="0"/>
    <x v="0"/>
    <x v="1"/>
  </r>
  <r>
    <n v="504"/>
    <n v="504"/>
    <n v="0"/>
    <x v="0"/>
    <n v="31"/>
    <n v="52.9"/>
    <n v="153"/>
    <n v="16"/>
    <n v="70"/>
    <n v="20"/>
    <n v="11"/>
    <n v="2"/>
    <n v="5"/>
    <n v="9"/>
    <n v="0"/>
    <s v="NO"/>
    <n v="0"/>
    <n v="147.9"/>
    <x v="0"/>
    <n v="7.16"/>
    <n v="4.21"/>
    <n v="1.7007125890736343"/>
    <x v="1"/>
    <n v="34"/>
    <n v="32"/>
    <n v="0.94"/>
    <n v="4.5199999999999996"/>
    <n v="1.3"/>
    <n v="23.29"/>
    <n v="15.1"/>
    <x v="0"/>
    <n v="0.35"/>
    <n v="85"/>
    <n v="0"/>
    <x v="0"/>
    <n v="0"/>
    <s v="NO"/>
    <n v="0"/>
    <s v="NO"/>
    <n v="0"/>
    <s v="NO"/>
    <n v="0"/>
    <s v="NO"/>
    <n v="0"/>
    <x v="1"/>
    <n v="0"/>
    <s v="NO"/>
    <n v="120"/>
    <n v="80"/>
    <n v="3"/>
    <n v="3"/>
    <n v="17"/>
    <n v="18"/>
    <n v="6.8"/>
    <x v="0"/>
    <n v="6"/>
    <n v="35"/>
    <n v="107.66666666666667"/>
    <x v="0"/>
    <x v="0"/>
    <x v="1"/>
  </r>
  <r>
    <n v="505"/>
    <n v="505"/>
    <n v="0"/>
    <x v="0"/>
    <n v="33"/>
    <n v="48"/>
    <n v="162"/>
    <n v="17"/>
    <n v="72"/>
    <n v="18"/>
    <n v="10.199999999999999"/>
    <n v="2"/>
    <n v="5"/>
    <n v="5"/>
    <n v="0"/>
    <s v="NO"/>
    <n v="0"/>
    <n v="6"/>
    <x v="200"/>
    <n v="7.05"/>
    <n v="4.51"/>
    <n v="1.5631929046563193"/>
    <x v="1"/>
    <n v="28"/>
    <n v="24"/>
    <n v="0.86"/>
    <n v="8.4700000000000006"/>
    <n v="12"/>
    <n v="22.29"/>
    <n v="28.6"/>
    <x v="1"/>
    <n v="0.22"/>
    <n v="100"/>
    <n v="0"/>
    <x v="0"/>
    <n v="0"/>
    <s v="NO"/>
    <n v="0"/>
    <s v="NO"/>
    <n v="0"/>
    <s v="NO"/>
    <n v="0"/>
    <s v="NO"/>
    <n v="0"/>
    <x v="1"/>
    <n v="0"/>
    <s v="NO"/>
    <n v="110"/>
    <n v="80"/>
    <n v="7"/>
    <n v="10"/>
    <n v="18"/>
    <n v="16"/>
    <n v="10"/>
    <x v="2"/>
    <n v="17"/>
    <n v="34"/>
    <n v="109"/>
    <x v="1"/>
    <x v="0"/>
    <x v="1"/>
  </r>
  <r>
    <n v="506"/>
    <n v="506"/>
    <n v="0"/>
    <x v="0"/>
    <n v="35"/>
    <n v="52"/>
    <n v="152"/>
    <n v="13"/>
    <n v="74"/>
    <n v="20"/>
    <n v="11.1"/>
    <n v="2"/>
    <n v="4"/>
    <n v="15"/>
    <n v="1"/>
    <s v="YES"/>
    <n v="1"/>
    <n v="1.99"/>
    <x v="0"/>
    <n v="2.2000000000000002"/>
    <n v="0.51"/>
    <n v="4.3137254901960791"/>
    <x v="0"/>
    <n v="30"/>
    <n v="29"/>
    <n v="0.97"/>
    <n v="2.46"/>
    <n v="3.3"/>
    <n v="40.409999999999997"/>
    <n v="24"/>
    <x v="1"/>
    <n v="0.31"/>
    <n v="115"/>
    <n v="0"/>
    <x v="0"/>
    <n v="0"/>
    <s v="NO"/>
    <n v="0"/>
    <s v="NO"/>
    <n v="0"/>
    <s v="NO"/>
    <n v="0"/>
    <s v="NO"/>
    <n v="0"/>
    <x v="1"/>
    <n v="0"/>
    <s v="NO"/>
    <n v="110"/>
    <n v="70"/>
    <n v="3"/>
    <n v="3"/>
    <n v="18"/>
    <n v="18"/>
    <n v="7"/>
    <x v="0"/>
    <n v="6"/>
    <n v="36"/>
    <n v="94.333333333333329"/>
    <x v="0"/>
    <x v="0"/>
    <x v="0"/>
  </r>
  <r>
    <n v="507"/>
    <n v="507"/>
    <n v="0"/>
    <x v="0"/>
    <n v="35"/>
    <n v="42"/>
    <n v="152.4"/>
    <n v="11"/>
    <n v="78"/>
    <n v="18"/>
    <n v="10.8"/>
    <n v="2"/>
    <n v="5"/>
    <n v="12"/>
    <n v="0"/>
    <s v="NO"/>
    <n v="1"/>
    <n v="300.52999999999997"/>
    <x v="0"/>
    <n v="1.68"/>
    <n v="0.3"/>
    <n v="5.6"/>
    <x v="0"/>
    <n v="28"/>
    <n v="24"/>
    <n v="0.86"/>
    <n v="3.07"/>
    <n v="1.7"/>
    <n v="32.869999999999997"/>
    <n v="15"/>
    <x v="0"/>
    <n v="0.49"/>
    <n v="108"/>
    <n v="0"/>
    <x v="0"/>
    <n v="0"/>
    <s v="NO"/>
    <n v="1"/>
    <s v="YES"/>
    <n v="1"/>
    <s v="YES"/>
    <n v="0"/>
    <s v="NO"/>
    <n v="0"/>
    <x v="1"/>
    <n v="0"/>
    <s v="NO"/>
    <n v="120"/>
    <n v="80"/>
    <n v="3"/>
    <n v="10"/>
    <n v="16"/>
    <n v="21"/>
    <n v="7"/>
    <x v="2"/>
    <n v="13"/>
    <n v="37"/>
    <n v="107.66666666666667"/>
    <x v="1"/>
    <x v="1"/>
    <x v="1"/>
  </r>
  <r>
    <n v="508"/>
    <n v="508"/>
    <n v="0"/>
    <x v="0"/>
    <n v="37"/>
    <n v="62"/>
    <n v="153"/>
    <n v="11"/>
    <n v="74"/>
    <n v="20"/>
    <n v="10.7"/>
    <n v="2"/>
    <n v="4"/>
    <n v="13"/>
    <n v="0"/>
    <s v="NO"/>
    <n v="0"/>
    <n v="316.49"/>
    <x v="0"/>
    <n v="8.06"/>
    <n v="3.28"/>
    <n v="2.4573170731707319"/>
    <x v="0"/>
    <n v="44"/>
    <n v="43"/>
    <n v="0.98"/>
    <n v="1.74"/>
    <n v="0.9"/>
    <n v="10.91"/>
    <n v="24.3"/>
    <x v="1"/>
    <n v="0.33"/>
    <n v="107"/>
    <n v="0"/>
    <x v="0"/>
    <n v="1"/>
    <s v="YES"/>
    <n v="0"/>
    <s v="NO"/>
    <n v="1"/>
    <s v="YES"/>
    <n v="0"/>
    <s v="NO"/>
    <n v="1"/>
    <x v="0"/>
    <n v="0"/>
    <s v="NO"/>
    <n v="110"/>
    <n v="80"/>
    <n v="6"/>
    <n v="6"/>
    <n v="19"/>
    <n v="19"/>
    <n v="7.5"/>
    <x v="1"/>
    <n v="12"/>
    <n v="38"/>
    <n v="108.66666666666667"/>
    <x v="1"/>
    <x v="1"/>
    <x v="1"/>
  </r>
  <r>
    <n v="509"/>
    <n v="509"/>
    <n v="0"/>
    <x v="0"/>
    <n v="36"/>
    <n v="54.3"/>
    <n v="150"/>
    <n v="11"/>
    <n v="78"/>
    <n v="20"/>
    <n v="10"/>
    <n v="2"/>
    <n v="5"/>
    <n v="12"/>
    <n v="0"/>
    <s v="NO"/>
    <n v="0"/>
    <n v="1.99"/>
    <x v="0"/>
    <n v="7.4"/>
    <n v="3.97"/>
    <n v="1.8639798488664987"/>
    <x v="1"/>
    <n v="32"/>
    <n v="30"/>
    <n v="0.94"/>
    <n v="2.12"/>
    <n v="4.9000000000000004"/>
    <n v="20.84"/>
    <n v="17.899999999999999"/>
    <x v="0"/>
    <n v="0.25"/>
    <n v="138"/>
    <n v="0"/>
    <x v="0"/>
    <n v="1"/>
    <s v="YES"/>
    <n v="0"/>
    <s v="NO"/>
    <n v="0"/>
    <s v="NO"/>
    <n v="0"/>
    <s v="NO"/>
    <n v="0"/>
    <x v="1"/>
    <n v="0"/>
    <s v="NO"/>
    <n v="110"/>
    <n v="70"/>
    <n v="1"/>
    <n v="1"/>
    <n v="16"/>
    <n v="19"/>
    <n v="9.1"/>
    <x v="0"/>
    <n v="2"/>
    <n v="35"/>
    <n v="93.666666666666671"/>
    <x v="0"/>
    <x v="2"/>
    <x v="0"/>
  </r>
  <r>
    <n v="510"/>
    <n v="510"/>
    <n v="1"/>
    <x v="1"/>
    <n v="46"/>
    <n v="54"/>
    <n v="152"/>
    <n v="13"/>
    <n v="74"/>
    <n v="20"/>
    <n v="14"/>
    <n v="2"/>
    <n v="4"/>
    <n v="16"/>
    <n v="1"/>
    <s v="YES"/>
    <n v="1"/>
    <n v="856.11"/>
    <x v="0"/>
    <n v="2.85"/>
    <n v="0.37"/>
    <n v="7.7027027027027026"/>
    <x v="0"/>
    <n v="30"/>
    <n v="28"/>
    <n v="0.93"/>
    <n v="1.1299999999999999"/>
    <n v="16.600000000000001"/>
    <n v="8.1"/>
    <n v="23.7"/>
    <x v="1"/>
    <n v="0.28999999999999998"/>
    <n v="92"/>
    <n v="1"/>
    <x v="1"/>
    <n v="0"/>
    <s v="NO"/>
    <n v="0"/>
    <s v="NO"/>
    <n v="0"/>
    <s v="NO"/>
    <n v="0"/>
    <s v="NO"/>
    <n v="1"/>
    <x v="0"/>
    <n v="0"/>
    <s v="NO"/>
    <n v="120"/>
    <n v="70"/>
    <n v="20"/>
    <n v="18"/>
    <n v="18"/>
    <n v="17"/>
    <n v="7.8"/>
    <x v="0"/>
    <n v="38"/>
    <n v="35"/>
    <n v="100"/>
    <x v="1"/>
    <x v="0"/>
    <x v="0"/>
  </r>
  <r>
    <n v="511"/>
    <n v="511"/>
    <n v="0"/>
    <x v="0"/>
    <n v="24"/>
    <n v="57"/>
    <n v="158.49600000000001"/>
    <n v="17"/>
    <n v="70"/>
    <n v="20"/>
    <n v="11.2"/>
    <n v="2"/>
    <n v="5"/>
    <n v="3"/>
    <n v="0"/>
    <s v="NO"/>
    <n v="0"/>
    <n v="1.99"/>
    <x v="0"/>
    <n v="1.72"/>
    <n v="0.43"/>
    <n v="4"/>
    <x v="0"/>
    <n v="32"/>
    <n v="30"/>
    <n v="0.94"/>
    <n v="4.0199999999999996"/>
    <n v="17.600000000000001"/>
    <n v="25.99"/>
    <n v="44.8"/>
    <x v="1"/>
    <n v="0.7"/>
    <n v="100"/>
    <n v="1"/>
    <x v="1"/>
    <n v="0"/>
    <s v="NO"/>
    <n v="0"/>
    <s v="NO"/>
    <n v="0"/>
    <s v="NO"/>
    <n v="0"/>
    <s v="NO"/>
    <n v="0"/>
    <x v="1"/>
    <n v="0"/>
    <s v="NO"/>
    <n v="120"/>
    <n v="70"/>
    <n v="8"/>
    <n v="10"/>
    <n v="18"/>
    <n v="19"/>
    <n v="8.4"/>
    <x v="0"/>
    <n v="18"/>
    <n v="37"/>
    <n v="96"/>
    <x v="1"/>
    <x v="0"/>
    <x v="0"/>
  </r>
  <r>
    <n v="512"/>
    <n v="512"/>
    <n v="0"/>
    <x v="0"/>
    <n v="44"/>
    <n v="56"/>
    <n v="142"/>
    <n v="13"/>
    <n v="72"/>
    <n v="18"/>
    <n v="11.8"/>
    <n v="2"/>
    <n v="5"/>
    <n v="3"/>
    <n v="0"/>
    <s v="NO"/>
    <n v="0"/>
    <n v="42.61"/>
    <x v="0"/>
    <n v="2.81"/>
    <n v="0.15"/>
    <n v="18.733333333333334"/>
    <x v="0"/>
    <n v="38"/>
    <n v="36"/>
    <n v="0.95"/>
    <n v="1.01"/>
    <n v="4.5999999999999996"/>
    <n v="10.89"/>
    <n v="16.899999999999999"/>
    <x v="0"/>
    <n v="0.69"/>
    <n v="82"/>
    <n v="0"/>
    <x v="0"/>
    <n v="0"/>
    <s v="NO"/>
    <n v="0"/>
    <s v="NO"/>
    <n v="0"/>
    <s v="NO"/>
    <n v="1"/>
    <s v="YES"/>
    <n v="0"/>
    <x v="1"/>
    <n v="0"/>
    <s v="NO"/>
    <n v="110"/>
    <n v="80"/>
    <n v="9"/>
    <n v="5"/>
    <n v="19"/>
    <n v="19"/>
    <n v="6"/>
    <x v="1"/>
    <n v="14"/>
    <n v="38"/>
    <n v="109.66666666666667"/>
    <x v="1"/>
    <x v="2"/>
    <x v="1"/>
  </r>
  <r>
    <n v="513"/>
    <n v="513"/>
    <n v="1"/>
    <x v="1"/>
    <n v="23"/>
    <n v="72"/>
    <n v="165"/>
    <n v="13"/>
    <n v="72"/>
    <n v="18"/>
    <n v="10.6"/>
    <n v="5"/>
    <n v="7"/>
    <n v="5"/>
    <n v="0"/>
    <s v="NO"/>
    <n v="0"/>
    <n v="121.05"/>
    <x v="0"/>
    <n v="2.13"/>
    <n v="0.56999999999999995"/>
    <n v="3.736842105263158"/>
    <x v="0"/>
    <n v="42"/>
    <n v="40"/>
    <n v="0.95"/>
    <n v="1"/>
    <n v="5.5"/>
    <n v="16.329999999999998"/>
    <n v="17"/>
    <x v="0"/>
    <n v="0.25"/>
    <n v="92"/>
    <n v="0"/>
    <x v="0"/>
    <n v="1"/>
    <s v="YES"/>
    <n v="1"/>
    <s v="YES"/>
    <n v="0"/>
    <s v="NO"/>
    <n v="0"/>
    <s v="NO"/>
    <n v="1"/>
    <x v="0"/>
    <n v="0"/>
    <s v="NO"/>
    <n v="120"/>
    <n v="70"/>
    <n v="8"/>
    <n v="10"/>
    <n v="16"/>
    <n v="18"/>
    <n v="9.3000000000000007"/>
    <x v="1"/>
    <n v="18"/>
    <n v="34"/>
    <n v="96"/>
    <x v="1"/>
    <x v="1"/>
    <x v="1"/>
  </r>
  <r>
    <n v="514"/>
    <n v="514"/>
    <n v="0"/>
    <x v="0"/>
    <n v="21"/>
    <n v="55"/>
    <n v="158.49600000000001"/>
    <n v="16"/>
    <n v="72"/>
    <n v="18"/>
    <n v="11.5"/>
    <n v="2"/>
    <n v="5"/>
    <n v="3"/>
    <n v="0"/>
    <s v="NO"/>
    <n v="0"/>
    <n v="1.99"/>
    <x v="0"/>
    <n v="8.5500000000000007"/>
    <n v="2.5299999999999998"/>
    <n v="3.379446640316206"/>
    <x v="0"/>
    <n v="40"/>
    <n v="38"/>
    <n v="0.95"/>
    <n v="1.79"/>
    <n v="2.2000000000000002"/>
    <n v="17.23"/>
    <n v="13.8"/>
    <x v="0"/>
    <n v="0.23"/>
    <n v="100"/>
    <n v="0"/>
    <x v="0"/>
    <n v="0"/>
    <s v="NO"/>
    <n v="0"/>
    <s v="NO"/>
    <n v="0"/>
    <s v="NO"/>
    <n v="0"/>
    <s v="NO"/>
    <n v="0"/>
    <x v="1"/>
    <n v="0"/>
    <s v="NO"/>
    <n v="120"/>
    <n v="80"/>
    <n v="1"/>
    <n v="3"/>
    <n v="7"/>
    <n v="19"/>
    <n v="8.5"/>
    <x v="0"/>
    <n v="4"/>
    <n v="26"/>
    <n v="107"/>
    <x v="0"/>
    <x v="0"/>
    <x v="0"/>
  </r>
  <r>
    <n v="515"/>
    <n v="515"/>
    <n v="0"/>
    <x v="0"/>
    <n v="32"/>
    <n v="65"/>
    <n v="170.68799999999999"/>
    <n v="16"/>
    <n v="72"/>
    <n v="18"/>
    <n v="10.5"/>
    <n v="2"/>
    <n v="5"/>
    <n v="6"/>
    <n v="0"/>
    <s v="NO"/>
    <n v="0"/>
    <n v="171.85"/>
    <x v="0"/>
    <n v="7.45"/>
    <n v="2.86"/>
    <n v="2.604895104895105"/>
    <x v="0"/>
    <n v="38"/>
    <n v="36"/>
    <n v="0.95"/>
    <n v="2.97"/>
    <n v="18.899999999999999"/>
    <n v="21.04"/>
    <n v="30"/>
    <x v="1"/>
    <n v="0.49"/>
    <n v="100"/>
    <n v="0"/>
    <x v="0"/>
    <n v="0"/>
    <s v="NO"/>
    <n v="0"/>
    <s v="NO"/>
    <n v="0"/>
    <s v="NO"/>
    <n v="0"/>
    <s v="NO"/>
    <n v="1"/>
    <x v="0"/>
    <n v="0"/>
    <s v="NO"/>
    <n v="110"/>
    <n v="70"/>
    <n v="9"/>
    <n v="7"/>
    <n v="18"/>
    <n v="18"/>
    <n v="9"/>
    <x v="0"/>
    <n v="16"/>
    <n v="36"/>
    <n v="96.333333333333329"/>
    <x v="1"/>
    <x v="0"/>
    <x v="1"/>
  </r>
  <r>
    <n v="516"/>
    <n v="516"/>
    <n v="0"/>
    <x v="0"/>
    <n v="31"/>
    <n v="69"/>
    <n v="164"/>
    <n v="15"/>
    <n v="72"/>
    <n v="18"/>
    <n v="11"/>
    <n v="2"/>
    <n v="5"/>
    <n v="4"/>
    <n v="0"/>
    <s v="NO"/>
    <n v="0"/>
    <n v="1.99"/>
    <x v="0"/>
    <n v="6.54"/>
    <n v="2.31"/>
    <n v="2.831168831168831"/>
    <x v="0"/>
    <n v="46"/>
    <n v="44"/>
    <n v="0.96"/>
    <n v="1.41"/>
    <n v="10"/>
    <n v="19.190000000000001"/>
    <n v="22.9"/>
    <x v="1"/>
    <n v="0.3"/>
    <n v="92"/>
    <n v="0"/>
    <x v="0"/>
    <n v="0"/>
    <s v="NO"/>
    <n v="0"/>
    <s v="NO"/>
    <n v="1"/>
    <s v="YES"/>
    <n v="0"/>
    <s v="NO"/>
    <n v="0"/>
    <x v="1"/>
    <n v="0"/>
    <s v="NO"/>
    <n v="110"/>
    <n v="80"/>
    <n v="10"/>
    <n v="8"/>
    <n v="20"/>
    <n v="17"/>
    <n v="7"/>
    <x v="1"/>
    <n v="18"/>
    <n v="37"/>
    <n v="110"/>
    <x v="1"/>
    <x v="2"/>
    <x v="0"/>
  </r>
  <r>
    <n v="517"/>
    <n v="517"/>
    <n v="0"/>
    <x v="0"/>
    <n v="34"/>
    <n v="50"/>
    <n v="152"/>
    <n v="15"/>
    <n v="72"/>
    <n v="18"/>
    <n v="10"/>
    <n v="2"/>
    <n v="5"/>
    <n v="8"/>
    <n v="0"/>
    <s v="NO"/>
    <n v="0"/>
    <n v="1.99"/>
    <x v="201"/>
    <n v="3.23"/>
    <n v="2.7"/>
    <n v="1.1962962962962962"/>
    <x v="1"/>
    <n v="32"/>
    <n v="28"/>
    <n v="0.88"/>
    <n v="3.92"/>
    <n v="16"/>
    <n v="7.16"/>
    <n v="21.7"/>
    <x v="1"/>
    <n v="0.25"/>
    <n v="92"/>
    <n v="0"/>
    <x v="0"/>
    <n v="0"/>
    <s v="NO"/>
    <n v="1"/>
    <s v="YES"/>
    <n v="0"/>
    <s v="NO"/>
    <n v="0"/>
    <s v="NO"/>
    <n v="0"/>
    <x v="1"/>
    <n v="0"/>
    <s v="NO"/>
    <n v="100"/>
    <n v="70"/>
    <n v="12"/>
    <n v="10"/>
    <n v="19"/>
    <n v="16"/>
    <n v="9.1999999999999993"/>
    <x v="0"/>
    <n v="22"/>
    <n v="35"/>
    <n v="97.333333333333329"/>
    <x v="1"/>
    <x v="2"/>
    <x v="0"/>
  </r>
  <r>
    <n v="518"/>
    <n v="518"/>
    <n v="0"/>
    <x v="0"/>
    <n v="27"/>
    <n v="59"/>
    <n v="152"/>
    <n v="11"/>
    <n v="72"/>
    <n v="18"/>
    <n v="11.5"/>
    <n v="2"/>
    <n v="5"/>
    <n v="2"/>
    <n v="0"/>
    <s v="NO"/>
    <n v="0"/>
    <n v="320.07"/>
    <x v="0"/>
    <n v="5.95"/>
    <n v="3.9"/>
    <n v="1.5256410256410258"/>
    <x v="1"/>
    <n v="36"/>
    <n v="34"/>
    <n v="0.94"/>
    <n v="2.21"/>
    <n v="5.4"/>
    <n v="35.19"/>
    <n v="24.2"/>
    <x v="1"/>
    <n v="0.5"/>
    <n v="92"/>
    <n v="0"/>
    <x v="0"/>
    <n v="0"/>
    <s v="NO"/>
    <n v="0"/>
    <s v="NO"/>
    <n v="0"/>
    <s v="NO"/>
    <n v="0"/>
    <s v="NO"/>
    <n v="0"/>
    <x v="1"/>
    <n v="0"/>
    <s v="NO"/>
    <n v="110"/>
    <n v="70"/>
    <n v="5"/>
    <n v="8"/>
    <n v="20"/>
    <n v="21"/>
    <n v="9.8000000000000007"/>
    <x v="1"/>
    <n v="13"/>
    <n v="41"/>
    <n v="95"/>
    <x v="1"/>
    <x v="0"/>
    <x v="1"/>
  </r>
  <r>
    <n v="519"/>
    <n v="519"/>
    <n v="0"/>
    <x v="0"/>
    <n v="24"/>
    <n v="56"/>
    <n v="154"/>
    <n v="17"/>
    <n v="72"/>
    <n v="18"/>
    <n v="10.5"/>
    <n v="2"/>
    <n v="5"/>
    <n v="4"/>
    <n v="0"/>
    <s v="NO"/>
    <n v="0"/>
    <n v="31.77"/>
    <x v="0"/>
    <n v="7.7"/>
    <n v="3.34"/>
    <n v="2.3053892215568865"/>
    <x v="0"/>
    <n v="30"/>
    <n v="28"/>
    <n v="0.93"/>
    <n v="3.85"/>
    <n v="3.7"/>
    <n v="27.37"/>
    <n v="19.7"/>
    <x v="0"/>
    <n v="0.4"/>
    <n v="92"/>
    <n v="0"/>
    <x v="0"/>
    <n v="0"/>
    <s v="NO"/>
    <n v="0"/>
    <s v="NO"/>
    <n v="0"/>
    <s v="NO"/>
    <n v="0"/>
    <s v="NO"/>
    <n v="0"/>
    <x v="1"/>
    <n v="0"/>
    <s v="NO"/>
    <n v="110"/>
    <n v="70"/>
    <n v="5"/>
    <n v="4"/>
    <n v="19"/>
    <n v="20"/>
    <n v="5.9"/>
    <x v="0"/>
    <n v="9"/>
    <n v="39"/>
    <n v="95"/>
    <x v="0"/>
    <x v="0"/>
    <x v="1"/>
  </r>
  <r>
    <n v="520"/>
    <n v="520"/>
    <n v="0"/>
    <x v="0"/>
    <n v="28"/>
    <n v="53"/>
    <n v="158.49600000000001"/>
    <n v="16"/>
    <n v="72"/>
    <n v="18"/>
    <n v="11.8"/>
    <n v="2"/>
    <n v="5"/>
    <n v="5"/>
    <n v="1"/>
    <s v="YES"/>
    <n v="0"/>
    <n v="1.99"/>
    <x v="0"/>
    <n v="5.57"/>
    <n v="3.75"/>
    <n v="1.4853333333333334"/>
    <x v="1"/>
    <n v="28"/>
    <n v="26"/>
    <n v="0.93"/>
    <n v="2.08"/>
    <n v="5.5"/>
    <n v="23.01"/>
    <n v="32"/>
    <x v="1"/>
    <n v="0.39"/>
    <n v="100"/>
    <n v="0"/>
    <x v="0"/>
    <n v="0"/>
    <s v="NO"/>
    <n v="1"/>
    <s v="YES"/>
    <n v="0"/>
    <s v="NO"/>
    <n v="0"/>
    <s v="NO"/>
    <n v="0"/>
    <x v="1"/>
    <n v="0"/>
    <s v="NO"/>
    <n v="110"/>
    <n v="80"/>
    <n v="4"/>
    <n v="4"/>
    <n v="19"/>
    <n v="16"/>
    <n v="6.5"/>
    <x v="0"/>
    <n v="8"/>
    <n v="35"/>
    <n v="108"/>
    <x v="1"/>
    <x v="2"/>
    <x v="0"/>
  </r>
  <r>
    <n v="521"/>
    <n v="521"/>
    <n v="1"/>
    <x v="1"/>
    <n v="27"/>
    <n v="50"/>
    <n v="168"/>
    <n v="13"/>
    <n v="72"/>
    <n v="18"/>
    <n v="12"/>
    <n v="4"/>
    <n v="2"/>
    <n v="7"/>
    <n v="0"/>
    <s v="NO"/>
    <n v="0"/>
    <n v="632.22"/>
    <x v="0"/>
    <n v="4.5599999999999996"/>
    <n v="2.16"/>
    <n v="2.1111111111111107"/>
    <x v="0"/>
    <n v="26"/>
    <n v="25"/>
    <n v="0.96"/>
    <n v="0.86"/>
    <n v="7.2"/>
    <n v="23.14"/>
    <n v="37.9"/>
    <x v="1"/>
    <n v="0.4"/>
    <n v="100"/>
    <n v="0"/>
    <x v="0"/>
    <n v="1"/>
    <s v="YES"/>
    <n v="0"/>
    <s v="NO"/>
    <n v="0"/>
    <s v="NO"/>
    <n v="1"/>
    <s v="YES"/>
    <n v="0"/>
    <x v="1"/>
    <n v="0"/>
    <s v="NO"/>
    <n v="120"/>
    <n v="70"/>
    <n v="18"/>
    <n v="20"/>
    <n v="20"/>
    <n v="19"/>
    <n v="7.8"/>
    <x v="2"/>
    <n v="38"/>
    <n v="39"/>
    <n v="99.333333333333329"/>
    <x v="2"/>
    <x v="1"/>
    <x v="1"/>
  </r>
  <r>
    <n v="522"/>
    <n v="522"/>
    <n v="0"/>
    <x v="0"/>
    <n v="40"/>
    <n v="78"/>
    <n v="155"/>
    <n v="15"/>
    <n v="74"/>
    <n v="20"/>
    <n v="11.2"/>
    <n v="2"/>
    <n v="5"/>
    <n v="14"/>
    <n v="0"/>
    <s v="NO"/>
    <n v="0"/>
    <n v="212.75"/>
    <x v="0"/>
    <n v="9.14"/>
    <n v="3.22"/>
    <n v="2.8385093167701863"/>
    <x v="0"/>
    <n v="48"/>
    <n v="46"/>
    <n v="0.96"/>
    <n v="2.09"/>
    <n v="2.5"/>
    <n v="25.04"/>
    <n v="23.4"/>
    <x v="1"/>
    <n v="0.25"/>
    <n v="92"/>
    <n v="0"/>
    <x v="0"/>
    <n v="1"/>
    <s v="YES"/>
    <n v="0"/>
    <s v="NO"/>
    <n v="0"/>
    <s v="NO"/>
    <n v="1"/>
    <s v="YES"/>
    <n v="0"/>
    <x v="1"/>
    <n v="0"/>
    <s v="NO"/>
    <n v="120"/>
    <n v="80"/>
    <n v="8"/>
    <n v="10"/>
    <n v="19"/>
    <n v="21"/>
    <n v="8"/>
    <x v="3"/>
    <n v="18"/>
    <n v="40"/>
    <n v="109.33333333333333"/>
    <x v="1"/>
    <x v="1"/>
    <x v="1"/>
  </r>
  <r>
    <n v="523"/>
    <n v="523"/>
    <n v="0"/>
    <x v="0"/>
    <n v="29"/>
    <n v="52"/>
    <n v="154"/>
    <n v="13"/>
    <n v="72"/>
    <n v="18"/>
    <n v="11.8"/>
    <n v="2"/>
    <n v="5"/>
    <n v="8"/>
    <n v="1"/>
    <s v="YES"/>
    <n v="0"/>
    <n v="157.68"/>
    <x v="0"/>
    <n v="7.08"/>
    <n v="3.26"/>
    <n v="2.1717791411042948"/>
    <x v="0"/>
    <n v="28"/>
    <n v="25"/>
    <n v="0.89"/>
    <n v="2.78"/>
    <n v="18.5"/>
    <n v="16.260000000000002"/>
    <n v="19"/>
    <x v="0"/>
    <n v="0.56999999999999995"/>
    <n v="140"/>
    <n v="1"/>
    <x v="1"/>
    <n v="0"/>
    <s v="NO"/>
    <n v="1"/>
    <s v="YES"/>
    <n v="1"/>
    <s v="YES"/>
    <n v="0"/>
    <s v="NO"/>
    <n v="0"/>
    <x v="1"/>
    <n v="0"/>
    <s v="NO"/>
    <n v="110"/>
    <n v="80"/>
    <n v="6"/>
    <n v="5"/>
    <n v="17.5"/>
    <n v="16.5"/>
    <n v="10"/>
    <x v="0"/>
    <n v="11"/>
    <n v="34"/>
    <n v="108.66666666666667"/>
    <x v="1"/>
    <x v="1"/>
    <x v="0"/>
  </r>
  <r>
    <n v="524"/>
    <n v="524"/>
    <n v="1"/>
    <x v="1"/>
    <n v="36"/>
    <n v="60"/>
    <n v="150"/>
    <n v="15"/>
    <n v="72"/>
    <n v="18"/>
    <n v="10.199999999999999"/>
    <n v="4"/>
    <n v="7"/>
    <n v="8"/>
    <n v="0"/>
    <s v="NO"/>
    <n v="0"/>
    <n v="2.14"/>
    <x v="0"/>
    <n v="5.71"/>
    <n v="1"/>
    <n v="5.71"/>
    <x v="0"/>
    <n v="42"/>
    <n v="40"/>
    <n v="0.95"/>
    <n v="2.11"/>
    <n v="7.7"/>
    <n v="39.409999999999997"/>
    <n v="26.1"/>
    <x v="1"/>
    <n v="0.25"/>
    <n v="110"/>
    <n v="1"/>
    <x v="1"/>
    <n v="0"/>
    <s v="NO"/>
    <n v="0"/>
    <s v="NO"/>
    <n v="0"/>
    <s v="NO"/>
    <n v="1"/>
    <s v="YES"/>
    <n v="0"/>
    <x v="1"/>
    <n v="0"/>
    <s v="NO"/>
    <n v="110"/>
    <n v="80"/>
    <n v="6"/>
    <n v="9"/>
    <n v="17"/>
    <n v="22"/>
    <n v="7.6"/>
    <x v="1"/>
    <n v="15"/>
    <n v="39"/>
    <n v="108.66666666666667"/>
    <x v="2"/>
    <x v="2"/>
    <x v="0"/>
  </r>
  <r>
    <n v="525"/>
    <n v="525"/>
    <n v="1"/>
    <x v="1"/>
    <n v="27"/>
    <n v="70"/>
    <n v="170.68799999999999"/>
    <n v="13"/>
    <n v="72"/>
    <n v="18"/>
    <n v="11.5"/>
    <n v="2"/>
    <n v="5"/>
    <n v="4"/>
    <n v="1"/>
    <s v="YES"/>
    <n v="2"/>
    <n v="1.99"/>
    <x v="0"/>
    <n v="4.3"/>
    <n v="2.04"/>
    <n v="2.107843137254902"/>
    <x v="0"/>
    <n v="44"/>
    <n v="42"/>
    <n v="0.95"/>
    <n v="3.65"/>
    <n v="0.19"/>
    <n v="9.83"/>
    <n v="21.8"/>
    <x v="1"/>
    <n v="0.5"/>
    <n v="107"/>
    <n v="1"/>
    <x v="1"/>
    <n v="0"/>
    <s v="NO"/>
    <n v="0"/>
    <s v="NO"/>
    <n v="0"/>
    <s v="NO"/>
    <n v="0"/>
    <s v="NO"/>
    <n v="0"/>
    <x v="1"/>
    <n v="0"/>
    <s v="NO"/>
    <n v="120"/>
    <n v="80"/>
    <n v="9"/>
    <n v="10"/>
    <n v="21"/>
    <n v="23"/>
    <n v="6.5"/>
    <x v="0"/>
    <n v="19"/>
    <n v="44"/>
    <n v="109.66666666666667"/>
    <x v="1"/>
    <x v="0"/>
    <x v="0"/>
  </r>
  <r>
    <n v="526"/>
    <n v="526"/>
    <n v="0"/>
    <x v="0"/>
    <n v="27"/>
    <n v="48"/>
    <n v="158.49600000000001"/>
    <n v="13"/>
    <n v="72"/>
    <n v="18"/>
    <n v="10.7"/>
    <n v="2"/>
    <n v="5"/>
    <n v="2"/>
    <n v="0"/>
    <s v="NO"/>
    <n v="0"/>
    <n v="1.99"/>
    <x v="0"/>
    <n v="8.9499999999999993"/>
    <n v="4.6100000000000003"/>
    <n v="1.9414316702819954"/>
    <x v="1"/>
    <n v="26"/>
    <n v="24"/>
    <n v="0.92"/>
    <n v="4.2699999999999996"/>
    <n v="0.6"/>
    <n v="19.46"/>
    <n v="24.3"/>
    <x v="1"/>
    <n v="0.25"/>
    <n v="100"/>
    <n v="0"/>
    <x v="0"/>
    <n v="1"/>
    <s v="YES"/>
    <n v="0"/>
    <s v="NO"/>
    <n v="0"/>
    <s v="NO"/>
    <n v="0"/>
    <s v="NO"/>
    <n v="0"/>
    <x v="1"/>
    <n v="0"/>
    <s v="NO"/>
    <n v="110"/>
    <n v="70"/>
    <n v="2"/>
    <n v="3"/>
    <n v="16"/>
    <n v="19"/>
    <n v="7.8"/>
    <x v="0"/>
    <n v="5"/>
    <n v="35"/>
    <n v="94"/>
    <x v="0"/>
    <x v="2"/>
    <x v="0"/>
  </r>
  <r>
    <n v="527"/>
    <n v="527"/>
    <n v="0"/>
    <x v="0"/>
    <n v="32"/>
    <n v="60"/>
    <n v="155"/>
    <n v="16"/>
    <n v="74"/>
    <n v="22"/>
    <n v="10.5"/>
    <n v="4"/>
    <n v="7"/>
    <n v="4"/>
    <n v="1"/>
    <s v="YES"/>
    <n v="1"/>
    <n v="83.95"/>
    <x v="0"/>
    <n v="3.34"/>
    <n v="2.61"/>
    <n v="1.2796934865900382"/>
    <x v="1"/>
    <n v="42"/>
    <n v="40"/>
    <n v="0.95"/>
    <n v="1.52"/>
    <n v="2.5"/>
    <n v="11.2"/>
    <n v="12.7"/>
    <x v="0"/>
    <n v="0.25"/>
    <n v="107"/>
    <n v="0"/>
    <x v="0"/>
    <n v="1"/>
    <s v="YES"/>
    <n v="0"/>
    <s v="NO"/>
    <n v="0"/>
    <s v="NO"/>
    <n v="0"/>
    <s v="NO"/>
    <n v="0"/>
    <x v="1"/>
    <n v="0"/>
    <s v="NO"/>
    <n v="120"/>
    <n v="80"/>
    <n v="5"/>
    <n v="3"/>
    <n v="6.8"/>
    <n v="12"/>
    <n v="6.8"/>
    <x v="1"/>
    <n v="8"/>
    <n v="18.8"/>
    <n v="108.33333333333333"/>
    <x v="0"/>
    <x v="2"/>
    <x v="0"/>
  </r>
  <r>
    <n v="528"/>
    <n v="528"/>
    <n v="0"/>
    <x v="0"/>
    <n v="22"/>
    <n v="62"/>
    <n v="162"/>
    <n v="15"/>
    <n v="74"/>
    <n v="22"/>
    <n v="11.1"/>
    <n v="2"/>
    <n v="4"/>
    <n v="3"/>
    <n v="0"/>
    <s v="NO"/>
    <n v="0"/>
    <n v="18.75"/>
    <x v="0"/>
    <n v="4.3600000000000003"/>
    <n v="2.66"/>
    <n v="1.6390977443609023"/>
    <x v="1"/>
    <n v="44"/>
    <n v="42"/>
    <n v="0.95"/>
    <n v="2.08"/>
    <n v="3.7"/>
    <n v="28.75"/>
    <n v="21.4"/>
    <x v="1"/>
    <n v="0.25"/>
    <n v="115"/>
    <n v="0"/>
    <x v="0"/>
    <n v="0"/>
    <s v="NO"/>
    <n v="0"/>
    <s v="NO"/>
    <n v="0"/>
    <s v="NO"/>
    <n v="1"/>
    <s v="YES"/>
    <n v="0"/>
    <x v="1"/>
    <n v="0"/>
    <s v="NO"/>
    <n v="120"/>
    <n v="80"/>
    <n v="10"/>
    <n v="9"/>
    <n v="21"/>
    <n v="18"/>
    <n v="6.2"/>
    <x v="0"/>
    <n v="19"/>
    <n v="39"/>
    <n v="110"/>
    <x v="1"/>
    <x v="2"/>
    <x v="1"/>
  </r>
  <r>
    <n v="529"/>
    <n v="529"/>
    <n v="0"/>
    <x v="0"/>
    <n v="41"/>
    <n v="58"/>
    <n v="146.304"/>
    <n v="13"/>
    <n v="72"/>
    <n v="20"/>
    <n v="10.5"/>
    <n v="2"/>
    <n v="6"/>
    <n v="6"/>
    <n v="0"/>
    <s v="NO"/>
    <n v="0"/>
    <n v="1.99"/>
    <x v="0"/>
    <n v="9.64"/>
    <n v="3.68"/>
    <n v="2.6195652173913042"/>
    <x v="0"/>
    <n v="42"/>
    <n v="40"/>
    <n v="0.95"/>
    <n v="2.52"/>
    <n v="0.8"/>
    <n v="16.21"/>
    <n v="31"/>
    <x v="1"/>
    <n v="0.25"/>
    <n v="92"/>
    <n v="1"/>
    <x v="1"/>
    <n v="0"/>
    <s v="NO"/>
    <n v="0"/>
    <s v="NO"/>
    <n v="0"/>
    <s v="NO"/>
    <n v="0"/>
    <s v="NO"/>
    <n v="1"/>
    <x v="0"/>
    <n v="0"/>
    <s v="NO"/>
    <n v="120"/>
    <n v="80"/>
    <n v="1"/>
    <n v="0"/>
    <n v="19"/>
    <n v="14"/>
    <n v="9.6999999999999993"/>
    <x v="1"/>
    <n v="1"/>
    <n v="33"/>
    <n v="107"/>
    <x v="0"/>
    <x v="0"/>
    <x v="0"/>
  </r>
  <r>
    <n v="530"/>
    <n v="530"/>
    <n v="0"/>
    <x v="0"/>
    <n v="32"/>
    <n v="52"/>
    <n v="163"/>
    <n v="13"/>
    <n v="70"/>
    <n v="24"/>
    <n v="10.8"/>
    <n v="2"/>
    <n v="6"/>
    <n v="4"/>
    <n v="0"/>
    <s v="NO"/>
    <n v="0"/>
    <n v="1.99"/>
    <x v="0"/>
    <n v="1.35"/>
    <n v="0.37"/>
    <n v="3.6486486486486491"/>
    <x v="0"/>
    <n v="30"/>
    <n v="28"/>
    <n v="0.93"/>
    <n v="5.04"/>
    <n v="2.2999999999999998"/>
    <n v="14.86"/>
    <n v="19.3"/>
    <x v="0"/>
    <n v="0.25"/>
    <n v="108"/>
    <n v="0"/>
    <x v="0"/>
    <n v="0"/>
    <s v="NO"/>
    <n v="0"/>
    <s v="NO"/>
    <n v="0"/>
    <s v="NO"/>
    <n v="0"/>
    <s v="NO"/>
    <n v="1"/>
    <x v="0"/>
    <n v="0"/>
    <s v="NO"/>
    <n v="120"/>
    <n v="80"/>
    <n v="3"/>
    <n v="1"/>
    <n v="18"/>
    <n v="17"/>
    <n v="7.3"/>
    <x v="0"/>
    <n v="4"/>
    <n v="35"/>
    <n v="107.66666666666667"/>
    <x v="0"/>
    <x v="0"/>
    <x v="0"/>
  </r>
  <r>
    <n v="531"/>
    <n v="531"/>
    <n v="0"/>
    <x v="0"/>
    <n v="38"/>
    <n v="61"/>
    <n v="158"/>
    <n v="15"/>
    <n v="72"/>
    <n v="20"/>
    <n v="12.3"/>
    <n v="2"/>
    <n v="5"/>
    <n v="10"/>
    <n v="0"/>
    <s v="NO"/>
    <n v="0"/>
    <n v="270.49"/>
    <x v="0"/>
    <n v="9.2899999999999991"/>
    <n v="2.54"/>
    <n v="3.6574803149606296"/>
    <x v="0"/>
    <n v="38"/>
    <n v="34"/>
    <n v="0.89"/>
    <n v="1.31"/>
    <n v="1"/>
    <n v="19.309999999999999"/>
    <n v="30.5"/>
    <x v="1"/>
    <n v="0.26"/>
    <n v="100"/>
    <n v="0"/>
    <x v="0"/>
    <n v="0"/>
    <s v="NO"/>
    <n v="0"/>
    <s v="NO"/>
    <n v="0"/>
    <s v="NO"/>
    <n v="0"/>
    <s v="NO"/>
    <n v="0"/>
    <x v="1"/>
    <n v="0"/>
    <s v="NO"/>
    <n v="120"/>
    <n v="80"/>
    <n v="10"/>
    <n v="11"/>
    <n v="21"/>
    <n v="12"/>
    <n v="4.8"/>
    <x v="0"/>
    <n v="21"/>
    <n v="33"/>
    <n v="110"/>
    <x v="1"/>
    <x v="0"/>
    <x v="1"/>
  </r>
  <r>
    <n v="532"/>
    <n v="532"/>
    <n v="0"/>
    <x v="0"/>
    <n v="34"/>
    <n v="70"/>
    <n v="164"/>
    <n v="11"/>
    <n v="72"/>
    <n v="22"/>
    <n v="10.5"/>
    <n v="2"/>
    <n v="5"/>
    <n v="8"/>
    <n v="0"/>
    <s v="NO"/>
    <n v="0"/>
    <n v="1.99"/>
    <x v="0"/>
    <n v="6.87"/>
    <n v="2.0699999999999998"/>
    <n v="3.3188405797101455"/>
    <x v="0"/>
    <n v="48"/>
    <n v="44"/>
    <n v="0.92"/>
    <n v="1.08"/>
    <n v="0.7"/>
    <n v="39.32"/>
    <n v="11.3"/>
    <x v="0"/>
    <n v="0.25"/>
    <n v="92"/>
    <n v="0"/>
    <x v="0"/>
    <n v="0"/>
    <s v="NO"/>
    <n v="0"/>
    <s v="NO"/>
    <n v="0"/>
    <s v="NO"/>
    <n v="0"/>
    <s v="NO"/>
    <n v="0"/>
    <x v="1"/>
    <n v="0"/>
    <s v="NO"/>
    <n v="120"/>
    <n v="70"/>
    <n v="2"/>
    <n v="0"/>
    <n v="21"/>
    <n v="16"/>
    <n v="8.5"/>
    <x v="1"/>
    <n v="2"/>
    <n v="37"/>
    <n v="94"/>
    <x v="0"/>
    <x v="0"/>
    <x v="0"/>
  </r>
  <r>
    <n v="533"/>
    <n v="533"/>
    <n v="0"/>
    <x v="0"/>
    <n v="39"/>
    <n v="56"/>
    <n v="158.49600000000001"/>
    <n v="12"/>
    <n v="72"/>
    <n v="22"/>
    <n v="10.8"/>
    <n v="2"/>
    <n v="4"/>
    <n v="13"/>
    <n v="0"/>
    <s v="NO"/>
    <n v="0"/>
    <n v="667.07"/>
    <x v="0"/>
    <n v="10.29"/>
    <n v="5.0999999999999996"/>
    <n v="2.0176470588235293"/>
    <x v="0"/>
    <n v="32"/>
    <n v="28"/>
    <n v="0.88"/>
    <n v="1.48"/>
    <n v="6.3"/>
    <n v="32.14"/>
    <n v="23.4"/>
    <x v="1"/>
    <n v="0.25"/>
    <n v="92"/>
    <n v="0"/>
    <x v="0"/>
    <n v="0"/>
    <s v="NO"/>
    <n v="0"/>
    <s v="NO"/>
    <n v="0"/>
    <s v="NO"/>
    <n v="0"/>
    <s v="NO"/>
    <n v="0"/>
    <x v="1"/>
    <n v="0"/>
    <s v="NO"/>
    <n v="130"/>
    <n v="80"/>
    <n v="9"/>
    <n v="7"/>
    <n v="17"/>
    <n v="18"/>
    <n v="7"/>
    <x v="0"/>
    <n v="16"/>
    <n v="35"/>
    <n v="109.66666666666667"/>
    <x v="1"/>
    <x v="0"/>
    <x v="1"/>
  </r>
  <r>
    <n v="534"/>
    <n v="534"/>
    <n v="1"/>
    <x v="1"/>
    <n v="26"/>
    <n v="53.5"/>
    <n v="161.54400000000001"/>
    <n v="14"/>
    <n v="70"/>
    <n v="18"/>
    <n v="10.6"/>
    <n v="4"/>
    <n v="7"/>
    <n v="3"/>
    <n v="0"/>
    <s v="NO"/>
    <n v="0"/>
    <n v="572.86"/>
    <x v="202"/>
    <n v="3.71"/>
    <n v="4.66"/>
    <n v="0.79613733905579398"/>
    <x v="1"/>
    <n v="28"/>
    <n v="26"/>
    <n v="0.93"/>
    <n v="1.4"/>
    <n v="19.600000000000001"/>
    <n v="29.57"/>
    <n v="32.1"/>
    <x v="1"/>
    <n v="0.36"/>
    <n v="100"/>
    <n v="0"/>
    <x v="0"/>
    <n v="0"/>
    <s v="NO"/>
    <n v="0"/>
    <s v="NO"/>
    <n v="0"/>
    <s v="NO"/>
    <n v="1"/>
    <s v="YES"/>
    <n v="0"/>
    <x v="1"/>
    <n v="0"/>
    <s v="NO"/>
    <n v="110"/>
    <n v="80"/>
    <n v="8"/>
    <n v="10"/>
    <n v="18"/>
    <n v="18"/>
    <n v="10.3"/>
    <x v="0"/>
    <n v="18"/>
    <n v="36"/>
    <n v="109.33333333333333"/>
    <x v="2"/>
    <x v="2"/>
    <x v="1"/>
  </r>
  <r>
    <n v="535"/>
    <n v="535"/>
    <n v="0"/>
    <x v="0"/>
    <n v="24"/>
    <n v="48"/>
    <n v="158.49600000000001"/>
    <n v="14"/>
    <n v="70"/>
    <n v="18"/>
    <n v="11"/>
    <n v="2"/>
    <n v="5"/>
    <n v="4"/>
    <n v="0"/>
    <s v="NO"/>
    <n v="0"/>
    <n v="615.29"/>
    <x v="0"/>
    <n v="3.74"/>
    <n v="9.3800000000000008"/>
    <n v="0.39872068230277186"/>
    <x v="1"/>
    <n v="30"/>
    <n v="28"/>
    <n v="0.93"/>
    <n v="1.69"/>
    <n v="18.2"/>
    <n v="33.869999999999997"/>
    <n v="26.9"/>
    <x v="1"/>
    <n v="0.3"/>
    <n v="92"/>
    <n v="0"/>
    <x v="0"/>
    <n v="0"/>
    <s v="NO"/>
    <n v="0"/>
    <s v="NO"/>
    <n v="0"/>
    <s v="NO"/>
    <n v="0"/>
    <s v="NO"/>
    <n v="0"/>
    <x v="1"/>
    <n v="0"/>
    <s v="NO"/>
    <n v="110"/>
    <n v="80"/>
    <n v="7"/>
    <n v="7"/>
    <n v="20"/>
    <n v="19"/>
    <n v="8.1999999999999993"/>
    <x v="0"/>
    <n v="14"/>
    <n v="39"/>
    <n v="109"/>
    <x v="1"/>
    <x v="0"/>
    <x v="1"/>
  </r>
  <r>
    <n v="536"/>
    <n v="536"/>
    <n v="0"/>
    <x v="0"/>
    <n v="26"/>
    <n v="80"/>
    <n v="161.54400000000001"/>
    <n v="18"/>
    <n v="70"/>
    <n v="18"/>
    <n v="10.6"/>
    <n v="2"/>
    <n v="5"/>
    <n v="4"/>
    <n v="0"/>
    <s v="NO"/>
    <n v="0"/>
    <n v="1.99"/>
    <x v="0"/>
    <n v="7.06"/>
    <n v="3.5"/>
    <n v="2.0171428571428569"/>
    <x v="0"/>
    <n v="48"/>
    <n v="44"/>
    <n v="0.92"/>
    <n v="17.2"/>
    <n v="7.6"/>
    <n v="39.01"/>
    <n v="32.700000000000003"/>
    <x v="1"/>
    <n v="0.25"/>
    <n v="92"/>
    <n v="0"/>
    <x v="0"/>
    <n v="0"/>
    <s v="NO"/>
    <n v="0"/>
    <s v="NO"/>
    <n v="0"/>
    <s v="NO"/>
    <n v="0"/>
    <s v="NO"/>
    <n v="0"/>
    <x v="1"/>
    <n v="0"/>
    <s v="NO"/>
    <n v="110"/>
    <n v="80"/>
    <n v="7"/>
    <n v="9"/>
    <n v="13"/>
    <n v="17.5"/>
    <n v="9.6"/>
    <x v="3"/>
    <n v="16"/>
    <n v="30.5"/>
    <n v="109"/>
    <x v="1"/>
    <x v="0"/>
    <x v="0"/>
  </r>
  <r>
    <n v="537"/>
    <n v="537"/>
    <n v="0"/>
    <x v="0"/>
    <n v="35"/>
    <n v="50"/>
    <n v="164.59200000000001"/>
    <n v="17"/>
    <n v="72"/>
    <n v="16"/>
    <n v="11"/>
    <n v="2"/>
    <n v="5"/>
    <n v="8"/>
    <n v="0"/>
    <s v="NO"/>
    <n v="1"/>
    <n v="1.99"/>
    <x v="0"/>
    <n v="10.06"/>
    <n v="1.81"/>
    <n v="5.5580110497237571"/>
    <x v="0"/>
    <n v="28"/>
    <n v="26"/>
    <n v="0.93"/>
    <n v="1.1100000000000001"/>
    <n v="1.7"/>
    <n v="5.3"/>
    <n v="36.6"/>
    <x v="1"/>
    <n v="0.25"/>
    <n v="92"/>
    <n v="0"/>
    <x v="0"/>
    <n v="0"/>
    <s v="NO"/>
    <n v="0"/>
    <s v="NO"/>
    <n v="0"/>
    <s v="NO"/>
    <n v="0"/>
    <s v="NO"/>
    <n v="0"/>
    <x v="1"/>
    <n v="0"/>
    <s v="NO"/>
    <n v="110"/>
    <n v="70"/>
    <n v="1"/>
    <n v="0"/>
    <n v="17.5"/>
    <n v="10"/>
    <n v="6.7"/>
    <x v="2"/>
    <n v="1"/>
    <n v="27.5"/>
    <n v="93.666666666666671"/>
    <x v="0"/>
    <x v="0"/>
    <x v="0"/>
  </r>
  <r>
    <n v="538"/>
    <n v="538"/>
    <n v="0"/>
    <x v="0"/>
    <n v="30"/>
    <n v="63.2"/>
    <n v="158"/>
    <n v="15"/>
    <n v="72"/>
    <n v="18"/>
    <n v="10.8"/>
    <n v="2"/>
    <n v="5"/>
    <n v="4"/>
    <n v="1"/>
    <s v="YES"/>
    <n v="1"/>
    <n v="80.13"/>
    <x v="0"/>
    <n v="5.07"/>
    <n v="2.84"/>
    <n v="1.785211267605634"/>
    <x v="1"/>
    <n v="34"/>
    <n v="32"/>
    <n v="0.94"/>
    <n v="2.0499999999999998"/>
    <n v="5.6"/>
    <n v="21.09"/>
    <n v="23"/>
    <x v="1"/>
    <n v="0.25"/>
    <n v="108"/>
    <n v="1"/>
    <x v="1"/>
    <n v="0"/>
    <s v="NO"/>
    <n v="0"/>
    <s v="NO"/>
    <n v="0"/>
    <s v="NO"/>
    <n v="0"/>
    <s v="NO"/>
    <n v="0"/>
    <x v="1"/>
    <n v="0"/>
    <s v="NO"/>
    <n v="110"/>
    <n v="70"/>
    <n v="9"/>
    <n v="7"/>
    <n v="19"/>
    <n v="18"/>
    <n v="8.1999999999999993"/>
    <x v="1"/>
    <n v="16"/>
    <n v="37"/>
    <n v="96.333333333333329"/>
    <x v="1"/>
    <x v="0"/>
    <x v="0"/>
  </r>
  <r>
    <n v="539"/>
    <n v="539"/>
    <n v="0"/>
    <x v="0"/>
    <n v="36"/>
    <n v="54"/>
    <n v="152"/>
    <n v="13"/>
    <n v="74"/>
    <n v="20"/>
    <n v="10.8"/>
    <n v="2"/>
    <n v="6"/>
    <n v="8"/>
    <n v="0"/>
    <s v="NO"/>
    <n v="0"/>
    <n v="1.99"/>
    <x v="0"/>
    <n v="11.96"/>
    <n v="2.78"/>
    <n v="4.3021582733812957"/>
    <x v="0"/>
    <n v="30"/>
    <n v="28"/>
    <n v="0.93"/>
    <n v="2.87"/>
    <n v="3.7"/>
    <n v="96.41"/>
    <n v="22.5"/>
    <x v="1"/>
    <n v="0.25"/>
    <n v="92"/>
    <n v="0"/>
    <x v="0"/>
    <n v="0"/>
    <s v="NO"/>
    <n v="0"/>
    <s v="NO"/>
    <n v="0"/>
    <s v="NO"/>
    <n v="0"/>
    <s v="NO"/>
    <n v="0"/>
    <x v="1"/>
    <n v="0"/>
    <s v="NO"/>
    <n v="110"/>
    <n v="80"/>
    <n v="1"/>
    <n v="0"/>
    <n v="18"/>
    <n v="9"/>
    <n v="7.3"/>
    <x v="0"/>
    <n v="1"/>
    <n v="27"/>
    <n v="107"/>
    <x v="0"/>
    <x v="0"/>
    <x v="0"/>
  </r>
  <r>
    <n v="540"/>
    <n v="540"/>
    <n v="0"/>
    <x v="0"/>
    <n v="27"/>
    <n v="50"/>
    <n v="150"/>
    <n v="15"/>
    <n v="74"/>
    <n v="20"/>
    <n v="12"/>
    <n v="4"/>
    <n v="2"/>
    <n v="2"/>
    <n v="0"/>
    <s v="NO"/>
    <n v="0"/>
    <n v="292.92"/>
    <x v="0"/>
    <n v="4.4000000000000004"/>
    <n v="4.33"/>
    <n v="1.0161662817551964"/>
    <x v="1"/>
    <n v="28"/>
    <n v="26"/>
    <n v="0.93"/>
    <n v="2.5"/>
    <n v="5.2"/>
    <n v="38.89"/>
    <n v="22.4"/>
    <x v="1"/>
    <n v="0.25"/>
    <n v="115"/>
    <n v="0"/>
    <x v="0"/>
    <n v="0"/>
    <s v="NO"/>
    <n v="0"/>
    <s v="NO"/>
    <n v="0"/>
    <s v="NO"/>
    <n v="1"/>
    <s v="YES"/>
    <n v="0"/>
    <x v="1"/>
    <n v="0"/>
    <s v="NO"/>
    <n v="110"/>
    <n v="70"/>
    <n v="7"/>
    <n v="6"/>
    <n v="18"/>
    <n v="16"/>
    <n v="11.5"/>
    <x v="0"/>
    <n v="13"/>
    <n v="34"/>
    <n v="95.666666666666671"/>
    <x v="1"/>
    <x v="2"/>
    <x v="1"/>
  </r>
  <r>
    <n v="541"/>
    <n v="541"/>
    <n v="1"/>
    <x v="1"/>
    <n v="23"/>
    <n v="82"/>
    <n v="165"/>
    <n v="13"/>
    <n v="80"/>
    <n v="20"/>
    <n v="10.199999999999999"/>
    <n v="4"/>
    <n v="7"/>
    <n v="2"/>
    <n v="0"/>
    <s v="NO"/>
    <n v="0"/>
    <n v="1.99"/>
    <x v="0"/>
    <n v="3.99"/>
    <n v="4.3"/>
    <n v="0.9279069767441861"/>
    <x v="1"/>
    <n v="48"/>
    <n v="46"/>
    <n v="0.96"/>
    <n v="1.66"/>
    <n v="20"/>
    <n v="20.74"/>
    <n v="17.399999999999999"/>
    <x v="0"/>
    <n v="0.37"/>
    <n v="108"/>
    <n v="1"/>
    <x v="1"/>
    <n v="1"/>
    <s v="YES"/>
    <n v="1"/>
    <s v="YES"/>
    <n v="1"/>
    <s v="YES"/>
    <n v="1"/>
    <s v="YES"/>
    <n v="1"/>
    <x v="0"/>
    <n v="0"/>
    <s v="NO"/>
    <n v="120"/>
    <n v="70"/>
    <n v="9"/>
    <n v="10"/>
    <n v="19"/>
    <n v="18"/>
    <n v="6.9"/>
    <x v="3"/>
    <n v="19"/>
    <n v="37"/>
    <n v="96.333333333333329"/>
    <x v="2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B17AC-CF22-4B6D-B823-FBA9FE359923}" name="PivotTable3" cacheId="15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R7:T14" firstHeaderRow="1" firstDataRow="2" firstDataCol="1"/>
  <pivotFields count="61"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34"/>
  </rowFields>
  <rowItems count="6">
    <i>
      <x/>
    </i>
    <i r="1">
      <x/>
    </i>
    <i r="1">
      <x v="1"/>
    </i>
    <i>
      <x v="1"/>
    </i>
    <i r="1">
      <x/>
    </i>
    <i r="1">
      <x v="1"/>
    </i>
  </rowItems>
  <colFields count="1">
    <field x="44"/>
  </colFields>
  <colItems count="2">
    <i>
      <x/>
    </i>
    <i>
      <x v="1"/>
    </i>
  </colItems>
  <dataFields count="1">
    <dataField name="Count of Patient File No." fld="1" subtotal="count" baseField="3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034CE-5805-46AA-AAAA-82648F428536}" name="PivotTable10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A7:CD10" firstHeaderRow="0" firstDataRow="1" firstDataCol="1"/>
  <pivotFields count="61"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204">
        <item x="179"/>
        <item x="72"/>
        <item x="50"/>
        <item x="192"/>
        <item x="0"/>
        <item x="44"/>
        <item x="77"/>
        <item x="53"/>
        <item x="160"/>
        <item x="57"/>
        <item x="73"/>
        <item x="70"/>
        <item x="119"/>
        <item x="29"/>
        <item x="80"/>
        <item x="164"/>
        <item x="67"/>
        <item x="109"/>
        <item x="115"/>
        <item x="155"/>
        <item x="202"/>
        <item x="157"/>
        <item x="177"/>
        <item x="194"/>
        <item x="172"/>
        <item x="195"/>
        <item x="22"/>
        <item x="16"/>
        <item x="200"/>
        <item x="169"/>
        <item x="151"/>
        <item x="162"/>
        <item x="174"/>
        <item x="12"/>
        <item x="15"/>
        <item x="46"/>
        <item x="88"/>
        <item x="9"/>
        <item x="191"/>
        <item x="113"/>
        <item x="43"/>
        <item x="33"/>
        <item x="13"/>
        <item x="54"/>
        <item x="110"/>
        <item x="105"/>
        <item x="147"/>
        <item x="190"/>
        <item x="17"/>
        <item x="62"/>
        <item x="47"/>
        <item x="18"/>
        <item x="139"/>
        <item x="171"/>
        <item x="101"/>
        <item x="104"/>
        <item x="140"/>
        <item x="150"/>
        <item x="55"/>
        <item x="197"/>
        <item x="60"/>
        <item x="137"/>
        <item x="26"/>
        <item x="176"/>
        <item x="93"/>
        <item x="38"/>
        <item x="114"/>
        <item x="129"/>
        <item x="111"/>
        <item x="182"/>
        <item x="6"/>
        <item x="42"/>
        <item x="92"/>
        <item x="35"/>
        <item x="48"/>
        <item x="3"/>
        <item x="64"/>
        <item x="181"/>
        <item x="180"/>
        <item x="201"/>
        <item x="79"/>
        <item x="143"/>
        <item x="36"/>
        <item x="153"/>
        <item x="81"/>
        <item x="84"/>
        <item x="82"/>
        <item x="196"/>
        <item x="23"/>
        <item x="89"/>
        <item x="34"/>
        <item x="87"/>
        <item x="95"/>
        <item x="98"/>
        <item x="56"/>
        <item x="106"/>
        <item x="69"/>
        <item x="4"/>
        <item x="132"/>
        <item x="28"/>
        <item x="136"/>
        <item x="21"/>
        <item x="167"/>
        <item x="198"/>
        <item x="148"/>
        <item x="27"/>
        <item x="37"/>
        <item x="25"/>
        <item x="45"/>
        <item x="63"/>
        <item x="188"/>
        <item x="135"/>
        <item x="163"/>
        <item x="158"/>
        <item x="58"/>
        <item x="130"/>
        <item x="186"/>
        <item x="103"/>
        <item x="8"/>
        <item x="118"/>
        <item x="68"/>
        <item x="168"/>
        <item x="166"/>
        <item x="61"/>
        <item x="75"/>
        <item x="199"/>
        <item x="187"/>
        <item x="175"/>
        <item x="31"/>
        <item x="193"/>
        <item x="96"/>
        <item x="32"/>
        <item x="121"/>
        <item x="165"/>
        <item x="161"/>
        <item x="146"/>
        <item x="133"/>
        <item x="120"/>
        <item x="154"/>
        <item x="128"/>
        <item x="94"/>
        <item x="156"/>
        <item x="83"/>
        <item x="97"/>
        <item x="112"/>
        <item x="141"/>
        <item x="183"/>
        <item x="173"/>
        <item x="99"/>
        <item x="138"/>
        <item x="124"/>
        <item x="125"/>
        <item x="149"/>
        <item x="185"/>
        <item x="159"/>
        <item x="100"/>
        <item x="170"/>
        <item x="90"/>
        <item x="126"/>
        <item x="49"/>
        <item x="65"/>
        <item x="178"/>
        <item x="189"/>
        <item x="1"/>
        <item x="20"/>
        <item x="91"/>
        <item x="71"/>
        <item x="24"/>
        <item x="127"/>
        <item x="66"/>
        <item x="74"/>
        <item x="78"/>
        <item x="51"/>
        <item x="86"/>
        <item x="85"/>
        <item x="40"/>
        <item x="10"/>
        <item x="108"/>
        <item x="184"/>
        <item x="145"/>
        <item x="7"/>
        <item x="30"/>
        <item x="152"/>
        <item x="14"/>
        <item x="122"/>
        <item x="117"/>
        <item x="2"/>
        <item x="76"/>
        <item x="131"/>
        <item x="142"/>
        <item x="144"/>
        <item x="116"/>
        <item x="5"/>
        <item x="102"/>
        <item x="19"/>
        <item x="41"/>
        <item x="39"/>
        <item x="134"/>
        <item x="11"/>
        <item x="59"/>
        <item x="123"/>
        <item x="107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6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atient File No." fld="1" subtotal="count" baseField="60" baseItem="0"/>
    <dataField name="Average of   I   beta-HCG(mIU/mL)" fld="17" subtotal="average" baseField="60" baseItem="0"/>
    <dataField name="Average of II    beta-HCG(mIU/mL)" fld="18" subtotal="average" baseField="6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02459-38E2-4226-B4AD-86F59331B1D4}" name="PivotTable9" cacheId="15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M7:BS13" firstHeaderRow="1" firstDataRow="3" firstDataCol="1"/>
  <pivotFields count="61"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54"/>
  </rowFields>
  <rowItems count="4">
    <i>
      <x/>
    </i>
    <i>
      <x v="1"/>
    </i>
    <i>
      <x v="2"/>
    </i>
    <i>
      <x v="3"/>
    </i>
  </rowItems>
  <colFields count="2">
    <field x="3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dataFields count="3">
    <dataField name="Average of AMH(ng/mL)" fld="27" subtotal="average" baseField="54" baseItem="0"/>
    <dataField name="Count of Total_Follicles_number" fld="55" subtotal="count" baseField="54" baseItem="0"/>
    <dataField name="Count of Patient File No." fld="1" subtotal="count" showDataAs="percentOfTotal" baseField="5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51305-FAAA-49BA-ADBE-F5E5759EC61C}" name="PivotTable8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7:BI13" firstHeaderRow="1" firstDataRow="2" firstDataCol="1"/>
  <pivotFields count="61"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File No." fld="1" subtotal="count" baseField="5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17D29-5A2C-47C2-AA6C-6352E5717156}" name="PivotTable7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Y7:BB11" firstHeaderRow="1" firstDataRow="2" firstDataCol="1"/>
  <pivotFields count="61"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59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File No." fld="1" subtotal="count" baseField="5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0571C-FAE3-451C-A0C5-23C9220083DD}" name="PivotTable6" cacheId="15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P7:AS11" firstHeaderRow="1" firstDataRow="2" firstDataCol="1"/>
  <pivotFields count="61"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58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 t="grand">
      <x/>
    </i>
  </colItems>
  <dataFields count="1">
    <dataField name="Count of Patient File No." fld="1" subtotal="count" baseField="58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5631F-F018-45BD-A953-8ED0D8A95DDF}" name="PivotTable5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7:AL11" firstHeaderRow="1" firstDataRow="2" firstDataCol="1"/>
  <pivotFields count="61"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Identify Vitamin D deficiency patterns" fld="1" subtotal="count" baseField="3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D68EE-FC92-4884-9377-CFA6F70FCA63}" name="PivotTable4" cacheId="15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B7:AE10" firstHeaderRow="1" firstDataRow="2" firstDataCol="1"/>
  <pivotFields count="61"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2">
    <i>
      <x/>
    </i>
    <i>
      <x v="1"/>
    </i>
  </rowItems>
  <colFields count="1">
    <field x="3"/>
  </colFields>
  <colItems count="3">
    <i>
      <x/>
    </i>
    <i>
      <x v="1"/>
    </i>
    <i t="grand">
      <x/>
    </i>
  </colItems>
  <dataFields count="1">
    <dataField name="LH/FSH Ratio" fld="1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A5700-F9B6-42B3-B084-034448A16740}" name="PivotTable2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7:L10" firstHeaderRow="0" firstDataRow="1" firstDataCol="1"/>
  <pivotFields count="6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MH(ng/mL)" fld="27" subtotal="average" baseField="2" baseItem="1"/>
    <dataField name="Average of Avg_total_follicles_size" fld="56" subtotal="average" baseField="2" baseItem="1"/>
    <dataField name="Average of Total_Follicles_number" fld="55" subtotal="average" baseField="2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5DD5F-D803-4579-992B-5C7006F9D3D5}" name="PivotTable1" cacheId="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7:C10" firstHeaderRow="1" firstDataRow="1" firstDataCol="1"/>
  <pivotFields count="61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Sl. No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9C986-A2A9-4A6C-81EB-764337960BC2}" name="Table1" displayName="Table1" ref="A1:BI542" totalsRowShown="0">
  <autoFilter ref="A1:BI542" xr:uid="{59C9C986-A2A9-4A6C-81EB-764337960BC2}"/>
  <tableColumns count="61">
    <tableColumn id="1" xr3:uid="{F7217FA7-F23E-4BBF-B2A8-6FA0A92B33D0}" name="Sl. No"/>
    <tableColumn id="2" xr3:uid="{04D7C805-26BA-4A66-9A05-1A047ACBA1FB}" name="Patient File No."/>
    <tableColumn id="3" xr3:uid="{3221DF8F-1D2E-49BB-A86D-4AC200C1C344}" name="PCOS (Y/N)"/>
    <tableColumn id="49" xr3:uid="{D49D1C07-6A40-4275-8B64-4CD115B9991B}" name="PCOS_confirm" dataDxfId="17">
      <calculatedColumnFormula>IF(Table1[[#This Row],[PCOS (Y/N)]]=0,"NO","YES")</calculatedColumnFormula>
    </tableColumn>
    <tableColumn id="4" xr3:uid="{B43E7FA9-F5A0-4FB5-B60F-F837CDC53BD6}" name=" Age (yrs)"/>
    <tableColumn id="5" xr3:uid="{2520084B-2161-4291-AD46-92EBB7C90347}" name="Weight (Kg)"/>
    <tableColumn id="6" xr3:uid="{3679D5DC-BBA3-4BB3-AFF9-F138C3BAC613}" name="Height(Cm) "/>
    <tableColumn id="7" xr3:uid="{0DDF89A5-1665-4F68-BAFA-3EE55896BDF6}" name="Blood Group"/>
    <tableColumn id="8" xr3:uid="{01960CD7-7AB9-4A5E-B861-2E2ECEAE6F69}" name="Pulse rate(bpm) "/>
    <tableColumn id="9" xr3:uid="{CA000400-8428-4934-9C2E-62BA69F40E83}" name="RR (breaths/min)"/>
    <tableColumn id="10" xr3:uid="{A46612AC-5D42-4D8A-A09F-1F04E0748EE5}" name="Hb(g/dl)"/>
    <tableColumn id="11" xr3:uid="{C118C6AF-7B3F-4B30-8BF4-B7F5E7363959}" name="Cycle(R/I)"/>
    <tableColumn id="12" xr3:uid="{B8A06544-377E-42D2-B1DA-FD7E7CF4E450}" name="Cycle length(days)"/>
    <tableColumn id="13" xr3:uid="{EFFDCC1B-941E-4628-B800-440DB59BB0BD}" name="Marraige Status (Yrs)"/>
    <tableColumn id="14" xr3:uid="{D0163A77-D5A4-4D80-9AD4-64440F9FA915}" name="Pregnant(Y/N)"/>
    <tableColumn id="48" xr3:uid="{280B1EE0-F1E3-4D42-AB78-636EE3E28571}" name="Pregnant_confirm" dataDxfId="16">
      <calculatedColumnFormula>IF(Table1[[#This Row],[Pregnant(Y/N)]]=1,"YES","NO")</calculatedColumnFormula>
    </tableColumn>
    <tableColumn id="15" xr3:uid="{9A2E1932-097A-4524-8045-592A9A3CA151}" name="No. of aborptions"/>
    <tableColumn id="16" xr3:uid="{22D15DE1-728B-43CB-9595-5F6E653341EE}" name="  I   beta-HCG(mIU/mL)"/>
    <tableColumn id="17" xr3:uid="{B384FABC-C9BA-4124-8F67-6C0751D93EC5}" name="II    beta-HCG(mIU/mL)"/>
    <tableColumn id="18" xr3:uid="{A0B57EAA-8F89-42CE-A145-C87961FE22DA}" name="FSH(mIU/mL)"/>
    <tableColumn id="19" xr3:uid="{6F95F293-9342-43A6-9166-0C317C0721D0}" name="LH(mIU/mL)"/>
    <tableColumn id="20" xr3:uid="{6C0AA2E8-BD5E-4206-8B53-84DE2517E3EA}" name="FSH/LH">
      <calculatedColumnFormula>Table1[[#This Row],[FSH(mIU/mL)]]/Table1[[#This Row],[LH(mIU/mL)]]</calculatedColumnFormula>
    </tableColumn>
    <tableColumn id="57" xr3:uid="{4D01B076-2FAA-41D4-A045-54663832B96D}" name="FSH/LH_Flag" dataDxfId="15">
      <calculatedColumnFormula>IF(Table1[[#This Row],[FSH/LH]]&gt;=2,"Abnormal","Normal")</calculatedColumnFormula>
    </tableColumn>
    <tableColumn id="21" xr3:uid="{66E4B29D-07FC-42AC-925C-34CC5200A5E8}" name="Hip(inch)"/>
    <tableColumn id="22" xr3:uid="{A92A52F5-4B41-41FC-874F-7E759BD836AB}" name="Waist(inch)"/>
    <tableColumn id="23" xr3:uid="{93DF74CF-06AF-41C4-AD51-FE8D11099DB5}" name="Waist:Hip Ratio">
      <calculatedColumnFormula>ROUND(Table1[[#This Row],[Waist(inch)]]/Table1[[#This Row],[Hip(inch)]],2)</calculatedColumnFormula>
    </tableColumn>
    <tableColumn id="24" xr3:uid="{1115139E-16D9-4A87-B102-6387D91BD7D0}" name="TSH (mIU/L)"/>
    <tableColumn id="25" xr3:uid="{CAD9C114-287C-4D81-ACB3-D80FEE4798B3}" name="AMH(ng/mL)"/>
    <tableColumn id="26" xr3:uid="{004FB20D-EE58-42EF-91B9-C8AF61D15A0D}" name="PRL(ng/mL)"/>
    <tableColumn id="27" xr3:uid="{1AD6BE01-DAAA-4915-8C24-02012FAFA239}" name="Vit D3 (ng/mL)"/>
    <tableColumn id="58" xr3:uid="{7CB19865-7310-450C-B7C3-797D675895A5}" name="Vit D confirm" dataDxfId="14">
      <calculatedColumnFormula>IF(Table1[[#This Row],[Vit D3 (ng/mL)]]&lt;20,"Deficiency","Normal")</calculatedColumnFormula>
    </tableColumn>
    <tableColumn id="28" xr3:uid="{FEAD6C84-2A1C-4DAE-948C-D6082F02A077}" name="PRG(ng/mL)"/>
    <tableColumn id="29" xr3:uid="{582D0F93-083D-4153-9D4B-4AB8244DB1EE}" name="RBS(mg/dl)"/>
    <tableColumn id="30" xr3:uid="{0B6B29B7-85EB-4E02-8EA2-976FFFE0800D}" name="Weight gain(Y/N)"/>
    <tableColumn id="50" xr3:uid="{E759819D-1474-42CE-972F-653EB6E23114}" name="Weight_gain_confirm" dataDxfId="13">
      <calculatedColumnFormula>IF(Table1[[#This Row],[Weight gain(Y/N)]]=0,"NO","YES")</calculatedColumnFormula>
    </tableColumn>
    <tableColumn id="31" xr3:uid="{A6678355-7CC1-4995-A0BC-4339C08C26B2}" name="hair growth(Y/N)"/>
    <tableColumn id="51" xr3:uid="{505D449B-698D-4F04-875B-31FBFDDBBABC}" name="Hair_growth_confirm" dataDxfId="12">
      <calculatedColumnFormula>IF(Table1[[#This Row],[hair growth(Y/N)]]=1,"YES","NO")</calculatedColumnFormula>
    </tableColumn>
    <tableColumn id="32" xr3:uid="{79B638B6-7DAE-4C18-B946-7B3F669A514A}" name="Skin darkening (Y/N)"/>
    <tableColumn id="52" xr3:uid="{D6AADC33-71C3-429E-BCEA-BDB12B146C7F}" name="Skin_darkening_confirm" dataDxfId="11">
      <calculatedColumnFormula>IF(Table1[[#This Row],[Skin darkening (Y/N)]]=1,"YES","NO")</calculatedColumnFormula>
    </tableColumn>
    <tableColumn id="33" xr3:uid="{22EDF7C1-2C07-4564-8AA3-A0E5EE62F9AA}" name="Hair loss(Y/N)"/>
    <tableColumn id="53" xr3:uid="{104366E1-2616-46D5-B2F2-CE51BF00E86E}" name="Hair_loss_confirm" dataDxfId="10">
      <calculatedColumnFormula>IF(Table1[[#This Row],[Hair loss(Y/N)]]=1,"YES","NO")</calculatedColumnFormula>
    </tableColumn>
    <tableColumn id="34" xr3:uid="{1A44E852-BA4B-4985-9B4E-AF7034C076C1}" name="Pimples(Y/N)"/>
    <tableColumn id="54" xr3:uid="{4C386BB9-E984-42CE-B351-7C6D27290F95}" name="Pimples_confirm" dataDxfId="9">
      <calculatedColumnFormula>IF(Table1[[#This Row],[Pimples(Y/N)]]=1,"YES","NO")</calculatedColumnFormula>
    </tableColumn>
    <tableColumn id="35" xr3:uid="{1B9D527E-DE11-44BB-A923-524FA54BD0AB}" name="Fast food (Y/N)"/>
    <tableColumn id="55" xr3:uid="{602F025A-6960-4B79-A338-98F5EDD935EC}" name="Fast_food_confirm" dataDxfId="8">
      <calculatedColumnFormula>IF(Table1[[#This Row],[Fast food (Y/N)]]=1,"YES","NO")</calculatedColumnFormula>
    </tableColumn>
    <tableColumn id="36" xr3:uid="{0A2CF011-5A40-49BB-A5DF-5D126EC5AAF7}" name="Reg.Exercise(Y/N)"/>
    <tableColumn id="56" xr3:uid="{9319A614-9617-447B-BBC7-7C0A76E34915}" name="Reg_Exercise_confirm" dataDxfId="7">
      <calculatedColumnFormula>IF(Table1[[#This Row],[Reg.Exercise(Y/N)]]=1,"YES","NO")</calculatedColumnFormula>
    </tableColumn>
    <tableColumn id="37" xr3:uid="{B7E33D23-F201-4685-A87B-44D764363810}" name="BP _Systolic (mmHg)"/>
    <tableColumn id="38" xr3:uid="{4805AF5D-1C38-47EB-9EDA-03DF905E94CB}" name="BP _Diastolic (mmHg)"/>
    <tableColumn id="39" xr3:uid="{166AA324-6BD7-445B-B1B1-DBC2B8DB5D04}" name="Follicle No. (L)"/>
    <tableColumn id="40" xr3:uid="{EDB0BA0D-8E75-4C16-A37B-FFB9FD7A747F}" name="Follicle No. (R)"/>
    <tableColumn id="41" xr3:uid="{6D262B02-3054-49F3-9B4F-B617DC163E0F}" name="Avg. F size (L) (mm)"/>
    <tableColumn id="42" xr3:uid="{89D9A8A6-EC37-433B-A07D-588EB52B4D04}" name="Avg. F size (R) (mm)"/>
    <tableColumn id="43" xr3:uid="{99C65215-5397-4409-9604-AF16AA7CA3A2}" name="Endometrium (mm)"/>
    <tableColumn id="44" xr3:uid="{CA77BA7C-0F2D-48CF-9AC7-2F88FEA061CA}" name="BMI_index" dataDxfId="1">
      <calculatedColumnFormula array="1">_xlfn.IFS((F2/(G2*G2)*10000)&lt; 18.5,"Underweight",(F2/(G2*G2)*10000)&lt;24.9,"Normal",(F2/(G2*G2)*10000)&lt;29.9,"Overweight",(F2/(G2*G2)*10000)&gt;=30,"obesity")</calculatedColumnFormula>
    </tableColumn>
    <tableColumn id="45" xr3:uid="{A05C8133-D358-4BEA-BC4F-023705107F9F}" name="Total_Follicles_number" dataDxfId="6">
      <calculatedColumnFormula>Table1[[#This Row],[Follicle No. (L)]]+Table1[[#This Row],[Follicle No. (R)]]</calculatedColumnFormula>
    </tableColumn>
    <tableColumn id="46" xr3:uid="{33226203-8DAC-48B7-B8CE-906477CA3E7C}" name="Avg_total_follicles_size" dataDxfId="5">
      <calculatedColumnFormula>Table1[[#This Row],[Avg. F size (L) (mm)]]+Table1[[#This Row],[Avg. F size (R) (mm)]]</calculatedColumnFormula>
    </tableColumn>
    <tableColumn id="47" xr3:uid="{A8ECB20C-AC88-4D0A-B4A9-3E62E308FF91}" name="MAP_Mean_arterial_pressure" dataDxfId="4">
      <calculatedColumnFormula>Table1[[#This Row],[BP _Diastolic (mmHg)]]+(Table1[[#This Row],[BP _Diastolic (mmHg)]]+Table1[[#This Row],[Follicle No. (L)]])/3</calculatedColumnFormula>
    </tableColumn>
    <tableColumn id="59" xr3:uid="{40038B6E-907C-484D-B3EB-557D7182C888}" name="PCOS_Risk_Tier" dataDxfId="3">
      <calculatedColumnFormula array="1">_xlfn.IFS(AND(Table1[[#This Row],[Total_Follicles_number]]&gt;=15,Table1[[#This Row],[Cycle(R/I)]] =4),"High risk and irregular cycle",OR(Table1[[#This Row],[Total_Follicles_number]]&gt;=10,Table1[[#This Row],[Skin darkening (Y/N)]]=1),"Moderate risk",TRUE,"Low risk")</calculatedColumnFormula>
    </tableColumn>
    <tableColumn id="60" xr3:uid="{8EF44AE2-E60E-486E-82E5-6DE61A9702EB}" name="Symptom_score" dataDxfId="2">
      <calculatedColumnFormula>SUM(Table1[[#This Row],[Pimples(Y/N)]],Table1[[#This Row],[hair growth(Y/N)]],Table1[[#This Row],[Skin darkening (Y/N)]],Table1[[#This Row],[Hair loss(Y/N)]])</calculatedColumnFormula>
    </tableColumn>
    <tableColumn id="61" xr3:uid="{708F5BCB-6018-408A-A08B-29084708647F}" name="Beta_HCG_LEVELS_Anomalies" dataDxfId="0">
      <calculatedColumnFormula>IF(AND(Table1[[#This Row],[Pregnant(Y/N)]]=0, Table1[[#This Row],[  I   beta-HCG(mIU/mL)]]&gt;5), "Investigation Required", "Clear")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I1000"/>
  <sheetViews>
    <sheetView topLeftCell="BD1" zoomScale="80" workbookViewId="0">
      <selection activeCell="BM1" sqref="BM1"/>
    </sheetView>
  </sheetViews>
  <sheetFormatPr defaultColWidth="14.44140625" defaultRowHeight="15" customHeight="1" x14ac:dyDescent="0.25"/>
  <cols>
    <col min="1" max="1" width="14.44140625" customWidth="1"/>
    <col min="2" max="2" width="16.109375" customWidth="1"/>
    <col min="3" max="6" width="14.44140625" customWidth="1"/>
    <col min="8" max="8" width="17.33203125" customWidth="1"/>
    <col min="9" max="9" width="17.77734375" customWidth="1"/>
    <col min="12" max="12" width="19.109375" customWidth="1"/>
    <col min="13" max="13" width="21.44140625" customWidth="1"/>
    <col min="14" max="14" width="15.21875" customWidth="1"/>
    <col min="15" max="15" width="18.77734375" customWidth="1"/>
    <col min="16" max="16" width="21.6640625" customWidth="1"/>
    <col min="17" max="17" width="24.5546875" customWidth="1"/>
    <col min="23" max="23" width="16.5546875" customWidth="1"/>
    <col min="27" max="27" width="15.44140625" customWidth="1"/>
    <col min="30" max="30" width="19.21875" customWidth="1"/>
    <col min="31" max="31" width="18.44140625" customWidth="1"/>
    <col min="32" max="32" width="21" customWidth="1"/>
    <col min="33" max="33" width="14.88671875" customWidth="1"/>
    <col min="35" max="35" width="16" customWidth="1"/>
    <col min="36" max="36" width="20" customWidth="1"/>
    <col min="37" max="37" width="21.33203125" customWidth="1"/>
    <col min="38" max="38" width="21.88671875" customWidth="1"/>
    <col min="39" max="39" width="15.44140625" customWidth="1"/>
    <col min="40" max="40" width="15.6640625" customWidth="1"/>
    <col min="41" max="41" width="20.44140625" customWidth="1"/>
    <col min="42" max="42" width="20.6640625" customWidth="1"/>
    <col min="43" max="43" width="19.5546875" customWidth="1"/>
    <col min="44" max="44" width="19.44140625" customWidth="1"/>
    <col min="59" max="59" width="32.88671875" customWidth="1"/>
  </cols>
  <sheetData>
    <row r="1" spans="1:61" ht="24.75" customHeight="1" x14ac:dyDescent="0.25">
      <c r="A1" t="s">
        <v>0</v>
      </c>
      <c r="B1" t="s">
        <v>1</v>
      </c>
      <c r="C1" t="s">
        <v>2</v>
      </c>
      <c r="D1" t="s">
        <v>47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7" t="s">
        <v>59</v>
      </c>
      <c r="Q1" s="7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s="7" t="s">
        <v>67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s="7" t="s">
        <v>71</v>
      </c>
      <c r="AF1" t="s">
        <v>27</v>
      </c>
      <c r="AG1" t="s">
        <v>28</v>
      </c>
      <c r="AH1" t="s">
        <v>29</v>
      </c>
      <c r="AI1" s="7" t="s">
        <v>60</v>
      </c>
      <c r="AJ1" t="s">
        <v>30</v>
      </c>
      <c r="AK1" s="7" t="s">
        <v>61</v>
      </c>
      <c r="AL1" t="s">
        <v>31</v>
      </c>
      <c r="AM1" s="7" t="s">
        <v>62</v>
      </c>
      <c r="AN1" t="s">
        <v>32</v>
      </c>
      <c r="AO1" s="7" t="s">
        <v>63</v>
      </c>
      <c r="AP1" t="s">
        <v>33</v>
      </c>
      <c r="AQ1" s="7" t="s">
        <v>64</v>
      </c>
      <c r="AR1" t="s">
        <v>34</v>
      </c>
      <c r="AS1" s="7" t="s">
        <v>65</v>
      </c>
      <c r="AT1" t="s">
        <v>35</v>
      </c>
      <c r="AU1" s="7" t="s">
        <v>66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45</v>
      </c>
      <c r="BD1" t="s">
        <v>53</v>
      </c>
      <c r="BE1" t="s">
        <v>54</v>
      </c>
      <c r="BF1" t="s">
        <v>46</v>
      </c>
      <c r="BG1" s="7" t="s">
        <v>75</v>
      </c>
      <c r="BH1" s="7" t="s">
        <v>79</v>
      </c>
      <c r="BI1" s="7" t="s">
        <v>90</v>
      </c>
    </row>
    <row r="2" spans="1:61" ht="15.75" customHeight="1" x14ac:dyDescent="0.25">
      <c r="A2">
        <v>1</v>
      </c>
      <c r="B2">
        <v>1</v>
      </c>
      <c r="C2">
        <v>0</v>
      </c>
      <c r="D2" t="str">
        <f>IF(Table1[[#This Row],[PCOS (Y/N)]]=0,"NO","YES")</f>
        <v>NO</v>
      </c>
      <c r="E2">
        <v>28</v>
      </c>
      <c r="F2">
        <v>44.6</v>
      </c>
      <c r="G2">
        <v>152</v>
      </c>
      <c r="H2">
        <v>15</v>
      </c>
      <c r="I2">
        <v>78</v>
      </c>
      <c r="J2">
        <v>22</v>
      </c>
      <c r="K2">
        <v>10.48</v>
      </c>
      <c r="L2">
        <v>2</v>
      </c>
      <c r="M2">
        <v>5</v>
      </c>
      <c r="N2">
        <v>7</v>
      </c>
      <c r="O2">
        <v>0</v>
      </c>
      <c r="P2" t="str">
        <f>IF(Table1[[#This Row],[Pregnant(Y/N)]]=1,"YES","NO")</f>
        <v>NO</v>
      </c>
      <c r="Q2">
        <v>0</v>
      </c>
      <c r="R2">
        <v>1.99</v>
      </c>
      <c r="S2">
        <v>1.99</v>
      </c>
      <c r="T2">
        <v>7.95</v>
      </c>
      <c r="U2">
        <v>3.68</v>
      </c>
      <c r="V2">
        <f>Table1[[#This Row],[FSH(mIU/mL)]]/Table1[[#This Row],[LH(mIU/mL)]]</f>
        <v>2.1603260869565215</v>
      </c>
      <c r="W2" t="str">
        <f>IF(Table1[[#This Row],[FSH/LH]]&gt;=2,"Abnormal","Normal")</f>
        <v>Abnormal</v>
      </c>
      <c r="X2">
        <v>36</v>
      </c>
      <c r="Y2">
        <v>30</v>
      </c>
      <c r="Z2">
        <f>ROUND(Table1[[#This Row],[Waist(inch)]]/Table1[[#This Row],[Hip(inch)]],2)</f>
        <v>0.83</v>
      </c>
      <c r="AA2">
        <v>0.68</v>
      </c>
      <c r="AB2">
        <v>2.0699999999999998</v>
      </c>
      <c r="AC2">
        <v>45.16</v>
      </c>
      <c r="AD2">
        <v>17.100000000000001</v>
      </c>
      <c r="AE2" t="str">
        <f>IF(Table1[[#This Row],[Vit D3 (ng/mL)]]&lt;20,"Deficiency","Normal")</f>
        <v>Deficiency</v>
      </c>
      <c r="AF2">
        <v>0.56999999999999995</v>
      </c>
      <c r="AG2">
        <v>92</v>
      </c>
      <c r="AH2">
        <v>0</v>
      </c>
      <c r="AI2" t="str">
        <f>IF(Table1[[#This Row],[Weight gain(Y/N)]]=0,"NO","YES")</f>
        <v>NO</v>
      </c>
      <c r="AJ2">
        <v>0</v>
      </c>
      <c r="AK2" t="str">
        <f>IF(Table1[[#This Row],[hair growth(Y/N)]]=1,"YES","NO")</f>
        <v>NO</v>
      </c>
      <c r="AL2">
        <v>0</v>
      </c>
      <c r="AM2" t="str">
        <f>IF(Table1[[#This Row],[Skin darkening (Y/N)]]=1,"YES","NO")</f>
        <v>NO</v>
      </c>
      <c r="AN2">
        <v>0</v>
      </c>
      <c r="AO2" t="str">
        <f>IF(Table1[[#This Row],[Hair loss(Y/N)]]=1,"YES","NO")</f>
        <v>NO</v>
      </c>
      <c r="AP2">
        <v>0</v>
      </c>
      <c r="AQ2" t="str">
        <f>IF(Table1[[#This Row],[Pimples(Y/N)]]=1,"YES","NO")</f>
        <v>NO</v>
      </c>
      <c r="AR2">
        <v>1</v>
      </c>
      <c r="AS2" t="str">
        <f>IF(Table1[[#This Row],[Fast food (Y/N)]]=1,"YES","NO")</f>
        <v>YES</v>
      </c>
      <c r="AT2">
        <v>0</v>
      </c>
      <c r="AU2" t="str">
        <f>IF(Table1[[#This Row],[Reg.Exercise(Y/N)]]=1,"YES","NO")</f>
        <v>NO</v>
      </c>
      <c r="AV2">
        <v>110</v>
      </c>
      <c r="AW2">
        <v>80</v>
      </c>
      <c r="AX2">
        <v>3</v>
      </c>
      <c r="AY2">
        <v>3</v>
      </c>
      <c r="AZ2">
        <v>18</v>
      </c>
      <c r="BA2">
        <v>18</v>
      </c>
      <c r="BB2">
        <v>8.5</v>
      </c>
      <c r="BC2" t="str" cm="1">
        <f t="array" ref="BC2">_xlfn.IFS((F2/(G2*G2)*10000)&lt; 18.5,"Underweight",(F2/(G2*G2)*10000)&lt;24.9,"Normal",(F2/(G2*G2)*10000)&lt;29.9,"Overweight",(F2/(G2*G2)*10000)&gt;=30,"obesity")</f>
        <v>Normal</v>
      </c>
      <c r="BD2">
        <f>Table1[[#This Row],[Follicle No. (L)]]+Table1[[#This Row],[Follicle No. (R)]]</f>
        <v>6</v>
      </c>
      <c r="BE2">
        <f>Table1[[#This Row],[Avg. F size (L) (mm)]]+Table1[[#This Row],[Avg. F size (R) (mm)]]</f>
        <v>36</v>
      </c>
      <c r="BF2">
        <f>Table1[[#This Row],[BP _Diastolic (mmHg)]]+(Table1[[#This Row],[BP _Diastolic (mmHg)]]+Table1[[#This Row],[Follicle No. (L)]])/3</f>
        <v>107.66666666666667</v>
      </c>
      <c r="BG2" s="4" t="str" cm="1">
        <f t="array" ref="BG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" s="4">
        <f>SUM(Table1[[#This Row],[Pimples(Y/N)]],Table1[[#This Row],[hair growth(Y/N)]],Table1[[#This Row],[Skin darkening (Y/N)]],Table1[[#This Row],[Hair loss(Y/N)]])</f>
        <v>0</v>
      </c>
      <c r="BI2" s="4" t="str">
        <f>IF(AND(Table1[[#This Row],[Pregnant(Y/N)]]=0, Table1[[#This Row],[  I   beta-HCG(mIU/mL)]]&gt;5), "Investigation Required", "Clear")</f>
        <v>Clear</v>
      </c>
    </row>
    <row r="3" spans="1:61" ht="15.75" customHeight="1" x14ac:dyDescent="0.25">
      <c r="A3">
        <v>2</v>
      </c>
      <c r="B3">
        <v>2</v>
      </c>
      <c r="C3">
        <v>0</v>
      </c>
      <c r="D3" t="str">
        <f>IF(Table1[[#This Row],[PCOS (Y/N)]]=0,"NO","YES")</f>
        <v>NO</v>
      </c>
      <c r="E3">
        <v>36</v>
      </c>
      <c r="F3">
        <v>65</v>
      </c>
      <c r="G3">
        <v>161.5</v>
      </c>
      <c r="H3">
        <v>15</v>
      </c>
      <c r="I3">
        <v>74</v>
      </c>
      <c r="J3">
        <v>20</v>
      </c>
      <c r="K3">
        <v>11.7</v>
      </c>
      <c r="L3">
        <v>2</v>
      </c>
      <c r="M3">
        <v>5</v>
      </c>
      <c r="N3">
        <v>11</v>
      </c>
      <c r="O3">
        <v>1</v>
      </c>
      <c r="P3" t="str">
        <f>IF(Table1[[#This Row],[Pregnant(Y/N)]]=1,"YES","NO")</f>
        <v>YES</v>
      </c>
      <c r="Q3">
        <v>0</v>
      </c>
      <c r="R3">
        <v>60.8</v>
      </c>
      <c r="S3">
        <v>1.99</v>
      </c>
      <c r="T3">
        <v>6.73</v>
      </c>
      <c r="U3">
        <v>1.0900000000000001</v>
      </c>
      <c r="V3">
        <f>Table1[[#This Row],[FSH(mIU/mL)]]/Table1[[#This Row],[LH(mIU/mL)]]</f>
        <v>6.1743119266055047</v>
      </c>
      <c r="W3" t="str">
        <f>IF(Table1[[#This Row],[FSH/LH]]&gt;=2,"Abnormal","Normal")</f>
        <v>Abnormal</v>
      </c>
      <c r="X3">
        <v>38</v>
      </c>
      <c r="Y3">
        <v>32</v>
      </c>
      <c r="Z3">
        <f>ROUND(Table1[[#This Row],[Waist(inch)]]/Table1[[#This Row],[Hip(inch)]],2)</f>
        <v>0.84</v>
      </c>
      <c r="AA3">
        <v>3.16</v>
      </c>
      <c r="AB3">
        <v>1.53</v>
      </c>
      <c r="AC3">
        <v>20.09</v>
      </c>
      <c r="AD3">
        <v>61.3</v>
      </c>
      <c r="AE3" t="str">
        <f>IF(Table1[[#This Row],[Vit D3 (ng/mL)]]&lt;20,"Deficiency","Normal")</f>
        <v>Normal</v>
      </c>
      <c r="AF3">
        <v>0.97</v>
      </c>
      <c r="AG3">
        <v>92</v>
      </c>
      <c r="AH3">
        <v>0</v>
      </c>
      <c r="AI3" t="str">
        <f>IF(Table1[[#This Row],[Weight gain(Y/N)]]=0,"NO","YES")</f>
        <v>NO</v>
      </c>
      <c r="AJ3">
        <v>0</v>
      </c>
      <c r="AK3" t="str">
        <f>IF(Table1[[#This Row],[hair growth(Y/N)]]=1,"YES","NO")</f>
        <v>NO</v>
      </c>
      <c r="AL3">
        <v>0</v>
      </c>
      <c r="AM3" t="str">
        <f>IF(Table1[[#This Row],[Skin darkening (Y/N)]]=1,"YES","NO")</f>
        <v>NO</v>
      </c>
      <c r="AN3">
        <v>0</v>
      </c>
      <c r="AO3" t="str">
        <f>IF(Table1[[#This Row],[Hair loss(Y/N)]]=1,"YES","NO")</f>
        <v>NO</v>
      </c>
      <c r="AP3">
        <v>0</v>
      </c>
      <c r="AQ3" t="str">
        <f>IF(Table1[[#This Row],[Pimples(Y/N)]]=1,"YES","NO")</f>
        <v>NO</v>
      </c>
      <c r="AR3">
        <v>0</v>
      </c>
      <c r="AS3" t="str">
        <f>IF(Table1[[#This Row],[Fast food (Y/N)]]=1,"YES","NO")</f>
        <v>NO</v>
      </c>
      <c r="AT3">
        <v>0</v>
      </c>
      <c r="AU3" t="str">
        <f>IF(Table1[[#This Row],[Reg.Exercise(Y/N)]]=1,"YES","NO")</f>
        <v>NO</v>
      </c>
      <c r="AV3">
        <v>120</v>
      </c>
      <c r="AW3">
        <v>70</v>
      </c>
      <c r="AX3">
        <v>3</v>
      </c>
      <c r="AY3">
        <v>5</v>
      </c>
      <c r="AZ3">
        <v>15</v>
      </c>
      <c r="BA3">
        <v>14</v>
      </c>
      <c r="BB3">
        <v>3.7</v>
      </c>
      <c r="BC3" t="str" cm="1">
        <f t="array" ref="BC3">_xlfn.IFS((F3/(G3*G3)*10000)&lt; 18.5,"Underweight",(F3/(G3*G3)*10000)&lt;24.9,"Normal",(F3/(G3*G3)*10000)&lt;29.9,"Overweight",(F3/(G3*G3)*10000)&gt;=30,"obesity")</f>
        <v>Overweight</v>
      </c>
      <c r="BD3">
        <f>Table1[[#This Row],[Follicle No. (L)]]+Table1[[#This Row],[Follicle No. (R)]]</f>
        <v>8</v>
      </c>
      <c r="BE3">
        <f>Table1[[#This Row],[Avg. F size (L) (mm)]]+Table1[[#This Row],[Avg. F size (R) (mm)]]</f>
        <v>29</v>
      </c>
      <c r="BF3">
        <f>Table1[[#This Row],[BP _Diastolic (mmHg)]]+(Table1[[#This Row],[BP _Diastolic (mmHg)]]+Table1[[#This Row],[Follicle No. (L)]])/3</f>
        <v>94.333333333333329</v>
      </c>
      <c r="BG3" s="4" t="str" cm="1">
        <f t="array" ref="BG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" s="4">
        <f>SUM(Table1[[#This Row],[Pimples(Y/N)]],Table1[[#This Row],[hair growth(Y/N)]],Table1[[#This Row],[Skin darkening (Y/N)]],Table1[[#This Row],[Hair loss(Y/N)]])</f>
        <v>0</v>
      </c>
      <c r="BI3" s="4" t="str">
        <f>IF(AND(Table1[[#This Row],[Pregnant(Y/N)]]=0, Table1[[#This Row],[  I   beta-HCG(mIU/mL)]]&gt;5), "Investigation Required", "Clear")</f>
        <v>Clear</v>
      </c>
    </row>
    <row r="4" spans="1:61" ht="15.75" customHeight="1" x14ac:dyDescent="0.25">
      <c r="A4">
        <v>3</v>
      </c>
      <c r="B4">
        <v>3</v>
      </c>
      <c r="C4">
        <v>1</v>
      </c>
      <c r="D4" t="str">
        <f>IF(Table1[[#This Row],[PCOS (Y/N)]]=0,"NO","YES")</f>
        <v>YES</v>
      </c>
      <c r="E4">
        <v>33</v>
      </c>
      <c r="F4">
        <v>68.8</v>
      </c>
      <c r="G4">
        <v>165</v>
      </c>
      <c r="H4">
        <v>11</v>
      </c>
      <c r="I4">
        <v>72</v>
      </c>
      <c r="J4">
        <v>18</v>
      </c>
      <c r="K4">
        <v>11.8</v>
      </c>
      <c r="L4">
        <v>2</v>
      </c>
      <c r="M4">
        <v>5</v>
      </c>
      <c r="N4">
        <v>10</v>
      </c>
      <c r="O4">
        <v>1</v>
      </c>
      <c r="P4" t="str">
        <f>IF(Table1[[#This Row],[Pregnant(Y/N)]]=1,"YES","NO")</f>
        <v>YES</v>
      </c>
      <c r="Q4">
        <v>0</v>
      </c>
      <c r="R4">
        <v>494.08</v>
      </c>
      <c r="S4">
        <v>494.08</v>
      </c>
      <c r="T4">
        <v>5.54</v>
      </c>
      <c r="U4">
        <v>0.88</v>
      </c>
      <c r="V4">
        <f>Table1[[#This Row],[FSH(mIU/mL)]]/Table1[[#This Row],[LH(mIU/mL)]]</f>
        <v>6.2954545454545459</v>
      </c>
      <c r="W4" t="str">
        <f>IF(Table1[[#This Row],[FSH/LH]]&gt;=2,"Abnormal","Normal")</f>
        <v>Abnormal</v>
      </c>
      <c r="X4">
        <v>40</v>
      </c>
      <c r="Y4">
        <v>36</v>
      </c>
      <c r="Z4">
        <f>ROUND(Table1[[#This Row],[Waist(inch)]]/Table1[[#This Row],[Hip(inch)]],2)</f>
        <v>0.9</v>
      </c>
      <c r="AA4">
        <v>2.54</v>
      </c>
      <c r="AB4">
        <v>6.63</v>
      </c>
      <c r="AC4">
        <v>10.52</v>
      </c>
      <c r="AD4">
        <v>49.7</v>
      </c>
      <c r="AE4" t="str">
        <f>IF(Table1[[#This Row],[Vit D3 (ng/mL)]]&lt;20,"Deficiency","Normal")</f>
        <v>Normal</v>
      </c>
      <c r="AF4">
        <v>0.36</v>
      </c>
      <c r="AG4">
        <v>84</v>
      </c>
      <c r="AH4">
        <v>0</v>
      </c>
      <c r="AI4" t="str">
        <f>IF(Table1[[#This Row],[Weight gain(Y/N)]]=0,"NO","YES")</f>
        <v>NO</v>
      </c>
      <c r="AJ4">
        <v>0</v>
      </c>
      <c r="AK4" t="str">
        <f>IF(Table1[[#This Row],[hair growth(Y/N)]]=1,"YES","NO")</f>
        <v>NO</v>
      </c>
      <c r="AL4">
        <v>0</v>
      </c>
      <c r="AM4" t="str">
        <f>IF(Table1[[#This Row],[Skin darkening (Y/N)]]=1,"YES","NO")</f>
        <v>NO</v>
      </c>
      <c r="AN4">
        <v>1</v>
      </c>
      <c r="AO4" t="str">
        <f>IF(Table1[[#This Row],[Hair loss(Y/N)]]=1,"YES","NO")</f>
        <v>YES</v>
      </c>
      <c r="AP4">
        <v>1</v>
      </c>
      <c r="AQ4" t="str">
        <f>IF(Table1[[#This Row],[Pimples(Y/N)]]=1,"YES","NO")</f>
        <v>YES</v>
      </c>
      <c r="AR4">
        <v>1</v>
      </c>
      <c r="AS4" t="str">
        <f>IF(Table1[[#This Row],[Fast food (Y/N)]]=1,"YES","NO")</f>
        <v>YES</v>
      </c>
      <c r="AT4">
        <v>0</v>
      </c>
      <c r="AU4" t="str">
        <f>IF(Table1[[#This Row],[Reg.Exercise(Y/N)]]=1,"YES","NO")</f>
        <v>NO</v>
      </c>
      <c r="AV4">
        <v>120</v>
      </c>
      <c r="AW4">
        <v>80</v>
      </c>
      <c r="AX4">
        <v>13</v>
      </c>
      <c r="AY4">
        <v>15</v>
      </c>
      <c r="AZ4">
        <v>18</v>
      </c>
      <c r="BA4">
        <v>20</v>
      </c>
      <c r="BB4">
        <v>10</v>
      </c>
      <c r="BC4" t="str" cm="1">
        <f t="array" ref="BC4">_xlfn.IFS((F4/(G4*G4)*10000)&lt; 18.5,"Underweight",(F4/(G4*G4)*10000)&lt;24.9,"Normal",(F4/(G4*G4)*10000)&lt;29.9,"Overweight",(F4/(G4*G4)*10000)&gt;=30,"obesity")</f>
        <v>Overweight</v>
      </c>
      <c r="BD4">
        <f>Table1[[#This Row],[Follicle No. (L)]]+Table1[[#This Row],[Follicle No. (R)]]</f>
        <v>28</v>
      </c>
      <c r="BE4">
        <f>Table1[[#This Row],[Avg. F size (L) (mm)]]+Table1[[#This Row],[Avg. F size (R) (mm)]]</f>
        <v>38</v>
      </c>
      <c r="BF4">
        <f>Table1[[#This Row],[BP _Diastolic (mmHg)]]+(Table1[[#This Row],[BP _Diastolic (mmHg)]]+Table1[[#This Row],[Follicle No. (L)]])/3</f>
        <v>111</v>
      </c>
      <c r="BG4" s="4" t="str" cm="1">
        <f t="array" ref="BG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" s="4">
        <f>SUM(Table1[[#This Row],[Pimples(Y/N)]],Table1[[#This Row],[hair growth(Y/N)]],Table1[[#This Row],[Skin darkening (Y/N)]],Table1[[#This Row],[Hair loss(Y/N)]])</f>
        <v>2</v>
      </c>
      <c r="BI4" s="4" t="str">
        <f>IF(AND(Table1[[#This Row],[Pregnant(Y/N)]]=0, Table1[[#This Row],[  I   beta-HCG(mIU/mL)]]&gt;5), "Investigation Required", "Clear")</f>
        <v>Clear</v>
      </c>
    </row>
    <row r="5" spans="1:61" ht="15.75" customHeight="1" x14ac:dyDescent="0.25">
      <c r="A5">
        <v>4</v>
      </c>
      <c r="B5">
        <v>4</v>
      </c>
      <c r="C5">
        <v>0</v>
      </c>
      <c r="D5" t="str">
        <f>IF(Table1[[#This Row],[PCOS (Y/N)]]=0,"NO","YES")</f>
        <v>NO</v>
      </c>
      <c r="E5">
        <v>37</v>
      </c>
      <c r="F5">
        <v>65</v>
      </c>
      <c r="G5">
        <v>148</v>
      </c>
      <c r="H5">
        <v>13</v>
      </c>
      <c r="I5">
        <v>72</v>
      </c>
      <c r="J5">
        <v>20</v>
      </c>
      <c r="K5">
        <v>12</v>
      </c>
      <c r="L5">
        <v>2</v>
      </c>
      <c r="M5">
        <v>5</v>
      </c>
      <c r="N5">
        <v>4</v>
      </c>
      <c r="O5">
        <v>0</v>
      </c>
      <c r="P5" t="str">
        <f>IF(Table1[[#This Row],[Pregnant(Y/N)]]=1,"YES","NO")</f>
        <v>NO</v>
      </c>
      <c r="Q5">
        <v>0</v>
      </c>
      <c r="R5">
        <v>1.99</v>
      </c>
      <c r="S5">
        <v>1.99</v>
      </c>
      <c r="T5">
        <v>8.06</v>
      </c>
      <c r="U5">
        <v>2.36</v>
      </c>
      <c r="V5">
        <f>Table1[[#This Row],[FSH(mIU/mL)]]/Table1[[#This Row],[LH(mIU/mL)]]</f>
        <v>3.4152542372881358</v>
      </c>
      <c r="W5" t="str">
        <f>IF(Table1[[#This Row],[FSH/LH]]&gt;=2,"Abnormal","Normal")</f>
        <v>Abnormal</v>
      </c>
      <c r="X5">
        <v>42</v>
      </c>
      <c r="Y5">
        <v>36</v>
      </c>
      <c r="Z5">
        <f>ROUND(Table1[[#This Row],[Waist(inch)]]/Table1[[#This Row],[Hip(inch)]],2)</f>
        <v>0.86</v>
      </c>
      <c r="AA5">
        <v>16.41</v>
      </c>
      <c r="AB5">
        <v>1.22</v>
      </c>
      <c r="AC5">
        <v>36.9</v>
      </c>
      <c r="AD5">
        <v>33.4</v>
      </c>
      <c r="AE5" t="str">
        <f>IF(Table1[[#This Row],[Vit D3 (ng/mL)]]&lt;20,"Deficiency","Normal")</f>
        <v>Normal</v>
      </c>
      <c r="AF5">
        <v>0.36</v>
      </c>
      <c r="AG5">
        <v>76</v>
      </c>
      <c r="AH5">
        <v>0</v>
      </c>
      <c r="AI5" t="str">
        <f>IF(Table1[[#This Row],[Weight gain(Y/N)]]=0,"NO","YES")</f>
        <v>NO</v>
      </c>
      <c r="AJ5">
        <v>0</v>
      </c>
      <c r="AK5" t="str">
        <f>IF(Table1[[#This Row],[hair growth(Y/N)]]=1,"YES","NO")</f>
        <v>NO</v>
      </c>
      <c r="AL5">
        <v>0</v>
      </c>
      <c r="AM5" t="str">
        <f>IF(Table1[[#This Row],[Skin darkening (Y/N)]]=1,"YES","NO")</f>
        <v>NO</v>
      </c>
      <c r="AN5">
        <v>0</v>
      </c>
      <c r="AO5" t="str">
        <f>IF(Table1[[#This Row],[Hair loss(Y/N)]]=1,"YES","NO")</f>
        <v>NO</v>
      </c>
      <c r="AP5">
        <v>0</v>
      </c>
      <c r="AQ5" t="str">
        <f>IF(Table1[[#This Row],[Pimples(Y/N)]]=1,"YES","NO")</f>
        <v>NO</v>
      </c>
      <c r="AR5">
        <v>0</v>
      </c>
      <c r="AS5" t="str">
        <f>IF(Table1[[#This Row],[Fast food (Y/N)]]=1,"YES","NO")</f>
        <v>NO</v>
      </c>
      <c r="AT5">
        <v>0</v>
      </c>
      <c r="AU5" t="str">
        <f>IF(Table1[[#This Row],[Reg.Exercise(Y/N)]]=1,"YES","NO")</f>
        <v>NO</v>
      </c>
      <c r="AV5">
        <v>120</v>
      </c>
      <c r="AW5">
        <v>70</v>
      </c>
      <c r="AX5">
        <v>2</v>
      </c>
      <c r="AY5">
        <v>2</v>
      </c>
      <c r="AZ5">
        <v>15</v>
      </c>
      <c r="BA5">
        <v>14</v>
      </c>
      <c r="BB5">
        <v>7.5</v>
      </c>
      <c r="BC5" t="str" cm="1">
        <f t="array" ref="BC5">_xlfn.IFS((F5/(G5*G5)*10000)&lt; 18.5,"Underweight",(F5/(G5*G5)*10000)&lt;24.9,"Normal",(F5/(G5*G5)*10000)&lt;29.9,"Overweight",(F5/(G5*G5)*10000)&gt;=30,"obesity")</f>
        <v>Overweight</v>
      </c>
      <c r="BD5">
        <f>Table1[[#This Row],[Follicle No. (L)]]+Table1[[#This Row],[Follicle No. (R)]]</f>
        <v>4</v>
      </c>
      <c r="BE5">
        <f>Table1[[#This Row],[Avg. F size (L) (mm)]]+Table1[[#This Row],[Avg. F size (R) (mm)]]</f>
        <v>29</v>
      </c>
      <c r="BF5">
        <f>Table1[[#This Row],[BP _Diastolic (mmHg)]]+(Table1[[#This Row],[BP _Diastolic (mmHg)]]+Table1[[#This Row],[Follicle No. (L)]])/3</f>
        <v>94</v>
      </c>
      <c r="BG5" s="4" t="str" cm="1">
        <f t="array" ref="BG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" s="4">
        <f>SUM(Table1[[#This Row],[Pimples(Y/N)]],Table1[[#This Row],[hair growth(Y/N)]],Table1[[#This Row],[Skin darkening (Y/N)]],Table1[[#This Row],[Hair loss(Y/N)]])</f>
        <v>0</v>
      </c>
      <c r="BI5" s="4" t="str">
        <f>IF(AND(Table1[[#This Row],[Pregnant(Y/N)]]=0, Table1[[#This Row],[  I   beta-HCG(mIU/mL)]]&gt;5), "Investigation Required", "Clear")</f>
        <v>Clear</v>
      </c>
    </row>
    <row r="6" spans="1:61" ht="15.75" customHeight="1" x14ac:dyDescent="0.25">
      <c r="A6">
        <v>5</v>
      </c>
      <c r="B6">
        <v>5</v>
      </c>
      <c r="C6">
        <v>0</v>
      </c>
      <c r="D6" t="str">
        <f>IF(Table1[[#This Row],[PCOS (Y/N)]]=0,"NO","YES")</f>
        <v>NO</v>
      </c>
      <c r="E6">
        <v>25</v>
      </c>
      <c r="F6">
        <v>52</v>
      </c>
      <c r="G6">
        <v>161</v>
      </c>
      <c r="H6">
        <v>11</v>
      </c>
      <c r="I6">
        <v>72</v>
      </c>
      <c r="J6">
        <v>18</v>
      </c>
      <c r="K6">
        <v>10</v>
      </c>
      <c r="L6">
        <v>2</v>
      </c>
      <c r="M6">
        <v>5</v>
      </c>
      <c r="N6">
        <v>1</v>
      </c>
      <c r="O6">
        <v>1</v>
      </c>
      <c r="P6" t="str">
        <f>IF(Table1[[#This Row],[Pregnant(Y/N)]]=1,"YES","NO")</f>
        <v>YES</v>
      </c>
      <c r="Q6">
        <v>0</v>
      </c>
      <c r="R6">
        <v>801.45</v>
      </c>
      <c r="S6">
        <v>801.45</v>
      </c>
      <c r="T6">
        <v>3.98</v>
      </c>
      <c r="U6">
        <v>0.9</v>
      </c>
      <c r="V6">
        <f>Table1[[#This Row],[FSH(mIU/mL)]]/Table1[[#This Row],[LH(mIU/mL)]]</f>
        <v>4.4222222222222225</v>
      </c>
      <c r="W6" t="str">
        <f>IF(Table1[[#This Row],[FSH/LH]]&gt;=2,"Abnormal","Normal")</f>
        <v>Abnormal</v>
      </c>
      <c r="X6">
        <v>37</v>
      </c>
      <c r="Y6">
        <v>30</v>
      </c>
      <c r="Z6">
        <f>ROUND(Table1[[#This Row],[Waist(inch)]]/Table1[[#This Row],[Hip(inch)]],2)</f>
        <v>0.81</v>
      </c>
      <c r="AA6">
        <v>3.57</v>
      </c>
      <c r="AB6">
        <v>2.2599999999999998</v>
      </c>
      <c r="AC6">
        <v>30.09</v>
      </c>
      <c r="AD6">
        <v>43.8</v>
      </c>
      <c r="AE6" t="str">
        <f>IF(Table1[[#This Row],[Vit D3 (ng/mL)]]&lt;20,"Deficiency","Normal")</f>
        <v>Normal</v>
      </c>
      <c r="AF6">
        <v>0.38</v>
      </c>
      <c r="AG6">
        <v>84</v>
      </c>
      <c r="AH6">
        <v>0</v>
      </c>
      <c r="AI6" t="str">
        <f>IF(Table1[[#This Row],[Weight gain(Y/N)]]=0,"NO","YES")</f>
        <v>NO</v>
      </c>
      <c r="AJ6">
        <v>0</v>
      </c>
      <c r="AK6" t="str">
        <f>IF(Table1[[#This Row],[hair growth(Y/N)]]=1,"YES","NO")</f>
        <v>NO</v>
      </c>
      <c r="AL6">
        <v>0</v>
      </c>
      <c r="AM6" t="str">
        <f>IF(Table1[[#This Row],[Skin darkening (Y/N)]]=1,"YES","NO")</f>
        <v>NO</v>
      </c>
      <c r="AN6">
        <v>1</v>
      </c>
      <c r="AO6" t="str">
        <f>IF(Table1[[#This Row],[Hair loss(Y/N)]]=1,"YES","NO")</f>
        <v>YES</v>
      </c>
      <c r="AP6">
        <v>0</v>
      </c>
      <c r="AQ6" t="str">
        <f>IF(Table1[[#This Row],[Pimples(Y/N)]]=1,"YES","NO")</f>
        <v>NO</v>
      </c>
      <c r="AR6">
        <v>0</v>
      </c>
      <c r="AS6" t="str">
        <f>IF(Table1[[#This Row],[Fast food (Y/N)]]=1,"YES","NO")</f>
        <v>NO</v>
      </c>
      <c r="AT6">
        <v>0</v>
      </c>
      <c r="AU6" t="str">
        <f>IF(Table1[[#This Row],[Reg.Exercise(Y/N)]]=1,"YES","NO")</f>
        <v>NO</v>
      </c>
      <c r="AV6">
        <v>120</v>
      </c>
      <c r="AW6">
        <v>80</v>
      </c>
      <c r="AX6">
        <v>3</v>
      </c>
      <c r="AY6">
        <v>4</v>
      </c>
      <c r="AZ6">
        <v>16</v>
      </c>
      <c r="BA6">
        <v>14</v>
      </c>
      <c r="BB6">
        <v>7</v>
      </c>
      <c r="BC6" t="str" cm="1">
        <f t="array" ref="BC6">_xlfn.IFS((F6/(G6*G6)*10000)&lt; 18.5,"Underweight",(F6/(G6*G6)*10000)&lt;24.9,"Normal",(F6/(G6*G6)*10000)&lt;29.9,"Overweight",(F6/(G6*G6)*10000)&gt;=30,"obesity")</f>
        <v>Normal</v>
      </c>
      <c r="BD6">
        <f>Table1[[#This Row],[Follicle No. (L)]]+Table1[[#This Row],[Follicle No. (R)]]</f>
        <v>7</v>
      </c>
      <c r="BE6">
        <f>Table1[[#This Row],[Avg. F size (L) (mm)]]+Table1[[#This Row],[Avg. F size (R) (mm)]]</f>
        <v>30</v>
      </c>
      <c r="BF6">
        <f>Table1[[#This Row],[BP _Diastolic (mmHg)]]+(Table1[[#This Row],[BP _Diastolic (mmHg)]]+Table1[[#This Row],[Follicle No. (L)]])/3</f>
        <v>107.66666666666667</v>
      </c>
      <c r="BG6" s="4" t="str" cm="1">
        <f t="array" ref="BG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6" s="4">
        <f>SUM(Table1[[#This Row],[Pimples(Y/N)]],Table1[[#This Row],[hair growth(Y/N)]],Table1[[#This Row],[Skin darkening (Y/N)]],Table1[[#This Row],[Hair loss(Y/N)]])</f>
        <v>1</v>
      </c>
      <c r="BI6" s="4" t="str">
        <f>IF(AND(Table1[[#This Row],[Pregnant(Y/N)]]=0, Table1[[#This Row],[  I   beta-HCG(mIU/mL)]]&gt;5), "Investigation Required", "Clear")</f>
        <v>Clear</v>
      </c>
    </row>
    <row r="7" spans="1:61" ht="15.75" customHeight="1" x14ac:dyDescent="0.25">
      <c r="A7">
        <v>6</v>
      </c>
      <c r="B7">
        <v>6</v>
      </c>
      <c r="C7">
        <v>0</v>
      </c>
      <c r="D7" t="str">
        <f>IF(Table1[[#This Row],[PCOS (Y/N)]]=0,"NO","YES")</f>
        <v>NO</v>
      </c>
      <c r="E7">
        <v>36</v>
      </c>
      <c r="F7">
        <v>74.099999999999994</v>
      </c>
      <c r="G7">
        <v>165</v>
      </c>
      <c r="H7">
        <v>15</v>
      </c>
      <c r="I7">
        <v>78</v>
      </c>
      <c r="J7">
        <v>28</v>
      </c>
      <c r="K7">
        <v>11.2</v>
      </c>
      <c r="L7">
        <v>2</v>
      </c>
      <c r="M7">
        <v>5</v>
      </c>
      <c r="N7">
        <v>8</v>
      </c>
      <c r="O7">
        <v>1</v>
      </c>
      <c r="P7" t="str">
        <f>IF(Table1[[#This Row],[Pregnant(Y/N)]]=1,"YES","NO")</f>
        <v>YES</v>
      </c>
      <c r="Q7">
        <v>0</v>
      </c>
      <c r="R7">
        <v>237.97</v>
      </c>
      <c r="S7">
        <v>1.99</v>
      </c>
      <c r="T7">
        <v>3.24</v>
      </c>
      <c r="U7">
        <v>1.07</v>
      </c>
      <c r="V7">
        <f>Table1[[#This Row],[FSH(mIU/mL)]]/Table1[[#This Row],[LH(mIU/mL)]]</f>
        <v>3.02803738317757</v>
      </c>
      <c r="W7" t="str">
        <f>IF(Table1[[#This Row],[FSH/LH]]&gt;=2,"Abnormal","Normal")</f>
        <v>Abnormal</v>
      </c>
      <c r="X7">
        <v>44</v>
      </c>
      <c r="Y7">
        <v>38</v>
      </c>
      <c r="Z7">
        <f>ROUND(Table1[[#This Row],[Waist(inch)]]/Table1[[#This Row],[Hip(inch)]],2)</f>
        <v>0.86</v>
      </c>
      <c r="AA7">
        <v>1.6</v>
      </c>
      <c r="AB7">
        <v>6.74</v>
      </c>
      <c r="AC7">
        <v>16.18</v>
      </c>
      <c r="AD7">
        <v>52.4</v>
      </c>
      <c r="AE7" t="str">
        <f>IF(Table1[[#This Row],[Vit D3 (ng/mL)]]&lt;20,"Deficiency","Normal")</f>
        <v>Normal</v>
      </c>
      <c r="AF7">
        <v>0.3</v>
      </c>
      <c r="AG7">
        <v>76</v>
      </c>
      <c r="AH7">
        <v>1</v>
      </c>
      <c r="AI7" t="str">
        <f>IF(Table1[[#This Row],[Weight gain(Y/N)]]=0,"NO","YES")</f>
        <v>YES</v>
      </c>
      <c r="AJ7">
        <v>0</v>
      </c>
      <c r="AK7" t="str">
        <f>IF(Table1[[#This Row],[hair growth(Y/N)]]=1,"YES","NO")</f>
        <v>NO</v>
      </c>
      <c r="AL7">
        <v>0</v>
      </c>
      <c r="AM7" t="str">
        <f>IF(Table1[[#This Row],[Skin darkening (Y/N)]]=1,"YES","NO")</f>
        <v>NO</v>
      </c>
      <c r="AN7">
        <v>1</v>
      </c>
      <c r="AO7" t="str">
        <f>IF(Table1[[#This Row],[Hair loss(Y/N)]]=1,"YES","NO")</f>
        <v>YES</v>
      </c>
      <c r="AP7">
        <v>0</v>
      </c>
      <c r="AQ7" t="str">
        <f>IF(Table1[[#This Row],[Pimples(Y/N)]]=1,"YES","NO")</f>
        <v>NO</v>
      </c>
      <c r="AR7">
        <v>0</v>
      </c>
      <c r="AS7" t="str">
        <f>IF(Table1[[#This Row],[Fast food (Y/N)]]=1,"YES","NO")</f>
        <v>NO</v>
      </c>
      <c r="AT7">
        <v>0</v>
      </c>
      <c r="AU7" t="str">
        <f>IF(Table1[[#This Row],[Reg.Exercise(Y/N)]]=1,"YES","NO")</f>
        <v>NO</v>
      </c>
      <c r="AV7">
        <v>110</v>
      </c>
      <c r="AW7">
        <v>70</v>
      </c>
      <c r="AX7">
        <v>9</v>
      </c>
      <c r="AY7">
        <v>6</v>
      </c>
      <c r="AZ7">
        <v>16</v>
      </c>
      <c r="BA7">
        <v>20</v>
      </c>
      <c r="BB7">
        <v>8</v>
      </c>
      <c r="BC7" t="str" cm="1">
        <f t="array" ref="BC7">_xlfn.IFS((F7/(G7*G7)*10000)&lt; 18.5,"Underweight",(F7/(G7*G7)*10000)&lt;24.9,"Normal",(F7/(G7*G7)*10000)&lt;29.9,"Overweight",(F7/(G7*G7)*10000)&gt;=30,"obesity")</f>
        <v>Overweight</v>
      </c>
      <c r="BD7">
        <f>Table1[[#This Row],[Follicle No. (L)]]+Table1[[#This Row],[Follicle No. (R)]]</f>
        <v>15</v>
      </c>
      <c r="BE7">
        <f>Table1[[#This Row],[Avg. F size (L) (mm)]]+Table1[[#This Row],[Avg. F size (R) (mm)]]</f>
        <v>36</v>
      </c>
      <c r="BF7">
        <f>Table1[[#This Row],[BP _Diastolic (mmHg)]]+(Table1[[#This Row],[BP _Diastolic (mmHg)]]+Table1[[#This Row],[Follicle No. (L)]])/3</f>
        <v>96.333333333333329</v>
      </c>
      <c r="BG7" s="4" t="str" cm="1">
        <f t="array" ref="BG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7" s="4">
        <f>SUM(Table1[[#This Row],[Pimples(Y/N)]],Table1[[#This Row],[hair growth(Y/N)]],Table1[[#This Row],[Skin darkening (Y/N)]],Table1[[#This Row],[Hair loss(Y/N)]])</f>
        <v>1</v>
      </c>
      <c r="BI7" s="4" t="str">
        <f>IF(AND(Table1[[#This Row],[Pregnant(Y/N)]]=0, Table1[[#This Row],[  I   beta-HCG(mIU/mL)]]&gt;5), "Investigation Required", "Clear")</f>
        <v>Clear</v>
      </c>
    </row>
    <row r="8" spans="1:61" ht="15.75" customHeight="1" x14ac:dyDescent="0.25">
      <c r="A8">
        <v>7</v>
      </c>
      <c r="B8">
        <v>7</v>
      </c>
      <c r="C8">
        <v>0</v>
      </c>
      <c r="D8" t="str">
        <f>IF(Table1[[#This Row],[PCOS (Y/N)]]=0,"NO","YES")</f>
        <v>NO</v>
      </c>
      <c r="E8">
        <v>34</v>
      </c>
      <c r="F8">
        <v>64</v>
      </c>
      <c r="G8">
        <v>156</v>
      </c>
      <c r="H8">
        <v>11</v>
      </c>
      <c r="I8">
        <v>72</v>
      </c>
      <c r="J8">
        <v>18</v>
      </c>
      <c r="K8">
        <v>10.9</v>
      </c>
      <c r="L8">
        <v>2</v>
      </c>
      <c r="M8">
        <v>5</v>
      </c>
      <c r="N8">
        <v>2</v>
      </c>
      <c r="O8">
        <v>0</v>
      </c>
      <c r="P8" t="str">
        <f>IF(Table1[[#This Row],[Pregnant(Y/N)]]=1,"YES","NO")</f>
        <v>NO</v>
      </c>
      <c r="Q8">
        <v>0</v>
      </c>
      <c r="R8">
        <v>1.99</v>
      </c>
      <c r="S8">
        <v>1.99</v>
      </c>
      <c r="T8">
        <v>2.85</v>
      </c>
      <c r="U8">
        <v>0.31</v>
      </c>
      <c r="V8">
        <f>Table1[[#This Row],[FSH(mIU/mL)]]/Table1[[#This Row],[LH(mIU/mL)]]</f>
        <v>9.193548387096774</v>
      </c>
      <c r="W8" t="str">
        <f>IF(Table1[[#This Row],[FSH/LH]]&gt;=2,"Abnormal","Normal")</f>
        <v>Abnormal</v>
      </c>
      <c r="X8">
        <v>39</v>
      </c>
      <c r="Y8">
        <v>33</v>
      </c>
      <c r="Z8">
        <f>ROUND(Table1[[#This Row],[Waist(inch)]]/Table1[[#This Row],[Hip(inch)]],2)</f>
        <v>0.85</v>
      </c>
      <c r="AA8">
        <v>1.51</v>
      </c>
      <c r="AB8">
        <v>3.05</v>
      </c>
      <c r="AC8">
        <v>26.41</v>
      </c>
      <c r="AD8">
        <v>42.7</v>
      </c>
      <c r="AE8" t="str">
        <f>IF(Table1[[#This Row],[Vit D3 (ng/mL)]]&lt;20,"Deficiency","Normal")</f>
        <v>Normal</v>
      </c>
      <c r="AF8">
        <v>0.46</v>
      </c>
      <c r="AG8">
        <v>93</v>
      </c>
      <c r="AH8">
        <v>0</v>
      </c>
      <c r="AI8" t="str">
        <f>IF(Table1[[#This Row],[Weight gain(Y/N)]]=0,"NO","YES")</f>
        <v>NO</v>
      </c>
      <c r="AJ8">
        <v>0</v>
      </c>
      <c r="AK8" t="str">
        <f>IF(Table1[[#This Row],[hair growth(Y/N)]]=1,"YES","NO")</f>
        <v>NO</v>
      </c>
      <c r="AL8">
        <v>0</v>
      </c>
      <c r="AM8" t="str">
        <f>IF(Table1[[#This Row],[Skin darkening (Y/N)]]=1,"YES","NO")</f>
        <v>NO</v>
      </c>
      <c r="AN8">
        <v>0</v>
      </c>
      <c r="AO8" t="str">
        <f>IF(Table1[[#This Row],[Hair loss(Y/N)]]=1,"YES","NO")</f>
        <v>NO</v>
      </c>
      <c r="AP8">
        <v>0</v>
      </c>
      <c r="AQ8" t="str">
        <f>IF(Table1[[#This Row],[Pimples(Y/N)]]=1,"YES","NO")</f>
        <v>NO</v>
      </c>
      <c r="AR8">
        <v>0</v>
      </c>
      <c r="AS8" t="str">
        <f>IF(Table1[[#This Row],[Fast food (Y/N)]]=1,"YES","NO")</f>
        <v>NO</v>
      </c>
      <c r="AT8">
        <v>0</v>
      </c>
      <c r="AU8" t="str">
        <f>IF(Table1[[#This Row],[Reg.Exercise(Y/N)]]=1,"YES","NO")</f>
        <v>NO</v>
      </c>
      <c r="AV8">
        <v>120</v>
      </c>
      <c r="AW8">
        <v>80</v>
      </c>
      <c r="AX8">
        <v>6</v>
      </c>
      <c r="AY8">
        <v>6</v>
      </c>
      <c r="AZ8">
        <v>15</v>
      </c>
      <c r="BA8">
        <v>16</v>
      </c>
      <c r="BB8">
        <v>6.8</v>
      </c>
      <c r="BC8" t="str" cm="1">
        <f t="array" ref="BC8">_xlfn.IFS((F8/(G8*G8)*10000)&lt; 18.5,"Underweight",(F8/(G8*G8)*10000)&lt;24.9,"Normal",(F8/(G8*G8)*10000)&lt;29.9,"Overweight",(F8/(G8*G8)*10000)&gt;=30,"obesity")</f>
        <v>Overweight</v>
      </c>
      <c r="BD8">
        <f>Table1[[#This Row],[Follicle No. (L)]]+Table1[[#This Row],[Follicle No. (R)]]</f>
        <v>12</v>
      </c>
      <c r="BE8">
        <f>Table1[[#This Row],[Avg. F size (L) (mm)]]+Table1[[#This Row],[Avg. F size (R) (mm)]]</f>
        <v>31</v>
      </c>
      <c r="BF8">
        <f>Table1[[#This Row],[BP _Diastolic (mmHg)]]+(Table1[[#This Row],[BP _Diastolic (mmHg)]]+Table1[[#This Row],[Follicle No. (L)]])/3</f>
        <v>108.66666666666667</v>
      </c>
      <c r="BG8" s="4" t="str" cm="1">
        <f t="array" ref="BG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8" s="4">
        <f>SUM(Table1[[#This Row],[Pimples(Y/N)]],Table1[[#This Row],[hair growth(Y/N)]],Table1[[#This Row],[Skin darkening (Y/N)]],Table1[[#This Row],[Hair loss(Y/N)]])</f>
        <v>0</v>
      </c>
      <c r="BI8" s="4" t="str">
        <f>IF(AND(Table1[[#This Row],[Pregnant(Y/N)]]=0, Table1[[#This Row],[  I   beta-HCG(mIU/mL)]]&gt;5), "Investigation Required", "Clear")</f>
        <v>Clear</v>
      </c>
    </row>
    <row r="9" spans="1:61" ht="15.75" customHeight="1" x14ac:dyDescent="0.25">
      <c r="A9">
        <v>8</v>
      </c>
      <c r="B9">
        <v>8</v>
      </c>
      <c r="C9">
        <v>0</v>
      </c>
      <c r="D9" t="str">
        <f>IF(Table1[[#This Row],[PCOS (Y/N)]]=0,"NO","YES")</f>
        <v>NO</v>
      </c>
      <c r="E9">
        <v>33</v>
      </c>
      <c r="F9">
        <v>58.5</v>
      </c>
      <c r="G9">
        <v>159</v>
      </c>
      <c r="H9">
        <v>13</v>
      </c>
      <c r="I9">
        <v>72</v>
      </c>
      <c r="J9">
        <v>20</v>
      </c>
      <c r="K9">
        <v>11</v>
      </c>
      <c r="L9">
        <v>2</v>
      </c>
      <c r="M9">
        <v>5</v>
      </c>
      <c r="N9">
        <v>13</v>
      </c>
      <c r="O9">
        <v>1</v>
      </c>
      <c r="P9" t="str">
        <f>IF(Table1[[#This Row],[Pregnant(Y/N)]]=1,"YES","NO")</f>
        <v>YES</v>
      </c>
      <c r="Q9">
        <v>2</v>
      </c>
      <c r="R9">
        <v>100.51</v>
      </c>
      <c r="S9">
        <v>100.51</v>
      </c>
      <c r="T9">
        <v>4.8600000000000003</v>
      </c>
      <c r="U9">
        <v>3.07</v>
      </c>
      <c r="V9">
        <f>Table1[[#This Row],[FSH(mIU/mL)]]/Table1[[#This Row],[LH(mIU/mL)]]</f>
        <v>1.5830618892508146</v>
      </c>
      <c r="W9" t="str">
        <f>IF(Table1[[#This Row],[FSH/LH]]&gt;=2,"Abnormal","Normal")</f>
        <v>Normal</v>
      </c>
      <c r="X9">
        <v>44</v>
      </c>
      <c r="Y9">
        <v>38</v>
      </c>
      <c r="Z9">
        <f>ROUND(Table1[[#This Row],[Waist(inch)]]/Table1[[#This Row],[Hip(inch)]],2)</f>
        <v>0.86</v>
      </c>
      <c r="AA9">
        <v>12.18</v>
      </c>
      <c r="AB9">
        <v>1.54</v>
      </c>
      <c r="AC9">
        <v>3.97</v>
      </c>
      <c r="AD9">
        <v>38</v>
      </c>
      <c r="AE9" t="str">
        <f>IF(Table1[[#This Row],[Vit D3 (ng/mL)]]&lt;20,"Deficiency","Normal")</f>
        <v>Normal</v>
      </c>
      <c r="AF9">
        <v>0.26</v>
      </c>
      <c r="AG9">
        <v>91</v>
      </c>
      <c r="AH9">
        <v>1</v>
      </c>
      <c r="AI9" t="str">
        <f>IF(Table1[[#This Row],[Weight gain(Y/N)]]=0,"NO","YES")</f>
        <v>YES</v>
      </c>
      <c r="AJ9">
        <v>0</v>
      </c>
      <c r="AK9" t="str">
        <f>IF(Table1[[#This Row],[hair growth(Y/N)]]=1,"YES","NO")</f>
        <v>NO</v>
      </c>
      <c r="AL9">
        <v>0</v>
      </c>
      <c r="AM9" t="str">
        <f>IF(Table1[[#This Row],[Skin darkening (Y/N)]]=1,"YES","NO")</f>
        <v>NO</v>
      </c>
      <c r="AN9">
        <v>0</v>
      </c>
      <c r="AO9" t="str">
        <f>IF(Table1[[#This Row],[Hair loss(Y/N)]]=1,"YES","NO")</f>
        <v>NO</v>
      </c>
      <c r="AP9">
        <v>0</v>
      </c>
      <c r="AQ9" t="str">
        <f>IF(Table1[[#This Row],[Pimples(Y/N)]]=1,"YES","NO")</f>
        <v>NO</v>
      </c>
      <c r="AR9">
        <v>0</v>
      </c>
      <c r="AS9" t="str">
        <f>IF(Table1[[#This Row],[Fast food (Y/N)]]=1,"YES","NO")</f>
        <v>NO</v>
      </c>
      <c r="AT9">
        <v>0</v>
      </c>
      <c r="AU9" t="str">
        <f>IF(Table1[[#This Row],[Reg.Exercise(Y/N)]]=1,"YES","NO")</f>
        <v>NO</v>
      </c>
      <c r="AV9">
        <v>120</v>
      </c>
      <c r="AW9">
        <v>80</v>
      </c>
      <c r="AX9">
        <v>7</v>
      </c>
      <c r="AY9">
        <v>6</v>
      </c>
      <c r="AZ9">
        <v>15</v>
      </c>
      <c r="BA9">
        <v>18</v>
      </c>
      <c r="BB9">
        <v>7.1</v>
      </c>
      <c r="BC9" t="str" cm="1">
        <f t="array" ref="BC9">_xlfn.IFS((F9/(G9*G9)*10000)&lt; 18.5,"Underweight",(F9/(G9*G9)*10000)&lt;24.9,"Normal",(F9/(G9*G9)*10000)&lt;29.9,"Overweight",(F9/(G9*G9)*10000)&gt;=30,"obesity")</f>
        <v>Normal</v>
      </c>
      <c r="BD9">
        <f>Table1[[#This Row],[Follicle No. (L)]]+Table1[[#This Row],[Follicle No. (R)]]</f>
        <v>13</v>
      </c>
      <c r="BE9">
        <f>Table1[[#This Row],[Avg. F size (L) (mm)]]+Table1[[#This Row],[Avg. F size (R) (mm)]]</f>
        <v>33</v>
      </c>
      <c r="BF9">
        <f>Table1[[#This Row],[BP _Diastolic (mmHg)]]+(Table1[[#This Row],[BP _Diastolic (mmHg)]]+Table1[[#This Row],[Follicle No. (L)]])/3</f>
        <v>109</v>
      </c>
      <c r="BG9" s="4" t="str" cm="1">
        <f t="array" ref="BG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9" s="4">
        <f>SUM(Table1[[#This Row],[Pimples(Y/N)]],Table1[[#This Row],[hair growth(Y/N)]],Table1[[#This Row],[Skin darkening (Y/N)]],Table1[[#This Row],[Hair loss(Y/N)]])</f>
        <v>0</v>
      </c>
      <c r="BI9" s="4" t="str">
        <f>IF(AND(Table1[[#This Row],[Pregnant(Y/N)]]=0, Table1[[#This Row],[  I   beta-HCG(mIU/mL)]]&gt;5), "Investigation Required", "Clear")</f>
        <v>Clear</v>
      </c>
    </row>
    <row r="10" spans="1:61" ht="15.75" customHeight="1" x14ac:dyDescent="0.25">
      <c r="A10">
        <v>9</v>
      </c>
      <c r="B10">
        <v>9</v>
      </c>
      <c r="C10">
        <v>0</v>
      </c>
      <c r="D10" t="str">
        <f>IF(Table1[[#This Row],[PCOS (Y/N)]]=0,"NO","YES")</f>
        <v>NO</v>
      </c>
      <c r="E10">
        <v>32</v>
      </c>
      <c r="F10">
        <v>40</v>
      </c>
      <c r="G10">
        <v>158</v>
      </c>
      <c r="H10">
        <v>11</v>
      </c>
      <c r="I10">
        <v>72</v>
      </c>
      <c r="J10">
        <v>18</v>
      </c>
      <c r="K10">
        <v>11.8</v>
      </c>
      <c r="L10">
        <v>2</v>
      </c>
      <c r="M10">
        <v>5</v>
      </c>
      <c r="N10">
        <v>8</v>
      </c>
      <c r="O10">
        <v>0</v>
      </c>
      <c r="P10" t="str">
        <f>IF(Table1[[#This Row],[Pregnant(Y/N)]]=1,"YES","NO")</f>
        <v>NO</v>
      </c>
      <c r="Q10">
        <v>1</v>
      </c>
      <c r="R10">
        <v>1.99</v>
      </c>
      <c r="S10">
        <v>1.99</v>
      </c>
      <c r="T10">
        <v>3.76</v>
      </c>
      <c r="U10">
        <v>3.02</v>
      </c>
      <c r="V10">
        <f>Table1[[#This Row],[FSH(mIU/mL)]]/Table1[[#This Row],[LH(mIU/mL)]]</f>
        <v>1.2450331125827814</v>
      </c>
      <c r="W10" t="str">
        <f>IF(Table1[[#This Row],[FSH/LH]]&gt;=2,"Abnormal","Normal")</f>
        <v>Normal</v>
      </c>
      <c r="X10">
        <v>39</v>
      </c>
      <c r="Y10">
        <v>35</v>
      </c>
      <c r="Z10">
        <f>ROUND(Table1[[#This Row],[Waist(inch)]]/Table1[[#This Row],[Hip(inch)]],2)</f>
        <v>0.9</v>
      </c>
      <c r="AA10">
        <v>1.51</v>
      </c>
      <c r="AB10">
        <v>1</v>
      </c>
      <c r="AC10">
        <v>19</v>
      </c>
      <c r="AD10">
        <v>21.8</v>
      </c>
      <c r="AE10" t="str">
        <f>IF(Table1[[#This Row],[Vit D3 (ng/mL)]]&lt;20,"Deficiency","Normal")</f>
        <v>Normal</v>
      </c>
      <c r="AF10">
        <v>0.3</v>
      </c>
      <c r="AG10">
        <v>116</v>
      </c>
      <c r="AH10">
        <v>0</v>
      </c>
      <c r="AI10" t="str">
        <f>IF(Table1[[#This Row],[Weight gain(Y/N)]]=0,"NO","YES")</f>
        <v>NO</v>
      </c>
      <c r="AJ10">
        <v>0</v>
      </c>
      <c r="AK10" t="str">
        <f>IF(Table1[[#This Row],[hair growth(Y/N)]]=1,"YES","NO")</f>
        <v>NO</v>
      </c>
      <c r="AL10">
        <v>0</v>
      </c>
      <c r="AM10" t="str">
        <f>IF(Table1[[#This Row],[Skin darkening (Y/N)]]=1,"YES","NO")</f>
        <v>NO</v>
      </c>
      <c r="AN10">
        <v>0</v>
      </c>
      <c r="AO10" t="str">
        <f>IF(Table1[[#This Row],[Hair loss(Y/N)]]=1,"YES","NO")</f>
        <v>NO</v>
      </c>
      <c r="AP10">
        <v>0</v>
      </c>
      <c r="AQ10" t="str">
        <f>IF(Table1[[#This Row],[Pimples(Y/N)]]=1,"YES","NO")</f>
        <v>NO</v>
      </c>
      <c r="AR10">
        <v>0</v>
      </c>
      <c r="AS10" t="str">
        <f>IF(Table1[[#This Row],[Fast food (Y/N)]]=1,"YES","NO")</f>
        <v>NO</v>
      </c>
      <c r="AT10">
        <v>0</v>
      </c>
      <c r="AU10" t="str">
        <f>IF(Table1[[#This Row],[Reg.Exercise(Y/N)]]=1,"YES","NO")</f>
        <v>NO</v>
      </c>
      <c r="AV10">
        <v>120</v>
      </c>
      <c r="AW10">
        <v>80</v>
      </c>
      <c r="AX10">
        <v>5</v>
      </c>
      <c r="AY10">
        <v>7</v>
      </c>
      <c r="AZ10">
        <v>17</v>
      </c>
      <c r="BA10">
        <v>17</v>
      </c>
      <c r="BB10">
        <v>4.2</v>
      </c>
      <c r="BC10" t="str" cm="1">
        <f t="array" ref="BC10">_xlfn.IFS((F10/(G10*G10)*10000)&lt; 18.5,"Underweight",(F10/(G10*G10)*10000)&lt;24.9,"Normal",(F10/(G10*G10)*10000)&lt;29.9,"Overweight",(F10/(G10*G10)*10000)&gt;=30,"obesity")</f>
        <v>Underweight</v>
      </c>
      <c r="BD10">
        <f>Table1[[#This Row],[Follicle No. (L)]]+Table1[[#This Row],[Follicle No. (R)]]</f>
        <v>12</v>
      </c>
      <c r="BE10">
        <f>Table1[[#This Row],[Avg. F size (L) (mm)]]+Table1[[#This Row],[Avg. F size (R) (mm)]]</f>
        <v>34</v>
      </c>
      <c r="BF10">
        <f>Table1[[#This Row],[BP _Diastolic (mmHg)]]+(Table1[[#This Row],[BP _Diastolic (mmHg)]]+Table1[[#This Row],[Follicle No. (L)]])/3</f>
        <v>108.33333333333333</v>
      </c>
      <c r="BG10" s="4" t="str" cm="1">
        <f t="array" ref="BG1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0" s="4">
        <f>SUM(Table1[[#This Row],[Pimples(Y/N)]],Table1[[#This Row],[hair growth(Y/N)]],Table1[[#This Row],[Skin darkening (Y/N)]],Table1[[#This Row],[Hair loss(Y/N)]])</f>
        <v>0</v>
      </c>
      <c r="BI10" s="8" t="str">
        <f>IF(AND(Table1[[#This Row],[Pregnant(Y/N)]]=0, Table1[[#This Row],[  I   beta-HCG(mIU/mL)]]&gt;5), "Investigation Required", "Clear")</f>
        <v>Clear</v>
      </c>
    </row>
    <row r="11" spans="1:61" ht="15.75" customHeight="1" x14ac:dyDescent="0.25">
      <c r="A11">
        <v>10</v>
      </c>
      <c r="B11">
        <v>10</v>
      </c>
      <c r="C11">
        <v>0</v>
      </c>
      <c r="D11" t="str">
        <f>IF(Table1[[#This Row],[PCOS (Y/N)]]=0,"NO","YES")</f>
        <v>NO</v>
      </c>
      <c r="E11">
        <v>36</v>
      </c>
      <c r="F11">
        <v>52</v>
      </c>
      <c r="G11">
        <v>150</v>
      </c>
      <c r="H11">
        <v>15</v>
      </c>
      <c r="I11">
        <v>80</v>
      </c>
      <c r="J11">
        <v>20</v>
      </c>
      <c r="K11">
        <v>10</v>
      </c>
      <c r="L11">
        <v>4</v>
      </c>
      <c r="M11">
        <v>2</v>
      </c>
      <c r="N11">
        <v>4</v>
      </c>
      <c r="O11">
        <v>0</v>
      </c>
      <c r="P11" t="str">
        <f>IF(Table1[[#This Row],[Pregnant(Y/N)]]=1,"YES","NO")</f>
        <v>NO</v>
      </c>
      <c r="Q11">
        <v>0</v>
      </c>
      <c r="R11">
        <v>1.99</v>
      </c>
      <c r="S11">
        <v>1.99</v>
      </c>
      <c r="T11">
        <v>2.8</v>
      </c>
      <c r="U11">
        <v>1.51</v>
      </c>
      <c r="V11">
        <f>Table1[[#This Row],[FSH(mIU/mL)]]/Table1[[#This Row],[LH(mIU/mL)]]</f>
        <v>1.8543046357615893</v>
      </c>
      <c r="W11" t="str">
        <f>IF(Table1[[#This Row],[FSH/LH]]&gt;=2,"Abnormal","Normal")</f>
        <v>Normal</v>
      </c>
      <c r="X11">
        <v>40</v>
      </c>
      <c r="Y11">
        <v>38</v>
      </c>
      <c r="Z11">
        <f>ROUND(Table1[[#This Row],[Waist(inch)]]/Table1[[#This Row],[Hip(inch)]],2)</f>
        <v>0.95</v>
      </c>
      <c r="AA11">
        <v>6.65</v>
      </c>
      <c r="AB11">
        <v>1.61</v>
      </c>
      <c r="AC11">
        <v>11.74</v>
      </c>
      <c r="AD11">
        <v>27.7</v>
      </c>
      <c r="AE11" t="str">
        <f>IF(Table1[[#This Row],[Vit D3 (ng/mL)]]&lt;20,"Deficiency","Normal")</f>
        <v>Normal</v>
      </c>
      <c r="AF11">
        <v>0.25</v>
      </c>
      <c r="AG11">
        <v>125</v>
      </c>
      <c r="AH11">
        <v>0</v>
      </c>
      <c r="AI11" t="str">
        <f>IF(Table1[[#This Row],[Weight gain(Y/N)]]=0,"NO","YES")</f>
        <v>NO</v>
      </c>
      <c r="AJ11">
        <v>0</v>
      </c>
      <c r="AK11" t="str">
        <f>IF(Table1[[#This Row],[hair growth(Y/N)]]=1,"YES","NO")</f>
        <v>NO</v>
      </c>
      <c r="AL11">
        <v>0</v>
      </c>
      <c r="AM11" t="str">
        <f>IF(Table1[[#This Row],[Skin darkening (Y/N)]]=1,"YES","NO")</f>
        <v>NO</v>
      </c>
      <c r="AN11">
        <v>0</v>
      </c>
      <c r="AO11" t="str">
        <f>IF(Table1[[#This Row],[Hair loss(Y/N)]]=1,"YES","NO")</f>
        <v>NO</v>
      </c>
      <c r="AP11">
        <v>0</v>
      </c>
      <c r="AQ11" t="str">
        <f>IF(Table1[[#This Row],[Pimples(Y/N)]]=1,"YES","NO")</f>
        <v>NO</v>
      </c>
      <c r="AR11">
        <v>0</v>
      </c>
      <c r="AS11" t="str">
        <f>IF(Table1[[#This Row],[Fast food (Y/N)]]=1,"YES","NO")</f>
        <v>NO</v>
      </c>
      <c r="AT11">
        <v>0</v>
      </c>
      <c r="AU11" t="str">
        <f>IF(Table1[[#This Row],[Reg.Exercise(Y/N)]]=1,"YES","NO")</f>
        <v>NO</v>
      </c>
      <c r="AV11">
        <v>110</v>
      </c>
      <c r="AW11">
        <v>80</v>
      </c>
      <c r="AX11">
        <v>1</v>
      </c>
      <c r="AY11">
        <v>1</v>
      </c>
      <c r="AZ11">
        <v>14</v>
      </c>
      <c r="BA11">
        <v>17</v>
      </c>
      <c r="BB11">
        <v>2.5</v>
      </c>
      <c r="BC11" t="str" cm="1">
        <f t="array" ref="BC11">_xlfn.IFS((F11/(G11*G11)*10000)&lt; 18.5,"Underweight",(F11/(G11*G11)*10000)&lt;24.9,"Normal",(F11/(G11*G11)*10000)&lt;29.9,"Overweight",(F11/(G11*G11)*10000)&gt;=30,"obesity")</f>
        <v>Normal</v>
      </c>
      <c r="BD11">
        <f>Table1[[#This Row],[Follicle No. (L)]]+Table1[[#This Row],[Follicle No. (R)]]</f>
        <v>2</v>
      </c>
      <c r="BE11">
        <f>Table1[[#This Row],[Avg. F size (L) (mm)]]+Table1[[#This Row],[Avg. F size (R) (mm)]]</f>
        <v>31</v>
      </c>
      <c r="BF11">
        <f>Table1[[#This Row],[BP _Diastolic (mmHg)]]+(Table1[[#This Row],[BP _Diastolic (mmHg)]]+Table1[[#This Row],[Follicle No. (L)]])/3</f>
        <v>107</v>
      </c>
      <c r="BG11" s="4" t="str" cm="1">
        <f t="array" ref="BG1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1" s="4">
        <f>SUM(Table1[[#This Row],[Pimples(Y/N)]],Table1[[#This Row],[hair growth(Y/N)]],Table1[[#This Row],[Skin darkening (Y/N)]],Table1[[#This Row],[Hair loss(Y/N)]])</f>
        <v>0</v>
      </c>
      <c r="BI11" s="4" t="str">
        <f>IF(AND(Table1[[#This Row],[Pregnant(Y/N)]]=0, Table1[[#This Row],[  I   beta-HCG(mIU/mL)]]&gt;5), "Investigation Required", "Clear")</f>
        <v>Clear</v>
      </c>
    </row>
    <row r="12" spans="1:61" ht="15.75" customHeight="1" x14ac:dyDescent="0.25">
      <c r="A12">
        <v>11</v>
      </c>
      <c r="B12">
        <v>11</v>
      </c>
      <c r="C12">
        <v>0</v>
      </c>
      <c r="D12" t="str">
        <f>IF(Table1[[#This Row],[PCOS (Y/N)]]=0,"NO","YES")</f>
        <v>NO</v>
      </c>
      <c r="E12">
        <v>20</v>
      </c>
      <c r="F12">
        <v>71</v>
      </c>
      <c r="G12">
        <v>163</v>
      </c>
      <c r="H12">
        <v>15</v>
      </c>
      <c r="I12">
        <v>80</v>
      </c>
      <c r="J12">
        <v>20</v>
      </c>
      <c r="K12">
        <v>10</v>
      </c>
      <c r="L12">
        <v>2</v>
      </c>
      <c r="M12">
        <v>5</v>
      </c>
      <c r="N12">
        <v>4</v>
      </c>
      <c r="O12">
        <v>1</v>
      </c>
      <c r="P12" t="str">
        <f>IF(Table1[[#This Row],[Pregnant(Y/N)]]=1,"YES","NO")</f>
        <v>YES</v>
      </c>
      <c r="Q12">
        <v>2</v>
      </c>
      <c r="R12">
        <v>158.51</v>
      </c>
      <c r="S12">
        <v>158.51</v>
      </c>
      <c r="T12">
        <v>4.8899999999999997</v>
      </c>
      <c r="U12">
        <v>2.02</v>
      </c>
      <c r="V12">
        <f>Table1[[#This Row],[FSH(mIU/mL)]]/Table1[[#This Row],[LH(mIU/mL)]]</f>
        <v>2.4207920792079207</v>
      </c>
      <c r="W12" t="str">
        <f>IF(Table1[[#This Row],[FSH/LH]]&gt;=2,"Abnormal","Normal")</f>
        <v>Abnormal</v>
      </c>
      <c r="X12">
        <v>39</v>
      </c>
      <c r="Y12">
        <v>35</v>
      </c>
      <c r="Z12">
        <f>ROUND(Table1[[#This Row],[Waist(inch)]]/Table1[[#This Row],[Hip(inch)]],2)</f>
        <v>0.9</v>
      </c>
      <c r="AA12">
        <v>1.56</v>
      </c>
      <c r="AB12">
        <v>4.47</v>
      </c>
      <c r="AC12">
        <v>13.47</v>
      </c>
      <c r="AD12">
        <v>18.100000000000001</v>
      </c>
      <c r="AE12" t="str">
        <f>IF(Table1[[#This Row],[Vit D3 (ng/mL)]]&lt;20,"Deficiency","Normal")</f>
        <v>Deficiency</v>
      </c>
      <c r="AF12">
        <v>0.36</v>
      </c>
      <c r="AG12">
        <v>108</v>
      </c>
      <c r="AH12">
        <v>0</v>
      </c>
      <c r="AI12" t="str">
        <f>IF(Table1[[#This Row],[Weight gain(Y/N)]]=0,"NO","YES")</f>
        <v>NO</v>
      </c>
      <c r="AJ12">
        <v>0</v>
      </c>
      <c r="AK12" t="str">
        <f>IF(Table1[[#This Row],[hair growth(Y/N)]]=1,"YES","NO")</f>
        <v>NO</v>
      </c>
      <c r="AL12">
        <v>0</v>
      </c>
      <c r="AM12" t="str">
        <f>IF(Table1[[#This Row],[Skin darkening (Y/N)]]=1,"YES","NO")</f>
        <v>NO</v>
      </c>
      <c r="AN12">
        <v>0</v>
      </c>
      <c r="AO12" t="str">
        <f>IF(Table1[[#This Row],[Hair loss(Y/N)]]=1,"YES","NO")</f>
        <v>NO</v>
      </c>
      <c r="AP12">
        <v>0</v>
      </c>
      <c r="AQ12" t="str">
        <f>IF(Table1[[#This Row],[Pimples(Y/N)]]=1,"YES","NO")</f>
        <v>NO</v>
      </c>
      <c r="AR12">
        <v>0</v>
      </c>
      <c r="AS12" t="str">
        <f>IF(Table1[[#This Row],[Fast food (Y/N)]]=1,"YES","NO")</f>
        <v>NO</v>
      </c>
      <c r="AT12">
        <v>0</v>
      </c>
      <c r="AU12" t="str">
        <f>IF(Table1[[#This Row],[Reg.Exercise(Y/N)]]=1,"YES","NO")</f>
        <v>NO</v>
      </c>
      <c r="AV12">
        <v>110</v>
      </c>
      <c r="AW12">
        <v>80</v>
      </c>
      <c r="AX12">
        <v>7</v>
      </c>
      <c r="AY12">
        <v>15</v>
      </c>
      <c r="AZ12">
        <v>17</v>
      </c>
      <c r="BA12">
        <v>20</v>
      </c>
      <c r="BB12">
        <v>6</v>
      </c>
      <c r="BC12" t="str" cm="1">
        <f t="array" ref="BC12">_xlfn.IFS((F12/(G12*G12)*10000)&lt; 18.5,"Underweight",(F12/(G12*G12)*10000)&lt;24.9,"Normal",(F12/(G12*G12)*10000)&lt;29.9,"Overweight",(F12/(G12*G12)*10000)&gt;=30,"obesity")</f>
        <v>Overweight</v>
      </c>
      <c r="BD12">
        <f>Table1[[#This Row],[Follicle No. (L)]]+Table1[[#This Row],[Follicle No. (R)]]</f>
        <v>22</v>
      </c>
      <c r="BE12">
        <f>Table1[[#This Row],[Avg. F size (L) (mm)]]+Table1[[#This Row],[Avg. F size (R) (mm)]]</f>
        <v>37</v>
      </c>
      <c r="BF12">
        <f>Table1[[#This Row],[BP _Diastolic (mmHg)]]+(Table1[[#This Row],[BP _Diastolic (mmHg)]]+Table1[[#This Row],[Follicle No. (L)]])/3</f>
        <v>109</v>
      </c>
      <c r="BG12" s="4" t="str" cm="1">
        <f t="array" ref="BG1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2" s="4">
        <f>SUM(Table1[[#This Row],[Pimples(Y/N)]],Table1[[#This Row],[hair growth(Y/N)]],Table1[[#This Row],[Skin darkening (Y/N)]],Table1[[#This Row],[Hair loss(Y/N)]])</f>
        <v>0</v>
      </c>
      <c r="BI12" s="4" t="str">
        <f>IF(AND(Table1[[#This Row],[Pregnant(Y/N)]]=0, Table1[[#This Row],[  I   beta-HCG(mIU/mL)]]&gt;5), "Investigation Required", "Clear")</f>
        <v>Clear</v>
      </c>
    </row>
    <row r="13" spans="1:61" ht="15.75" customHeight="1" x14ac:dyDescent="0.25">
      <c r="A13">
        <v>12</v>
      </c>
      <c r="B13">
        <v>12</v>
      </c>
      <c r="C13">
        <v>0</v>
      </c>
      <c r="D13" t="str">
        <f>IF(Table1[[#This Row],[PCOS (Y/N)]]=0,"NO","YES")</f>
        <v>NO</v>
      </c>
      <c r="E13">
        <v>26</v>
      </c>
      <c r="F13">
        <v>49</v>
      </c>
      <c r="G13">
        <v>160</v>
      </c>
      <c r="H13">
        <v>13</v>
      </c>
      <c r="I13">
        <v>72</v>
      </c>
      <c r="J13">
        <v>20</v>
      </c>
      <c r="K13">
        <v>9.5</v>
      </c>
      <c r="L13">
        <v>2</v>
      </c>
      <c r="M13">
        <v>5</v>
      </c>
      <c r="N13">
        <v>3</v>
      </c>
      <c r="O13">
        <v>0</v>
      </c>
      <c r="P13" t="str">
        <f>IF(Table1[[#This Row],[Pregnant(Y/N)]]=1,"YES","NO")</f>
        <v>NO</v>
      </c>
      <c r="Q13">
        <v>1</v>
      </c>
      <c r="R13">
        <v>1.99</v>
      </c>
      <c r="S13">
        <v>1.99</v>
      </c>
      <c r="T13">
        <v>4.09</v>
      </c>
      <c r="U13">
        <v>1.47</v>
      </c>
      <c r="V13">
        <f>Table1[[#This Row],[FSH(mIU/mL)]]/Table1[[#This Row],[LH(mIU/mL)]]</f>
        <v>2.7823129251700678</v>
      </c>
      <c r="W13" t="str">
        <f>IF(Table1[[#This Row],[FSH/LH]]&gt;=2,"Abnormal","Normal")</f>
        <v>Abnormal</v>
      </c>
      <c r="X13">
        <v>39</v>
      </c>
      <c r="Y13">
        <v>33</v>
      </c>
      <c r="Z13">
        <f>ROUND(Table1[[#This Row],[Waist(inch)]]/Table1[[#This Row],[Hip(inch)]],2)</f>
        <v>0.85</v>
      </c>
      <c r="AA13">
        <v>3.98</v>
      </c>
      <c r="AB13">
        <v>1.67</v>
      </c>
      <c r="AC13">
        <v>21.1</v>
      </c>
      <c r="AD13">
        <v>29.18</v>
      </c>
      <c r="AE13" t="str">
        <f>IF(Table1[[#This Row],[Vit D3 (ng/mL)]]&lt;20,"Deficiency","Normal")</f>
        <v>Normal</v>
      </c>
      <c r="AF13">
        <v>0.25</v>
      </c>
      <c r="AG13">
        <v>100</v>
      </c>
      <c r="AH13">
        <v>0</v>
      </c>
      <c r="AI13" t="str">
        <f>IF(Table1[[#This Row],[Weight gain(Y/N)]]=0,"NO","YES")</f>
        <v>NO</v>
      </c>
      <c r="AJ13">
        <v>0</v>
      </c>
      <c r="AK13" t="str">
        <f>IF(Table1[[#This Row],[hair growth(Y/N)]]=1,"YES","NO")</f>
        <v>NO</v>
      </c>
      <c r="AL13">
        <v>0</v>
      </c>
      <c r="AM13" t="str">
        <f>IF(Table1[[#This Row],[Skin darkening (Y/N)]]=1,"YES","NO")</f>
        <v>NO</v>
      </c>
      <c r="AN13">
        <v>0</v>
      </c>
      <c r="AO13" t="str">
        <f>IF(Table1[[#This Row],[Hair loss(Y/N)]]=1,"YES","NO")</f>
        <v>NO</v>
      </c>
      <c r="AP13">
        <v>0</v>
      </c>
      <c r="AQ13" t="str">
        <f>IF(Table1[[#This Row],[Pimples(Y/N)]]=1,"YES","NO")</f>
        <v>NO</v>
      </c>
      <c r="AR13">
        <v>0</v>
      </c>
      <c r="AS13" t="str">
        <f>IF(Table1[[#This Row],[Fast food (Y/N)]]=1,"YES","NO")</f>
        <v>NO</v>
      </c>
      <c r="AT13">
        <v>0</v>
      </c>
      <c r="AU13" t="str">
        <f>IF(Table1[[#This Row],[Reg.Exercise(Y/N)]]=1,"YES","NO")</f>
        <v>NO</v>
      </c>
      <c r="AV13">
        <v>120</v>
      </c>
      <c r="AW13">
        <v>80</v>
      </c>
      <c r="AX13">
        <v>4</v>
      </c>
      <c r="AY13">
        <v>2</v>
      </c>
      <c r="AZ13">
        <v>18</v>
      </c>
      <c r="BA13">
        <v>19</v>
      </c>
      <c r="BB13">
        <v>7.8</v>
      </c>
      <c r="BC13" t="str" cm="1">
        <f t="array" ref="BC13">_xlfn.IFS((F13/(G13*G13)*10000)&lt; 18.5,"Underweight",(F13/(G13*G13)*10000)&lt;24.9,"Normal",(F13/(G13*G13)*10000)&lt;29.9,"Overweight",(F13/(G13*G13)*10000)&gt;=30,"obesity")</f>
        <v>Normal</v>
      </c>
      <c r="BD13">
        <f>Table1[[#This Row],[Follicle No. (L)]]+Table1[[#This Row],[Follicle No. (R)]]</f>
        <v>6</v>
      </c>
      <c r="BE13">
        <f>Table1[[#This Row],[Avg. F size (L) (mm)]]+Table1[[#This Row],[Avg. F size (R) (mm)]]</f>
        <v>37</v>
      </c>
      <c r="BF13">
        <f>Table1[[#This Row],[BP _Diastolic (mmHg)]]+(Table1[[#This Row],[BP _Diastolic (mmHg)]]+Table1[[#This Row],[Follicle No. (L)]])/3</f>
        <v>108</v>
      </c>
      <c r="BG13" s="4" t="str" cm="1">
        <f t="array" ref="BG1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3" s="4">
        <f>SUM(Table1[[#This Row],[Pimples(Y/N)]],Table1[[#This Row],[hair growth(Y/N)]],Table1[[#This Row],[Skin darkening (Y/N)]],Table1[[#This Row],[Hair loss(Y/N)]])</f>
        <v>0</v>
      </c>
      <c r="BI13" s="4" t="str">
        <f>IF(AND(Table1[[#This Row],[Pregnant(Y/N)]]=0, Table1[[#This Row],[  I   beta-HCG(mIU/mL)]]&gt;5), "Investigation Required", "Clear")</f>
        <v>Clear</v>
      </c>
    </row>
    <row r="14" spans="1:61" ht="15.75" customHeight="1" x14ac:dyDescent="0.25">
      <c r="A14">
        <v>13</v>
      </c>
      <c r="B14">
        <v>13</v>
      </c>
      <c r="C14">
        <v>1</v>
      </c>
      <c r="D14" t="str">
        <f>IF(Table1[[#This Row],[PCOS (Y/N)]]=0,"NO","YES")</f>
        <v>YES</v>
      </c>
      <c r="E14">
        <v>25</v>
      </c>
      <c r="F14">
        <v>74</v>
      </c>
      <c r="G14">
        <v>152</v>
      </c>
      <c r="H14">
        <v>17</v>
      </c>
      <c r="I14">
        <v>72</v>
      </c>
      <c r="J14">
        <v>18</v>
      </c>
      <c r="K14">
        <v>11.7</v>
      </c>
      <c r="L14">
        <v>4</v>
      </c>
      <c r="M14">
        <v>2</v>
      </c>
      <c r="N14">
        <v>7</v>
      </c>
      <c r="O14">
        <v>1</v>
      </c>
      <c r="P14" t="str">
        <f>IF(Table1[[#This Row],[Pregnant(Y/N)]]=1,"YES","NO")</f>
        <v>YES</v>
      </c>
      <c r="Q14">
        <v>0</v>
      </c>
      <c r="R14">
        <v>1214.23</v>
      </c>
      <c r="S14">
        <v>1214.23</v>
      </c>
      <c r="T14">
        <v>2</v>
      </c>
      <c r="U14">
        <v>1.51</v>
      </c>
      <c r="V14">
        <f>Table1[[#This Row],[FSH(mIU/mL)]]/Table1[[#This Row],[LH(mIU/mL)]]</f>
        <v>1.3245033112582782</v>
      </c>
      <c r="W14" t="str">
        <f>IF(Table1[[#This Row],[FSH/LH]]&gt;=2,"Abnormal","Normal")</f>
        <v>Normal</v>
      </c>
      <c r="X14">
        <v>45</v>
      </c>
      <c r="Y14">
        <v>40</v>
      </c>
      <c r="Z14">
        <f>ROUND(Table1[[#This Row],[Waist(inch)]]/Table1[[#This Row],[Hip(inch)]],2)</f>
        <v>0.89</v>
      </c>
      <c r="AA14">
        <v>6.51</v>
      </c>
      <c r="AB14">
        <v>7.94</v>
      </c>
      <c r="AC14">
        <v>22.43</v>
      </c>
      <c r="AD14">
        <v>31.4</v>
      </c>
      <c r="AE14" t="str">
        <f>IF(Table1[[#This Row],[Vit D3 (ng/mL)]]&lt;20,"Deficiency","Normal")</f>
        <v>Normal</v>
      </c>
      <c r="AF14">
        <v>0.3</v>
      </c>
      <c r="AG14">
        <v>125</v>
      </c>
      <c r="AH14">
        <v>1</v>
      </c>
      <c r="AI14" t="str">
        <f>IF(Table1[[#This Row],[Weight gain(Y/N)]]=0,"NO","YES")</f>
        <v>YES</v>
      </c>
      <c r="AJ14">
        <v>1</v>
      </c>
      <c r="AK14" t="str">
        <f>IF(Table1[[#This Row],[hair growth(Y/N)]]=1,"YES","NO")</f>
        <v>YES</v>
      </c>
      <c r="AL14">
        <v>1</v>
      </c>
      <c r="AM14" t="str">
        <f>IF(Table1[[#This Row],[Skin darkening (Y/N)]]=1,"YES","NO")</f>
        <v>YES</v>
      </c>
      <c r="AN14">
        <v>1</v>
      </c>
      <c r="AO14" t="str">
        <f>IF(Table1[[#This Row],[Hair loss(Y/N)]]=1,"YES","NO")</f>
        <v>YES</v>
      </c>
      <c r="AP14">
        <v>1</v>
      </c>
      <c r="AQ14" t="str">
        <f>IF(Table1[[#This Row],[Pimples(Y/N)]]=1,"YES","NO")</f>
        <v>YES</v>
      </c>
      <c r="AR14">
        <v>1</v>
      </c>
      <c r="AS14" t="str">
        <f>IF(Table1[[#This Row],[Fast food (Y/N)]]=1,"YES","NO")</f>
        <v>YES</v>
      </c>
      <c r="AT14">
        <v>1</v>
      </c>
      <c r="AU14" t="str">
        <f>IF(Table1[[#This Row],[Reg.Exercise(Y/N)]]=1,"YES","NO")</f>
        <v>YES</v>
      </c>
      <c r="AV14">
        <v>120</v>
      </c>
      <c r="AW14">
        <v>80</v>
      </c>
      <c r="AX14">
        <v>15</v>
      </c>
      <c r="AY14">
        <v>8</v>
      </c>
      <c r="AZ14">
        <v>20</v>
      </c>
      <c r="BA14">
        <v>21</v>
      </c>
      <c r="BB14">
        <v>8</v>
      </c>
      <c r="BC14" t="str" cm="1">
        <f t="array" ref="BC14">_xlfn.IFS((F14/(G14*G14)*10000)&lt; 18.5,"Underweight",(F14/(G14*G14)*10000)&lt;24.9,"Normal",(F14/(G14*G14)*10000)&lt;29.9,"Overweight",(F14/(G14*G14)*10000)&gt;=30,"obesity")</f>
        <v>obesity</v>
      </c>
      <c r="BD14">
        <f>Table1[[#This Row],[Follicle No. (L)]]+Table1[[#This Row],[Follicle No. (R)]]</f>
        <v>23</v>
      </c>
      <c r="BE14">
        <f>Table1[[#This Row],[Avg. F size (L) (mm)]]+Table1[[#This Row],[Avg. F size (R) (mm)]]</f>
        <v>41</v>
      </c>
      <c r="BF14">
        <f>Table1[[#This Row],[BP _Diastolic (mmHg)]]+(Table1[[#This Row],[BP _Diastolic (mmHg)]]+Table1[[#This Row],[Follicle No. (L)]])/3</f>
        <v>111.66666666666667</v>
      </c>
      <c r="BG14" s="4" t="str" cm="1">
        <f t="array" ref="BG1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4" s="4">
        <f>SUM(Table1[[#This Row],[Pimples(Y/N)]],Table1[[#This Row],[hair growth(Y/N)]],Table1[[#This Row],[Skin darkening (Y/N)]],Table1[[#This Row],[Hair loss(Y/N)]])</f>
        <v>4</v>
      </c>
      <c r="BI14" s="4" t="str">
        <f>IF(AND(Table1[[#This Row],[Pregnant(Y/N)]]=0, Table1[[#This Row],[  I   beta-HCG(mIU/mL)]]&gt;5), "Investigation Required", "Clear")</f>
        <v>Clear</v>
      </c>
    </row>
    <row r="15" spans="1:61" ht="15.75" customHeight="1" x14ac:dyDescent="0.25">
      <c r="A15">
        <v>14</v>
      </c>
      <c r="B15">
        <v>14</v>
      </c>
      <c r="C15">
        <v>0</v>
      </c>
      <c r="D15" t="str">
        <f>IF(Table1[[#This Row],[PCOS (Y/N)]]=0,"NO","YES")</f>
        <v>NO</v>
      </c>
      <c r="E15">
        <v>38</v>
      </c>
      <c r="F15">
        <v>50</v>
      </c>
      <c r="G15">
        <v>152</v>
      </c>
      <c r="H15">
        <v>13</v>
      </c>
      <c r="I15">
        <v>74</v>
      </c>
      <c r="J15">
        <v>20</v>
      </c>
      <c r="K15">
        <v>12.1</v>
      </c>
      <c r="L15">
        <v>2</v>
      </c>
      <c r="M15">
        <v>5</v>
      </c>
      <c r="N15">
        <v>15</v>
      </c>
      <c r="O15">
        <v>0</v>
      </c>
      <c r="P15" t="str">
        <f>IF(Table1[[#This Row],[Pregnant(Y/N)]]=1,"YES","NO")</f>
        <v>NO</v>
      </c>
      <c r="Q15">
        <v>0</v>
      </c>
      <c r="R15">
        <v>1.99</v>
      </c>
      <c r="S15">
        <v>1.99</v>
      </c>
      <c r="T15">
        <v>4.84</v>
      </c>
      <c r="U15">
        <v>0.71</v>
      </c>
      <c r="V15">
        <f>Table1[[#This Row],[FSH(mIU/mL)]]/Table1[[#This Row],[LH(mIU/mL)]]</f>
        <v>6.816901408450704</v>
      </c>
      <c r="W15" t="str">
        <f>IF(Table1[[#This Row],[FSH/LH]]&gt;=2,"Abnormal","Normal")</f>
        <v>Abnormal</v>
      </c>
      <c r="X15">
        <v>39</v>
      </c>
      <c r="Y15">
        <v>33</v>
      </c>
      <c r="Z15">
        <f>ROUND(Table1[[#This Row],[Waist(inch)]]/Table1[[#This Row],[Hip(inch)]],2)</f>
        <v>0.85</v>
      </c>
      <c r="AA15">
        <v>1.48</v>
      </c>
      <c r="AB15">
        <v>2.38</v>
      </c>
      <c r="AC15">
        <v>15.62</v>
      </c>
      <c r="AD15">
        <v>21.2</v>
      </c>
      <c r="AE15" t="str">
        <f>IF(Table1[[#This Row],[Vit D3 (ng/mL)]]&lt;20,"Deficiency","Normal")</f>
        <v>Normal</v>
      </c>
      <c r="AF15">
        <v>0.4</v>
      </c>
      <c r="AG15">
        <v>91</v>
      </c>
      <c r="AH15">
        <v>0</v>
      </c>
      <c r="AI15" t="str">
        <f>IF(Table1[[#This Row],[Weight gain(Y/N)]]=0,"NO","YES")</f>
        <v>NO</v>
      </c>
      <c r="AJ15">
        <v>0</v>
      </c>
      <c r="AK15" t="str">
        <f>IF(Table1[[#This Row],[hair growth(Y/N)]]=1,"YES","NO")</f>
        <v>NO</v>
      </c>
      <c r="AL15">
        <v>0</v>
      </c>
      <c r="AM15" t="str">
        <f>IF(Table1[[#This Row],[Skin darkening (Y/N)]]=1,"YES","NO")</f>
        <v>NO</v>
      </c>
      <c r="AN15">
        <v>0</v>
      </c>
      <c r="AO15" t="str">
        <f>IF(Table1[[#This Row],[Hair loss(Y/N)]]=1,"YES","NO")</f>
        <v>NO</v>
      </c>
      <c r="AP15">
        <v>0</v>
      </c>
      <c r="AQ15" t="str">
        <f>IF(Table1[[#This Row],[Pimples(Y/N)]]=1,"YES","NO")</f>
        <v>NO</v>
      </c>
      <c r="AR15">
        <v>0</v>
      </c>
      <c r="AS15" t="str">
        <f>IF(Table1[[#This Row],[Fast food (Y/N)]]=1,"YES","NO")</f>
        <v>NO</v>
      </c>
      <c r="AT15">
        <v>0</v>
      </c>
      <c r="AU15" t="str">
        <f>IF(Table1[[#This Row],[Reg.Exercise(Y/N)]]=1,"YES","NO")</f>
        <v>NO</v>
      </c>
      <c r="AV15">
        <v>110</v>
      </c>
      <c r="AW15">
        <v>70</v>
      </c>
      <c r="AX15">
        <v>3</v>
      </c>
      <c r="AY15">
        <v>3</v>
      </c>
      <c r="AZ15">
        <v>18</v>
      </c>
      <c r="BA15">
        <v>17</v>
      </c>
      <c r="BB15">
        <v>5.6</v>
      </c>
      <c r="BC15" t="str" cm="1">
        <f t="array" ref="BC15">_xlfn.IFS((F15/(G15*G15)*10000)&lt; 18.5,"Underweight",(F15/(G15*G15)*10000)&lt;24.9,"Normal",(F15/(G15*G15)*10000)&lt;29.9,"Overweight",(F15/(G15*G15)*10000)&gt;=30,"obesity")</f>
        <v>Normal</v>
      </c>
      <c r="BD15">
        <f>Table1[[#This Row],[Follicle No. (L)]]+Table1[[#This Row],[Follicle No. (R)]]</f>
        <v>6</v>
      </c>
      <c r="BE15">
        <f>Table1[[#This Row],[Avg. F size (L) (mm)]]+Table1[[#This Row],[Avg. F size (R) (mm)]]</f>
        <v>35</v>
      </c>
      <c r="BF15">
        <f>Table1[[#This Row],[BP _Diastolic (mmHg)]]+(Table1[[#This Row],[BP _Diastolic (mmHg)]]+Table1[[#This Row],[Follicle No. (L)]])/3</f>
        <v>94.333333333333329</v>
      </c>
      <c r="BG15" s="4" t="str" cm="1">
        <f t="array" ref="BG1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5" s="4">
        <f>SUM(Table1[[#This Row],[Pimples(Y/N)]],Table1[[#This Row],[hair growth(Y/N)]],Table1[[#This Row],[Skin darkening (Y/N)]],Table1[[#This Row],[Hair loss(Y/N)]])</f>
        <v>0</v>
      </c>
      <c r="BI15" s="4" t="str">
        <f>IF(AND(Table1[[#This Row],[Pregnant(Y/N)]]=0, Table1[[#This Row],[  I   beta-HCG(mIU/mL)]]&gt;5), "Investigation Required", "Clear")</f>
        <v>Clear</v>
      </c>
    </row>
    <row r="16" spans="1:61" ht="15.75" customHeight="1" x14ac:dyDescent="0.25">
      <c r="A16">
        <v>15</v>
      </c>
      <c r="B16">
        <v>15</v>
      </c>
      <c r="C16">
        <v>0</v>
      </c>
      <c r="D16" t="str">
        <f>IF(Table1[[#This Row],[PCOS (Y/N)]]=0,"NO","YES")</f>
        <v>NO</v>
      </c>
      <c r="E16">
        <v>34</v>
      </c>
      <c r="F16">
        <v>57.3</v>
      </c>
      <c r="G16">
        <v>162</v>
      </c>
      <c r="H16">
        <v>13</v>
      </c>
      <c r="I16">
        <v>74</v>
      </c>
      <c r="J16">
        <v>22</v>
      </c>
      <c r="K16">
        <v>11.7</v>
      </c>
      <c r="L16">
        <v>2</v>
      </c>
      <c r="M16">
        <v>5</v>
      </c>
      <c r="N16">
        <v>9</v>
      </c>
      <c r="O16">
        <v>0</v>
      </c>
      <c r="P16" t="str">
        <f>IF(Table1[[#This Row],[Pregnant(Y/N)]]=1,"YES","NO")</f>
        <v>NO</v>
      </c>
      <c r="Q16">
        <v>0</v>
      </c>
      <c r="R16">
        <v>1.99</v>
      </c>
      <c r="S16">
        <v>1.99</v>
      </c>
      <c r="T16">
        <v>7.45</v>
      </c>
      <c r="U16">
        <v>3.71</v>
      </c>
      <c r="V16">
        <f>Table1[[#This Row],[FSH(mIU/mL)]]/Table1[[#This Row],[LH(mIU/mL)]]</f>
        <v>2.0080862533692723</v>
      </c>
      <c r="W16" t="str">
        <f>IF(Table1[[#This Row],[FSH/LH]]&gt;=2,"Abnormal","Normal")</f>
        <v>Abnormal</v>
      </c>
      <c r="X16">
        <v>38</v>
      </c>
      <c r="Y16">
        <v>30</v>
      </c>
      <c r="Z16">
        <f>ROUND(Table1[[#This Row],[Waist(inch)]]/Table1[[#This Row],[Hip(inch)]],2)</f>
        <v>0.79</v>
      </c>
      <c r="AA16">
        <v>1.51</v>
      </c>
      <c r="AB16">
        <v>0.88</v>
      </c>
      <c r="AC16">
        <v>19.600000000000001</v>
      </c>
      <c r="AD16">
        <v>24.9</v>
      </c>
      <c r="AE16" t="str">
        <f>IF(Table1[[#This Row],[Vit D3 (ng/mL)]]&lt;20,"Deficiency","Normal")</f>
        <v>Normal</v>
      </c>
      <c r="AF16">
        <v>0.26</v>
      </c>
      <c r="AG16">
        <v>116</v>
      </c>
      <c r="AH16">
        <v>0</v>
      </c>
      <c r="AI16" t="str">
        <f>IF(Table1[[#This Row],[Weight gain(Y/N)]]=0,"NO","YES")</f>
        <v>NO</v>
      </c>
      <c r="AJ16">
        <v>0</v>
      </c>
      <c r="AK16" t="str">
        <f>IF(Table1[[#This Row],[hair growth(Y/N)]]=1,"YES","NO")</f>
        <v>NO</v>
      </c>
      <c r="AL16">
        <v>0</v>
      </c>
      <c r="AM16" t="str">
        <f>IF(Table1[[#This Row],[Skin darkening (Y/N)]]=1,"YES","NO")</f>
        <v>NO</v>
      </c>
      <c r="AN16">
        <v>1</v>
      </c>
      <c r="AO16" t="str">
        <f>IF(Table1[[#This Row],[Hair loss(Y/N)]]=1,"YES","NO")</f>
        <v>YES</v>
      </c>
      <c r="AP16">
        <v>1</v>
      </c>
      <c r="AQ16" t="str">
        <f>IF(Table1[[#This Row],[Pimples(Y/N)]]=1,"YES","NO")</f>
        <v>YES</v>
      </c>
      <c r="AR16">
        <v>1</v>
      </c>
      <c r="AS16" t="str">
        <f>IF(Table1[[#This Row],[Fast food (Y/N)]]=1,"YES","NO")</f>
        <v>YES</v>
      </c>
      <c r="AT16">
        <v>0</v>
      </c>
      <c r="AU16" t="str">
        <f>IF(Table1[[#This Row],[Reg.Exercise(Y/N)]]=1,"YES","NO")</f>
        <v>NO</v>
      </c>
      <c r="AV16">
        <v>120</v>
      </c>
      <c r="AW16">
        <v>80</v>
      </c>
      <c r="AX16">
        <v>4</v>
      </c>
      <c r="AY16">
        <v>1</v>
      </c>
      <c r="AZ16">
        <v>19</v>
      </c>
      <c r="BA16">
        <v>21</v>
      </c>
      <c r="BB16">
        <v>5.5</v>
      </c>
      <c r="BC16" t="str" cm="1">
        <f t="array" ref="BC16">_xlfn.IFS((F16/(G16*G16)*10000)&lt; 18.5,"Underweight",(F16/(G16*G16)*10000)&lt;24.9,"Normal",(F16/(G16*G16)*10000)&lt;29.9,"Overweight",(F16/(G16*G16)*10000)&gt;=30,"obesity")</f>
        <v>Normal</v>
      </c>
      <c r="BD16">
        <f>Table1[[#This Row],[Follicle No. (L)]]+Table1[[#This Row],[Follicle No. (R)]]</f>
        <v>5</v>
      </c>
      <c r="BE16">
        <f>Table1[[#This Row],[Avg. F size (L) (mm)]]+Table1[[#This Row],[Avg. F size (R) (mm)]]</f>
        <v>40</v>
      </c>
      <c r="BF16">
        <f>Table1[[#This Row],[BP _Diastolic (mmHg)]]+(Table1[[#This Row],[BP _Diastolic (mmHg)]]+Table1[[#This Row],[Follicle No. (L)]])/3</f>
        <v>108</v>
      </c>
      <c r="BG16" s="4" t="str" cm="1">
        <f t="array" ref="BG1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6" s="4">
        <f>SUM(Table1[[#This Row],[Pimples(Y/N)]],Table1[[#This Row],[hair growth(Y/N)]],Table1[[#This Row],[Skin darkening (Y/N)]],Table1[[#This Row],[Hair loss(Y/N)]])</f>
        <v>2</v>
      </c>
      <c r="BI16" s="4" t="str">
        <f>IF(AND(Table1[[#This Row],[Pregnant(Y/N)]]=0, Table1[[#This Row],[  I   beta-HCG(mIU/mL)]]&gt;5), "Investigation Required", "Clear")</f>
        <v>Clear</v>
      </c>
    </row>
    <row r="17" spans="1:61" ht="15.75" customHeight="1" x14ac:dyDescent="0.25">
      <c r="A17">
        <v>16</v>
      </c>
      <c r="B17">
        <v>16</v>
      </c>
      <c r="C17">
        <v>0</v>
      </c>
      <c r="D17" t="str">
        <f>IF(Table1[[#This Row],[PCOS (Y/N)]]=0,"NO","YES")</f>
        <v>NO</v>
      </c>
      <c r="E17">
        <v>38</v>
      </c>
      <c r="F17">
        <v>80.5</v>
      </c>
      <c r="G17">
        <v>154</v>
      </c>
      <c r="H17">
        <v>13</v>
      </c>
      <c r="I17">
        <v>78</v>
      </c>
      <c r="J17">
        <v>22</v>
      </c>
      <c r="K17">
        <v>11.4</v>
      </c>
      <c r="L17">
        <v>2</v>
      </c>
      <c r="M17">
        <v>5</v>
      </c>
      <c r="N17">
        <v>20</v>
      </c>
      <c r="O17">
        <v>0</v>
      </c>
      <c r="P17" t="str">
        <f>IF(Table1[[#This Row],[Pregnant(Y/N)]]=1,"YES","NO")</f>
        <v>NO</v>
      </c>
      <c r="Q17">
        <v>0</v>
      </c>
      <c r="R17">
        <v>1.99</v>
      </c>
      <c r="S17">
        <v>1.99</v>
      </c>
      <c r="T17">
        <v>9.51</v>
      </c>
      <c r="U17">
        <v>2.5099999999999998</v>
      </c>
      <c r="V17">
        <f>Table1[[#This Row],[FSH(mIU/mL)]]/Table1[[#This Row],[LH(mIU/mL)]]</f>
        <v>3.7888446215139444</v>
      </c>
      <c r="W17" t="str">
        <f>IF(Table1[[#This Row],[FSH/LH]]&gt;=2,"Abnormal","Normal")</f>
        <v>Abnormal</v>
      </c>
      <c r="X17">
        <v>44</v>
      </c>
      <c r="Y17">
        <v>41</v>
      </c>
      <c r="Z17">
        <f>ROUND(Table1[[#This Row],[Waist(inch)]]/Table1[[#This Row],[Hip(inch)]],2)</f>
        <v>0.93</v>
      </c>
      <c r="AA17">
        <v>1.18</v>
      </c>
      <c r="AB17">
        <v>0.69</v>
      </c>
      <c r="AC17">
        <v>92.65</v>
      </c>
      <c r="AD17">
        <v>9.6999999999999993</v>
      </c>
      <c r="AE17" t="str">
        <f>IF(Table1[[#This Row],[Vit D3 (ng/mL)]]&lt;20,"Deficiency","Normal")</f>
        <v>Deficiency</v>
      </c>
      <c r="AF17">
        <v>0.3</v>
      </c>
      <c r="AG17">
        <v>116</v>
      </c>
      <c r="AH17">
        <v>1</v>
      </c>
      <c r="AI17" t="str">
        <f>IF(Table1[[#This Row],[Weight gain(Y/N)]]=0,"NO","YES")</f>
        <v>YES</v>
      </c>
      <c r="AJ17">
        <v>0</v>
      </c>
      <c r="AK17" t="str">
        <f>IF(Table1[[#This Row],[hair growth(Y/N)]]=1,"YES","NO")</f>
        <v>NO</v>
      </c>
      <c r="AL17">
        <v>0</v>
      </c>
      <c r="AM17" t="str">
        <f>IF(Table1[[#This Row],[Skin darkening (Y/N)]]=1,"YES","NO")</f>
        <v>NO</v>
      </c>
      <c r="AN17">
        <v>0</v>
      </c>
      <c r="AO17" t="str">
        <f>IF(Table1[[#This Row],[Hair loss(Y/N)]]=1,"YES","NO")</f>
        <v>NO</v>
      </c>
      <c r="AP17">
        <v>0</v>
      </c>
      <c r="AQ17" t="str">
        <f>IF(Table1[[#This Row],[Pimples(Y/N)]]=1,"YES","NO")</f>
        <v>NO</v>
      </c>
      <c r="AR17">
        <v>0</v>
      </c>
      <c r="AS17" t="str">
        <f>IF(Table1[[#This Row],[Fast food (Y/N)]]=1,"YES","NO")</f>
        <v>NO</v>
      </c>
      <c r="AT17">
        <v>0</v>
      </c>
      <c r="AU17" t="str">
        <f>IF(Table1[[#This Row],[Reg.Exercise(Y/N)]]=1,"YES","NO")</f>
        <v>NO</v>
      </c>
      <c r="AV17">
        <v>120</v>
      </c>
      <c r="AW17">
        <v>80</v>
      </c>
      <c r="AX17">
        <v>1</v>
      </c>
      <c r="AY17">
        <v>3</v>
      </c>
      <c r="AZ17">
        <v>14</v>
      </c>
      <c r="BA17">
        <v>20</v>
      </c>
      <c r="BB17">
        <v>3.9</v>
      </c>
      <c r="BC17" t="str" cm="1">
        <f t="array" ref="BC17">_xlfn.IFS((F17/(G17*G17)*10000)&lt; 18.5,"Underweight",(F17/(G17*G17)*10000)&lt;24.9,"Normal",(F17/(G17*G17)*10000)&lt;29.9,"Overweight",(F17/(G17*G17)*10000)&gt;=30,"obesity")</f>
        <v>obesity</v>
      </c>
      <c r="BD17">
        <f>Table1[[#This Row],[Follicle No. (L)]]+Table1[[#This Row],[Follicle No. (R)]]</f>
        <v>4</v>
      </c>
      <c r="BE17">
        <f>Table1[[#This Row],[Avg. F size (L) (mm)]]+Table1[[#This Row],[Avg. F size (R) (mm)]]</f>
        <v>34</v>
      </c>
      <c r="BF17">
        <f>Table1[[#This Row],[BP _Diastolic (mmHg)]]+(Table1[[#This Row],[BP _Diastolic (mmHg)]]+Table1[[#This Row],[Follicle No. (L)]])/3</f>
        <v>107</v>
      </c>
      <c r="BG17" s="4" t="str" cm="1">
        <f t="array" ref="BG1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7" s="4">
        <f>SUM(Table1[[#This Row],[Pimples(Y/N)]],Table1[[#This Row],[hair growth(Y/N)]],Table1[[#This Row],[Skin darkening (Y/N)]],Table1[[#This Row],[Hair loss(Y/N)]])</f>
        <v>0</v>
      </c>
      <c r="BI17" s="4" t="str">
        <f>IF(AND(Table1[[#This Row],[Pregnant(Y/N)]]=0, Table1[[#This Row],[  I   beta-HCG(mIU/mL)]]&gt;5), "Investigation Required", "Clear")</f>
        <v>Clear</v>
      </c>
    </row>
    <row r="18" spans="1:61" ht="15.75" customHeight="1" x14ac:dyDescent="0.25">
      <c r="A18">
        <v>17</v>
      </c>
      <c r="B18">
        <v>17</v>
      </c>
      <c r="C18">
        <v>0</v>
      </c>
      <c r="D18" t="str">
        <f>IF(Table1[[#This Row],[PCOS (Y/N)]]=0,"NO","YES")</f>
        <v>NO</v>
      </c>
      <c r="E18">
        <v>29</v>
      </c>
      <c r="F18">
        <v>43</v>
      </c>
      <c r="G18">
        <v>148</v>
      </c>
      <c r="H18">
        <v>13</v>
      </c>
      <c r="I18">
        <v>80</v>
      </c>
      <c r="J18">
        <v>20</v>
      </c>
      <c r="K18">
        <v>11.1</v>
      </c>
      <c r="L18">
        <v>2</v>
      </c>
      <c r="M18">
        <v>5</v>
      </c>
      <c r="N18">
        <v>2</v>
      </c>
      <c r="O18">
        <v>1</v>
      </c>
      <c r="P18" t="str">
        <f>IF(Table1[[#This Row],[Pregnant(Y/N)]]=1,"YES","NO")</f>
        <v>YES</v>
      </c>
      <c r="Q18">
        <v>0</v>
      </c>
      <c r="R18">
        <v>8104.21</v>
      </c>
      <c r="S18">
        <v>91.55</v>
      </c>
      <c r="T18">
        <v>2.02</v>
      </c>
      <c r="U18">
        <v>0.65</v>
      </c>
      <c r="V18">
        <f>Table1[[#This Row],[FSH(mIU/mL)]]/Table1[[#This Row],[LH(mIU/mL)]]</f>
        <v>3.1076923076923078</v>
      </c>
      <c r="W18" t="str">
        <f>IF(Table1[[#This Row],[FSH/LH]]&gt;=2,"Abnormal","Normal")</f>
        <v>Abnormal</v>
      </c>
      <c r="X18">
        <v>36</v>
      </c>
      <c r="Y18">
        <v>29</v>
      </c>
      <c r="Z18">
        <f>ROUND(Table1[[#This Row],[Waist(inch)]]/Table1[[#This Row],[Hip(inch)]],2)</f>
        <v>0.81</v>
      </c>
      <c r="AA18">
        <v>1.98</v>
      </c>
      <c r="AB18">
        <v>3.78</v>
      </c>
      <c r="AC18">
        <v>20.25</v>
      </c>
      <c r="AD18">
        <v>19.100000000000001</v>
      </c>
      <c r="AE18" t="str">
        <f>IF(Table1[[#This Row],[Vit D3 (ng/mL)]]&lt;20,"Deficiency","Normal")</f>
        <v>Deficiency</v>
      </c>
      <c r="AF18">
        <v>0.46</v>
      </c>
      <c r="AG18">
        <v>91</v>
      </c>
      <c r="AH18">
        <v>0</v>
      </c>
      <c r="AI18" t="str">
        <f>IF(Table1[[#This Row],[Weight gain(Y/N)]]=0,"NO","YES")</f>
        <v>NO</v>
      </c>
      <c r="AJ18">
        <v>0</v>
      </c>
      <c r="AK18" t="str">
        <f>IF(Table1[[#This Row],[hair growth(Y/N)]]=1,"YES","NO")</f>
        <v>NO</v>
      </c>
      <c r="AL18">
        <v>0</v>
      </c>
      <c r="AM18" t="str">
        <f>IF(Table1[[#This Row],[Skin darkening (Y/N)]]=1,"YES","NO")</f>
        <v>NO</v>
      </c>
      <c r="AN18">
        <v>0</v>
      </c>
      <c r="AO18" t="str">
        <f>IF(Table1[[#This Row],[Hair loss(Y/N)]]=1,"YES","NO")</f>
        <v>NO</v>
      </c>
      <c r="AP18">
        <v>0</v>
      </c>
      <c r="AQ18" t="str">
        <f>IF(Table1[[#This Row],[Pimples(Y/N)]]=1,"YES","NO")</f>
        <v>NO</v>
      </c>
      <c r="AR18">
        <v>0</v>
      </c>
      <c r="AS18" t="str">
        <f>IF(Table1[[#This Row],[Fast food (Y/N)]]=1,"YES","NO")</f>
        <v>NO</v>
      </c>
      <c r="AT18">
        <v>0</v>
      </c>
      <c r="AU18" t="str">
        <f>IF(Table1[[#This Row],[Reg.Exercise(Y/N)]]=1,"YES","NO")</f>
        <v>NO</v>
      </c>
      <c r="AV18">
        <v>110</v>
      </c>
      <c r="AW18">
        <v>70</v>
      </c>
      <c r="AX18">
        <v>6</v>
      </c>
      <c r="AY18">
        <v>5</v>
      </c>
      <c r="AZ18">
        <v>20</v>
      </c>
      <c r="BA18">
        <v>20</v>
      </c>
      <c r="BB18">
        <v>5.6</v>
      </c>
      <c r="BC18" t="str" cm="1">
        <f t="array" ref="BC18">_xlfn.IFS((F18/(G18*G18)*10000)&lt; 18.5,"Underweight",(F18/(G18*G18)*10000)&lt;24.9,"Normal",(F18/(G18*G18)*10000)&lt;29.9,"Overweight",(F18/(G18*G18)*10000)&gt;=30,"obesity")</f>
        <v>Normal</v>
      </c>
      <c r="BD18">
        <f>Table1[[#This Row],[Follicle No. (L)]]+Table1[[#This Row],[Follicle No. (R)]]</f>
        <v>11</v>
      </c>
      <c r="BE18">
        <f>Table1[[#This Row],[Avg. F size (L) (mm)]]+Table1[[#This Row],[Avg. F size (R) (mm)]]</f>
        <v>40</v>
      </c>
      <c r="BF18">
        <f>Table1[[#This Row],[BP _Diastolic (mmHg)]]+(Table1[[#This Row],[BP _Diastolic (mmHg)]]+Table1[[#This Row],[Follicle No. (L)]])/3</f>
        <v>95.333333333333329</v>
      </c>
      <c r="BG18" s="4" t="str" cm="1">
        <f t="array" ref="BG1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8" s="4">
        <f>SUM(Table1[[#This Row],[Pimples(Y/N)]],Table1[[#This Row],[hair growth(Y/N)]],Table1[[#This Row],[Skin darkening (Y/N)]],Table1[[#This Row],[Hair loss(Y/N)]])</f>
        <v>0</v>
      </c>
      <c r="BI18" s="4" t="str">
        <f>IF(AND(Table1[[#This Row],[Pregnant(Y/N)]]=0, Table1[[#This Row],[  I   beta-HCG(mIU/mL)]]&gt;5), "Investigation Required", "Clear")</f>
        <v>Clear</v>
      </c>
    </row>
    <row r="19" spans="1:61" ht="15.75" customHeight="1" x14ac:dyDescent="0.25">
      <c r="A19">
        <v>18</v>
      </c>
      <c r="B19">
        <v>18</v>
      </c>
      <c r="C19">
        <v>0</v>
      </c>
      <c r="D19" t="str">
        <f>IF(Table1[[#This Row],[PCOS (Y/N)]]=0,"NO","YES")</f>
        <v>NO</v>
      </c>
      <c r="E19">
        <v>36</v>
      </c>
      <c r="F19">
        <v>69.2</v>
      </c>
      <c r="G19">
        <v>160</v>
      </c>
      <c r="H19">
        <v>13</v>
      </c>
      <c r="I19">
        <v>72</v>
      </c>
      <c r="J19">
        <v>18</v>
      </c>
      <c r="K19">
        <v>10.8</v>
      </c>
      <c r="L19">
        <v>2</v>
      </c>
      <c r="M19">
        <v>5</v>
      </c>
      <c r="N19">
        <v>7</v>
      </c>
      <c r="O19">
        <v>0</v>
      </c>
      <c r="P19" t="str">
        <f>IF(Table1[[#This Row],[Pregnant(Y/N)]]=1,"YES","NO")</f>
        <v>NO</v>
      </c>
      <c r="Q19">
        <v>0</v>
      </c>
      <c r="R19">
        <v>1.99</v>
      </c>
      <c r="S19">
        <v>1.99</v>
      </c>
      <c r="T19">
        <v>4.8600000000000003</v>
      </c>
      <c r="U19">
        <v>2.96</v>
      </c>
      <c r="V19">
        <f>Table1[[#This Row],[FSH(mIU/mL)]]/Table1[[#This Row],[LH(mIU/mL)]]</f>
        <v>1.6418918918918921</v>
      </c>
      <c r="W19" t="str">
        <f>IF(Table1[[#This Row],[FSH/LH]]&gt;=2,"Abnormal","Normal")</f>
        <v>Normal</v>
      </c>
      <c r="X19">
        <v>39</v>
      </c>
      <c r="Y19">
        <v>32</v>
      </c>
      <c r="Z19">
        <f>ROUND(Table1[[#This Row],[Waist(inch)]]/Table1[[#This Row],[Hip(inch)]],2)</f>
        <v>0.82</v>
      </c>
      <c r="AA19">
        <v>5</v>
      </c>
      <c r="AB19">
        <v>1.92</v>
      </c>
      <c r="AC19">
        <v>12.52</v>
      </c>
      <c r="AD19">
        <v>26</v>
      </c>
      <c r="AE19" t="str">
        <f>IF(Table1[[#This Row],[Vit D3 (ng/mL)]]&lt;20,"Deficiency","Normal")</f>
        <v>Normal</v>
      </c>
      <c r="AF19">
        <v>0.25</v>
      </c>
      <c r="AG19">
        <v>100</v>
      </c>
      <c r="AH19">
        <v>0</v>
      </c>
      <c r="AI19" t="str">
        <f>IF(Table1[[#This Row],[Weight gain(Y/N)]]=0,"NO","YES")</f>
        <v>NO</v>
      </c>
      <c r="AJ19">
        <v>0</v>
      </c>
      <c r="AK19" t="str">
        <f>IF(Table1[[#This Row],[hair growth(Y/N)]]=1,"YES","NO")</f>
        <v>NO</v>
      </c>
      <c r="AL19">
        <v>0</v>
      </c>
      <c r="AM19" t="str">
        <f>IF(Table1[[#This Row],[Skin darkening (Y/N)]]=1,"YES","NO")</f>
        <v>NO</v>
      </c>
      <c r="AN19">
        <v>0</v>
      </c>
      <c r="AO19" t="str">
        <f>IF(Table1[[#This Row],[Hair loss(Y/N)]]=1,"YES","NO")</f>
        <v>NO</v>
      </c>
      <c r="AP19">
        <v>0</v>
      </c>
      <c r="AQ19" t="str">
        <f>IF(Table1[[#This Row],[Pimples(Y/N)]]=1,"YES","NO")</f>
        <v>NO</v>
      </c>
      <c r="AR19">
        <v>0</v>
      </c>
      <c r="AS19" t="str">
        <f>IF(Table1[[#This Row],[Fast food (Y/N)]]=1,"YES","NO")</f>
        <v>NO</v>
      </c>
      <c r="AT19">
        <v>0</v>
      </c>
      <c r="AU19" t="str">
        <f>IF(Table1[[#This Row],[Reg.Exercise(Y/N)]]=1,"YES","NO")</f>
        <v>NO</v>
      </c>
      <c r="AV19">
        <v>110</v>
      </c>
      <c r="AW19">
        <v>80</v>
      </c>
      <c r="AX19">
        <v>1</v>
      </c>
      <c r="AY19">
        <v>2</v>
      </c>
      <c r="AZ19">
        <v>20</v>
      </c>
      <c r="BA19">
        <v>18</v>
      </c>
      <c r="BB19">
        <v>4</v>
      </c>
      <c r="BC19" t="str" cm="1">
        <f t="array" ref="BC19">_xlfn.IFS((F19/(G19*G19)*10000)&lt; 18.5,"Underweight",(F19/(G19*G19)*10000)&lt;24.9,"Normal",(F19/(G19*G19)*10000)&lt;29.9,"Overweight",(F19/(G19*G19)*10000)&gt;=30,"obesity")</f>
        <v>Overweight</v>
      </c>
      <c r="BD19">
        <f>Table1[[#This Row],[Follicle No. (L)]]+Table1[[#This Row],[Follicle No. (R)]]</f>
        <v>3</v>
      </c>
      <c r="BE19">
        <f>Table1[[#This Row],[Avg. F size (L) (mm)]]+Table1[[#This Row],[Avg. F size (R) (mm)]]</f>
        <v>38</v>
      </c>
      <c r="BF19">
        <f>Table1[[#This Row],[BP _Diastolic (mmHg)]]+(Table1[[#This Row],[BP _Diastolic (mmHg)]]+Table1[[#This Row],[Follicle No. (L)]])/3</f>
        <v>107</v>
      </c>
      <c r="BG19" s="4" t="str" cm="1">
        <f t="array" ref="BG1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9" s="4">
        <f>SUM(Table1[[#This Row],[Pimples(Y/N)]],Table1[[#This Row],[hair growth(Y/N)]],Table1[[#This Row],[Skin darkening (Y/N)]],Table1[[#This Row],[Hair loss(Y/N)]])</f>
        <v>0</v>
      </c>
      <c r="BI19" s="4" t="str">
        <f>IF(AND(Table1[[#This Row],[Pregnant(Y/N)]]=0, Table1[[#This Row],[  I   beta-HCG(mIU/mL)]]&gt;5), "Investigation Required", "Clear")</f>
        <v>Clear</v>
      </c>
    </row>
    <row r="20" spans="1:61" ht="15.75" customHeight="1" x14ac:dyDescent="0.25">
      <c r="A20">
        <v>19</v>
      </c>
      <c r="B20">
        <v>19</v>
      </c>
      <c r="C20">
        <v>0</v>
      </c>
      <c r="D20" t="str">
        <f>IF(Table1[[#This Row],[PCOS (Y/N)]]=0,"NO","YES")</f>
        <v>NO</v>
      </c>
      <c r="E20">
        <v>31</v>
      </c>
      <c r="F20">
        <v>52.4</v>
      </c>
      <c r="G20">
        <v>159</v>
      </c>
      <c r="H20">
        <v>17</v>
      </c>
      <c r="I20">
        <v>72</v>
      </c>
      <c r="J20">
        <v>18</v>
      </c>
      <c r="K20">
        <v>12.7</v>
      </c>
      <c r="L20">
        <v>2</v>
      </c>
      <c r="M20">
        <v>5</v>
      </c>
      <c r="N20">
        <v>7</v>
      </c>
      <c r="O20">
        <v>0</v>
      </c>
      <c r="P20" t="str">
        <f>IF(Table1[[#This Row],[Pregnant(Y/N)]]=1,"YES","NO")</f>
        <v>NO</v>
      </c>
      <c r="Q20">
        <v>0</v>
      </c>
      <c r="R20">
        <v>1.99</v>
      </c>
      <c r="S20">
        <v>1.99</v>
      </c>
      <c r="T20">
        <v>6.05</v>
      </c>
      <c r="U20">
        <v>1.05</v>
      </c>
      <c r="V20">
        <f>Table1[[#This Row],[FSH(mIU/mL)]]/Table1[[#This Row],[LH(mIU/mL)]]</f>
        <v>5.7619047619047619</v>
      </c>
      <c r="W20" t="str">
        <f>IF(Table1[[#This Row],[FSH/LH]]&gt;=2,"Abnormal","Normal")</f>
        <v>Abnormal</v>
      </c>
      <c r="X20">
        <v>37</v>
      </c>
      <c r="Y20">
        <v>33</v>
      </c>
      <c r="Z20">
        <f>ROUND(Table1[[#This Row],[Waist(inch)]]/Table1[[#This Row],[Hip(inch)]],2)</f>
        <v>0.89</v>
      </c>
      <c r="AA20">
        <v>3.19</v>
      </c>
      <c r="AB20">
        <v>1</v>
      </c>
      <c r="AC20">
        <v>12.05</v>
      </c>
      <c r="AD20">
        <v>23.3</v>
      </c>
      <c r="AE20" t="str">
        <f>IF(Table1[[#This Row],[Vit D3 (ng/mL)]]&lt;20,"Deficiency","Normal")</f>
        <v>Normal</v>
      </c>
      <c r="AF20">
        <v>0.25</v>
      </c>
      <c r="AG20">
        <v>127</v>
      </c>
      <c r="AH20">
        <v>0</v>
      </c>
      <c r="AI20" t="str">
        <f>IF(Table1[[#This Row],[Weight gain(Y/N)]]=0,"NO","YES")</f>
        <v>NO</v>
      </c>
      <c r="AJ20">
        <v>0</v>
      </c>
      <c r="AK20" t="str">
        <f>IF(Table1[[#This Row],[hair growth(Y/N)]]=1,"YES","NO")</f>
        <v>NO</v>
      </c>
      <c r="AL20">
        <v>0</v>
      </c>
      <c r="AM20" t="str">
        <f>IF(Table1[[#This Row],[Skin darkening (Y/N)]]=1,"YES","NO")</f>
        <v>NO</v>
      </c>
      <c r="AN20">
        <v>0</v>
      </c>
      <c r="AO20" t="str">
        <f>IF(Table1[[#This Row],[Hair loss(Y/N)]]=1,"YES","NO")</f>
        <v>NO</v>
      </c>
      <c r="AP20">
        <v>0</v>
      </c>
      <c r="AQ20" t="str">
        <f>IF(Table1[[#This Row],[Pimples(Y/N)]]=1,"YES","NO")</f>
        <v>NO</v>
      </c>
      <c r="AR20">
        <v>0</v>
      </c>
      <c r="AS20" t="str">
        <f>IF(Table1[[#This Row],[Fast food (Y/N)]]=1,"YES","NO")</f>
        <v>NO</v>
      </c>
      <c r="AT20">
        <v>0</v>
      </c>
      <c r="AU20" t="str">
        <f>IF(Table1[[#This Row],[Reg.Exercise(Y/N)]]=1,"YES","NO")</f>
        <v>NO</v>
      </c>
      <c r="AV20">
        <v>120</v>
      </c>
      <c r="AW20">
        <v>80</v>
      </c>
      <c r="AX20">
        <v>0</v>
      </c>
      <c r="AY20">
        <v>2</v>
      </c>
      <c r="AZ20">
        <v>0</v>
      </c>
      <c r="BA20">
        <v>17</v>
      </c>
      <c r="BB20">
        <v>5.6</v>
      </c>
      <c r="BC20" t="str" cm="1">
        <f t="array" ref="BC20">_xlfn.IFS((F20/(G20*G20)*10000)&lt; 18.5,"Underweight",(F20/(G20*G20)*10000)&lt;24.9,"Normal",(F20/(G20*G20)*10000)&lt;29.9,"Overweight",(F20/(G20*G20)*10000)&gt;=30,"obesity")</f>
        <v>Normal</v>
      </c>
      <c r="BD20">
        <f>Table1[[#This Row],[Follicle No. (L)]]+Table1[[#This Row],[Follicle No. (R)]]</f>
        <v>2</v>
      </c>
      <c r="BE20">
        <f>Table1[[#This Row],[Avg. F size (L) (mm)]]+Table1[[#This Row],[Avg. F size (R) (mm)]]</f>
        <v>17</v>
      </c>
      <c r="BF20">
        <f>Table1[[#This Row],[BP _Diastolic (mmHg)]]+(Table1[[#This Row],[BP _Diastolic (mmHg)]]+Table1[[#This Row],[Follicle No. (L)]])/3</f>
        <v>106.66666666666667</v>
      </c>
      <c r="BG20" s="4" t="str" cm="1">
        <f t="array" ref="BG2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0" s="4">
        <f>SUM(Table1[[#This Row],[Pimples(Y/N)]],Table1[[#This Row],[hair growth(Y/N)]],Table1[[#This Row],[Skin darkening (Y/N)]],Table1[[#This Row],[Hair loss(Y/N)]])</f>
        <v>0</v>
      </c>
      <c r="BI20" s="4" t="str">
        <f>IF(AND(Table1[[#This Row],[Pregnant(Y/N)]]=0, Table1[[#This Row],[  I   beta-HCG(mIU/mL)]]&gt;5), "Investigation Required", "Clear")</f>
        <v>Clear</v>
      </c>
    </row>
    <row r="21" spans="1:61" ht="15.75" customHeight="1" x14ac:dyDescent="0.25">
      <c r="A21">
        <v>20</v>
      </c>
      <c r="B21">
        <v>20</v>
      </c>
      <c r="C21">
        <v>1</v>
      </c>
      <c r="D21" t="str">
        <f>IF(Table1[[#This Row],[PCOS (Y/N)]]=0,"NO","YES")</f>
        <v>YES</v>
      </c>
      <c r="E21">
        <v>30</v>
      </c>
      <c r="F21">
        <v>85</v>
      </c>
      <c r="G21">
        <v>165</v>
      </c>
      <c r="H21">
        <v>16</v>
      </c>
      <c r="I21">
        <v>72</v>
      </c>
      <c r="J21">
        <v>18</v>
      </c>
      <c r="K21">
        <v>12.5</v>
      </c>
      <c r="L21">
        <v>4</v>
      </c>
      <c r="M21">
        <v>7</v>
      </c>
      <c r="N21">
        <v>7</v>
      </c>
      <c r="O21">
        <v>0</v>
      </c>
      <c r="P21" t="str">
        <f>IF(Table1[[#This Row],[Pregnant(Y/N)]]=1,"YES","NO")</f>
        <v>NO</v>
      </c>
      <c r="Q21">
        <v>0</v>
      </c>
      <c r="R21">
        <v>23.58</v>
      </c>
      <c r="S21">
        <v>1.99</v>
      </c>
      <c r="T21">
        <v>1.89</v>
      </c>
      <c r="U21">
        <v>0.81</v>
      </c>
      <c r="V21">
        <f>Table1[[#This Row],[FSH(mIU/mL)]]/Table1[[#This Row],[LH(mIU/mL)]]</f>
        <v>2.333333333333333</v>
      </c>
      <c r="W21" t="str">
        <f>IF(Table1[[#This Row],[FSH/LH]]&gt;=2,"Abnormal","Normal")</f>
        <v>Abnormal</v>
      </c>
      <c r="X21">
        <v>44</v>
      </c>
      <c r="Y21">
        <v>42</v>
      </c>
      <c r="Z21">
        <f>ROUND(Table1[[#This Row],[Waist(inch)]]/Table1[[#This Row],[Hip(inch)]],2)</f>
        <v>0.95</v>
      </c>
      <c r="AA21">
        <v>2.87</v>
      </c>
      <c r="AB21">
        <v>2.0699999999999998</v>
      </c>
      <c r="AC21">
        <v>19.13</v>
      </c>
      <c r="AD21">
        <v>28</v>
      </c>
      <c r="AE21" t="str">
        <f>IF(Table1[[#This Row],[Vit D3 (ng/mL)]]&lt;20,"Deficiency","Normal")</f>
        <v>Normal</v>
      </c>
      <c r="AF21">
        <v>0.3</v>
      </c>
      <c r="AG21">
        <v>100</v>
      </c>
      <c r="AH21">
        <v>0</v>
      </c>
      <c r="AI21" t="str">
        <f>IF(Table1[[#This Row],[Weight gain(Y/N)]]=0,"NO","YES")</f>
        <v>NO</v>
      </c>
      <c r="AJ21">
        <v>1</v>
      </c>
      <c r="AK21" t="str">
        <f>IF(Table1[[#This Row],[hair growth(Y/N)]]=1,"YES","NO")</f>
        <v>YES</v>
      </c>
      <c r="AL21">
        <v>1</v>
      </c>
      <c r="AM21" t="str">
        <f>IF(Table1[[#This Row],[Skin darkening (Y/N)]]=1,"YES","NO")</f>
        <v>YES</v>
      </c>
      <c r="AN21">
        <v>1</v>
      </c>
      <c r="AO21" t="str">
        <f>IF(Table1[[#This Row],[Hair loss(Y/N)]]=1,"YES","NO")</f>
        <v>YES</v>
      </c>
      <c r="AP21">
        <v>1</v>
      </c>
      <c r="AQ21" t="str">
        <f>IF(Table1[[#This Row],[Pimples(Y/N)]]=1,"YES","NO")</f>
        <v>YES</v>
      </c>
      <c r="AR21">
        <v>1</v>
      </c>
      <c r="AS21" t="str">
        <f>IF(Table1[[#This Row],[Fast food (Y/N)]]=1,"YES","NO")</f>
        <v>YES</v>
      </c>
      <c r="AT21">
        <v>0</v>
      </c>
      <c r="AU21" t="str">
        <f>IF(Table1[[#This Row],[Reg.Exercise(Y/N)]]=1,"YES","NO")</f>
        <v>NO</v>
      </c>
      <c r="AV21">
        <v>120</v>
      </c>
      <c r="AW21">
        <v>80</v>
      </c>
      <c r="AX21">
        <v>16</v>
      </c>
      <c r="AY21">
        <v>8</v>
      </c>
      <c r="AZ21">
        <v>18</v>
      </c>
      <c r="BA21">
        <v>17</v>
      </c>
      <c r="BB21">
        <v>11</v>
      </c>
      <c r="BC21" t="str" cm="1">
        <f t="array" ref="BC21">_xlfn.IFS((F21/(G21*G21)*10000)&lt; 18.5,"Underweight",(F21/(G21*G21)*10000)&lt;24.9,"Normal",(F21/(G21*G21)*10000)&lt;29.9,"Overweight",(F21/(G21*G21)*10000)&gt;=30,"obesity")</f>
        <v>obesity</v>
      </c>
      <c r="BD21">
        <f>Table1[[#This Row],[Follicle No. (L)]]+Table1[[#This Row],[Follicle No. (R)]]</f>
        <v>24</v>
      </c>
      <c r="BE21">
        <f>Table1[[#This Row],[Avg. F size (L) (mm)]]+Table1[[#This Row],[Avg. F size (R) (mm)]]</f>
        <v>35</v>
      </c>
      <c r="BF21">
        <f>Table1[[#This Row],[BP _Diastolic (mmHg)]]+(Table1[[#This Row],[BP _Diastolic (mmHg)]]+Table1[[#This Row],[Follicle No. (L)]])/3</f>
        <v>112</v>
      </c>
      <c r="BG21" s="4" t="str" cm="1">
        <f t="array" ref="BG2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1" s="4">
        <f>SUM(Table1[[#This Row],[Pimples(Y/N)]],Table1[[#This Row],[hair growth(Y/N)]],Table1[[#This Row],[Skin darkening (Y/N)]],Table1[[#This Row],[Hair loss(Y/N)]])</f>
        <v>4</v>
      </c>
      <c r="BI21" s="4" t="str">
        <f>IF(AND(Table1[[#This Row],[Pregnant(Y/N)]]=0, Table1[[#This Row],[  I   beta-HCG(mIU/mL)]]&gt;5), "Investigation Required", "Clear")</f>
        <v>Investigation Required</v>
      </c>
    </row>
    <row r="22" spans="1:61" ht="15.75" customHeight="1" x14ac:dyDescent="0.25">
      <c r="A22">
        <v>21</v>
      </c>
      <c r="B22">
        <v>21</v>
      </c>
      <c r="C22">
        <v>0</v>
      </c>
      <c r="D22" t="str">
        <f>IF(Table1[[#This Row],[PCOS (Y/N)]]=0,"NO","YES")</f>
        <v>NO</v>
      </c>
      <c r="E22">
        <v>25</v>
      </c>
      <c r="F22">
        <v>64</v>
      </c>
      <c r="G22">
        <v>156</v>
      </c>
      <c r="H22">
        <v>11</v>
      </c>
      <c r="I22">
        <v>70</v>
      </c>
      <c r="J22">
        <v>18</v>
      </c>
      <c r="K22">
        <v>11.2</v>
      </c>
      <c r="L22">
        <v>2</v>
      </c>
      <c r="M22">
        <v>6</v>
      </c>
      <c r="N22">
        <v>6</v>
      </c>
      <c r="O22">
        <v>0</v>
      </c>
      <c r="P22" t="str">
        <f>IF(Table1[[#This Row],[Pregnant(Y/N)]]=1,"YES","NO")</f>
        <v>NO</v>
      </c>
      <c r="Q22">
        <v>0</v>
      </c>
      <c r="R22">
        <v>1.99</v>
      </c>
      <c r="S22">
        <v>1.99</v>
      </c>
      <c r="T22">
        <v>2.82</v>
      </c>
      <c r="U22">
        <v>1.3</v>
      </c>
      <c r="V22">
        <f>Table1[[#This Row],[FSH(mIU/mL)]]/Table1[[#This Row],[LH(mIU/mL)]]</f>
        <v>2.1692307692307691</v>
      </c>
      <c r="W22" t="str">
        <f>IF(Table1[[#This Row],[FSH/LH]]&gt;=2,"Abnormal","Normal")</f>
        <v>Abnormal</v>
      </c>
      <c r="X22">
        <v>39</v>
      </c>
      <c r="Y22">
        <v>34</v>
      </c>
      <c r="Z22">
        <f>ROUND(Table1[[#This Row],[Waist(inch)]]/Table1[[#This Row],[Hip(inch)]],2)</f>
        <v>0.87</v>
      </c>
      <c r="AA22">
        <v>1.86</v>
      </c>
      <c r="AB22">
        <v>2.85</v>
      </c>
      <c r="AC22">
        <v>33.619999999999997</v>
      </c>
      <c r="AD22">
        <v>17.100000000000001</v>
      </c>
      <c r="AE22" t="str">
        <f>IF(Table1[[#This Row],[Vit D3 (ng/mL)]]&lt;20,"Deficiency","Normal")</f>
        <v>Deficiency</v>
      </c>
      <c r="AF22">
        <v>0.4</v>
      </c>
      <c r="AG22">
        <v>91</v>
      </c>
      <c r="AH22">
        <v>0</v>
      </c>
      <c r="AI22" t="str">
        <f>IF(Table1[[#This Row],[Weight gain(Y/N)]]=0,"NO","YES")</f>
        <v>NO</v>
      </c>
      <c r="AJ22">
        <v>0</v>
      </c>
      <c r="AK22" t="str">
        <f>IF(Table1[[#This Row],[hair growth(Y/N)]]=1,"YES","NO")</f>
        <v>NO</v>
      </c>
      <c r="AL22">
        <v>0</v>
      </c>
      <c r="AM22" t="str">
        <f>IF(Table1[[#This Row],[Skin darkening (Y/N)]]=1,"YES","NO")</f>
        <v>NO</v>
      </c>
      <c r="AN22">
        <v>0</v>
      </c>
      <c r="AO22" t="str">
        <f>IF(Table1[[#This Row],[Hair loss(Y/N)]]=1,"YES","NO")</f>
        <v>NO</v>
      </c>
      <c r="AP22">
        <v>0</v>
      </c>
      <c r="AQ22" t="str">
        <f>IF(Table1[[#This Row],[Pimples(Y/N)]]=1,"YES","NO")</f>
        <v>NO</v>
      </c>
      <c r="AR22">
        <v>0</v>
      </c>
      <c r="AS22" t="str">
        <f>IF(Table1[[#This Row],[Fast food (Y/N)]]=1,"YES","NO")</f>
        <v>NO</v>
      </c>
      <c r="AT22">
        <v>0</v>
      </c>
      <c r="AU22" t="str">
        <f>IF(Table1[[#This Row],[Reg.Exercise(Y/N)]]=1,"YES","NO")</f>
        <v>NO</v>
      </c>
      <c r="AV22">
        <v>110</v>
      </c>
      <c r="AW22">
        <v>80</v>
      </c>
      <c r="AX22">
        <v>1</v>
      </c>
      <c r="AY22">
        <v>2</v>
      </c>
      <c r="AZ22">
        <v>18</v>
      </c>
      <c r="BA22">
        <v>19</v>
      </c>
      <c r="BB22">
        <v>5.7</v>
      </c>
      <c r="BC22" t="str" cm="1">
        <f t="array" ref="BC22">_xlfn.IFS((F22/(G22*G22)*10000)&lt; 18.5,"Underweight",(F22/(G22*G22)*10000)&lt;24.9,"Normal",(F22/(G22*G22)*10000)&lt;29.9,"Overweight",(F22/(G22*G22)*10000)&gt;=30,"obesity")</f>
        <v>Overweight</v>
      </c>
      <c r="BD22">
        <f>Table1[[#This Row],[Follicle No. (L)]]+Table1[[#This Row],[Follicle No. (R)]]</f>
        <v>3</v>
      </c>
      <c r="BE22">
        <f>Table1[[#This Row],[Avg. F size (L) (mm)]]+Table1[[#This Row],[Avg. F size (R) (mm)]]</f>
        <v>37</v>
      </c>
      <c r="BF22">
        <f>Table1[[#This Row],[BP _Diastolic (mmHg)]]+(Table1[[#This Row],[BP _Diastolic (mmHg)]]+Table1[[#This Row],[Follicle No. (L)]])/3</f>
        <v>107</v>
      </c>
      <c r="BG22" s="4" t="str" cm="1">
        <f t="array" ref="BG2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2" s="4">
        <f>SUM(Table1[[#This Row],[Pimples(Y/N)]],Table1[[#This Row],[hair growth(Y/N)]],Table1[[#This Row],[Skin darkening (Y/N)]],Table1[[#This Row],[Hair loss(Y/N)]])</f>
        <v>0</v>
      </c>
      <c r="BI22" s="4" t="str">
        <f>IF(AND(Table1[[#This Row],[Pregnant(Y/N)]]=0, Table1[[#This Row],[  I   beta-HCG(mIU/mL)]]&gt;5), "Investigation Required", "Clear")</f>
        <v>Clear</v>
      </c>
    </row>
    <row r="23" spans="1:61" ht="15.75" customHeight="1" x14ac:dyDescent="0.25">
      <c r="A23">
        <v>22</v>
      </c>
      <c r="B23">
        <v>22</v>
      </c>
      <c r="C23">
        <v>0</v>
      </c>
      <c r="D23" t="str">
        <f>IF(Table1[[#This Row],[PCOS (Y/N)]]=0,"NO","YES")</f>
        <v>NO</v>
      </c>
      <c r="E23">
        <v>38</v>
      </c>
      <c r="F23">
        <v>50</v>
      </c>
      <c r="G23">
        <v>156</v>
      </c>
      <c r="H23">
        <v>15</v>
      </c>
      <c r="I23">
        <v>72</v>
      </c>
      <c r="J23">
        <v>18</v>
      </c>
      <c r="K23">
        <v>11</v>
      </c>
      <c r="L23">
        <v>4</v>
      </c>
      <c r="M23">
        <v>9</v>
      </c>
      <c r="N23">
        <v>12</v>
      </c>
      <c r="O23">
        <v>1</v>
      </c>
      <c r="P23" t="str">
        <f>IF(Table1[[#This Row],[Pregnant(Y/N)]]=1,"YES","NO")</f>
        <v>YES</v>
      </c>
      <c r="Q23">
        <v>0</v>
      </c>
      <c r="R23">
        <v>749.98</v>
      </c>
      <c r="S23">
        <v>749.98</v>
      </c>
      <c r="T23">
        <v>3.18</v>
      </c>
      <c r="U23">
        <v>2.1800000000000002</v>
      </c>
      <c r="V23">
        <f>Table1[[#This Row],[FSH(mIU/mL)]]/Table1[[#This Row],[LH(mIU/mL)]]</f>
        <v>1.4587155963302751</v>
      </c>
      <c r="W23" t="str">
        <f>IF(Table1[[#This Row],[FSH/LH]]&gt;=2,"Abnormal","Normal")</f>
        <v>Normal</v>
      </c>
      <c r="X23">
        <v>36</v>
      </c>
      <c r="Y23">
        <v>29</v>
      </c>
      <c r="Z23">
        <f>ROUND(Table1[[#This Row],[Waist(inch)]]/Table1[[#This Row],[Hip(inch)]],2)</f>
        <v>0.81</v>
      </c>
      <c r="AA23">
        <v>5.71</v>
      </c>
      <c r="AB23">
        <v>2.13</v>
      </c>
      <c r="AC23">
        <v>40.74</v>
      </c>
      <c r="AD23">
        <v>18.899999999999999</v>
      </c>
      <c r="AE23" t="str">
        <f>IF(Table1[[#This Row],[Vit D3 (ng/mL)]]&lt;20,"Deficiency","Normal")</f>
        <v>Deficiency</v>
      </c>
      <c r="AF23">
        <v>0.3</v>
      </c>
      <c r="AG23">
        <v>84</v>
      </c>
      <c r="AH23">
        <v>0</v>
      </c>
      <c r="AI23" t="str">
        <f>IF(Table1[[#This Row],[Weight gain(Y/N)]]=0,"NO","YES")</f>
        <v>NO</v>
      </c>
      <c r="AJ23">
        <v>0</v>
      </c>
      <c r="AK23" t="str">
        <f>IF(Table1[[#This Row],[hair growth(Y/N)]]=1,"YES","NO")</f>
        <v>NO</v>
      </c>
      <c r="AL23">
        <v>0</v>
      </c>
      <c r="AM23" t="str">
        <f>IF(Table1[[#This Row],[Skin darkening (Y/N)]]=1,"YES","NO")</f>
        <v>NO</v>
      </c>
      <c r="AN23">
        <v>0</v>
      </c>
      <c r="AO23" t="str">
        <f>IF(Table1[[#This Row],[Hair loss(Y/N)]]=1,"YES","NO")</f>
        <v>NO</v>
      </c>
      <c r="AP23">
        <v>0</v>
      </c>
      <c r="AQ23" t="str">
        <f>IF(Table1[[#This Row],[Pimples(Y/N)]]=1,"YES","NO")</f>
        <v>NO</v>
      </c>
      <c r="AR23">
        <v>0</v>
      </c>
      <c r="AS23" t="str">
        <f>IF(Table1[[#This Row],[Fast food (Y/N)]]=1,"YES","NO")</f>
        <v>NO</v>
      </c>
      <c r="AT23">
        <v>0</v>
      </c>
      <c r="AU23" t="str">
        <f>IF(Table1[[#This Row],[Reg.Exercise(Y/N)]]=1,"YES","NO")</f>
        <v>NO</v>
      </c>
      <c r="AV23">
        <v>120</v>
      </c>
      <c r="AW23">
        <v>80</v>
      </c>
      <c r="AX23">
        <v>4</v>
      </c>
      <c r="AY23">
        <v>2</v>
      </c>
      <c r="AZ23">
        <v>17</v>
      </c>
      <c r="BA23">
        <v>17</v>
      </c>
      <c r="BB23">
        <v>7.6</v>
      </c>
      <c r="BC23" t="str" cm="1">
        <f t="array" ref="BC23">_xlfn.IFS((F23/(G23*G23)*10000)&lt; 18.5,"Underweight",(F23/(G23*G23)*10000)&lt;24.9,"Normal",(F23/(G23*G23)*10000)&lt;29.9,"Overweight",(F23/(G23*G23)*10000)&gt;=30,"obesity")</f>
        <v>Normal</v>
      </c>
      <c r="BD23">
        <f>Table1[[#This Row],[Follicle No. (L)]]+Table1[[#This Row],[Follicle No. (R)]]</f>
        <v>6</v>
      </c>
      <c r="BE23">
        <f>Table1[[#This Row],[Avg. F size (L) (mm)]]+Table1[[#This Row],[Avg. F size (R) (mm)]]</f>
        <v>34</v>
      </c>
      <c r="BF23">
        <f>Table1[[#This Row],[BP _Diastolic (mmHg)]]+(Table1[[#This Row],[BP _Diastolic (mmHg)]]+Table1[[#This Row],[Follicle No. (L)]])/3</f>
        <v>108</v>
      </c>
      <c r="BG23" s="4" t="str" cm="1">
        <f t="array" ref="BG2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3" s="4">
        <f>SUM(Table1[[#This Row],[Pimples(Y/N)]],Table1[[#This Row],[hair growth(Y/N)]],Table1[[#This Row],[Skin darkening (Y/N)]],Table1[[#This Row],[Hair loss(Y/N)]])</f>
        <v>0</v>
      </c>
      <c r="BI23" s="4" t="str">
        <f>IF(AND(Table1[[#This Row],[Pregnant(Y/N)]]=0, Table1[[#This Row],[  I   beta-HCG(mIU/mL)]]&gt;5), "Investigation Required", "Clear")</f>
        <v>Clear</v>
      </c>
    </row>
    <row r="24" spans="1:61" ht="15.75" customHeight="1" x14ac:dyDescent="0.25">
      <c r="A24">
        <v>23</v>
      </c>
      <c r="B24">
        <v>23</v>
      </c>
      <c r="C24">
        <v>0</v>
      </c>
      <c r="D24" t="str">
        <f>IF(Table1[[#This Row],[PCOS (Y/N)]]=0,"NO","YES")</f>
        <v>NO</v>
      </c>
      <c r="E24">
        <v>34</v>
      </c>
      <c r="F24">
        <v>64.2</v>
      </c>
      <c r="G24">
        <v>155</v>
      </c>
      <c r="H24">
        <v>15</v>
      </c>
      <c r="I24">
        <v>74</v>
      </c>
      <c r="J24">
        <v>20</v>
      </c>
      <c r="K24">
        <v>12.1</v>
      </c>
      <c r="L24">
        <v>2</v>
      </c>
      <c r="M24">
        <v>5</v>
      </c>
      <c r="N24">
        <v>10</v>
      </c>
      <c r="O24">
        <v>1</v>
      </c>
      <c r="P24" t="str">
        <f>IF(Table1[[#This Row],[Pregnant(Y/N)]]=1,"YES","NO")</f>
        <v>YES</v>
      </c>
      <c r="Q24">
        <v>0</v>
      </c>
      <c r="R24">
        <v>218.65</v>
      </c>
      <c r="S24">
        <v>218.65</v>
      </c>
      <c r="T24">
        <v>4.08</v>
      </c>
      <c r="U24">
        <v>2.2999999999999998</v>
      </c>
      <c r="V24">
        <f>Table1[[#This Row],[FSH(mIU/mL)]]/Table1[[#This Row],[LH(mIU/mL)]]</f>
        <v>1.7739130434782611</v>
      </c>
      <c r="W24" t="str">
        <f>IF(Table1[[#This Row],[FSH/LH]]&gt;=2,"Abnormal","Normal")</f>
        <v>Normal</v>
      </c>
      <c r="X24">
        <v>36</v>
      </c>
      <c r="Y24">
        <v>32</v>
      </c>
      <c r="Z24">
        <f>ROUND(Table1[[#This Row],[Waist(inch)]]/Table1[[#This Row],[Hip(inch)]],2)</f>
        <v>0.89</v>
      </c>
      <c r="AA24">
        <v>1.25</v>
      </c>
      <c r="AB24">
        <v>4.13</v>
      </c>
      <c r="AC24">
        <v>13.38</v>
      </c>
      <c r="AD24">
        <v>28.6</v>
      </c>
      <c r="AE24" t="str">
        <f>IF(Table1[[#This Row],[Vit D3 (ng/mL)]]&lt;20,"Deficiency","Normal")</f>
        <v>Normal</v>
      </c>
      <c r="AF24">
        <v>0.26</v>
      </c>
      <c r="AG24">
        <v>116</v>
      </c>
      <c r="AH24">
        <v>0</v>
      </c>
      <c r="AI24" t="str">
        <f>IF(Table1[[#This Row],[Weight gain(Y/N)]]=0,"NO","YES")</f>
        <v>NO</v>
      </c>
      <c r="AJ24">
        <v>0</v>
      </c>
      <c r="AK24" t="str">
        <f>IF(Table1[[#This Row],[hair growth(Y/N)]]=1,"YES","NO")</f>
        <v>NO</v>
      </c>
      <c r="AL24">
        <v>0</v>
      </c>
      <c r="AM24" t="str">
        <f>IF(Table1[[#This Row],[Skin darkening (Y/N)]]=1,"YES","NO")</f>
        <v>NO</v>
      </c>
      <c r="AN24">
        <v>0</v>
      </c>
      <c r="AO24" t="str">
        <f>IF(Table1[[#This Row],[Hair loss(Y/N)]]=1,"YES","NO")</f>
        <v>NO</v>
      </c>
      <c r="AP24">
        <v>0</v>
      </c>
      <c r="AQ24" t="str">
        <f>IF(Table1[[#This Row],[Pimples(Y/N)]]=1,"YES","NO")</f>
        <v>NO</v>
      </c>
      <c r="AR24">
        <v>0</v>
      </c>
      <c r="AS24" t="str">
        <f>IF(Table1[[#This Row],[Fast food (Y/N)]]=1,"YES","NO")</f>
        <v>NO</v>
      </c>
      <c r="AT24">
        <v>0</v>
      </c>
      <c r="AU24" t="str">
        <f>IF(Table1[[#This Row],[Reg.Exercise(Y/N)]]=1,"YES","NO")</f>
        <v>NO</v>
      </c>
      <c r="AV24">
        <v>110</v>
      </c>
      <c r="AW24">
        <v>70</v>
      </c>
      <c r="AX24">
        <v>5</v>
      </c>
      <c r="AY24">
        <v>7</v>
      </c>
      <c r="AZ24">
        <v>16</v>
      </c>
      <c r="BA24">
        <v>17</v>
      </c>
      <c r="BB24">
        <v>7.6</v>
      </c>
      <c r="BC24" t="str" cm="1">
        <f t="array" ref="BC24">_xlfn.IFS((F24/(G24*G24)*10000)&lt; 18.5,"Underweight",(F24/(G24*G24)*10000)&lt;24.9,"Normal",(F24/(G24*G24)*10000)&lt;29.9,"Overweight",(F24/(G24*G24)*10000)&gt;=30,"obesity")</f>
        <v>Overweight</v>
      </c>
      <c r="BD24">
        <f>Table1[[#This Row],[Follicle No. (L)]]+Table1[[#This Row],[Follicle No. (R)]]</f>
        <v>12</v>
      </c>
      <c r="BE24">
        <f>Table1[[#This Row],[Avg. F size (L) (mm)]]+Table1[[#This Row],[Avg. F size (R) (mm)]]</f>
        <v>33</v>
      </c>
      <c r="BF24">
        <f>Table1[[#This Row],[BP _Diastolic (mmHg)]]+(Table1[[#This Row],[BP _Diastolic (mmHg)]]+Table1[[#This Row],[Follicle No. (L)]])/3</f>
        <v>95</v>
      </c>
      <c r="BG24" s="4" t="str" cm="1">
        <f t="array" ref="BG2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" s="4">
        <f>SUM(Table1[[#This Row],[Pimples(Y/N)]],Table1[[#This Row],[hair growth(Y/N)]],Table1[[#This Row],[Skin darkening (Y/N)]],Table1[[#This Row],[Hair loss(Y/N)]])</f>
        <v>0</v>
      </c>
      <c r="BI24" s="4" t="str">
        <f>IF(AND(Table1[[#This Row],[Pregnant(Y/N)]]=0, Table1[[#This Row],[  I   beta-HCG(mIU/mL)]]&gt;5), "Investigation Required", "Clear")</f>
        <v>Clear</v>
      </c>
    </row>
    <row r="25" spans="1:61" ht="15.75" customHeight="1" x14ac:dyDescent="0.25">
      <c r="A25">
        <v>24</v>
      </c>
      <c r="B25">
        <v>24</v>
      </c>
      <c r="C25">
        <v>0</v>
      </c>
      <c r="D25" t="str">
        <f>IF(Table1[[#This Row],[PCOS (Y/N)]]=0,"NO","YES")</f>
        <v>NO</v>
      </c>
      <c r="E25">
        <v>28</v>
      </c>
      <c r="F25">
        <v>65</v>
      </c>
      <c r="G25">
        <v>152</v>
      </c>
      <c r="H25">
        <v>13</v>
      </c>
      <c r="I25">
        <v>74</v>
      </c>
      <c r="J25">
        <v>22</v>
      </c>
      <c r="K25">
        <v>10.5</v>
      </c>
      <c r="L25">
        <v>2</v>
      </c>
      <c r="M25">
        <v>5</v>
      </c>
      <c r="N25">
        <v>5</v>
      </c>
      <c r="O25">
        <v>1</v>
      </c>
      <c r="P25" t="str">
        <f>IF(Table1[[#This Row],[Pregnant(Y/N)]]=1,"YES","NO")</f>
        <v>YES</v>
      </c>
      <c r="Q25">
        <v>0</v>
      </c>
      <c r="R25">
        <v>13</v>
      </c>
      <c r="S25">
        <v>13</v>
      </c>
      <c r="T25">
        <v>6.41</v>
      </c>
      <c r="U25">
        <v>1.69</v>
      </c>
      <c r="V25">
        <f>Table1[[#This Row],[FSH(mIU/mL)]]/Table1[[#This Row],[LH(mIU/mL)]]</f>
        <v>3.7928994082840237</v>
      </c>
      <c r="W25" t="str">
        <f>IF(Table1[[#This Row],[FSH/LH]]&gt;=2,"Abnormal","Normal")</f>
        <v>Abnormal</v>
      </c>
      <c r="X25">
        <v>37</v>
      </c>
      <c r="Y25">
        <v>33</v>
      </c>
      <c r="Z25">
        <f>ROUND(Table1[[#This Row],[Waist(inch)]]/Table1[[#This Row],[Hip(inch)]],2)</f>
        <v>0.89</v>
      </c>
      <c r="AA25">
        <v>0.45</v>
      </c>
      <c r="AB25">
        <v>2.5</v>
      </c>
      <c r="AC25">
        <v>17.88</v>
      </c>
      <c r="AD25">
        <v>30.54</v>
      </c>
      <c r="AE25" t="str">
        <f>IF(Table1[[#This Row],[Vit D3 (ng/mL)]]&lt;20,"Deficiency","Normal")</f>
        <v>Normal</v>
      </c>
      <c r="AF25">
        <v>0.73</v>
      </c>
      <c r="AG25">
        <v>92</v>
      </c>
      <c r="AH25">
        <v>0</v>
      </c>
      <c r="AI25" t="str">
        <f>IF(Table1[[#This Row],[Weight gain(Y/N)]]=0,"NO","YES")</f>
        <v>NO</v>
      </c>
      <c r="AJ25">
        <v>0</v>
      </c>
      <c r="AK25" t="str">
        <f>IF(Table1[[#This Row],[hair growth(Y/N)]]=1,"YES","NO")</f>
        <v>NO</v>
      </c>
      <c r="AL25">
        <v>0</v>
      </c>
      <c r="AM25" t="str">
        <f>IF(Table1[[#This Row],[Skin darkening (Y/N)]]=1,"YES","NO")</f>
        <v>NO</v>
      </c>
      <c r="AN25">
        <v>0</v>
      </c>
      <c r="AO25" t="str">
        <f>IF(Table1[[#This Row],[Hair loss(Y/N)]]=1,"YES","NO")</f>
        <v>NO</v>
      </c>
      <c r="AP25">
        <v>1</v>
      </c>
      <c r="AQ25" t="str">
        <f>IF(Table1[[#This Row],[Pimples(Y/N)]]=1,"YES","NO")</f>
        <v>YES</v>
      </c>
      <c r="AR25">
        <v>0</v>
      </c>
      <c r="AS25" t="str">
        <f>IF(Table1[[#This Row],[Fast food (Y/N)]]=1,"YES","NO")</f>
        <v>NO</v>
      </c>
      <c r="AT25">
        <v>0</v>
      </c>
      <c r="AU25" t="str">
        <f>IF(Table1[[#This Row],[Reg.Exercise(Y/N)]]=1,"YES","NO")</f>
        <v>NO</v>
      </c>
      <c r="AV25">
        <v>110</v>
      </c>
      <c r="AW25">
        <v>80</v>
      </c>
      <c r="AX25">
        <v>6</v>
      </c>
      <c r="AY25">
        <v>8</v>
      </c>
      <c r="AZ25">
        <v>14</v>
      </c>
      <c r="BA25">
        <v>18</v>
      </c>
      <c r="BB25">
        <v>8.5</v>
      </c>
      <c r="BC25" t="str" cm="1">
        <f t="array" ref="BC25">_xlfn.IFS((F25/(G25*G25)*10000)&lt; 18.5,"Underweight",(F25/(G25*G25)*10000)&lt;24.9,"Normal",(F25/(G25*G25)*10000)&lt;29.9,"Overweight",(F25/(G25*G25)*10000)&gt;=30,"obesity")</f>
        <v>Overweight</v>
      </c>
      <c r="BD25">
        <f>Table1[[#This Row],[Follicle No. (L)]]+Table1[[#This Row],[Follicle No. (R)]]</f>
        <v>14</v>
      </c>
      <c r="BE25">
        <f>Table1[[#This Row],[Avg. F size (L) (mm)]]+Table1[[#This Row],[Avg. F size (R) (mm)]]</f>
        <v>32</v>
      </c>
      <c r="BF25">
        <f>Table1[[#This Row],[BP _Diastolic (mmHg)]]+(Table1[[#This Row],[BP _Diastolic (mmHg)]]+Table1[[#This Row],[Follicle No. (L)]])/3</f>
        <v>108.66666666666667</v>
      </c>
      <c r="BG25" s="4" t="str" cm="1">
        <f t="array" ref="BG2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5" s="4">
        <f>SUM(Table1[[#This Row],[Pimples(Y/N)]],Table1[[#This Row],[hair growth(Y/N)]],Table1[[#This Row],[Skin darkening (Y/N)]],Table1[[#This Row],[Hair loss(Y/N)]])</f>
        <v>1</v>
      </c>
      <c r="BI25" s="4" t="str">
        <f>IF(AND(Table1[[#This Row],[Pregnant(Y/N)]]=0, Table1[[#This Row],[  I   beta-HCG(mIU/mL)]]&gt;5), "Investigation Required", "Clear")</f>
        <v>Clear</v>
      </c>
    </row>
    <row r="26" spans="1:61" ht="15.75" customHeight="1" x14ac:dyDescent="0.25">
      <c r="A26">
        <v>25</v>
      </c>
      <c r="B26">
        <v>25</v>
      </c>
      <c r="C26">
        <v>1</v>
      </c>
      <c r="D26" t="str">
        <f>IF(Table1[[#This Row],[PCOS (Y/N)]]=0,"NO","YES")</f>
        <v>YES</v>
      </c>
      <c r="E26">
        <v>34</v>
      </c>
      <c r="F26">
        <v>63</v>
      </c>
      <c r="G26">
        <v>158</v>
      </c>
      <c r="H26">
        <v>11</v>
      </c>
      <c r="I26">
        <v>72</v>
      </c>
      <c r="J26">
        <v>20</v>
      </c>
      <c r="K26">
        <v>11.2</v>
      </c>
      <c r="L26">
        <v>2</v>
      </c>
      <c r="M26">
        <v>5</v>
      </c>
      <c r="N26">
        <v>12</v>
      </c>
      <c r="O26">
        <v>1</v>
      </c>
      <c r="P26" t="str">
        <f>IF(Table1[[#This Row],[Pregnant(Y/N)]]=1,"YES","NO")</f>
        <v>YES</v>
      </c>
      <c r="Q26">
        <v>0</v>
      </c>
      <c r="R26">
        <v>610.63</v>
      </c>
      <c r="S26">
        <v>610.63</v>
      </c>
      <c r="T26">
        <v>5.34</v>
      </c>
      <c r="U26">
        <v>0.89</v>
      </c>
      <c r="V26">
        <f>Table1[[#This Row],[FSH(mIU/mL)]]/Table1[[#This Row],[LH(mIU/mL)]]</f>
        <v>6</v>
      </c>
      <c r="W26" t="str">
        <f>IF(Table1[[#This Row],[FSH/LH]]&gt;=2,"Abnormal","Normal")</f>
        <v>Abnormal</v>
      </c>
      <c r="X26">
        <v>38</v>
      </c>
      <c r="Y26">
        <v>32</v>
      </c>
      <c r="Z26">
        <f>ROUND(Table1[[#This Row],[Waist(inch)]]/Table1[[#This Row],[Hip(inch)]],2)</f>
        <v>0.84</v>
      </c>
      <c r="AA26">
        <v>0.65</v>
      </c>
      <c r="AB26">
        <v>1.89</v>
      </c>
      <c r="AC26">
        <v>11.46</v>
      </c>
      <c r="AD26">
        <v>21.5</v>
      </c>
      <c r="AE26" t="str">
        <f>IF(Table1[[#This Row],[Vit D3 (ng/mL)]]&lt;20,"Deficiency","Normal")</f>
        <v>Normal</v>
      </c>
      <c r="AF26">
        <v>0.98</v>
      </c>
      <c r="AG26">
        <v>100</v>
      </c>
      <c r="AH26">
        <v>0</v>
      </c>
      <c r="AI26" t="str">
        <f>IF(Table1[[#This Row],[Weight gain(Y/N)]]=0,"NO","YES")</f>
        <v>NO</v>
      </c>
      <c r="AJ26">
        <v>1</v>
      </c>
      <c r="AK26" t="str">
        <f>IF(Table1[[#This Row],[hair growth(Y/N)]]=1,"YES","NO")</f>
        <v>YES</v>
      </c>
      <c r="AL26">
        <v>0</v>
      </c>
      <c r="AM26" t="str">
        <f>IF(Table1[[#This Row],[Skin darkening (Y/N)]]=1,"YES","NO")</f>
        <v>NO</v>
      </c>
      <c r="AN26">
        <v>0</v>
      </c>
      <c r="AO26" t="str">
        <f>IF(Table1[[#This Row],[Hair loss(Y/N)]]=1,"YES","NO")</f>
        <v>NO</v>
      </c>
      <c r="AP26">
        <v>1</v>
      </c>
      <c r="AQ26" t="str">
        <f>IF(Table1[[#This Row],[Pimples(Y/N)]]=1,"YES","NO")</f>
        <v>YES</v>
      </c>
      <c r="AR26">
        <v>1</v>
      </c>
      <c r="AS26" t="str">
        <f>IF(Table1[[#This Row],[Fast food (Y/N)]]=1,"YES","NO")</f>
        <v>YES</v>
      </c>
      <c r="AT26">
        <v>0</v>
      </c>
      <c r="AU26" t="str">
        <f>IF(Table1[[#This Row],[Reg.Exercise(Y/N)]]=1,"YES","NO")</f>
        <v>NO</v>
      </c>
      <c r="AV26">
        <v>120</v>
      </c>
      <c r="AW26">
        <v>70</v>
      </c>
      <c r="AX26">
        <v>4</v>
      </c>
      <c r="AY26">
        <v>6</v>
      </c>
      <c r="AZ26">
        <v>18</v>
      </c>
      <c r="BA26">
        <v>17</v>
      </c>
      <c r="BB26">
        <v>7.3</v>
      </c>
      <c r="BC26" t="str" cm="1">
        <f t="array" ref="BC26">_xlfn.IFS((F26/(G26*G26)*10000)&lt; 18.5,"Underweight",(F26/(G26*G26)*10000)&lt;24.9,"Normal",(F26/(G26*G26)*10000)&lt;29.9,"Overweight",(F26/(G26*G26)*10000)&gt;=30,"obesity")</f>
        <v>Overweight</v>
      </c>
      <c r="BD26">
        <f>Table1[[#This Row],[Follicle No. (L)]]+Table1[[#This Row],[Follicle No. (R)]]</f>
        <v>10</v>
      </c>
      <c r="BE26">
        <f>Table1[[#This Row],[Avg. F size (L) (mm)]]+Table1[[#This Row],[Avg. F size (R) (mm)]]</f>
        <v>35</v>
      </c>
      <c r="BF26">
        <f>Table1[[#This Row],[BP _Diastolic (mmHg)]]+(Table1[[#This Row],[BP _Diastolic (mmHg)]]+Table1[[#This Row],[Follicle No. (L)]])/3</f>
        <v>94.666666666666671</v>
      </c>
      <c r="BG26" s="4" t="str" cm="1">
        <f t="array" ref="BG2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6" s="4">
        <f>SUM(Table1[[#This Row],[Pimples(Y/N)]],Table1[[#This Row],[hair growth(Y/N)]],Table1[[#This Row],[Skin darkening (Y/N)]],Table1[[#This Row],[Hair loss(Y/N)]])</f>
        <v>2</v>
      </c>
      <c r="BI26" s="4" t="str">
        <f>IF(AND(Table1[[#This Row],[Pregnant(Y/N)]]=0, Table1[[#This Row],[  I   beta-HCG(mIU/mL)]]&gt;5), "Investigation Required", "Clear")</f>
        <v>Clear</v>
      </c>
    </row>
    <row r="27" spans="1:61" ht="15.75" customHeight="1" x14ac:dyDescent="0.25">
      <c r="A27">
        <v>26</v>
      </c>
      <c r="B27">
        <v>26</v>
      </c>
      <c r="C27">
        <v>0</v>
      </c>
      <c r="D27" t="str">
        <f>IF(Table1[[#This Row],[PCOS (Y/N)]]=0,"NO","YES")</f>
        <v>NO</v>
      </c>
      <c r="E27">
        <v>41</v>
      </c>
      <c r="F27">
        <v>42</v>
      </c>
      <c r="G27">
        <v>152</v>
      </c>
      <c r="H27">
        <v>12</v>
      </c>
      <c r="I27">
        <v>80</v>
      </c>
      <c r="J27">
        <v>20</v>
      </c>
      <c r="K27">
        <v>11.5</v>
      </c>
      <c r="L27">
        <v>2</v>
      </c>
      <c r="M27">
        <v>5</v>
      </c>
      <c r="N27">
        <v>15</v>
      </c>
      <c r="O27">
        <v>1</v>
      </c>
      <c r="P27" t="str">
        <f>IF(Table1[[#This Row],[Pregnant(Y/N)]]=1,"YES","NO")</f>
        <v>YES</v>
      </c>
      <c r="Q27">
        <v>0</v>
      </c>
      <c r="R27">
        <v>4490.18</v>
      </c>
      <c r="S27">
        <v>4490.18</v>
      </c>
      <c r="T27">
        <v>8.82</v>
      </c>
      <c r="U27">
        <v>4.3899999999999997</v>
      </c>
      <c r="V27">
        <f>Table1[[#This Row],[FSH(mIU/mL)]]/Table1[[#This Row],[LH(mIU/mL)]]</f>
        <v>2.0091116173120729</v>
      </c>
      <c r="W27" t="str">
        <f>IF(Table1[[#This Row],[FSH/LH]]&gt;=2,"Abnormal","Normal")</f>
        <v>Abnormal</v>
      </c>
      <c r="X27">
        <v>39</v>
      </c>
      <c r="Y27">
        <v>32</v>
      </c>
      <c r="Z27">
        <f>ROUND(Table1[[#This Row],[Waist(inch)]]/Table1[[#This Row],[Hip(inch)]],2)</f>
        <v>0.82</v>
      </c>
      <c r="AA27">
        <v>0.84</v>
      </c>
      <c r="AB27">
        <v>0.26</v>
      </c>
      <c r="AC27">
        <v>17.350000000000001</v>
      </c>
      <c r="AD27">
        <v>45.6</v>
      </c>
      <c r="AE27" t="str">
        <f>IF(Table1[[#This Row],[Vit D3 (ng/mL)]]&lt;20,"Deficiency","Normal")</f>
        <v>Normal</v>
      </c>
      <c r="AF27">
        <v>0.98</v>
      </c>
      <c r="AG27">
        <v>92</v>
      </c>
      <c r="AH27">
        <v>0</v>
      </c>
      <c r="AI27" t="str">
        <f>IF(Table1[[#This Row],[Weight gain(Y/N)]]=0,"NO","YES")</f>
        <v>NO</v>
      </c>
      <c r="AJ27">
        <v>0</v>
      </c>
      <c r="AK27" t="str">
        <f>IF(Table1[[#This Row],[hair growth(Y/N)]]=1,"YES","NO")</f>
        <v>NO</v>
      </c>
      <c r="AL27">
        <v>0</v>
      </c>
      <c r="AM27" t="str">
        <f>IF(Table1[[#This Row],[Skin darkening (Y/N)]]=1,"YES","NO")</f>
        <v>NO</v>
      </c>
      <c r="AN27">
        <v>0</v>
      </c>
      <c r="AO27" t="str">
        <f>IF(Table1[[#This Row],[Hair loss(Y/N)]]=1,"YES","NO")</f>
        <v>NO</v>
      </c>
      <c r="AP27">
        <v>0</v>
      </c>
      <c r="AQ27" t="str">
        <f>IF(Table1[[#This Row],[Pimples(Y/N)]]=1,"YES","NO")</f>
        <v>NO</v>
      </c>
      <c r="AR27">
        <v>0</v>
      </c>
      <c r="AS27" t="str">
        <f>IF(Table1[[#This Row],[Fast food (Y/N)]]=1,"YES","NO")</f>
        <v>NO</v>
      </c>
      <c r="AT27">
        <v>0</v>
      </c>
      <c r="AU27" t="str">
        <f>IF(Table1[[#This Row],[Reg.Exercise(Y/N)]]=1,"YES","NO")</f>
        <v>NO</v>
      </c>
      <c r="AV27">
        <v>110</v>
      </c>
      <c r="AW27">
        <v>70</v>
      </c>
      <c r="AX27">
        <v>1</v>
      </c>
      <c r="AY27">
        <v>2</v>
      </c>
      <c r="AZ27">
        <v>15</v>
      </c>
      <c r="BA27">
        <v>17</v>
      </c>
      <c r="BB27">
        <v>8.8000000000000007</v>
      </c>
      <c r="BC27" t="str" cm="1">
        <f t="array" ref="BC27">_xlfn.IFS((F27/(G27*G27)*10000)&lt; 18.5,"Underweight",(F27/(G27*G27)*10000)&lt;24.9,"Normal",(F27/(G27*G27)*10000)&lt;29.9,"Overweight",(F27/(G27*G27)*10000)&gt;=30,"obesity")</f>
        <v>Underweight</v>
      </c>
      <c r="BD27">
        <f>Table1[[#This Row],[Follicle No. (L)]]+Table1[[#This Row],[Follicle No. (R)]]</f>
        <v>3</v>
      </c>
      <c r="BE27">
        <f>Table1[[#This Row],[Avg. F size (L) (mm)]]+Table1[[#This Row],[Avg. F size (R) (mm)]]</f>
        <v>32</v>
      </c>
      <c r="BF27">
        <f>Table1[[#This Row],[BP _Diastolic (mmHg)]]+(Table1[[#This Row],[BP _Diastolic (mmHg)]]+Table1[[#This Row],[Follicle No. (L)]])/3</f>
        <v>93.666666666666671</v>
      </c>
      <c r="BG27" s="4" t="str" cm="1">
        <f t="array" ref="BG2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7" s="4">
        <f>SUM(Table1[[#This Row],[Pimples(Y/N)]],Table1[[#This Row],[hair growth(Y/N)]],Table1[[#This Row],[Skin darkening (Y/N)]],Table1[[#This Row],[Hair loss(Y/N)]])</f>
        <v>0</v>
      </c>
      <c r="BI27" s="4" t="str">
        <f>IF(AND(Table1[[#This Row],[Pregnant(Y/N)]]=0, Table1[[#This Row],[  I   beta-HCG(mIU/mL)]]&gt;5), "Investigation Required", "Clear")</f>
        <v>Clear</v>
      </c>
    </row>
    <row r="28" spans="1:61" ht="15.75" customHeight="1" x14ac:dyDescent="0.25">
      <c r="A28">
        <v>27</v>
      </c>
      <c r="B28">
        <v>27</v>
      </c>
      <c r="C28">
        <v>1</v>
      </c>
      <c r="D28" t="str">
        <f>IF(Table1[[#This Row],[PCOS (Y/N)]]=0,"NO","YES")</f>
        <v>YES</v>
      </c>
      <c r="E28">
        <v>30</v>
      </c>
      <c r="F28">
        <v>76</v>
      </c>
      <c r="G28">
        <v>160</v>
      </c>
      <c r="H28">
        <v>15</v>
      </c>
      <c r="I28">
        <v>75</v>
      </c>
      <c r="J28">
        <v>18</v>
      </c>
      <c r="K28">
        <v>11.2</v>
      </c>
      <c r="L28">
        <v>4</v>
      </c>
      <c r="M28">
        <v>3</v>
      </c>
      <c r="N28">
        <v>5</v>
      </c>
      <c r="O28">
        <v>0</v>
      </c>
      <c r="P28" t="str">
        <f>IF(Table1[[#This Row],[Pregnant(Y/N)]]=1,"YES","NO")</f>
        <v>NO</v>
      </c>
      <c r="Q28">
        <v>0</v>
      </c>
      <c r="R28">
        <v>1.99</v>
      </c>
      <c r="S28">
        <v>1.99</v>
      </c>
      <c r="T28">
        <v>6.18</v>
      </c>
      <c r="U28">
        <v>2.78</v>
      </c>
      <c r="V28">
        <f>Table1[[#This Row],[FSH(mIU/mL)]]/Table1[[#This Row],[LH(mIU/mL)]]</f>
        <v>2.2230215827338129</v>
      </c>
      <c r="W28" t="str">
        <f>IF(Table1[[#This Row],[FSH/LH]]&gt;=2,"Abnormal","Normal")</f>
        <v>Abnormal</v>
      </c>
      <c r="X28">
        <v>45</v>
      </c>
      <c r="Y28">
        <v>38</v>
      </c>
      <c r="Z28">
        <f>ROUND(Table1[[#This Row],[Waist(inch)]]/Table1[[#This Row],[Hip(inch)]],2)</f>
        <v>0.84</v>
      </c>
      <c r="AA28">
        <v>4.28</v>
      </c>
      <c r="AB28">
        <v>3.84</v>
      </c>
      <c r="AC28">
        <v>17.98</v>
      </c>
      <c r="AD28">
        <v>25.14</v>
      </c>
      <c r="AE28" t="str">
        <f>IF(Table1[[#This Row],[Vit D3 (ng/mL)]]&lt;20,"Deficiency","Normal")</f>
        <v>Normal</v>
      </c>
      <c r="AF28">
        <v>0.35</v>
      </c>
      <c r="AG28">
        <v>100</v>
      </c>
      <c r="AH28">
        <v>1</v>
      </c>
      <c r="AI28" t="str">
        <f>IF(Table1[[#This Row],[Weight gain(Y/N)]]=0,"NO","YES")</f>
        <v>YES</v>
      </c>
      <c r="AJ28">
        <v>1</v>
      </c>
      <c r="AK28" t="str">
        <f>IF(Table1[[#This Row],[hair growth(Y/N)]]=1,"YES","NO")</f>
        <v>YES</v>
      </c>
      <c r="AL28">
        <v>1</v>
      </c>
      <c r="AM28" t="str">
        <f>IF(Table1[[#This Row],[Skin darkening (Y/N)]]=1,"YES","NO")</f>
        <v>YES</v>
      </c>
      <c r="AN28">
        <v>1</v>
      </c>
      <c r="AO28" t="str">
        <f>IF(Table1[[#This Row],[Hair loss(Y/N)]]=1,"YES","NO")</f>
        <v>YES</v>
      </c>
      <c r="AP28">
        <v>1</v>
      </c>
      <c r="AQ28" t="str">
        <f>IF(Table1[[#This Row],[Pimples(Y/N)]]=1,"YES","NO")</f>
        <v>YES</v>
      </c>
      <c r="AR28">
        <v>1</v>
      </c>
      <c r="AS28" t="str">
        <f>IF(Table1[[#This Row],[Fast food (Y/N)]]=1,"YES","NO")</f>
        <v>YES</v>
      </c>
      <c r="AT28">
        <v>1</v>
      </c>
      <c r="AU28" t="str">
        <f>IF(Table1[[#This Row],[Reg.Exercise(Y/N)]]=1,"YES","NO")</f>
        <v>YES</v>
      </c>
      <c r="AV28">
        <v>120</v>
      </c>
      <c r="AW28">
        <v>80</v>
      </c>
      <c r="AX28">
        <v>21</v>
      </c>
      <c r="AY28">
        <v>20</v>
      </c>
      <c r="AZ28">
        <v>11</v>
      </c>
      <c r="BA28">
        <v>12</v>
      </c>
      <c r="BB28">
        <v>6.8</v>
      </c>
      <c r="BC28" t="str" cm="1">
        <f t="array" ref="BC28">_xlfn.IFS((F28/(G28*G28)*10000)&lt; 18.5,"Underweight",(F28/(G28*G28)*10000)&lt;24.9,"Normal",(F28/(G28*G28)*10000)&lt;29.9,"Overweight",(F28/(G28*G28)*10000)&gt;=30,"obesity")</f>
        <v>Overweight</v>
      </c>
      <c r="BD28">
        <f>Table1[[#This Row],[Follicle No. (L)]]+Table1[[#This Row],[Follicle No. (R)]]</f>
        <v>41</v>
      </c>
      <c r="BE28">
        <f>Table1[[#This Row],[Avg. F size (L) (mm)]]+Table1[[#This Row],[Avg. F size (R) (mm)]]</f>
        <v>23</v>
      </c>
      <c r="BF28">
        <f>Table1[[#This Row],[BP _Diastolic (mmHg)]]+(Table1[[#This Row],[BP _Diastolic (mmHg)]]+Table1[[#This Row],[Follicle No. (L)]])/3</f>
        <v>113.66666666666666</v>
      </c>
      <c r="BG28" s="4" t="str" cm="1">
        <f t="array" ref="BG2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8" s="4">
        <f>SUM(Table1[[#This Row],[Pimples(Y/N)]],Table1[[#This Row],[hair growth(Y/N)]],Table1[[#This Row],[Skin darkening (Y/N)]],Table1[[#This Row],[Hair loss(Y/N)]])</f>
        <v>4</v>
      </c>
      <c r="BI28" s="4" t="str">
        <f>IF(AND(Table1[[#This Row],[Pregnant(Y/N)]]=0, Table1[[#This Row],[  I   beta-HCG(mIU/mL)]]&gt;5), "Investigation Required", "Clear")</f>
        <v>Clear</v>
      </c>
    </row>
    <row r="29" spans="1:61" ht="15.75" customHeight="1" x14ac:dyDescent="0.25">
      <c r="A29">
        <v>28</v>
      </c>
      <c r="B29">
        <v>28</v>
      </c>
      <c r="C29">
        <v>0</v>
      </c>
      <c r="D29" t="str">
        <f>IF(Table1[[#This Row],[PCOS (Y/N)]]=0,"NO","YES")</f>
        <v>NO</v>
      </c>
      <c r="E29">
        <v>20</v>
      </c>
      <c r="F29">
        <v>68</v>
      </c>
      <c r="G29">
        <v>152</v>
      </c>
      <c r="H29">
        <v>17</v>
      </c>
      <c r="I29">
        <v>72</v>
      </c>
      <c r="J29">
        <v>20</v>
      </c>
      <c r="K29">
        <v>10</v>
      </c>
      <c r="L29">
        <v>4</v>
      </c>
      <c r="M29">
        <v>3</v>
      </c>
      <c r="N29">
        <v>4</v>
      </c>
      <c r="O29">
        <v>1</v>
      </c>
      <c r="P29" t="str">
        <f>IF(Table1[[#This Row],[Pregnant(Y/N)]]=1,"YES","NO")</f>
        <v>YES</v>
      </c>
      <c r="Q29">
        <v>0</v>
      </c>
      <c r="R29">
        <v>689.58</v>
      </c>
      <c r="S29">
        <v>11.24</v>
      </c>
      <c r="T29">
        <v>1.8</v>
      </c>
      <c r="U29">
        <v>0.41</v>
      </c>
      <c r="V29">
        <f>Table1[[#This Row],[FSH(mIU/mL)]]/Table1[[#This Row],[LH(mIU/mL)]]</f>
        <v>4.3902439024390247</v>
      </c>
      <c r="W29" t="str">
        <f>IF(Table1[[#This Row],[FSH/LH]]&gt;=2,"Abnormal","Normal")</f>
        <v>Abnormal</v>
      </c>
      <c r="X29">
        <v>40</v>
      </c>
      <c r="Y29">
        <v>33</v>
      </c>
      <c r="Z29">
        <f>ROUND(Table1[[#This Row],[Waist(inch)]]/Table1[[#This Row],[Hip(inch)]],2)</f>
        <v>0.83</v>
      </c>
      <c r="AA29">
        <v>8.39</v>
      </c>
      <c r="AB29">
        <v>2.5</v>
      </c>
      <c r="AC29">
        <v>11.24</v>
      </c>
      <c r="AD29">
        <v>46.3</v>
      </c>
      <c r="AE29" t="str">
        <f>IF(Table1[[#This Row],[Vit D3 (ng/mL)]]&lt;20,"Deficiency","Normal")</f>
        <v>Normal</v>
      </c>
      <c r="AF29">
        <v>1.2</v>
      </c>
      <c r="AG29">
        <v>92</v>
      </c>
      <c r="AH29">
        <v>0</v>
      </c>
      <c r="AI29" t="str">
        <f>IF(Table1[[#This Row],[Weight gain(Y/N)]]=0,"NO","YES")</f>
        <v>NO</v>
      </c>
      <c r="AJ29">
        <v>0</v>
      </c>
      <c r="AK29" t="str">
        <f>IF(Table1[[#This Row],[hair growth(Y/N)]]=1,"YES","NO")</f>
        <v>NO</v>
      </c>
      <c r="AL29">
        <v>0</v>
      </c>
      <c r="AM29" t="str">
        <f>IF(Table1[[#This Row],[Skin darkening (Y/N)]]=1,"YES","NO")</f>
        <v>NO</v>
      </c>
      <c r="AN29">
        <v>0</v>
      </c>
      <c r="AO29" t="str">
        <f>IF(Table1[[#This Row],[Hair loss(Y/N)]]=1,"YES","NO")</f>
        <v>NO</v>
      </c>
      <c r="AP29">
        <v>0</v>
      </c>
      <c r="AQ29" t="str">
        <f>IF(Table1[[#This Row],[Pimples(Y/N)]]=1,"YES","NO")</f>
        <v>NO</v>
      </c>
      <c r="AR29">
        <v>0</v>
      </c>
      <c r="AS29" t="str">
        <f>IF(Table1[[#This Row],[Fast food (Y/N)]]=1,"YES","NO")</f>
        <v>NO</v>
      </c>
      <c r="AT29">
        <v>0</v>
      </c>
      <c r="AU29" t="str">
        <f>IF(Table1[[#This Row],[Reg.Exercise(Y/N)]]=1,"YES","NO")</f>
        <v>NO</v>
      </c>
      <c r="AV29">
        <v>110</v>
      </c>
      <c r="AW29">
        <v>80</v>
      </c>
      <c r="AX29">
        <v>3</v>
      </c>
      <c r="AY29">
        <v>2</v>
      </c>
      <c r="AZ29">
        <v>10</v>
      </c>
      <c r="BA29">
        <v>11</v>
      </c>
      <c r="BB29">
        <v>10</v>
      </c>
      <c r="BC29" t="str" cm="1">
        <f t="array" ref="BC29">_xlfn.IFS((F29/(G29*G29)*10000)&lt; 18.5,"Underweight",(F29/(G29*G29)*10000)&lt;24.9,"Normal",(F29/(G29*G29)*10000)&lt;29.9,"Overweight",(F29/(G29*G29)*10000)&gt;=30,"obesity")</f>
        <v>Overweight</v>
      </c>
      <c r="BD29">
        <f>Table1[[#This Row],[Follicle No. (L)]]+Table1[[#This Row],[Follicle No. (R)]]</f>
        <v>5</v>
      </c>
      <c r="BE29">
        <f>Table1[[#This Row],[Avg. F size (L) (mm)]]+Table1[[#This Row],[Avg. F size (R) (mm)]]</f>
        <v>21</v>
      </c>
      <c r="BF29">
        <f>Table1[[#This Row],[BP _Diastolic (mmHg)]]+(Table1[[#This Row],[BP _Diastolic (mmHg)]]+Table1[[#This Row],[Follicle No. (L)]])/3</f>
        <v>107.66666666666667</v>
      </c>
      <c r="BG29" s="4" t="str" cm="1">
        <f t="array" ref="BG2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9" s="4">
        <f>SUM(Table1[[#This Row],[Pimples(Y/N)]],Table1[[#This Row],[hair growth(Y/N)]],Table1[[#This Row],[Skin darkening (Y/N)]],Table1[[#This Row],[Hair loss(Y/N)]])</f>
        <v>0</v>
      </c>
      <c r="BI29" s="4" t="str">
        <f>IF(AND(Table1[[#This Row],[Pregnant(Y/N)]]=0, Table1[[#This Row],[  I   beta-HCG(mIU/mL)]]&gt;5), "Investigation Required", "Clear")</f>
        <v>Clear</v>
      </c>
    </row>
    <row r="30" spans="1:61" ht="15.75" customHeight="1" x14ac:dyDescent="0.25">
      <c r="A30">
        <v>29</v>
      </c>
      <c r="B30">
        <v>29</v>
      </c>
      <c r="C30">
        <v>0</v>
      </c>
      <c r="D30" t="str">
        <f>IF(Table1[[#This Row],[PCOS (Y/N)]]=0,"NO","YES")</f>
        <v>NO</v>
      </c>
      <c r="E30">
        <v>25</v>
      </c>
      <c r="F30">
        <v>62</v>
      </c>
      <c r="G30">
        <v>158</v>
      </c>
      <c r="H30">
        <v>15</v>
      </c>
      <c r="I30">
        <v>78</v>
      </c>
      <c r="J30">
        <v>22</v>
      </c>
      <c r="K30">
        <v>11.6</v>
      </c>
      <c r="L30">
        <v>2</v>
      </c>
      <c r="M30">
        <v>5</v>
      </c>
      <c r="N30">
        <v>8</v>
      </c>
      <c r="O30">
        <v>0</v>
      </c>
      <c r="P30" t="str">
        <f>IF(Table1[[#This Row],[Pregnant(Y/N)]]=1,"YES","NO")</f>
        <v>NO</v>
      </c>
      <c r="Q30">
        <v>0</v>
      </c>
      <c r="R30">
        <v>15</v>
      </c>
      <c r="S30">
        <v>15</v>
      </c>
      <c r="T30">
        <v>4.5999999999999996</v>
      </c>
      <c r="U30">
        <v>1.06</v>
      </c>
      <c r="V30">
        <f>Table1[[#This Row],[FSH(mIU/mL)]]/Table1[[#This Row],[LH(mIU/mL)]]</f>
        <v>4.3396226415094334</v>
      </c>
      <c r="W30" t="str">
        <f>IF(Table1[[#This Row],[FSH/LH]]&gt;=2,"Abnormal","Normal")</f>
        <v>Abnormal</v>
      </c>
      <c r="X30">
        <v>42</v>
      </c>
      <c r="Y30">
        <v>34</v>
      </c>
      <c r="Z30">
        <f>ROUND(Table1[[#This Row],[Waist(inch)]]/Table1[[#This Row],[Hip(inch)]],2)</f>
        <v>0.81</v>
      </c>
      <c r="AA30">
        <v>3.79</v>
      </c>
      <c r="AB30">
        <v>3.56</v>
      </c>
      <c r="AC30">
        <v>15.3</v>
      </c>
      <c r="AD30">
        <v>36.56</v>
      </c>
      <c r="AE30" t="str">
        <f>IF(Table1[[#This Row],[Vit D3 (ng/mL)]]&lt;20,"Deficiency","Normal")</f>
        <v>Normal</v>
      </c>
      <c r="AF30">
        <v>0.25</v>
      </c>
      <c r="AG30">
        <v>106</v>
      </c>
      <c r="AH30">
        <v>0</v>
      </c>
      <c r="AI30" t="str">
        <f>IF(Table1[[#This Row],[Weight gain(Y/N)]]=0,"NO","YES")</f>
        <v>NO</v>
      </c>
      <c r="AJ30">
        <v>0</v>
      </c>
      <c r="AK30" t="str">
        <f>IF(Table1[[#This Row],[hair growth(Y/N)]]=1,"YES","NO")</f>
        <v>NO</v>
      </c>
      <c r="AL30">
        <v>0</v>
      </c>
      <c r="AM30" t="str">
        <f>IF(Table1[[#This Row],[Skin darkening (Y/N)]]=1,"YES","NO")</f>
        <v>NO</v>
      </c>
      <c r="AN30">
        <v>0</v>
      </c>
      <c r="AO30" t="str">
        <f>IF(Table1[[#This Row],[Hair loss(Y/N)]]=1,"YES","NO")</f>
        <v>NO</v>
      </c>
      <c r="AP30">
        <v>0</v>
      </c>
      <c r="AQ30" t="str">
        <f>IF(Table1[[#This Row],[Pimples(Y/N)]]=1,"YES","NO")</f>
        <v>NO</v>
      </c>
      <c r="AR30">
        <v>0</v>
      </c>
      <c r="AS30" t="str">
        <f>IF(Table1[[#This Row],[Fast food (Y/N)]]=1,"YES","NO")</f>
        <v>NO</v>
      </c>
      <c r="AT30">
        <v>0</v>
      </c>
      <c r="AU30" t="str">
        <f>IF(Table1[[#This Row],[Reg.Exercise(Y/N)]]=1,"YES","NO")</f>
        <v>NO</v>
      </c>
      <c r="AV30">
        <v>120</v>
      </c>
      <c r="AW30">
        <v>80</v>
      </c>
      <c r="AX30">
        <v>7</v>
      </c>
      <c r="AY30">
        <v>4</v>
      </c>
      <c r="AZ30">
        <v>12</v>
      </c>
      <c r="BA30">
        <v>17</v>
      </c>
      <c r="BB30">
        <v>6.2</v>
      </c>
      <c r="BC30" t="str" cm="1">
        <f t="array" ref="BC30">_xlfn.IFS((F30/(G30*G30)*10000)&lt; 18.5,"Underweight",(F30/(G30*G30)*10000)&lt;24.9,"Normal",(F30/(G30*G30)*10000)&lt;29.9,"Overweight",(F30/(G30*G30)*10000)&gt;=30,"obesity")</f>
        <v>Normal</v>
      </c>
      <c r="BD30">
        <f>Table1[[#This Row],[Follicle No. (L)]]+Table1[[#This Row],[Follicle No. (R)]]</f>
        <v>11</v>
      </c>
      <c r="BE30">
        <f>Table1[[#This Row],[Avg. F size (L) (mm)]]+Table1[[#This Row],[Avg. F size (R) (mm)]]</f>
        <v>29</v>
      </c>
      <c r="BF30">
        <f>Table1[[#This Row],[BP _Diastolic (mmHg)]]+(Table1[[#This Row],[BP _Diastolic (mmHg)]]+Table1[[#This Row],[Follicle No. (L)]])/3</f>
        <v>109</v>
      </c>
      <c r="BG30" s="4" t="str" cm="1">
        <f t="array" ref="BG3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0" s="4">
        <f>SUM(Table1[[#This Row],[Pimples(Y/N)]],Table1[[#This Row],[hair growth(Y/N)]],Table1[[#This Row],[Skin darkening (Y/N)]],Table1[[#This Row],[Hair loss(Y/N)]])</f>
        <v>0</v>
      </c>
      <c r="BI30" s="4" t="str">
        <f>IF(AND(Table1[[#This Row],[Pregnant(Y/N)]]=0, Table1[[#This Row],[  I   beta-HCG(mIU/mL)]]&gt;5), "Investigation Required", "Clear")</f>
        <v>Investigation Required</v>
      </c>
    </row>
    <row r="31" spans="1:61" ht="15.75" customHeight="1" x14ac:dyDescent="0.25">
      <c r="A31">
        <v>30</v>
      </c>
      <c r="B31">
        <v>30</v>
      </c>
      <c r="C31">
        <v>1</v>
      </c>
      <c r="D31" t="str">
        <f>IF(Table1[[#This Row],[PCOS (Y/N)]]=0,"NO","YES")</f>
        <v>YES</v>
      </c>
      <c r="E31">
        <v>28</v>
      </c>
      <c r="F31">
        <v>56</v>
      </c>
      <c r="G31">
        <v>152</v>
      </c>
      <c r="H31">
        <v>13</v>
      </c>
      <c r="I31">
        <v>78</v>
      </c>
      <c r="J31">
        <v>22</v>
      </c>
      <c r="K31">
        <v>11</v>
      </c>
      <c r="L31">
        <v>4</v>
      </c>
      <c r="M31">
        <v>3</v>
      </c>
      <c r="N31">
        <v>7</v>
      </c>
      <c r="O31">
        <v>0</v>
      </c>
      <c r="P31" t="str">
        <f>IF(Table1[[#This Row],[Pregnant(Y/N)]]=1,"YES","NO")</f>
        <v>NO</v>
      </c>
      <c r="Q31">
        <v>0</v>
      </c>
      <c r="R31">
        <v>768.03</v>
      </c>
      <c r="S31">
        <v>768.03</v>
      </c>
      <c r="T31">
        <v>2.41</v>
      </c>
      <c r="U31">
        <v>1.19</v>
      </c>
      <c r="V31">
        <f>Table1[[#This Row],[FSH(mIU/mL)]]/Table1[[#This Row],[LH(mIU/mL)]]</f>
        <v>2.0252100840336138</v>
      </c>
      <c r="W31" t="str">
        <f>IF(Table1[[#This Row],[FSH/LH]]&gt;=2,"Abnormal","Normal")</f>
        <v>Abnormal</v>
      </c>
      <c r="X31">
        <v>40</v>
      </c>
      <c r="Y31">
        <v>33</v>
      </c>
      <c r="Z31">
        <f>ROUND(Table1[[#This Row],[Waist(inch)]]/Table1[[#This Row],[Hip(inch)]],2)</f>
        <v>0.83</v>
      </c>
      <c r="AA31">
        <v>3.44</v>
      </c>
      <c r="AB31">
        <v>1.56</v>
      </c>
      <c r="AC31">
        <v>45.47</v>
      </c>
      <c r="AD31">
        <v>23.14</v>
      </c>
      <c r="AE31" t="str">
        <f>IF(Table1[[#This Row],[Vit D3 (ng/mL)]]&lt;20,"Deficiency","Normal")</f>
        <v>Normal</v>
      </c>
      <c r="AF31">
        <v>0.63</v>
      </c>
      <c r="AG31">
        <v>100</v>
      </c>
      <c r="AH31">
        <v>1</v>
      </c>
      <c r="AI31" t="str">
        <f>IF(Table1[[#This Row],[Weight gain(Y/N)]]=0,"NO","YES")</f>
        <v>YES</v>
      </c>
      <c r="AJ31">
        <v>0</v>
      </c>
      <c r="AK31" t="str">
        <f>IF(Table1[[#This Row],[hair growth(Y/N)]]=1,"YES","NO")</f>
        <v>NO</v>
      </c>
      <c r="AL31">
        <v>1</v>
      </c>
      <c r="AM31" t="str">
        <f>IF(Table1[[#This Row],[Skin darkening (Y/N)]]=1,"YES","NO")</f>
        <v>YES</v>
      </c>
      <c r="AN31">
        <v>0</v>
      </c>
      <c r="AO31" t="str">
        <f>IF(Table1[[#This Row],[Hair loss(Y/N)]]=1,"YES","NO")</f>
        <v>NO</v>
      </c>
      <c r="AP31">
        <v>1</v>
      </c>
      <c r="AQ31" t="str">
        <f>IF(Table1[[#This Row],[Pimples(Y/N)]]=1,"YES","NO")</f>
        <v>YES</v>
      </c>
      <c r="AR31">
        <v>1</v>
      </c>
      <c r="AS31" t="str">
        <f>IF(Table1[[#This Row],[Fast food (Y/N)]]=1,"YES","NO")</f>
        <v>YES</v>
      </c>
      <c r="AT31">
        <v>0</v>
      </c>
      <c r="AU31" t="str">
        <f>IF(Table1[[#This Row],[Reg.Exercise(Y/N)]]=1,"YES","NO")</f>
        <v>NO</v>
      </c>
      <c r="AV31">
        <v>110</v>
      </c>
      <c r="AW31">
        <v>80</v>
      </c>
      <c r="AX31">
        <v>11</v>
      </c>
      <c r="AY31">
        <v>10</v>
      </c>
      <c r="AZ31">
        <v>13</v>
      </c>
      <c r="BA31">
        <v>14</v>
      </c>
      <c r="BB31">
        <v>5</v>
      </c>
      <c r="BC31" t="str" cm="1">
        <f t="array" ref="BC31">_xlfn.IFS((F31/(G31*G31)*10000)&lt; 18.5,"Underweight",(F31/(G31*G31)*10000)&lt;24.9,"Normal",(F31/(G31*G31)*10000)&lt;29.9,"Overweight",(F31/(G31*G31)*10000)&gt;=30,"obesity")</f>
        <v>Normal</v>
      </c>
      <c r="BD31">
        <f>Table1[[#This Row],[Follicle No. (L)]]+Table1[[#This Row],[Follicle No. (R)]]</f>
        <v>21</v>
      </c>
      <c r="BE31">
        <f>Table1[[#This Row],[Avg. F size (L) (mm)]]+Table1[[#This Row],[Avg. F size (R) (mm)]]</f>
        <v>27</v>
      </c>
      <c r="BF31">
        <f>Table1[[#This Row],[BP _Diastolic (mmHg)]]+(Table1[[#This Row],[BP _Diastolic (mmHg)]]+Table1[[#This Row],[Follicle No. (L)]])/3</f>
        <v>110.33333333333333</v>
      </c>
      <c r="BG31" s="4" t="str" cm="1">
        <f t="array" ref="BG3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1" s="4">
        <f>SUM(Table1[[#This Row],[Pimples(Y/N)]],Table1[[#This Row],[hair growth(Y/N)]],Table1[[#This Row],[Skin darkening (Y/N)]],Table1[[#This Row],[Hair loss(Y/N)]])</f>
        <v>2</v>
      </c>
      <c r="BI31" s="4" t="str">
        <f>IF(AND(Table1[[#This Row],[Pregnant(Y/N)]]=0, Table1[[#This Row],[  I   beta-HCG(mIU/mL)]]&gt;5), "Investigation Required", "Clear")</f>
        <v>Investigation Required</v>
      </c>
    </row>
    <row r="32" spans="1:61" ht="15.75" customHeight="1" x14ac:dyDescent="0.25">
      <c r="A32">
        <v>31</v>
      </c>
      <c r="B32">
        <v>31</v>
      </c>
      <c r="C32">
        <v>0</v>
      </c>
      <c r="D32" t="str">
        <f>IF(Table1[[#This Row],[PCOS (Y/N)]]=0,"NO","YES")</f>
        <v>NO</v>
      </c>
      <c r="E32">
        <v>32</v>
      </c>
      <c r="F32">
        <v>50</v>
      </c>
      <c r="G32">
        <v>155</v>
      </c>
      <c r="H32">
        <v>17</v>
      </c>
      <c r="I32">
        <v>78</v>
      </c>
      <c r="J32">
        <v>22</v>
      </c>
      <c r="K32">
        <v>10.8</v>
      </c>
      <c r="L32">
        <v>2</v>
      </c>
      <c r="M32">
        <v>4</v>
      </c>
      <c r="N32">
        <v>3.5</v>
      </c>
      <c r="O32">
        <v>1</v>
      </c>
      <c r="P32" t="str">
        <f>IF(Table1[[#This Row],[Pregnant(Y/N)]]=1,"YES","NO")</f>
        <v>YES</v>
      </c>
      <c r="Q32">
        <v>0</v>
      </c>
      <c r="R32">
        <v>612.32000000000005</v>
      </c>
      <c r="S32">
        <v>12</v>
      </c>
      <c r="T32">
        <v>6.34</v>
      </c>
      <c r="U32">
        <v>4.07</v>
      </c>
      <c r="V32">
        <f>Table1[[#This Row],[FSH(mIU/mL)]]/Table1[[#This Row],[LH(mIU/mL)]]</f>
        <v>1.5577395577395576</v>
      </c>
      <c r="W32" t="str">
        <f>IF(Table1[[#This Row],[FSH/LH]]&gt;=2,"Abnormal","Normal")</f>
        <v>Normal</v>
      </c>
      <c r="X32">
        <v>34</v>
      </c>
      <c r="Y32">
        <v>28</v>
      </c>
      <c r="Z32">
        <f>ROUND(Table1[[#This Row],[Waist(inch)]]/Table1[[#This Row],[Hip(inch)]],2)</f>
        <v>0.82</v>
      </c>
      <c r="AA32">
        <v>1.4</v>
      </c>
      <c r="AB32">
        <v>1.69</v>
      </c>
      <c r="AC32">
        <v>54.09</v>
      </c>
      <c r="AD32">
        <v>56.2</v>
      </c>
      <c r="AE32" t="str">
        <f>IF(Table1[[#This Row],[Vit D3 (ng/mL)]]&lt;20,"Deficiency","Normal")</f>
        <v>Normal</v>
      </c>
      <c r="AF32">
        <v>0.31</v>
      </c>
      <c r="AG32">
        <v>80</v>
      </c>
      <c r="AH32">
        <v>0</v>
      </c>
      <c r="AI32" t="str">
        <f>IF(Table1[[#This Row],[Weight gain(Y/N)]]=0,"NO","YES")</f>
        <v>NO</v>
      </c>
      <c r="AJ32">
        <v>0</v>
      </c>
      <c r="AK32" t="str">
        <f>IF(Table1[[#This Row],[hair growth(Y/N)]]=1,"YES","NO")</f>
        <v>NO</v>
      </c>
      <c r="AL32">
        <v>0</v>
      </c>
      <c r="AM32" t="str">
        <f>IF(Table1[[#This Row],[Skin darkening (Y/N)]]=1,"YES","NO")</f>
        <v>NO</v>
      </c>
      <c r="AN32">
        <v>0</v>
      </c>
      <c r="AO32" t="str">
        <f>IF(Table1[[#This Row],[Hair loss(Y/N)]]=1,"YES","NO")</f>
        <v>NO</v>
      </c>
      <c r="AP32">
        <v>0</v>
      </c>
      <c r="AQ32" t="str">
        <f>IF(Table1[[#This Row],[Pimples(Y/N)]]=1,"YES","NO")</f>
        <v>NO</v>
      </c>
      <c r="AR32">
        <v>0</v>
      </c>
      <c r="AS32" t="str">
        <f>IF(Table1[[#This Row],[Fast food (Y/N)]]=1,"YES","NO")</f>
        <v>NO</v>
      </c>
      <c r="AT32">
        <v>0</v>
      </c>
      <c r="AU32" t="str">
        <f>IF(Table1[[#This Row],[Reg.Exercise(Y/N)]]=1,"YES","NO")</f>
        <v>NO</v>
      </c>
      <c r="AV32">
        <v>110</v>
      </c>
      <c r="AW32">
        <v>80</v>
      </c>
      <c r="AX32">
        <v>10</v>
      </c>
      <c r="AY32">
        <v>8</v>
      </c>
      <c r="AZ32">
        <v>14</v>
      </c>
      <c r="BA32">
        <v>14</v>
      </c>
      <c r="BB32">
        <v>7</v>
      </c>
      <c r="BC32" t="str" cm="1">
        <f t="array" ref="BC32">_xlfn.IFS((F32/(G32*G32)*10000)&lt; 18.5,"Underweight",(F32/(G32*G32)*10000)&lt;24.9,"Normal",(F32/(G32*G32)*10000)&lt;29.9,"Overweight",(F32/(G32*G32)*10000)&gt;=30,"obesity")</f>
        <v>Normal</v>
      </c>
      <c r="BD32">
        <f>Table1[[#This Row],[Follicle No. (L)]]+Table1[[#This Row],[Follicle No. (R)]]</f>
        <v>18</v>
      </c>
      <c r="BE32">
        <f>Table1[[#This Row],[Avg. F size (L) (mm)]]+Table1[[#This Row],[Avg. F size (R) (mm)]]</f>
        <v>28</v>
      </c>
      <c r="BF32">
        <f>Table1[[#This Row],[BP _Diastolic (mmHg)]]+(Table1[[#This Row],[BP _Diastolic (mmHg)]]+Table1[[#This Row],[Follicle No. (L)]])/3</f>
        <v>110</v>
      </c>
      <c r="BG32" s="4" t="str" cm="1">
        <f t="array" ref="BG3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2" s="4">
        <f>SUM(Table1[[#This Row],[Pimples(Y/N)]],Table1[[#This Row],[hair growth(Y/N)]],Table1[[#This Row],[Skin darkening (Y/N)]],Table1[[#This Row],[Hair loss(Y/N)]])</f>
        <v>0</v>
      </c>
      <c r="BI32" s="4" t="str">
        <f>IF(AND(Table1[[#This Row],[Pregnant(Y/N)]]=0, Table1[[#This Row],[  I   beta-HCG(mIU/mL)]]&gt;5), "Investigation Required", "Clear")</f>
        <v>Clear</v>
      </c>
    </row>
    <row r="33" spans="1:61" ht="15.75" customHeight="1" x14ac:dyDescent="0.25">
      <c r="A33">
        <v>32</v>
      </c>
      <c r="B33">
        <v>32</v>
      </c>
      <c r="C33">
        <v>1</v>
      </c>
      <c r="D33" t="str">
        <f>IF(Table1[[#This Row],[PCOS (Y/N)]]=0,"NO","YES")</f>
        <v>YES</v>
      </c>
      <c r="E33">
        <v>34</v>
      </c>
      <c r="F33">
        <v>57</v>
      </c>
      <c r="G33">
        <v>150</v>
      </c>
      <c r="H33">
        <v>11</v>
      </c>
      <c r="I33">
        <v>72</v>
      </c>
      <c r="J33">
        <v>22</v>
      </c>
      <c r="K33">
        <v>12</v>
      </c>
      <c r="L33">
        <v>2</v>
      </c>
      <c r="M33">
        <v>4</v>
      </c>
      <c r="N33">
        <v>15</v>
      </c>
      <c r="O33">
        <v>0</v>
      </c>
      <c r="P33" t="str">
        <f>IF(Table1[[#This Row],[Pregnant(Y/N)]]=1,"YES","NO")</f>
        <v>NO</v>
      </c>
      <c r="Q33">
        <v>0</v>
      </c>
      <c r="R33">
        <v>10</v>
      </c>
      <c r="S33">
        <v>10</v>
      </c>
      <c r="T33">
        <v>5.01</v>
      </c>
      <c r="U33">
        <v>6.48</v>
      </c>
      <c r="V33">
        <f>Table1[[#This Row],[FSH(mIU/mL)]]/Table1[[#This Row],[LH(mIU/mL)]]</f>
        <v>0.77314814814814803</v>
      </c>
      <c r="W33" t="str">
        <f>IF(Table1[[#This Row],[FSH/LH]]&gt;=2,"Abnormal","Normal")</f>
        <v>Normal</v>
      </c>
      <c r="X33">
        <v>40</v>
      </c>
      <c r="Y33">
        <v>37</v>
      </c>
      <c r="Z33">
        <f>ROUND(Table1[[#This Row],[Waist(inch)]]/Table1[[#This Row],[Hip(inch)]],2)</f>
        <v>0.93</v>
      </c>
      <c r="AA33">
        <v>4.21</v>
      </c>
      <c r="AB33">
        <v>1.89</v>
      </c>
      <c r="AC33">
        <v>12.71</v>
      </c>
      <c r="AD33">
        <v>32.450000000000003</v>
      </c>
      <c r="AE33" t="str">
        <f>IF(Table1[[#This Row],[Vit D3 (ng/mL)]]&lt;20,"Deficiency","Normal")</f>
        <v>Normal</v>
      </c>
      <c r="AF33">
        <v>0.27</v>
      </c>
      <c r="AG33">
        <v>85</v>
      </c>
      <c r="AH33">
        <v>1</v>
      </c>
      <c r="AI33" t="str">
        <f>IF(Table1[[#This Row],[Weight gain(Y/N)]]=0,"NO","YES")</f>
        <v>YES</v>
      </c>
      <c r="AJ33">
        <v>1</v>
      </c>
      <c r="AK33" t="str">
        <f>IF(Table1[[#This Row],[hair growth(Y/N)]]=1,"YES","NO")</f>
        <v>YES</v>
      </c>
      <c r="AL33">
        <v>1</v>
      </c>
      <c r="AM33" t="str">
        <f>IF(Table1[[#This Row],[Skin darkening (Y/N)]]=1,"YES","NO")</f>
        <v>YES</v>
      </c>
      <c r="AN33">
        <v>1</v>
      </c>
      <c r="AO33" t="str">
        <f>IF(Table1[[#This Row],[Hair loss(Y/N)]]=1,"YES","NO")</f>
        <v>YES</v>
      </c>
      <c r="AP33">
        <v>1</v>
      </c>
      <c r="AQ33" t="str">
        <f>IF(Table1[[#This Row],[Pimples(Y/N)]]=1,"YES","NO")</f>
        <v>YES</v>
      </c>
      <c r="AR33">
        <v>1</v>
      </c>
      <c r="AS33" t="str">
        <f>IF(Table1[[#This Row],[Fast food (Y/N)]]=1,"YES","NO")</f>
        <v>YES</v>
      </c>
      <c r="AT33">
        <v>0</v>
      </c>
      <c r="AU33" t="str">
        <f>IF(Table1[[#This Row],[Reg.Exercise(Y/N)]]=1,"YES","NO")</f>
        <v>NO</v>
      </c>
      <c r="AV33">
        <v>110</v>
      </c>
      <c r="AW33">
        <v>80</v>
      </c>
      <c r="AX33">
        <v>5</v>
      </c>
      <c r="AY33">
        <v>10</v>
      </c>
      <c r="AZ33">
        <v>14</v>
      </c>
      <c r="BA33">
        <v>13</v>
      </c>
      <c r="BB33">
        <v>6</v>
      </c>
      <c r="BC33" t="str" cm="1">
        <f t="array" ref="BC33">_xlfn.IFS((F33/(G33*G33)*10000)&lt; 18.5,"Underweight",(F33/(G33*G33)*10000)&lt;24.9,"Normal",(F33/(G33*G33)*10000)&lt;29.9,"Overweight",(F33/(G33*G33)*10000)&gt;=30,"obesity")</f>
        <v>Overweight</v>
      </c>
      <c r="BD33">
        <f>Table1[[#This Row],[Follicle No. (L)]]+Table1[[#This Row],[Follicle No. (R)]]</f>
        <v>15</v>
      </c>
      <c r="BE33">
        <f>Table1[[#This Row],[Avg. F size (L) (mm)]]+Table1[[#This Row],[Avg. F size (R) (mm)]]</f>
        <v>27</v>
      </c>
      <c r="BF33">
        <f>Table1[[#This Row],[BP _Diastolic (mmHg)]]+(Table1[[#This Row],[BP _Diastolic (mmHg)]]+Table1[[#This Row],[Follicle No. (L)]])/3</f>
        <v>108.33333333333333</v>
      </c>
      <c r="BG33" s="4" t="str" cm="1">
        <f t="array" ref="BG3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3" s="4">
        <f>SUM(Table1[[#This Row],[Pimples(Y/N)]],Table1[[#This Row],[hair growth(Y/N)]],Table1[[#This Row],[Skin darkening (Y/N)]],Table1[[#This Row],[Hair loss(Y/N)]])</f>
        <v>4</v>
      </c>
      <c r="BI33" s="4" t="str">
        <f>IF(AND(Table1[[#This Row],[Pregnant(Y/N)]]=0, Table1[[#This Row],[  I   beta-HCG(mIU/mL)]]&gt;5), "Investigation Required", "Clear")</f>
        <v>Investigation Required</v>
      </c>
    </row>
    <row r="34" spans="1:61" ht="15.75" customHeight="1" x14ac:dyDescent="0.25">
      <c r="A34">
        <v>33</v>
      </c>
      <c r="B34">
        <v>33</v>
      </c>
      <c r="C34">
        <v>0</v>
      </c>
      <c r="D34" t="str">
        <f>IF(Table1[[#This Row],[PCOS (Y/N)]]=0,"NO","YES")</f>
        <v>NO</v>
      </c>
      <c r="E34">
        <v>31</v>
      </c>
      <c r="F34">
        <v>58</v>
      </c>
      <c r="G34">
        <v>155</v>
      </c>
      <c r="H34">
        <v>15</v>
      </c>
      <c r="I34">
        <v>72</v>
      </c>
      <c r="J34">
        <v>18</v>
      </c>
      <c r="K34">
        <v>10.5</v>
      </c>
      <c r="L34">
        <v>2</v>
      </c>
      <c r="M34">
        <v>5</v>
      </c>
      <c r="N34">
        <v>2</v>
      </c>
      <c r="O34">
        <v>0</v>
      </c>
      <c r="P34" t="str">
        <f>IF(Table1[[#This Row],[Pregnant(Y/N)]]=1,"YES","NO")</f>
        <v>NO</v>
      </c>
      <c r="Q34">
        <v>0</v>
      </c>
      <c r="R34">
        <v>1.99</v>
      </c>
      <c r="S34">
        <v>1.99</v>
      </c>
      <c r="T34">
        <v>2.8</v>
      </c>
      <c r="U34">
        <v>0.42</v>
      </c>
      <c r="V34">
        <f>Table1[[#This Row],[FSH(mIU/mL)]]/Table1[[#This Row],[LH(mIU/mL)]]</f>
        <v>6.6666666666666661</v>
      </c>
      <c r="W34" t="str">
        <f>IF(Table1[[#This Row],[FSH/LH]]&gt;=2,"Abnormal","Normal")</f>
        <v>Abnormal</v>
      </c>
      <c r="X34">
        <v>39</v>
      </c>
      <c r="Y34">
        <v>32</v>
      </c>
      <c r="Z34">
        <f>ROUND(Table1[[#This Row],[Waist(inch)]]/Table1[[#This Row],[Hip(inch)]],2)</f>
        <v>0.82</v>
      </c>
      <c r="AA34">
        <v>1.88</v>
      </c>
      <c r="AB34">
        <v>2.34</v>
      </c>
      <c r="AC34">
        <v>23.74</v>
      </c>
      <c r="AD34">
        <v>32.200000000000003</v>
      </c>
      <c r="AE34" t="str">
        <f>IF(Table1[[#This Row],[Vit D3 (ng/mL)]]&lt;20,"Deficiency","Normal")</f>
        <v>Normal</v>
      </c>
      <c r="AF34">
        <v>0.52</v>
      </c>
      <c r="AG34">
        <v>138</v>
      </c>
      <c r="AH34">
        <v>0</v>
      </c>
      <c r="AI34" t="str">
        <f>IF(Table1[[#This Row],[Weight gain(Y/N)]]=0,"NO","YES")</f>
        <v>NO</v>
      </c>
      <c r="AJ34">
        <v>0</v>
      </c>
      <c r="AK34" t="str">
        <f>IF(Table1[[#This Row],[hair growth(Y/N)]]=1,"YES","NO")</f>
        <v>NO</v>
      </c>
      <c r="AL34">
        <v>0</v>
      </c>
      <c r="AM34" t="str">
        <f>IF(Table1[[#This Row],[Skin darkening (Y/N)]]=1,"YES","NO")</f>
        <v>NO</v>
      </c>
      <c r="AN34">
        <v>0</v>
      </c>
      <c r="AO34" t="str">
        <f>IF(Table1[[#This Row],[Hair loss(Y/N)]]=1,"YES","NO")</f>
        <v>NO</v>
      </c>
      <c r="AP34">
        <v>0</v>
      </c>
      <c r="AQ34" t="str">
        <f>IF(Table1[[#This Row],[Pimples(Y/N)]]=1,"YES","NO")</f>
        <v>NO</v>
      </c>
      <c r="AR34">
        <v>0</v>
      </c>
      <c r="AS34" t="str">
        <f>IF(Table1[[#This Row],[Fast food (Y/N)]]=1,"YES","NO")</f>
        <v>NO</v>
      </c>
      <c r="AT34">
        <v>0</v>
      </c>
      <c r="AU34" t="str">
        <f>IF(Table1[[#This Row],[Reg.Exercise(Y/N)]]=1,"YES","NO")</f>
        <v>NO</v>
      </c>
      <c r="AV34">
        <v>120</v>
      </c>
      <c r="AW34">
        <v>80</v>
      </c>
      <c r="AX34">
        <v>8</v>
      </c>
      <c r="AY34">
        <v>9</v>
      </c>
      <c r="AZ34">
        <v>12</v>
      </c>
      <c r="BA34">
        <v>13</v>
      </c>
      <c r="BB34">
        <v>7.5</v>
      </c>
      <c r="BC34" t="str" cm="1">
        <f t="array" ref="BC34">_xlfn.IFS((F34/(G34*G34)*10000)&lt; 18.5,"Underweight",(F34/(G34*G34)*10000)&lt;24.9,"Normal",(F34/(G34*G34)*10000)&lt;29.9,"Overweight",(F34/(G34*G34)*10000)&gt;=30,"obesity")</f>
        <v>Normal</v>
      </c>
      <c r="BD34">
        <f>Table1[[#This Row],[Follicle No. (L)]]+Table1[[#This Row],[Follicle No. (R)]]</f>
        <v>17</v>
      </c>
      <c r="BE34">
        <f>Table1[[#This Row],[Avg. F size (L) (mm)]]+Table1[[#This Row],[Avg. F size (R) (mm)]]</f>
        <v>25</v>
      </c>
      <c r="BF34">
        <f>Table1[[#This Row],[BP _Diastolic (mmHg)]]+(Table1[[#This Row],[BP _Diastolic (mmHg)]]+Table1[[#This Row],[Follicle No. (L)]])/3</f>
        <v>109.33333333333333</v>
      </c>
      <c r="BG34" s="4" t="str" cm="1">
        <f t="array" ref="BG3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4" s="4">
        <f>SUM(Table1[[#This Row],[Pimples(Y/N)]],Table1[[#This Row],[hair growth(Y/N)]],Table1[[#This Row],[Skin darkening (Y/N)]],Table1[[#This Row],[Hair loss(Y/N)]])</f>
        <v>0</v>
      </c>
      <c r="BI34" s="4" t="str">
        <f>IF(AND(Table1[[#This Row],[Pregnant(Y/N)]]=0, Table1[[#This Row],[  I   beta-HCG(mIU/mL)]]&gt;5), "Investigation Required", "Clear")</f>
        <v>Clear</v>
      </c>
    </row>
    <row r="35" spans="1:61" ht="15.75" customHeight="1" x14ac:dyDescent="0.25">
      <c r="A35">
        <v>34</v>
      </c>
      <c r="B35">
        <v>34</v>
      </c>
      <c r="C35">
        <v>0</v>
      </c>
      <c r="D35" t="str">
        <f>IF(Table1[[#This Row],[PCOS (Y/N)]]=0,"NO","YES")</f>
        <v>NO</v>
      </c>
      <c r="E35">
        <v>38</v>
      </c>
      <c r="F35">
        <v>54</v>
      </c>
      <c r="G35">
        <v>165</v>
      </c>
      <c r="H35">
        <v>15</v>
      </c>
      <c r="I35">
        <v>72</v>
      </c>
      <c r="J35">
        <v>18</v>
      </c>
      <c r="K35">
        <v>10.199999999999999</v>
      </c>
      <c r="L35">
        <v>2</v>
      </c>
      <c r="M35">
        <v>5</v>
      </c>
      <c r="N35">
        <v>15</v>
      </c>
      <c r="O35">
        <v>0</v>
      </c>
      <c r="P35" t="str">
        <f>IF(Table1[[#This Row],[Pregnant(Y/N)]]=1,"YES","NO")</f>
        <v>NO</v>
      </c>
      <c r="Q35">
        <v>3</v>
      </c>
      <c r="R35">
        <v>20</v>
      </c>
      <c r="S35">
        <v>20</v>
      </c>
      <c r="T35">
        <v>6.11</v>
      </c>
      <c r="U35">
        <v>1.97</v>
      </c>
      <c r="V35">
        <f>Table1[[#This Row],[FSH(mIU/mL)]]/Table1[[#This Row],[LH(mIU/mL)]]</f>
        <v>3.1015228426395942</v>
      </c>
      <c r="W35" t="str">
        <f>IF(Table1[[#This Row],[FSH/LH]]&gt;=2,"Abnormal","Normal")</f>
        <v>Abnormal</v>
      </c>
      <c r="X35">
        <v>42</v>
      </c>
      <c r="Y35">
        <v>34</v>
      </c>
      <c r="Z35">
        <f>ROUND(Table1[[#This Row],[Waist(inch)]]/Table1[[#This Row],[Hip(inch)]],2)</f>
        <v>0.81</v>
      </c>
      <c r="AA35">
        <v>2.42</v>
      </c>
      <c r="AB35">
        <v>1.58</v>
      </c>
      <c r="AC35">
        <v>40.409999999999997</v>
      </c>
      <c r="AD35">
        <v>36.85</v>
      </c>
      <c r="AE35" t="str">
        <f>IF(Table1[[#This Row],[Vit D3 (ng/mL)]]&lt;20,"Deficiency","Normal")</f>
        <v>Normal</v>
      </c>
      <c r="AF35">
        <v>0.62</v>
      </c>
      <c r="AG35">
        <v>92</v>
      </c>
      <c r="AH35">
        <v>0</v>
      </c>
      <c r="AI35" t="str">
        <f>IF(Table1[[#This Row],[Weight gain(Y/N)]]=0,"NO","YES")</f>
        <v>NO</v>
      </c>
      <c r="AJ35">
        <v>0</v>
      </c>
      <c r="AK35" t="str">
        <f>IF(Table1[[#This Row],[hair growth(Y/N)]]=1,"YES","NO")</f>
        <v>NO</v>
      </c>
      <c r="AL35">
        <v>0</v>
      </c>
      <c r="AM35" t="str">
        <f>IF(Table1[[#This Row],[Skin darkening (Y/N)]]=1,"YES","NO")</f>
        <v>NO</v>
      </c>
      <c r="AN35">
        <v>0</v>
      </c>
      <c r="AO35" t="str">
        <f>IF(Table1[[#This Row],[Hair loss(Y/N)]]=1,"YES","NO")</f>
        <v>NO</v>
      </c>
      <c r="AP35">
        <v>0</v>
      </c>
      <c r="AQ35" t="str">
        <f>IF(Table1[[#This Row],[Pimples(Y/N)]]=1,"YES","NO")</f>
        <v>NO</v>
      </c>
      <c r="AR35">
        <v>0</v>
      </c>
      <c r="AS35" t="str">
        <f>IF(Table1[[#This Row],[Fast food (Y/N)]]=1,"YES","NO")</f>
        <v>NO</v>
      </c>
      <c r="AT35">
        <v>0</v>
      </c>
      <c r="AU35" t="str">
        <f>IF(Table1[[#This Row],[Reg.Exercise(Y/N)]]=1,"YES","NO")</f>
        <v>NO</v>
      </c>
      <c r="AV35">
        <v>120</v>
      </c>
      <c r="AW35">
        <v>80</v>
      </c>
      <c r="AX35">
        <v>2</v>
      </c>
      <c r="AY35">
        <v>5</v>
      </c>
      <c r="AZ35">
        <v>14</v>
      </c>
      <c r="BA35">
        <v>12</v>
      </c>
      <c r="BB35">
        <v>8.5</v>
      </c>
      <c r="BC35" t="str" cm="1">
        <f t="array" ref="BC35">_xlfn.IFS((F35/(G35*G35)*10000)&lt; 18.5,"Underweight",(F35/(G35*G35)*10000)&lt;24.9,"Normal",(F35/(G35*G35)*10000)&lt;29.9,"Overweight",(F35/(G35*G35)*10000)&gt;=30,"obesity")</f>
        <v>Normal</v>
      </c>
      <c r="BD35">
        <f>Table1[[#This Row],[Follicle No. (L)]]+Table1[[#This Row],[Follicle No. (R)]]</f>
        <v>7</v>
      </c>
      <c r="BE35">
        <f>Table1[[#This Row],[Avg. F size (L) (mm)]]+Table1[[#This Row],[Avg. F size (R) (mm)]]</f>
        <v>26</v>
      </c>
      <c r="BF35">
        <f>Table1[[#This Row],[BP _Diastolic (mmHg)]]+(Table1[[#This Row],[BP _Diastolic (mmHg)]]+Table1[[#This Row],[Follicle No. (L)]])/3</f>
        <v>107.33333333333333</v>
      </c>
      <c r="BG35" s="4" t="str" cm="1">
        <f t="array" ref="BG3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5" s="4">
        <f>SUM(Table1[[#This Row],[Pimples(Y/N)]],Table1[[#This Row],[hair growth(Y/N)]],Table1[[#This Row],[Skin darkening (Y/N)]],Table1[[#This Row],[Hair loss(Y/N)]])</f>
        <v>0</v>
      </c>
      <c r="BI35" s="4" t="str">
        <f>IF(AND(Table1[[#This Row],[Pregnant(Y/N)]]=0, Table1[[#This Row],[  I   beta-HCG(mIU/mL)]]&gt;5), "Investigation Required", "Clear")</f>
        <v>Investigation Required</v>
      </c>
    </row>
    <row r="36" spans="1:61" ht="15.75" customHeight="1" x14ac:dyDescent="0.25">
      <c r="A36">
        <v>35</v>
      </c>
      <c r="B36">
        <v>35</v>
      </c>
      <c r="C36">
        <v>0</v>
      </c>
      <c r="D36" t="str">
        <f>IF(Table1[[#This Row],[PCOS (Y/N)]]=0,"NO","YES")</f>
        <v>NO</v>
      </c>
      <c r="E36">
        <v>28</v>
      </c>
      <c r="F36">
        <v>50</v>
      </c>
      <c r="G36">
        <v>158</v>
      </c>
      <c r="H36">
        <v>15</v>
      </c>
      <c r="I36">
        <v>76</v>
      </c>
      <c r="J36">
        <v>20</v>
      </c>
      <c r="K36">
        <v>10</v>
      </c>
      <c r="L36">
        <v>2</v>
      </c>
      <c r="M36">
        <v>5</v>
      </c>
      <c r="N36">
        <v>6</v>
      </c>
      <c r="O36">
        <v>1</v>
      </c>
      <c r="P36" t="str">
        <f>IF(Table1[[#This Row],[Pregnant(Y/N)]]=1,"YES","NO")</f>
        <v>YES</v>
      </c>
      <c r="Q36">
        <v>0</v>
      </c>
      <c r="R36">
        <v>1277.49</v>
      </c>
      <c r="S36">
        <v>30.66</v>
      </c>
      <c r="T36">
        <v>2.17</v>
      </c>
      <c r="U36">
        <v>0.56999999999999995</v>
      </c>
      <c r="V36">
        <f>Table1[[#This Row],[FSH(mIU/mL)]]/Table1[[#This Row],[LH(mIU/mL)]]</f>
        <v>3.8070175438596494</v>
      </c>
      <c r="W36" t="str">
        <f>IF(Table1[[#This Row],[FSH/LH]]&gt;=2,"Abnormal","Normal")</f>
        <v>Abnormal</v>
      </c>
      <c r="X36">
        <v>32</v>
      </c>
      <c r="Y36">
        <v>27</v>
      </c>
      <c r="Z36">
        <f>ROUND(Table1[[#This Row],[Waist(inch)]]/Table1[[#This Row],[Hip(inch)]],2)</f>
        <v>0.84</v>
      </c>
      <c r="AA36">
        <v>1.66</v>
      </c>
      <c r="AB36">
        <v>2.36</v>
      </c>
      <c r="AC36">
        <v>55.2</v>
      </c>
      <c r="AD36">
        <v>36.869999999999997</v>
      </c>
      <c r="AE36" t="str">
        <f>IF(Table1[[#This Row],[Vit D3 (ng/mL)]]&lt;20,"Deficiency","Normal")</f>
        <v>Normal</v>
      </c>
      <c r="AF36">
        <v>0.6</v>
      </c>
      <c r="AG36">
        <v>85</v>
      </c>
      <c r="AH36">
        <v>0</v>
      </c>
      <c r="AI36" t="str">
        <f>IF(Table1[[#This Row],[Weight gain(Y/N)]]=0,"NO","YES")</f>
        <v>NO</v>
      </c>
      <c r="AJ36">
        <v>0</v>
      </c>
      <c r="AK36" t="str">
        <f>IF(Table1[[#This Row],[hair growth(Y/N)]]=1,"YES","NO")</f>
        <v>NO</v>
      </c>
      <c r="AL36">
        <v>0</v>
      </c>
      <c r="AM36" t="str">
        <f>IF(Table1[[#This Row],[Skin darkening (Y/N)]]=1,"YES","NO")</f>
        <v>NO</v>
      </c>
      <c r="AN36">
        <v>0</v>
      </c>
      <c r="AO36" t="str">
        <f>IF(Table1[[#This Row],[Hair loss(Y/N)]]=1,"YES","NO")</f>
        <v>NO</v>
      </c>
      <c r="AP36">
        <v>0</v>
      </c>
      <c r="AQ36" t="str">
        <f>IF(Table1[[#This Row],[Pimples(Y/N)]]=1,"YES","NO")</f>
        <v>NO</v>
      </c>
      <c r="AR36">
        <v>0</v>
      </c>
      <c r="AS36" t="str">
        <f>IF(Table1[[#This Row],[Fast food (Y/N)]]=1,"YES","NO")</f>
        <v>NO</v>
      </c>
      <c r="AT36">
        <v>0</v>
      </c>
      <c r="AU36" t="str">
        <f>IF(Table1[[#This Row],[Reg.Exercise(Y/N)]]=1,"YES","NO")</f>
        <v>NO</v>
      </c>
      <c r="AV36">
        <v>120</v>
      </c>
      <c r="AW36">
        <v>70</v>
      </c>
      <c r="AX36">
        <v>11</v>
      </c>
      <c r="AY36">
        <v>7</v>
      </c>
      <c r="AZ36">
        <v>14</v>
      </c>
      <c r="BA36">
        <v>19</v>
      </c>
      <c r="BB36">
        <v>8</v>
      </c>
      <c r="BC36" t="str" cm="1">
        <f t="array" ref="BC36">_xlfn.IFS((F36/(G36*G36)*10000)&lt; 18.5,"Underweight",(F36/(G36*G36)*10000)&lt;24.9,"Normal",(F36/(G36*G36)*10000)&lt;29.9,"Overweight",(F36/(G36*G36)*10000)&gt;=30,"obesity")</f>
        <v>Normal</v>
      </c>
      <c r="BD36">
        <f>Table1[[#This Row],[Follicle No. (L)]]+Table1[[#This Row],[Follicle No. (R)]]</f>
        <v>18</v>
      </c>
      <c r="BE36">
        <f>Table1[[#This Row],[Avg. F size (L) (mm)]]+Table1[[#This Row],[Avg. F size (R) (mm)]]</f>
        <v>33</v>
      </c>
      <c r="BF36">
        <f>Table1[[#This Row],[BP _Diastolic (mmHg)]]+(Table1[[#This Row],[BP _Diastolic (mmHg)]]+Table1[[#This Row],[Follicle No. (L)]])/3</f>
        <v>97</v>
      </c>
      <c r="BG36" s="4" t="str" cm="1">
        <f t="array" ref="BG3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6" s="4">
        <f>SUM(Table1[[#This Row],[Pimples(Y/N)]],Table1[[#This Row],[hair growth(Y/N)]],Table1[[#This Row],[Skin darkening (Y/N)]],Table1[[#This Row],[Hair loss(Y/N)]])</f>
        <v>0</v>
      </c>
      <c r="BI36" s="4" t="str">
        <f>IF(AND(Table1[[#This Row],[Pregnant(Y/N)]]=0, Table1[[#This Row],[  I   beta-HCG(mIU/mL)]]&gt;5), "Investigation Required", "Clear")</f>
        <v>Clear</v>
      </c>
    </row>
    <row r="37" spans="1:61" ht="15.75" customHeight="1" x14ac:dyDescent="0.25">
      <c r="A37">
        <v>36</v>
      </c>
      <c r="B37">
        <v>36</v>
      </c>
      <c r="C37">
        <v>0</v>
      </c>
      <c r="D37" t="str">
        <f>IF(Table1[[#This Row],[PCOS (Y/N)]]=0,"NO","YES")</f>
        <v>NO</v>
      </c>
      <c r="E37">
        <v>32</v>
      </c>
      <c r="F37">
        <v>71</v>
      </c>
      <c r="G37">
        <v>165</v>
      </c>
      <c r="H37">
        <v>11</v>
      </c>
      <c r="I37">
        <v>72</v>
      </c>
      <c r="J37">
        <v>22</v>
      </c>
      <c r="K37">
        <v>12</v>
      </c>
      <c r="L37">
        <v>2</v>
      </c>
      <c r="M37">
        <v>5</v>
      </c>
      <c r="N37">
        <v>10</v>
      </c>
      <c r="O37">
        <v>1</v>
      </c>
      <c r="P37" t="str">
        <f>IF(Table1[[#This Row],[Pregnant(Y/N)]]=1,"YES","NO")</f>
        <v>YES</v>
      </c>
      <c r="Q37">
        <v>0</v>
      </c>
      <c r="R37">
        <v>1455</v>
      </c>
      <c r="S37">
        <v>1455</v>
      </c>
      <c r="T37">
        <v>2.65</v>
      </c>
      <c r="U37">
        <v>0.52</v>
      </c>
      <c r="V37">
        <f>Table1[[#This Row],[FSH(mIU/mL)]]/Table1[[#This Row],[LH(mIU/mL)]]</f>
        <v>5.0961538461538458</v>
      </c>
      <c r="W37" t="str">
        <f>IF(Table1[[#This Row],[FSH/LH]]&gt;=2,"Abnormal","Normal")</f>
        <v>Abnormal</v>
      </c>
      <c r="X37">
        <v>42</v>
      </c>
      <c r="Y37">
        <v>36</v>
      </c>
      <c r="Z37">
        <f>ROUND(Table1[[#This Row],[Waist(inch)]]/Table1[[#This Row],[Hip(inch)]],2)</f>
        <v>0.86</v>
      </c>
      <c r="AA37">
        <v>2.0299999999999998</v>
      </c>
      <c r="AB37">
        <v>3.64</v>
      </c>
      <c r="AC37">
        <v>19.78</v>
      </c>
      <c r="AD37">
        <v>25.22</v>
      </c>
      <c r="AE37" t="str">
        <f>IF(Table1[[#This Row],[Vit D3 (ng/mL)]]&lt;20,"Deficiency","Normal")</f>
        <v>Normal</v>
      </c>
      <c r="AF37">
        <v>0.45</v>
      </c>
      <c r="AG37">
        <v>80</v>
      </c>
      <c r="AH37">
        <v>0</v>
      </c>
      <c r="AI37" t="str">
        <f>IF(Table1[[#This Row],[Weight gain(Y/N)]]=0,"NO","YES")</f>
        <v>NO</v>
      </c>
      <c r="AJ37">
        <v>0</v>
      </c>
      <c r="AK37" t="str">
        <f>IF(Table1[[#This Row],[hair growth(Y/N)]]=1,"YES","NO")</f>
        <v>NO</v>
      </c>
      <c r="AL37">
        <v>0</v>
      </c>
      <c r="AM37" t="str">
        <f>IF(Table1[[#This Row],[Skin darkening (Y/N)]]=1,"YES","NO")</f>
        <v>NO</v>
      </c>
      <c r="AN37">
        <v>0</v>
      </c>
      <c r="AO37" t="str">
        <f>IF(Table1[[#This Row],[Hair loss(Y/N)]]=1,"YES","NO")</f>
        <v>NO</v>
      </c>
      <c r="AP37">
        <v>0</v>
      </c>
      <c r="AQ37" t="str">
        <f>IF(Table1[[#This Row],[Pimples(Y/N)]]=1,"YES","NO")</f>
        <v>NO</v>
      </c>
      <c r="AR37">
        <v>0</v>
      </c>
      <c r="AS37" t="str">
        <f>IF(Table1[[#This Row],[Fast food (Y/N)]]=1,"YES","NO")</f>
        <v>NO</v>
      </c>
      <c r="AT37">
        <v>0</v>
      </c>
      <c r="AU37" t="str">
        <f>IF(Table1[[#This Row],[Reg.Exercise(Y/N)]]=1,"YES","NO")</f>
        <v>NO</v>
      </c>
      <c r="AV37">
        <v>110</v>
      </c>
      <c r="AW37">
        <v>80</v>
      </c>
      <c r="AX37">
        <v>1</v>
      </c>
      <c r="AY37">
        <v>1</v>
      </c>
      <c r="AZ37">
        <v>11</v>
      </c>
      <c r="BA37">
        <v>12</v>
      </c>
      <c r="BB37">
        <v>7</v>
      </c>
      <c r="BC37" t="str" cm="1">
        <f t="array" ref="BC37">_xlfn.IFS((F37/(G37*G37)*10000)&lt; 18.5,"Underweight",(F37/(G37*G37)*10000)&lt;24.9,"Normal",(F37/(G37*G37)*10000)&lt;29.9,"Overweight",(F37/(G37*G37)*10000)&gt;=30,"obesity")</f>
        <v>Overweight</v>
      </c>
      <c r="BD37">
        <f>Table1[[#This Row],[Follicle No. (L)]]+Table1[[#This Row],[Follicle No. (R)]]</f>
        <v>2</v>
      </c>
      <c r="BE37">
        <f>Table1[[#This Row],[Avg. F size (L) (mm)]]+Table1[[#This Row],[Avg. F size (R) (mm)]]</f>
        <v>23</v>
      </c>
      <c r="BF37">
        <f>Table1[[#This Row],[BP _Diastolic (mmHg)]]+(Table1[[#This Row],[BP _Diastolic (mmHg)]]+Table1[[#This Row],[Follicle No. (L)]])/3</f>
        <v>107</v>
      </c>
      <c r="BG37" s="4" t="str" cm="1">
        <f t="array" ref="BG3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7" s="4">
        <f>SUM(Table1[[#This Row],[Pimples(Y/N)]],Table1[[#This Row],[hair growth(Y/N)]],Table1[[#This Row],[Skin darkening (Y/N)]],Table1[[#This Row],[Hair loss(Y/N)]])</f>
        <v>0</v>
      </c>
      <c r="BI37" s="4" t="str">
        <f>IF(AND(Table1[[#This Row],[Pregnant(Y/N)]]=0, Table1[[#This Row],[  I   beta-HCG(mIU/mL)]]&gt;5), "Investigation Required", "Clear")</f>
        <v>Clear</v>
      </c>
    </row>
    <row r="38" spans="1:61" ht="15.75" customHeight="1" x14ac:dyDescent="0.25">
      <c r="A38">
        <v>37</v>
      </c>
      <c r="B38">
        <v>37</v>
      </c>
      <c r="C38">
        <v>0</v>
      </c>
      <c r="D38" t="str">
        <f>IF(Table1[[#This Row],[PCOS (Y/N)]]=0,"NO","YES")</f>
        <v>NO</v>
      </c>
      <c r="E38">
        <v>37</v>
      </c>
      <c r="F38">
        <v>73</v>
      </c>
      <c r="G38">
        <v>158</v>
      </c>
      <c r="H38">
        <v>15</v>
      </c>
      <c r="I38">
        <v>74</v>
      </c>
      <c r="J38">
        <v>18</v>
      </c>
      <c r="K38">
        <v>10.5</v>
      </c>
      <c r="L38">
        <v>4</v>
      </c>
      <c r="M38">
        <v>7</v>
      </c>
      <c r="N38">
        <v>12</v>
      </c>
      <c r="O38">
        <v>0</v>
      </c>
      <c r="P38" t="str">
        <f>IF(Table1[[#This Row],[Pregnant(Y/N)]]=1,"YES","NO")</f>
        <v>NO</v>
      </c>
      <c r="Q38">
        <v>0</v>
      </c>
      <c r="R38">
        <v>18</v>
      </c>
      <c r="S38">
        <v>1.99</v>
      </c>
      <c r="T38">
        <v>3.22</v>
      </c>
      <c r="U38">
        <v>0.48</v>
      </c>
      <c r="V38">
        <f>Table1[[#This Row],[FSH(mIU/mL)]]/Table1[[#This Row],[LH(mIU/mL)]]</f>
        <v>6.7083333333333339</v>
      </c>
      <c r="W38" t="str">
        <f>IF(Table1[[#This Row],[FSH/LH]]&gt;=2,"Abnormal","Normal")</f>
        <v>Abnormal</v>
      </c>
      <c r="X38">
        <v>45</v>
      </c>
      <c r="Y38">
        <v>38</v>
      </c>
      <c r="Z38">
        <f>ROUND(Table1[[#This Row],[Waist(inch)]]/Table1[[#This Row],[Hip(inch)]],2)</f>
        <v>0.84</v>
      </c>
      <c r="AA38">
        <v>3.57</v>
      </c>
      <c r="AB38">
        <v>2.78</v>
      </c>
      <c r="AC38">
        <v>28.88</v>
      </c>
      <c r="AD38">
        <v>36.58</v>
      </c>
      <c r="AE38" t="str">
        <f>IF(Table1[[#This Row],[Vit D3 (ng/mL)]]&lt;20,"Deficiency","Normal")</f>
        <v>Normal</v>
      </c>
      <c r="AF38">
        <v>0.27</v>
      </c>
      <c r="AG38">
        <v>92</v>
      </c>
      <c r="AH38">
        <v>0</v>
      </c>
      <c r="AI38" t="str">
        <f>IF(Table1[[#This Row],[Weight gain(Y/N)]]=0,"NO","YES")</f>
        <v>NO</v>
      </c>
      <c r="AJ38">
        <v>0</v>
      </c>
      <c r="AK38" t="str">
        <f>IF(Table1[[#This Row],[hair growth(Y/N)]]=1,"YES","NO")</f>
        <v>NO</v>
      </c>
      <c r="AL38">
        <v>0</v>
      </c>
      <c r="AM38" t="str">
        <f>IF(Table1[[#This Row],[Skin darkening (Y/N)]]=1,"YES","NO")</f>
        <v>NO</v>
      </c>
      <c r="AN38">
        <v>0</v>
      </c>
      <c r="AO38" t="str">
        <f>IF(Table1[[#This Row],[Hair loss(Y/N)]]=1,"YES","NO")</f>
        <v>NO</v>
      </c>
      <c r="AP38">
        <v>0</v>
      </c>
      <c r="AQ38" t="str">
        <f>IF(Table1[[#This Row],[Pimples(Y/N)]]=1,"YES","NO")</f>
        <v>NO</v>
      </c>
      <c r="AR38">
        <v>0</v>
      </c>
      <c r="AS38" t="str">
        <f>IF(Table1[[#This Row],[Fast food (Y/N)]]=1,"YES","NO")</f>
        <v>NO</v>
      </c>
      <c r="AT38">
        <v>0</v>
      </c>
      <c r="AU38" t="str">
        <f>IF(Table1[[#This Row],[Reg.Exercise(Y/N)]]=1,"YES","NO")</f>
        <v>NO</v>
      </c>
      <c r="AV38">
        <v>110</v>
      </c>
      <c r="AW38">
        <v>80</v>
      </c>
      <c r="AX38">
        <v>6</v>
      </c>
      <c r="AY38">
        <v>2</v>
      </c>
      <c r="AZ38">
        <v>11</v>
      </c>
      <c r="BA38">
        <v>13</v>
      </c>
      <c r="BB38">
        <v>10</v>
      </c>
      <c r="BC38" t="str" cm="1">
        <f t="array" ref="BC38">_xlfn.IFS((F38/(G38*G38)*10000)&lt; 18.5,"Underweight",(F38/(G38*G38)*10000)&lt;24.9,"Normal",(F38/(G38*G38)*10000)&lt;29.9,"Overweight",(F38/(G38*G38)*10000)&gt;=30,"obesity")</f>
        <v>Overweight</v>
      </c>
      <c r="BD38">
        <f>Table1[[#This Row],[Follicle No. (L)]]+Table1[[#This Row],[Follicle No. (R)]]</f>
        <v>8</v>
      </c>
      <c r="BE38">
        <f>Table1[[#This Row],[Avg. F size (L) (mm)]]+Table1[[#This Row],[Avg. F size (R) (mm)]]</f>
        <v>24</v>
      </c>
      <c r="BF38">
        <f>Table1[[#This Row],[BP _Diastolic (mmHg)]]+(Table1[[#This Row],[BP _Diastolic (mmHg)]]+Table1[[#This Row],[Follicle No. (L)]])/3</f>
        <v>108.66666666666667</v>
      </c>
      <c r="BG38" s="4" t="str" cm="1">
        <f t="array" ref="BG3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8" s="4">
        <f>SUM(Table1[[#This Row],[Pimples(Y/N)]],Table1[[#This Row],[hair growth(Y/N)]],Table1[[#This Row],[Skin darkening (Y/N)]],Table1[[#This Row],[Hair loss(Y/N)]])</f>
        <v>0</v>
      </c>
      <c r="BI38" s="4" t="str">
        <f>IF(AND(Table1[[#This Row],[Pregnant(Y/N)]]=0, Table1[[#This Row],[  I   beta-HCG(mIU/mL)]]&gt;5), "Investigation Required", "Clear")</f>
        <v>Investigation Required</v>
      </c>
    </row>
    <row r="39" spans="1:61" ht="15.75" customHeight="1" x14ac:dyDescent="0.25">
      <c r="A39">
        <v>38</v>
      </c>
      <c r="B39">
        <v>38</v>
      </c>
      <c r="C39">
        <v>0</v>
      </c>
      <c r="D39" t="str">
        <f>IF(Table1[[#This Row],[PCOS (Y/N)]]=0,"NO","YES")</f>
        <v>NO</v>
      </c>
      <c r="E39">
        <v>26</v>
      </c>
      <c r="F39">
        <v>72</v>
      </c>
      <c r="G39">
        <v>157</v>
      </c>
      <c r="H39">
        <v>11</v>
      </c>
      <c r="I39">
        <v>70</v>
      </c>
      <c r="J39">
        <v>18</v>
      </c>
      <c r="K39">
        <v>11</v>
      </c>
      <c r="L39">
        <v>2</v>
      </c>
      <c r="M39">
        <v>5</v>
      </c>
      <c r="N39">
        <v>1</v>
      </c>
      <c r="O39">
        <v>0</v>
      </c>
      <c r="P39" t="str">
        <f>IF(Table1[[#This Row],[Pregnant(Y/N)]]=1,"YES","NO")</f>
        <v>NO</v>
      </c>
      <c r="Q39">
        <v>0</v>
      </c>
      <c r="R39">
        <v>12</v>
      </c>
      <c r="S39">
        <v>1.99</v>
      </c>
      <c r="T39">
        <v>6.04</v>
      </c>
      <c r="U39">
        <v>2.3199999999999998</v>
      </c>
      <c r="V39">
        <f>Table1[[#This Row],[FSH(mIU/mL)]]/Table1[[#This Row],[LH(mIU/mL)]]</f>
        <v>2.603448275862069</v>
      </c>
      <c r="W39" t="str">
        <f>IF(Table1[[#This Row],[FSH/LH]]&gt;=2,"Abnormal","Normal")</f>
        <v>Abnormal</v>
      </c>
      <c r="X39">
        <v>42</v>
      </c>
      <c r="Y39">
        <v>34</v>
      </c>
      <c r="Z39">
        <f>ROUND(Table1[[#This Row],[Waist(inch)]]/Table1[[#This Row],[Hip(inch)]],2)</f>
        <v>0.81</v>
      </c>
      <c r="AA39">
        <v>65</v>
      </c>
      <c r="AB39">
        <v>0.88</v>
      </c>
      <c r="AC39">
        <v>30.59</v>
      </c>
      <c r="AD39">
        <v>20.25</v>
      </c>
      <c r="AE39" t="str">
        <f>IF(Table1[[#This Row],[Vit D3 (ng/mL)]]&lt;20,"Deficiency","Normal")</f>
        <v>Normal</v>
      </c>
      <c r="AF39">
        <v>0.88</v>
      </c>
      <c r="AG39">
        <v>90</v>
      </c>
      <c r="AH39">
        <v>0</v>
      </c>
      <c r="AI39" t="str">
        <f>IF(Table1[[#This Row],[Weight gain(Y/N)]]=0,"NO","YES")</f>
        <v>NO</v>
      </c>
      <c r="AJ39">
        <v>0</v>
      </c>
      <c r="AK39" t="str">
        <f>IF(Table1[[#This Row],[hair growth(Y/N)]]=1,"YES","NO")</f>
        <v>NO</v>
      </c>
      <c r="AL39">
        <v>0</v>
      </c>
      <c r="AM39" t="str">
        <f>IF(Table1[[#This Row],[Skin darkening (Y/N)]]=1,"YES","NO")</f>
        <v>NO</v>
      </c>
      <c r="AN39">
        <v>0</v>
      </c>
      <c r="AO39" t="str">
        <f>IF(Table1[[#This Row],[Hair loss(Y/N)]]=1,"YES","NO")</f>
        <v>NO</v>
      </c>
      <c r="AP39">
        <v>0</v>
      </c>
      <c r="AQ39" t="str">
        <f>IF(Table1[[#This Row],[Pimples(Y/N)]]=1,"YES","NO")</f>
        <v>NO</v>
      </c>
      <c r="AR39">
        <v>0</v>
      </c>
      <c r="AS39" t="str">
        <f>IF(Table1[[#This Row],[Fast food (Y/N)]]=1,"YES","NO")</f>
        <v>NO</v>
      </c>
      <c r="AT39">
        <v>0</v>
      </c>
      <c r="AU39" t="str">
        <f>IF(Table1[[#This Row],[Reg.Exercise(Y/N)]]=1,"YES","NO")</f>
        <v>NO</v>
      </c>
      <c r="AV39">
        <v>120</v>
      </c>
      <c r="AW39">
        <v>80</v>
      </c>
      <c r="AX39">
        <v>1</v>
      </c>
      <c r="AY39">
        <v>2</v>
      </c>
      <c r="AZ39">
        <v>6.5</v>
      </c>
      <c r="BA39">
        <v>8.5</v>
      </c>
      <c r="BB39">
        <v>10</v>
      </c>
      <c r="BC39" t="str" cm="1">
        <f t="array" ref="BC39">_xlfn.IFS((F39/(G39*G39)*10000)&lt; 18.5,"Underweight",(F39/(G39*G39)*10000)&lt;24.9,"Normal",(F39/(G39*G39)*10000)&lt;29.9,"Overweight",(F39/(G39*G39)*10000)&gt;=30,"obesity")</f>
        <v>Overweight</v>
      </c>
      <c r="BD39">
        <f>Table1[[#This Row],[Follicle No. (L)]]+Table1[[#This Row],[Follicle No. (R)]]</f>
        <v>3</v>
      </c>
      <c r="BE39">
        <f>Table1[[#This Row],[Avg. F size (L) (mm)]]+Table1[[#This Row],[Avg. F size (R) (mm)]]</f>
        <v>15</v>
      </c>
      <c r="BF39">
        <f>Table1[[#This Row],[BP _Diastolic (mmHg)]]+(Table1[[#This Row],[BP _Diastolic (mmHg)]]+Table1[[#This Row],[Follicle No. (L)]])/3</f>
        <v>107</v>
      </c>
      <c r="BG39" s="4" t="str" cm="1">
        <f t="array" ref="BG3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9" s="4">
        <f>SUM(Table1[[#This Row],[Pimples(Y/N)]],Table1[[#This Row],[hair growth(Y/N)]],Table1[[#This Row],[Skin darkening (Y/N)]],Table1[[#This Row],[Hair loss(Y/N)]])</f>
        <v>0</v>
      </c>
      <c r="BI39" s="4" t="str">
        <f>IF(AND(Table1[[#This Row],[Pregnant(Y/N)]]=0, Table1[[#This Row],[  I   beta-HCG(mIU/mL)]]&gt;5), "Investigation Required", "Clear")</f>
        <v>Investigation Required</v>
      </c>
    </row>
    <row r="40" spans="1:61" ht="15.75" customHeight="1" x14ac:dyDescent="0.25">
      <c r="A40">
        <v>39</v>
      </c>
      <c r="B40">
        <v>39</v>
      </c>
      <c r="C40">
        <v>0</v>
      </c>
      <c r="D40" t="str">
        <f>IF(Table1[[#This Row],[PCOS (Y/N)]]=0,"NO","YES")</f>
        <v>NO</v>
      </c>
      <c r="E40">
        <v>36</v>
      </c>
      <c r="F40">
        <v>53</v>
      </c>
      <c r="G40">
        <v>158</v>
      </c>
      <c r="H40">
        <v>13</v>
      </c>
      <c r="I40">
        <v>78</v>
      </c>
      <c r="J40">
        <v>22</v>
      </c>
      <c r="K40">
        <v>11</v>
      </c>
      <c r="L40">
        <v>2</v>
      </c>
      <c r="M40">
        <v>5</v>
      </c>
      <c r="N40">
        <v>17</v>
      </c>
      <c r="O40">
        <v>0</v>
      </c>
      <c r="P40" t="str">
        <f>IF(Table1[[#This Row],[Pregnant(Y/N)]]=1,"YES","NO")</f>
        <v>NO</v>
      </c>
      <c r="Q40">
        <v>0</v>
      </c>
      <c r="R40">
        <v>10</v>
      </c>
      <c r="S40">
        <v>1.99</v>
      </c>
      <c r="T40">
        <v>3.99</v>
      </c>
      <c r="U40">
        <v>1.99</v>
      </c>
      <c r="V40">
        <f>Table1[[#This Row],[FSH(mIU/mL)]]/Table1[[#This Row],[LH(mIU/mL)]]</f>
        <v>2.0050251256281406</v>
      </c>
      <c r="W40" t="str">
        <f>IF(Table1[[#This Row],[FSH/LH]]&gt;=2,"Abnormal","Normal")</f>
        <v>Abnormal</v>
      </c>
      <c r="X40">
        <v>39</v>
      </c>
      <c r="Y40">
        <v>32</v>
      </c>
      <c r="Z40">
        <f>ROUND(Table1[[#This Row],[Waist(inch)]]/Table1[[#This Row],[Hip(inch)]],2)</f>
        <v>0.82</v>
      </c>
      <c r="AA40">
        <v>2.3759999999999999</v>
      </c>
      <c r="AB40">
        <v>2.36</v>
      </c>
      <c r="AC40">
        <v>19.64</v>
      </c>
      <c r="AD40">
        <v>45.55</v>
      </c>
      <c r="AE40" t="str">
        <f>IF(Table1[[#This Row],[Vit D3 (ng/mL)]]&lt;20,"Deficiency","Normal")</f>
        <v>Normal</v>
      </c>
      <c r="AF40">
        <v>0.65</v>
      </c>
      <c r="AG40">
        <v>100</v>
      </c>
      <c r="AH40">
        <v>0</v>
      </c>
      <c r="AI40" t="str">
        <f>IF(Table1[[#This Row],[Weight gain(Y/N)]]=0,"NO","YES")</f>
        <v>NO</v>
      </c>
      <c r="AJ40">
        <v>0</v>
      </c>
      <c r="AK40" t="str">
        <f>IF(Table1[[#This Row],[hair growth(Y/N)]]=1,"YES","NO")</f>
        <v>NO</v>
      </c>
      <c r="AL40">
        <v>0</v>
      </c>
      <c r="AM40" t="str">
        <f>IF(Table1[[#This Row],[Skin darkening (Y/N)]]=1,"YES","NO")</f>
        <v>NO</v>
      </c>
      <c r="AN40">
        <v>0</v>
      </c>
      <c r="AO40" t="str">
        <f>IF(Table1[[#This Row],[Hair loss(Y/N)]]=1,"YES","NO")</f>
        <v>NO</v>
      </c>
      <c r="AP40">
        <v>0</v>
      </c>
      <c r="AQ40" t="str">
        <f>IF(Table1[[#This Row],[Pimples(Y/N)]]=1,"YES","NO")</f>
        <v>NO</v>
      </c>
      <c r="AR40">
        <v>0</v>
      </c>
      <c r="AS40" t="str">
        <f>IF(Table1[[#This Row],[Fast food (Y/N)]]=1,"YES","NO")</f>
        <v>NO</v>
      </c>
      <c r="AT40">
        <v>0</v>
      </c>
      <c r="AU40" t="str">
        <f>IF(Table1[[#This Row],[Reg.Exercise(Y/N)]]=1,"YES","NO")</f>
        <v>NO</v>
      </c>
      <c r="AV40">
        <v>110</v>
      </c>
      <c r="AW40">
        <v>80</v>
      </c>
      <c r="AX40">
        <v>7</v>
      </c>
      <c r="AY40">
        <v>5</v>
      </c>
      <c r="AZ40">
        <v>8</v>
      </c>
      <c r="BA40">
        <v>7</v>
      </c>
      <c r="BB40">
        <v>15</v>
      </c>
      <c r="BC40" t="str" cm="1">
        <f t="array" ref="BC40">_xlfn.IFS((F40/(G40*G40)*10000)&lt; 18.5,"Underweight",(F40/(G40*G40)*10000)&lt;24.9,"Normal",(F40/(G40*G40)*10000)&lt;29.9,"Overweight",(F40/(G40*G40)*10000)&gt;=30,"obesity")</f>
        <v>Normal</v>
      </c>
      <c r="BD40">
        <f>Table1[[#This Row],[Follicle No. (L)]]+Table1[[#This Row],[Follicle No. (R)]]</f>
        <v>12</v>
      </c>
      <c r="BE40">
        <f>Table1[[#This Row],[Avg. F size (L) (mm)]]+Table1[[#This Row],[Avg. F size (R) (mm)]]</f>
        <v>15</v>
      </c>
      <c r="BF40">
        <f>Table1[[#This Row],[BP _Diastolic (mmHg)]]+(Table1[[#This Row],[BP _Diastolic (mmHg)]]+Table1[[#This Row],[Follicle No. (L)]])/3</f>
        <v>109</v>
      </c>
      <c r="BG40" s="4" t="str" cm="1">
        <f t="array" ref="BG4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0" s="4">
        <f>SUM(Table1[[#This Row],[Pimples(Y/N)]],Table1[[#This Row],[hair growth(Y/N)]],Table1[[#This Row],[Skin darkening (Y/N)]],Table1[[#This Row],[Hair loss(Y/N)]])</f>
        <v>0</v>
      </c>
      <c r="BI40" s="4" t="str">
        <f>IF(AND(Table1[[#This Row],[Pregnant(Y/N)]]=0, Table1[[#This Row],[  I   beta-HCG(mIU/mL)]]&gt;5), "Investigation Required", "Clear")</f>
        <v>Investigation Required</v>
      </c>
    </row>
    <row r="41" spans="1:61" ht="15.75" customHeight="1" x14ac:dyDescent="0.25">
      <c r="A41">
        <v>40</v>
      </c>
      <c r="B41">
        <v>40</v>
      </c>
      <c r="C41">
        <v>0</v>
      </c>
      <c r="D41" t="str">
        <f>IF(Table1[[#This Row],[PCOS (Y/N)]]=0,"NO","YES")</f>
        <v>NO</v>
      </c>
      <c r="E41">
        <v>20</v>
      </c>
      <c r="F41">
        <v>74</v>
      </c>
      <c r="G41">
        <v>171</v>
      </c>
      <c r="H41">
        <v>13</v>
      </c>
      <c r="I41">
        <v>74</v>
      </c>
      <c r="J41">
        <v>16</v>
      </c>
      <c r="K41">
        <v>11.1</v>
      </c>
      <c r="L41">
        <v>4</v>
      </c>
      <c r="M41">
        <v>0</v>
      </c>
      <c r="N41">
        <v>1</v>
      </c>
      <c r="O41">
        <v>0</v>
      </c>
      <c r="P41" t="str">
        <f>IF(Table1[[#This Row],[Pregnant(Y/N)]]=1,"YES","NO")</f>
        <v>NO</v>
      </c>
      <c r="Q41">
        <v>0</v>
      </c>
      <c r="R41">
        <v>1.99</v>
      </c>
      <c r="S41">
        <v>1.99</v>
      </c>
      <c r="T41">
        <v>3.52</v>
      </c>
      <c r="U41">
        <v>9.17</v>
      </c>
      <c r="V41">
        <f>Table1[[#This Row],[FSH(mIU/mL)]]/Table1[[#This Row],[LH(mIU/mL)]]</f>
        <v>0.38386041439476554</v>
      </c>
      <c r="W41" t="str">
        <f>IF(Table1[[#This Row],[FSH/LH]]&gt;=2,"Abnormal","Normal")</f>
        <v>Normal</v>
      </c>
      <c r="X41">
        <v>42</v>
      </c>
      <c r="Y41">
        <v>36</v>
      </c>
      <c r="Z41">
        <f>ROUND(Table1[[#This Row],[Waist(inch)]]/Table1[[#This Row],[Hip(inch)]],2)</f>
        <v>0.86</v>
      </c>
      <c r="AA41">
        <v>2.0099999999999998</v>
      </c>
      <c r="AB41">
        <v>0.33</v>
      </c>
      <c r="AC41">
        <v>12.49</v>
      </c>
      <c r="AD41">
        <v>38.630000000000003</v>
      </c>
      <c r="AE41" t="str">
        <f>IF(Table1[[#This Row],[Vit D3 (ng/mL)]]&lt;20,"Deficiency","Normal")</f>
        <v>Normal</v>
      </c>
      <c r="AF41">
        <v>0.32</v>
      </c>
      <c r="AG41">
        <v>80</v>
      </c>
      <c r="AH41">
        <v>0</v>
      </c>
      <c r="AI41" t="str">
        <f>IF(Table1[[#This Row],[Weight gain(Y/N)]]=0,"NO","YES")</f>
        <v>NO</v>
      </c>
      <c r="AJ41">
        <v>0</v>
      </c>
      <c r="AK41" t="str">
        <f>IF(Table1[[#This Row],[hair growth(Y/N)]]=1,"YES","NO")</f>
        <v>NO</v>
      </c>
      <c r="AL41">
        <v>0</v>
      </c>
      <c r="AM41" t="str">
        <f>IF(Table1[[#This Row],[Skin darkening (Y/N)]]=1,"YES","NO")</f>
        <v>NO</v>
      </c>
      <c r="AN41">
        <v>0</v>
      </c>
      <c r="AO41" t="str">
        <f>IF(Table1[[#This Row],[Hair loss(Y/N)]]=1,"YES","NO")</f>
        <v>NO</v>
      </c>
      <c r="AP41">
        <v>0</v>
      </c>
      <c r="AQ41" t="str">
        <f>IF(Table1[[#This Row],[Pimples(Y/N)]]=1,"YES","NO")</f>
        <v>NO</v>
      </c>
      <c r="AR41">
        <v>0</v>
      </c>
      <c r="AS41" t="str">
        <f>IF(Table1[[#This Row],[Fast food (Y/N)]]=1,"YES","NO")</f>
        <v>NO</v>
      </c>
      <c r="AT41">
        <v>0</v>
      </c>
      <c r="AU41" t="str">
        <f>IF(Table1[[#This Row],[Reg.Exercise(Y/N)]]=1,"YES","NO")</f>
        <v>NO</v>
      </c>
      <c r="AV41">
        <v>110</v>
      </c>
      <c r="AW41">
        <v>70</v>
      </c>
      <c r="AX41">
        <v>6</v>
      </c>
      <c r="AY41">
        <v>12</v>
      </c>
      <c r="AZ41">
        <v>13</v>
      </c>
      <c r="BA41">
        <v>12</v>
      </c>
      <c r="BB41">
        <v>0</v>
      </c>
      <c r="BC41" t="str" cm="1">
        <f t="array" ref="BC41">_xlfn.IFS((F41/(G41*G41)*10000)&lt; 18.5,"Underweight",(F41/(G41*G41)*10000)&lt;24.9,"Normal",(F41/(G41*G41)*10000)&lt;29.9,"Overweight",(F41/(G41*G41)*10000)&gt;=30,"obesity")</f>
        <v>Overweight</v>
      </c>
      <c r="BD41">
        <f>Table1[[#This Row],[Follicle No. (L)]]+Table1[[#This Row],[Follicle No. (R)]]</f>
        <v>18</v>
      </c>
      <c r="BE41">
        <f>Table1[[#This Row],[Avg. F size (L) (mm)]]+Table1[[#This Row],[Avg. F size (R) (mm)]]</f>
        <v>25</v>
      </c>
      <c r="BF41">
        <f>Table1[[#This Row],[BP _Diastolic (mmHg)]]+(Table1[[#This Row],[BP _Diastolic (mmHg)]]+Table1[[#This Row],[Follicle No. (L)]])/3</f>
        <v>95.333333333333329</v>
      </c>
      <c r="BG41" s="4" t="str" cm="1">
        <f t="array" ref="BG4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1" s="4">
        <f>SUM(Table1[[#This Row],[Pimples(Y/N)]],Table1[[#This Row],[hair growth(Y/N)]],Table1[[#This Row],[Skin darkening (Y/N)]],Table1[[#This Row],[Hair loss(Y/N)]])</f>
        <v>0</v>
      </c>
      <c r="BI41" s="4" t="str">
        <f>IF(AND(Table1[[#This Row],[Pregnant(Y/N)]]=0, Table1[[#This Row],[  I   beta-HCG(mIU/mL)]]&gt;5), "Investigation Required", "Clear")</f>
        <v>Clear</v>
      </c>
    </row>
    <row r="42" spans="1:61" ht="15.75" customHeight="1" x14ac:dyDescent="0.25">
      <c r="A42">
        <v>41</v>
      </c>
      <c r="B42">
        <v>41</v>
      </c>
      <c r="C42">
        <v>0</v>
      </c>
      <c r="D42" t="str">
        <f>IF(Table1[[#This Row],[PCOS (Y/N)]]=0,"NO","YES")</f>
        <v>NO</v>
      </c>
      <c r="E42">
        <v>32</v>
      </c>
      <c r="F42">
        <v>40</v>
      </c>
      <c r="G42">
        <v>156</v>
      </c>
      <c r="H42">
        <v>15</v>
      </c>
      <c r="I42">
        <v>78</v>
      </c>
      <c r="J42">
        <v>22</v>
      </c>
      <c r="K42">
        <v>10.5</v>
      </c>
      <c r="L42">
        <v>2</v>
      </c>
      <c r="M42">
        <v>5</v>
      </c>
      <c r="N42">
        <v>6</v>
      </c>
      <c r="O42">
        <v>0</v>
      </c>
      <c r="P42" t="str">
        <f>IF(Table1[[#This Row],[Pregnant(Y/N)]]=1,"YES","NO")</f>
        <v>NO</v>
      </c>
      <c r="Q42">
        <v>0</v>
      </c>
      <c r="R42">
        <v>10</v>
      </c>
      <c r="S42">
        <v>1.99</v>
      </c>
      <c r="T42">
        <v>7.87</v>
      </c>
      <c r="U42">
        <v>4.8899999999999997</v>
      </c>
      <c r="V42">
        <f>Table1[[#This Row],[FSH(mIU/mL)]]/Table1[[#This Row],[LH(mIU/mL)]]</f>
        <v>1.6094069529652353</v>
      </c>
      <c r="W42" t="str">
        <f>IF(Table1[[#This Row],[FSH/LH]]&gt;=2,"Abnormal","Normal")</f>
        <v>Normal</v>
      </c>
      <c r="X42">
        <v>34</v>
      </c>
      <c r="Y42">
        <v>30</v>
      </c>
      <c r="Z42">
        <f>ROUND(Table1[[#This Row],[Waist(inch)]]/Table1[[#This Row],[Hip(inch)]],2)</f>
        <v>0.88</v>
      </c>
      <c r="AA42">
        <v>5</v>
      </c>
      <c r="AB42">
        <v>2.35</v>
      </c>
      <c r="AC42">
        <v>31.32</v>
      </c>
      <c r="AD42">
        <v>56.2</v>
      </c>
      <c r="AE42" t="str">
        <f>IF(Table1[[#This Row],[Vit D3 (ng/mL)]]&lt;20,"Deficiency","Normal")</f>
        <v>Normal</v>
      </c>
      <c r="AF42">
        <v>0.25</v>
      </c>
      <c r="AG42">
        <v>107</v>
      </c>
      <c r="AH42">
        <v>0</v>
      </c>
      <c r="AI42" t="str">
        <f>IF(Table1[[#This Row],[Weight gain(Y/N)]]=0,"NO","YES")</f>
        <v>NO</v>
      </c>
      <c r="AJ42">
        <v>0</v>
      </c>
      <c r="AK42" t="str">
        <f>IF(Table1[[#This Row],[hair growth(Y/N)]]=1,"YES","NO")</f>
        <v>NO</v>
      </c>
      <c r="AL42">
        <v>0</v>
      </c>
      <c r="AM42" t="str">
        <f>IF(Table1[[#This Row],[Skin darkening (Y/N)]]=1,"YES","NO")</f>
        <v>NO</v>
      </c>
      <c r="AN42">
        <v>0</v>
      </c>
      <c r="AO42" t="str">
        <f>IF(Table1[[#This Row],[Hair loss(Y/N)]]=1,"YES","NO")</f>
        <v>NO</v>
      </c>
      <c r="AP42">
        <v>0</v>
      </c>
      <c r="AQ42" t="str">
        <f>IF(Table1[[#This Row],[Pimples(Y/N)]]=1,"YES","NO")</f>
        <v>NO</v>
      </c>
      <c r="AR42">
        <v>0</v>
      </c>
      <c r="AS42" t="str">
        <f>IF(Table1[[#This Row],[Fast food (Y/N)]]=1,"YES","NO")</f>
        <v>NO</v>
      </c>
      <c r="AT42">
        <v>0</v>
      </c>
      <c r="AU42" t="str">
        <f>IF(Table1[[#This Row],[Reg.Exercise(Y/N)]]=1,"YES","NO")</f>
        <v>NO</v>
      </c>
      <c r="AV42">
        <v>110</v>
      </c>
      <c r="AW42">
        <v>80</v>
      </c>
      <c r="AX42">
        <v>5</v>
      </c>
      <c r="AY42">
        <v>8</v>
      </c>
      <c r="AZ42">
        <v>14</v>
      </c>
      <c r="BA42">
        <v>14</v>
      </c>
      <c r="BB42">
        <v>7.3</v>
      </c>
      <c r="BC42" t="str" cm="1">
        <f t="array" ref="BC42">_xlfn.IFS((F42/(G42*G42)*10000)&lt; 18.5,"Underweight",(F42/(G42*G42)*10000)&lt;24.9,"Normal",(F42/(G42*G42)*10000)&lt;29.9,"Overweight",(F42/(G42*G42)*10000)&gt;=30,"obesity")</f>
        <v>Underweight</v>
      </c>
      <c r="BD42">
        <f>Table1[[#This Row],[Follicle No. (L)]]+Table1[[#This Row],[Follicle No. (R)]]</f>
        <v>13</v>
      </c>
      <c r="BE42">
        <f>Table1[[#This Row],[Avg. F size (L) (mm)]]+Table1[[#This Row],[Avg. F size (R) (mm)]]</f>
        <v>28</v>
      </c>
      <c r="BF42">
        <f>Table1[[#This Row],[BP _Diastolic (mmHg)]]+(Table1[[#This Row],[BP _Diastolic (mmHg)]]+Table1[[#This Row],[Follicle No. (L)]])/3</f>
        <v>108.33333333333333</v>
      </c>
      <c r="BG42" s="4" t="str" cm="1">
        <f t="array" ref="BG4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2" s="4">
        <f>SUM(Table1[[#This Row],[Pimples(Y/N)]],Table1[[#This Row],[hair growth(Y/N)]],Table1[[#This Row],[Skin darkening (Y/N)]],Table1[[#This Row],[Hair loss(Y/N)]])</f>
        <v>0</v>
      </c>
      <c r="BI42" s="4" t="str">
        <f>IF(AND(Table1[[#This Row],[Pregnant(Y/N)]]=0, Table1[[#This Row],[  I   beta-HCG(mIU/mL)]]&gt;5), "Investigation Required", "Clear")</f>
        <v>Investigation Required</v>
      </c>
    </row>
    <row r="43" spans="1:61" ht="15.75" customHeight="1" x14ac:dyDescent="0.25">
      <c r="A43">
        <v>42</v>
      </c>
      <c r="B43">
        <v>42</v>
      </c>
      <c r="C43">
        <v>0</v>
      </c>
      <c r="D43" t="str">
        <f>IF(Table1[[#This Row],[PCOS (Y/N)]]=0,"NO","YES")</f>
        <v>NO</v>
      </c>
      <c r="E43">
        <v>29</v>
      </c>
      <c r="F43">
        <v>78</v>
      </c>
      <c r="G43">
        <v>165</v>
      </c>
      <c r="H43">
        <v>13</v>
      </c>
      <c r="I43">
        <v>72</v>
      </c>
      <c r="J43">
        <v>16</v>
      </c>
      <c r="K43">
        <v>12.8</v>
      </c>
      <c r="L43">
        <v>2</v>
      </c>
      <c r="M43">
        <v>5</v>
      </c>
      <c r="N43">
        <v>2</v>
      </c>
      <c r="O43">
        <v>1</v>
      </c>
      <c r="P43" t="str">
        <f>IF(Table1[[#This Row],[Pregnant(Y/N)]]=1,"YES","NO")</f>
        <v>YES</v>
      </c>
      <c r="Q43">
        <v>0</v>
      </c>
      <c r="R43">
        <v>497.41</v>
      </c>
      <c r="S43">
        <v>497.41</v>
      </c>
      <c r="T43">
        <v>5.6</v>
      </c>
      <c r="U43">
        <v>2.13</v>
      </c>
      <c r="V43">
        <f>Table1[[#This Row],[FSH(mIU/mL)]]/Table1[[#This Row],[LH(mIU/mL)]]</f>
        <v>2.629107981220657</v>
      </c>
      <c r="W43" t="str">
        <f>IF(Table1[[#This Row],[FSH/LH]]&gt;=2,"Abnormal","Normal")</f>
        <v>Abnormal</v>
      </c>
      <c r="X43">
        <v>42</v>
      </c>
      <c r="Y43">
        <v>36</v>
      </c>
      <c r="Z43">
        <f>ROUND(Table1[[#This Row],[Waist(inch)]]/Table1[[#This Row],[Hip(inch)]],2)</f>
        <v>0.86</v>
      </c>
      <c r="AA43">
        <v>0.93</v>
      </c>
      <c r="AB43">
        <v>3.88</v>
      </c>
      <c r="AC43">
        <v>20.46</v>
      </c>
      <c r="AD43">
        <v>14.36</v>
      </c>
      <c r="AE43" t="str">
        <f>IF(Table1[[#This Row],[Vit D3 (ng/mL)]]&lt;20,"Deficiency","Normal")</f>
        <v>Deficiency</v>
      </c>
      <c r="AF43">
        <v>85</v>
      </c>
      <c r="AG43">
        <v>92</v>
      </c>
      <c r="AH43">
        <v>0</v>
      </c>
      <c r="AI43" t="str">
        <f>IF(Table1[[#This Row],[Weight gain(Y/N)]]=0,"NO","YES")</f>
        <v>NO</v>
      </c>
      <c r="AJ43">
        <v>0</v>
      </c>
      <c r="AK43" t="str">
        <f>IF(Table1[[#This Row],[hair growth(Y/N)]]=1,"YES","NO")</f>
        <v>NO</v>
      </c>
      <c r="AL43">
        <v>0</v>
      </c>
      <c r="AM43" t="str">
        <f>IF(Table1[[#This Row],[Skin darkening (Y/N)]]=1,"YES","NO")</f>
        <v>NO</v>
      </c>
      <c r="AN43">
        <v>0</v>
      </c>
      <c r="AO43" t="str">
        <f>IF(Table1[[#This Row],[Hair loss(Y/N)]]=1,"YES","NO")</f>
        <v>NO</v>
      </c>
      <c r="AP43">
        <v>0</v>
      </c>
      <c r="AQ43" t="str">
        <f>IF(Table1[[#This Row],[Pimples(Y/N)]]=1,"YES","NO")</f>
        <v>NO</v>
      </c>
      <c r="AR43">
        <v>0</v>
      </c>
      <c r="AS43" t="str">
        <f>IF(Table1[[#This Row],[Fast food (Y/N)]]=1,"YES","NO")</f>
        <v>NO</v>
      </c>
      <c r="AT43">
        <v>0</v>
      </c>
      <c r="AU43" t="str">
        <f>IF(Table1[[#This Row],[Reg.Exercise(Y/N)]]=1,"YES","NO")</f>
        <v>NO</v>
      </c>
      <c r="AV43">
        <v>110</v>
      </c>
      <c r="AW43">
        <v>80</v>
      </c>
      <c r="AX43">
        <v>8</v>
      </c>
      <c r="AY43">
        <v>10</v>
      </c>
      <c r="AZ43">
        <v>11</v>
      </c>
      <c r="BA43">
        <v>12</v>
      </c>
      <c r="BB43">
        <v>6.5</v>
      </c>
      <c r="BC43" t="str" cm="1">
        <f t="array" ref="BC43">_xlfn.IFS((F43/(G43*G43)*10000)&lt; 18.5,"Underweight",(F43/(G43*G43)*10000)&lt;24.9,"Normal",(F43/(G43*G43)*10000)&lt;29.9,"Overweight",(F43/(G43*G43)*10000)&gt;=30,"obesity")</f>
        <v>Overweight</v>
      </c>
      <c r="BD43">
        <f>Table1[[#This Row],[Follicle No. (L)]]+Table1[[#This Row],[Follicle No. (R)]]</f>
        <v>18</v>
      </c>
      <c r="BE43">
        <f>Table1[[#This Row],[Avg. F size (L) (mm)]]+Table1[[#This Row],[Avg. F size (R) (mm)]]</f>
        <v>23</v>
      </c>
      <c r="BF43">
        <f>Table1[[#This Row],[BP _Diastolic (mmHg)]]+(Table1[[#This Row],[BP _Diastolic (mmHg)]]+Table1[[#This Row],[Follicle No. (L)]])/3</f>
        <v>109.33333333333333</v>
      </c>
      <c r="BG43" s="4" t="str" cm="1">
        <f t="array" ref="BG4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3" s="4">
        <f>SUM(Table1[[#This Row],[Pimples(Y/N)]],Table1[[#This Row],[hair growth(Y/N)]],Table1[[#This Row],[Skin darkening (Y/N)]],Table1[[#This Row],[Hair loss(Y/N)]])</f>
        <v>0</v>
      </c>
      <c r="BI43" s="4" t="str">
        <f>IF(AND(Table1[[#This Row],[Pregnant(Y/N)]]=0, Table1[[#This Row],[  I   beta-HCG(mIU/mL)]]&gt;5), "Investigation Required", "Clear")</f>
        <v>Clear</v>
      </c>
    </row>
    <row r="44" spans="1:61" ht="15.75" customHeight="1" x14ac:dyDescent="0.25">
      <c r="A44">
        <v>43</v>
      </c>
      <c r="B44">
        <v>43</v>
      </c>
      <c r="C44">
        <v>0</v>
      </c>
      <c r="D44" t="str">
        <f>IF(Table1[[#This Row],[PCOS (Y/N)]]=0,"NO","YES")</f>
        <v>NO</v>
      </c>
      <c r="E44">
        <v>28</v>
      </c>
      <c r="F44">
        <v>33</v>
      </c>
      <c r="G44">
        <v>157</v>
      </c>
      <c r="H44">
        <v>13</v>
      </c>
      <c r="I44">
        <v>78</v>
      </c>
      <c r="J44">
        <v>18</v>
      </c>
      <c r="K44">
        <v>11.5</v>
      </c>
      <c r="L44">
        <v>4</v>
      </c>
      <c r="M44">
        <v>9</v>
      </c>
      <c r="N44">
        <v>3.5</v>
      </c>
      <c r="O44">
        <v>0</v>
      </c>
      <c r="P44" t="str">
        <f>IF(Table1[[#This Row],[Pregnant(Y/N)]]=1,"YES","NO")</f>
        <v>NO</v>
      </c>
      <c r="Q44">
        <v>0</v>
      </c>
      <c r="R44">
        <v>10</v>
      </c>
      <c r="S44">
        <v>1.99</v>
      </c>
      <c r="T44">
        <v>3.34</v>
      </c>
      <c r="U44">
        <v>0.25</v>
      </c>
      <c r="V44">
        <f>Table1[[#This Row],[FSH(mIU/mL)]]/Table1[[#This Row],[LH(mIU/mL)]]</f>
        <v>13.36</v>
      </c>
      <c r="W44" t="str">
        <f>IF(Table1[[#This Row],[FSH/LH]]&gt;=2,"Abnormal","Normal")</f>
        <v>Abnormal</v>
      </c>
      <c r="X44">
        <v>32</v>
      </c>
      <c r="Y44">
        <v>26</v>
      </c>
      <c r="Z44">
        <f>ROUND(Table1[[#This Row],[Waist(inch)]]/Table1[[#This Row],[Hip(inch)]],2)</f>
        <v>0.81</v>
      </c>
      <c r="AA44">
        <v>3.4</v>
      </c>
      <c r="AB44">
        <v>3.55</v>
      </c>
      <c r="AC44">
        <v>6.59</v>
      </c>
      <c r="AD44">
        <v>42.3</v>
      </c>
      <c r="AE44" t="str">
        <f>IF(Table1[[#This Row],[Vit D3 (ng/mL)]]&lt;20,"Deficiency","Normal")</f>
        <v>Normal</v>
      </c>
      <c r="AF44">
        <v>0.25</v>
      </c>
      <c r="AG44">
        <v>84</v>
      </c>
      <c r="AH44">
        <v>0</v>
      </c>
      <c r="AI44" t="str">
        <f>IF(Table1[[#This Row],[Weight gain(Y/N)]]=0,"NO","YES")</f>
        <v>NO</v>
      </c>
      <c r="AJ44">
        <v>0</v>
      </c>
      <c r="AK44" t="str">
        <f>IF(Table1[[#This Row],[hair growth(Y/N)]]=1,"YES","NO")</f>
        <v>NO</v>
      </c>
      <c r="AL44">
        <v>0</v>
      </c>
      <c r="AM44" t="str">
        <f>IF(Table1[[#This Row],[Skin darkening (Y/N)]]=1,"YES","NO")</f>
        <v>NO</v>
      </c>
      <c r="AN44">
        <v>0</v>
      </c>
      <c r="AO44" t="str">
        <f>IF(Table1[[#This Row],[Hair loss(Y/N)]]=1,"YES","NO")</f>
        <v>NO</v>
      </c>
      <c r="AP44">
        <v>0</v>
      </c>
      <c r="AQ44" t="str">
        <f>IF(Table1[[#This Row],[Pimples(Y/N)]]=1,"YES","NO")</f>
        <v>NO</v>
      </c>
      <c r="AR44">
        <v>0</v>
      </c>
      <c r="AS44" t="str">
        <f>IF(Table1[[#This Row],[Fast food (Y/N)]]=1,"YES","NO")</f>
        <v>NO</v>
      </c>
      <c r="AT44">
        <v>0</v>
      </c>
      <c r="AU44" t="str">
        <f>IF(Table1[[#This Row],[Reg.Exercise(Y/N)]]=1,"YES","NO")</f>
        <v>NO</v>
      </c>
      <c r="AV44">
        <v>100</v>
      </c>
      <c r="AW44">
        <v>70</v>
      </c>
      <c r="AX44">
        <v>0</v>
      </c>
      <c r="AY44">
        <v>1</v>
      </c>
      <c r="AZ44">
        <v>0</v>
      </c>
      <c r="BA44">
        <v>12</v>
      </c>
      <c r="BB44">
        <v>6.5</v>
      </c>
      <c r="BC44" t="str" cm="1">
        <f t="array" ref="BC44">_xlfn.IFS((F44/(G44*G44)*10000)&lt; 18.5,"Underweight",(F44/(G44*G44)*10000)&lt;24.9,"Normal",(F44/(G44*G44)*10000)&lt;29.9,"Overweight",(F44/(G44*G44)*10000)&gt;=30,"obesity")</f>
        <v>Underweight</v>
      </c>
      <c r="BD44">
        <f>Table1[[#This Row],[Follicle No. (L)]]+Table1[[#This Row],[Follicle No. (R)]]</f>
        <v>1</v>
      </c>
      <c r="BE44">
        <f>Table1[[#This Row],[Avg. F size (L) (mm)]]+Table1[[#This Row],[Avg. F size (R) (mm)]]</f>
        <v>12</v>
      </c>
      <c r="BF44">
        <f>Table1[[#This Row],[BP _Diastolic (mmHg)]]+(Table1[[#This Row],[BP _Diastolic (mmHg)]]+Table1[[#This Row],[Follicle No. (L)]])/3</f>
        <v>93.333333333333329</v>
      </c>
      <c r="BG44" s="4" t="str" cm="1">
        <f t="array" ref="BG4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4" s="4">
        <f>SUM(Table1[[#This Row],[Pimples(Y/N)]],Table1[[#This Row],[hair growth(Y/N)]],Table1[[#This Row],[Skin darkening (Y/N)]],Table1[[#This Row],[Hair loss(Y/N)]])</f>
        <v>0</v>
      </c>
      <c r="BI44" s="4" t="str">
        <f>IF(AND(Table1[[#This Row],[Pregnant(Y/N)]]=0, Table1[[#This Row],[  I   beta-HCG(mIU/mL)]]&gt;5), "Investigation Required", "Clear")</f>
        <v>Investigation Required</v>
      </c>
    </row>
    <row r="45" spans="1:61" ht="15.75" customHeight="1" x14ac:dyDescent="0.25">
      <c r="A45">
        <v>44</v>
      </c>
      <c r="B45">
        <v>44</v>
      </c>
      <c r="C45">
        <v>0</v>
      </c>
      <c r="D45" t="str">
        <f>IF(Table1[[#This Row],[PCOS (Y/N)]]=0,"NO","YES")</f>
        <v>NO</v>
      </c>
      <c r="E45">
        <v>24</v>
      </c>
      <c r="F45">
        <v>68</v>
      </c>
      <c r="G45">
        <v>165</v>
      </c>
      <c r="H45">
        <v>15</v>
      </c>
      <c r="I45">
        <v>72</v>
      </c>
      <c r="J45">
        <v>16</v>
      </c>
      <c r="K45">
        <v>11</v>
      </c>
      <c r="L45">
        <v>2</v>
      </c>
      <c r="M45">
        <v>5</v>
      </c>
      <c r="N45">
        <v>3.5</v>
      </c>
      <c r="O45">
        <v>1</v>
      </c>
      <c r="P45" t="str">
        <f>IF(Table1[[#This Row],[Pregnant(Y/N)]]=1,"YES","NO")</f>
        <v>YES</v>
      </c>
      <c r="Q45">
        <v>0</v>
      </c>
      <c r="R45">
        <v>161.14699999999999</v>
      </c>
      <c r="S45">
        <v>167</v>
      </c>
      <c r="T45">
        <v>2.79</v>
      </c>
      <c r="U45">
        <v>1.97</v>
      </c>
      <c r="V45">
        <f>Table1[[#This Row],[FSH(mIU/mL)]]/Table1[[#This Row],[LH(mIU/mL)]]</f>
        <v>1.4162436548223352</v>
      </c>
      <c r="W45" t="str">
        <f>IF(Table1[[#This Row],[FSH/LH]]&gt;=2,"Abnormal","Normal")</f>
        <v>Normal</v>
      </c>
      <c r="X45">
        <v>39</v>
      </c>
      <c r="Y45">
        <v>33</v>
      </c>
      <c r="Z45">
        <f>ROUND(Table1[[#This Row],[Waist(inch)]]/Table1[[#This Row],[Hip(inch)]],2)</f>
        <v>0.85</v>
      </c>
      <c r="AA45">
        <v>1.48</v>
      </c>
      <c r="AB45">
        <v>4.33</v>
      </c>
      <c r="AC45">
        <v>0.4</v>
      </c>
      <c r="AD45">
        <v>25.366</v>
      </c>
      <c r="AE45" t="str">
        <f>IF(Table1[[#This Row],[Vit D3 (ng/mL)]]&lt;20,"Deficiency","Normal")</f>
        <v>Normal</v>
      </c>
      <c r="AF45">
        <v>0.25</v>
      </c>
      <c r="AG45">
        <v>100</v>
      </c>
      <c r="AH45">
        <v>0</v>
      </c>
      <c r="AI45" t="str">
        <f>IF(Table1[[#This Row],[Weight gain(Y/N)]]=0,"NO","YES")</f>
        <v>NO</v>
      </c>
      <c r="AJ45">
        <v>0</v>
      </c>
      <c r="AK45" t="str">
        <f>IF(Table1[[#This Row],[hair growth(Y/N)]]=1,"YES","NO")</f>
        <v>NO</v>
      </c>
      <c r="AL45">
        <v>0</v>
      </c>
      <c r="AM45" t="str">
        <f>IF(Table1[[#This Row],[Skin darkening (Y/N)]]=1,"YES","NO")</f>
        <v>NO</v>
      </c>
      <c r="AN45">
        <v>0</v>
      </c>
      <c r="AO45" t="str">
        <f>IF(Table1[[#This Row],[Hair loss(Y/N)]]=1,"YES","NO")</f>
        <v>NO</v>
      </c>
      <c r="AP45">
        <v>0</v>
      </c>
      <c r="AQ45" t="str">
        <f>IF(Table1[[#This Row],[Pimples(Y/N)]]=1,"YES","NO")</f>
        <v>NO</v>
      </c>
      <c r="AR45">
        <v>0</v>
      </c>
      <c r="AS45" t="str">
        <f>IF(Table1[[#This Row],[Fast food (Y/N)]]=1,"YES","NO")</f>
        <v>NO</v>
      </c>
      <c r="AT45">
        <v>0</v>
      </c>
      <c r="AU45" t="str">
        <f>IF(Table1[[#This Row],[Reg.Exercise(Y/N)]]=1,"YES","NO")</f>
        <v>NO</v>
      </c>
      <c r="AV45">
        <v>110</v>
      </c>
      <c r="AW45">
        <v>70</v>
      </c>
      <c r="AX45">
        <v>6</v>
      </c>
      <c r="AY45">
        <v>8</v>
      </c>
      <c r="AZ45">
        <v>8</v>
      </c>
      <c r="BA45">
        <v>8</v>
      </c>
      <c r="BB45">
        <v>7.12</v>
      </c>
      <c r="BC45" t="str" cm="1">
        <f t="array" ref="BC45">_xlfn.IFS((F45/(G45*G45)*10000)&lt; 18.5,"Underweight",(F45/(G45*G45)*10000)&lt;24.9,"Normal",(F45/(G45*G45)*10000)&lt;29.9,"Overweight",(F45/(G45*G45)*10000)&gt;=30,"obesity")</f>
        <v>Overweight</v>
      </c>
      <c r="BD45">
        <f>Table1[[#This Row],[Follicle No. (L)]]+Table1[[#This Row],[Follicle No. (R)]]</f>
        <v>14</v>
      </c>
      <c r="BE45">
        <f>Table1[[#This Row],[Avg. F size (L) (mm)]]+Table1[[#This Row],[Avg. F size (R) (mm)]]</f>
        <v>16</v>
      </c>
      <c r="BF45">
        <f>Table1[[#This Row],[BP _Diastolic (mmHg)]]+(Table1[[#This Row],[BP _Diastolic (mmHg)]]+Table1[[#This Row],[Follicle No. (L)]])/3</f>
        <v>95.333333333333329</v>
      </c>
      <c r="BG45" s="4" t="str" cm="1">
        <f t="array" ref="BG4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" s="4">
        <f>SUM(Table1[[#This Row],[Pimples(Y/N)]],Table1[[#This Row],[hair growth(Y/N)]],Table1[[#This Row],[Skin darkening (Y/N)]],Table1[[#This Row],[Hair loss(Y/N)]])</f>
        <v>0</v>
      </c>
      <c r="BI45" s="4" t="str">
        <f>IF(AND(Table1[[#This Row],[Pregnant(Y/N)]]=0, Table1[[#This Row],[  I   beta-HCG(mIU/mL)]]&gt;5), "Investigation Required", "Clear")</f>
        <v>Clear</v>
      </c>
    </row>
    <row r="46" spans="1:61" ht="15.75" customHeight="1" x14ac:dyDescent="0.25">
      <c r="A46">
        <v>45</v>
      </c>
      <c r="B46">
        <v>45</v>
      </c>
      <c r="C46">
        <v>1</v>
      </c>
      <c r="D46" t="str">
        <f>IF(Table1[[#This Row],[PCOS (Y/N)]]=0,"NO","YES")</f>
        <v>YES</v>
      </c>
      <c r="E46">
        <v>29</v>
      </c>
      <c r="F46">
        <v>59</v>
      </c>
      <c r="G46">
        <v>158</v>
      </c>
      <c r="H46">
        <v>17</v>
      </c>
      <c r="I46">
        <v>78</v>
      </c>
      <c r="J46">
        <v>22</v>
      </c>
      <c r="K46">
        <v>12</v>
      </c>
      <c r="L46">
        <v>4</v>
      </c>
      <c r="M46">
        <v>7</v>
      </c>
      <c r="N46">
        <v>7</v>
      </c>
      <c r="O46">
        <v>1</v>
      </c>
      <c r="P46" t="str">
        <f>IF(Table1[[#This Row],[Pregnant(Y/N)]]=1,"YES","NO")</f>
        <v>YES</v>
      </c>
      <c r="Q46">
        <v>0</v>
      </c>
      <c r="R46">
        <v>1305.3499999999999</v>
      </c>
      <c r="S46">
        <v>1.99</v>
      </c>
      <c r="T46">
        <v>3.26</v>
      </c>
      <c r="U46">
        <v>0.79</v>
      </c>
      <c r="V46">
        <f>Table1[[#This Row],[FSH(mIU/mL)]]/Table1[[#This Row],[LH(mIU/mL)]]</f>
        <v>4.1265822784810124</v>
      </c>
      <c r="W46" t="str">
        <f>IF(Table1[[#This Row],[FSH/LH]]&gt;=2,"Abnormal","Normal")</f>
        <v>Abnormal</v>
      </c>
      <c r="X46">
        <v>39</v>
      </c>
      <c r="Y46">
        <v>33</v>
      </c>
      <c r="Z46">
        <f>ROUND(Table1[[#This Row],[Waist(inch)]]/Table1[[#This Row],[Hip(inch)]],2)</f>
        <v>0.85</v>
      </c>
      <c r="AA46">
        <v>3.77</v>
      </c>
      <c r="AB46">
        <v>3.55</v>
      </c>
      <c r="AC46">
        <v>31.36</v>
      </c>
      <c r="AD46">
        <v>44.55</v>
      </c>
      <c r="AE46" t="str">
        <f>IF(Table1[[#This Row],[Vit D3 (ng/mL)]]&lt;20,"Deficiency","Normal")</f>
        <v>Normal</v>
      </c>
      <c r="AF46">
        <v>0.76</v>
      </c>
      <c r="AG46">
        <v>100</v>
      </c>
      <c r="AH46">
        <v>1</v>
      </c>
      <c r="AI46" t="str">
        <f>IF(Table1[[#This Row],[Weight gain(Y/N)]]=0,"NO","YES")</f>
        <v>YES</v>
      </c>
      <c r="AJ46">
        <v>1</v>
      </c>
      <c r="AK46" t="str">
        <f>IF(Table1[[#This Row],[hair growth(Y/N)]]=1,"YES","NO")</f>
        <v>YES</v>
      </c>
      <c r="AL46">
        <v>1</v>
      </c>
      <c r="AM46" t="str">
        <f>IF(Table1[[#This Row],[Skin darkening (Y/N)]]=1,"YES","NO")</f>
        <v>YES</v>
      </c>
      <c r="AN46">
        <v>1</v>
      </c>
      <c r="AO46" t="str">
        <f>IF(Table1[[#This Row],[Hair loss(Y/N)]]=1,"YES","NO")</f>
        <v>YES</v>
      </c>
      <c r="AP46">
        <v>1</v>
      </c>
      <c r="AQ46" t="str">
        <f>IF(Table1[[#This Row],[Pimples(Y/N)]]=1,"YES","NO")</f>
        <v>YES</v>
      </c>
      <c r="AR46">
        <v>1</v>
      </c>
      <c r="AS46" t="str">
        <f>IF(Table1[[#This Row],[Fast food (Y/N)]]=1,"YES","NO")</f>
        <v>YES</v>
      </c>
      <c r="AT46">
        <v>1</v>
      </c>
      <c r="AU46" t="str">
        <f>IF(Table1[[#This Row],[Reg.Exercise(Y/N)]]=1,"YES","NO")</f>
        <v>YES</v>
      </c>
      <c r="AV46">
        <v>120</v>
      </c>
      <c r="AW46">
        <v>80</v>
      </c>
      <c r="AX46">
        <v>13</v>
      </c>
      <c r="AY46">
        <v>14</v>
      </c>
      <c r="AZ46">
        <v>16</v>
      </c>
      <c r="BA46">
        <v>15</v>
      </c>
      <c r="BB46">
        <v>7</v>
      </c>
      <c r="BC46" t="str" cm="1">
        <f t="array" ref="BC46">_xlfn.IFS((F46/(G46*G46)*10000)&lt; 18.5,"Underweight",(F46/(G46*G46)*10000)&lt;24.9,"Normal",(F46/(G46*G46)*10000)&lt;29.9,"Overweight",(F46/(G46*G46)*10000)&gt;=30,"obesity")</f>
        <v>Normal</v>
      </c>
      <c r="BD46">
        <f>Table1[[#This Row],[Follicle No. (L)]]+Table1[[#This Row],[Follicle No. (R)]]</f>
        <v>27</v>
      </c>
      <c r="BE46">
        <f>Table1[[#This Row],[Avg. F size (L) (mm)]]+Table1[[#This Row],[Avg. F size (R) (mm)]]</f>
        <v>31</v>
      </c>
      <c r="BF46">
        <f>Table1[[#This Row],[BP _Diastolic (mmHg)]]+(Table1[[#This Row],[BP _Diastolic (mmHg)]]+Table1[[#This Row],[Follicle No. (L)]])/3</f>
        <v>111</v>
      </c>
      <c r="BG46" s="4" t="str" cm="1">
        <f t="array" ref="BG4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6" s="4">
        <f>SUM(Table1[[#This Row],[Pimples(Y/N)]],Table1[[#This Row],[hair growth(Y/N)]],Table1[[#This Row],[Skin darkening (Y/N)]],Table1[[#This Row],[Hair loss(Y/N)]])</f>
        <v>4</v>
      </c>
      <c r="BI46" s="4" t="str">
        <f>IF(AND(Table1[[#This Row],[Pregnant(Y/N)]]=0, Table1[[#This Row],[  I   beta-HCG(mIU/mL)]]&gt;5), "Investigation Required", "Clear")</f>
        <v>Clear</v>
      </c>
    </row>
    <row r="47" spans="1:61" ht="15.75" customHeight="1" x14ac:dyDescent="0.25">
      <c r="A47">
        <v>46</v>
      </c>
      <c r="B47">
        <v>46</v>
      </c>
      <c r="C47">
        <v>0</v>
      </c>
      <c r="D47" t="str">
        <f>IF(Table1[[#This Row],[PCOS (Y/N)]]=0,"NO","YES")</f>
        <v>NO</v>
      </c>
      <c r="E47">
        <v>25</v>
      </c>
      <c r="F47">
        <v>56</v>
      </c>
      <c r="G47">
        <v>155</v>
      </c>
      <c r="H47">
        <v>15</v>
      </c>
      <c r="I47">
        <v>70</v>
      </c>
      <c r="J47">
        <v>18</v>
      </c>
      <c r="K47">
        <v>10.6</v>
      </c>
      <c r="L47">
        <v>2</v>
      </c>
      <c r="M47">
        <v>5</v>
      </c>
      <c r="N47">
        <v>6</v>
      </c>
      <c r="O47">
        <v>1</v>
      </c>
      <c r="P47" t="str">
        <f>IF(Table1[[#This Row],[Pregnant(Y/N)]]=1,"YES","NO")</f>
        <v>YES</v>
      </c>
      <c r="Q47">
        <v>0</v>
      </c>
      <c r="R47">
        <v>43.5</v>
      </c>
      <c r="S47">
        <v>9.83</v>
      </c>
      <c r="T47">
        <v>2.77</v>
      </c>
      <c r="U47">
        <v>0.56999999999999995</v>
      </c>
      <c r="V47">
        <f>Table1[[#This Row],[FSH(mIU/mL)]]/Table1[[#This Row],[LH(mIU/mL)]]</f>
        <v>4.859649122807018</v>
      </c>
      <c r="W47" t="str">
        <f>IF(Table1[[#This Row],[FSH/LH]]&gt;=2,"Abnormal","Normal")</f>
        <v>Abnormal</v>
      </c>
      <c r="X47">
        <v>40</v>
      </c>
      <c r="Y47">
        <v>33</v>
      </c>
      <c r="Z47">
        <f>ROUND(Table1[[#This Row],[Waist(inch)]]/Table1[[#This Row],[Hip(inch)]],2)</f>
        <v>0.83</v>
      </c>
      <c r="AA47">
        <v>3.85</v>
      </c>
      <c r="AB47">
        <v>2.36</v>
      </c>
      <c r="AC47">
        <v>25.6</v>
      </c>
      <c r="AD47">
        <v>45.5</v>
      </c>
      <c r="AE47" t="str">
        <f>IF(Table1[[#This Row],[Vit D3 (ng/mL)]]&lt;20,"Deficiency","Normal")</f>
        <v>Normal</v>
      </c>
      <c r="AF47">
        <v>0.31</v>
      </c>
      <c r="AG47">
        <v>92</v>
      </c>
      <c r="AH47">
        <v>0</v>
      </c>
      <c r="AI47" t="str">
        <f>IF(Table1[[#This Row],[Weight gain(Y/N)]]=0,"NO","YES")</f>
        <v>NO</v>
      </c>
      <c r="AJ47">
        <v>0</v>
      </c>
      <c r="AK47" t="str">
        <f>IF(Table1[[#This Row],[hair growth(Y/N)]]=1,"YES","NO")</f>
        <v>NO</v>
      </c>
      <c r="AL47">
        <v>0</v>
      </c>
      <c r="AM47" t="str">
        <f>IF(Table1[[#This Row],[Skin darkening (Y/N)]]=1,"YES","NO")</f>
        <v>NO</v>
      </c>
      <c r="AN47">
        <v>0</v>
      </c>
      <c r="AO47" t="str">
        <f>IF(Table1[[#This Row],[Hair loss(Y/N)]]=1,"YES","NO")</f>
        <v>NO</v>
      </c>
      <c r="AP47">
        <v>0</v>
      </c>
      <c r="AQ47" t="str">
        <f>IF(Table1[[#This Row],[Pimples(Y/N)]]=1,"YES","NO")</f>
        <v>NO</v>
      </c>
      <c r="AR47">
        <v>0</v>
      </c>
      <c r="AS47" t="str">
        <f>IF(Table1[[#This Row],[Fast food (Y/N)]]=1,"YES","NO")</f>
        <v>NO</v>
      </c>
      <c r="AT47">
        <v>0</v>
      </c>
      <c r="AU47" t="str">
        <f>IF(Table1[[#This Row],[Reg.Exercise(Y/N)]]=1,"YES","NO")</f>
        <v>NO</v>
      </c>
      <c r="AV47">
        <v>120</v>
      </c>
      <c r="AW47">
        <v>80</v>
      </c>
      <c r="AX47">
        <v>5</v>
      </c>
      <c r="AY47">
        <v>8</v>
      </c>
      <c r="AZ47">
        <v>14</v>
      </c>
      <c r="BA47">
        <v>13</v>
      </c>
      <c r="BB47">
        <v>9.4</v>
      </c>
      <c r="BC47" t="str" cm="1">
        <f t="array" ref="BC47">_xlfn.IFS((F47/(G47*G47)*10000)&lt; 18.5,"Underweight",(F47/(G47*G47)*10000)&lt;24.9,"Normal",(F47/(G47*G47)*10000)&lt;29.9,"Overweight",(F47/(G47*G47)*10000)&gt;=30,"obesity")</f>
        <v>Normal</v>
      </c>
      <c r="BD47">
        <f>Table1[[#This Row],[Follicle No. (L)]]+Table1[[#This Row],[Follicle No. (R)]]</f>
        <v>13</v>
      </c>
      <c r="BE47">
        <f>Table1[[#This Row],[Avg. F size (L) (mm)]]+Table1[[#This Row],[Avg. F size (R) (mm)]]</f>
        <v>27</v>
      </c>
      <c r="BF47">
        <f>Table1[[#This Row],[BP _Diastolic (mmHg)]]+(Table1[[#This Row],[BP _Diastolic (mmHg)]]+Table1[[#This Row],[Follicle No. (L)]])/3</f>
        <v>108.33333333333333</v>
      </c>
      <c r="BG47" s="4" t="str" cm="1">
        <f t="array" ref="BG4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7" s="4">
        <f>SUM(Table1[[#This Row],[Pimples(Y/N)]],Table1[[#This Row],[hair growth(Y/N)]],Table1[[#This Row],[Skin darkening (Y/N)]],Table1[[#This Row],[Hair loss(Y/N)]])</f>
        <v>0</v>
      </c>
      <c r="BI47" s="4" t="str">
        <f>IF(AND(Table1[[#This Row],[Pregnant(Y/N)]]=0, Table1[[#This Row],[  I   beta-HCG(mIU/mL)]]&gt;5), "Investigation Required", "Clear")</f>
        <v>Clear</v>
      </c>
    </row>
    <row r="48" spans="1:61" ht="15.75" customHeight="1" x14ac:dyDescent="0.25">
      <c r="A48">
        <v>47</v>
      </c>
      <c r="B48">
        <v>47</v>
      </c>
      <c r="C48">
        <v>1</v>
      </c>
      <c r="D48" t="str">
        <f>IF(Table1[[#This Row],[PCOS (Y/N)]]=0,"NO","YES")</f>
        <v>YES</v>
      </c>
      <c r="E48">
        <v>28</v>
      </c>
      <c r="F48">
        <v>75</v>
      </c>
      <c r="G48">
        <v>165</v>
      </c>
      <c r="H48">
        <v>15</v>
      </c>
      <c r="I48">
        <v>72</v>
      </c>
      <c r="J48">
        <v>18</v>
      </c>
      <c r="K48">
        <v>12</v>
      </c>
      <c r="L48">
        <v>2</v>
      </c>
      <c r="M48">
        <v>5</v>
      </c>
      <c r="N48">
        <v>2.5</v>
      </c>
      <c r="O48">
        <v>1</v>
      </c>
      <c r="P48" t="str">
        <f>IF(Table1[[#This Row],[Pregnant(Y/N)]]=1,"YES","NO")</f>
        <v>YES</v>
      </c>
      <c r="Q48">
        <v>0</v>
      </c>
      <c r="R48">
        <v>141.06</v>
      </c>
      <c r="S48">
        <v>141.06</v>
      </c>
      <c r="T48">
        <v>5.81</v>
      </c>
      <c r="U48">
        <v>0.27</v>
      </c>
      <c r="V48">
        <f>Table1[[#This Row],[FSH(mIU/mL)]]/Table1[[#This Row],[LH(mIU/mL)]]</f>
        <v>21.518518518518515</v>
      </c>
      <c r="W48" t="str">
        <f>IF(Table1[[#This Row],[FSH/LH]]&gt;=2,"Abnormal","Normal")</f>
        <v>Abnormal</v>
      </c>
      <c r="X48">
        <v>45</v>
      </c>
      <c r="Y48">
        <v>41</v>
      </c>
      <c r="Z48">
        <f>ROUND(Table1[[#This Row],[Waist(inch)]]/Table1[[#This Row],[Hip(inch)]],2)</f>
        <v>0.91</v>
      </c>
      <c r="AA48">
        <v>0.83</v>
      </c>
      <c r="AB48">
        <v>3.66</v>
      </c>
      <c r="AC48">
        <v>14.43</v>
      </c>
      <c r="AD48">
        <v>52.3</v>
      </c>
      <c r="AE48" t="str">
        <f>IF(Table1[[#This Row],[Vit D3 (ng/mL)]]&lt;20,"Deficiency","Normal")</f>
        <v>Normal</v>
      </c>
      <c r="AF48">
        <v>0.38</v>
      </c>
      <c r="AG48">
        <v>100</v>
      </c>
      <c r="AH48">
        <v>1</v>
      </c>
      <c r="AI48" t="str">
        <f>IF(Table1[[#This Row],[Weight gain(Y/N)]]=0,"NO","YES")</f>
        <v>YES</v>
      </c>
      <c r="AJ48">
        <v>1</v>
      </c>
      <c r="AK48" t="str">
        <f>IF(Table1[[#This Row],[hair growth(Y/N)]]=1,"YES","NO")</f>
        <v>YES</v>
      </c>
      <c r="AL48">
        <v>0</v>
      </c>
      <c r="AM48" t="str">
        <f>IF(Table1[[#This Row],[Skin darkening (Y/N)]]=1,"YES","NO")</f>
        <v>NO</v>
      </c>
      <c r="AN48">
        <v>1</v>
      </c>
      <c r="AO48" t="str">
        <f>IF(Table1[[#This Row],[Hair loss(Y/N)]]=1,"YES","NO")</f>
        <v>YES</v>
      </c>
      <c r="AP48">
        <v>1</v>
      </c>
      <c r="AQ48" t="str">
        <f>IF(Table1[[#This Row],[Pimples(Y/N)]]=1,"YES","NO")</f>
        <v>YES</v>
      </c>
      <c r="AR48">
        <v>1</v>
      </c>
      <c r="AS48" t="str">
        <f>IF(Table1[[#This Row],[Fast food (Y/N)]]=1,"YES","NO")</f>
        <v>YES</v>
      </c>
      <c r="AT48">
        <v>0</v>
      </c>
      <c r="AU48" t="str">
        <f>IF(Table1[[#This Row],[Reg.Exercise(Y/N)]]=1,"YES","NO")</f>
        <v>NO</v>
      </c>
      <c r="AV48">
        <v>110</v>
      </c>
      <c r="AW48">
        <v>70</v>
      </c>
      <c r="AX48">
        <v>4</v>
      </c>
      <c r="AY48">
        <v>6</v>
      </c>
      <c r="AZ48">
        <v>10</v>
      </c>
      <c r="BA48">
        <v>12</v>
      </c>
      <c r="BB48">
        <v>9</v>
      </c>
      <c r="BC48" t="str" cm="1">
        <f t="array" ref="BC48">_xlfn.IFS((F48/(G48*G48)*10000)&lt; 18.5,"Underweight",(F48/(G48*G48)*10000)&lt;24.9,"Normal",(F48/(G48*G48)*10000)&lt;29.9,"Overweight",(F48/(G48*G48)*10000)&gt;=30,"obesity")</f>
        <v>Overweight</v>
      </c>
      <c r="BD48">
        <f>Table1[[#This Row],[Follicle No. (L)]]+Table1[[#This Row],[Follicle No. (R)]]</f>
        <v>10</v>
      </c>
      <c r="BE48">
        <f>Table1[[#This Row],[Avg. F size (L) (mm)]]+Table1[[#This Row],[Avg. F size (R) (mm)]]</f>
        <v>22</v>
      </c>
      <c r="BF48">
        <f>Table1[[#This Row],[BP _Diastolic (mmHg)]]+(Table1[[#This Row],[BP _Diastolic (mmHg)]]+Table1[[#This Row],[Follicle No. (L)]])/3</f>
        <v>94.666666666666671</v>
      </c>
      <c r="BG48" s="4" t="str" cm="1">
        <f t="array" ref="BG4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8" s="4">
        <f>SUM(Table1[[#This Row],[Pimples(Y/N)]],Table1[[#This Row],[hair growth(Y/N)]],Table1[[#This Row],[Skin darkening (Y/N)]],Table1[[#This Row],[Hair loss(Y/N)]])</f>
        <v>3</v>
      </c>
      <c r="BI48" s="4" t="str">
        <f>IF(AND(Table1[[#This Row],[Pregnant(Y/N)]]=0, Table1[[#This Row],[  I   beta-HCG(mIU/mL)]]&gt;5), "Investigation Required", "Clear")</f>
        <v>Clear</v>
      </c>
    </row>
    <row r="49" spans="1:61" ht="15.75" customHeight="1" x14ac:dyDescent="0.25">
      <c r="A49">
        <v>48</v>
      </c>
      <c r="B49">
        <v>48</v>
      </c>
      <c r="C49">
        <v>0</v>
      </c>
      <c r="D49" t="str">
        <f>IF(Table1[[#This Row],[PCOS (Y/N)]]=0,"NO","YES")</f>
        <v>NO</v>
      </c>
      <c r="E49">
        <v>26</v>
      </c>
      <c r="F49">
        <v>40</v>
      </c>
      <c r="G49">
        <v>156</v>
      </c>
      <c r="H49">
        <v>13</v>
      </c>
      <c r="I49">
        <v>74</v>
      </c>
      <c r="J49">
        <v>18</v>
      </c>
      <c r="K49">
        <v>10.199999999999999</v>
      </c>
      <c r="L49">
        <v>2</v>
      </c>
      <c r="M49">
        <v>5</v>
      </c>
      <c r="N49">
        <v>3</v>
      </c>
      <c r="O49">
        <v>1</v>
      </c>
      <c r="P49" t="str">
        <f>IF(Table1[[#This Row],[Pregnant(Y/N)]]=1,"YES","NO")</f>
        <v>YES</v>
      </c>
      <c r="Q49">
        <v>0</v>
      </c>
      <c r="R49">
        <v>1500</v>
      </c>
      <c r="S49">
        <v>528.5</v>
      </c>
      <c r="T49">
        <v>7.34</v>
      </c>
      <c r="U49">
        <v>2.78</v>
      </c>
      <c r="V49">
        <f>Table1[[#This Row],[FSH(mIU/mL)]]/Table1[[#This Row],[LH(mIU/mL)]]</f>
        <v>2.6402877697841727</v>
      </c>
      <c r="W49" t="str">
        <f>IF(Table1[[#This Row],[FSH/LH]]&gt;=2,"Abnormal","Normal")</f>
        <v>Abnormal</v>
      </c>
      <c r="X49">
        <v>39</v>
      </c>
      <c r="Y49">
        <v>33</v>
      </c>
      <c r="Z49">
        <f>ROUND(Table1[[#This Row],[Waist(inch)]]/Table1[[#This Row],[Hip(inch)]],2)</f>
        <v>0.85</v>
      </c>
      <c r="AA49">
        <v>4.45</v>
      </c>
      <c r="AB49">
        <v>4.33</v>
      </c>
      <c r="AC49">
        <v>24.58</v>
      </c>
      <c r="AD49">
        <v>54.62</v>
      </c>
      <c r="AE49" t="str">
        <f>IF(Table1[[#This Row],[Vit D3 (ng/mL)]]&lt;20,"Deficiency","Normal")</f>
        <v>Normal</v>
      </c>
      <c r="AF49">
        <v>0.25</v>
      </c>
      <c r="AG49">
        <v>80</v>
      </c>
      <c r="AH49">
        <v>0</v>
      </c>
      <c r="AI49" t="str">
        <f>IF(Table1[[#This Row],[Weight gain(Y/N)]]=0,"NO","YES")</f>
        <v>NO</v>
      </c>
      <c r="AJ49">
        <v>0</v>
      </c>
      <c r="AK49" t="str">
        <f>IF(Table1[[#This Row],[hair growth(Y/N)]]=1,"YES","NO")</f>
        <v>NO</v>
      </c>
      <c r="AL49">
        <v>0</v>
      </c>
      <c r="AM49" t="str">
        <f>IF(Table1[[#This Row],[Skin darkening (Y/N)]]=1,"YES","NO")</f>
        <v>NO</v>
      </c>
      <c r="AN49">
        <v>0</v>
      </c>
      <c r="AO49" t="str">
        <f>IF(Table1[[#This Row],[Hair loss(Y/N)]]=1,"YES","NO")</f>
        <v>NO</v>
      </c>
      <c r="AP49">
        <v>0</v>
      </c>
      <c r="AQ49" t="str">
        <f>IF(Table1[[#This Row],[Pimples(Y/N)]]=1,"YES","NO")</f>
        <v>NO</v>
      </c>
      <c r="AR49">
        <v>0</v>
      </c>
      <c r="AS49" t="str">
        <f>IF(Table1[[#This Row],[Fast food (Y/N)]]=1,"YES","NO")</f>
        <v>NO</v>
      </c>
      <c r="AT49">
        <v>0</v>
      </c>
      <c r="AU49" t="str">
        <f>IF(Table1[[#This Row],[Reg.Exercise(Y/N)]]=1,"YES","NO")</f>
        <v>NO</v>
      </c>
      <c r="AV49">
        <v>110</v>
      </c>
      <c r="AW49">
        <v>70</v>
      </c>
      <c r="AX49">
        <v>5</v>
      </c>
      <c r="AY49">
        <v>7</v>
      </c>
      <c r="AZ49">
        <v>15</v>
      </c>
      <c r="BA49">
        <v>18</v>
      </c>
      <c r="BB49">
        <v>16</v>
      </c>
      <c r="BC49" t="str" cm="1">
        <f t="array" ref="BC49">_xlfn.IFS((F49/(G49*G49)*10000)&lt; 18.5,"Underweight",(F49/(G49*G49)*10000)&lt;24.9,"Normal",(F49/(G49*G49)*10000)&lt;29.9,"Overweight",(F49/(G49*G49)*10000)&gt;=30,"obesity")</f>
        <v>Underweight</v>
      </c>
      <c r="BD49">
        <f>Table1[[#This Row],[Follicle No. (L)]]+Table1[[#This Row],[Follicle No. (R)]]</f>
        <v>12</v>
      </c>
      <c r="BE49">
        <f>Table1[[#This Row],[Avg. F size (L) (mm)]]+Table1[[#This Row],[Avg. F size (R) (mm)]]</f>
        <v>33</v>
      </c>
      <c r="BF49">
        <f>Table1[[#This Row],[BP _Diastolic (mmHg)]]+(Table1[[#This Row],[BP _Diastolic (mmHg)]]+Table1[[#This Row],[Follicle No. (L)]])/3</f>
        <v>95</v>
      </c>
      <c r="BG49" s="4" t="str" cm="1">
        <f t="array" ref="BG4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9" s="4">
        <f>SUM(Table1[[#This Row],[Pimples(Y/N)]],Table1[[#This Row],[hair growth(Y/N)]],Table1[[#This Row],[Skin darkening (Y/N)]],Table1[[#This Row],[Hair loss(Y/N)]])</f>
        <v>0</v>
      </c>
      <c r="BI49" s="4" t="str">
        <f>IF(AND(Table1[[#This Row],[Pregnant(Y/N)]]=0, Table1[[#This Row],[  I   beta-HCG(mIU/mL)]]&gt;5), "Investigation Required", "Clear")</f>
        <v>Clear</v>
      </c>
    </row>
    <row r="50" spans="1:61" ht="15.75" customHeight="1" x14ac:dyDescent="0.25">
      <c r="A50">
        <v>49</v>
      </c>
      <c r="B50">
        <v>49</v>
      </c>
      <c r="C50">
        <v>0</v>
      </c>
      <c r="D50" t="str">
        <f>IF(Table1[[#This Row],[PCOS (Y/N)]]=0,"NO","YES")</f>
        <v>NO</v>
      </c>
      <c r="E50">
        <v>34</v>
      </c>
      <c r="F50">
        <v>51</v>
      </c>
      <c r="G50">
        <v>155</v>
      </c>
      <c r="H50">
        <v>11</v>
      </c>
      <c r="I50">
        <v>78</v>
      </c>
      <c r="J50">
        <v>24</v>
      </c>
      <c r="K50">
        <v>10.8</v>
      </c>
      <c r="L50">
        <v>2</v>
      </c>
      <c r="M50">
        <v>5</v>
      </c>
      <c r="N50">
        <v>11</v>
      </c>
      <c r="O50">
        <v>0</v>
      </c>
      <c r="P50" t="str">
        <f>IF(Table1[[#This Row],[Pregnant(Y/N)]]=1,"YES","NO")</f>
        <v>NO</v>
      </c>
      <c r="Q50">
        <v>0</v>
      </c>
      <c r="R50">
        <v>10</v>
      </c>
      <c r="S50">
        <v>1.99</v>
      </c>
      <c r="T50">
        <v>2.46</v>
      </c>
      <c r="U50">
        <v>0.51</v>
      </c>
      <c r="V50">
        <f>Table1[[#This Row],[FSH(mIU/mL)]]/Table1[[#This Row],[LH(mIU/mL)]]</f>
        <v>4.8235294117647056</v>
      </c>
      <c r="W50" t="str">
        <f>IF(Table1[[#This Row],[FSH/LH]]&gt;=2,"Abnormal","Normal")</f>
        <v>Abnormal</v>
      </c>
      <c r="X50">
        <v>39</v>
      </c>
      <c r="Y50">
        <v>34</v>
      </c>
      <c r="Z50">
        <f>ROUND(Table1[[#This Row],[Waist(inch)]]/Table1[[#This Row],[Hip(inch)]],2)</f>
        <v>0.87</v>
      </c>
      <c r="AA50">
        <v>2.16</v>
      </c>
      <c r="AB50">
        <v>1</v>
      </c>
      <c r="AC50">
        <v>7.97</v>
      </c>
      <c r="AD50">
        <v>35.659999999999997</v>
      </c>
      <c r="AE50" t="str">
        <f>IF(Table1[[#This Row],[Vit D3 (ng/mL)]]&lt;20,"Deficiency","Normal")</f>
        <v>Normal</v>
      </c>
      <c r="AF50">
        <v>0.25</v>
      </c>
      <c r="AG50">
        <v>75</v>
      </c>
      <c r="AH50">
        <v>0</v>
      </c>
      <c r="AI50" t="str">
        <f>IF(Table1[[#This Row],[Weight gain(Y/N)]]=0,"NO","YES")</f>
        <v>NO</v>
      </c>
      <c r="AJ50">
        <v>0</v>
      </c>
      <c r="AK50" t="str">
        <f>IF(Table1[[#This Row],[hair growth(Y/N)]]=1,"YES","NO")</f>
        <v>NO</v>
      </c>
      <c r="AL50">
        <v>0</v>
      </c>
      <c r="AM50" t="str">
        <f>IF(Table1[[#This Row],[Skin darkening (Y/N)]]=1,"YES","NO")</f>
        <v>NO</v>
      </c>
      <c r="AN50">
        <v>0</v>
      </c>
      <c r="AO50" t="str">
        <f>IF(Table1[[#This Row],[Hair loss(Y/N)]]=1,"YES","NO")</f>
        <v>NO</v>
      </c>
      <c r="AP50">
        <v>0</v>
      </c>
      <c r="AQ50" t="str">
        <f>IF(Table1[[#This Row],[Pimples(Y/N)]]=1,"YES","NO")</f>
        <v>NO</v>
      </c>
      <c r="AR50">
        <v>1</v>
      </c>
      <c r="AS50" t="str">
        <f>IF(Table1[[#This Row],[Fast food (Y/N)]]=1,"YES","NO")</f>
        <v>YES</v>
      </c>
      <c r="AT50">
        <v>0</v>
      </c>
      <c r="AU50" t="str">
        <f>IF(Table1[[#This Row],[Reg.Exercise(Y/N)]]=1,"YES","NO")</f>
        <v>NO</v>
      </c>
      <c r="AV50">
        <v>110</v>
      </c>
      <c r="AW50">
        <v>80</v>
      </c>
      <c r="AX50">
        <v>6</v>
      </c>
      <c r="AY50">
        <v>8</v>
      </c>
      <c r="AZ50">
        <v>10</v>
      </c>
      <c r="BA50">
        <v>15</v>
      </c>
      <c r="BB50">
        <v>9</v>
      </c>
      <c r="BC50" t="str" cm="1">
        <f t="array" ref="BC50">_xlfn.IFS((F50/(G50*G50)*10000)&lt; 18.5,"Underweight",(F50/(G50*G50)*10000)&lt;24.9,"Normal",(F50/(G50*G50)*10000)&lt;29.9,"Overweight",(F50/(G50*G50)*10000)&gt;=30,"obesity")</f>
        <v>Normal</v>
      </c>
      <c r="BD50">
        <f>Table1[[#This Row],[Follicle No. (L)]]+Table1[[#This Row],[Follicle No. (R)]]</f>
        <v>14</v>
      </c>
      <c r="BE50">
        <f>Table1[[#This Row],[Avg. F size (L) (mm)]]+Table1[[#This Row],[Avg. F size (R) (mm)]]</f>
        <v>25</v>
      </c>
      <c r="BF50">
        <f>Table1[[#This Row],[BP _Diastolic (mmHg)]]+(Table1[[#This Row],[BP _Diastolic (mmHg)]]+Table1[[#This Row],[Follicle No. (L)]])/3</f>
        <v>108.66666666666667</v>
      </c>
      <c r="BG50" s="4" t="str" cm="1">
        <f t="array" ref="BG5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0" s="4">
        <f>SUM(Table1[[#This Row],[Pimples(Y/N)]],Table1[[#This Row],[hair growth(Y/N)]],Table1[[#This Row],[Skin darkening (Y/N)]],Table1[[#This Row],[Hair loss(Y/N)]])</f>
        <v>0</v>
      </c>
      <c r="BI50" s="4" t="str">
        <f>IF(AND(Table1[[#This Row],[Pregnant(Y/N)]]=0, Table1[[#This Row],[  I   beta-HCG(mIU/mL)]]&gt;5), "Investigation Required", "Clear")</f>
        <v>Investigation Required</v>
      </c>
    </row>
    <row r="51" spans="1:61" ht="15.75" customHeight="1" x14ac:dyDescent="0.25">
      <c r="A51">
        <v>50</v>
      </c>
      <c r="B51">
        <v>50</v>
      </c>
      <c r="C51">
        <v>1</v>
      </c>
      <c r="D51" t="str">
        <f>IF(Table1[[#This Row],[PCOS (Y/N)]]=0,"NO","YES")</f>
        <v>YES</v>
      </c>
      <c r="E51">
        <v>27</v>
      </c>
      <c r="F51">
        <v>51</v>
      </c>
      <c r="G51">
        <v>154</v>
      </c>
      <c r="H51">
        <v>15</v>
      </c>
      <c r="I51">
        <v>72</v>
      </c>
      <c r="J51">
        <v>18</v>
      </c>
      <c r="K51">
        <v>12.8</v>
      </c>
      <c r="L51">
        <v>4</v>
      </c>
      <c r="M51">
        <v>3</v>
      </c>
      <c r="N51">
        <v>4</v>
      </c>
      <c r="O51">
        <v>0</v>
      </c>
      <c r="P51" t="str">
        <f>IF(Table1[[#This Row],[Pregnant(Y/N)]]=1,"YES","NO")</f>
        <v>NO</v>
      </c>
      <c r="Q51">
        <v>0</v>
      </c>
      <c r="R51">
        <v>10</v>
      </c>
      <c r="S51">
        <v>1.99</v>
      </c>
      <c r="T51">
        <v>2.2599999999999998</v>
      </c>
      <c r="U51">
        <v>2.4</v>
      </c>
      <c r="V51">
        <f>Table1[[#This Row],[FSH(mIU/mL)]]/Table1[[#This Row],[LH(mIU/mL)]]</f>
        <v>0.94166666666666665</v>
      </c>
      <c r="W51" t="str">
        <f>IF(Table1[[#This Row],[FSH/LH]]&gt;=2,"Abnormal","Normal")</f>
        <v>Normal</v>
      </c>
      <c r="X51">
        <v>38</v>
      </c>
      <c r="Y51">
        <v>34</v>
      </c>
      <c r="Z51">
        <f>ROUND(Table1[[#This Row],[Waist(inch)]]/Table1[[#This Row],[Hip(inch)]],2)</f>
        <v>0.89</v>
      </c>
      <c r="AA51">
        <v>2.77</v>
      </c>
      <c r="AB51">
        <v>4.5</v>
      </c>
      <c r="AC51">
        <v>15.22</v>
      </c>
      <c r="AD51">
        <v>45.2</v>
      </c>
      <c r="AE51" t="str">
        <f>IF(Table1[[#This Row],[Vit D3 (ng/mL)]]&lt;20,"Deficiency","Normal")</f>
        <v>Normal</v>
      </c>
      <c r="AF51">
        <v>0.52</v>
      </c>
      <c r="AG51">
        <v>100</v>
      </c>
      <c r="AH51">
        <v>1</v>
      </c>
      <c r="AI51" t="str">
        <f>IF(Table1[[#This Row],[Weight gain(Y/N)]]=0,"NO","YES")</f>
        <v>YES</v>
      </c>
      <c r="AJ51">
        <v>1</v>
      </c>
      <c r="AK51" t="str">
        <f>IF(Table1[[#This Row],[hair growth(Y/N)]]=1,"YES","NO")</f>
        <v>YES</v>
      </c>
      <c r="AL51">
        <v>1</v>
      </c>
      <c r="AM51" t="str">
        <f>IF(Table1[[#This Row],[Skin darkening (Y/N)]]=1,"YES","NO")</f>
        <v>YES</v>
      </c>
      <c r="AN51">
        <v>1</v>
      </c>
      <c r="AO51" t="str">
        <f>IF(Table1[[#This Row],[Hair loss(Y/N)]]=1,"YES","NO")</f>
        <v>YES</v>
      </c>
      <c r="AP51">
        <v>1</v>
      </c>
      <c r="AQ51" t="str">
        <f>IF(Table1[[#This Row],[Pimples(Y/N)]]=1,"YES","NO")</f>
        <v>YES</v>
      </c>
      <c r="AR51">
        <v>1</v>
      </c>
      <c r="AS51" t="str">
        <f>IF(Table1[[#This Row],[Fast food (Y/N)]]=1,"YES","NO")</f>
        <v>YES</v>
      </c>
      <c r="AT51">
        <v>1</v>
      </c>
      <c r="AU51" t="str">
        <f>IF(Table1[[#This Row],[Reg.Exercise(Y/N)]]=1,"YES","NO")</f>
        <v>YES</v>
      </c>
      <c r="AV51">
        <v>110</v>
      </c>
      <c r="AW51">
        <v>70</v>
      </c>
      <c r="AX51">
        <v>5</v>
      </c>
      <c r="AY51">
        <v>8</v>
      </c>
      <c r="AZ51">
        <v>14</v>
      </c>
      <c r="BA51">
        <v>13</v>
      </c>
      <c r="BB51">
        <v>10.4</v>
      </c>
      <c r="BC51" t="str" cm="1">
        <f t="array" ref="BC51">_xlfn.IFS((F51/(G51*G51)*10000)&lt; 18.5,"Underweight",(F51/(G51*G51)*10000)&lt;24.9,"Normal",(F51/(G51*G51)*10000)&lt;29.9,"Overweight",(F51/(G51*G51)*10000)&gt;=30,"obesity")</f>
        <v>Normal</v>
      </c>
      <c r="BD51">
        <f>Table1[[#This Row],[Follicle No. (L)]]+Table1[[#This Row],[Follicle No. (R)]]</f>
        <v>13</v>
      </c>
      <c r="BE51">
        <f>Table1[[#This Row],[Avg. F size (L) (mm)]]+Table1[[#This Row],[Avg. F size (R) (mm)]]</f>
        <v>27</v>
      </c>
      <c r="BF51">
        <f>Table1[[#This Row],[BP _Diastolic (mmHg)]]+(Table1[[#This Row],[BP _Diastolic (mmHg)]]+Table1[[#This Row],[Follicle No. (L)]])/3</f>
        <v>95</v>
      </c>
      <c r="BG51" s="4" t="str" cm="1">
        <f t="array" ref="BG5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" s="4">
        <f>SUM(Table1[[#This Row],[Pimples(Y/N)]],Table1[[#This Row],[hair growth(Y/N)]],Table1[[#This Row],[Skin darkening (Y/N)]],Table1[[#This Row],[Hair loss(Y/N)]])</f>
        <v>4</v>
      </c>
      <c r="BI51" s="4" t="str">
        <f>IF(AND(Table1[[#This Row],[Pregnant(Y/N)]]=0, Table1[[#This Row],[  I   beta-HCG(mIU/mL)]]&gt;5), "Investigation Required", "Clear")</f>
        <v>Investigation Required</v>
      </c>
    </row>
    <row r="52" spans="1:61" ht="15.75" customHeight="1" x14ac:dyDescent="0.25">
      <c r="A52">
        <v>51</v>
      </c>
      <c r="B52">
        <v>51</v>
      </c>
      <c r="C52">
        <v>1</v>
      </c>
      <c r="D52" t="str">
        <f>IF(Table1[[#This Row],[PCOS (Y/N)]]=0,"NO","YES")</f>
        <v>YES</v>
      </c>
      <c r="E52">
        <v>23</v>
      </c>
      <c r="F52">
        <v>68</v>
      </c>
      <c r="G52">
        <v>172</v>
      </c>
      <c r="H52">
        <v>15</v>
      </c>
      <c r="I52">
        <v>72</v>
      </c>
      <c r="J52">
        <v>16</v>
      </c>
      <c r="K52">
        <v>10.8</v>
      </c>
      <c r="L52">
        <v>4</v>
      </c>
      <c r="M52">
        <v>10</v>
      </c>
      <c r="N52">
        <v>4</v>
      </c>
      <c r="O52">
        <v>0</v>
      </c>
      <c r="P52" t="str">
        <f>IF(Table1[[#This Row],[Pregnant(Y/N)]]=1,"YES","NO")</f>
        <v>NO</v>
      </c>
      <c r="Q52">
        <v>0</v>
      </c>
      <c r="R52">
        <v>77.599999999999994</v>
      </c>
      <c r="S52">
        <v>1.99</v>
      </c>
      <c r="T52">
        <v>4.42</v>
      </c>
      <c r="U52">
        <v>5.48</v>
      </c>
      <c r="V52">
        <f>Table1[[#This Row],[FSH(mIU/mL)]]/Table1[[#This Row],[LH(mIU/mL)]]</f>
        <v>0.80656934306569339</v>
      </c>
      <c r="W52" t="str">
        <f>IF(Table1[[#This Row],[FSH/LH]]&gt;=2,"Abnormal","Normal")</f>
        <v>Normal</v>
      </c>
      <c r="X52">
        <v>42</v>
      </c>
      <c r="Y52">
        <v>34</v>
      </c>
      <c r="Z52">
        <f>ROUND(Table1[[#This Row],[Waist(inch)]]/Table1[[#This Row],[Hip(inch)]],2)</f>
        <v>0.81</v>
      </c>
      <c r="AA52">
        <v>3.26</v>
      </c>
      <c r="AB52">
        <v>3.2</v>
      </c>
      <c r="AC52">
        <v>27.65</v>
      </c>
      <c r="AD52">
        <v>23.114000000000001</v>
      </c>
      <c r="AE52" t="str">
        <f>IF(Table1[[#This Row],[Vit D3 (ng/mL)]]&lt;20,"Deficiency","Normal")</f>
        <v>Normal</v>
      </c>
      <c r="AF52">
        <v>0.39</v>
      </c>
      <c r="AG52">
        <v>70</v>
      </c>
      <c r="AH52">
        <v>1</v>
      </c>
      <c r="AI52" t="str">
        <f>IF(Table1[[#This Row],[Weight gain(Y/N)]]=0,"NO","YES")</f>
        <v>YES</v>
      </c>
      <c r="AJ52">
        <v>1</v>
      </c>
      <c r="AK52" t="str">
        <f>IF(Table1[[#This Row],[hair growth(Y/N)]]=1,"YES","NO")</f>
        <v>YES</v>
      </c>
      <c r="AL52">
        <v>1</v>
      </c>
      <c r="AM52" t="str">
        <f>IF(Table1[[#This Row],[Skin darkening (Y/N)]]=1,"YES","NO")</f>
        <v>YES</v>
      </c>
      <c r="AN52">
        <v>1</v>
      </c>
      <c r="AO52" t="str">
        <f>IF(Table1[[#This Row],[Hair loss(Y/N)]]=1,"YES","NO")</f>
        <v>YES</v>
      </c>
      <c r="AP52">
        <v>1</v>
      </c>
      <c r="AQ52" t="str">
        <f>IF(Table1[[#This Row],[Pimples(Y/N)]]=1,"YES","NO")</f>
        <v>YES</v>
      </c>
      <c r="AR52">
        <v>0</v>
      </c>
      <c r="AS52" t="str">
        <f>IF(Table1[[#This Row],[Fast food (Y/N)]]=1,"YES","NO")</f>
        <v>NO</v>
      </c>
      <c r="AT52">
        <v>0</v>
      </c>
      <c r="AU52" t="str">
        <f>IF(Table1[[#This Row],[Reg.Exercise(Y/N)]]=1,"YES","NO")</f>
        <v>NO</v>
      </c>
      <c r="AV52">
        <v>110</v>
      </c>
      <c r="AW52">
        <v>70</v>
      </c>
      <c r="AX52">
        <v>22</v>
      </c>
      <c r="AY52">
        <v>18</v>
      </c>
      <c r="AZ52">
        <v>12</v>
      </c>
      <c r="BA52">
        <v>13</v>
      </c>
      <c r="BB52">
        <v>11</v>
      </c>
      <c r="BC52" t="str" cm="1">
        <f t="array" ref="BC52">_xlfn.IFS((F52/(G52*G52)*10000)&lt; 18.5,"Underweight",(F52/(G52*G52)*10000)&lt;24.9,"Normal",(F52/(G52*G52)*10000)&lt;29.9,"Overweight",(F52/(G52*G52)*10000)&gt;=30,"obesity")</f>
        <v>Normal</v>
      </c>
      <c r="BD52">
        <f>Table1[[#This Row],[Follicle No. (L)]]+Table1[[#This Row],[Follicle No. (R)]]</f>
        <v>40</v>
      </c>
      <c r="BE52">
        <f>Table1[[#This Row],[Avg. F size (L) (mm)]]+Table1[[#This Row],[Avg. F size (R) (mm)]]</f>
        <v>25</v>
      </c>
      <c r="BF52">
        <f>Table1[[#This Row],[BP _Diastolic (mmHg)]]+(Table1[[#This Row],[BP _Diastolic (mmHg)]]+Table1[[#This Row],[Follicle No. (L)]])/3</f>
        <v>100.66666666666667</v>
      </c>
      <c r="BG52" s="4" t="str" cm="1">
        <f t="array" ref="BG5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52" s="4">
        <f>SUM(Table1[[#This Row],[Pimples(Y/N)]],Table1[[#This Row],[hair growth(Y/N)]],Table1[[#This Row],[Skin darkening (Y/N)]],Table1[[#This Row],[Hair loss(Y/N)]])</f>
        <v>4</v>
      </c>
      <c r="BI52" s="4" t="str">
        <f>IF(AND(Table1[[#This Row],[Pregnant(Y/N)]]=0, Table1[[#This Row],[  I   beta-HCG(mIU/mL)]]&gt;5), "Investigation Required", "Clear")</f>
        <v>Investigation Required</v>
      </c>
    </row>
    <row r="53" spans="1:61" ht="15.75" customHeight="1" x14ac:dyDescent="0.25">
      <c r="A53">
        <v>52</v>
      </c>
      <c r="B53">
        <v>52</v>
      </c>
      <c r="C53">
        <v>0</v>
      </c>
      <c r="D53" t="str">
        <f>IF(Table1[[#This Row],[PCOS (Y/N)]]=0,"NO","YES")</f>
        <v>NO</v>
      </c>
      <c r="E53">
        <v>23</v>
      </c>
      <c r="F53">
        <v>54</v>
      </c>
      <c r="G53">
        <v>158</v>
      </c>
      <c r="H53">
        <v>16</v>
      </c>
      <c r="I53">
        <v>72</v>
      </c>
      <c r="J53">
        <v>18</v>
      </c>
      <c r="K53">
        <v>10.8</v>
      </c>
      <c r="L53">
        <v>2</v>
      </c>
      <c r="M53">
        <v>5</v>
      </c>
      <c r="N53">
        <v>2</v>
      </c>
      <c r="O53">
        <v>1</v>
      </c>
      <c r="P53" t="str">
        <f>IF(Table1[[#This Row],[Pregnant(Y/N)]]=1,"YES","NO")</f>
        <v>YES</v>
      </c>
      <c r="Q53">
        <v>0</v>
      </c>
      <c r="R53">
        <v>177.57</v>
      </c>
      <c r="S53">
        <v>177.57</v>
      </c>
      <c r="T53">
        <v>5.32</v>
      </c>
      <c r="U53">
        <v>1.8</v>
      </c>
      <c r="V53">
        <f>Table1[[#This Row],[FSH(mIU/mL)]]/Table1[[#This Row],[LH(mIU/mL)]]</f>
        <v>2.9555555555555557</v>
      </c>
      <c r="W53" t="str">
        <f>IF(Table1[[#This Row],[FSH/LH]]&gt;=2,"Abnormal","Normal")</f>
        <v>Abnormal</v>
      </c>
      <c r="X53">
        <v>38</v>
      </c>
      <c r="Y53">
        <v>32</v>
      </c>
      <c r="Z53">
        <f>ROUND(Table1[[#This Row],[Waist(inch)]]/Table1[[#This Row],[Hip(inch)]],2)</f>
        <v>0.84</v>
      </c>
      <c r="AA53">
        <v>5.17</v>
      </c>
      <c r="AB53">
        <v>2.1</v>
      </c>
      <c r="AC53">
        <v>24.5</v>
      </c>
      <c r="AD53">
        <v>14</v>
      </c>
      <c r="AE53" t="str">
        <f>IF(Table1[[#This Row],[Vit D3 (ng/mL)]]&lt;20,"Deficiency","Normal")</f>
        <v>Deficiency</v>
      </c>
      <c r="AF53">
        <v>0.25</v>
      </c>
      <c r="AG53">
        <v>70</v>
      </c>
      <c r="AH53">
        <v>0</v>
      </c>
      <c r="AI53" t="str">
        <f>IF(Table1[[#This Row],[Weight gain(Y/N)]]=0,"NO","YES")</f>
        <v>NO</v>
      </c>
      <c r="AJ53">
        <v>0</v>
      </c>
      <c r="AK53" t="str">
        <f>IF(Table1[[#This Row],[hair growth(Y/N)]]=1,"YES","NO")</f>
        <v>NO</v>
      </c>
      <c r="AL53">
        <v>0</v>
      </c>
      <c r="AM53" t="str">
        <f>IF(Table1[[#This Row],[Skin darkening (Y/N)]]=1,"YES","NO")</f>
        <v>NO</v>
      </c>
      <c r="AN53">
        <v>0</v>
      </c>
      <c r="AO53" t="str">
        <f>IF(Table1[[#This Row],[Hair loss(Y/N)]]=1,"YES","NO")</f>
        <v>NO</v>
      </c>
      <c r="AP53">
        <v>0</v>
      </c>
      <c r="AQ53" t="str">
        <f>IF(Table1[[#This Row],[Pimples(Y/N)]]=1,"YES","NO")</f>
        <v>NO</v>
      </c>
      <c r="AR53">
        <v>0</v>
      </c>
      <c r="AS53" t="str">
        <f>IF(Table1[[#This Row],[Fast food (Y/N)]]=1,"YES","NO")</f>
        <v>NO</v>
      </c>
      <c r="AT53">
        <v>0</v>
      </c>
      <c r="AU53" t="str">
        <f>IF(Table1[[#This Row],[Reg.Exercise(Y/N)]]=1,"YES","NO")</f>
        <v>NO</v>
      </c>
      <c r="AV53">
        <v>100</v>
      </c>
      <c r="AW53">
        <v>70</v>
      </c>
      <c r="AX53">
        <v>7</v>
      </c>
      <c r="AY53">
        <v>10</v>
      </c>
      <c r="AZ53">
        <v>15</v>
      </c>
      <c r="BA53">
        <v>13</v>
      </c>
      <c r="BB53">
        <v>10</v>
      </c>
      <c r="BC53" t="str" cm="1">
        <f t="array" ref="BC53">_xlfn.IFS((F53/(G53*G53)*10000)&lt; 18.5,"Underweight",(F53/(G53*G53)*10000)&lt;24.9,"Normal",(F53/(G53*G53)*10000)&lt;29.9,"Overweight",(F53/(G53*G53)*10000)&gt;=30,"obesity")</f>
        <v>Normal</v>
      </c>
      <c r="BD53">
        <f>Table1[[#This Row],[Follicle No. (L)]]+Table1[[#This Row],[Follicle No. (R)]]</f>
        <v>17</v>
      </c>
      <c r="BE53">
        <f>Table1[[#This Row],[Avg. F size (L) (mm)]]+Table1[[#This Row],[Avg. F size (R) (mm)]]</f>
        <v>28</v>
      </c>
      <c r="BF53">
        <f>Table1[[#This Row],[BP _Diastolic (mmHg)]]+(Table1[[#This Row],[BP _Diastolic (mmHg)]]+Table1[[#This Row],[Follicle No. (L)]])/3</f>
        <v>95.666666666666671</v>
      </c>
      <c r="BG53" s="4" t="str" cm="1">
        <f t="array" ref="BG5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3" s="4">
        <f>SUM(Table1[[#This Row],[Pimples(Y/N)]],Table1[[#This Row],[hair growth(Y/N)]],Table1[[#This Row],[Skin darkening (Y/N)]],Table1[[#This Row],[Hair loss(Y/N)]])</f>
        <v>0</v>
      </c>
      <c r="BI53" s="4" t="str">
        <f>IF(AND(Table1[[#This Row],[Pregnant(Y/N)]]=0, Table1[[#This Row],[  I   beta-HCG(mIU/mL)]]&gt;5), "Investigation Required", "Clear")</f>
        <v>Clear</v>
      </c>
    </row>
    <row r="54" spans="1:61" ht="15.75" customHeight="1" x14ac:dyDescent="0.25">
      <c r="A54">
        <v>53</v>
      </c>
      <c r="B54">
        <v>53</v>
      </c>
      <c r="C54">
        <v>1</v>
      </c>
      <c r="D54" t="str">
        <f>IF(Table1[[#This Row],[PCOS (Y/N)]]=0,"NO","YES")</f>
        <v>YES</v>
      </c>
      <c r="E54">
        <v>31</v>
      </c>
      <c r="F54">
        <v>50</v>
      </c>
      <c r="G54">
        <v>157</v>
      </c>
      <c r="H54">
        <v>15</v>
      </c>
      <c r="I54">
        <v>72</v>
      </c>
      <c r="J54">
        <v>20</v>
      </c>
      <c r="K54">
        <v>10.8</v>
      </c>
      <c r="L54">
        <v>2</v>
      </c>
      <c r="M54">
        <v>4</v>
      </c>
      <c r="N54">
        <v>1.5</v>
      </c>
      <c r="O54">
        <v>1</v>
      </c>
      <c r="P54" t="str">
        <f>IF(Table1[[#This Row],[Pregnant(Y/N)]]=1,"YES","NO")</f>
        <v>YES</v>
      </c>
      <c r="Q54">
        <v>0</v>
      </c>
      <c r="R54">
        <v>160.77000000000001</v>
      </c>
      <c r="S54">
        <v>10</v>
      </c>
      <c r="T54">
        <v>7.08</v>
      </c>
      <c r="U54">
        <v>4.09</v>
      </c>
      <c r="V54">
        <f>Table1[[#This Row],[FSH(mIU/mL)]]/Table1[[#This Row],[LH(mIU/mL)]]</f>
        <v>1.7310513447432763</v>
      </c>
      <c r="W54" t="str">
        <f>IF(Table1[[#This Row],[FSH/LH]]&gt;=2,"Abnormal","Normal")</f>
        <v>Normal</v>
      </c>
      <c r="X54">
        <v>39</v>
      </c>
      <c r="Y54">
        <v>32</v>
      </c>
      <c r="Z54">
        <f>ROUND(Table1[[#This Row],[Waist(inch)]]/Table1[[#This Row],[Hip(inch)]],2)</f>
        <v>0.82</v>
      </c>
      <c r="AA54">
        <v>2.2400000000000002</v>
      </c>
      <c r="AB54">
        <v>4.5</v>
      </c>
      <c r="AC54">
        <v>21.38</v>
      </c>
      <c r="AD54">
        <v>64.2</v>
      </c>
      <c r="AE54" t="str">
        <f>IF(Table1[[#This Row],[Vit D3 (ng/mL)]]&lt;20,"Deficiency","Normal")</f>
        <v>Normal</v>
      </c>
      <c r="AF54">
        <v>0.56999999999999995</v>
      </c>
      <c r="AG54">
        <v>107</v>
      </c>
      <c r="AH54">
        <v>1</v>
      </c>
      <c r="AI54" t="str">
        <f>IF(Table1[[#This Row],[Weight gain(Y/N)]]=0,"NO","YES")</f>
        <v>YES</v>
      </c>
      <c r="AJ54">
        <v>0</v>
      </c>
      <c r="AK54" t="str">
        <f>IF(Table1[[#This Row],[hair growth(Y/N)]]=1,"YES","NO")</f>
        <v>NO</v>
      </c>
      <c r="AL54">
        <v>1</v>
      </c>
      <c r="AM54" t="str">
        <f>IF(Table1[[#This Row],[Skin darkening (Y/N)]]=1,"YES","NO")</f>
        <v>YES</v>
      </c>
      <c r="AN54">
        <v>0</v>
      </c>
      <c r="AO54" t="str">
        <f>IF(Table1[[#This Row],[Hair loss(Y/N)]]=1,"YES","NO")</f>
        <v>NO</v>
      </c>
      <c r="AP54">
        <v>1</v>
      </c>
      <c r="AQ54" t="str">
        <f>IF(Table1[[#This Row],[Pimples(Y/N)]]=1,"YES","NO")</f>
        <v>YES</v>
      </c>
      <c r="AR54">
        <v>1</v>
      </c>
      <c r="AS54" t="str">
        <f>IF(Table1[[#This Row],[Fast food (Y/N)]]=1,"YES","NO")</f>
        <v>YES</v>
      </c>
      <c r="AT54">
        <v>1</v>
      </c>
      <c r="AU54" t="str">
        <f>IF(Table1[[#This Row],[Reg.Exercise(Y/N)]]=1,"YES","NO")</f>
        <v>YES</v>
      </c>
      <c r="AV54">
        <v>120</v>
      </c>
      <c r="AW54">
        <v>80</v>
      </c>
      <c r="AX54">
        <v>6</v>
      </c>
      <c r="AY54">
        <v>11</v>
      </c>
      <c r="AZ54">
        <v>12</v>
      </c>
      <c r="BA54">
        <v>11</v>
      </c>
      <c r="BB54">
        <v>6</v>
      </c>
      <c r="BC54" t="str" cm="1">
        <f t="array" ref="BC54">_xlfn.IFS((F54/(G54*G54)*10000)&lt; 18.5,"Underweight",(F54/(G54*G54)*10000)&lt;24.9,"Normal",(F54/(G54*G54)*10000)&lt;29.9,"Overweight",(F54/(G54*G54)*10000)&gt;=30,"obesity")</f>
        <v>Normal</v>
      </c>
      <c r="BD54">
        <f>Table1[[#This Row],[Follicle No. (L)]]+Table1[[#This Row],[Follicle No. (R)]]</f>
        <v>17</v>
      </c>
      <c r="BE54">
        <f>Table1[[#This Row],[Avg. F size (L) (mm)]]+Table1[[#This Row],[Avg. F size (R) (mm)]]</f>
        <v>23</v>
      </c>
      <c r="BF54">
        <f>Table1[[#This Row],[BP _Diastolic (mmHg)]]+(Table1[[#This Row],[BP _Diastolic (mmHg)]]+Table1[[#This Row],[Follicle No. (L)]])/3</f>
        <v>108.66666666666667</v>
      </c>
      <c r="BG54" s="4" t="str" cm="1">
        <f t="array" ref="BG5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4" s="4">
        <f>SUM(Table1[[#This Row],[Pimples(Y/N)]],Table1[[#This Row],[hair growth(Y/N)]],Table1[[#This Row],[Skin darkening (Y/N)]],Table1[[#This Row],[Hair loss(Y/N)]])</f>
        <v>2</v>
      </c>
      <c r="BI54" s="4" t="str">
        <f>IF(AND(Table1[[#This Row],[Pregnant(Y/N)]]=0, Table1[[#This Row],[  I   beta-HCG(mIU/mL)]]&gt;5), "Investigation Required", "Clear")</f>
        <v>Clear</v>
      </c>
    </row>
    <row r="55" spans="1:61" ht="15.75" customHeight="1" x14ac:dyDescent="0.25">
      <c r="A55">
        <v>54</v>
      </c>
      <c r="B55">
        <v>54</v>
      </c>
      <c r="C55">
        <v>0</v>
      </c>
      <c r="D55" t="str">
        <f>IF(Table1[[#This Row],[PCOS (Y/N)]]=0,"NO","YES")</f>
        <v>NO</v>
      </c>
      <c r="E55">
        <v>32</v>
      </c>
      <c r="F55">
        <v>62</v>
      </c>
      <c r="G55">
        <v>151</v>
      </c>
      <c r="H55">
        <v>15</v>
      </c>
      <c r="I55">
        <v>70</v>
      </c>
      <c r="J55">
        <v>18</v>
      </c>
      <c r="K55">
        <v>10.5</v>
      </c>
      <c r="L55">
        <v>2</v>
      </c>
      <c r="M55">
        <v>5</v>
      </c>
      <c r="N55">
        <v>13</v>
      </c>
      <c r="O55">
        <v>1</v>
      </c>
      <c r="P55" t="str">
        <f>IF(Table1[[#This Row],[Pregnant(Y/N)]]=1,"YES","NO")</f>
        <v>YES</v>
      </c>
      <c r="Q55">
        <v>0</v>
      </c>
      <c r="R55">
        <v>180.33</v>
      </c>
      <c r="S55">
        <v>12</v>
      </c>
      <c r="T55">
        <v>2.4900000000000002</v>
      </c>
      <c r="U55">
        <v>0.72</v>
      </c>
      <c r="V55">
        <f>Table1[[#This Row],[FSH(mIU/mL)]]/Table1[[#This Row],[LH(mIU/mL)]]</f>
        <v>3.4583333333333339</v>
      </c>
      <c r="W55" t="str">
        <f>IF(Table1[[#This Row],[FSH/LH]]&gt;=2,"Abnormal","Normal")</f>
        <v>Abnormal</v>
      </c>
      <c r="X55">
        <v>45</v>
      </c>
      <c r="Y55">
        <v>39</v>
      </c>
      <c r="Z55">
        <f>ROUND(Table1[[#This Row],[Waist(inch)]]/Table1[[#This Row],[Hip(inch)]],2)</f>
        <v>0.87</v>
      </c>
      <c r="AA55">
        <v>0.75</v>
      </c>
      <c r="AB55">
        <v>6.55</v>
      </c>
      <c r="AC55">
        <v>18.510000000000002</v>
      </c>
      <c r="AD55">
        <v>45.36</v>
      </c>
      <c r="AE55" t="str">
        <f>IF(Table1[[#This Row],[Vit D3 (ng/mL)]]&lt;20,"Deficiency","Normal")</f>
        <v>Normal</v>
      </c>
      <c r="AF55">
        <v>0.25</v>
      </c>
      <c r="AG55">
        <v>92</v>
      </c>
      <c r="AH55">
        <v>0</v>
      </c>
      <c r="AI55" t="str">
        <f>IF(Table1[[#This Row],[Weight gain(Y/N)]]=0,"NO","YES")</f>
        <v>NO</v>
      </c>
      <c r="AJ55">
        <v>0</v>
      </c>
      <c r="AK55" t="str">
        <f>IF(Table1[[#This Row],[hair growth(Y/N)]]=1,"YES","NO")</f>
        <v>NO</v>
      </c>
      <c r="AL55">
        <v>0</v>
      </c>
      <c r="AM55" t="str">
        <f>IF(Table1[[#This Row],[Skin darkening (Y/N)]]=1,"YES","NO")</f>
        <v>NO</v>
      </c>
      <c r="AN55">
        <v>0</v>
      </c>
      <c r="AO55" t="str">
        <f>IF(Table1[[#This Row],[Hair loss(Y/N)]]=1,"YES","NO")</f>
        <v>NO</v>
      </c>
      <c r="AP55">
        <v>0</v>
      </c>
      <c r="AQ55" t="str">
        <f>IF(Table1[[#This Row],[Pimples(Y/N)]]=1,"YES","NO")</f>
        <v>NO</v>
      </c>
      <c r="AR55">
        <v>0</v>
      </c>
      <c r="AS55" t="str">
        <f>IF(Table1[[#This Row],[Fast food (Y/N)]]=1,"YES","NO")</f>
        <v>NO</v>
      </c>
      <c r="AT55">
        <v>0</v>
      </c>
      <c r="AU55" t="str">
        <f>IF(Table1[[#This Row],[Reg.Exercise(Y/N)]]=1,"YES","NO")</f>
        <v>NO</v>
      </c>
      <c r="AV55">
        <v>120</v>
      </c>
      <c r="AW55">
        <v>80</v>
      </c>
      <c r="AX55">
        <v>4</v>
      </c>
      <c r="AY55">
        <v>6</v>
      </c>
      <c r="AZ55">
        <v>13</v>
      </c>
      <c r="BA55">
        <v>14</v>
      </c>
      <c r="BB55">
        <v>6.8</v>
      </c>
      <c r="BC55" t="str" cm="1">
        <f t="array" ref="BC55">_xlfn.IFS((F55/(G55*G55)*10000)&lt; 18.5,"Underweight",(F55/(G55*G55)*10000)&lt;24.9,"Normal",(F55/(G55*G55)*10000)&lt;29.9,"Overweight",(F55/(G55*G55)*10000)&gt;=30,"obesity")</f>
        <v>Overweight</v>
      </c>
      <c r="BD55">
        <f>Table1[[#This Row],[Follicle No. (L)]]+Table1[[#This Row],[Follicle No. (R)]]</f>
        <v>10</v>
      </c>
      <c r="BE55">
        <f>Table1[[#This Row],[Avg. F size (L) (mm)]]+Table1[[#This Row],[Avg. F size (R) (mm)]]</f>
        <v>27</v>
      </c>
      <c r="BF55">
        <f>Table1[[#This Row],[BP _Diastolic (mmHg)]]+(Table1[[#This Row],[BP _Diastolic (mmHg)]]+Table1[[#This Row],[Follicle No. (L)]])/3</f>
        <v>108</v>
      </c>
      <c r="BG55" s="4" t="str" cm="1">
        <f t="array" ref="BG5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5" s="4">
        <f>SUM(Table1[[#This Row],[Pimples(Y/N)]],Table1[[#This Row],[hair growth(Y/N)]],Table1[[#This Row],[Skin darkening (Y/N)]],Table1[[#This Row],[Hair loss(Y/N)]])</f>
        <v>0</v>
      </c>
      <c r="BI55" s="4" t="str">
        <f>IF(AND(Table1[[#This Row],[Pregnant(Y/N)]]=0, Table1[[#This Row],[  I   beta-HCG(mIU/mL)]]&gt;5), "Investigation Required", "Clear")</f>
        <v>Clear</v>
      </c>
    </row>
    <row r="56" spans="1:61" ht="15.75" customHeight="1" x14ac:dyDescent="0.25">
      <c r="A56">
        <v>55</v>
      </c>
      <c r="B56">
        <v>55</v>
      </c>
      <c r="C56">
        <v>0</v>
      </c>
      <c r="D56" t="str">
        <f>IF(Table1[[#This Row],[PCOS (Y/N)]]=0,"NO","YES")</f>
        <v>NO</v>
      </c>
      <c r="E56">
        <v>32</v>
      </c>
      <c r="F56">
        <v>58</v>
      </c>
      <c r="G56">
        <v>152</v>
      </c>
      <c r="H56">
        <v>13</v>
      </c>
      <c r="I56">
        <v>70</v>
      </c>
      <c r="J56">
        <v>18</v>
      </c>
      <c r="K56">
        <v>10</v>
      </c>
      <c r="L56">
        <v>2</v>
      </c>
      <c r="M56">
        <v>5</v>
      </c>
      <c r="N56">
        <v>16</v>
      </c>
      <c r="O56">
        <v>0</v>
      </c>
      <c r="P56" t="str">
        <f>IF(Table1[[#This Row],[Pregnant(Y/N)]]=1,"YES","NO")</f>
        <v>NO</v>
      </c>
      <c r="Q56">
        <v>0</v>
      </c>
      <c r="R56">
        <v>1.99</v>
      </c>
      <c r="S56">
        <v>1.99</v>
      </c>
      <c r="T56">
        <v>9.43</v>
      </c>
      <c r="U56">
        <v>6.08</v>
      </c>
      <c r="V56">
        <f>Table1[[#This Row],[FSH(mIU/mL)]]/Table1[[#This Row],[LH(mIU/mL)]]</f>
        <v>1.5509868421052631</v>
      </c>
      <c r="W56" t="str">
        <f>IF(Table1[[#This Row],[FSH/LH]]&gt;=2,"Abnormal","Normal")</f>
        <v>Normal</v>
      </c>
      <c r="X56">
        <v>40</v>
      </c>
      <c r="Y56">
        <v>36</v>
      </c>
      <c r="Z56">
        <f>ROUND(Table1[[#This Row],[Waist(inch)]]/Table1[[#This Row],[Hip(inch)]],2)</f>
        <v>0.9</v>
      </c>
      <c r="AA56">
        <v>2.82</v>
      </c>
      <c r="AB56">
        <v>1.2</v>
      </c>
      <c r="AC56">
        <v>33.78</v>
      </c>
      <c r="AD56">
        <v>56.25</v>
      </c>
      <c r="AE56" t="str">
        <f>IF(Table1[[#This Row],[Vit D3 (ng/mL)]]&lt;20,"Deficiency","Normal")</f>
        <v>Normal</v>
      </c>
      <c r="AF56">
        <v>0.45</v>
      </c>
      <c r="AG56">
        <v>100</v>
      </c>
      <c r="AH56">
        <v>0</v>
      </c>
      <c r="AI56" t="str">
        <f>IF(Table1[[#This Row],[Weight gain(Y/N)]]=0,"NO","YES")</f>
        <v>NO</v>
      </c>
      <c r="AJ56">
        <v>0</v>
      </c>
      <c r="AK56" t="str">
        <f>IF(Table1[[#This Row],[hair growth(Y/N)]]=1,"YES","NO")</f>
        <v>NO</v>
      </c>
      <c r="AL56">
        <v>0</v>
      </c>
      <c r="AM56" t="str">
        <f>IF(Table1[[#This Row],[Skin darkening (Y/N)]]=1,"YES","NO")</f>
        <v>NO</v>
      </c>
      <c r="AN56">
        <v>0</v>
      </c>
      <c r="AO56" t="str">
        <f>IF(Table1[[#This Row],[Hair loss(Y/N)]]=1,"YES","NO")</f>
        <v>NO</v>
      </c>
      <c r="AP56">
        <v>0</v>
      </c>
      <c r="AQ56" t="str">
        <f>IF(Table1[[#This Row],[Pimples(Y/N)]]=1,"YES","NO")</f>
        <v>NO</v>
      </c>
      <c r="AR56">
        <v>0</v>
      </c>
      <c r="AS56" t="str">
        <f>IF(Table1[[#This Row],[Fast food (Y/N)]]=1,"YES","NO")</f>
        <v>NO</v>
      </c>
      <c r="AT56">
        <v>0</v>
      </c>
      <c r="AU56" t="str">
        <f>IF(Table1[[#This Row],[Reg.Exercise(Y/N)]]=1,"YES","NO")</f>
        <v>NO</v>
      </c>
      <c r="AV56">
        <v>120</v>
      </c>
      <c r="AW56">
        <v>80</v>
      </c>
      <c r="AX56">
        <v>5</v>
      </c>
      <c r="AY56">
        <v>9</v>
      </c>
      <c r="AZ56">
        <v>10</v>
      </c>
      <c r="BA56">
        <v>11</v>
      </c>
      <c r="BB56">
        <v>6.3</v>
      </c>
      <c r="BC56" t="str" cm="1">
        <f t="array" ref="BC56">_xlfn.IFS((F56/(G56*G56)*10000)&lt; 18.5,"Underweight",(F56/(G56*G56)*10000)&lt;24.9,"Normal",(F56/(G56*G56)*10000)&lt;29.9,"Overweight",(F56/(G56*G56)*10000)&gt;=30,"obesity")</f>
        <v>Overweight</v>
      </c>
      <c r="BD56">
        <f>Table1[[#This Row],[Follicle No. (L)]]+Table1[[#This Row],[Follicle No. (R)]]</f>
        <v>14</v>
      </c>
      <c r="BE56">
        <f>Table1[[#This Row],[Avg. F size (L) (mm)]]+Table1[[#This Row],[Avg. F size (R) (mm)]]</f>
        <v>21</v>
      </c>
      <c r="BF56">
        <f>Table1[[#This Row],[BP _Diastolic (mmHg)]]+(Table1[[#This Row],[BP _Diastolic (mmHg)]]+Table1[[#This Row],[Follicle No. (L)]])/3</f>
        <v>108.33333333333333</v>
      </c>
      <c r="BG56" s="4" t="str" cm="1">
        <f t="array" ref="BG5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6" s="4">
        <f>SUM(Table1[[#This Row],[Pimples(Y/N)]],Table1[[#This Row],[hair growth(Y/N)]],Table1[[#This Row],[Skin darkening (Y/N)]],Table1[[#This Row],[Hair loss(Y/N)]])</f>
        <v>0</v>
      </c>
      <c r="BI56" s="4" t="str">
        <f>IF(AND(Table1[[#This Row],[Pregnant(Y/N)]]=0, Table1[[#This Row],[  I   beta-HCG(mIU/mL)]]&gt;5), "Investigation Required", "Clear")</f>
        <v>Clear</v>
      </c>
    </row>
    <row r="57" spans="1:61" ht="15.75" customHeight="1" x14ac:dyDescent="0.25">
      <c r="A57">
        <v>56</v>
      </c>
      <c r="B57">
        <v>56</v>
      </c>
      <c r="C57">
        <v>0</v>
      </c>
      <c r="D57" t="str">
        <f>IF(Table1[[#This Row],[PCOS (Y/N)]]=0,"NO","YES")</f>
        <v>NO</v>
      </c>
      <c r="E57">
        <v>37</v>
      </c>
      <c r="F57">
        <v>68</v>
      </c>
      <c r="G57">
        <v>169</v>
      </c>
      <c r="H57">
        <v>15</v>
      </c>
      <c r="I57">
        <v>72</v>
      </c>
      <c r="J57">
        <v>18</v>
      </c>
      <c r="K57">
        <v>10</v>
      </c>
      <c r="L57">
        <v>2</v>
      </c>
      <c r="M57">
        <v>5</v>
      </c>
      <c r="N57">
        <v>7</v>
      </c>
      <c r="O57">
        <v>1</v>
      </c>
      <c r="P57" t="str">
        <f>IF(Table1[[#This Row],[Pregnant(Y/N)]]=1,"YES","NO")</f>
        <v>YES</v>
      </c>
      <c r="Q57">
        <v>0</v>
      </c>
      <c r="R57">
        <v>274.7</v>
      </c>
      <c r="S57">
        <v>15</v>
      </c>
      <c r="T57">
        <v>3.51</v>
      </c>
      <c r="U57">
        <v>0.98</v>
      </c>
      <c r="V57">
        <f>Table1[[#This Row],[FSH(mIU/mL)]]/Table1[[#This Row],[LH(mIU/mL)]]</f>
        <v>3.5816326530612241</v>
      </c>
      <c r="W57" t="str">
        <f>IF(Table1[[#This Row],[FSH/LH]]&gt;=2,"Abnormal","Normal")</f>
        <v>Abnormal</v>
      </c>
      <c r="X57">
        <v>44</v>
      </c>
      <c r="Y57">
        <v>37</v>
      </c>
      <c r="Z57">
        <f>ROUND(Table1[[#This Row],[Waist(inch)]]/Table1[[#This Row],[Hip(inch)]],2)</f>
        <v>0.84</v>
      </c>
      <c r="AA57">
        <v>5.2</v>
      </c>
      <c r="AB57">
        <v>2.33</v>
      </c>
      <c r="AC57">
        <v>34.42</v>
      </c>
      <c r="AD57">
        <v>25.6</v>
      </c>
      <c r="AE57" t="str">
        <f>IF(Table1[[#This Row],[Vit D3 (ng/mL)]]&lt;20,"Deficiency","Normal")</f>
        <v>Normal</v>
      </c>
      <c r="AF57">
        <v>0.25</v>
      </c>
      <c r="AG57">
        <v>92</v>
      </c>
      <c r="AH57">
        <v>0</v>
      </c>
      <c r="AI57" t="str">
        <f>IF(Table1[[#This Row],[Weight gain(Y/N)]]=0,"NO","YES")</f>
        <v>NO</v>
      </c>
      <c r="AJ57">
        <v>0</v>
      </c>
      <c r="AK57" t="str">
        <f>IF(Table1[[#This Row],[hair growth(Y/N)]]=1,"YES","NO")</f>
        <v>NO</v>
      </c>
      <c r="AL57">
        <v>0</v>
      </c>
      <c r="AM57" t="str">
        <f>IF(Table1[[#This Row],[Skin darkening (Y/N)]]=1,"YES","NO")</f>
        <v>NO</v>
      </c>
      <c r="AN57">
        <v>0</v>
      </c>
      <c r="AO57" t="str">
        <f>IF(Table1[[#This Row],[Hair loss(Y/N)]]=1,"YES","NO")</f>
        <v>NO</v>
      </c>
      <c r="AP57">
        <v>0</v>
      </c>
      <c r="AQ57" t="str">
        <f>IF(Table1[[#This Row],[Pimples(Y/N)]]=1,"YES","NO")</f>
        <v>NO</v>
      </c>
      <c r="AR57">
        <v>0</v>
      </c>
      <c r="AS57" t="str">
        <f>IF(Table1[[#This Row],[Fast food (Y/N)]]=1,"YES","NO")</f>
        <v>NO</v>
      </c>
      <c r="AT57">
        <v>0</v>
      </c>
      <c r="AU57" t="str">
        <f>IF(Table1[[#This Row],[Reg.Exercise(Y/N)]]=1,"YES","NO")</f>
        <v>NO</v>
      </c>
      <c r="AV57">
        <v>110</v>
      </c>
      <c r="AW57">
        <v>80</v>
      </c>
      <c r="AX57">
        <v>6</v>
      </c>
      <c r="AY57">
        <v>7</v>
      </c>
      <c r="AZ57">
        <v>9.5</v>
      </c>
      <c r="BA57">
        <v>11</v>
      </c>
      <c r="BB57">
        <v>8.9</v>
      </c>
      <c r="BC57" t="str" cm="1">
        <f t="array" ref="BC57">_xlfn.IFS((F57/(G57*G57)*10000)&lt; 18.5,"Underweight",(F57/(G57*G57)*10000)&lt;24.9,"Normal",(F57/(G57*G57)*10000)&lt;29.9,"Overweight",(F57/(G57*G57)*10000)&gt;=30,"obesity")</f>
        <v>Normal</v>
      </c>
      <c r="BD57">
        <f>Table1[[#This Row],[Follicle No. (L)]]+Table1[[#This Row],[Follicle No. (R)]]</f>
        <v>13</v>
      </c>
      <c r="BE57">
        <f>Table1[[#This Row],[Avg. F size (L) (mm)]]+Table1[[#This Row],[Avg. F size (R) (mm)]]</f>
        <v>20.5</v>
      </c>
      <c r="BF57">
        <f>Table1[[#This Row],[BP _Diastolic (mmHg)]]+(Table1[[#This Row],[BP _Diastolic (mmHg)]]+Table1[[#This Row],[Follicle No. (L)]])/3</f>
        <v>108.66666666666667</v>
      </c>
      <c r="BG57" s="4" t="str" cm="1">
        <f t="array" ref="BG5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7" s="4">
        <f>SUM(Table1[[#This Row],[Pimples(Y/N)]],Table1[[#This Row],[hair growth(Y/N)]],Table1[[#This Row],[Skin darkening (Y/N)]],Table1[[#This Row],[Hair loss(Y/N)]])</f>
        <v>0</v>
      </c>
      <c r="BI57" s="4" t="str">
        <f>IF(AND(Table1[[#This Row],[Pregnant(Y/N)]]=0, Table1[[#This Row],[  I   beta-HCG(mIU/mL)]]&gt;5), "Investigation Required", "Clear")</f>
        <v>Clear</v>
      </c>
    </row>
    <row r="58" spans="1:61" ht="15.75" customHeight="1" x14ac:dyDescent="0.25">
      <c r="A58">
        <v>57</v>
      </c>
      <c r="B58">
        <v>57</v>
      </c>
      <c r="C58">
        <v>0</v>
      </c>
      <c r="D58" t="str">
        <f>IF(Table1[[#This Row],[PCOS (Y/N)]]=0,"NO","YES")</f>
        <v>NO</v>
      </c>
      <c r="E58">
        <v>38</v>
      </c>
      <c r="F58">
        <v>56</v>
      </c>
      <c r="G58">
        <v>160</v>
      </c>
      <c r="H58">
        <v>11</v>
      </c>
      <c r="I58">
        <v>72</v>
      </c>
      <c r="J58">
        <v>20</v>
      </c>
      <c r="K58">
        <v>10.8</v>
      </c>
      <c r="L58">
        <v>2</v>
      </c>
      <c r="M58">
        <v>5</v>
      </c>
      <c r="N58">
        <v>15</v>
      </c>
      <c r="O58">
        <v>1</v>
      </c>
      <c r="P58" t="str">
        <f>IF(Table1[[#This Row],[Pregnant(Y/N)]]=1,"YES","NO")</f>
        <v>YES</v>
      </c>
      <c r="Q58">
        <v>0</v>
      </c>
      <c r="R58">
        <v>1.99</v>
      </c>
      <c r="S58">
        <v>1.99</v>
      </c>
      <c r="T58">
        <v>8.49</v>
      </c>
      <c r="U58">
        <v>2.42</v>
      </c>
      <c r="V58">
        <f>Table1[[#This Row],[FSH(mIU/mL)]]/Table1[[#This Row],[LH(mIU/mL)]]</f>
        <v>3.5082644628099175</v>
      </c>
      <c r="W58" t="str">
        <f>IF(Table1[[#This Row],[FSH/LH]]&gt;=2,"Abnormal","Normal")</f>
        <v>Abnormal</v>
      </c>
      <c r="X58">
        <v>40</v>
      </c>
      <c r="Y58">
        <v>34</v>
      </c>
      <c r="Z58">
        <f>ROUND(Table1[[#This Row],[Waist(inch)]]/Table1[[#This Row],[Hip(inch)]],2)</f>
        <v>0.85</v>
      </c>
      <c r="AA58">
        <v>4.45</v>
      </c>
      <c r="AB58">
        <v>3.22</v>
      </c>
      <c r="AC58">
        <v>36.450000000000003</v>
      </c>
      <c r="AD58">
        <v>45.3</v>
      </c>
      <c r="AE58" t="str">
        <f>IF(Table1[[#This Row],[Vit D3 (ng/mL)]]&lt;20,"Deficiency","Normal")</f>
        <v>Normal</v>
      </c>
      <c r="AF58">
        <v>0.42</v>
      </c>
      <c r="AG58">
        <v>130</v>
      </c>
      <c r="AH58">
        <v>0</v>
      </c>
      <c r="AI58" t="str">
        <f>IF(Table1[[#This Row],[Weight gain(Y/N)]]=0,"NO","YES")</f>
        <v>NO</v>
      </c>
      <c r="AJ58">
        <v>0</v>
      </c>
      <c r="AK58" t="str">
        <f>IF(Table1[[#This Row],[hair growth(Y/N)]]=1,"YES","NO")</f>
        <v>NO</v>
      </c>
      <c r="AL58">
        <v>0</v>
      </c>
      <c r="AM58" t="str">
        <f>IF(Table1[[#This Row],[Skin darkening (Y/N)]]=1,"YES","NO")</f>
        <v>NO</v>
      </c>
      <c r="AN58">
        <v>0</v>
      </c>
      <c r="AO58" t="str">
        <f>IF(Table1[[#This Row],[Hair loss(Y/N)]]=1,"YES","NO")</f>
        <v>NO</v>
      </c>
      <c r="AP58">
        <v>0</v>
      </c>
      <c r="AQ58" t="str">
        <f>IF(Table1[[#This Row],[Pimples(Y/N)]]=1,"YES","NO")</f>
        <v>NO</v>
      </c>
      <c r="AR58">
        <v>0</v>
      </c>
      <c r="AS58" t="str">
        <f>IF(Table1[[#This Row],[Fast food (Y/N)]]=1,"YES","NO")</f>
        <v>NO</v>
      </c>
      <c r="AT58">
        <v>0</v>
      </c>
      <c r="AU58" t="str">
        <f>IF(Table1[[#This Row],[Reg.Exercise(Y/N)]]=1,"YES","NO")</f>
        <v>NO</v>
      </c>
      <c r="AV58">
        <v>120</v>
      </c>
      <c r="AW58">
        <v>80</v>
      </c>
      <c r="AX58">
        <v>6</v>
      </c>
      <c r="AY58">
        <v>5</v>
      </c>
      <c r="AZ58">
        <v>11</v>
      </c>
      <c r="BA58">
        <v>13</v>
      </c>
      <c r="BB58">
        <v>8.6</v>
      </c>
      <c r="BC58" t="str" cm="1">
        <f t="array" ref="BC58">_xlfn.IFS((F58/(G58*G58)*10000)&lt; 18.5,"Underweight",(F58/(G58*G58)*10000)&lt;24.9,"Normal",(F58/(G58*G58)*10000)&lt;29.9,"Overweight",(F58/(G58*G58)*10000)&gt;=30,"obesity")</f>
        <v>Normal</v>
      </c>
      <c r="BD58">
        <f>Table1[[#This Row],[Follicle No. (L)]]+Table1[[#This Row],[Follicle No. (R)]]</f>
        <v>11</v>
      </c>
      <c r="BE58">
        <f>Table1[[#This Row],[Avg. F size (L) (mm)]]+Table1[[#This Row],[Avg. F size (R) (mm)]]</f>
        <v>24</v>
      </c>
      <c r="BF58">
        <f>Table1[[#This Row],[BP _Diastolic (mmHg)]]+(Table1[[#This Row],[BP _Diastolic (mmHg)]]+Table1[[#This Row],[Follicle No. (L)]])/3</f>
        <v>108.66666666666667</v>
      </c>
      <c r="BG58" s="4" t="str" cm="1">
        <f t="array" ref="BG5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8" s="4">
        <f>SUM(Table1[[#This Row],[Pimples(Y/N)]],Table1[[#This Row],[hair growth(Y/N)]],Table1[[#This Row],[Skin darkening (Y/N)]],Table1[[#This Row],[Hair loss(Y/N)]])</f>
        <v>0</v>
      </c>
      <c r="BI58" s="4" t="str">
        <f>IF(AND(Table1[[#This Row],[Pregnant(Y/N)]]=0, Table1[[#This Row],[  I   beta-HCG(mIU/mL)]]&gt;5), "Investigation Required", "Clear")</f>
        <v>Clear</v>
      </c>
    </row>
    <row r="59" spans="1:61" ht="15.75" customHeight="1" x14ac:dyDescent="0.25">
      <c r="A59">
        <v>58</v>
      </c>
      <c r="B59">
        <v>58</v>
      </c>
      <c r="C59">
        <v>0</v>
      </c>
      <c r="D59" t="str">
        <f>IF(Table1[[#This Row],[PCOS (Y/N)]]=0,"NO","YES")</f>
        <v>NO</v>
      </c>
      <c r="E59">
        <v>36</v>
      </c>
      <c r="F59">
        <v>58</v>
      </c>
      <c r="G59">
        <v>152</v>
      </c>
      <c r="H59">
        <v>14</v>
      </c>
      <c r="I59">
        <v>72</v>
      </c>
      <c r="J59">
        <v>20</v>
      </c>
      <c r="K59">
        <v>10</v>
      </c>
      <c r="L59">
        <v>2</v>
      </c>
      <c r="M59">
        <v>5</v>
      </c>
      <c r="N59">
        <v>13</v>
      </c>
      <c r="O59">
        <v>1</v>
      </c>
      <c r="P59" t="str">
        <f>IF(Table1[[#This Row],[Pregnant(Y/N)]]=1,"YES","NO")</f>
        <v>YES</v>
      </c>
      <c r="Q59">
        <v>1</v>
      </c>
      <c r="R59">
        <v>249.87</v>
      </c>
      <c r="S59">
        <v>12</v>
      </c>
      <c r="T59">
        <v>3.88</v>
      </c>
      <c r="U59">
        <v>0.61</v>
      </c>
      <c r="V59">
        <f>Table1[[#This Row],[FSH(mIU/mL)]]/Table1[[#This Row],[LH(mIU/mL)]]</f>
        <v>6.360655737704918</v>
      </c>
      <c r="W59" t="str">
        <f>IF(Table1[[#This Row],[FSH/LH]]&gt;=2,"Abnormal","Normal")</f>
        <v>Abnormal</v>
      </c>
      <c r="X59">
        <v>42</v>
      </c>
      <c r="Y59">
        <v>35</v>
      </c>
      <c r="Z59">
        <f>ROUND(Table1[[#This Row],[Waist(inch)]]/Table1[[#This Row],[Hip(inch)]],2)</f>
        <v>0.83</v>
      </c>
      <c r="AA59">
        <v>1.98</v>
      </c>
      <c r="AB59">
        <v>2.3330000000000002</v>
      </c>
      <c r="AC59">
        <v>13.47</v>
      </c>
      <c r="AD59">
        <v>31.22</v>
      </c>
      <c r="AE59" t="str">
        <f>IF(Table1[[#This Row],[Vit D3 (ng/mL)]]&lt;20,"Deficiency","Normal")</f>
        <v>Normal</v>
      </c>
      <c r="AF59">
        <v>0.49</v>
      </c>
      <c r="AG59">
        <v>82</v>
      </c>
      <c r="AH59">
        <v>0</v>
      </c>
      <c r="AI59" t="str">
        <f>IF(Table1[[#This Row],[Weight gain(Y/N)]]=0,"NO","YES")</f>
        <v>NO</v>
      </c>
      <c r="AJ59">
        <v>0</v>
      </c>
      <c r="AK59" t="str">
        <f>IF(Table1[[#This Row],[hair growth(Y/N)]]=1,"YES","NO")</f>
        <v>NO</v>
      </c>
      <c r="AL59">
        <v>0</v>
      </c>
      <c r="AM59" t="str">
        <f>IF(Table1[[#This Row],[Skin darkening (Y/N)]]=1,"YES","NO")</f>
        <v>NO</v>
      </c>
      <c r="AN59">
        <v>0</v>
      </c>
      <c r="AO59" t="str">
        <f>IF(Table1[[#This Row],[Hair loss(Y/N)]]=1,"YES","NO")</f>
        <v>NO</v>
      </c>
      <c r="AP59">
        <v>0</v>
      </c>
      <c r="AQ59" t="str">
        <f>IF(Table1[[#This Row],[Pimples(Y/N)]]=1,"YES","NO")</f>
        <v>NO</v>
      </c>
      <c r="AR59">
        <v>0</v>
      </c>
      <c r="AS59" t="str">
        <f>IF(Table1[[#This Row],[Fast food (Y/N)]]=1,"YES","NO")</f>
        <v>NO</v>
      </c>
      <c r="AT59">
        <v>0</v>
      </c>
      <c r="AU59" t="str">
        <f>IF(Table1[[#This Row],[Reg.Exercise(Y/N)]]=1,"YES","NO")</f>
        <v>NO</v>
      </c>
      <c r="AV59">
        <v>110</v>
      </c>
      <c r="AW59">
        <v>80</v>
      </c>
      <c r="AX59">
        <v>3</v>
      </c>
      <c r="AY59">
        <v>2</v>
      </c>
      <c r="AZ59">
        <v>12</v>
      </c>
      <c r="BA59">
        <v>13</v>
      </c>
      <c r="BB59">
        <v>9.3000000000000007</v>
      </c>
      <c r="BC59" t="str" cm="1">
        <f t="array" ref="BC59">_xlfn.IFS((F59/(G59*G59)*10000)&lt; 18.5,"Underweight",(F59/(G59*G59)*10000)&lt;24.9,"Normal",(F59/(G59*G59)*10000)&lt;29.9,"Overweight",(F59/(G59*G59)*10000)&gt;=30,"obesity")</f>
        <v>Overweight</v>
      </c>
      <c r="BD59">
        <f>Table1[[#This Row],[Follicle No. (L)]]+Table1[[#This Row],[Follicle No. (R)]]</f>
        <v>5</v>
      </c>
      <c r="BE59">
        <f>Table1[[#This Row],[Avg. F size (L) (mm)]]+Table1[[#This Row],[Avg. F size (R) (mm)]]</f>
        <v>25</v>
      </c>
      <c r="BF59">
        <f>Table1[[#This Row],[BP _Diastolic (mmHg)]]+(Table1[[#This Row],[BP _Diastolic (mmHg)]]+Table1[[#This Row],[Follicle No. (L)]])/3</f>
        <v>107.66666666666667</v>
      </c>
      <c r="BG59" s="4" t="str" cm="1">
        <f t="array" ref="BG5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9" s="4">
        <f>SUM(Table1[[#This Row],[Pimples(Y/N)]],Table1[[#This Row],[hair growth(Y/N)]],Table1[[#This Row],[Skin darkening (Y/N)]],Table1[[#This Row],[Hair loss(Y/N)]])</f>
        <v>0</v>
      </c>
      <c r="BI59" s="4" t="str">
        <f>IF(AND(Table1[[#This Row],[Pregnant(Y/N)]]=0, Table1[[#This Row],[  I   beta-HCG(mIU/mL)]]&gt;5), "Investigation Required", "Clear")</f>
        <v>Clear</v>
      </c>
    </row>
    <row r="60" spans="1:61" ht="15.75" customHeight="1" x14ac:dyDescent="0.25">
      <c r="A60">
        <v>59</v>
      </c>
      <c r="B60">
        <v>59</v>
      </c>
      <c r="C60">
        <v>0</v>
      </c>
      <c r="D60" t="str">
        <f>IF(Table1[[#This Row],[PCOS (Y/N)]]=0,"NO","YES")</f>
        <v>NO</v>
      </c>
      <c r="E60">
        <v>26</v>
      </c>
      <c r="F60">
        <v>75</v>
      </c>
      <c r="G60">
        <v>158</v>
      </c>
      <c r="H60">
        <v>13</v>
      </c>
      <c r="I60">
        <v>72</v>
      </c>
      <c r="J60">
        <v>18</v>
      </c>
      <c r="K60">
        <v>10.5</v>
      </c>
      <c r="L60">
        <v>2</v>
      </c>
      <c r="M60">
        <v>5</v>
      </c>
      <c r="N60">
        <v>8</v>
      </c>
      <c r="O60">
        <v>0</v>
      </c>
      <c r="P60" t="str">
        <f>IF(Table1[[#This Row],[Pregnant(Y/N)]]=1,"YES","NO")</f>
        <v>NO</v>
      </c>
      <c r="Q60">
        <v>0</v>
      </c>
      <c r="R60">
        <v>1.99</v>
      </c>
      <c r="S60">
        <v>1.99</v>
      </c>
      <c r="T60">
        <v>6.87</v>
      </c>
      <c r="U60">
        <v>3.34</v>
      </c>
      <c r="V60">
        <f>Table1[[#This Row],[FSH(mIU/mL)]]/Table1[[#This Row],[LH(mIU/mL)]]</f>
        <v>2.0568862275449105</v>
      </c>
      <c r="W60" t="str">
        <f>IF(Table1[[#This Row],[FSH/LH]]&gt;=2,"Abnormal","Normal")</f>
        <v>Abnormal</v>
      </c>
      <c r="X60">
        <v>45</v>
      </c>
      <c r="Y60">
        <v>40</v>
      </c>
      <c r="Z60">
        <f>ROUND(Table1[[#This Row],[Waist(inch)]]/Table1[[#This Row],[Hip(inch)]],2)</f>
        <v>0.89</v>
      </c>
      <c r="AA60">
        <v>2.33</v>
      </c>
      <c r="AB60">
        <v>2.31</v>
      </c>
      <c r="AC60">
        <v>9.35</v>
      </c>
      <c r="AD60">
        <v>25.65</v>
      </c>
      <c r="AE60" t="str">
        <f>IF(Table1[[#This Row],[Vit D3 (ng/mL)]]&lt;20,"Deficiency","Normal")</f>
        <v>Normal</v>
      </c>
      <c r="AF60">
        <v>0.27</v>
      </c>
      <c r="AG60">
        <v>92</v>
      </c>
      <c r="AH60">
        <v>0</v>
      </c>
      <c r="AI60" t="str">
        <f>IF(Table1[[#This Row],[Weight gain(Y/N)]]=0,"NO","YES")</f>
        <v>NO</v>
      </c>
      <c r="AJ60">
        <v>0</v>
      </c>
      <c r="AK60" t="str">
        <f>IF(Table1[[#This Row],[hair growth(Y/N)]]=1,"YES","NO")</f>
        <v>NO</v>
      </c>
      <c r="AL60">
        <v>0</v>
      </c>
      <c r="AM60" t="str">
        <f>IF(Table1[[#This Row],[Skin darkening (Y/N)]]=1,"YES","NO")</f>
        <v>NO</v>
      </c>
      <c r="AN60">
        <v>0</v>
      </c>
      <c r="AO60" t="str">
        <f>IF(Table1[[#This Row],[Hair loss(Y/N)]]=1,"YES","NO")</f>
        <v>NO</v>
      </c>
      <c r="AP60">
        <v>0</v>
      </c>
      <c r="AQ60" t="str">
        <f>IF(Table1[[#This Row],[Pimples(Y/N)]]=1,"YES","NO")</f>
        <v>NO</v>
      </c>
      <c r="AR60">
        <v>0</v>
      </c>
      <c r="AS60" t="str">
        <f>IF(Table1[[#This Row],[Fast food (Y/N)]]=1,"YES","NO")</f>
        <v>NO</v>
      </c>
      <c r="AT60">
        <v>0</v>
      </c>
      <c r="AU60" t="str">
        <f>IF(Table1[[#This Row],[Reg.Exercise(Y/N)]]=1,"YES","NO")</f>
        <v>NO</v>
      </c>
      <c r="AV60">
        <v>110</v>
      </c>
      <c r="AW60">
        <v>80</v>
      </c>
      <c r="AX60">
        <v>3</v>
      </c>
      <c r="AY60">
        <v>3</v>
      </c>
      <c r="AZ60">
        <v>16</v>
      </c>
      <c r="BA60">
        <v>17</v>
      </c>
      <c r="BB60">
        <v>14</v>
      </c>
      <c r="BC60" t="str" cm="1">
        <f t="array" ref="BC60">_xlfn.IFS((F60/(G60*G60)*10000)&lt; 18.5,"Underweight",(F60/(G60*G60)*10000)&lt;24.9,"Normal",(F60/(G60*G60)*10000)&lt;29.9,"Overweight",(F60/(G60*G60)*10000)&gt;=30,"obesity")</f>
        <v>obesity</v>
      </c>
      <c r="BD60">
        <f>Table1[[#This Row],[Follicle No. (L)]]+Table1[[#This Row],[Follicle No. (R)]]</f>
        <v>6</v>
      </c>
      <c r="BE60">
        <f>Table1[[#This Row],[Avg. F size (L) (mm)]]+Table1[[#This Row],[Avg. F size (R) (mm)]]</f>
        <v>33</v>
      </c>
      <c r="BF60">
        <f>Table1[[#This Row],[BP _Diastolic (mmHg)]]+(Table1[[#This Row],[BP _Diastolic (mmHg)]]+Table1[[#This Row],[Follicle No. (L)]])/3</f>
        <v>107.66666666666667</v>
      </c>
      <c r="BG60" s="4" t="str" cm="1">
        <f t="array" ref="BG6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60" s="4">
        <f>SUM(Table1[[#This Row],[Pimples(Y/N)]],Table1[[#This Row],[hair growth(Y/N)]],Table1[[#This Row],[Skin darkening (Y/N)]],Table1[[#This Row],[Hair loss(Y/N)]])</f>
        <v>0</v>
      </c>
      <c r="BI60" s="4" t="str">
        <f>IF(AND(Table1[[#This Row],[Pregnant(Y/N)]]=0, Table1[[#This Row],[  I   beta-HCG(mIU/mL)]]&gt;5), "Investigation Required", "Clear")</f>
        <v>Clear</v>
      </c>
    </row>
    <row r="61" spans="1:61" ht="15.75" customHeight="1" x14ac:dyDescent="0.25">
      <c r="A61">
        <v>60</v>
      </c>
      <c r="B61">
        <v>60</v>
      </c>
      <c r="C61">
        <v>0</v>
      </c>
      <c r="D61" t="str">
        <f>IF(Table1[[#This Row],[PCOS (Y/N)]]=0,"NO","YES")</f>
        <v>NO</v>
      </c>
      <c r="E61">
        <v>26</v>
      </c>
      <c r="F61">
        <v>67</v>
      </c>
      <c r="G61">
        <v>137</v>
      </c>
      <c r="H61">
        <v>15</v>
      </c>
      <c r="I61">
        <v>74</v>
      </c>
      <c r="J61">
        <v>20</v>
      </c>
      <c r="K61">
        <v>11</v>
      </c>
      <c r="L61">
        <v>4</v>
      </c>
      <c r="M61">
        <v>9</v>
      </c>
      <c r="N61">
        <v>12</v>
      </c>
      <c r="O61">
        <v>0</v>
      </c>
      <c r="P61" t="str">
        <f>IF(Table1[[#This Row],[Pregnant(Y/N)]]=1,"YES","NO")</f>
        <v>NO</v>
      </c>
      <c r="Q61">
        <v>0</v>
      </c>
      <c r="R61">
        <v>1.99</v>
      </c>
      <c r="S61">
        <v>1.99</v>
      </c>
      <c r="T61">
        <v>5.9</v>
      </c>
      <c r="U61">
        <v>2.73</v>
      </c>
      <c r="V61">
        <f>Table1[[#This Row],[FSH(mIU/mL)]]/Table1[[#This Row],[LH(mIU/mL)]]</f>
        <v>2.1611721611721615</v>
      </c>
      <c r="W61" t="str">
        <f>IF(Table1[[#This Row],[FSH/LH]]&gt;=2,"Abnormal","Normal")</f>
        <v>Abnormal</v>
      </c>
      <c r="X61">
        <v>44</v>
      </c>
      <c r="Y61">
        <v>39</v>
      </c>
      <c r="Z61">
        <f>ROUND(Table1[[#This Row],[Waist(inch)]]/Table1[[#This Row],[Hip(inch)]],2)</f>
        <v>0.89</v>
      </c>
      <c r="AA61">
        <v>1.7</v>
      </c>
      <c r="AB61">
        <v>2.36</v>
      </c>
      <c r="AC61">
        <v>15.19</v>
      </c>
      <c r="AD61">
        <v>45.35</v>
      </c>
      <c r="AE61" t="str">
        <f>IF(Table1[[#This Row],[Vit D3 (ng/mL)]]&lt;20,"Deficiency","Normal")</f>
        <v>Normal</v>
      </c>
      <c r="AF61">
        <v>0.66</v>
      </c>
      <c r="AG61">
        <v>92</v>
      </c>
      <c r="AH61">
        <v>0</v>
      </c>
      <c r="AI61" t="str">
        <f>IF(Table1[[#This Row],[Weight gain(Y/N)]]=0,"NO","YES")</f>
        <v>NO</v>
      </c>
      <c r="AJ61">
        <v>0</v>
      </c>
      <c r="AK61" t="str">
        <f>IF(Table1[[#This Row],[hair growth(Y/N)]]=1,"YES","NO")</f>
        <v>NO</v>
      </c>
      <c r="AL61">
        <v>0</v>
      </c>
      <c r="AM61" t="str">
        <f>IF(Table1[[#This Row],[Skin darkening (Y/N)]]=1,"YES","NO")</f>
        <v>NO</v>
      </c>
      <c r="AN61">
        <v>0</v>
      </c>
      <c r="AO61" t="str">
        <f>IF(Table1[[#This Row],[Hair loss(Y/N)]]=1,"YES","NO")</f>
        <v>NO</v>
      </c>
      <c r="AP61">
        <v>0</v>
      </c>
      <c r="AQ61" t="str">
        <f>IF(Table1[[#This Row],[Pimples(Y/N)]]=1,"YES","NO")</f>
        <v>NO</v>
      </c>
      <c r="AR61">
        <v>0</v>
      </c>
      <c r="AS61" t="str">
        <f>IF(Table1[[#This Row],[Fast food (Y/N)]]=1,"YES","NO")</f>
        <v>NO</v>
      </c>
      <c r="AT61">
        <v>0</v>
      </c>
      <c r="AU61" t="str">
        <f>IF(Table1[[#This Row],[Reg.Exercise(Y/N)]]=1,"YES","NO")</f>
        <v>NO</v>
      </c>
      <c r="AV61">
        <v>120</v>
      </c>
      <c r="AW61">
        <v>70</v>
      </c>
      <c r="AX61">
        <v>5</v>
      </c>
      <c r="AY61">
        <v>7</v>
      </c>
      <c r="AZ61">
        <v>14</v>
      </c>
      <c r="BA61">
        <v>15</v>
      </c>
      <c r="BB61">
        <v>11</v>
      </c>
      <c r="BC61" t="str" cm="1">
        <f t="array" ref="BC61">_xlfn.IFS((F61/(G61*G61)*10000)&lt; 18.5,"Underweight",(F61/(G61*G61)*10000)&lt;24.9,"Normal",(F61/(G61*G61)*10000)&lt;29.9,"Overweight",(F61/(G61*G61)*10000)&gt;=30,"obesity")</f>
        <v>obesity</v>
      </c>
      <c r="BD61">
        <f>Table1[[#This Row],[Follicle No. (L)]]+Table1[[#This Row],[Follicle No. (R)]]</f>
        <v>12</v>
      </c>
      <c r="BE61">
        <f>Table1[[#This Row],[Avg. F size (L) (mm)]]+Table1[[#This Row],[Avg. F size (R) (mm)]]</f>
        <v>29</v>
      </c>
      <c r="BF61">
        <f>Table1[[#This Row],[BP _Diastolic (mmHg)]]+(Table1[[#This Row],[BP _Diastolic (mmHg)]]+Table1[[#This Row],[Follicle No. (L)]])/3</f>
        <v>95</v>
      </c>
      <c r="BG61" s="4" t="str" cm="1">
        <f t="array" ref="BG6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61" s="4">
        <f>SUM(Table1[[#This Row],[Pimples(Y/N)]],Table1[[#This Row],[hair growth(Y/N)]],Table1[[#This Row],[Skin darkening (Y/N)]],Table1[[#This Row],[Hair loss(Y/N)]])</f>
        <v>0</v>
      </c>
      <c r="BI61" s="4" t="str">
        <f>IF(AND(Table1[[#This Row],[Pregnant(Y/N)]]=0, Table1[[#This Row],[  I   beta-HCG(mIU/mL)]]&gt;5), "Investigation Required", "Clear")</f>
        <v>Clear</v>
      </c>
    </row>
    <row r="62" spans="1:61" ht="15.75" customHeight="1" x14ac:dyDescent="0.25">
      <c r="A62">
        <v>61</v>
      </c>
      <c r="B62">
        <v>61</v>
      </c>
      <c r="C62">
        <v>0</v>
      </c>
      <c r="D62" t="str">
        <f>IF(Table1[[#This Row],[PCOS (Y/N)]]=0,"NO","YES")</f>
        <v>NO</v>
      </c>
      <c r="E62">
        <v>29</v>
      </c>
      <c r="F62">
        <v>63</v>
      </c>
      <c r="G62">
        <v>162</v>
      </c>
      <c r="H62">
        <v>13</v>
      </c>
      <c r="I62">
        <v>78</v>
      </c>
      <c r="J62">
        <v>22</v>
      </c>
      <c r="K62">
        <v>11.2</v>
      </c>
      <c r="L62">
        <v>2</v>
      </c>
      <c r="M62">
        <v>5</v>
      </c>
      <c r="N62">
        <v>4</v>
      </c>
      <c r="O62">
        <v>1</v>
      </c>
      <c r="P62" t="str">
        <f>IF(Table1[[#This Row],[Pregnant(Y/N)]]=1,"YES","NO")</f>
        <v>YES</v>
      </c>
      <c r="Q62">
        <v>0</v>
      </c>
      <c r="R62">
        <v>626.91999999999996</v>
      </c>
      <c r="S62">
        <v>65.03</v>
      </c>
      <c r="T62">
        <v>6.07</v>
      </c>
      <c r="U62">
        <v>3.87</v>
      </c>
      <c r="V62">
        <f>Table1[[#This Row],[FSH(mIU/mL)]]/Table1[[#This Row],[LH(mIU/mL)]]</f>
        <v>1.5684754521963824</v>
      </c>
      <c r="W62" t="str">
        <f>IF(Table1[[#This Row],[FSH/LH]]&gt;=2,"Abnormal","Normal")</f>
        <v>Normal</v>
      </c>
      <c r="X62">
        <v>42</v>
      </c>
      <c r="Y62">
        <v>36</v>
      </c>
      <c r="Z62">
        <f>ROUND(Table1[[#This Row],[Waist(inch)]]/Table1[[#This Row],[Hip(inch)]],2)</f>
        <v>0.86</v>
      </c>
      <c r="AA62">
        <v>6.71</v>
      </c>
      <c r="AB62">
        <v>4.2</v>
      </c>
      <c r="AC62">
        <v>47.72</v>
      </c>
      <c r="AD62">
        <v>36.21</v>
      </c>
      <c r="AE62" t="str">
        <f>IF(Table1[[#This Row],[Vit D3 (ng/mL)]]&lt;20,"Deficiency","Normal")</f>
        <v>Normal</v>
      </c>
      <c r="AF62">
        <v>0.59</v>
      </c>
      <c r="AG62">
        <v>92</v>
      </c>
      <c r="AH62">
        <v>0</v>
      </c>
      <c r="AI62" t="str">
        <f>IF(Table1[[#This Row],[Weight gain(Y/N)]]=0,"NO","YES")</f>
        <v>NO</v>
      </c>
      <c r="AJ62">
        <v>0</v>
      </c>
      <c r="AK62" t="str">
        <f>IF(Table1[[#This Row],[hair growth(Y/N)]]=1,"YES","NO")</f>
        <v>NO</v>
      </c>
      <c r="AL62">
        <v>0</v>
      </c>
      <c r="AM62" t="str">
        <f>IF(Table1[[#This Row],[Skin darkening (Y/N)]]=1,"YES","NO")</f>
        <v>NO</v>
      </c>
      <c r="AN62">
        <v>0</v>
      </c>
      <c r="AO62" t="str">
        <f>IF(Table1[[#This Row],[Hair loss(Y/N)]]=1,"YES","NO")</f>
        <v>NO</v>
      </c>
      <c r="AP62">
        <v>0</v>
      </c>
      <c r="AQ62" t="str">
        <f>IF(Table1[[#This Row],[Pimples(Y/N)]]=1,"YES","NO")</f>
        <v>NO</v>
      </c>
      <c r="AR62">
        <v>0</v>
      </c>
      <c r="AS62" t="str">
        <f>IF(Table1[[#This Row],[Fast food (Y/N)]]=1,"YES","NO")</f>
        <v>NO</v>
      </c>
      <c r="AT62">
        <v>0</v>
      </c>
      <c r="AU62" t="str">
        <f>IF(Table1[[#This Row],[Reg.Exercise(Y/N)]]=1,"YES","NO")</f>
        <v>NO</v>
      </c>
      <c r="AV62">
        <v>110</v>
      </c>
      <c r="AW62">
        <v>80</v>
      </c>
      <c r="AX62">
        <v>6</v>
      </c>
      <c r="AY62">
        <v>7</v>
      </c>
      <c r="AZ62">
        <v>13</v>
      </c>
      <c r="BA62">
        <v>14</v>
      </c>
      <c r="BB62">
        <v>7.2</v>
      </c>
      <c r="BC62" t="str" cm="1">
        <f t="array" ref="BC62">_xlfn.IFS((F62/(G62*G62)*10000)&lt; 18.5,"Underweight",(F62/(G62*G62)*10000)&lt;24.9,"Normal",(F62/(G62*G62)*10000)&lt;29.9,"Overweight",(F62/(G62*G62)*10000)&gt;=30,"obesity")</f>
        <v>Normal</v>
      </c>
      <c r="BD62">
        <f>Table1[[#This Row],[Follicle No. (L)]]+Table1[[#This Row],[Follicle No. (R)]]</f>
        <v>13</v>
      </c>
      <c r="BE62">
        <f>Table1[[#This Row],[Avg. F size (L) (mm)]]+Table1[[#This Row],[Avg. F size (R) (mm)]]</f>
        <v>27</v>
      </c>
      <c r="BF62">
        <f>Table1[[#This Row],[BP _Diastolic (mmHg)]]+(Table1[[#This Row],[BP _Diastolic (mmHg)]]+Table1[[#This Row],[Follicle No. (L)]])/3</f>
        <v>108.66666666666667</v>
      </c>
      <c r="BG62" s="4" t="str" cm="1">
        <f t="array" ref="BG6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62" s="4">
        <f>SUM(Table1[[#This Row],[Pimples(Y/N)]],Table1[[#This Row],[hair growth(Y/N)]],Table1[[#This Row],[Skin darkening (Y/N)]],Table1[[#This Row],[Hair loss(Y/N)]])</f>
        <v>0</v>
      </c>
      <c r="BI62" s="4" t="str">
        <f>IF(AND(Table1[[#This Row],[Pregnant(Y/N)]]=0, Table1[[#This Row],[  I   beta-HCG(mIU/mL)]]&gt;5), "Investigation Required", "Clear")</f>
        <v>Clear</v>
      </c>
    </row>
    <row r="63" spans="1:61" ht="15.75" customHeight="1" x14ac:dyDescent="0.25">
      <c r="A63">
        <v>62</v>
      </c>
      <c r="B63">
        <v>62</v>
      </c>
      <c r="C63">
        <v>1</v>
      </c>
      <c r="D63" t="str">
        <f>IF(Table1[[#This Row],[PCOS (Y/N)]]=0,"NO","YES")</f>
        <v>YES</v>
      </c>
      <c r="E63">
        <v>32</v>
      </c>
      <c r="F63">
        <v>76</v>
      </c>
      <c r="G63">
        <v>161</v>
      </c>
      <c r="H63">
        <v>15</v>
      </c>
      <c r="I63">
        <v>78</v>
      </c>
      <c r="J63">
        <v>22</v>
      </c>
      <c r="K63">
        <v>11.2</v>
      </c>
      <c r="L63">
        <v>2</v>
      </c>
      <c r="M63">
        <v>5</v>
      </c>
      <c r="N63">
        <v>12</v>
      </c>
      <c r="O63">
        <v>0</v>
      </c>
      <c r="P63" t="str">
        <f>IF(Table1[[#This Row],[Pregnant(Y/N)]]=1,"YES","NO")</f>
        <v>NO</v>
      </c>
      <c r="Q63">
        <v>1</v>
      </c>
      <c r="R63">
        <v>8</v>
      </c>
      <c r="S63">
        <v>1.99</v>
      </c>
      <c r="T63">
        <v>1.46</v>
      </c>
      <c r="U63">
        <v>0.15</v>
      </c>
      <c r="V63">
        <f>Table1[[#This Row],[FSH(mIU/mL)]]/Table1[[#This Row],[LH(mIU/mL)]]</f>
        <v>9.7333333333333343</v>
      </c>
      <c r="W63" t="str">
        <f>IF(Table1[[#This Row],[FSH/LH]]&gt;=2,"Abnormal","Normal")</f>
        <v>Abnormal</v>
      </c>
      <c r="X63">
        <v>45</v>
      </c>
      <c r="Y63">
        <v>39</v>
      </c>
      <c r="Z63">
        <f>ROUND(Table1[[#This Row],[Waist(inch)]]/Table1[[#This Row],[Hip(inch)]],2)</f>
        <v>0.87</v>
      </c>
      <c r="AA63">
        <v>0.44</v>
      </c>
      <c r="AB63">
        <v>3.21</v>
      </c>
      <c r="AC63">
        <v>13.16</v>
      </c>
      <c r="AD63">
        <v>25.45</v>
      </c>
      <c r="AE63" t="str">
        <f>IF(Table1[[#This Row],[Vit D3 (ng/mL)]]&lt;20,"Deficiency","Normal")</f>
        <v>Normal</v>
      </c>
      <c r="AF63">
        <v>0.32</v>
      </c>
      <c r="AG63">
        <v>107</v>
      </c>
      <c r="AH63">
        <v>1</v>
      </c>
      <c r="AI63" t="str">
        <f>IF(Table1[[#This Row],[Weight gain(Y/N)]]=0,"NO","YES")</f>
        <v>YES</v>
      </c>
      <c r="AJ63">
        <v>1</v>
      </c>
      <c r="AK63" t="str">
        <f>IF(Table1[[#This Row],[hair growth(Y/N)]]=1,"YES","NO")</f>
        <v>YES</v>
      </c>
      <c r="AL63">
        <v>1</v>
      </c>
      <c r="AM63" t="str">
        <f>IF(Table1[[#This Row],[Skin darkening (Y/N)]]=1,"YES","NO")</f>
        <v>YES</v>
      </c>
      <c r="AN63">
        <v>1</v>
      </c>
      <c r="AO63" t="str">
        <f>IF(Table1[[#This Row],[Hair loss(Y/N)]]=1,"YES","NO")</f>
        <v>YES</v>
      </c>
      <c r="AP63">
        <v>1</v>
      </c>
      <c r="AQ63" t="str">
        <f>IF(Table1[[#This Row],[Pimples(Y/N)]]=1,"YES","NO")</f>
        <v>YES</v>
      </c>
      <c r="AR63">
        <v>1</v>
      </c>
      <c r="AS63" t="str">
        <f>IF(Table1[[#This Row],[Fast food (Y/N)]]=1,"YES","NO")</f>
        <v>YES</v>
      </c>
      <c r="AT63">
        <v>1</v>
      </c>
      <c r="AU63" t="str">
        <f>IF(Table1[[#This Row],[Reg.Exercise(Y/N)]]=1,"YES","NO")</f>
        <v>YES</v>
      </c>
      <c r="AV63">
        <v>120</v>
      </c>
      <c r="AW63">
        <v>80</v>
      </c>
      <c r="AX63">
        <v>9</v>
      </c>
      <c r="AY63">
        <v>12</v>
      </c>
      <c r="AZ63">
        <v>14</v>
      </c>
      <c r="BA63">
        <v>13</v>
      </c>
      <c r="BB63">
        <v>7.8</v>
      </c>
      <c r="BC63" t="str" cm="1">
        <f t="array" ref="BC63">_xlfn.IFS((F63/(G63*G63)*10000)&lt; 18.5,"Underweight",(F63/(G63*G63)*10000)&lt;24.9,"Normal",(F63/(G63*G63)*10000)&lt;29.9,"Overweight",(F63/(G63*G63)*10000)&gt;=30,"obesity")</f>
        <v>Overweight</v>
      </c>
      <c r="BD63">
        <f>Table1[[#This Row],[Follicle No. (L)]]+Table1[[#This Row],[Follicle No. (R)]]</f>
        <v>21</v>
      </c>
      <c r="BE63">
        <f>Table1[[#This Row],[Avg. F size (L) (mm)]]+Table1[[#This Row],[Avg. F size (R) (mm)]]</f>
        <v>27</v>
      </c>
      <c r="BF63">
        <f>Table1[[#This Row],[BP _Diastolic (mmHg)]]+(Table1[[#This Row],[BP _Diastolic (mmHg)]]+Table1[[#This Row],[Follicle No. (L)]])/3</f>
        <v>109.66666666666667</v>
      </c>
      <c r="BG63" s="4" t="str" cm="1">
        <f t="array" ref="BG6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63" s="4">
        <f>SUM(Table1[[#This Row],[Pimples(Y/N)]],Table1[[#This Row],[hair growth(Y/N)]],Table1[[#This Row],[Skin darkening (Y/N)]],Table1[[#This Row],[Hair loss(Y/N)]])</f>
        <v>4</v>
      </c>
      <c r="BI63" s="4" t="str">
        <f>IF(AND(Table1[[#This Row],[Pregnant(Y/N)]]=0, Table1[[#This Row],[  I   beta-HCG(mIU/mL)]]&gt;5), "Investigation Required", "Clear")</f>
        <v>Investigation Required</v>
      </c>
    </row>
    <row r="64" spans="1:61" ht="15.75" customHeight="1" x14ac:dyDescent="0.25">
      <c r="A64">
        <v>63</v>
      </c>
      <c r="B64">
        <v>63</v>
      </c>
      <c r="C64">
        <v>0</v>
      </c>
      <c r="D64" t="str">
        <f>IF(Table1[[#This Row],[PCOS (Y/N)]]=0,"NO","YES")</f>
        <v>NO</v>
      </c>
      <c r="E64">
        <v>24</v>
      </c>
      <c r="F64">
        <v>60</v>
      </c>
      <c r="G64">
        <v>170</v>
      </c>
      <c r="H64">
        <v>15</v>
      </c>
      <c r="I64">
        <v>70</v>
      </c>
      <c r="J64">
        <v>20</v>
      </c>
      <c r="K64">
        <v>10</v>
      </c>
      <c r="L64">
        <v>2</v>
      </c>
      <c r="M64">
        <v>5</v>
      </c>
      <c r="N64">
        <v>3.5</v>
      </c>
      <c r="O64">
        <v>0</v>
      </c>
      <c r="P64" t="str">
        <f>IF(Table1[[#This Row],[Pregnant(Y/N)]]=1,"YES","NO")</f>
        <v>NO</v>
      </c>
      <c r="Q64">
        <v>0</v>
      </c>
      <c r="R64">
        <v>1.99</v>
      </c>
      <c r="S64">
        <v>1.99</v>
      </c>
      <c r="T64">
        <v>5.75</v>
      </c>
      <c r="U64">
        <v>7.47</v>
      </c>
      <c r="V64">
        <f>Table1[[#This Row],[FSH(mIU/mL)]]/Table1[[#This Row],[LH(mIU/mL)]]</f>
        <v>0.76974564926372158</v>
      </c>
      <c r="W64" t="str">
        <f>IF(Table1[[#This Row],[FSH/LH]]&gt;=2,"Abnormal","Normal")</f>
        <v>Normal</v>
      </c>
      <c r="X64">
        <v>41</v>
      </c>
      <c r="Y64">
        <v>36</v>
      </c>
      <c r="Z64">
        <f>ROUND(Table1[[#This Row],[Waist(inch)]]/Table1[[#This Row],[Hip(inch)]],2)</f>
        <v>0.88</v>
      </c>
      <c r="AA64">
        <v>3.57</v>
      </c>
      <c r="AB64">
        <v>2.14</v>
      </c>
      <c r="AC64">
        <v>14.73</v>
      </c>
      <c r="AD64">
        <v>36.200000000000003</v>
      </c>
      <c r="AE64" t="str">
        <f>IF(Table1[[#This Row],[Vit D3 (ng/mL)]]&lt;20,"Deficiency","Normal")</f>
        <v>Normal</v>
      </c>
      <c r="AF64">
        <v>0.81</v>
      </c>
      <c r="AG64">
        <v>100</v>
      </c>
      <c r="AH64">
        <v>0</v>
      </c>
      <c r="AI64" t="str">
        <f>IF(Table1[[#This Row],[Weight gain(Y/N)]]=0,"NO","YES")</f>
        <v>NO</v>
      </c>
      <c r="AJ64">
        <v>0</v>
      </c>
      <c r="AK64" t="str">
        <f>IF(Table1[[#This Row],[hair growth(Y/N)]]=1,"YES","NO")</f>
        <v>NO</v>
      </c>
      <c r="AL64">
        <v>0</v>
      </c>
      <c r="AM64" t="str">
        <f>IF(Table1[[#This Row],[Skin darkening (Y/N)]]=1,"YES","NO")</f>
        <v>NO</v>
      </c>
      <c r="AN64">
        <v>0</v>
      </c>
      <c r="AO64" t="str">
        <f>IF(Table1[[#This Row],[Hair loss(Y/N)]]=1,"YES","NO")</f>
        <v>NO</v>
      </c>
      <c r="AP64">
        <v>0</v>
      </c>
      <c r="AQ64" t="str">
        <f>IF(Table1[[#This Row],[Pimples(Y/N)]]=1,"YES","NO")</f>
        <v>NO</v>
      </c>
      <c r="AR64">
        <v>0</v>
      </c>
      <c r="AS64" t="str">
        <f>IF(Table1[[#This Row],[Fast food (Y/N)]]=1,"YES","NO")</f>
        <v>NO</v>
      </c>
      <c r="AT64">
        <v>0</v>
      </c>
      <c r="AU64" t="str">
        <f>IF(Table1[[#This Row],[Reg.Exercise(Y/N)]]=1,"YES","NO")</f>
        <v>NO</v>
      </c>
      <c r="AV64">
        <v>120</v>
      </c>
      <c r="AW64">
        <v>80</v>
      </c>
      <c r="AX64">
        <v>3</v>
      </c>
      <c r="AY64">
        <v>5</v>
      </c>
      <c r="AZ64">
        <v>12</v>
      </c>
      <c r="BA64">
        <v>13.5</v>
      </c>
      <c r="BB64">
        <v>9.6</v>
      </c>
      <c r="BC64" t="str" cm="1">
        <f t="array" ref="BC64">_xlfn.IFS((F64/(G64*G64)*10000)&lt; 18.5,"Underweight",(F64/(G64*G64)*10000)&lt;24.9,"Normal",(F64/(G64*G64)*10000)&lt;29.9,"Overweight",(F64/(G64*G64)*10000)&gt;=30,"obesity")</f>
        <v>Normal</v>
      </c>
      <c r="BD64">
        <f>Table1[[#This Row],[Follicle No. (L)]]+Table1[[#This Row],[Follicle No. (R)]]</f>
        <v>8</v>
      </c>
      <c r="BE64">
        <f>Table1[[#This Row],[Avg. F size (L) (mm)]]+Table1[[#This Row],[Avg. F size (R) (mm)]]</f>
        <v>25.5</v>
      </c>
      <c r="BF64">
        <f>Table1[[#This Row],[BP _Diastolic (mmHg)]]+(Table1[[#This Row],[BP _Diastolic (mmHg)]]+Table1[[#This Row],[Follicle No. (L)]])/3</f>
        <v>107.66666666666667</v>
      </c>
      <c r="BG64" s="4" t="str" cm="1">
        <f t="array" ref="BG6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64" s="4">
        <f>SUM(Table1[[#This Row],[Pimples(Y/N)]],Table1[[#This Row],[hair growth(Y/N)]],Table1[[#This Row],[Skin darkening (Y/N)]],Table1[[#This Row],[Hair loss(Y/N)]])</f>
        <v>0</v>
      </c>
      <c r="BI64" s="4" t="str">
        <f>IF(AND(Table1[[#This Row],[Pregnant(Y/N)]]=0, Table1[[#This Row],[  I   beta-HCG(mIU/mL)]]&gt;5), "Investigation Required", "Clear")</f>
        <v>Clear</v>
      </c>
    </row>
    <row r="65" spans="1:61" ht="15.75" customHeight="1" x14ac:dyDescent="0.25">
      <c r="A65">
        <v>64</v>
      </c>
      <c r="B65">
        <v>64</v>
      </c>
      <c r="C65">
        <v>0</v>
      </c>
      <c r="D65" t="str">
        <f>IF(Table1[[#This Row],[PCOS (Y/N)]]=0,"NO","YES")</f>
        <v>NO</v>
      </c>
      <c r="E65">
        <v>29</v>
      </c>
      <c r="F65">
        <v>55</v>
      </c>
      <c r="G65">
        <v>147</v>
      </c>
      <c r="H65">
        <v>15</v>
      </c>
      <c r="I65">
        <v>80</v>
      </c>
      <c r="J65">
        <v>20</v>
      </c>
      <c r="K65">
        <v>10.199999999999999</v>
      </c>
      <c r="L65">
        <v>4</v>
      </c>
      <c r="M65">
        <v>2</v>
      </c>
      <c r="N65">
        <v>6</v>
      </c>
      <c r="O65">
        <v>1</v>
      </c>
      <c r="P65" t="str">
        <f>IF(Table1[[#This Row],[Pregnant(Y/N)]]=1,"YES","NO")</f>
        <v>YES</v>
      </c>
      <c r="Q65">
        <v>0</v>
      </c>
      <c r="R65">
        <v>757.17</v>
      </c>
      <c r="S65">
        <v>20</v>
      </c>
      <c r="T65">
        <v>6.76</v>
      </c>
      <c r="U65">
        <v>9.2799999999999994</v>
      </c>
      <c r="V65">
        <f>Table1[[#This Row],[FSH(mIU/mL)]]/Table1[[#This Row],[LH(mIU/mL)]]</f>
        <v>0.72844827586206895</v>
      </c>
      <c r="W65" t="str">
        <f>IF(Table1[[#This Row],[FSH/LH]]&gt;=2,"Abnormal","Normal")</f>
        <v>Normal</v>
      </c>
      <c r="X65">
        <v>39</v>
      </c>
      <c r="Y65">
        <v>34</v>
      </c>
      <c r="Z65">
        <f>ROUND(Table1[[#This Row],[Waist(inch)]]/Table1[[#This Row],[Hip(inch)]],2)</f>
        <v>0.87</v>
      </c>
      <c r="AA65">
        <v>1.2</v>
      </c>
      <c r="AB65">
        <v>2.2999999999999998</v>
      </c>
      <c r="AC65">
        <v>20.79</v>
      </c>
      <c r="AD65">
        <v>50.2</v>
      </c>
      <c r="AE65" t="str">
        <f>IF(Table1[[#This Row],[Vit D3 (ng/mL)]]&lt;20,"Deficiency","Normal")</f>
        <v>Normal</v>
      </c>
      <c r="AF65">
        <v>0.56000000000000005</v>
      </c>
      <c r="AG65">
        <v>92</v>
      </c>
      <c r="AH65">
        <v>0</v>
      </c>
      <c r="AI65" t="str">
        <f>IF(Table1[[#This Row],[Weight gain(Y/N)]]=0,"NO","YES")</f>
        <v>NO</v>
      </c>
      <c r="AJ65">
        <v>0</v>
      </c>
      <c r="AK65" t="str">
        <f>IF(Table1[[#This Row],[hair growth(Y/N)]]=1,"YES","NO")</f>
        <v>NO</v>
      </c>
      <c r="AL65">
        <v>0</v>
      </c>
      <c r="AM65" t="str">
        <f>IF(Table1[[#This Row],[Skin darkening (Y/N)]]=1,"YES","NO")</f>
        <v>NO</v>
      </c>
      <c r="AN65">
        <v>0</v>
      </c>
      <c r="AO65" t="str">
        <f>IF(Table1[[#This Row],[Hair loss(Y/N)]]=1,"YES","NO")</f>
        <v>NO</v>
      </c>
      <c r="AP65">
        <v>0</v>
      </c>
      <c r="AQ65" t="str">
        <f>IF(Table1[[#This Row],[Pimples(Y/N)]]=1,"YES","NO")</f>
        <v>NO</v>
      </c>
      <c r="AR65">
        <v>0</v>
      </c>
      <c r="AS65" t="str">
        <f>IF(Table1[[#This Row],[Fast food (Y/N)]]=1,"YES","NO")</f>
        <v>NO</v>
      </c>
      <c r="AT65">
        <v>0</v>
      </c>
      <c r="AU65" t="str">
        <f>IF(Table1[[#This Row],[Reg.Exercise(Y/N)]]=1,"YES","NO")</f>
        <v>NO</v>
      </c>
      <c r="AV65">
        <v>120</v>
      </c>
      <c r="AW65">
        <v>70</v>
      </c>
      <c r="AX65">
        <v>4</v>
      </c>
      <c r="AY65">
        <v>7</v>
      </c>
      <c r="AZ65">
        <v>11</v>
      </c>
      <c r="BA65">
        <v>11</v>
      </c>
      <c r="BB65">
        <v>8.6</v>
      </c>
      <c r="BC65" t="str" cm="1">
        <f t="array" ref="BC65">_xlfn.IFS((F65/(G65*G65)*10000)&lt; 18.5,"Underweight",(F65/(G65*G65)*10000)&lt;24.9,"Normal",(F65/(G65*G65)*10000)&lt;29.9,"Overweight",(F65/(G65*G65)*10000)&gt;=30,"obesity")</f>
        <v>Overweight</v>
      </c>
      <c r="BD65">
        <f>Table1[[#This Row],[Follicle No. (L)]]+Table1[[#This Row],[Follicle No. (R)]]</f>
        <v>11</v>
      </c>
      <c r="BE65">
        <f>Table1[[#This Row],[Avg. F size (L) (mm)]]+Table1[[#This Row],[Avg. F size (R) (mm)]]</f>
        <v>22</v>
      </c>
      <c r="BF65">
        <f>Table1[[#This Row],[BP _Diastolic (mmHg)]]+(Table1[[#This Row],[BP _Diastolic (mmHg)]]+Table1[[#This Row],[Follicle No. (L)]])/3</f>
        <v>94.666666666666671</v>
      </c>
      <c r="BG65" s="4" t="str" cm="1">
        <f t="array" ref="BG6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65" s="4">
        <f>SUM(Table1[[#This Row],[Pimples(Y/N)]],Table1[[#This Row],[hair growth(Y/N)]],Table1[[#This Row],[Skin darkening (Y/N)]],Table1[[#This Row],[Hair loss(Y/N)]])</f>
        <v>0</v>
      </c>
      <c r="BI65" s="4" t="str">
        <f>IF(AND(Table1[[#This Row],[Pregnant(Y/N)]]=0, Table1[[#This Row],[  I   beta-HCG(mIU/mL)]]&gt;5), "Investigation Required", "Clear")</f>
        <v>Clear</v>
      </c>
    </row>
    <row r="66" spans="1:61" ht="15.75" customHeight="1" x14ac:dyDescent="0.25">
      <c r="A66">
        <v>65</v>
      </c>
      <c r="B66">
        <v>65</v>
      </c>
      <c r="C66">
        <v>0</v>
      </c>
      <c r="D66" t="str">
        <f>IF(Table1[[#This Row],[PCOS (Y/N)]]=0,"NO","YES")</f>
        <v>NO</v>
      </c>
      <c r="E66">
        <v>27</v>
      </c>
      <c r="F66">
        <v>56</v>
      </c>
      <c r="G66">
        <v>150</v>
      </c>
      <c r="H66">
        <v>11</v>
      </c>
      <c r="I66">
        <v>72</v>
      </c>
      <c r="J66">
        <v>18</v>
      </c>
      <c r="K66">
        <v>10.5</v>
      </c>
      <c r="L66">
        <v>4</v>
      </c>
      <c r="M66">
        <v>8</v>
      </c>
      <c r="N66">
        <v>6</v>
      </c>
      <c r="O66">
        <v>0</v>
      </c>
      <c r="P66" t="str">
        <f>IF(Table1[[#This Row],[Pregnant(Y/N)]]=1,"YES","NO")</f>
        <v>NO</v>
      </c>
      <c r="Q66">
        <v>0</v>
      </c>
      <c r="R66">
        <v>1.99</v>
      </c>
      <c r="S66">
        <v>1.99</v>
      </c>
      <c r="T66">
        <v>6.35</v>
      </c>
      <c r="U66">
        <v>7.46</v>
      </c>
      <c r="V66">
        <f>Table1[[#This Row],[FSH(mIU/mL)]]/Table1[[#This Row],[LH(mIU/mL)]]</f>
        <v>0.8512064343163539</v>
      </c>
      <c r="W66" t="str">
        <f>IF(Table1[[#This Row],[FSH/LH]]&gt;=2,"Abnormal","Normal")</f>
        <v>Normal</v>
      </c>
      <c r="X66">
        <v>40</v>
      </c>
      <c r="Y66">
        <v>35</v>
      </c>
      <c r="Z66">
        <f>ROUND(Table1[[#This Row],[Waist(inch)]]/Table1[[#This Row],[Hip(inch)]],2)</f>
        <v>0.88</v>
      </c>
      <c r="AA66">
        <v>3.72</v>
      </c>
      <c r="AB66">
        <v>4.5999999999999996</v>
      </c>
      <c r="AC66">
        <v>37.92</v>
      </c>
      <c r="AD66">
        <v>49.3</v>
      </c>
      <c r="AE66" t="str">
        <f>IF(Table1[[#This Row],[Vit D3 (ng/mL)]]&lt;20,"Deficiency","Normal")</f>
        <v>Normal</v>
      </c>
      <c r="AF66">
        <v>3.66</v>
      </c>
      <c r="AG66">
        <v>92</v>
      </c>
      <c r="AH66">
        <v>0</v>
      </c>
      <c r="AI66" t="str">
        <f>IF(Table1[[#This Row],[Weight gain(Y/N)]]=0,"NO","YES")</f>
        <v>NO</v>
      </c>
      <c r="AJ66">
        <v>0</v>
      </c>
      <c r="AK66" t="str">
        <f>IF(Table1[[#This Row],[hair growth(Y/N)]]=1,"YES","NO")</f>
        <v>NO</v>
      </c>
      <c r="AL66">
        <v>0</v>
      </c>
      <c r="AM66" t="str">
        <f>IF(Table1[[#This Row],[Skin darkening (Y/N)]]=1,"YES","NO")</f>
        <v>NO</v>
      </c>
      <c r="AN66">
        <v>0</v>
      </c>
      <c r="AO66" t="str">
        <f>IF(Table1[[#This Row],[Hair loss(Y/N)]]=1,"YES","NO")</f>
        <v>NO</v>
      </c>
      <c r="AP66">
        <v>0</v>
      </c>
      <c r="AQ66" t="str">
        <f>IF(Table1[[#This Row],[Pimples(Y/N)]]=1,"YES","NO")</f>
        <v>NO</v>
      </c>
      <c r="AR66">
        <v>0</v>
      </c>
      <c r="AS66" t="str">
        <f>IF(Table1[[#This Row],[Fast food (Y/N)]]=1,"YES","NO")</f>
        <v>NO</v>
      </c>
      <c r="AT66">
        <v>0</v>
      </c>
      <c r="AU66" t="str">
        <f>IF(Table1[[#This Row],[Reg.Exercise(Y/N)]]=1,"YES","NO")</f>
        <v>NO</v>
      </c>
      <c r="AV66">
        <v>110</v>
      </c>
      <c r="AW66">
        <v>80</v>
      </c>
      <c r="AX66">
        <v>11</v>
      </c>
      <c r="AY66">
        <v>10</v>
      </c>
      <c r="AZ66">
        <v>14.5</v>
      </c>
      <c r="BA66">
        <v>14</v>
      </c>
      <c r="BB66">
        <v>12.5</v>
      </c>
      <c r="BC66" t="str" cm="1">
        <f t="array" ref="BC66">_xlfn.IFS((F66/(G66*G66)*10000)&lt; 18.5,"Underweight",(F66/(G66*G66)*10000)&lt;24.9,"Normal",(F66/(G66*G66)*10000)&lt;29.9,"Overweight",(F66/(G66*G66)*10000)&gt;=30,"obesity")</f>
        <v>Normal</v>
      </c>
      <c r="BD66">
        <f>Table1[[#This Row],[Follicle No. (L)]]+Table1[[#This Row],[Follicle No. (R)]]</f>
        <v>21</v>
      </c>
      <c r="BE66">
        <f>Table1[[#This Row],[Avg. F size (L) (mm)]]+Table1[[#This Row],[Avg. F size (R) (mm)]]</f>
        <v>28.5</v>
      </c>
      <c r="BF66">
        <f>Table1[[#This Row],[BP _Diastolic (mmHg)]]+(Table1[[#This Row],[BP _Diastolic (mmHg)]]+Table1[[#This Row],[Follicle No. (L)]])/3</f>
        <v>110.33333333333333</v>
      </c>
      <c r="BG66" s="4" t="str" cm="1">
        <f t="array" ref="BG6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66" s="4">
        <f>SUM(Table1[[#This Row],[Pimples(Y/N)]],Table1[[#This Row],[hair growth(Y/N)]],Table1[[#This Row],[Skin darkening (Y/N)]],Table1[[#This Row],[Hair loss(Y/N)]])</f>
        <v>0</v>
      </c>
      <c r="BI66" s="4" t="str">
        <f>IF(AND(Table1[[#This Row],[Pregnant(Y/N)]]=0, Table1[[#This Row],[  I   beta-HCG(mIU/mL)]]&gt;5), "Investigation Required", "Clear")</f>
        <v>Clear</v>
      </c>
    </row>
    <row r="67" spans="1:61" ht="15.75" customHeight="1" x14ac:dyDescent="0.25">
      <c r="A67">
        <v>66</v>
      </c>
      <c r="B67">
        <v>66</v>
      </c>
      <c r="C67">
        <v>0</v>
      </c>
      <c r="D67" t="str">
        <f>IF(Table1[[#This Row],[PCOS (Y/N)]]=0,"NO","YES")</f>
        <v>NO</v>
      </c>
      <c r="E67">
        <v>32</v>
      </c>
      <c r="F67">
        <v>71</v>
      </c>
      <c r="G67">
        <v>172</v>
      </c>
      <c r="H67">
        <v>12</v>
      </c>
      <c r="I67">
        <v>70</v>
      </c>
      <c r="J67">
        <v>18</v>
      </c>
      <c r="K67">
        <v>11</v>
      </c>
      <c r="L67">
        <v>2</v>
      </c>
      <c r="M67">
        <v>5</v>
      </c>
      <c r="N67">
        <v>8</v>
      </c>
      <c r="O67">
        <v>0</v>
      </c>
      <c r="P67" t="str">
        <f>IF(Table1[[#This Row],[Pregnant(Y/N)]]=1,"YES","NO")</f>
        <v>NO</v>
      </c>
      <c r="Q67">
        <v>1</v>
      </c>
      <c r="R67">
        <v>10</v>
      </c>
      <c r="S67">
        <v>1.99</v>
      </c>
      <c r="T67">
        <v>4.76</v>
      </c>
      <c r="U67">
        <v>1.5</v>
      </c>
      <c r="V67">
        <f>Table1[[#This Row],[FSH(mIU/mL)]]/Table1[[#This Row],[LH(mIU/mL)]]</f>
        <v>3.1733333333333333</v>
      </c>
      <c r="W67" t="str">
        <f>IF(Table1[[#This Row],[FSH/LH]]&gt;=2,"Abnormal","Normal")</f>
        <v>Abnormal</v>
      </c>
      <c r="X67">
        <v>46</v>
      </c>
      <c r="Y67">
        <v>39</v>
      </c>
      <c r="Z67">
        <f>ROUND(Table1[[#This Row],[Waist(inch)]]/Table1[[#This Row],[Hip(inch)]],2)</f>
        <v>0.85</v>
      </c>
      <c r="AA67">
        <v>2.4500000000000002</v>
      </c>
      <c r="AB67">
        <v>2.2999999999999998</v>
      </c>
      <c r="AC67">
        <v>22.45</v>
      </c>
      <c r="AD67">
        <v>51.9</v>
      </c>
      <c r="AE67" t="str">
        <f>IF(Table1[[#This Row],[Vit D3 (ng/mL)]]&lt;20,"Deficiency","Normal")</f>
        <v>Normal</v>
      </c>
      <c r="AF67">
        <v>0.45</v>
      </c>
      <c r="AG67">
        <v>100</v>
      </c>
      <c r="AH67">
        <v>0</v>
      </c>
      <c r="AI67" t="str">
        <f>IF(Table1[[#This Row],[Weight gain(Y/N)]]=0,"NO","YES")</f>
        <v>NO</v>
      </c>
      <c r="AJ67">
        <v>0</v>
      </c>
      <c r="AK67" t="str">
        <f>IF(Table1[[#This Row],[hair growth(Y/N)]]=1,"YES","NO")</f>
        <v>NO</v>
      </c>
      <c r="AL67">
        <v>0</v>
      </c>
      <c r="AM67" t="str">
        <f>IF(Table1[[#This Row],[Skin darkening (Y/N)]]=1,"YES","NO")</f>
        <v>NO</v>
      </c>
      <c r="AN67">
        <v>0</v>
      </c>
      <c r="AO67" t="str">
        <f>IF(Table1[[#This Row],[Hair loss(Y/N)]]=1,"YES","NO")</f>
        <v>NO</v>
      </c>
      <c r="AP67">
        <v>0</v>
      </c>
      <c r="AQ67" t="str">
        <f>IF(Table1[[#This Row],[Pimples(Y/N)]]=1,"YES","NO")</f>
        <v>NO</v>
      </c>
      <c r="AR67">
        <v>0</v>
      </c>
      <c r="AS67" t="str">
        <f>IF(Table1[[#This Row],[Fast food (Y/N)]]=1,"YES","NO")</f>
        <v>NO</v>
      </c>
      <c r="AT67">
        <v>0</v>
      </c>
      <c r="AU67" t="str">
        <f>IF(Table1[[#This Row],[Reg.Exercise(Y/N)]]=1,"YES","NO")</f>
        <v>NO</v>
      </c>
      <c r="AV67">
        <v>100</v>
      </c>
      <c r="AW67">
        <v>70</v>
      </c>
      <c r="AX67">
        <v>2</v>
      </c>
      <c r="AY67">
        <v>4</v>
      </c>
      <c r="AZ67">
        <v>12</v>
      </c>
      <c r="BA67">
        <v>14</v>
      </c>
      <c r="BB67">
        <v>9.4</v>
      </c>
      <c r="BC67" t="str" cm="1">
        <f t="array" ref="BC67">_xlfn.IFS((F67/(G67*G67)*10000)&lt; 18.5,"Underweight",(F67/(G67*G67)*10000)&lt;24.9,"Normal",(F67/(G67*G67)*10000)&lt;29.9,"Overweight",(F67/(G67*G67)*10000)&gt;=30,"obesity")</f>
        <v>Normal</v>
      </c>
      <c r="BD67">
        <f>Table1[[#This Row],[Follicle No. (L)]]+Table1[[#This Row],[Follicle No. (R)]]</f>
        <v>6</v>
      </c>
      <c r="BE67">
        <f>Table1[[#This Row],[Avg. F size (L) (mm)]]+Table1[[#This Row],[Avg. F size (R) (mm)]]</f>
        <v>26</v>
      </c>
      <c r="BF67">
        <f>Table1[[#This Row],[BP _Diastolic (mmHg)]]+(Table1[[#This Row],[BP _Diastolic (mmHg)]]+Table1[[#This Row],[Follicle No. (L)]])/3</f>
        <v>94</v>
      </c>
      <c r="BG67" s="4" t="str" cm="1">
        <f t="array" ref="BG6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67" s="4">
        <f>SUM(Table1[[#This Row],[Pimples(Y/N)]],Table1[[#This Row],[hair growth(Y/N)]],Table1[[#This Row],[Skin darkening (Y/N)]],Table1[[#This Row],[Hair loss(Y/N)]])</f>
        <v>0</v>
      </c>
      <c r="BI67" s="4" t="str">
        <f>IF(AND(Table1[[#This Row],[Pregnant(Y/N)]]=0, Table1[[#This Row],[  I   beta-HCG(mIU/mL)]]&gt;5), "Investigation Required", "Clear")</f>
        <v>Investigation Required</v>
      </c>
    </row>
    <row r="68" spans="1:61" ht="15.75" customHeight="1" x14ac:dyDescent="0.25">
      <c r="A68">
        <v>67</v>
      </c>
      <c r="B68">
        <v>67</v>
      </c>
      <c r="C68">
        <v>0</v>
      </c>
      <c r="D68" t="str">
        <f>IF(Table1[[#This Row],[PCOS (Y/N)]]=0,"NO","YES")</f>
        <v>NO</v>
      </c>
      <c r="E68">
        <v>41</v>
      </c>
      <c r="F68">
        <v>56</v>
      </c>
      <c r="G68">
        <v>160</v>
      </c>
      <c r="H68">
        <v>13</v>
      </c>
      <c r="I68">
        <v>78</v>
      </c>
      <c r="J68">
        <v>20</v>
      </c>
      <c r="K68">
        <v>11.5</v>
      </c>
      <c r="L68">
        <v>2</v>
      </c>
      <c r="M68">
        <v>5</v>
      </c>
      <c r="N68">
        <v>4</v>
      </c>
      <c r="O68">
        <v>0</v>
      </c>
      <c r="P68" t="str">
        <f>IF(Table1[[#This Row],[Pregnant(Y/N)]]=1,"YES","NO")</f>
        <v>NO</v>
      </c>
      <c r="Q68">
        <v>3</v>
      </c>
      <c r="R68">
        <v>31.33</v>
      </c>
      <c r="S68">
        <v>1.99</v>
      </c>
      <c r="T68">
        <v>9.66</v>
      </c>
      <c r="U68">
        <v>2.35</v>
      </c>
      <c r="V68">
        <f>Table1[[#This Row],[FSH(mIU/mL)]]/Table1[[#This Row],[LH(mIU/mL)]]</f>
        <v>4.1106382978723399</v>
      </c>
      <c r="W68" t="str">
        <f>IF(Table1[[#This Row],[FSH/LH]]&gt;=2,"Abnormal","Normal")</f>
        <v>Abnormal</v>
      </c>
      <c r="X68">
        <v>38</v>
      </c>
      <c r="Y68">
        <v>34</v>
      </c>
      <c r="Z68">
        <f>ROUND(Table1[[#This Row],[Waist(inch)]]/Table1[[#This Row],[Hip(inch)]],2)</f>
        <v>0.89</v>
      </c>
      <c r="AA68">
        <v>3.27</v>
      </c>
      <c r="AB68">
        <v>5.8</v>
      </c>
      <c r="AC68">
        <v>54.32</v>
      </c>
      <c r="AD68">
        <v>36.549999999999997</v>
      </c>
      <c r="AE68" t="str">
        <f>IF(Table1[[#This Row],[Vit D3 (ng/mL)]]&lt;20,"Deficiency","Normal")</f>
        <v>Normal</v>
      </c>
      <c r="AF68">
        <v>0.28000000000000003</v>
      </c>
      <c r="AG68">
        <v>115</v>
      </c>
      <c r="AH68">
        <v>0</v>
      </c>
      <c r="AI68" t="str">
        <f>IF(Table1[[#This Row],[Weight gain(Y/N)]]=0,"NO","YES")</f>
        <v>NO</v>
      </c>
      <c r="AJ68">
        <v>0</v>
      </c>
      <c r="AK68" t="str">
        <f>IF(Table1[[#This Row],[hair growth(Y/N)]]=1,"YES","NO")</f>
        <v>NO</v>
      </c>
      <c r="AL68">
        <v>0</v>
      </c>
      <c r="AM68" t="str">
        <f>IF(Table1[[#This Row],[Skin darkening (Y/N)]]=1,"YES","NO")</f>
        <v>NO</v>
      </c>
      <c r="AN68">
        <v>0</v>
      </c>
      <c r="AO68" t="str">
        <f>IF(Table1[[#This Row],[Hair loss(Y/N)]]=1,"YES","NO")</f>
        <v>NO</v>
      </c>
      <c r="AP68">
        <v>0</v>
      </c>
      <c r="AQ68" t="str">
        <f>IF(Table1[[#This Row],[Pimples(Y/N)]]=1,"YES","NO")</f>
        <v>NO</v>
      </c>
      <c r="AR68">
        <v>0</v>
      </c>
      <c r="AS68" t="str">
        <f>IF(Table1[[#This Row],[Fast food (Y/N)]]=1,"YES","NO")</f>
        <v>NO</v>
      </c>
      <c r="AT68">
        <v>0</v>
      </c>
      <c r="AU68" t="str">
        <f>IF(Table1[[#This Row],[Reg.Exercise(Y/N)]]=1,"YES","NO")</f>
        <v>NO</v>
      </c>
      <c r="AV68">
        <v>120</v>
      </c>
      <c r="AW68">
        <v>80</v>
      </c>
      <c r="AX68">
        <v>1</v>
      </c>
      <c r="AY68">
        <v>2</v>
      </c>
      <c r="AZ68">
        <v>10</v>
      </c>
      <c r="BA68">
        <v>12</v>
      </c>
      <c r="BB68">
        <v>9.6999999999999993</v>
      </c>
      <c r="BC68" t="str" cm="1">
        <f t="array" ref="BC68">_xlfn.IFS((F68/(G68*G68)*10000)&lt; 18.5,"Underweight",(F68/(G68*G68)*10000)&lt;24.9,"Normal",(F68/(G68*G68)*10000)&lt;29.9,"Overweight",(F68/(G68*G68)*10000)&gt;=30,"obesity")</f>
        <v>Normal</v>
      </c>
      <c r="BD68">
        <f>Table1[[#This Row],[Follicle No. (L)]]+Table1[[#This Row],[Follicle No. (R)]]</f>
        <v>3</v>
      </c>
      <c r="BE68">
        <f>Table1[[#This Row],[Avg. F size (L) (mm)]]+Table1[[#This Row],[Avg. F size (R) (mm)]]</f>
        <v>22</v>
      </c>
      <c r="BF68">
        <f>Table1[[#This Row],[BP _Diastolic (mmHg)]]+(Table1[[#This Row],[BP _Diastolic (mmHg)]]+Table1[[#This Row],[Follicle No. (L)]])/3</f>
        <v>107</v>
      </c>
      <c r="BG68" s="4" t="str" cm="1">
        <f t="array" ref="BG6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68" s="4">
        <f>SUM(Table1[[#This Row],[Pimples(Y/N)]],Table1[[#This Row],[hair growth(Y/N)]],Table1[[#This Row],[Skin darkening (Y/N)]],Table1[[#This Row],[Hair loss(Y/N)]])</f>
        <v>0</v>
      </c>
      <c r="BI68" s="4" t="str">
        <f>IF(AND(Table1[[#This Row],[Pregnant(Y/N)]]=0, Table1[[#This Row],[  I   beta-HCG(mIU/mL)]]&gt;5), "Investigation Required", "Clear")</f>
        <v>Investigation Required</v>
      </c>
    </row>
    <row r="69" spans="1:61" ht="15.75" customHeight="1" x14ac:dyDescent="0.25">
      <c r="A69">
        <v>68</v>
      </c>
      <c r="B69">
        <v>68</v>
      </c>
      <c r="C69">
        <v>0</v>
      </c>
      <c r="D69" t="str">
        <f>IF(Table1[[#This Row],[PCOS (Y/N)]]=0,"NO","YES")</f>
        <v>NO</v>
      </c>
      <c r="E69">
        <v>35</v>
      </c>
      <c r="F69">
        <v>62</v>
      </c>
      <c r="G69">
        <v>152</v>
      </c>
      <c r="H69">
        <v>16</v>
      </c>
      <c r="I69">
        <v>78</v>
      </c>
      <c r="J69">
        <v>22</v>
      </c>
      <c r="K69">
        <v>8.5</v>
      </c>
      <c r="L69">
        <v>2</v>
      </c>
      <c r="M69">
        <v>5</v>
      </c>
      <c r="N69">
        <v>12</v>
      </c>
      <c r="O69">
        <v>1</v>
      </c>
      <c r="P69" t="str">
        <f>IF(Table1[[#This Row],[Pregnant(Y/N)]]=1,"YES","NO")</f>
        <v>YES</v>
      </c>
      <c r="Q69">
        <v>1</v>
      </c>
      <c r="R69">
        <v>218.59</v>
      </c>
      <c r="S69">
        <v>1.99</v>
      </c>
      <c r="T69">
        <v>5.41</v>
      </c>
      <c r="U69">
        <v>8.4499999999999993</v>
      </c>
      <c r="V69">
        <f>Table1[[#This Row],[FSH(mIU/mL)]]/Table1[[#This Row],[LH(mIU/mL)]]</f>
        <v>0.64023668639053266</v>
      </c>
      <c r="W69" t="str">
        <f>IF(Table1[[#This Row],[FSH/LH]]&gt;=2,"Abnormal","Normal")</f>
        <v>Normal</v>
      </c>
      <c r="X69">
        <v>39</v>
      </c>
      <c r="Y69">
        <v>33</v>
      </c>
      <c r="Z69">
        <f>ROUND(Table1[[#This Row],[Waist(inch)]]/Table1[[#This Row],[Hip(inch)]],2)</f>
        <v>0.85</v>
      </c>
      <c r="AA69">
        <v>9.0299999999999994</v>
      </c>
      <c r="AB69">
        <v>5.2</v>
      </c>
      <c r="AC69">
        <v>6.27</v>
      </c>
      <c r="AD69">
        <v>25.36</v>
      </c>
      <c r="AE69" t="str">
        <f>IF(Table1[[#This Row],[Vit D3 (ng/mL)]]&lt;20,"Deficiency","Normal")</f>
        <v>Normal</v>
      </c>
      <c r="AF69">
        <v>0.62</v>
      </c>
      <c r="AG69">
        <v>120</v>
      </c>
      <c r="AH69">
        <v>0</v>
      </c>
      <c r="AI69" t="str">
        <f>IF(Table1[[#This Row],[Weight gain(Y/N)]]=0,"NO","YES")</f>
        <v>NO</v>
      </c>
      <c r="AJ69">
        <v>0</v>
      </c>
      <c r="AK69" t="str">
        <f>IF(Table1[[#This Row],[hair growth(Y/N)]]=1,"YES","NO")</f>
        <v>NO</v>
      </c>
      <c r="AL69">
        <v>0</v>
      </c>
      <c r="AM69" t="str">
        <f>IF(Table1[[#This Row],[Skin darkening (Y/N)]]=1,"YES","NO")</f>
        <v>NO</v>
      </c>
      <c r="AN69">
        <v>0</v>
      </c>
      <c r="AO69" t="str">
        <f>IF(Table1[[#This Row],[Hair loss(Y/N)]]=1,"YES","NO")</f>
        <v>NO</v>
      </c>
      <c r="AP69">
        <v>0</v>
      </c>
      <c r="AQ69" t="str">
        <f>IF(Table1[[#This Row],[Pimples(Y/N)]]=1,"YES","NO")</f>
        <v>NO</v>
      </c>
      <c r="AR69">
        <v>0</v>
      </c>
      <c r="AS69" t="str">
        <f>IF(Table1[[#This Row],[Fast food (Y/N)]]=1,"YES","NO")</f>
        <v>NO</v>
      </c>
      <c r="AT69">
        <v>0</v>
      </c>
      <c r="AU69" t="str">
        <f>IF(Table1[[#This Row],[Reg.Exercise(Y/N)]]=1,"YES","NO")</f>
        <v>NO</v>
      </c>
      <c r="AV69">
        <v>110</v>
      </c>
      <c r="AW69">
        <v>80</v>
      </c>
      <c r="AX69">
        <v>14</v>
      </c>
      <c r="AY69">
        <v>12</v>
      </c>
      <c r="AZ69">
        <v>8</v>
      </c>
      <c r="BA69">
        <v>5</v>
      </c>
      <c r="BB69">
        <v>5.5</v>
      </c>
      <c r="BC69" t="str" cm="1">
        <f t="array" ref="BC69">_xlfn.IFS((F69/(G69*G69)*10000)&lt; 18.5,"Underweight",(F69/(G69*G69)*10000)&lt;24.9,"Normal",(F69/(G69*G69)*10000)&lt;29.9,"Overweight",(F69/(G69*G69)*10000)&gt;=30,"obesity")</f>
        <v>Overweight</v>
      </c>
      <c r="BD69">
        <f>Table1[[#This Row],[Follicle No. (L)]]+Table1[[#This Row],[Follicle No. (R)]]</f>
        <v>26</v>
      </c>
      <c r="BE69">
        <f>Table1[[#This Row],[Avg. F size (L) (mm)]]+Table1[[#This Row],[Avg. F size (R) (mm)]]</f>
        <v>13</v>
      </c>
      <c r="BF69">
        <f>Table1[[#This Row],[BP _Diastolic (mmHg)]]+(Table1[[#This Row],[BP _Diastolic (mmHg)]]+Table1[[#This Row],[Follicle No. (L)]])/3</f>
        <v>111.33333333333333</v>
      </c>
      <c r="BG69" s="4" t="str" cm="1">
        <f t="array" ref="BG6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69" s="4">
        <f>SUM(Table1[[#This Row],[Pimples(Y/N)]],Table1[[#This Row],[hair growth(Y/N)]],Table1[[#This Row],[Skin darkening (Y/N)]],Table1[[#This Row],[Hair loss(Y/N)]])</f>
        <v>0</v>
      </c>
      <c r="BI69" s="4" t="str">
        <f>IF(AND(Table1[[#This Row],[Pregnant(Y/N)]]=0, Table1[[#This Row],[  I   beta-HCG(mIU/mL)]]&gt;5), "Investigation Required", "Clear")</f>
        <v>Clear</v>
      </c>
    </row>
    <row r="70" spans="1:61" ht="15.75" customHeight="1" x14ac:dyDescent="0.25">
      <c r="A70">
        <v>69</v>
      </c>
      <c r="B70">
        <v>69</v>
      </c>
      <c r="C70">
        <v>1</v>
      </c>
      <c r="D70" t="str">
        <f>IF(Table1[[#This Row],[PCOS (Y/N)]]=0,"NO","YES")</f>
        <v>YES</v>
      </c>
      <c r="E70">
        <v>35</v>
      </c>
      <c r="F70">
        <v>55</v>
      </c>
      <c r="G70">
        <v>153</v>
      </c>
      <c r="H70">
        <v>17</v>
      </c>
      <c r="I70">
        <v>80</v>
      </c>
      <c r="J70">
        <v>20</v>
      </c>
      <c r="K70">
        <v>10.3</v>
      </c>
      <c r="L70">
        <v>2</v>
      </c>
      <c r="M70">
        <v>5</v>
      </c>
      <c r="N70">
        <v>18</v>
      </c>
      <c r="O70">
        <v>1</v>
      </c>
      <c r="P70" t="str">
        <f>IF(Table1[[#This Row],[Pregnant(Y/N)]]=1,"YES","NO")</f>
        <v>YES</v>
      </c>
      <c r="Q70">
        <v>2</v>
      </c>
      <c r="R70">
        <v>218.59</v>
      </c>
      <c r="S70">
        <v>1.99</v>
      </c>
      <c r="T70">
        <v>1.57</v>
      </c>
      <c r="U70">
        <v>0.77</v>
      </c>
      <c r="V70">
        <f>Table1[[#This Row],[FSH(mIU/mL)]]/Table1[[#This Row],[LH(mIU/mL)]]</f>
        <v>2.0389610389610389</v>
      </c>
      <c r="W70" t="str">
        <f>IF(Table1[[#This Row],[FSH/LH]]&gt;=2,"Abnormal","Normal")</f>
        <v>Abnormal</v>
      </c>
      <c r="X70">
        <v>38</v>
      </c>
      <c r="Y70">
        <v>34</v>
      </c>
      <c r="Z70">
        <f>ROUND(Table1[[#This Row],[Waist(inch)]]/Table1[[#This Row],[Hip(inch)]],2)</f>
        <v>0.89</v>
      </c>
      <c r="AA70">
        <v>4.18</v>
      </c>
      <c r="AB70">
        <v>2.14</v>
      </c>
      <c r="AC70">
        <v>23.45</v>
      </c>
      <c r="AD70">
        <v>56.25</v>
      </c>
      <c r="AE70" t="str">
        <f>IF(Table1[[#This Row],[Vit D3 (ng/mL)]]&lt;20,"Deficiency","Normal")</f>
        <v>Normal</v>
      </c>
      <c r="AF70">
        <v>0.44</v>
      </c>
      <c r="AG70">
        <v>100</v>
      </c>
      <c r="AH70">
        <v>1</v>
      </c>
      <c r="AI70" t="str">
        <f>IF(Table1[[#This Row],[Weight gain(Y/N)]]=0,"NO","YES")</f>
        <v>YES</v>
      </c>
      <c r="AJ70">
        <v>1</v>
      </c>
      <c r="AK70" t="str">
        <f>IF(Table1[[#This Row],[hair growth(Y/N)]]=1,"YES","NO")</f>
        <v>YES</v>
      </c>
      <c r="AL70">
        <v>1</v>
      </c>
      <c r="AM70" t="str">
        <f>IF(Table1[[#This Row],[Skin darkening (Y/N)]]=1,"YES","NO")</f>
        <v>YES</v>
      </c>
      <c r="AN70">
        <v>1</v>
      </c>
      <c r="AO70" t="str">
        <f>IF(Table1[[#This Row],[Hair loss(Y/N)]]=1,"YES","NO")</f>
        <v>YES</v>
      </c>
      <c r="AP70">
        <v>1</v>
      </c>
      <c r="AQ70" t="str">
        <f>IF(Table1[[#This Row],[Pimples(Y/N)]]=1,"YES","NO")</f>
        <v>YES</v>
      </c>
      <c r="AR70">
        <v>0</v>
      </c>
      <c r="AS70" t="str">
        <f>IF(Table1[[#This Row],[Fast food (Y/N)]]=1,"YES","NO")</f>
        <v>NO</v>
      </c>
      <c r="AT70">
        <v>0</v>
      </c>
      <c r="AU70" t="str">
        <f>IF(Table1[[#This Row],[Reg.Exercise(Y/N)]]=1,"YES","NO")</f>
        <v>NO</v>
      </c>
      <c r="AV70">
        <v>120</v>
      </c>
      <c r="AW70">
        <v>70</v>
      </c>
      <c r="AX70">
        <v>7</v>
      </c>
      <c r="AY70">
        <v>9</v>
      </c>
      <c r="AZ70">
        <v>5</v>
      </c>
      <c r="BA70">
        <v>8.5</v>
      </c>
      <c r="BB70">
        <v>6.2</v>
      </c>
      <c r="BC70" t="str" cm="1">
        <f t="array" ref="BC70">_xlfn.IFS((F70/(G70*G70)*10000)&lt; 18.5,"Underweight",(F70/(G70*G70)*10000)&lt;24.9,"Normal",(F70/(G70*G70)*10000)&lt;29.9,"Overweight",(F70/(G70*G70)*10000)&gt;=30,"obesity")</f>
        <v>Normal</v>
      </c>
      <c r="BD70">
        <f>Table1[[#This Row],[Follicle No. (L)]]+Table1[[#This Row],[Follicle No. (R)]]</f>
        <v>16</v>
      </c>
      <c r="BE70">
        <f>Table1[[#This Row],[Avg. F size (L) (mm)]]+Table1[[#This Row],[Avg. F size (R) (mm)]]</f>
        <v>13.5</v>
      </c>
      <c r="BF70">
        <f>Table1[[#This Row],[BP _Diastolic (mmHg)]]+(Table1[[#This Row],[BP _Diastolic (mmHg)]]+Table1[[#This Row],[Follicle No. (L)]])/3</f>
        <v>95.666666666666671</v>
      </c>
      <c r="BG70" s="4" t="str" cm="1">
        <f t="array" ref="BG7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70" s="4">
        <f>SUM(Table1[[#This Row],[Pimples(Y/N)]],Table1[[#This Row],[hair growth(Y/N)]],Table1[[#This Row],[Skin darkening (Y/N)]],Table1[[#This Row],[Hair loss(Y/N)]])</f>
        <v>4</v>
      </c>
      <c r="BI70" s="4" t="str">
        <f>IF(AND(Table1[[#This Row],[Pregnant(Y/N)]]=0, Table1[[#This Row],[  I   beta-HCG(mIU/mL)]]&gt;5), "Investigation Required", "Clear")</f>
        <v>Clear</v>
      </c>
    </row>
    <row r="71" spans="1:61" ht="15.75" customHeight="1" x14ac:dyDescent="0.25">
      <c r="A71">
        <v>70</v>
      </c>
      <c r="B71">
        <v>70</v>
      </c>
      <c r="C71">
        <v>1</v>
      </c>
      <c r="D71" t="str">
        <f>IF(Table1[[#This Row],[PCOS (Y/N)]]=0,"NO","YES")</f>
        <v>YES</v>
      </c>
      <c r="E71">
        <v>34</v>
      </c>
      <c r="F71">
        <v>65</v>
      </c>
      <c r="G71">
        <v>166</v>
      </c>
      <c r="H71">
        <v>15</v>
      </c>
      <c r="I71">
        <v>80</v>
      </c>
      <c r="J71">
        <v>20</v>
      </c>
      <c r="K71">
        <v>11</v>
      </c>
      <c r="L71">
        <v>2</v>
      </c>
      <c r="M71">
        <v>5</v>
      </c>
      <c r="N71">
        <v>9</v>
      </c>
      <c r="O71">
        <v>1</v>
      </c>
      <c r="P71" t="str">
        <f>IF(Table1[[#This Row],[Pregnant(Y/N)]]=1,"YES","NO")</f>
        <v>YES</v>
      </c>
      <c r="Q71">
        <v>0</v>
      </c>
      <c r="R71">
        <v>173.66</v>
      </c>
      <c r="S71">
        <v>173.66</v>
      </c>
      <c r="T71">
        <v>2.1800000000000002</v>
      </c>
      <c r="U71">
        <v>0.82</v>
      </c>
      <c r="V71">
        <f>Table1[[#This Row],[FSH(mIU/mL)]]/Table1[[#This Row],[LH(mIU/mL)]]</f>
        <v>2.6585365853658538</v>
      </c>
      <c r="W71" t="str">
        <f>IF(Table1[[#This Row],[FSH/LH]]&gt;=2,"Abnormal","Normal")</f>
        <v>Abnormal</v>
      </c>
      <c r="X71">
        <v>41</v>
      </c>
      <c r="Y71">
        <v>36</v>
      </c>
      <c r="Z71">
        <f>ROUND(Table1[[#This Row],[Waist(inch)]]/Table1[[#This Row],[Hip(inch)]],2)</f>
        <v>0.88</v>
      </c>
      <c r="AA71">
        <v>2.85</v>
      </c>
      <c r="AB71">
        <v>4.63</v>
      </c>
      <c r="AC71">
        <v>28.9</v>
      </c>
      <c r="AD71">
        <v>15.44</v>
      </c>
      <c r="AE71" t="str">
        <f>IF(Table1[[#This Row],[Vit D3 (ng/mL)]]&lt;20,"Deficiency","Normal")</f>
        <v>Deficiency</v>
      </c>
      <c r="AF71">
        <v>0.25</v>
      </c>
      <c r="AG71">
        <v>80</v>
      </c>
      <c r="AH71">
        <v>1</v>
      </c>
      <c r="AI71" t="str">
        <f>IF(Table1[[#This Row],[Weight gain(Y/N)]]=0,"NO","YES")</f>
        <v>YES</v>
      </c>
      <c r="AJ71">
        <v>0</v>
      </c>
      <c r="AK71" t="str">
        <f>IF(Table1[[#This Row],[hair growth(Y/N)]]=1,"YES","NO")</f>
        <v>NO</v>
      </c>
      <c r="AL71">
        <v>1</v>
      </c>
      <c r="AM71" t="str">
        <f>IF(Table1[[#This Row],[Skin darkening (Y/N)]]=1,"YES","NO")</f>
        <v>YES</v>
      </c>
      <c r="AN71">
        <v>0</v>
      </c>
      <c r="AO71" t="str">
        <f>IF(Table1[[#This Row],[Hair loss(Y/N)]]=1,"YES","NO")</f>
        <v>NO</v>
      </c>
      <c r="AP71">
        <v>1</v>
      </c>
      <c r="AQ71" t="str">
        <f>IF(Table1[[#This Row],[Pimples(Y/N)]]=1,"YES","NO")</f>
        <v>YES</v>
      </c>
      <c r="AR71">
        <v>0</v>
      </c>
      <c r="AS71" t="str">
        <f>IF(Table1[[#This Row],[Fast food (Y/N)]]=1,"YES","NO")</f>
        <v>NO</v>
      </c>
      <c r="AT71">
        <v>1</v>
      </c>
      <c r="AU71" t="str">
        <f>IF(Table1[[#This Row],[Reg.Exercise(Y/N)]]=1,"YES","NO")</f>
        <v>YES</v>
      </c>
      <c r="AV71">
        <v>120</v>
      </c>
      <c r="AW71">
        <v>70</v>
      </c>
      <c r="AX71">
        <v>11</v>
      </c>
      <c r="AY71">
        <v>8</v>
      </c>
      <c r="AZ71">
        <v>9.5</v>
      </c>
      <c r="BA71">
        <v>7</v>
      </c>
      <c r="BB71">
        <v>8.9</v>
      </c>
      <c r="BC71" t="str" cm="1">
        <f t="array" ref="BC71">_xlfn.IFS((F71/(G71*G71)*10000)&lt; 18.5,"Underweight",(F71/(G71*G71)*10000)&lt;24.9,"Normal",(F71/(G71*G71)*10000)&lt;29.9,"Overweight",(F71/(G71*G71)*10000)&gt;=30,"obesity")</f>
        <v>Normal</v>
      </c>
      <c r="BD71">
        <f>Table1[[#This Row],[Follicle No. (L)]]+Table1[[#This Row],[Follicle No. (R)]]</f>
        <v>19</v>
      </c>
      <c r="BE71">
        <f>Table1[[#This Row],[Avg. F size (L) (mm)]]+Table1[[#This Row],[Avg. F size (R) (mm)]]</f>
        <v>16.5</v>
      </c>
      <c r="BF71">
        <f>Table1[[#This Row],[BP _Diastolic (mmHg)]]+(Table1[[#This Row],[BP _Diastolic (mmHg)]]+Table1[[#This Row],[Follicle No. (L)]])/3</f>
        <v>97</v>
      </c>
      <c r="BG71" s="4" t="str" cm="1">
        <f t="array" ref="BG7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71" s="4">
        <f>SUM(Table1[[#This Row],[Pimples(Y/N)]],Table1[[#This Row],[hair growth(Y/N)]],Table1[[#This Row],[Skin darkening (Y/N)]],Table1[[#This Row],[Hair loss(Y/N)]])</f>
        <v>2</v>
      </c>
      <c r="BI71" s="4" t="str">
        <f>IF(AND(Table1[[#This Row],[Pregnant(Y/N)]]=0, Table1[[#This Row],[  I   beta-HCG(mIU/mL)]]&gt;5), "Investigation Required", "Clear")</f>
        <v>Clear</v>
      </c>
    </row>
    <row r="72" spans="1:61" ht="15.75" customHeight="1" x14ac:dyDescent="0.25">
      <c r="A72">
        <v>71</v>
      </c>
      <c r="B72">
        <v>71</v>
      </c>
      <c r="C72">
        <v>0</v>
      </c>
      <c r="D72" t="str">
        <f>IF(Table1[[#This Row],[PCOS (Y/N)]]=0,"NO","YES")</f>
        <v>NO</v>
      </c>
      <c r="E72">
        <v>33</v>
      </c>
      <c r="F72">
        <v>54</v>
      </c>
      <c r="G72">
        <v>150</v>
      </c>
      <c r="H72">
        <v>13</v>
      </c>
      <c r="I72">
        <v>72</v>
      </c>
      <c r="J72">
        <v>18</v>
      </c>
      <c r="K72">
        <v>10.199999999999999</v>
      </c>
      <c r="L72">
        <v>2</v>
      </c>
      <c r="M72">
        <v>5</v>
      </c>
      <c r="N72">
        <v>9</v>
      </c>
      <c r="O72">
        <v>0</v>
      </c>
      <c r="P72" t="str">
        <f>IF(Table1[[#This Row],[Pregnant(Y/N)]]=1,"YES","NO")</f>
        <v>NO</v>
      </c>
      <c r="Q72">
        <v>0</v>
      </c>
      <c r="R72">
        <v>4.42</v>
      </c>
      <c r="S72">
        <v>1.99</v>
      </c>
      <c r="T72">
        <v>4.8499999999999996</v>
      </c>
      <c r="U72">
        <v>0.72</v>
      </c>
      <c r="V72">
        <f>Table1[[#This Row],[FSH(mIU/mL)]]/Table1[[#This Row],[LH(mIU/mL)]]</f>
        <v>6.7361111111111107</v>
      </c>
      <c r="W72" t="str">
        <f>IF(Table1[[#This Row],[FSH/LH]]&gt;=2,"Abnormal","Normal")</f>
        <v>Abnormal</v>
      </c>
      <c r="X72">
        <v>40</v>
      </c>
      <c r="Y72">
        <v>33</v>
      </c>
      <c r="Z72">
        <f>ROUND(Table1[[#This Row],[Waist(inch)]]/Table1[[#This Row],[Hip(inch)]],2)</f>
        <v>0.83</v>
      </c>
      <c r="AA72">
        <v>2</v>
      </c>
      <c r="AB72">
        <v>1.01</v>
      </c>
      <c r="AC72">
        <v>15.64</v>
      </c>
      <c r="AD72">
        <v>42.36</v>
      </c>
      <c r="AE72" t="str">
        <f>IF(Table1[[#This Row],[Vit D3 (ng/mL)]]&lt;20,"Deficiency","Normal")</f>
        <v>Normal</v>
      </c>
      <c r="AF72">
        <v>0.52</v>
      </c>
      <c r="AG72">
        <v>92</v>
      </c>
      <c r="AH72">
        <v>0</v>
      </c>
      <c r="AI72" t="str">
        <f>IF(Table1[[#This Row],[Weight gain(Y/N)]]=0,"NO","YES")</f>
        <v>NO</v>
      </c>
      <c r="AJ72">
        <v>0</v>
      </c>
      <c r="AK72" t="str">
        <f>IF(Table1[[#This Row],[hair growth(Y/N)]]=1,"YES","NO")</f>
        <v>NO</v>
      </c>
      <c r="AL72">
        <v>0</v>
      </c>
      <c r="AM72" t="str">
        <f>IF(Table1[[#This Row],[Skin darkening (Y/N)]]=1,"YES","NO")</f>
        <v>NO</v>
      </c>
      <c r="AN72">
        <v>0</v>
      </c>
      <c r="AO72" t="str">
        <f>IF(Table1[[#This Row],[Hair loss(Y/N)]]=1,"YES","NO")</f>
        <v>NO</v>
      </c>
      <c r="AP72">
        <v>0</v>
      </c>
      <c r="AQ72" t="str">
        <f>IF(Table1[[#This Row],[Pimples(Y/N)]]=1,"YES","NO")</f>
        <v>NO</v>
      </c>
      <c r="AR72">
        <v>0</v>
      </c>
      <c r="AS72" t="str">
        <f>IF(Table1[[#This Row],[Fast food (Y/N)]]=1,"YES","NO")</f>
        <v>NO</v>
      </c>
      <c r="AT72">
        <v>0</v>
      </c>
      <c r="AU72" t="str">
        <f>IF(Table1[[#This Row],[Reg.Exercise(Y/N)]]=1,"YES","NO")</f>
        <v>NO</v>
      </c>
      <c r="AV72">
        <v>100</v>
      </c>
      <c r="AW72">
        <v>70</v>
      </c>
      <c r="AX72">
        <v>5</v>
      </c>
      <c r="AY72">
        <v>2</v>
      </c>
      <c r="AZ72">
        <v>11.5</v>
      </c>
      <c r="BA72">
        <v>4.7</v>
      </c>
      <c r="BB72">
        <v>6.5</v>
      </c>
      <c r="BC72" t="str" cm="1">
        <f t="array" ref="BC72">_xlfn.IFS((F72/(G72*G72)*10000)&lt; 18.5,"Underweight",(F72/(G72*G72)*10000)&lt;24.9,"Normal",(F72/(G72*G72)*10000)&lt;29.9,"Overweight",(F72/(G72*G72)*10000)&gt;=30,"obesity")</f>
        <v>Normal</v>
      </c>
      <c r="BD72">
        <f>Table1[[#This Row],[Follicle No. (L)]]+Table1[[#This Row],[Follicle No. (R)]]</f>
        <v>7</v>
      </c>
      <c r="BE72">
        <f>Table1[[#This Row],[Avg. F size (L) (mm)]]+Table1[[#This Row],[Avg. F size (R) (mm)]]</f>
        <v>16.2</v>
      </c>
      <c r="BF72">
        <f>Table1[[#This Row],[BP _Diastolic (mmHg)]]+(Table1[[#This Row],[BP _Diastolic (mmHg)]]+Table1[[#This Row],[Follicle No. (L)]])/3</f>
        <v>95</v>
      </c>
      <c r="BG72" s="4" t="str" cm="1">
        <f t="array" ref="BG7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72" s="4">
        <f>SUM(Table1[[#This Row],[Pimples(Y/N)]],Table1[[#This Row],[hair growth(Y/N)]],Table1[[#This Row],[Skin darkening (Y/N)]],Table1[[#This Row],[Hair loss(Y/N)]])</f>
        <v>0</v>
      </c>
      <c r="BI72" s="4" t="str">
        <f>IF(AND(Table1[[#This Row],[Pregnant(Y/N)]]=0, Table1[[#This Row],[  I   beta-HCG(mIU/mL)]]&gt;5), "Investigation Required", "Clear")</f>
        <v>Clear</v>
      </c>
    </row>
    <row r="73" spans="1:61" ht="15.75" customHeight="1" x14ac:dyDescent="0.25">
      <c r="A73">
        <v>72</v>
      </c>
      <c r="B73">
        <v>72</v>
      </c>
      <c r="C73">
        <v>0</v>
      </c>
      <c r="D73" t="str">
        <f>IF(Table1[[#This Row],[PCOS (Y/N)]]=0,"NO","YES")</f>
        <v>NO</v>
      </c>
      <c r="E73">
        <v>29</v>
      </c>
      <c r="F73">
        <v>61</v>
      </c>
      <c r="G73">
        <v>151</v>
      </c>
      <c r="H73">
        <v>13</v>
      </c>
      <c r="I73">
        <v>74</v>
      </c>
      <c r="J73">
        <v>20</v>
      </c>
      <c r="K73">
        <v>10</v>
      </c>
      <c r="L73">
        <v>2</v>
      </c>
      <c r="M73">
        <v>5</v>
      </c>
      <c r="N73">
        <v>9</v>
      </c>
      <c r="O73">
        <v>0</v>
      </c>
      <c r="P73" t="str">
        <f>IF(Table1[[#This Row],[Pregnant(Y/N)]]=1,"YES","NO")</f>
        <v>NO</v>
      </c>
      <c r="Q73">
        <v>0</v>
      </c>
      <c r="R73">
        <v>15</v>
      </c>
      <c r="S73">
        <v>1.99</v>
      </c>
      <c r="T73">
        <v>6.49</v>
      </c>
      <c r="U73">
        <v>0.99</v>
      </c>
      <c r="V73">
        <f>Table1[[#This Row],[FSH(mIU/mL)]]/Table1[[#This Row],[LH(mIU/mL)]]</f>
        <v>6.5555555555555562</v>
      </c>
      <c r="W73" t="str">
        <f>IF(Table1[[#This Row],[FSH/LH]]&gt;=2,"Abnormal","Normal")</f>
        <v>Abnormal</v>
      </c>
      <c r="X73">
        <v>42</v>
      </c>
      <c r="Y73">
        <v>35</v>
      </c>
      <c r="Z73">
        <f>ROUND(Table1[[#This Row],[Waist(inch)]]/Table1[[#This Row],[Hip(inch)]],2)</f>
        <v>0.83</v>
      </c>
      <c r="AA73">
        <v>1.66</v>
      </c>
      <c r="AB73">
        <v>2.58</v>
      </c>
      <c r="AC73">
        <v>41.63</v>
      </c>
      <c r="AD73">
        <v>38.44</v>
      </c>
      <c r="AE73" t="str">
        <f>IF(Table1[[#This Row],[Vit D3 (ng/mL)]]&lt;20,"Deficiency","Normal")</f>
        <v>Normal</v>
      </c>
      <c r="AF73">
        <v>1.22</v>
      </c>
      <c r="AG73">
        <v>92</v>
      </c>
      <c r="AH73">
        <v>0</v>
      </c>
      <c r="AI73" t="str">
        <f>IF(Table1[[#This Row],[Weight gain(Y/N)]]=0,"NO","YES")</f>
        <v>NO</v>
      </c>
      <c r="AJ73">
        <v>0</v>
      </c>
      <c r="AK73" t="str">
        <f>IF(Table1[[#This Row],[hair growth(Y/N)]]=1,"YES","NO")</f>
        <v>NO</v>
      </c>
      <c r="AL73">
        <v>0</v>
      </c>
      <c r="AM73" t="str">
        <f>IF(Table1[[#This Row],[Skin darkening (Y/N)]]=1,"YES","NO")</f>
        <v>NO</v>
      </c>
      <c r="AN73">
        <v>0</v>
      </c>
      <c r="AO73" t="str">
        <f>IF(Table1[[#This Row],[Hair loss(Y/N)]]=1,"YES","NO")</f>
        <v>NO</v>
      </c>
      <c r="AP73">
        <v>0</v>
      </c>
      <c r="AQ73" t="str">
        <f>IF(Table1[[#This Row],[Pimples(Y/N)]]=1,"YES","NO")</f>
        <v>NO</v>
      </c>
      <c r="AR73">
        <v>0</v>
      </c>
      <c r="AS73" t="str">
        <f>IF(Table1[[#This Row],[Fast food (Y/N)]]=1,"YES","NO")</f>
        <v>NO</v>
      </c>
      <c r="AT73">
        <v>0</v>
      </c>
      <c r="AU73" t="str">
        <f>IF(Table1[[#This Row],[Reg.Exercise(Y/N)]]=1,"YES","NO")</f>
        <v>NO</v>
      </c>
      <c r="AV73">
        <v>120</v>
      </c>
      <c r="AW73">
        <v>70</v>
      </c>
      <c r="AX73">
        <v>5</v>
      </c>
      <c r="AY73">
        <v>6</v>
      </c>
      <c r="AZ73">
        <v>12</v>
      </c>
      <c r="BA73">
        <v>6</v>
      </c>
      <c r="BB73">
        <v>6</v>
      </c>
      <c r="BC73" t="str" cm="1">
        <f t="array" ref="BC73">_xlfn.IFS((F73/(G73*G73)*10000)&lt; 18.5,"Underweight",(F73/(G73*G73)*10000)&lt;24.9,"Normal",(F73/(G73*G73)*10000)&lt;29.9,"Overweight",(F73/(G73*G73)*10000)&gt;=30,"obesity")</f>
        <v>Overweight</v>
      </c>
      <c r="BD73">
        <f>Table1[[#This Row],[Follicle No. (L)]]+Table1[[#This Row],[Follicle No. (R)]]</f>
        <v>11</v>
      </c>
      <c r="BE73">
        <f>Table1[[#This Row],[Avg. F size (L) (mm)]]+Table1[[#This Row],[Avg. F size (R) (mm)]]</f>
        <v>18</v>
      </c>
      <c r="BF73">
        <f>Table1[[#This Row],[BP _Diastolic (mmHg)]]+(Table1[[#This Row],[BP _Diastolic (mmHg)]]+Table1[[#This Row],[Follicle No. (L)]])/3</f>
        <v>95</v>
      </c>
      <c r="BG73" s="4" t="str" cm="1">
        <f t="array" ref="BG7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73" s="4">
        <f>SUM(Table1[[#This Row],[Pimples(Y/N)]],Table1[[#This Row],[hair growth(Y/N)]],Table1[[#This Row],[Skin darkening (Y/N)]],Table1[[#This Row],[Hair loss(Y/N)]])</f>
        <v>0</v>
      </c>
      <c r="BI73" s="4" t="str">
        <f>IF(AND(Table1[[#This Row],[Pregnant(Y/N)]]=0, Table1[[#This Row],[  I   beta-HCG(mIU/mL)]]&gt;5), "Investigation Required", "Clear")</f>
        <v>Investigation Required</v>
      </c>
    </row>
    <row r="74" spans="1:61" ht="15.75" customHeight="1" x14ac:dyDescent="0.25">
      <c r="A74">
        <v>73</v>
      </c>
      <c r="B74">
        <v>73</v>
      </c>
      <c r="C74">
        <v>0</v>
      </c>
      <c r="D74" t="str">
        <f>IF(Table1[[#This Row],[PCOS (Y/N)]]=0,"NO","YES")</f>
        <v>NO</v>
      </c>
      <c r="E74">
        <v>36</v>
      </c>
      <c r="F74">
        <v>65</v>
      </c>
      <c r="G74">
        <v>154</v>
      </c>
      <c r="H74">
        <v>15</v>
      </c>
      <c r="I74">
        <v>70</v>
      </c>
      <c r="J74">
        <v>18</v>
      </c>
      <c r="K74">
        <v>10</v>
      </c>
      <c r="L74">
        <v>2</v>
      </c>
      <c r="M74">
        <v>5</v>
      </c>
      <c r="N74">
        <v>3</v>
      </c>
      <c r="O74">
        <v>1</v>
      </c>
      <c r="P74" t="str">
        <f>IF(Table1[[#This Row],[Pregnant(Y/N)]]=1,"YES","NO")</f>
        <v>YES</v>
      </c>
      <c r="Q74">
        <v>0</v>
      </c>
      <c r="R74">
        <v>161.49</v>
      </c>
      <c r="S74">
        <v>161.49</v>
      </c>
      <c r="T74">
        <v>4.95</v>
      </c>
      <c r="U74">
        <v>5.35</v>
      </c>
      <c r="V74">
        <f>Table1[[#This Row],[FSH(mIU/mL)]]/Table1[[#This Row],[LH(mIU/mL)]]</f>
        <v>0.92523364485981319</v>
      </c>
      <c r="W74" t="str">
        <f>IF(Table1[[#This Row],[FSH/LH]]&gt;=2,"Abnormal","Normal")</f>
        <v>Normal</v>
      </c>
      <c r="X74">
        <v>43</v>
      </c>
      <c r="Y74">
        <v>38</v>
      </c>
      <c r="Z74">
        <f>ROUND(Table1[[#This Row],[Waist(inch)]]/Table1[[#This Row],[Hip(inch)]],2)</f>
        <v>0.88</v>
      </c>
      <c r="AA74">
        <v>3.17</v>
      </c>
      <c r="AB74">
        <v>5.8</v>
      </c>
      <c r="AC74">
        <v>32.07</v>
      </c>
      <c r="AD74">
        <v>56.45</v>
      </c>
      <c r="AE74" t="str">
        <f>IF(Table1[[#This Row],[Vit D3 (ng/mL)]]&lt;20,"Deficiency","Normal")</f>
        <v>Normal</v>
      </c>
      <c r="AF74">
        <v>0.79</v>
      </c>
      <c r="AG74">
        <v>92</v>
      </c>
      <c r="AH74">
        <v>0</v>
      </c>
      <c r="AI74" t="str">
        <f>IF(Table1[[#This Row],[Weight gain(Y/N)]]=0,"NO","YES")</f>
        <v>NO</v>
      </c>
      <c r="AJ74">
        <v>0</v>
      </c>
      <c r="AK74" t="str">
        <f>IF(Table1[[#This Row],[hair growth(Y/N)]]=1,"YES","NO")</f>
        <v>NO</v>
      </c>
      <c r="AL74">
        <v>0</v>
      </c>
      <c r="AM74" t="str">
        <f>IF(Table1[[#This Row],[Skin darkening (Y/N)]]=1,"YES","NO")</f>
        <v>NO</v>
      </c>
      <c r="AN74">
        <v>0</v>
      </c>
      <c r="AO74" t="str">
        <f>IF(Table1[[#This Row],[Hair loss(Y/N)]]=1,"YES","NO")</f>
        <v>NO</v>
      </c>
      <c r="AP74">
        <v>0</v>
      </c>
      <c r="AQ74" t="str">
        <f>IF(Table1[[#This Row],[Pimples(Y/N)]]=1,"YES","NO")</f>
        <v>NO</v>
      </c>
      <c r="AR74">
        <v>0</v>
      </c>
      <c r="AS74" t="str">
        <f>IF(Table1[[#This Row],[Fast food (Y/N)]]=1,"YES","NO")</f>
        <v>NO</v>
      </c>
      <c r="AT74">
        <v>0</v>
      </c>
      <c r="AU74" t="str">
        <f>IF(Table1[[#This Row],[Reg.Exercise(Y/N)]]=1,"YES","NO")</f>
        <v>NO</v>
      </c>
      <c r="AV74">
        <v>110</v>
      </c>
      <c r="AW74">
        <v>80</v>
      </c>
      <c r="AX74">
        <v>3</v>
      </c>
      <c r="AY74">
        <v>1</v>
      </c>
      <c r="AZ74">
        <v>7.5</v>
      </c>
      <c r="BA74">
        <v>4.5</v>
      </c>
      <c r="BB74">
        <v>5.4</v>
      </c>
      <c r="BC74" t="str" cm="1">
        <f t="array" ref="BC74">_xlfn.IFS((F74/(G74*G74)*10000)&lt; 18.5,"Underweight",(F74/(G74*G74)*10000)&lt;24.9,"Normal",(F74/(G74*G74)*10000)&lt;29.9,"Overweight",(F74/(G74*G74)*10000)&gt;=30,"obesity")</f>
        <v>Overweight</v>
      </c>
      <c r="BD74">
        <f>Table1[[#This Row],[Follicle No. (L)]]+Table1[[#This Row],[Follicle No. (R)]]</f>
        <v>4</v>
      </c>
      <c r="BE74">
        <f>Table1[[#This Row],[Avg. F size (L) (mm)]]+Table1[[#This Row],[Avg. F size (R) (mm)]]</f>
        <v>12</v>
      </c>
      <c r="BF74">
        <f>Table1[[#This Row],[BP _Diastolic (mmHg)]]+(Table1[[#This Row],[BP _Diastolic (mmHg)]]+Table1[[#This Row],[Follicle No. (L)]])/3</f>
        <v>107.66666666666667</v>
      </c>
      <c r="BG74" s="4" t="str" cm="1">
        <f t="array" ref="BG7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74" s="4">
        <f>SUM(Table1[[#This Row],[Pimples(Y/N)]],Table1[[#This Row],[hair growth(Y/N)]],Table1[[#This Row],[Skin darkening (Y/N)]],Table1[[#This Row],[Hair loss(Y/N)]])</f>
        <v>0</v>
      </c>
      <c r="BI74" s="4" t="str">
        <f>IF(AND(Table1[[#This Row],[Pregnant(Y/N)]]=0, Table1[[#This Row],[  I   beta-HCG(mIU/mL)]]&gt;5), "Investigation Required", "Clear")</f>
        <v>Clear</v>
      </c>
    </row>
    <row r="75" spans="1:61" ht="15.75" customHeight="1" x14ac:dyDescent="0.25">
      <c r="A75">
        <v>74</v>
      </c>
      <c r="B75">
        <v>74</v>
      </c>
      <c r="C75">
        <v>0</v>
      </c>
      <c r="D75" t="str">
        <f>IF(Table1[[#This Row],[PCOS (Y/N)]]=0,"NO","YES")</f>
        <v>NO</v>
      </c>
      <c r="E75">
        <v>26</v>
      </c>
      <c r="F75">
        <v>70</v>
      </c>
      <c r="G75">
        <v>163</v>
      </c>
      <c r="H75">
        <v>15</v>
      </c>
      <c r="I75">
        <v>72</v>
      </c>
      <c r="J75">
        <v>18</v>
      </c>
      <c r="K75">
        <v>10.5</v>
      </c>
      <c r="L75">
        <v>2</v>
      </c>
      <c r="M75">
        <v>5</v>
      </c>
      <c r="N75">
        <v>3</v>
      </c>
      <c r="O75">
        <v>0</v>
      </c>
      <c r="P75" t="str">
        <f>IF(Table1[[#This Row],[Pregnant(Y/N)]]=1,"YES","NO")</f>
        <v>NO</v>
      </c>
      <c r="Q75">
        <v>2</v>
      </c>
      <c r="R75">
        <v>1.99</v>
      </c>
      <c r="S75">
        <v>1.99</v>
      </c>
      <c r="T75">
        <v>7.31</v>
      </c>
      <c r="U75">
        <v>6.68</v>
      </c>
      <c r="V75">
        <f>Table1[[#This Row],[FSH(mIU/mL)]]/Table1[[#This Row],[LH(mIU/mL)]]</f>
        <v>1.0943113772455089</v>
      </c>
      <c r="W75" t="str">
        <f>IF(Table1[[#This Row],[FSH/LH]]&gt;=2,"Abnormal","Normal")</f>
        <v>Normal</v>
      </c>
      <c r="X75">
        <v>45</v>
      </c>
      <c r="Y75">
        <v>40</v>
      </c>
      <c r="Z75">
        <f>ROUND(Table1[[#This Row],[Waist(inch)]]/Table1[[#This Row],[Hip(inch)]],2)</f>
        <v>0.89</v>
      </c>
      <c r="AA75">
        <v>2.95</v>
      </c>
      <c r="AB75">
        <v>0.35</v>
      </c>
      <c r="AC75">
        <v>22.88</v>
      </c>
      <c r="AD75">
        <v>14.36</v>
      </c>
      <c r="AE75" t="str">
        <f>IF(Table1[[#This Row],[Vit D3 (ng/mL)]]&lt;20,"Deficiency","Normal")</f>
        <v>Deficiency</v>
      </c>
      <c r="AF75">
        <v>0.27</v>
      </c>
      <c r="AG75">
        <v>92</v>
      </c>
      <c r="AH75">
        <v>1</v>
      </c>
      <c r="AI75" t="str">
        <f>IF(Table1[[#This Row],[Weight gain(Y/N)]]=0,"NO","YES")</f>
        <v>YES</v>
      </c>
      <c r="AJ75">
        <v>0</v>
      </c>
      <c r="AK75" t="str">
        <f>IF(Table1[[#This Row],[hair growth(Y/N)]]=1,"YES","NO")</f>
        <v>NO</v>
      </c>
      <c r="AL75">
        <v>0</v>
      </c>
      <c r="AM75" t="str">
        <f>IF(Table1[[#This Row],[Skin darkening (Y/N)]]=1,"YES","NO")</f>
        <v>NO</v>
      </c>
      <c r="AN75">
        <v>0</v>
      </c>
      <c r="AO75" t="str">
        <f>IF(Table1[[#This Row],[Hair loss(Y/N)]]=1,"YES","NO")</f>
        <v>NO</v>
      </c>
      <c r="AP75">
        <v>0</v>
      </c>
      <c r="AQ75" t="str">
        <f>IF(Table1[[#This Row],[Pimples(Y/N)]]=1,"YES","NO")</f>
        <v>NO</v>
      </c>
      <c r="AR75">
        <v>0</v>
      </c>
      <c r="AS75" t="str">
        <f>IF(Table1[[#This Row],[Fast food (Y/N)]]=1,"YES","NO")</f>
        <v>NO</v>
      </c>
      <c r="AT75">
        <v>0</v>
      </c>
      <c r="AU75" t="str">
        <f>IF(Table1[[#This Row],[Reg.Exercise(Y/N)]]=1,"YES","NO")</f>
        <v>NO</v>
      </c>
      <c r="AV75">
        <v>110</v>
      </c>
      <c r="AW75">
        <v>80</v>
      </c>
      <c r="AX75">
        <v>3</v>
      </c>
      <c r="AY75">
        <v>4</v>
      </c>
      <c r="AZ75">
        <v>10.5</v>
      </c>
      <c r="BA75">
        <v>6</v>
      </c>
      <c r="BB75">
        <v>9.8000000000000007</v>
      </c>
      <c r="BC75" t="str" cm="1">
        <f t="array" ref="BC75">_xlfn.IFS((F75/(G75*G75)*10000)&lt; 18.5,"Underweight",(F75/(G75*G75)*10000)&lt;24.9,"Normal",(F75/(G75*G75)*10000)&lt;29.9,"Overweight",(F75/(G75*G75)*10000)&gt;=30,"obesity")</f>
        <v>Overweight</v>
      </c>
      <c r="BD75">
        <f>Table1[[#This Row],[Follicle No. (L)]]+Table1[[#This Row],[Follicle No. (R)]]</f>
        <v>7</v>
      </c>
      <c r="BE75">
        <f>Table1[[#This Row],[Avg. F size (L) (mm)]]+Table1[[#This Row],[Avg. F size (R) (mm)]]</f>
        <v>16.5</v>
      </c>
      <c r="BF75">
        <f>Table1[[#This Row],[BP _Diastolic (mmHg)]]+(Table1[[#This Row],[BP _Diastolic (mmHg)]]+Table1[[#This Row],[Follicle No. (L)]])/3</f>
        <v>107.66666666666667</v>
      </c>
      <c r="BG75" s="4" t="str" cm="1">
        <f t="array" ref="BG7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75" s="4">
        <f>SUM(Table1[[#This Row],[Pimples(Y/N)]],Table1[[#This Row],[hair growth(Y/N)]],Table1[[#This Row],[Skin darkening (Y/N)]],Table1[[#This Row],[Hair loss(Y/N)]])</f>
        <v>0</v>
      </c>
      <c r="BI75" s="4" t="str">
        <f>IF(AND(Table1[[#This Row],[Pregnant(Y/N)]]=0, Table1[[#This Row],[  I   beta-HCG(mIU/mL)]]&gt;5), "Investigation Required", "Clear")</f>
        <v>Clear</v>
      </c>
    </row>
    <row r="76" spans="1:61" ht="15.75" customHeight="1" x14ac:dyDescent="0.25">
      <c r="A76">
        <v>75</v>
      </c>
      <c r="B76">
        <v>75</v>
      </c>
      <c r="C76">
        <v>0</v>
      </c>
      <c r="D76" t="str">
        <f>IF(Table1[[#This Row],[PCOS (Y/N)]]=0,"NO","YES")</f>
        <v>NO</v>
      </c>
      <c r="E76">
        <v>35</v>
      </c>
      <c r="F76">
        <v>59</v>
      </c>
      <c r="G76">
        <v>152</v>
      </c>
      <c r="H76">
        <v>13</v>
      </c>
      <c r="I76">
        <v>72</v>
      </c>
      <c r="J76">
        <v>20</v>
      </c>
      <c r="K76">
        <v>11.1</v>
      </c>
      <c r="L76">
        <v>4</v>
      </c>
      <c r="M76">
        <v>12</v>
      </c>
      <c r="N76">
        <v>10</v>
      </c>
      <c r="O76">
        <v>1</v>
      </c>
      <c r="P76" t="str">
        <f>IF(Table1[[#This Row],[Pregnant(Y/N)]]=1,"YES","NO")</f>
        <v>YES</v>
      </c>
      <c r="Q76">
        <v>2</v>
      </c>
      <c r="R76">
        <v>603.80999999999995</v>
      </c>
      <c r="S76">
        <v>15</v>
      </c>
      <c r="T76">
        <v>5.5</v>
      </c>
      <c r="U76">
        <v>4.26</v>
      </c>
      <c r="V76">
        <f>Table1[[#This Row],[FSH(mIU/mL)]]/Table1[[#This Row],[LH(mIU/mL)]]</f>
        <v>1.2910798122065728</v>
      </c>
      <c r="W76" t="str">
        <f>IF(Table1[[#This Row],[FSH/LH]]&gt;=2,"Abnormal","Normal")</f>
        <v>Normal</v>
      </c>
      <c r="X76">
        <v>42</v>
      </c>
      <c r="Y76">
        <v>36</v>
      </c>
      <c r="Z76">
        <f>ROUND(Table1[[#This Row],[Waist(inch)]]/Table1[[#This Row],[Hip(inch)]],2)</f>
        <v>0.86</v>
      </c>
      <c r="AA76">
        <v>3.95</v>
      </c>
      <c r="AB76">
        <v>5.23</v>
      </c>
      <c r="AC76">
        <v>31.96</v>
      </c>
      <c r="AD76">
        <v>37.65</v>
      </c>
      <c r="AE76" t="str">
        <f>IF(Table1[[#This Row],[Vit D3 (ng/mL)]]&lt;20,"Deficiency","Normal")</f>
        <v>Normal</v>
      </c>
      <c r="AF76">
        <v>0.25</v>
      </c>
      <c r="AG76">
        <v>93</v>
      </c>
      <c r="AH76">
        <v>0</v>
      </c>
      <c r="AI76" t="str">
        <f>IF(Table1[[#This Row],[Weight gain(Y/N)]]=0,"NO","YES")</f>
        <v>NO</v>
      </c>
      <c r="AJ76">
        <v>0</v>
      </c>
      <c r="AK76" t="str">
        <f>IF(Table1[[#This Row],[hair growth(Y/N)]]=1,"YES","NO")</f>
        <v>NO</v>
      </c>
      <c r="AL76">
        <v>0</v>
      </c>
      <c r="AM76" t="str">
        <f>IF(Table1[[#This Row],[Skin darkening (Y/N)]]=1,"YES","NO")</f>
        <v>NO</v>
      </c>
      <c r="AN76">
        <v>0</v>
      </c>
      <c r="AO76" t="str">
        <f>IF(Table1[[#This Row],[Hair loss(Y/N)]]=1,"YES","NO")</f>
        <v>NO</v>
      </c>
      <c r="AP76">
        <v>0</v>
      </c>
      <c r="AQ76" t="str">
        <f>IF(Table1[[#This Row],[Pimples(Y/N)]]=1,"YES","NO")</f>
        <v>NO</v>
      </c>
      <c r="AR76">
        <v>0</v>
      </c>
      <c r="AS76" t="str">
        <f>IF(Table1[[#This Row],[Fast food (Y/N)]]=1,"YES","NO")</f>
        <v>NO</v>
      </c>
      <c r="AT76">
        <v>0</v>
      </c>
      <c r="AU76" t="str">
        <f>IF(Table1[[#This Row],[Reg.Exercise(Y/N)]]=1,"YES","NO")</f>
        <v>NO</v>
      </c>
      <c r="AV76">
        <v>120</v>
      </c>
      <c r="AW76">
        <v>80</v>
      </c>
      <c r="AX76">
        <v>2</v>
      </c>
      <c r="AY76">
        <v>3</v>
      </c>
      <c r="AZ76">
        <v>9.5</v>
      </c>
      <c r="BA76">
        <v>6.2</v>
      </c>
      <c r="BB76">
        <v>8.6999999999999993</v>
      </c>
      <c r="BC76" t="str" cm="1">
        <f t="array" ref="BC76">_xlfn.IFS((F76/(G76*G76)*10000)&lt; 18.5,"Underweight",(F76/(G76*G76)*10000)&lt;24.9,"Normal",(F76/(G76*G76)*10000)&lt;29.9,"Overweight",(F76/(G76*G76)*10000)&gt;=30,"obesity")</f>
        <v>Overweight</v>
      </c>
      <c r="BD76">
        <f>Table1[[#This Row],[Follicle No. (L)]]+Table1[[#This Row],[Follicle No. (R)]]</f>
        <v>5</v>
      </c>
      <c r="BE76">
        <f>Table1[[#This Row],[Avg. F size (L) (mm)]]+Table1[[#This Row],[Avg. F size (R) (mm)]]</f>
        <v>15.7</v>
      </c>
      <c r="BF76">
        <f>Table1[[#This Row],[BP _Diastolic (mmHg)]]+(Table1[[#This Row],[BP _Diastolic (mmHg)]]+Table1[[#This Row],[Follicle No. (L)]])/3</f>
        <v>107.33333333333333</v>
      </c>
      <c r="BG76" s="4" t="str" cm="1">
        <f t="array" ref="BG7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76" s="4">
        <f>SUM(Table1[[#This Row],[Pimples(Y/N)]],Table1[[#This Row],[hair growth(Y/N)]],Table1[[#This Row],[Skin darkening (Y/N)]],Table1[[#This Row],[Hair loss(Y/N)]])</f>
        <v>0</v>
      </c>
      <c r="BI76" s="4" t="str">
        <f>IF(AND(Table1[[#This Row],[Pregnant(Y/N)]]=0, Table1[[#This Row],[  I   beta-HCG(mIU/mL)]]&gt;5), "Investigation Required", "Clear")</f>
        <v>Clear</v>
      </c>
    </row>
    <row r="77" spans="1:61" ht="15.75" customHeight="1" x14ac:dyDescent="0.25">
      <c r="A77">
        <v>76</v>
      </c>
      <c r="B77">
        <v>76</v>
      </c>
      <c r="C77">
        <v>0</v>
      </c>
      <c r="D77" t="str">
        <f>IF(Table1[[#This Row],[PCOS (Y/N)]]=0,"NO","YES")</f>
        <v>NO</v>
      </c>
      <c r="E77">
        <v>36</v>
      </c>
      <c r="F77">
        <v>72</v>
      </c>
      <c r="G77">
        <v>154</v>
      </c>
      <c r="H77">
        <v>13</v>
      </c>
      <c r="I77">
        <v>72</v>
      </c>
      <c r="J77">
        <v>18</v>
      </c>
      <c r="K77">
        <v>10.199999999999999</v>
      </c>
      <c r="L77">
        <v>2</v>
      </c>
      <c r="M77">
        <v>4</v>
      </c>
      <c r="N77">
        <v>10</v>
      </c>
      <c r="O77">
        <v>1</v>
      </c>
      <c r="P77" t="str">
        <f>IF(Table1[[#This Row],[Pregnant(Y/N)]]=1,"YES","NO")</f>
        <v>YES</v>
      </c>
      <c r="Q77">
        <v>0</v>
      </c>
      <c r="R77">
        <v>486.39</v>
      </c>
      <c r="S77">
        <v>3.98</v>
      </c>
      <c r="T77">
        <v>6.72</v>
      </c>
      <c r="U77">
        <v>2.83</v>
      </c>
      <c r="V77">
        <f>Table1[[#This Row],[FSH(mIU/mL)]]/Table1[[#This Row],[LH(mIU/mL)]]</f>
        <v>2.3745583038869258</v>
      </c>
      <c r="W77" t="str">
        <f>IF(Table1[[#This Row],[FSH/LH]]&gt;=2,"Abnormal","Normal")</f>
        <v>Abnormal</v>
      </c>
      <c r="X77">
        <v>44</v>
      </c>
      <c r="Y77">
        <v>37</v>
      </c>
      <c r="Z77">
        <f>ROUND(Table1[[#This Row],[Waist(inch)]]/Table1[[#This Row],[Hip(inch)]],2)</f>
        <v>0.84</v>
      </c>
      <c r="AA77">
        <v>2.2400000000000002</v>
      </c>
      <c r="AB77">
        <v>3.68</v>
      </c>
      <c r="AC77">
        <v>19.8</v>
      </c>
      <c r="AD77">
        <v>10.7</v>
      </c>
      <c r="AE77" t="str">
        <f>IF(Table1[[#This Row],[Vit D3 (ng/mL)]]&lt;20,"Deficiency","Normal")</f>
        <v>Deficiency</v>
      </c>
      <c r="AF77">
        <v>0.35</v>
      </c>
      <c r="AG77">
        <v>100</v>
      </c>
      <c r="AH77">
        <v>0</v>
      </c>
      <c r="AI77" t="str">
        <f>IF(Table1[[#This Row],[Weight gain(Y/N)]]=0,"NO","YES")</f>
        <v>NO</v>
      </c>
      <c r="AJ77">
        <v>0</v>
      </c>
      <c r="AK77" t="str">
        <f>IF(Table1[[#This Row],[hair growth(Y/N)]]=1,"YES","NO")</f>
        <v>NO</v>
      </c>
      <c r="AL77">
        <v>0</v>
      </c>
      <c r="AM77" t="str">
        <f>IF(Table1[[#This Row],[Skin darkening (Y/N)]]=1,"YES","NO")</f>
        <v>NO</v>
      </c>
      <c r="AN77">
        <v>0</v>
      </c>
      <c r="AO77" t="str">
        <f>IF(Table1[[#This Row],[Hair loss(Y/N)]]=1,"YES","NO")</f>
        <v>NO</v>
      </c>
      <c r="AP77">
        <v>0</v>
      </c>
      <c r="AQ77" t="str">
        <f>IF(Table1[[#This Row],[Pimples(Y/N)]]=1,"YES","NO")</f>
        <v>NO</v>
      </c>
      <c r="AR77">
        <v>0</v>
      </c>
      <c r="AS77" t="str">
        <f>IF(Table1[[#This Row],[Fast food (Y/N)]]=1,"YES","NO")</f>
        <v>NO</v>
      </c>
      <c r="AT77">
        <v>0</v>
      </c>
      <c r="AU77" t="str">
        <f>IF(Table1[[#This Row],[Reg.Exercise(Y/N)]]=1,"YES","NO")</f>
        <v>NO</v>
      </c>
      <c r="AV77">
        <v>110</v>
      </c>
      <c r="AW77">
        <v>80</v>
      </c>
      <c r="AX77">
        <v>0</v>
      </c>
      <c r="AY77">
        <v>2</v>
      </c>
      <c r="AZ77">
        <v>0</v>
      </c>
      <c r="BA77">
        <v>5.8</v>
      </c>
      <c r="BB77">
        <v>8.5</v>
      </c>
      <c r="BC77" t="str" cm="1">
        <f t="array" ref="BC77">_xlfn.IFS((F77/(G77*G77)*10000)&lt; 18.5,"Underweight",(F77/(G77*G77)*10000)&lt;24.9,"Normal",(F77/(G77*G77)*10000)&lt;29.9,"Overweight",(F77/(G77*G77)*10000)&gt;=30,"obesity")</f>
        <v>obesity</v>
      </c>
      <c r="BD77">
        <f>Table1[[#This Row],[Follicle No. (L)]]+Table1[[#This Row],[Follicle No. (R)]]</f>
        <v>2</v>
      </c>
      <c r="BE77">
        <f>Table1[[#This Row],[Avg. F size (L) (mm)]]+Table1[[#This Row],[Avg. F size (R) (mm)]]</f>
        <v>5.8</v>
      </c>
      <c r="BF77">
        <f>Table1[[#This Row],[BP _Diastolic (mmHg)]]+(Table1[[#This Row],[BP _Diastolic (mmHg)]]+Table1[[#This Row],[Follicle No. (L)]])/3</f>
        <v>106.66666666666667</v>
      </c>
      <c r="BG77" s="4" t="str" cm="1">
        <f t="array" ref="BG7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77" s="4">
        <f>SUM(Table1[[#This Row],[Pimples(Y/N)]],Table1[[#This Row],[hair growth(Y/N)]],Table1[[#This Row],[Skin darkening (Y/N)]],Table1[[#This Row],[Hair loss(Y/N)]])</f>
        <v>0</v>
      </c>
      <c r="BI77" s="4" t="str">
        <f>IF(AND(Table1[[#This Row],[Pregnant(Y/N)]]=0, Table1[[#This Row],[  I   beta-HCG(mIU/mL)]]&gt;5), "Investigation Required", "Clear")</f>
        <v>Clear</v>
      </c>
    </row>
    <row r="78" spans="1:61" ht="15.75" customHeight="1" x14ac:dyDescent="0.25">
      <c r="A78">
        <v>77</v>
      </c>
      <c r="B78">
        <v>77</v>
      </c>
      <c r="C78">
        <v>1</v>
      </c>
      <c r="D78" t="str">
        <f>IF(Table1[[#This Row],[PCOS (Y/N)]]=0,"NO","YES")</f>
        <v>YES</v>
      </c>
      <c r="E78">
        <v>32</v>
      </c>
      <c r="F78">
        <v>43</v>
      </c>
      <c r="G78">
        <v>152</v>
      </c>
      <c r="H78">
        <v>13</v>
      </c>
      <c r="I78">
        <v>80</v>
      </c>
      <c r="J78">
        <v>20</v>
      </c>
      <c r="K78">
        <v>10.5</v>
      </c>
      <c r="L78">
        <v>4</v>
      </c>
      <c r="M78">
        <v>11</v>
      </c>
      <c r="N78">
        <v>6</v>
      </c>
      <c r="O78">
        <v>1</v>
      </c>
      <c r="P78" t="str">
        <f>IF(Table1[[#This Row],[Pregnant(Y/N)]]=1,"YES","NO")</f>
        <v>YES</v>
      </c>
      <c r="Q78">
        <v>0</v>
      </c>
      <c r="R78">
        <v>756.61</v>
      </c>
      <c r="S78">
        <v>756.61</v>
      </c>
      <c r="T78">
        <v>4.96</v>
      </c>
      <c r="U78">
        <v>2.06</v>
      </c>
      <c r="V78">
        <f>Table1[[#This Row],[FSH(mIU/mL)]]/Table1[[#This Row],[LH(mIU/mL)]]</f>
        <v>2.407766990291262</v>
      </c>
      <c r="W78" t="str">
        <f>IF(Table1[[#This Row],[FSH/LH]]&gt;=2,"Abnormal","Normal")</f>
        <v>Abnormal</v>
      </c>
      <c r="X78">
        <v>40</v>
      </c>
      <c r="Y78">
        <v>34</v>
      </c>
      <c r="Z78">
        <f>ROUND(Table1[[#This Row],[Waist(inch)]]/Table1[[#This Row],[Hip(inch)]],2)</f>
        <v>0.85</v>
      </c>
      <c r="AA78">
        <v>4.3600000000000003</v>
      </c>
      <c r="AB78">
        <v>2.14</v>
      </c>
      <c r="AC78">
        <v>25.48</v>
      </c>
      <c r="AD78">
        <v>38.25</v>
      </c>
      <c r="AE78" t="str">
        <f>IF(Table1[[#This Row],[Vit D3 (ng/mL)]]&lt;20,"Deficiency","Normal")</f>
        <v>Normal</v>
      </c>
      <c r="AF78">
        <v>0.35</v>
      </c>
      <c r="AG78">
        <v>92</v>
      </c>
      <c r="AH78">
        <v>0</v>
      </c>
      <c r="AI78" t="str">
        <f>IF(Table1[[#This Row],[Weight gain(Y/N)]]=0,"NO","YES")</f>
        <v>NO</v>
      </c>
      <c r="AJ78">
        <v>1</v>
      </c>
      <c r="AK78" t="str">
        <f>IF(Table1[[#This Row],[hair growth(Y/N)]]=1,"YES","NO")</f>
        <v>YES</v>
      </c>
      <c r="AL78">
        <v>1</v>
      </c>
      <c r="AM78" t="str">
        <f>IF(Table1[[#This Row],[Skin darkening (Y/N)]]=1,"YES","NO")</f>
        <v>YES</v>
      </c>
      <c r="AN78">
        <v>1</v>
      </c>
      <c r="AO78" t="str">
        <f>IF(Table1[[#This Row],[Hair loss(Y/N)]]=1,"YES","NO")</f>
        <v>YES</v>
      </c>
      <c r="AP78">
        <v>0</v>
      </c>
      <c r="AQ78" t="str">
        <f>IF(Table1[[#This Row],[Pimples(Y/N)]]=1,"YES","NO")</f>
        <v>NO</v>
      </c>
      <c r="AR78">
        <v>1</v>
      </c>
      <c r="AS78" t="str">
        <f>IF(Table1[[#This Row],[Fast food (Y/N)]]=1,"YES","NO")</f>
        <v>YES</v>
      </c>
      <c r="AT78">
        <v>0</v>
      </c>
      <c r="AU78" t="str">
        <f>IF(Table1[[#This Row],[Reg.Exercise(Y/N)]]=1,"YES","NO")</f>
        <v>NO</v>
      </c>
      <c r="AV78">
        <v>120</v>
      </c>
      <c r="AW78">
        <v>70</v>
      </c>
      <c r="AX78">
        <v>4</v>
      </c>
      <c r="AY78">
        <v>4</v>
      </c>
      <c r="AZ78">
        <v>10.5</v>
      </c>
      <c r="BA78">
        <v>10.5</v>
      </c>
      <c r="BB78">
        <v>12.8</v>
      </c>
      <c r="BC78" t="str" cm="1">
        <f t="array" ref="BC78">_xlfn.IFS((F78/(G78*G78)*10000)&lt; 18.5,"Underweight",(F78/(G78*G78)*10000)&lt;24.9,"Normal",(F78/(G78*G78)*10000)&lt;29.9,"Overweight",(F78/(G78*G78)*10000)&gt;=30,"obesity")</f>
        <v>Normal</v>
      </c>
      <c r="BD78">
        <f>Table1[[#This Row],[Follicle No. (L)]]+Table1[[#This Row],[Follicle No. (R)]]</f>
        <v>8</v>
      </c>
      <c r="BE78">
        <f>Table1[[#This Row],[Avg. F size (L) (mm)]]+Table1[[#This Row],[Avg. F size (R) (mm)]]</f>
        <v>21</v>
      </c>
      <c r="BF78">
        <f>Table1[[#This Row],[BP _Diastolic (mmHg)]]+(Table1[[#This Row],[BP _Diastolic (mmHg)]]+Table1[[#This Row],[Follicle No. (L)]])/3</f>
        <v>94.666666666666671</v>
      </c>
      <c r="BG78" s="4" t="str" cm="1">
        <f t="array" ref="BG7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78" s="4">
        <f>SUM(Table1[[#This Row],[Pimples(Y/N)]],Table1[[#This Row],[hair growth(Y/N)]],Table1[[#This Row],[Skin darkening (Y/N)]],Table1[[#This Row],[Hair loss(Y/N)]])</f>
        <v>3</v>
      </c>
      <c r="BI78" s="4" t="str">
        <f>IF(AND(Table1[[#This Row],[Pregnant(Y/N)]]=0, Table1[[#This Row],[  I   beta-HCG(mIU/mL)]]&gt;5), "Investigation Required", "Clear")</f>
        <v>Clear</v>
      </c>
    </row>
    <row r="79" spans="1:61" ht="15.75" customHeight="1" x14ac:dyDescent="0.25">
      <c r="A79">
        <v>78</v>
      </c>
      <c r="B79">
        <v>78</v>
      </c>
      <c r="C79">
        <v>0</v>
      </c>
      <c r="D79" t="str">
        <f>IF(Table1[[#This Row],[PCOS (Y/N)]]=0,"NO","YES")</f>
        <v>NO</v>
      </c>
      <c r="E79">
        <v>34</v>
      </c>
      <c r="F79">
        <v>52</v>
      </c>
      <c r="G79">
        <v>150</v>
      </c>
      <c r="H79">
        <v>11</v>
      </c>
      <c r="I79">
        <v>72</v>
      </c>
      <c r="J79">
        <v>18</v>
      </c>
      <c r="K79">
        <v>12</v>
      </c>
      <c r="L79">
        <v>2</v>
      </c>
      <c r="M79">
        <v>5</v>
      </c>
      <c r="N79">
        <v>0</v>
      </c>
      <c r="O79">
        <v>0</v>
      </c>
      <c r="P79" t="str">
        <f>IF(Table1[[#This Row],[Pregnant(Y/N)]]=1,"YES","NO")</f>
        <v>NO</v>
      </c>
      <c r="Q79">
        <v>0</v>
      </c>
      <c r="R79">
        <v>1.99</v>
      </c>
      <c r="S79">
        <v>1.99</v>
      </c>
      <c r="T79">
        <v>5.3</v>
      </c>
      <c r="U79">
        <v>2.15</v>
      </c>
      <c r="V79">
        <f>Table1[[#This Row],[FSH(mIU/mL)]]/Table1[[#This Row],[LH(mIU/mL)]]</f>
        <v>2.4651162790697674</v>
      </c>
      <c r="W79" t="str">
        <f>IF(Table1[[#This Row],[FSH/LH]]&gt;=2,"Abnormal","Normal")</f>
        <v>Abnormal</v>
      </c>
      <c r="X79">
        <v>41</v>
      </c>
      <c r="Y79">
        <v>36</v>
      </c>
      <c r="Z79">
        <f>ROUND(Table1[[#This Row],[Waist(inch)]]/Table1[[#This Row],[Hip(inch)]],2)</f>
        <v>0.88</v>
      </c>
      <c r="AA79">
        <v>4.5999999999999996</v>
      </c>
      <c r="AB79">
        <v>2.5499999999999998</v>
      </c>
      <c r="AC79">
        <v>16.09</v>
      </c>
      <c r="AD79">
        <v>35.979999999999997</v>
      </c>
      <c r="AE79" t="str">
        <f>IF(Table1[[#This Row],[Vit D3 (ng/mL)]]&lt;20,"Deficiency","Normal")</f>
        <v>Normal</v>
      </c>
      <c r="AF79">
        <v>0.15</v>
      </c>
      <c r="AG79">
        <v>80</v>
      </c>
      <c r="AH79">
        <v>0</v>
      </c>
      <c r="AI79" t="str">
        <f>IF(Table1[[#This Row],[Weight gain(Y/N)]]=0,"NO","YES")</f>
        <v>NO</v>
      </c>
      <c r="AJ79">
        <v>0</v>
      </c>
      <c r="AK79" t="str">
        <f>IF(Table1[[#This Row],[hair growth(Y/N)]]=1,"YES","NO")</f>
        <v>NO</v>
      </c>
      <c r="AL79">
        <v>0</v>
      </c>
      <c r="AM79" t="str">
        <f>IF(Table1[[#This Row],[Skin darkening (Y/N)]]=1,"YES","NO")</f>
        <v>NO</v>
      </c>
      <c r="AN79">
        <v>0</v>
      </c>
      <c r="AO79" t="str">
        <f>IF(Table1[[#This Row],[Hair loss(Y/N)]]=1,"YES","NO")</f>
        <v>NO</v>
      </c>
      <c r="AP79">
        <v>0</v>
      </c>
      <c r="AQ79" t="str">
        <f>IF(Table1[[#This Row],[Pimples(Y/N)]]=1,"YES","NO")</f>
        <v>NO</v>
      </c>
      <c r="AR79">
        <v>0</v>
      </c>
      <c r="AS79" t="str">
        <f>IF(Table1[[#This Row],[Fast food (Y/N)]]=1,"YES","NO")</f>
        <v>NO</v>
      </c>
      <c r="AT79">
        <v>0</v>
      </c>
      <c r="AU79" t="str">
        <f>IF(Table1[[#This Row],[Reg.Exercise(Y/N)]]=1,"YES","NO")</f>
        <v>NO</v>
      </c>
      <c r="AV79">
        <v>110</v>
      </c>
      <c r="AW79">
        <v>70</v>
      </c>
      <c r="AX79">
        <v>7</v>
      </c>
      <c r="AY79">
        <v>4</v>
      </c>
      <c r="AZ79">
        <v>15</v>
      </c>
      <c r="BA79">
        <v>12</v>
      </c>
      <c r="BB79">
        <v>18</v>
      </c>
      <c r="BC79" t="str" cm="1">
        <f t="array" ref="BC79">_xlfn.IFS((F79/(G79*G79)*10000)&lt; 18.5,"Underweight",(F79/(G79*G79)*10000)&lt;24.9,"Normal",(F79/(G79*G79)*10000)&lt;29.9,"Overweight",(F79/(G79*G79)*10000)&gt;=30,"obesity")</f>
        <v>Normal</v>
      </c>
      <c r="BD79">
        <f>Table1[[#This Row],[Follicle No. (L)]]+Table1[[#This Row],[Follicle No. (R)]]</f>
        <v>11</v>
      </c>
      <c r="BE79">
        <f>Table1[[#This Row],[Avg. F size (L) (mm)]]+Table1[[#This Row],[Avg. F size (R) (mm)]]</f>
        <v>27</v>
      </c>
      <c r="BF79">
        <f>Table1[[#This Row],[BP _Diastolic (mmHg)]]+(Table1[[#This Row],[BP _Diastolic (mmHg)]]+Table1[[#This Row],[Follicle No. (L)]])/3</f>
        <v>95.666666666666671</v>
      </c>
      <c r="BG79" s="4" t="str" cm="1">
        <f t="array" ref="BG7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79" s="4">
        <f>SUM(Table1[[#This Row],[Pimples(Y/N)]],Table1[[#This Row],[hair growth(Y/N)]],Table1[[#This Row],[Skin darkening (Y/N)]],Table1[[#This Row],[Hair loss(Y/N)]])</f>
        <v>0</v>
      </c>
      <c r="BI79" s="4" t="str">
        <f>IF(AND(Table1[[#This Row],[Pregnant(Y/N)]]=0, Table1[[#This Row],[  I   beta-HCG(mIU/mL)]]&gt;5), "Investigation Required", "Clear")</f>
        <v>Clear</v>
      </c>
    </row>
    <row r="80" spans="1:61" ht="15.75" customHeight="1" x14ac:dyDescent="0.25">
      <c r="A80">
        <v>79</v>
      </c>
      <c r="B80">
        <v>79</v>
      </c>
      <c r="C80">
        <v>0</v>
      </c>
      <c r="D80" t="str">
        <f>IF(Table1[[#This Row],[PCOS (Y/N)]]=0,"NO","YES")</f>
        <v>NO</v>
      </c>
      <c r="E80">
        <v>37</v>
      </c>
      <c r="F80">
        <v>48</v>
      </c>
      <c r="G80">
        <v>150</v>
      </c>
      <c r="H80">
        <v>11</v>
      </c>
      <c r="I80">
        <v>75</v>
      </c>
      <c r="J80">
        <v>20</v>
      </c>
      <c r="K80">
        <v>10.199999999999999</v>
      </c>
      <c r="L80">
        <v>2</v>
      </c>
      <c r="M80">
        <v>5</v>
      </c>
      <c r="N80">
        <v>2</v>
      </c>
      <c r="O80">
        <v>0</v>
      </c>
      <c r="P80" t="str">
        <f>IF(Table1[[#This Row],[Pregnant(Y/N)]]=1,"YES","NO")</f>
        <v>NO</v>
      </c>
      <c r="Q80">
        <v>1</v>
      </c>
      <c r="R80">
        <v>1.99</v>
      </c>
      <c r="S80">
        <v>1.99</v>
      </c>
      <c r="T80">
        <v>15.45</v>
      </c>
      <c r="U80">
        <v>4.3639999999999999</v>
      </c>
      <c r="V80">
        <f>Table1[[#This Row],[FSH(mIU/mL)]]/Table1[[#This Row],[LH(mIU/mL)]]</f>
        <v>3.5403299725022914</v>
      </c>
      <c r="W80" t="str">
        <f>IF(Table1[[#This Row],[FSH/LH]]&gt;=2,"Abnormal","Normal")</f>
        <v>Abnormal</v>
      </c>
      <c r="X80">
        <v>38</v>
      </c>
      <c r="Y80">
        <v>34</v>
      </c>
      <c r="Z80">
        <f>ROUND(Table1[[#This Row],[Waist(inch)]]/Table1[[#This Row],[Hip(inch)]],2)</f>
        <v>0.89</v>
      </c>
      <c r="AA80">
        <v>1.2</v>
      </c>
      <c r="AB80">
        <v>4.91</v>
      </c>
      <c r="AC80">
        <v>17.05</v>
      </c>
      <c r="AD80">
        <v>29.47</v>
      </c>
      <c r="AE80" t="str">
        <f>IF(Table1[[#This Row],[Vit D3 (ng/mL)]]&lt;20,"Deficiency","Normal")</f>
        <v>Normal</v>
      </c>
      <c r="AF80">
        <v>0.52</v>
      </c>
      <c r="AG80">
        <v>98</v>
      </c>
      <c r="AH80">
        <v>0</v>
      </c>
      <c r="AI80" t="str">
        <f>IF(Table1[[#This Row],[Weight gain(Y/N)]]=0,"NO","YES")</f>
        <v>NO</v>
      </c>
      <c r="AJ80">
        <v>0</v>
      </c>
      <c r="AK80" t="str">
        <f>IF(Table1[[#This Row],[hair growth(Y/N)]]=1,"YES","NO")</f>
        <v>NO</v>
      </c>
      <c r="AL80">
        <v>0</v>
      </c>
      <c r="AM80" t="str">
        <f>IF(Table1[[#This Row],[Skin darkening (Y/N)]]=1,"YES","NO")</f>
        <v>NO</v>
      </c>
      <c r="AN80">
        <v>0</v>
      </c>
      <c r="AO80" t="str">
        <f>IF(Table1[[#This Row],[Hair loss(Y/N)]]=1,"YES","NO")</f>
        <v>NO</v>
      </c>
      <c r="AP80">
        <v>0</v>
      </c>
      <c r="AQ80" t="str">
        <f>IF(Table1[[#This Row],[Pimples(Y/N)]]=1,"YES","NO")</f>
        <v>NO</v>
      </c>
      <c r="AR80">
        <v>0</v>
      </c>
      <c r="AS80" t="str">
        <f>IF(Table1[[#This Row],[Fast food (Y/N)]]=1,"YES","NO")</f>
        <v>NO</v>
      </c>
      <c r="AT80">
        <v>0</v>
      </c>
      <c r="AU80" t="str">
        <f>IF(Table1[[#This Row],[Reg.Exercise(Y/N)]]=1,"YES","NO")</f>
        <v>NO</v>
      </c>
      <c r="AV80">
        <v>110</v>
      </c>
      <c r="AW80">
        <v>70</v>
      </c>
      <c r="AX80">
        <v>0</v>
      </c>
      <c r="AY80">
        <v>2</v>
      </c>
      <c r="AZ80">
        <v>0</v>
      </c>
      <c r="BA80">
        <v>9</v>
      </c>
      <c r="BB80">
        <v>8.6</v>
      </c>
      <c r="BC80" t="str" cm="1">
        <f t="array" ref="BC80">_xlfn.IFS((F80/(G80*G80)*10000)&lt; 18.5,"Underweight",(F80/(G80*G80)*10000)&lt;24.9,"Normal",(F80/(G80*G80)*10000)&lt;29.9,"Overweight",(F80/(G80*G80)*10000)&gt;=30,"obesity")</f>
        <v>Normal</v>
      </c>
      <c r="BD80">
        <f>Table1[[#This Row],[Follicle No. (L)]]+Table1[[#This Row],[Follicle No. (R)]]</f>
        <v>2</v>
      </c>
      <c r="BE80">
        <f>Table1[[#This Row],[Avg. F size (L) (mm)]]+Table1[[#This Row],[Avg. F size (R) (mm)]]</f>
        <v>9</v>
      </c>
      <c r="BF80">
        <f>Table1[[#This Row],[BP _Diastolic (mmHg)]]+(Table1[[#This Row],[BP _Diastolic (mmHg)]]+Table1[[#This Row],[Follicle No. (L)]])/3</f>
        <v>93.333333333333329</v>
      </c>
      <c r="BG80" s="4" t="str" cm="1">
        <f t="array" ref="BG8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80" s="4">
        <f>SUM(Table1[[#This Row],[Pimples(Y/N)]],Table1[[#This Row],[hair growth(Y/N)]],Table1[[#This Row],[Skin darkening (Y/N)]],Table1[[#This Row],[Hair loss(Y/N)]])</f>
        <v>0</v>
      </c>
      <c r="BI80" s="4" t="str">
        <f>IF(AND(Table1[[#This Row],[Pregnant(Y/N)]]=0, Table1[[#This Row],[  I   beta-HCG(mIU/mL)]]&gt;5), "Investigation Required", "Clear")</f>
        <v>Clear</v>
      </c>
    </row>
    <row r="81" spans="1:61" ht="15.75" customHeight="1" x14ac:dyDescent="0.25">
      <c r="A81">
        <v>80</v>
      </c>
      <c r="B81">
        <v>80</v>
      </c>
      <c r="C81">
        <v>0</v>
      </c>
      <c r="D81" t="str">
        <f>IF(Table1[[#This Row],[PCOS (Y/N)]]=0,"NO","YES")</f>
        <v>NO</v>
      </c>
      <c r="E81">
        <v>38</v>
      </c>
      <c r="F81">
        <v>108</v>
      </c>
      <c r="G81">
        <v>168</v>
      </c>
      <c r="H81">
        <v>14</v>
      </c>
      <c r="I81">
        <v>80</v>
      </c>
      <c r="J81">
        <v>20</v>
      </c>
      <c r="K81">
        <v>11</v>
      </c>
      <c r="L81">
        <v>2</v>
      </c>
      <c r="M81">
        <v>5</v>
      </c>
      <c r="N81">
        <v>12</v>
      </c>
      <c r="O81">
        <v>0</v>
      </c>
      <c r="P81" t="str">
        <f>IF(Table1[[#This Row],[Pregnant(Y/N)]]=1,"YES","NO")</f>
        <v>NO</v>
      </c>
      <c r="Q81">
        <v>3</v>
      </c>
      <c r="R81">
        <v>10</v>
      </c>
      <c r="S81">
        <v>1.99</v>
      </c>
      <c r="T81">
        <v>5.01</v>
      </c>
      <c r="U81">
        <v>2.6</v>
      </c>
      <c r="V81">
        <f>Table1[[#This Row],[FSH(mIU/mL)]]/Table1[[#This Row],[LH(mIU/mL)]]</f>
        <v>1.9269230769230767</v>
      </c>
      <c r="W81" t="str">
        <f>IF(Table1[[#This Row],[FSH/LH]]&gt;=2,"Abnormal","Normal")</f>
        <v>Normal</v>
      </c>
      <c r="X81">
        <v>48</v>
      </c>
      <c r="Y81">
        <v>41</v>
      </c>
      <c r="Z81">
        <f>ROUND(Table1[[#This Row],[Waist(inch)]]/Table1[[#This Row],[Hip(inch)]],2)</f>
        <v>0.85</v>
      </c>
      <c r="AA81">
        <v>1.87</v>
      </c>
      <c r="AB81">
        <v>1.03</v>
      </c>
      <c r="AC81">
        <v>27.33</v>
      </c>
      <c r="AD81">
        <v>36.85</v>
      </c>
      <c r="AE81" t="str">
        <f>IF(Table1[[#This Row],[Vit D3 (ng/mL)]]&lt;20,"Deficiency","Normal")</f>
        <v>Normal</v>
      </c>
      <c r="AF81">
        <v>0.54</v>
      </c>
      <c r="AG81">
        <v>100</v>
      </c>
      <c r="AH81">
        <v>0</v>
      </c>
      <c r="AI81" t="str">
        <f>IF(Table1[[#This Row],[Weight gain(Y/N)]]=0,"NO","YES")</f>
        <v>NO</v>
      </c>
      <c r="AJ81">
        <v>0</v>
      </c>
      <c r="AK81" t="str">
        <f>IF(Table1[[#This Row],[hair growth(Y/N)]]=1,"YES","NO")</f>
        <v>NO</v>
      </c>
      <c r="AL81">
        <v>0</v>
      </c>
      <c r="AM81" t="str">
        <f>IF(Table1[[#This Row],[Skin darkening (Y/N)]]=1,"YES","NO")</f>
        <v>NO</v>
      </c>
      <c r="AN81">
        <v>0</v>
      </c>
      <c r="AO81" t="str">
        <f>IF(Table1[[#This Row],[Hair loss(Y/N)]]=1,"YES","NO")</f>
        <v>NO</v>
      </c>
      <c r="AP81">
        <v>0</v>
      </c>
      <c r="AQ81" t="str">
        <f>IF(Table1[[#This Row],[Pimples(Y/N)]]=1,"YES","NO")</f>
        <v>NO</v>
      </c>
      <c r="AR81">
        <v>0</v>
      </c>
      <c r="AS81" t="str">
        <f>IF(Table1[[#This Row],[Fast food (Y/N)]]=1,"YES","NO")</f>
        <v>NO</v>
      </c>
      <c r="AT81">
        <v>0</v>
      </c>
      <c r="AU81" t="str">
        <f>IF(Table1[[#This Row],[Reg.Exercise(Y/N)]]=1,"YES","NO")</f>
        <v>NO</v>
      </c>
      <c r="AV81">
        <v>110</v>
      </c>
      <c r="AW81">
        <v>70</v>
      </c>
      <c r="AX81">
        <v>1</v>
      </c>
      <c r="AY81">
        <v>2</v>
      </c>
      <c r="AZ81">
        <v>8</v>
      </c>
      <c r="BA81">
        <v>9</v>
      </c>
      <c r="BB81">
        <v>10</v>
      </c>
      <c r="BC81" t="str" cm="1">
        <f t="array" ref="BC81">_xlfn.IFS((F81/(G81*G81)*10000)&lt; 18.5,"Underweight",(F81/(G81*G81)*10000)&lt;24.9,"Normal",(F81/(G81*G81)*10000)&lt;29.9,"Overweight",(F81/(G81*G81)*10000)&gt;=30,"obesity")</f>
        <v>obesity</v>
      </c>
      <c r="BD81">
        <f>Table1[[#This Row],[Follicle No. (L)]]+Table1[[#This Row],[Follicle No. (R)]]</f>
        <v>3</v>
      </c>
      <c r="BE81">
        <f>Table1[[#This Row],[Avg. F size (L) (mm)]]+Table1[[#This Row],[Avg. F size (R) (mm)]]</f>
        <v>17</v>
      </c>
      <c r="BF81">
        <f>Table1[[#This Row],[BP _Diastolic (mmHg)]]+(Table1[[#This Row],[BP _Diastolic (mmHg)]]+Table1[[#This Row],[Follicle No. (L)]])/3</f>
        <v>93.666666666666671</v>
      </c>
      <c r="BG81" s="4" t="str" cm="1">
        <f t="array" ref="BG8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81" s="4">
        <f>SUM(Table1[[#This Row],[Pimples(Y/N)]],Table1[[#This Row],[hair growth(Y/N)]],Table1[[#This Row],[Skin darkening (Y/N)]],Table1[[#This Row],[Hair loss(Y/N)]])</f>
        <v>0</v>
      </c>
      <c r="BI81" s="4" t="str">
        <f>IF(AND(Table1[[#This Row],[Pregnant(Y/N)]]=0, Table1[[#This Row],[  I   beta-HCG(mIU/mL)]]&gt;5), "Investigation Required", "Clear")</f>
        <v>Investigation Required</v>
      </c>
    </row>
    <row r="82" spans="1:61" ht="15.75" customHeight="1" x14ac:dyDescent="0.25">
      <c r="A82">
        <v>81</v>
      </c>
      <c r="B82">
        <v>81</v>
      </c>
      <c r="C82">
        <v>0</v>
      </c>
      <c r="D82" t="str">
        <f>IF(Table1[[#This Row],[PCOS (Y/N)]]=0,"NO","YES")</f>
        <v>NO</v>
      </c>
      <c r="E82">
        <v>36</v>
      </c>
      <c r="F82">
        <v>57.6</v>
      </c>
      <c r="G82">
        <v>151</v>
      </c>
      <c r="H82">
        <v>11</v>
      </c>
      <c r="I82">
        <v>72</v>
      </c>
      <c r="J82">
        <v>18</v>
      </c>
      <c r="K82">
        <v>11.8</v>
      </c>
      <c r="L82">
        <v>4</v>
      </c>
      <c r="M82">
        <v>2</v>
      </c>
      <c r="N82">
        <v>10</v>
      </c>
      <c r="O82">
        <v>0</v>
      </c>
      <c r="P82" t="str">
        <f>IF(Table1[[#This Row],[Pregnant(Y/N)]]=1,"YES","NO")</f>
        <v>NO</v>
      </c>
      <c r="Q82">
        <v>0</v>
      </c>
      <c r="R82">
        <v>1.99</v>
      </c>
      <c r="S82">
        <v>1.99</v>
      </c>
      <c r="T82">
        <v>6.24</v>
      </c>
      <c r="U82">
        <v>3.24</v>
      </c>
      <c r="V82">
        <f>Table1[[#This Row],[FSH(mIU/mL)]]/Table1[[#This Row],[LH(mIU/mL)]]</f>
        <v>1.9259259259259258</v>
      </c>
      <c r="W82" t="str">
        <f>IF(Table1[[#This Row],[FSH/LH]]&gt;=2,"Abnormal","Normal")</f>
        <v>Normal</v>
      </c>
      <c r="X82">
        <v>39</v>
      </c>
      <c r="Y82">
        <v>34</v>
      </c>
      <c r="Z82">
        <f>ROUND(Table1[[#This Row],[Waist(inch)]]/Table1[[#This Row],[Hip(inch)]],2)</f>
        <v>0.87</v>
      </c>
      <c r="AA82">
        <v>2.02</v>
      </c>
      <c r="AB82">
        <v>6.56</v>
      </c>
      <c r="AC82">
        <v>4.25</v>
      </c>
      <c r="AD82">
        <v>27.8</v>
      </c>
      <c r="AE82" t="str">
        <f>IF(Table1[[#This Row],[Vit D3 (ng/mL)]]&lt;20,"Deficiency","Normal")</f>
        <v>Normal</v>
      </c>
      <c r="AF82">
        <v>0.3</v>
      </c>
      <c r="AG82">
        <v>100</v>
      </c>
      <c r="AH82">
        <v>0</v>
      </c>
      <c r="AI82" t="str">
        <f>IF(Table1[[#This Row],[Weight gain(Y/N)]]=0,"NO","YES")</f>
        <v>NO</v>
      </c>
      <c r="AJ82">
        <v>0</v>
      </c>
      <c r="AK82" t="str">
        <f>IF(Table1[[#This Row],[hair growth(Y/N)]]=1,"YES","NO")</f>
        <v>NO</v>
      </c>
      <c r="AL82">
        <v>0</v>
      </c>
      <c r="AM82" t="str">
        <f>IF(Table1[[#This Row],[Skin darkening (Y/N)]]=1,"YES","NO")</f>
        <v>NO</v>
      </c>
      <c r="AN82">
        <v>0</v>
      </c>
      <c r="AO82" t="str">
        <f>IF(Table1[[#This Row],[Hair loss(Y/N)]]=1,"YES","NO")</f>
        <v>NO</v>
      </c>
      <c r="AP82">
        <v>0</v>
      </c>
      <c r="AQ82" t="str">
        <f>IF(Table1[[#This Row],[Pimples(Y/N)]]=1,"YES","NO")</f>
        <v>NO</v>
      </c>
      <c r="AR82">
        <v>0</v>
      </c>
      <c r="AS82" t="str">
        <f>IF(Table1[[#This Row],[Fast food (Y/N)]]=1,"YES","NO")</f>
        <v>NO</v>
      </c>
      <c r="AT82">
        <v>0</v>
      </c>
      <c r="AU82" t="str">
        <f>IF(Table1[[#This Row],[Reg.Exercise(Y/N)]]=1,"YES","NO")</f>
        <v>NO</v>
      </c>
      <c r="AV82">
        <v>120</v>
      </c>
      <c r="AW82">
        <v>70</v>
      </c>
      <c r="AX82">
        <v>8</v>
      </c>
      <c r="AY82">
        <v>6</v>
      </c>
      <c r="AZ82">
        <v>13</v>
      </c>
      <c r="BA82">
        <v>15</v>
      </c>
      <c r="BB82">
        <v>8.5</v>
      </c>
      <c r="BC82" t="str" cm="1">
        <f t="array" ref="BC82">_xlfn.IFS((F82/(G82*G82)*10000)&lt; 18.5,"Underweight",(F82/(G82*G82)*10000)&lt;24.9,"Normal",(F82/(G82*G82)*10000)&lt;29.9,"Overweight",(F82/(G82*G82)*10000)&gt;=30,"obesity")</f>
        <v>Overweight</v>
      </c>
      <c r="BD82">
        <f>Table1[[#This Row],[Follicle No. (L)]]+Table1[[#This Row],[Follicle No. (R)]]</f>
        <v>14</v>
      </c>
      <c r="BE82">
        <f>Table1[[#This Row],[Avg. F size (L) (mm)]]+Table1[[#This Row],[Avg. F size (R) (mm)]]</f>
        <v>28</v>
      </c>
      <c r="BF82">
        <f>Table1[[#This Row],[BP _Diastolic (mmHg)]]+(Table1[[#This Row],[BP _Diastolic (mmHg)]]+Table1[[#This Row],[Follicle No. (L)]])/3</f>
        <v>96</v>
      </c>
      <c r="BG82" s="4" t="str" cm="1">
        <f t="array" ref="BG8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82" s="4">
        <f>SUM(Table1[[#This Row],[Pimples(Y/N)]],Table1[[#This Row],[hair growth(Y/N)]],Table1[[#This Row],[Skin darkening (Y/N)]],Table1[[#This Row],[Hair loss(Y/N)]])</f>
        <v>0</v>
      </c>
      <c r="BI82" s="4" t="str">
        <f>IF(AND(Table1[[#This Row],[Pregnant(Y/N)]]=0, Table1[[#This Row],[  I   beta-HCG(mIU/mL)]]&gt;5), "Investigation Required", "Clear")</f>
        <v>Clear</v>
      </c>
    </row>
    <row r="83" spans="1:61" ht="15.75" customHeight="1" x14ac:dyDescent="0.25">
      <c r="A83">
        <v>82</v>
      </c>
      <c r="B83">
        <v>82</v>
      </c>
      <c r="C83">
        <v>0</v>
      </c>
      <c r="D83" t="str">
        <f>IF(Table1[[#This Row],[PCOS (Y/N)]]=0,"NO","YES")</f>
        <v>NO</v>
      </c>
      <c r="E83">
        <v>34</v>
      </c>
      <c r="F83">
        <v>60</v>
      </c>
      <c r="G83">
        <v>162</v>
      </c>
      <c r="H83">
        <v>13</v>
      </c>
      <c r="I83">
        <v>72</v>
      </c>
      <c r="J83">
        <v>16</v>
      </c>
      <c r="K83">
        <v>12.5</v>
      </c>
      <c r="L83">
        <v>2</v>
      </c>
      <c r="M83">
        <v>5</v>
      </c>
      <c r="N83">
        <v>7</v>
      </c>
      <c r="O83">
        <v>1</v>
      </c>
      <c r="P83" t="str">
        <f>IF(Table1[[#This Row],[Pregnant(Y/N)]]=1,"YES","NO")</f>
        <v>YES</v>
      </c>
      <c r="Q83">
        <v>0</v>
      </c>
      <c r="R83">
        <v>255.02</v>
      </c>
      <c r="S83">
        <v>255.02</v>
      </c>
      <c r="T83">
        <v>3.39</v>
      </c>
      <c r="U83">
        <v>0.41</v>
      </c>
      <c r="V83">
        <f>Table1[[#This Row],[FSH(mIU/mL)]]/Table1[[#This Row],[LH(mIU/mL)]]</f>
        <v>8.2682926829268304</v>
      </c>
      <c r="W83" t="str">
        <f>IF(Table1[[#This Row],[FSH/LH]]&gt;=2,"Abnormal","Normal")</f>
        <v>Abnormal</v>
      </c>
      <c r="X83">
        <v>40</v>
      </c>
      <c r="Y83">
        <v>36</v>
      </c>
      <c r="Z83">
        <f>ROUND(Table1[[#This Row],[Waist(inch)]]/Table1[[#This Row],[Hip(inch)]],2)</f>
        <v>0.9</v>
      </c>
      <c r="AA83">
        <v>1.49</v>
      </c>
      <c r="AB83">
        <v>3.91</v>
      </c>
      <c r="AC83">
        <v>21.14</v>
      </c>
      <c r="AD83">
        <v>29.8</v>
      </c>
      <c r="AE83" t="str">
        <f>IF(Table1[[#This Row],[Vit D3 (ng/mL)]]&lt;20,"Deficiency","Normal")</f>
        <v>Normal</v>
      </c>
      <c r="AF83">
        <v>0.31</v>
      </c>
      <c r="AG83">
        <v>133</v>
      </c>
      <c r="AH83">
        <v>0</v>
      </c>
      <c r="AI83" t="str">
        <f>IF(Table1[[#This Row],[Weight gain(Y/N)]]=0,"NO","YES")</f>
        <v>NO</v>
      </c>
      <c r="AJ83">
        <v>0</v>
      </c>
      <c r="AK83" t="str">
        <f>IF(Table1[[#This Row],[hair growth(Y/N)]]=1,"YES","NO")</f>
        <v>NO</v>
      </c>
      <c r="AL83">
        <v>0</v>
      </c>
      <c r="AM83" t="str">
        <f>IF(Table1[[#This Row],[Skin darkening (Y/N)]]=1,"YES","NO")</f>
        <v>NO</v>
      </c>
      <c r="AN83">
        <v>0</v>
      </c>
      <c r="AO83" t="str">
        <f>IF(Table1[[#This Row],[Hair loss(Y/N)]]=1,"YES","NO")</f>
        <v>NO</v>
      </c>
      <c r="AP83">
        <v>0</v>
      </c>
      <c r="AQ83" t="str">
        <f>IF(Table1[[#This Row],[Pimples(Y/N)]]=1,"YES","NO")</f>
        <v>NO</v>
      </c>
      <c r="AR83">
        <v>0</v>
      </c>
      <c r="AS83" t="str">
        <f>IF(Table1[[#This Row],[Fast food (Y/N)]]=1,"YES","NO")</f>
        <v>NO</v>
      </c>
      <c r="AT83">
        <v>0</v>
      </c>
      <c r="AU83" t="str">
        <f>IF(Table1[[#This Row],[Reg.Exercise(Y/N)]]=1,"YES","NO")</f>
        <v>NO</v>
      </c>
      <c r="AV83">
        <v>120</v>
      </c>
      <c r="AW83">
        <v>80</v>
      </c>
      <c r="AX83">
        <v>8</v>
      </c>
      <c r="AY83">
        <v>6</v>
      </c>
      <c r="AZ83">
        <v>16</v>
      </c>
      <c r="BA83">
        <v>15</v>
      </c>
      <c r="BB83">
        <v>8.3000000000000007</v>
      </c>
      <c r="BC83" t="str" cm="1">
        <f t="array" ref="BC83">_xlfn.IFS((F83/(G83*G83)*10000)&lt; 18.5,"Underweight",(F83/(G83*G83)*10000)&lt;24.9,"Normal",(F83/(G83*G83)*10000)&lt;29.9,"Overweight",(F83/(G83*G83)*10000)&gt;=30,"obesity")</f>
        <v>Normal</v>
      </c>
      <c r="BD83">
        <f>Table1[[#This Row],[Follicle No. (L)]]+Table1[[#This Row],[Follicle No. (R)]]</f>
        <v>14</v>
      </c>
      <c r="BE83">
        <f>Table1[[#This Row],[Avg. F size (L) (mm)]]+Table1[[#This Row],[Avg. F size (R) (mm)]]</f>
        <v>31</v>
      </c>
      <c r="BF83">
        <f>Table1[[#This Row],[BP _Diastolic (mmHg)]]+(Table1[[#This Row],[BP _Diastolic (mmHg)]]+Table1[[#This Row],[Follicle No. (L)]])/3</f>
        <v>109.33333333333333</v>
      </c>
      <c r="BG83" s="4" t="str" cm="1">
        <f t="array" ref="BG8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83" s="4">
        <f>SUM(Table1[[#This Row],[Pimples(Y/N)]],Table1[[#This Row],[hair growth(Y/N)]],Table1[[#This Row],[Skin darkening (Y/N)]],Table1[[#This Row],[Hair loss(Y/N)]])</f>
        <v>0</v>
      </c>
      <c r="BI83" s="4" t="str">
        <f>IF(AND(Table1[[#This Row],[Pregnant(Y/N)]]=0, Table1[[#This Row],[  I   beta-HCG(mIU/mL)]]&gt;5), "Investigation Required", "Clear")</f>
        <v>Clear</v>
      </c>
    </row>
    <row r="84" spans="1:61" ht="15.75" customHeight="1" x14ac:dyDescent="0.25">
      <c r="A84">
        <v>83</v>
      </c>
      <c r="B84">
        <v>83</v>
      </c>
      <c r="C84">
        <v>0</v>
      </c>
      <c r="D84" t="str">
        <f>IF(Table1[[#This Row],[PCOS (Y/N)]]=0,"NO","YES")</f>
        <v>NO</v>
      </c>
      <c r="E84">
        <v>39</v>
      </c>
      <c r="F84">
        <v>52</v>
      </c>
      <c r="G84">
        <v>161</v>
      </c>
      <c r="H84">
        <v>11</v>
      </c>
      <c r="I84">
        <v>78</v>
      </c>
      <c r="J84">
        <v>20</v>
      </c>
      <c r="K84">
        <v>10.8</v>
      </c>
      <c r="L84">
        <v>2</v>
      </c>
      <c r="M84">
        <v>5</v>
      </c>
      <c r="N84">
        <v>9</v>
      </c>
      <c r="O84">
        <v>0</v>
      </c>
      <c r="P84" t="str">
        <f>IF(Table1[[#This Row],[Pregnant(Y/N)]]=1,"YES","NO")</f>
        <v>NO</v>
      </c>
      <c r="Q84">
        <v>0</v>
      </c>
      <c r="R84">
        <v>1.99</v>
      </c>
      <c r="S84">
        <v>1.99</v>
      </c>
      <c r="T84">
        <v>4.84</v>
      </c>
      <c r="U84">
        <v>7.58</v>
      </c>
      <c r="V84">
        <f>Table1[[#This Row],[FSH(mIU/mL)]]/Table1[[#This Row],[LH(mIU/mL)]]</f>
        <v>0.63852242744063326</v>
      </c>
      <c r="W84" t="str">
        <f>IF(Table1[[#This Row],[FSH/LH]]&gt;=2,"Abnormal","Normal")</f>
        <v>Normal</v>
      </c>
      <c r="X84">
        <v>39</v>
      </c>
      <c r="Y84">
        <v>35</v>
      </c>
      <c r="Z84">
        <f>ROUND(Table1[[#This Row],[Waist(inch)]]/Table1[[#This Row],[Hip(inch)]],2)</f>
        <v>0.9</v>
      </c>
      <c r="AA84">
        <v>3.63</v>
      </c>
      <c r="AB84">
        <v>5.42</v>
      </c>
      <c r="AC84">
        <v>8.18</v>
      </c>
      <c r="AD84">
        <v>21.3</v>
      </c>
      <c r="AE84" t="str">
        <f>IF(Table1[[#This Row],[Vit D3 (ng/mL)]]&lt;20,"Deficiency","Normal")</f>
        <v>Normal</v>
      </c>
      <c r="AF84">
        <v>0.36</v>
      </c>
      <c r="AG84">
        <v>91</v>
      </c>
      <c r="AH84">
        <v>0</v>
      </c>
      <c r="AI84" t="str">
        <f>IF(Table1[[#This Row],[Weight gain(Y/N)]]=0,"NO","YES")</f>
        <v>NO</v>
      </c>
      <c r="AJ84">
        <v>0</v>
      </c>
      <c r="AK84" t="str">
        <f>IF(Table1[[#This Row],[hair growth(Y/N)]]=1,"YES","NO")</f>
        <v>NO</v>
      </c>
      <c r="AL84">
        <v>0</v>
      </c>
      <c r="AM84" t="str">
        <f>IF(Table1[[#This Row],[Skin darkening (Y/N)]]=1,"YES","NO")</f>
        <v>NO</v>
      </c>
      <c r="AN84">
        <v>0</v>
      </c>
      <c r="AO84" t="str">
        <f>IF(Table1[[#This Row],[Hair loss(Y/N)]]=1,"YES","NO")</f>
        <v>NO</v>
      </c>
      <c r="AP84">
        <v>0</v>
      </c>
      <c r="AQ84" t="str">
        <f>IF(Table1[[#This Row],[Pimples(Y/N)]]=1,"YES","NO")</f>
        <v>NO</v>
      </c>
      <c r="AR84">
        <v>0</v>
      </c>
      <c r="AS84" t="str">
        <f>IF(Table1[[#This Row],[Fast food (Y/N)]]=1,"YES","NO")</f>
        <v>NO</v>
      </c>
      <c r="AT84">
        <v>0</v>
      </c>
      <c r="AU84" t="str">
        <f>IF(Table1[[#This Row],[Reg.Exercise(Y/N)]]=1,"YES","NO")</f>
        <v>NO</v>
      </c>
      <c r="AV84">
        <v>110</v>
      </c>
      <c r="AW84">
        <v>80</v>
      </c>
      <c r="AX84">
        <v>2</v>
      </c>
      <c r="AY84">
        <v>2</v>
      </c>
      <c r="AZ84">
        <v>15</v>
      </c>
      <c r="BA84">
        <v>17</v>
      </c>
      <c r="BB84">
        <v>0</v>
      </c>
      <c r="BC84" t="str" cm="1">
        <f t="array" ref="BC84">_xlfn.IFS((F84/(G84*G84)*10000)&lt; 18.5,"Underweight",(F84/(G84*G84)*10000)&lt;24.9,"Normal",(F84/(G84*G84)*10000)&lt;29.9,"Overweight",(F84/(G84*G84)*10000)&gt;=30,"obesity")</f>
        <v>Normal</v>
      </c>
      <c r="BD84">
        <f>Table1[[#This Row],[Follicle No. (L)]]+Table1[[#This Row],[Follicle No. (R)]]</f>
        <v>4</v>
      </c>
      <c r="BE84">
        <f>Table1[[#This Row],[Avg. F size (L) (mm)]]+Table1[[#This Row],[Avg. F size (R) (mm)]]</f>
        <v>32</v>
      </c>
      <c r="BF84">
        <f>Table1[[#This Row],[BP _Diastolic (mmHg)]]+(Table1[[#This Row],[BP _Diastolic (mmHg)]]+Table1[[#This Row],[Follicle No. (L)]])/3</f>
        <v>107.33333333333333</v>
      </c>
      <c r="BG84" s="4" t="str" cm="1">
        <f t="array" ref="BG8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84" s="4">
        <f>SUM(Table1[[#This Row],[Pimples(Y/N)]],Table1[[#This Row],[hair growth(Y/N)]],Table1[[#This Row],[Skin darkening (Y/N)]],Table1[[#This Row],[Hair loss(Y/N)]])</f>
        <v>0</v>
      </c>
      <c r="BI84" s="4" t="str">
        <f>IF(AND(Table1[[#This Row],[Pregnant(Y/N)]]=0, Table1[[#This Row],[  I   beta-HCG(mIU/mL)]]&gt;5), "Investigation Required", "Clear")</f>
        <v>Clear</v>
      </c>
    </row>
    <row r="85" spans="1:61" ht="15.75" customHeight="1" x14ac:dyDescent="0.25">
      <c r="A85">
        <v>84</v>
      </c>
      <c r="B85">
        <v>84</v>
      </c>
      <c r="C85">
        <v>0</v>
      </c>
      <c r="D85" t="str">
        <f>IF(Table1[[#This Row],[PCOS (Y/N)]]=0,"NO","YES")</f>
        <v>NO</v>
      </c>
      <c r="E85">
        <v>35</v>
      </c>
      <c r="F85">
        <v>43.7</v>
      </c>
      <c r="G85">
        <v>146</v>
      </c>
      <c r="H85">
        <v>11</v>
      </c>
      <c r="I85">
        <v>72</v>
      </c>
      <c r="J85">
        <v>20</v>
      </c>
      <c r="K85">
        <v>10.4</v>
      </c>
      <c r="L85">
        <v>2</v>
      </c>
      <c r="M85">
        <v>5</v>
      </c>
      <c r="N85">
        <v>8</v>
      </c>
      <c r="O85">
        <v>0</v>
      </c>
      <c r="P85" t="str">
        <f>IF(Table1[[#This Row],[Pregnant(Y/N)]]=1,"YES","NO")</f>
        <v>NO</v>
      </c>
      <c r="Q85">
        <v>0</v>
      </c>
      <c r="R85">
        <v>1.99</v>
      </c>
      <c r="S85">
        <v>1.99</v>
      </c>
      <c r="T85">
        <v>6.36</v>
      </c>
      <c r="U85">
        <v>1.94</v>
      </c>
      <c r="V85">
        <f>Table1[[#This Row],[FSH(mIU/mL)]]/Table1[[#This Row],[LH(mIU/mL)]]</f>
        <v>3.2783505154639179</v>
      </c>
      <c r="W85" t="str">
        <f>IF(Table1[[#This Row],[FSH/LH]]&gt;=2,"Abnormal","Normal")</f>
        <v>Abnormal</v>
      </c>
      <c r="X85">
        <v>40</v>
      </c>
      <c r="Y85">
        <v>34</v>
      </c>
      <c r="Z85">
        <f>ROUND(Table1[[#This Row],[Waist(inch)]]/Table1[[#This Row],[Hip(inch)]],2)</f>
        <v>0.85</v>
      </c>
      <c r="AA85">
        <v>0.6</v>
      </c>
      <c r="AB85">
        <v>1.65</v>
      </c>
      <c r="AC85">
        <v>20.260000000000002</v>
      </c>
      <c r="AD85">
        <v>38.200000000000003</v>
      </c>
      <c r="AE85" t="str">
        <f>IF(Table1[[#This Row],[Vit D3 (ng/mL)]]&lt;20,"Deficiency","Normal")</f>
        <v>Normal</v>
      </c>
      <c r="AF85">
        <v>0.26</v>
      </c>
      <c r="AG85">
        <v>108</v>
      </c>
      <c r="AH85">
        <v>0</v>
      </c>
      <c r="AI85" t="str">
        <f>IF(Table1[[#This Row],[Weight gain(Y/N)]]=0,"NO","YES")</f>
        <v>NO</v>
      </c>
      <c r="AJ85">
        <v>0</v>
      </c>
      <c r="AK85" t="str">
        <f>IF(Table1[[#This Row],[hair growth(Y/N)]]=1,"YES","NO")</f>
        <v>NO</v>
      </c>
      <c r="AL85">
        <v>0</v>
      </c>
      <c r="AM85" t="str">
        <f>IF(Table1[[#This Row],[Skin darkening (Y/N)]]=1,"YES","NO")</f>
        <v>NO</v>
      </c>
      <c r="AN85">
        <v>0</v>
      </c>
      <c r="AO85" t="str">
        <f>IF(Table1[[#This Row],[Hair loss(Y/N)]]=1,"YES","NO")</f>
        <v>NO</v>
      </c>
      <c r="AP85">
        <v>0</v>
      </c>
      <c r="AQ85" t="str">
        <f>IF(Table1[[#This Row],[Pimples(Y/N)]]=1,"YES","NO")</f>
        <v>NO</v>
      </c>
      <c r="AR85">
        <v>0</v>
      </c>
      <c r="AS85" t="str">
        <f>IF(Table1[[#This Row],[Fast food (Y/N)]]=1,"YES","NO")</f>
        <v>NO</v>
      </c>
      <c r="AT85">
        <v>0</v>
      </c>
      <c r="AU85" t="str">
        <f>IF(Table1[[#This Row],[Reg.Exercise(Y/N)]]=1,"YES","NO")</f>
        <v>NO</v>
      </c>
      <c r="AV85">
        <v>120</v>
      </c>
      <c r="AW85">
        <v>80</v>
      </c>
      <c r="AX85">
        <v>2</v>
      </c>
      <c r="AY85">
        <v>6</v>
      </c>
      <c r="AZ85">
        <v>14</v>
      </c>
      <c r="BA85">
        <v>18</v>
      </c>
      <c r="BB85">
        <v>6</v>
      </c>
      <c r="BC85" t="str" cm="1">
        <f t="array" ref="BC85">_xlfn.IFS((F85/(G85*G85)*10000)&lt; 18.5,"Underweight",(F85/(G85*G85)*10000)&lt;24.9,"Normal",(F85/(G85*G85)*10000)&lt;29.9,"Overweight",(F85/(G85*G85)*10000)&gt;=30,"obesity")</f>
        <v>Normal</v>
      </c>
      <c r="BD85">
        <f>Table1[[#This Row],[Follicle No. (L)]]+Table1[[#This Row],[Follicle No. (R)]]</f>
        <v>8</v>
      </c>
      <c r="BE85">
        <f>Table1[[#This Row],[Avg. F size (L) (mm)]]+Table1[[#This Row],[Avg. F size (R) (mm)]]</f>
        <v>32</v>
      </c>
      <c r="BF85">
        <f>Table1[[#This Row],[BP _Diastolic (mmHg)]]+(Table1[[#This Row],[BP _Diastolic (mmHg)]]+Table1[[#This Row],[Follicle No. (L)]])/3</f>
        <v>107.33333333333333</v>
      </c>
      <c r="BG85" s="4" t="str" cm="1">
        <f t="array" ref="BG8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85" s="4">
        <f>SUM(Table1[[#This Row],[Pimples(Y/N)]],Table1[[#This Row],[hair growth(Y/N)]],Table1[[#This Row],[Skin darkening (Y/N)]],Table1[[#This Row],[Hair loss(Y/N)]])</f>
        <v>0</v>
      </c>
      <c r="BI85" s="4" t="str">
        <f>IF(AND(Table1[[#This Row],[Pregnant(Y/N)]]=0, Table1[[#This Row],[  I   beta-HCG(mIU/mL)]]&gt;5), "Investigation Required", "Clear")</f>
        <v>Clear</v>
      </c>
    </row>
    <row r="86" spans="1:61" ht="15.75" customHeight="1" x14ac:dyDescent="0.25">
      <c r="A86">
        <v>85</v>
      </c>
      <c r="B86">
        <v>85</v>
      </c>
      <c r="C86">
        <v>0</v>
      </c>
      <c r="D86" t="str">
        <f>IF(Table1[[#This Row],[PCOS (Y/N)]]=0,"NO","YES")</f>
        <v>NO</v>
      </c>
      <c r="E86">
        <v>34</v>
      </c>
      <c r="F86">
        <v>60</v>
      </c>
      <c r="G86">
        <v>156</v>
      </c>
      <c r="H86">
        <v>14</v>
      </c>
      <c r="I86">
        <v>74</v>
      </c>
      <c r="J86">
        <v>20</v>
      </c>
      <c r="K86">
        <v>12.5</v>
      </c>
      <c r="L86">
        <v>2</v>
      </c>
      <c r="M86">
        <v>5</v>
      </c>
      <c r="N86">
        <v>7</v>
      </c>
      <c r="O86">
        <v>0</v>
      </c>
      <c r="P86" t="str">
        <f>IF(Table1[[#This Row],[Pregnant(Y/N)]]=1,"YES","NO")</f>
        <v>NO</v>
      </c>
      <c r="Q86">
        <v>0</v>
      </c>
      <c r="R86">
        <v>1.99</v>
      </c>
      <c r="S86">
        <v>1.99</v>
      </c>
      <c r="T86">
        <v>6.54</v>
      </c>
      <c r="U86">
        <v>2.19</v>
      </c>
      <c r="V86">
        <f>Table1[[#This Row],[FSH(mIU/mL)]]/Table1[[#This Row],[LH(mIU/mL)]]</f>
        <v>2.9863013698630136</v>
      </c>
      <c r="W86" t="str">
        <f>IF(Table1[[#This Row],[FSH/LH]]&gt;=2,"Abnormal","Normal")</f>
        <v>Abnormal</v>
      </c>
      <c r="X86">
        <v>39</v>
      </c>
      <c r="Y86">
        <v>32</v>
      </c>
      <c r="Z86">
        <f>ROUND(Table1[[#This Row],[Waist(inch)]]/Table1[[#This Row],[Hip(inch)]],2)</f>
        <v>0.82</v>
      </c>
      <c r="AA86">
        <v>4.24</v>
      </c>
      <c r="AB86">
        <v>2.06</v>
      </c>
      <c r="AC86">
        <v>22.13</v>
      </c>
      <c r="AD86">
        <v>37.1</v>
      </c>
      <c r="AE86" t="str">
        <f>IF(Table1[[#This Row],[Vit D3 (ng/mL)]]&lt;20,"Deficiency","Normal")</f>
        <v>Normal</v>
      </c>
      <c r="AF86">
        <v>0.26</v>
      </c>
      <c r="AG86">
        <v>133</v>
      </c>
      <c r="AH86">
        <v>0</v>
      </c>
      <c r="AI86" t="str">
        <f>IF(Table1[[#This Row],[Weight gain(Y/N)]]=0,"NO","YES")</f>
        <v>NO</v>
      </c>
      <c r="AJ86">
        <v>0</v>
      </c>
      <c r="AK86" t="str">
        <f>IF(Table1[[#This Row],[hair growth(Y/N)]]=1,"YES","NO")</f>
        <v>NO</v>
      </c>
      <c r="AL86">
        <v>0</v>
      </c>
      <c r="AM86" t="str">
        <f>IF(Table1[[#This Row],[Skin darkening (Y/N)]]=1,"YES","NO")</f>
        <v>NO</v>
      </c>
      <c r="AN86">
        <v>0</v>
      </c>
      <c r="AO86" t="str">
        <f>IF(Table1[[#This Row],[Hair loss(Y/N)]]=1,"YES","NO")</f>
        <v>NO</v>
      </c>
      <c r="AP86">
        <v>0</v>
      </c>
      <c r="AQ86" t="str">
        <f>IF(Table1[[#This Row],[Pimples(Y/N)]]=1,"YES","NO")</f>
        <v>NO</v>
      </c>
      <c r="AR86">
        <v>0</v>
      </c>
      <c r="AS86" t="str">
        <f>IF(Table1[[#This Row],[Fast food (Y/N)]]=1,"YES","NO")</f>
        <v>NO</v>
      </c>
      <c r="AT86">
        <v>0</v>
      </c>
      <c r="AU86" t="str">
        <f>IF(Table1[[#This Row],[Reg.Exercise(Y/N)]]=1,"YES","NO")</f>
        <v>NO</v>
      </c>
      <c r="AV86">
        <v>120</v>
      </c>
      <c r="AW86">
        <v>70</v>
      </c>
      <c r="AX86">
        <v>2</v>
      </c>
      <c r="AY86">
        <v>2</v>
      </c>
      <c r="AZ86">
        <v>13</v>
      </c>
      <c r="BA86">
        <v>15</v>
      </c>
      <c r="BB86">
        <v>10</v>
      </c>
      <c r="BC86" t="str" cm="1">
        <f t="array" ref="BC86">_xlfn.IFS((F86/(G86*G86)*10000)&lt; 18.5,"Underweight",(F86/(G86*G86)*10000)&lt;24.9,"Normal",(F86/(G86*G86)*10000)&lt;29.9,"Overweight",(F86/(G86*G86)*10000)&gt;=30,"obesity")</f>
        <v>Normal</v>
      </c>
      <c r="BD86">
        <f>Table1[[#This Row],[Follicle No. (L)]]+Table1[[#This Row],[Follicle No. (R)]]</f>
        <v>4</v>
      </c>
      <c r="BE86">
        <f>Table1[[#This Row],[Avg. F size (L) (mm)]]+Table1[[#This Row],[Avg. F size (R) (mm)]]</f>
        <v>28</v>
      </c>
      <c r="BF86">
        <f>Table1[[#This Row],[BP _Diastolic (mmHg)]]+(Table1[[#This Row],[BP _Diastolic (mmHg)]]+Table1[[#This Row],[Follicle No. (L)]])/3</f>
        <v>94</v>
      </c>
      <c r="BG86" s="4" t="str" cm="1">
        <f t="array" ref="BG8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86" s="4">
        <f>SUM(Table1[[#This Row],[Pimples(Y/N)]],Table1[[#This Row],[hair growth(Y/N)]],Table1[[#This Row],[Skin darkening (Y/N)]],Table1[[#This Row],[Hair loss(Y/N)]])</f>
        <v>0</v>
      </c>
      <c r="BI86" s="4" t="str">
        <f>IF(AND(Table1[[#This Row],[Pregnant(Y/N)]]=0, Table1[[#This Row],[  I   beta-HCG(mIU/mL)]]&gt;5), "Investigation Required", "Clear")</f>
        <v>Clear</v>
      </c>
    </row>
    <row r="87" spans="1:61" ht="15.75" customHeight="1" x14ac:dyDescent="0.25">
      <c r="A87">
        <v>86</v>
      </c>
      <c r="B87">
        <v>86</v>
      </c>
      <c r="C87">
        <v>0</v>
      </c>
      <c r="D87" t="str">
        <f>IF(Table1[[#This Row],[PCOS (Y/N)]]=0,"NO","YES")</f>
        <v>NO</v>
      </c>
      <c r="E87">
        <v>27</v>
      </c>
      <c r="F87">
        <v>61.6</v>
      </c>
      <c r="G87">
        <v>153</v>
      </c>
      <c r="H87">
        <v>15</v>
      </c>
      <c r="I87">
        <v>70</v>
      </c>
      <c r="J87">
        <v>18</v>
      </c>
      <c r="K87">
        <v>11.2</v>
      </c>
      <c r="L87">
        <v>2</v>
      </c>
      <c r="M87">
        <v>5</v>
      </c>
      <c r="N87">
        <v>7</v>
      </c>
      <c r="O87">
        <v>1</v>
      </c>
      <c r="P87" t="str">
        <f>IF(Table1[[#This Row],[Pregnant(Y/N)]]=1,"YES","NO")</f>
        <v>YES</v>
      </c>
      <c r="Q87">
        <v>0</v>
      </c>
      <c r="R87">
        <v>273.7</v>
      </c>
      <c r="S87">
        <v>273.7</v>
      </c>
      <c r="T87">
        <v>3.59</v>
      </c>
      <c r="U87">
        <v>1.07</v>
      </c>
      <c r="V87">
        <f>Table1[[#This Row],[FSH(mIU/mL)]]/Table1[[#This Row],[LH(mIU/mL)]]</f>
        <v>3.3551401869158877</v>
      </c>
      <c r="W87" t="str">
        <f>IF(Table1[[#This Row],[FSH/LH]]&gt;=2,"Abnormal","Normal")</f>
        <v>Abnormal</v>
      </c>
      <c r="X87">
        <v>41</v>
      </c>
      <c r="Y87">
        <v>36</v>
      </c>
      <c r="Z87">
        <f>ROUND(Table1[[#This Row],[Waist(inch)]]/Table1[[#This Row],[Hip(inch)]],2)</f>
        <v>0.88</v>
      </c>
      <c r="AA87">
        <v>1.47</v>
      </c>
      <c r="AB87">
        <v>1.81</v>
      </c>
      <c r="AC87">
        <v>20.37</v>
      </c>
      <c r="AD87">
        <v>28.5</v>
      </c>
      <c r="AE87" t="str">
        <f>IF(Table1[[#This Row],[Vit D3 (ng/mL)]]&lt;20,"Deficiency","Normal")</f>
        <v>Normal</v>
      </c>
      <c r="AF87">
        <v>0.3</v>
      </c>
      <c r="AG87">
        <v>91</v>
      </c>
      <c r="AH87">
        <v>0</v>
      </c>
      <c r="AI87" t="str">
        <f>IF(Table1[[#This Row],[Weight gain(Y/N)]]=0,"NO","YES")</f>
        <v>NO</v>
      </c>
      <c r="AJ87">
        <v>0</v>
      </c>
      <c r="AK87" t="str">
        <f>IF(Table1[[#This Row],[hair growth(Y/N)]]=1,"YES","NO")</f>
        <v>NO</v>
      </c>
      <c r="AL87">
        <v>0</v>
      </c>
      <c r="AM87" t="str">
        <f>IF(Table1[[#This Row],[Skin darkening (Y/N)]]=1,"YES","NO")</f>
        <v>NO</v>
      </c>
      <c r="AN87">
        <v>0</v>
      </c>
      <c r="AO87" t="str">
        <f>IF(Table1[[#This Row],[Hair loss(Y/N)]]=1,"YES","NO")</f>
        <v>NO</v>
      </c>
      <c r="AP87">
        <v>0</v>
      </c>
      <c r="AQ87" t="str">
        <f>IF(Table1[[#This Row],[Pimples(Y/N)]]=1,"YES","NO")</f>
        <v>NO</v>
      </c>
      <c r="AR87">
        <v>0</v>
      </c>
      <c r="AS87" t="str">
        <f>IF(Table1[[#This Row],[Fast food (Y/N)]]=1,"YES","NO")</f>
        <v>NO</v>
      </c>
      <c r="AT87">
        <v>0</v>
      </c>
      <c r="AU87" t="str">
        <f>IF(Table1[[#This Row],[Reg.Exercise(Y/N)]]=1,"YES","NO")</f>
        <v>NO</v>
      </c>
      <c r="AV87">
        <v>120</v>
      </c>
      <c r="AW87">
        <v>80</v>
      </c>
      <c r="AX87">
        <v>4</v>
      </c>
      <c r="AY87">
        <v>4</v>
      </c>
      <c r="AZ87">
        <v>16</v>
      </c>
      <c r="BA87">
        <v>13</v>
      </c>
      <c r="BB87">
        <v>12</v>
      </c>
      <c r="BC87" t="str" cm="1">
        <f t="array" ref="BC87">_xlfn.IFS((F87/(G87*G87)*10000)&lt; 18.5,"Underweight",(F87/(G87*G87)*10000)&lt;24.9,"Normal",(F87/(G87*G87)*10000)&lt;29.9,"Overweight",(F87/(G87*G87)*10000)&gt;=30,"obesity")</f>
        <v>Overweight</v>
      </c>
      <c r="BD87">
        <f>Table1[[#This Row],[Follicle No. (L)]]+Table1[[#This Row],[Follicle No. (R)]]</f>
        <v>8</v>
      </c>
      <c r="BE87">
        <f>Table1[[#This Row],[Avg. F size (L) (mm)]]+Table1[[#This Row],[Avg. F size (R) (mm)]]</f>
        <v>29</v>
      </c>
      <c r="BF87">
        <f>Table1[[#This Row],[BP _Diastolic (mmHg)]]+(Table1[[#This Row],[BP _Diastolic (mmHg)]]+Table1[[#This Row],[Follicle No. (L)]])/3</f>
        <v>108</v>
      </c>
      <c r="BG87" s="4" t="str" cm="1">
        <f t="array" ref="BG8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87" s="4">
        <f>SUM(Table1[[#This Row],[Pimples(Y/N)]],Table1[[#This Row],[hair growth(Y/N)]],Table1[[#This Row],[Skin darkening (Y/N)]],Table1[[#This Row],[Hair loss(Y/N)]])</f>
        <v>0</v>
      </c>
      <c r="BI87" s="4" t="str">
        <f>IF(AND(Table1[[#This Row],[Pregnant(Y/N)]]=0, Table1[[#This Row],[  I   beta-HCG(mIU/mL)]]&gt;5), "Investigation Required", "Clear")</f>
        <v>Clear</v>
      </c>
    </row>
    <row r="88" spans="1:61" ht="15.75" customHeight="1" x14ac:dyDescent="0.25">
      <c r="A88">
        <v>87</v>
      </c>
      <c r="B88">
        <v>87</v>
      </c>
      <c r="C88">
        <v>0</v>
      </c>
      <c r="D88" t="str">
        <f>IF(Table1[[#This Row],[PCOS (Y/N)]]=0,"NO","YES")</f>
        <v>NO</v>
      </c>
      <c r="E88">
        <v>31</v>
      </c>
      <c r="F88">
        <v>64</v>
      </c>
      <c r="G88">
        <v>156</v>
      </c>
      <c r="H88">
        <v>15</v>
      </c>
      <c r="I88">
        <v>74</v>
      </c>
      <c r="J88">
        <v>18</v>
      </c>
      <c r="K88">
        <v>12.1</v>
      </c>
      <c r="L88">
        <v>4</v>
      </c>
      <c r="M88">
        <v>9</v>
      </c>
      <c r="N88">
        <v>5</v>
      </c>
      <c r="O88">
        <v>0</v>
      </c>
      <c r="P88" t="str">
        <f>IF(Table1[[#This Row],[Pregnant(Y/N)]]=1,"YES","NO")</f>
        <v>NO</v>
      </c>
      <c r="Q88">
        <v>0</v>
      </c>
      <c r="R88">
        <v>1.99</v>
      </c>
      <c r="S88">
        <v>1.99</v>
      </c>
      <c r="T88">
        <v>2.34</v>
      </c>
      <c r="U88">
        <v>0.39</v>
      </c>
      <c r="V88">
        <f>Table1[[#This Row],[FSH(mIU/mL)]]/Table1[[#This Row],[LH(mIU/mL)]]</f>
        <v>5.9999999999999991</v>
      </c>
      <c r="W88" t="str">
        <f>IF(Table1[[#This Row],[FSH/LH]]&gt;=2,"Abnormal","Normal")</f>
        <v>Abnormal</v>
      </c>
      <c r="X88">
        <v>42</v>
      </c>
      <c r="Y88">
        <v>36</v>
      </c>
      <c r="Z88">
        <f>ROUND(Table1[[#This Row],[Waist(inch)]]/Table1[[#This Row],[Hip(inch)]],2)</f>
        <v>0.86</v>
      </c>
      <c r="AA88">
        <v>2.7</v>
      </c>
      <c r="AB88">
        <v>3.81</v>
      </c>
      <c r="AC88">
        <v>22.52</v>
      </c>
      <c r="AD88">
        <v>29.8</v>
      </c>
      <c r="AE88" t="str">
        <f>IF(Table1[[#This Row],[Vit D3 (ng/mL)]]&lt;20,"Deficiency","Normal")</f>
        <v>Normal</v>
      </c>
      <c r="AF88">
        <v>0.3</v>
      </c>
      <c r="AG88">
        <v>84</v>
      </c>
      <c r="AH88">
        <v>0</v>
      </c>
      <c r="AI88" t="str">
        <f>IF(Table1[[#This Row],[Weight gain(Y/N)]]=0,"NO","YES")</f>
        <v>NO</v>
      </c>
      <c r="AJ88">
        <v>0</v>
      </c>
      <c r="AK88" t="str">
        <f>IF(Table1[[#This Row],[hair growth(Y/N)]]=1,"YES","NO")</f>
        <v>NO</v>
      </c>
      <c r="AL88">
        <v>0</v>
      </c>
      <c r="AM88" t="str">
        <f>IF(Table1[[#This Row],[Skin darkening (Y/N)]]=1,"YES","NO")</f>
        <v>NO</v>
      </c>
      <c r="AN88">
        <v>0</v>
      </c>
      <c r="AO88" t="str">
        <f>IF(Table1[[#This Row],[Hair loss(Y/N)]]=1,"YES","NO")</f>
        <v>NO</v>
      </c>
      <c r="AP88">
        <v>0</v>
      </c>
      <c r="AQ88" t="str">
        <f>IF(Table1[[#This Row],[Pimples(Y/N)]]=1,"YES","NO")</f>
        <v>NO</v>
      </c>
      <c r="AR88">
        <v>0</v>
      </c>
      <c r="AS88" t="str">
        <f>IF(Table1[[#This Row],[Fast food (Y/N)]]=1,"YES","NO")</f>
        <v>NO</v>
      </c>
      <c r="AT88">
        <v>0</v>
      </c>
      <c r="AU88" t="str">
        <f>IF(Table1[[#This Row],[Reg.Exercise(Y/N)]]=1,"YES","NO")</f>
        <v>NO</v>
      </c>
      <c r="AV88">
        <v>120</v>
      </c>
      <c r="AW88">
        <v>80</v>
      </c>
      <c r="AX88">
        <v>8</v>
      </c>
      <c r="AY88">
        <v>10</v>
      </c>
      <c r="AZ88">
        <v>15</v>
      </c>
      <c r="BA88">
        <v>13</v>
      </c>
      <c r="BB88">
        <v>10</v>
      </c>
      <c r="BC88" t="str" cm="1">
        <f t="array" ref="BC88">_xlfn.IFS((F88/(G88*G88)*10000)&lt; 18.5,"Underweight",(F88/(G88*G88)*10000)&lt;24.9,"Normal",(F88/(G88*G88)*10000)&lt;29.9,"Overweight",(F88/(G88*G88)*10000)&gt;=30,"obesity")</f>
        <v>Overweight</v>
      </c>
      <c r="BD88">
        <f>Table1[[#This Row],[Follicle No. (L)]]+Table1[[#This Row],[Follicle No. (R)]]</f>
        <v>18</v>
      </c>
      <c r="BE88">
        <f>Table1[[#This Row],[Avg. F size (L) (mm)]]+Table1[[#This Row],[Avg. F size (R) (mm)]]</f>
        <v>28</v>
      </c>
      <c r="BF88">
        <f>Table1[[#This Row],[BP _Diastolic (mmHg)]]+(Table1[[#This Row],[BP _Diastolic (mmHg)]]+Table1[[#This Row],[Follicle No. (L)]])/3</f>
        <v>109.33333333333333</v>
      </c>
      <c r="BG88" s="4" t="str" cm="1">
        <f t="array" ref="BG8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88" s="4">
        <f>SUM(Table1[[#This Row],[Pimples(Y/N)]],Table1[[#This Row],[hair growth(Y/N)]],Table1[[#This Row],[Skin darkening (Y/N)]],Table1[[#This Row],[Hair loss(Y/N)]])</f>
        <v>0</v>
      </c>
      <c r="BI88" s="4" t="str">
        <f>IF(AND(Table1[[#This Row],[Pregnant(Y/N)]]=0, Table1[[#This Row],[  I   beta-HCG(mIU/mL)]]&gt;5), "Investigation Required", "Clear")</f>
        <v>Clear</v>
      </c>
    </row>
    <row r="89" spans="1:61" ht="15.75" customHeight="1" x14ac:dyDescent="0.25">
      <c r="A89">
        <v>88</v>
      </c>
      <c r="B89">
        <v>88</v>
      </c>
      <c r="C89">
        <v>0</v>
      </c>
      <c r="D89" t="str">
        <f>IF(Table1[[#This Row],[PCOS (Y/N)]]=0,"NO","YES")</f>
        <v>NO</v>
      </c>
      <c r="E89">
        <v>40</v>
      </c>
      <c r="F89">
        <v>56</v>
      </c>
      <c r="G89">
        <v>156</v>
      </c>
      <c r="H89">
        <v>11</v>
      </c>
      <c r="I89">
        <v>80</v>
      </c>
      <c r="J89">
        <v>20</v>
      </c>
      <c r="K89">
        <v>10.3</v>
      </c>
      <c r="L89">
        <v>2</v>
      </c>
      <c r="M89">
        <v>5</v>
      </c>
      <c r="N89">
        <v>8</v>
      </c>
      <c r="O89">
        <v>1</v>
      </c>
      <c r="P89" t="str">
        <f>IF(Table1[[#This Row],[Pregnant(Y/N)]]=1,"YES","NO")</f>
        <v>YES</v>
      </c>
      <c r="Q89">
        <v>0</v>
      </c>
      <c r="R89">
        <v>162.05000000000001</v>
      </c>
      <c r="S89">
        <v>1.99</v>
      </c>
      <c r="T89">
        <v>1</v>
      </c>
      <c r="U89">
        <v>0.02</v>
      </c>
      <c r="V89">
        <f>Table1[[#This Row],[FSH(mIU/mL)]]/Table1[[#This Row],[LH(mIU/mL)]]</f>
        <v>50</v>
      </c>
      <c r="W89" t="str">
        <f>IF(Table1[[#This Row],[FSH/LH]]&gt;=2,"Abnormal","Normal")</f>
        <v>Abnormal</v>
      </c>
      <c r="X89">
        <v>38</v>
      </c>
      <c r="Y89">
        <v>34</v>
      </c>
      <c r="Z89">
        <f>ROUND(Table1[[#This Row],[Waist(inch)]]/Table1[[#This Row],[Hip(inch)]],2)</f>
        <v>0.89</v>
      </c>
      <c r="AA89">
        <v>1.52</v>
      </c>
      <c r="AB89">
        <v>2.2599999999999998</v>
      </c>
      <c r="AC89">
        <v>28.08</v>
      </c>
      <c r="AD89">
        <v>55.9</v>
      </c>
      <c r="AE89" t="str">
        <f>IF(Table1[[#This Row],[Vit D3 (ng/mL)]]&lt;20,"Deficiency","Normal")</f>
        <v>Normal</v>
      </c>
      <c r="AF89">
        <v>0.75</v>
      </c>
      <c r="AG89">
        <v>125</v>
      </c>
      <c r="AH89">
        <v>0</v>
      </c>
      <c r="AI89" t="str">
        <f>IF(Table1[[#This Row],[Weight gain(Y/N)]]=0,"NO","YES")</f>
        <v>NO</v>
      </c>
      <c r="AJ89">
        <v>0</v>
      </c>
      <c r="AK89" t="str">
        <f>IF(Table1[[#This Row],[hair growth(Y/N)]]=1,"YES","NO")</f>
        <v>NO</v>
      </c>
      <c r="AL89">
        <v>0</v>
      </c>
      <c r="AM89" t="str">
        <f>IF(Table1[[#This Row],[Skin darkening (Y/N)]]=1,"YES","NO")</f>
        <v>NO</v>
      </c>
      <c r="AN89">
        <v>0</v>
      </c>
      <c r="AO89" t="str">
        <f>IF(Table1[[#This Row],[Hair loss(Y/N)]]=1,"YES","NO")</f>
        <v>NO</v>
      </c>
      <c r="AP89">
        <v>0</v>
      </c>
      <c r="AQ89" t="str">
        <f>IF(Table1[[#This Row],[Pimples(Y/N)]]=1,"YES","NO")</f>
        <v>NO</v>
      </c>
      <c r="AR89">
        <v>0</v>
      </c>
      <c r="AS89" t="str">
        <f>IF(Table1[[#This Row],[Fast food (Y/N)]]=1,"YES","NO")</f>
        <v>NO</v>
      </c>
      <c r="AT89">
        <v>0</v>
      </c>
      <c r="AU89" t="str">
        <f>IF(Table1[[#This Row],[Reg.Exercise(Y/N)]]=1,"YES","NO")</f>
        <v>NO</v>
      </c>
      <c r="AV89">
        <v>120</v>
      </c>
      <c r="AW89">
        <v>70</v>
      </c>
      <c r="AX89">
        <v>11</v>
      </c>
      <c r="AY89">
        <v>9</v>
      </c>
      <c r="AZ89">
        <v>17</v>
      </c>
      <c r="BA89">
        <v>18</v>
      </c>
      <c r="BB89">
        <v>4.5999999999999996</v>
      </c>
      <c r="BC89" t="str" cm="1">
        <f t="array" ref="BC89">_xlfn.IFS((F89/(G89*G89)*10000)&lt; 18.5,"Underweight",(F89/(G89*G89)*10000)&lt;24.9,"Normal",(F89/(G89*G89)*10000)&lt;29.9,"Overweight",(F89/(G89*G89)*10000)&gt;=30,"obesity")</f>
        <v>Normal</v>
      </c>
      <c r="BD89">
        <f>Table1[[#This Row],[Follicle No. (L)]]+Table1[[#This Row],[Follicle No. (R)]]</f>
        <v>20</v>
      </c>
      <c r="BE89">
        <f>Table1[[#This Row],[Avg. F size (L) (mm)]]+Table1[[#This Row],[Avg. F size (R) (mm)]]</f>
        <v>35</v>
      </c>
      <c r="BF89">
        <f>Table1[[#This Row],[BP _Diastolic (mmHg)]]+(Table1[[#This Row],[BP _Diastolic (mmHg)]]+Table1[[#This Row],[Follicle No. (L)]])/3</f>
        <v>97</v>
      </c>
      <c r="BG89" s="4" t="str" cm="1">
        <f t="array" ref="BG8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89" s="4">
        <f>SUM(Table1[[#This Row],[Pimples(Y/N)]],Table1[[#This Row],[hair growth(Y/N)]],Table1[[#This Row],[Skin darkening (Y/N)]],Table1[[#This Row],[Hair loss(Y/N)]])</f>
        <v>0</v>
      </c>
      <c r="BI89" s="4" t="str">
        <f>IF(AND(Table1[[#This Row],[Pregnant(Y/N)]]=0, Table1[[#This Row],[  I   beta-HCG(mIU/mL)]]&gt;5), "Investigation Required", "Clear")</f>
        <v>Clear</v>
      </c>
    </row>
    <row r="90" spans="1:61" ht="15.75" customHeight="1" x14ac:dyDescent="0.25">
      <c r="A90">
        <v>89</v>
      </c>
      <c r="B90">
        <v>89</v>
      </c>
      <c r="C90">
        <v>1</v>
      </c>
      <c r="D90" t="str">
        <f>IF(Table1[[#This Row],[PCOS (Y/N)]]=0,"NO","YES")</f>
        <v>YES</v>
      </c>
      <c r="E90">
        <v>22</v>
      </c>
      <c r="F90">
        <v>69.5</v>
      </c>
      <c r="G90">
        <v>168</v>
      </c>
      <c r="H90">
        <v>13</v>
      </c>
      <c r="I90">
        <v>74</v>
      </c>
      <c r="J90">
        <v>20</v>
      </c>
      <c r="K90">
        <v>12.5</v>
      </c>
      <c r="L90">
        <v>4</v>
      </c>
      <c r="M90">
        <v>2</v>
      </c>
      <c r="N90">
        <v>3</v>
      </c>
      <c r="O90">
        <v>0</v>
      </c>
      <c r="P90" t="str">
        <f>IF(Table1[[#This Row],[Pregnant(Y/N)]]=1,"YES","NO")</f>
        <v>NO</v>
      </c>
      <c r="Q90">
        <v>0</v>
      </c>
      <c r="R90">
        <v>1.99</v>
      </c>
      <c r="S90">
        <v>1.99</v>
      </c>
      <c r="T90">
        <v>5.71</v>
      </c>
      <c r="U90">
        <v>1.44</v>
      </c>
      <c r="V90">
        <f>Table1[[#This Row],[FSH(mIU/mL)]]/Table1[[#This Row],[LH(mIU/mL)]]</f>
        <v>3.9652777777777777</v>
      </c>
      <c r="W90" t="str">
        <f>IF(Table1[[#This Row],[FSH/LH]]&gt;=2,"Abnormal","Normal")</f>
        <v>Abnormal</v>
      </c>
      <c r="X90">
        <v>44</v>
      </c>
      <c r="Y90">
        <v>39</v>
      </c>
      <c r="Z90">
        <f>ROUND(Table1[[#This Row],[Waist(inch)]]/Table1[[#This Row],[Hip(inch)]],2)</f>
        <v>0.89</v>
      </c>
      <c r="AA90">
        <v>1.31</v>
      </c>
      <c r="AB90">
        <v>3.65</v>
      </c>
      <c r="AC90">
        <v>44.89</v>
      </c>
      <c r="AD90">
        <v>27.7</v>
      </c>
      <c r="AE90" t="str">
        <f>IF(Table1[[#This Row],[Vit D3 (ng/mL)]]&lt;20,"Deficiency","Normal")</f>
        <v>Normal</v>
      </c>
      <c r="AF90">
        <v>0.25</v>
      </c>
      <c r="AG90">
        <v>100</v>
      </c>
      <c r="AH90">
        <v>0</v>
      </c>
      <c r="AI90" t="str">
        <f>IF(Table1[[#This Row],[Weight gain(Y/N)]]=0,"NO","YES")</f>
        <v>NO</v>
      </c>
      <c r="AJ90">
        <v>0</v>
      </c>
      <c r="AK90" t="str">
        <f>IF(Table1[[#This Row],[hair growth(Y/N)]]=1,"YES","NO")</f>
        <v>NO</v>
      </c>
      <c r="AL90">
        <v>0</v>
      </c>
      <c r="AM90" t="str">
        <f>IF(Table1[[#This Row],[Skin darkening (Y/N)]]=1,"YES","NO")</f>
        <v>NO</v>
      </c>
      <c r="AN90">
        <v>0</v>
      </c>
      <c r="AO90" t="str">
        <f>IF(Table1[[#This Row],[Hair loss(Y/N)]]=1,"YES","NO")</f>
        <v>NO</v>
      </c>
      <c r="AP90">
        <v>0</v>
      </c>
      <c r="AQ90" t="str">
        <f>IF(Table1[[#This Row],[Pimples(Y/N)]]=1,"YES","NO")</f>
        <v>NO</v>
      </c>
      <c r="AR90">
        <v>0</v>
      </c>
      <c r="AS90" t="str">
        <f>IF(Table1[[#This Row],[Fast food (Y/N)]]=1,"YES","NO")</f>
        <v>NO</v>
      </c>
      <c r="AT90">
        <v>0</v>
      </c>
      <c r="AU90" t="str">
        <f>IF(Table1[[#This Row],[Reg.Exercise(Y/N)]]=1,"YES","NO")</f>
        <v>NO</v>
      </c>
      <c r="AV90">
        <v>110</v>
      </c>
      <c r="AW90">
        <v>80</v>
      </c>
      <c r="AX90">
        <v>10</v>
      </c>
      <c r="AY90">
        <v>13</v>
      </c>
      <c r="AZ90">
        <v>15</v>
      </c>
      <c r="BA90">
        <v>16</v>
      </c>
      <c r="BB90">
        <v>10</v>
      </c>
      <c r="BC90" t="str" cm="1">
        <f t="array" ref="BC90">_xlfn.IFS((F90/(G90*G90)*10000)&lt; 18.5,"Underweight",(F90/(G90*G90)*10000)&lt;24.9,"Normal",(F90/(G90*G90)*10000)&lt;29.9,"Overweight",(F90/(G90*G90)*10000)&gt;=30,"obesity")</f>
        <v>Normal</v>
      </c>
      <c r="BD90">
        <f>Table1[[#This Row],[Follicle No. (L)]]+Table1[[#This Row],[Follicle No. (R)]]</f>
        <v>23</v>
      </c>
      <c r="BE90">
        <f>Table1[[#This Row],[Avg. F size (L) (mm)]]+Table1[[#This Row],[Avg. F size (R) (mm)]]</f>
        <v>31</v>
      </c>
      <c r="BF90">
        <f>Table1[[#This Row],[BP _Diastolic (mmHg)]]+(Table1[[#This Row],[BP _Diastolic (mmHg)]]+Table1[[#This Row],[Follicle No. (L)]])/3</f>
        <v>110</v>
      </c>
      <c r="BG90" s="4" t="str" cm="1">
        <f t="array" ref="BG9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90" s="4">
        <f>SUM(Table1[[#This Row],[Pimples(Y/N)]],Table1[[#This Row],[hair growth(Y/N)]],Table1[[#This Row],[Skin darkening (Y/N)]],Table1[[#This Row],[Hair loss(Y/N)]])</f>
        <v>0</v>
      </c>
      <c r="BI90" s="4" t="str">
        <f>IF(AND(Table1[[#This Row],[Pregnant(Y/N)]]=0, Table1[[#This Row],[  I   beta-HCG(mIU/mL)]]&gt;5), "Investigation Required", "Clear")</f>
        <v>Clear</v>
      </c>
    </row>
    <row r="91" spans="1:61" ht="15.75" customHeight="1" x14ac:dyDescent="0.25">
      <c r="A91">
        <v>90</v>
      </c>
      <c r="B91">
        <v>90</v>
      </c>
      <c r="C91">
        <v>0</v>
      </c>
      <c r="D91" t="str">
        <f>IF(Table1[[#This Row],[PCOS (Y/N)]]=0,"NO","YES")</f>
        <v>NO</v>
      </c>
      <c r="E91">
        <v>36</v>
      </c>
      <c r="F91">
        <v>65</v>
      </c>
      <c r="G91">
        <v>151</v>
      </c>
      <c r="H91">
        <v>15</v>
      </c>
      <c r="I91">
        <v>72</v>
      </c>
      <c r="J91">
        <v>18</v>
      </c>
      <c r="K91">
        <v>10.199999999999999</v>
      </c>
      <c r="L91">
        <v>2</v>
      </c>
      <c r="M91">
        <v>5</v>
      </c>
      <c r="N91">
        <v>11</v>
      </c>
      <c r="O91">
        <v>0</v>
      </c>
      <c r="P91" t="str">
        <f>IF(Table1[[#This Row],[Pregnant(Y/N)]]=1,"YES","NO")</f>
        <v>NO</v>
      </c>
      <c r="Q91">
        <v>0</v>
      </c>
      <c r="R91">
        <v>1.99</v>
      </c>
      <c r="S91">
        <v>1.99</v>
      </c>
      <c r="T91">
        <v>4.24</v>
      </c>
      <c r="U91">
        <v>1.2</v>
      </c>
      <c r="V91">
        <f>Table1[[#This Row],[FSH(mIU/mL)]]/Table1[[#This Row],[LH(mIU/mL)]]</f>
        <v>3.5333333333333337</v>
      </c>
      <c r="W91" t="str">
        <f>IF(Table1[[#This Row],[FSH/LH]]&gt;=2,"Abnormal","Normal")</f>
        <v>Abnormal</v>
      </c>
      <c r="X91">
        <v>41</v>
      </c>
      <c r="Y91">
        <v>36</v>
      </c>
      <c r="Z91">
        <f>ROUND(Table1[[#This Row],[Waist(inch)]]/Table1[[#This Row],[Hip(inch)]],2)</f>
        <v>0.88</v>
      </c>
      <c r="AA91">
        <v>2.8</v>
      </c>
      <c r="AB91">
        <v>8.98</v>
      </c>
      <c r="AC91">
        <v>19.3</v>
      </c>
      <c r="AD91">
        <v>11.3</v>
      </c>
      <c r="AE91" t="str">
        <f>IF(Table1[[#This Row],[Vit D3 (ng/mL)]]&lt;20,"Deficiency","Normal")</f>
        <v>Deficiency</v>
      </c>
      <c r="AF91">
        <v>0.56000000000000005</v>
      </c>
      <c r="AG91">
        <v>134</v>
      </c>
      <c r="AH91">
        <v>0</v>
      </c>
      <c r="AI91" t="str">
        <f>IF(Table1[[#This Row],[Weight gain(Y/N)]]=0,"NO","YES")</f>
        <v>NO</v>
      </c>
      <c r="AJ91">
        <v>0</v>
      </c>
      <c r="AK91" t="str">
        <f>IF(Table1[[#This Row],[hair growth(Y/N)]]=1,"YES","NO")</f>
        <v>NO</v>
      </c>
      <c r="AL91">
        <v>0</v>
      </c>
      <c r="AM91" t="str">
        <f>IF(Table1[[#This Row],[Skin darkening (Y/N)]]=1,"YES","NO")</f>
        <v>NO</v>
      </c>
      <c r="AN91">
        <v>0</v>
      </c>
      <c r="AO91" t="str">
        <f>IF(Table1[[#This Row],[Hair loss(Y/N)]]=1,"YES","NO")</f>
        <v>NO</v>
      </c>
      <c r="AP91">
        <v>0</v>
      </c>
      <c r="AQ91" t="str">
        <f>IF(Table1[[#This Row],[Pimples(Y/N)]]=1,"YES","NO")</f>
        <v>NO</v>
      </c>
      <c r="AR91">
        <v>0</v>
      </c>
      <c r="AS91" t="str">
        <f>IF(Table1[[#This Row],[Fast food (Y/N)]]=1,"YES","NO")</f>
        <v>NO</v>
      </c>
      <c r="AT91">
        <v>0</v>
      </c>
      <c r="AU91" t="str">
        <f>IF(Table1[[#This Row],[Reg.Exercise(Y/N)]]=1,"YES","NO")</f>
        <v>NO</v>
      </c>
      <c r="AV91">
        <v>120</v>
      </c>
      <c r="AW91">
        <v>70</v>
      </c>
      <c r="AX91">
        <v>11</v>
      </c>
      <c r="AY91">
        <v>9</v>
      </c>
      <c r="AZ91">
        <v>15</v>
      </c>
      <c r="BA91">
        <v>16</v>
      </c>
      <c r="BB91">
        <v>8</v>
      </c>
      <c r="BC91" t="str" cm="1">
        <f t="array" ref="BC91">_xlfn.IFS((F91/(G91*G91)*10000)&lt; 18.5,"Underweight",(F91/(G91*G91)*10000)&lt;24.9,"Normal",(F91/(G91*G91)*10000)&lt;29.9,"Overweight",(F91/(G91*G91)*10000)&gt;=30,"obesity")</f>
        <v>Overweight</v>
      </c>
      <c r="BD91">
        <f>Table1[[#This Row],[Follicle No. (L)]]+Table1[[#This Row],[Follicle No. (R)]]</f>
        <v>20</v>
      </c>
      <c r="BE91">
        <f>Table1[[#This Row],[Avg. F size (L) (mm)]]+Table1[[#This Row],[Avg. F size (R) (mm)]]</f>
        <v>31</v>
      </c>
      <c r="BF91">
        <f>Table1[[#This Row],[BP _Diastolic (mmHg)]]+(Table1[[#This Row],[BP _Diastolic (mmHg)]]+Table1[[#This Row],[Follicle No. (L)]])/3</f>
        <v>97</v>
      </c>
      <c r="BG91" s="4" t="str" cm="1">
        <f t="array" ref="BG9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91" s="4">
        <f>SUM(Table1[[#This Row],[Pimples(Y/N)]],Table1[[#This Row],[hair growth(Y/N)]],Table1[[#This Row],[Skin darkening (Y/N)]],Table1[[#This Row],[Hair loss(Y/N)]])</f>
        <v>0</v>
      </c>
      <c r="BI91" s="4" t="str">
        <f>IF(AND(Table1[[#This Row],[Pregnant(Y/N)]]=0, Table1[[#This Row],[  I   beta-HCG(mIU/mL)]]&gt;5), "Investigation Required", "Clear")</f>
        <v>Clear</v>
      </c>
    </row>
    <row r="92" spans="1:61" ht="15.75" customHeight="1" x14ac:dyDescent="0.25">
      <c r="A92">
        <v>91</v>
      </c>
      <c r="B92">
        <v>91</v>
      </c>
      <c r="C92">
        <v>0</v>
      </c>
      <c r="D92" t="str">
        <f>IF(Table1[[#This Row],[PCOS (Y/N)]]=0,"NO","YES")</f>
        <v>NO</v>
      </c>
      <c r="E92">
        <v>44</v>
      </c>
      <c r="F92">
        <v>74.400000000000006</v>
      </c>
      <c r="G92">
        <v>158</v>
      </c>
      <c r="H92">
        <v>17</v>
      </c>
      <c r="I92">
        <v>78</v>
      </c>
      <c r="J92">
        <v>22</v>
      </c>
      <c r="K92">
        <v>11.1</v>
      </c>
      <c r="L92">
        <v>2</v>
      </c>
      <c r="M92">
        <v>5</v>
      </c>
      <c r="N92">
        <v>22</v>
      </c>
      <c r="O92">
        <v>0</v>
      </c>
      <c r="P92" t="str">
        <f>IF(Table1[[#This Row],[Pregnant(Y/N)]]=1,"YES","NO")</f>
        <v>NO</v>
      </c>
      <c r="Q92">
        <v>2</v>
      </c>
      <c r="R92">
        <v>1.99</v>
      </c>
      <c r="S92">
        <v>1.99</v>
      </c>
      <c r="T92">
        <v>4.21</v>
      </c>
      <c r="U92">
        <v>3.65</v>
      </c>
      <c r="V92">
        <f>Table1[[#This Row],[FSH(mIU/mL)]]/Table1[[#This Row],[LH(mIU/mL)]]</f>
        <v>1.1534246575342466</v>
      </c>
      <c r="W92" t="str">
        <f>IF(Table1[[#This Row],[FSH/LH]]&gt;=2,"Abnormal","Normal")</f>
        <v>Normal</v>
      </c>
      <c r="X92">
        <v>48</v>
      </c>
      <c r="Y92">
        <v>42</v>
      </c>
      <c r="Z92">
        <f>ROUND(Table1[[#This Row],[Waist(inch)]]/Table1[[#This Row],[Hip(inch)]],2)</f>
        <v>0.88</v>
      </c>
      <c r="AA92">
        <v>3.99</v>
      </c>
      <c r="AB92">
        <v>1.7</v>
      </c>
      <c r="AC92">
        <v>7.72</v>
      </c>
      <c r="AD92">
        <v>34.700000000000003</v>
      </c>
      <c r="AE92" t="str">
        <f>IF(Table1[[#This Row],[Vit D3 (ng/mL)]]&lt;20,"Deficiency","Normal")</f>
        <v>Normal</v>
      </c>
      <c r="AF92">
        <v>0.3</v>
      </c>
      <c r="AG92">
        <v>109</v>
      </c>
      <c r="AH92">
        <v>0</v>
      </c>
      <c r="AI92" t="str">
        <f>IF(Table1[[#This Row],[Weight gain(Y/N)]]=0,"NO","YES")</f>
        <v>NO</v>
      </c>
      <c r="AJ92">
        <v>0</v>
      </c>
      <c r="AK92" t="str">
        <f>IF(Table1[[#This Row],[hair growth(Y/N)]]=1,"YES","NO")</f>
        <v>NO</v>
      </c>
      <c r="AL92">
        <v>0</v>
      </c>
      <c r="AM92" t="str">
        <f>IF(Table1[[#This Row],[Skin darkening (Y/N)]]=1,"YES","NO")</f>
        <v>NO</v>
      </c>
      <c r="AN92">
        <v>0</v>
      </c>
      <c r="AO92" t="str">
        <f>IF(Table1[[#This Row],[Hair loss(Y/N)]]=1,"YES","NO")</f>
        <v>NO</v>
      </c>
      <c r="AP92">
        <v>0</v>
      </c>
      <c r="AQ92" t="str">
        <f>IF(Table1[[#This Row],[Pimples(Y/N)]]=1,"YES","NO")</f>
        <v>NO</v>
      </c>
      <c r="AR92">
        <v>0</v>
      </c>
      <c r="AS92" t="str">
        <f>IF(Table1[[#This Row],[Fast food (Y/N)]]=1,"YES","NO")</f>
        <v>NO</v>
      </c>
      <c r="AT92">
        <v>0</v>
      </c>
      <c r="AU92" t="str">
        <f>IF(Table1[[#This Row],[Reg.Exercise(Y/N)]]=1,"YES","NO")</f>
        <v>NO</v>
      </c>
      <c r="AV92">
        <v>110</v>
      </c>
      <c r="AW92">
        <v>80</v>
      </c>
      <c r="AX92">
        <v>4</v>
      </c>
      <c r="AY92">
        <v>2</v>
      </c>
      <c r="AZ92">
        <v>15</v>
      </c>
      <c r="BA92">
        <v>7</v>
      </c>
      <c r="BB92">
        <v>6</v>
      </c>
      <c r="BC92" t="str" cm="1">
        <f t="array" ref="BC92">_xlfn.IFS((F92/(G92*G92)*10000)&lt; 18.5,"Underweight",(F92/(G92*G92)*10000)&lt;24.9,"Normal",(F92/(G92*G92)*10000)&lt;29.9,"Overweight",(F92/(G92*G92)*10000)&gt;=30,"obesity")</f>
        <v>Overweight</v>
      </c>
      <c r="BD92">
        <f>Table1[[#This Row],[Follicle No. (L)]]+Table1[[#This Row],[Follicle No. (R)]]</f>
        <v>6</v>
      </c>
      <c r="BE92">
        <f>Table1[[#This Row],[Avg. F size (L) (mm)]]+Table1[[#This Row],[Avg. F size (R) (mm)]]</f>
        <v>22</v>
      </c>
      <c r="BF92">
        <f>Table1[[#This Row],[BP _Diastolic (mmHg)]]+(Table1[[#This Row],[BP _Diastolic (mmHg)]]+Table1[[#This Row],[Follicle No. (L)]])/3</f>
        <v>108</v>
      </c>
      <c r="BG92" s="4" t="str" cm="1">
        <f t="array" ref="BG9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92" s="4">
        <f>SUM(Table1[[#This Row],[Pimples(Y/N)]],Table1[[#This Row],[hair growth(Y/N)]],Table1[[#This Row],[Skin darkening (Y/N)]],Table1[[#This Row],[Hair loss(Y/N)]])</f>
        <v>0</v>
      </c>
      <c r="BI92" s="4" t="str">
        <f>IF(AND(Table1[[#This Row],[Pregnant(Y/N)]]=0, Table1[[#This Row],[  I   beta-HCG(mIU/mL)]]&gt;5), "Investigation Required", "Clear")</f>
        <v>Clear</v>
      </c>
    </row>
    <row r="93" spans="1:61" ht="15.75" customHeight="1" x14ac:dyDescent="0.25">
      <c r="A93">
        <v>92</v>
      </c>
      <c r="B93">
        <v>92</v>
      </c>
      <c r="C93">
        <v>0</v>
      </c>
      <c r="D93" t="str">
        <f>IF(Table1[[#This Row],[PCOS (Y/N)]]=0,"NO","YES")</f>
        <v>NO</v>
      </c>
      <c r="E93">
        <v>35</v>
      </c>
      <c r="F93">
        <v>45</v>
      </c>
      <c r="G93">
        <v>150</v>
      </c>
      <c r="H93">
        <v>15</v>
      </c>
      <c r="I93">
        <v>74</v>
      </c>
      <c r="J93">
        <v>20</v>
      </c>
      <c r="K93">
        <v>11.8</v>
      </c>
      <c r="L93">
        <v>2</v>
      </c>
      <c r="M93">
        <v>5</v>
      </c>
      <c r="N93">
        <v>6</v>
      </c>
      <c r="O93">
        <v>0</v>
      </c>
      <c r="P93" t="str">
        <f>IF(Table1[[#This Row],[Pregnant(Y/N)]]=1,"YES","NO")</f>
        <v>NO</v>
      </c>
      <c r="Q93">
        <v>0</v>
      </c>
      <c r="R93">
        <v>1.99</v>
      </c>
      <c r="S93">
        <v>1.99</v>
      </c>
      <c r="T93">
        <v>3.25</v>
      </c>
      <c r="U93">
        <v>1.56</v>
      </c>
      <c r="V93">
        <f>Table1[[#This Row],[FSH(mIU/mL)]]/Table1[[#This Row],[LH(mIU/mL)]]</f>
        <v>2.0833333333333335</v>
      </c>
      <c r="W93" t="str">
        <f>IF(Table1[[#This Row],[FSH/LH]]&gt;=2,"Abnormal","Normal")</f>
        <v>Abnormal</v>
      </c>
      <c r="X93">
        <v>42</v>
      </c>
      <c r="Y93">
        <v>36</v>
      </c>
      <c r="Z93">
        <f>ROUND(Table1[[#This Row],[Waist(inch)]]/Table1[[#This Row],[Hip(inch)]],2)</f>
        <v>0.86</v>
      </c>
      <c r="AA93">
        <v>1.75</v>
      </c>
      <c r="AB93">
        <v>3.18</v>
      </c>
      <c r="AC93">
        <v>15.79</v>
      </c>
      <c r="AD93">
        <v>34.200000000000003</v>
      </c>
      <c r="AE93" t="str">
        <f>IF(Table1[[#This Row],[Vit D3 (ng/mL)]]&lt;20,"Deficiency","Normal")</f>
        <v>Normal</v>
      </c>
      <c r="AF93">
        <v>0.31</v>
      </c>
      <c r="AG93">
        <v>116</v>
      </c>
      <c r="AH93">
        <v>0</v>
      </c>
      <c r="AI93" t="str">
        <f>IF(Table1[[#This Row],[Weight gain(Y/N)]]=0,"NO","YES")</f>
        <v>NO</v>
      </c>
      <c r="AJ93">
        <v>0</v>
      </c>
      <c r="AK93" t="str">
        <f>IF(Table1[[#This Row],[hair growth(Y/N)]]=1,"YES","NO")</f>
        <v>NO</v>
      </c>
      <c r="AL93">
        <v>0</v>
      </c>
      <c r="AM93" t="str">
        <f>IF(Table1[[#This Row],[Skin darkening (Y/N)]]=1,"YES","NO")</f>
        <v>NO</v>
      </c>
      <c r="AN93">
        <v>0</v>
      </c>
      <c r="AO93" t="str">
        <f>IF(Table1[[#This Row],[Hair loss(Y/N)]]=1,"YES","NO")</f>
        <v>NO</v>
      </c>
      <c r="AP93">
        <v>0</v>
      </c>
      <c r="AQ93" t="str">
        <f>IF(Table1[[#This Row],[Pimples(Y/N)]]=1,"YES","NO")</f>
        <v>NO</v>
      </c>
      <c r="AR93">
        <v>0</v>
      </c>
      <c r="AS93" t="str">
        <f>IF(Table1[[#This Row],[Fast food (Y/N)]]=1,"YES","NO")</f>
        <v>NO</v>
      </c>
      <c r="AT93">
        <v>0</v>
      </c>
      <c r="AU93" t="str">
        <f>IF(Table1[[#This Row],[Reg.Exercise(Y/N)]]=1,"YES","NO")</f>
        <v>NO</v>
      </c>
      <c r="AV93">
        <v>120</v>
      </c>
      <c r="AW93">
        <v>80</v>
      </c>
      <c r="AX93">
        <v>7</v>
      </c>
      <c r="AY93">
        <v>5</v>
      </c>
      <c r="AZ93">
        <v>20</v>
      </c>
      <c r="BA93">
        <v>18</v>
      </c>
      <c r="BB93">
        <v>5.7</v>
      </c>
      <c r="BC93" t="str" cm="1">
        <f t="array" ref="BC93">_xlfn.IFS((F93/(G93*G93)*10000)&lt; 18.5,"Underweight",(F93/(G93*G93)*10000)&lt;24.9,"Normal",(F93/(G93*G93)*10000)&lt;29.9,"Overweight",(F93/(G93*G93)*10000)&gt;=30,"obesity")</f>
        <v>Normal</v>
      </c>
      <c r="BD93">
        <f>Table1[[#This Row],[Follicle No. (L)]]+Table1[[#This Row],[Follicle No. (R)]]</f>
        <v>12</v>
      </c>
      <c r="BE93">
        <f>Table1[[#This Row],[Avg. F size (L) (mm)]]+Table1[[#This Row],[Avg. F size (R) (mm)]]</f>
        <v>38</v>
      </c>
      <c r="BF93">
        <f>Table1[[#This Row],[BP _Diastolic (mmHg)]]+(Table1[[#This Row],[BP _Diastolic (mmHg)]]+Table1[[#This Row],[Follicle No. (L)]])/3</f>
        <v>109</v>
      </c>
      <c r="BG93" s="4" t="str" cm="1">
        <f t="array" ref="BG9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93" s="4">
        <f>SUM(Table1[[#This Row],[Pimples(Y/N)]],Table1[[#This Row],[hair growth(Y/N)]],Table1[[#This Row],[Skin darkening (Y/N)]],Table1[[#This Row],[Hair loss(Y/N)]])</f>
        <v>0</v>
      </c>
      <c r="BI93" s="4" t="str">
        <f>IF(AND(Table1[[#This Row],[Pregnant(Y/N)]]=0, Table1[[#This Row],[  I   beta-HCG(mIU/mL)]]&gt;5), "Investigation Required", "Clear")</f>
        <v>Clear</v>
      </c>
    </row>
    <row r="94" spans="1:61" ht="15.75" customHeight="1" x14ac:dyDescent="0.25">
      <c r="A94">
        <v>93</v>
      </c>
      <c r="B94">
        <v>93</v>
      </c>
      <c r="C94">
        <v>0</v>
      </c>
      <c r="D94" t="str">
        <f>IF(Table1[[#This Row],[PCOS (Y/N)]]=0,"NO","YES")</f>
        <v>NO</v>
      </c>
      <c r="E94">
        <v>28</v>
      </c>
      <c r="F94">
        <v>83.5</v>
      </c>
      <c r="G94">
        <v>163</v>
      </c>
      <c r="H94">
        <v>15</v>
      </c>
      <c r="I94">
        <v>78</v>
      </c>
      <c r="J94">
        <v>22</v>
      </c>
      <c r="K94">
        <v>12.5</v>
      </c>
      <c r="L94">
        <v>4</v>
      </c>
      <c r="M94">
        <v>11</v>
      </c>
      <c r="N94">
        <v>8</v>
      </c>
      <c r="O94">
        <v>0</v>
      </c>
      <c r="P94" t="str">
        <f>IF(Table1[[#This Row],[Pregnant(Y/N)]]=1,"YES","NO")</f>
        <v>NO</v>
      </c>
      <c r="Q94">
        <v>0</v>
      </c>
      <c r="R94">
        <v>1.99</v>
      </c>
      <c r="S94">
        <v>1.99</v>
      </c>
      <c r="T94">
        <v>4.3600000000000003</v>
      </c>
      <c r="U94">
        <v>2.69</v>
      </c>
      <c r="V94">
        <f>Table1[[#This Row],[FSH(mIU/mL)]]/Table1[[#This Row],[LH(mIU/mL)]]</f>
        <v>1.6208178438661711</v>
      </c>
      <c r="W94" t="str">
        <f>IF(Table1[[#This Row],[FSH/LH]]&gt;=2,"Abnormal","Normal")</f>
        <v>Normal</v>
      </c>
      <c r="X94">
        <v>38</v>
      </c>
      <c r="Y94">
        <v>33</v>
      </c>
      <c r="Z94">
        <f>ROUND(Table1[[#This Row],[Waist(inch)]]/Table1[[#This Row],[Hip(inch)]],2)</f>
        <v>0.87</v>
      </c>
      <c r="AA94">
        <v>2.63</v>
      </c>
      <c r="AB94">
        <v>2.75</v>
      </c>
      <c r="AC94">
        <v>13.78</v>
      </c>
      <c r="AD94">
        <v>29.41</v>
      </c>
      <c r="AE94" t="str">
        <f>IF(Table1[[#This Row],[Vit D3 (ng/mL)]]&lt;20,"Deficiency","Normal")</f>
        <v>Normal</v>
      </c>
      <c r="AF94">
        <v>0.35</v>
      </c>
      <c r="AG94">
        <v>116</v>
      </c>
      <c r="AH94">
        <v>0</v>
      </c>
      <c r="AI94" t="str">
        <f>IF(Table1[[#This Row],[Weight gain(Y/N)]]=0,"NO","YES")</f>
        <v>NO</v>
      </c>
      <c r="AJ94">
        <v>0</v>
      </c>
      <c r="AK94" t="str">
        <f>IF(Table1[[#This Row],[hair growth(Y/N)]]=1,"YES","NO")</f>
        <v>NO</v>
      </c>
      <c r="AL94">
        <v>0</v>
      </c>
      <c r="AM94" t="str">
        <f>IF(Table1[[#This Row],[Skin darkening (Y/N)]]=1,"YES","NO")</f>
        <v>NO</v>
      </c>
      <c r="AN94">
        <v>0</v>
      </c>
      <c r="AO94" t="str">
        <f>IF(Table1[[#This Row],[Hair loss(Y/N)]]=1,"YES","NO")</f>
        <v>NO</v>
      </c>
      <c r="AP94">
        <v>0</v>
      </c>
      <c r="AQ94" t="str">
        <f>IF(Table1[[#This Row],[Pimples(Y/N)]]=1,"YES","NO")</f>
        <v>NO</v>
      </c>
      <c r="AR94">
        <v>0</v>
      </c>
      <c r="AS94" t="str">
        <f>IF(Table1[[#This Row],[Fast food (Y/N)]]=1,"YES","NO")</f>
        <v>NO</v>
      </c>
      <c r="AT94">
        <v>0</v>
      </c>
      <c r="AU94" t="str">
        <f>IF(Table1[[#This Row],[Reg.Exercise(Y/N)]]=1,"YES","NO")</f>
        <v>NO</v>
      </c>
      <c r="AV94">
        <v>110</v>
      </c>
      <c r="AW94">
        <v>80</v>
      </c>
      <c r="AX94">
        <v>2</v>
      </c>
      <c r="AY94">
        <v>2</v>
      </c>
      <c r="AZ94">
        <v>14</v>
      </c>
      <c r="BA94">
        <v>15</v>
      </c>
      <c r="BB94">
        <v>8.3000000000000007</v>
      </c>
      <c r="BC94" t="str" cm="1">
        <f t="array" ref="BC94">_xlfn.IFS((F94/(G94*G94)*10000)&lt; 18.5,"Underweight",(F94/(G94*G94)*10000)&lt;24.9,"Normal",(F94/(G94*G94)*10000)&lt;29.9,"Overweight",(F94/(G94*G94)*10000)&gt;=30,"obesity")</f>
        <v>obesity</v>
      </c>
      <c r="BD94">
        <f>Table1[[#This Row],[Follicle No. (L)]]+Table1[[#This Row],[Follicle No. (R)]]</f>
        <v>4</v>
      </c>
      <c r="BE94">
        <f>Table1[[#This Row],[Avg. F size (L) (mm)]]+Table1[[#This Row],[Avg. F size (R) (mm)]]</f>
        <v>29</v>
      </c>
      <c r="BF94">
        <f>Table1[[#This Row],[BP _Diastolic (mmHg)]]+(Table1[[#This Row],[BP _Diastolic (mmHg)]]+Table1[[#This Row],[Follicle No. (L)]])/3</f>
        <v>107.33333333333333</v>
      </c>
      <c r="BG94" s="4" t="str" cm="1">
        <f t="array" ref="BG9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94" s="4">
        <f>SUM(Table1[[#This Row],[Pimples(Y/N)]],Table1[[#This Row],[hair growth(Y/N)]],Table1[[#This Row],[Skin darkening (Y/N)]],Table1[[#This Row],[Hair loss(Y/N)]])</f>
        <v>0</v>
      </c>
      <c r="BI94" s="4" t="str">
        <f>IF(AND(Table1[[#This Row],[Pregnant(Y/N)]]=0, Table1[[#This Row],[  I   beta-HCG(mIU/mL)]]&gt;5), "Investigation Required", "Clear")</f>
        <v>Clear</v>
      </c>
    </row>
    <row r="95" spans="1:61" ht="15.75" customHeight="1" x14ac:dyDescent="0.25">
      <c r="A95">
        <v>94</v>
      </c>
      <c r="B95">
        <v>94</v>
      </c>
      <c r="C95">
        <v>0</v>
      </c>
      <c r="D95" t="str">
        <f>IF(Table1[[#This Row],[PCOS (Y/N)]]=0,"NO","YES")</f>
        <v>NO</v>
      </c>
      <c r="E95">
        <v>32</v>
      </c>
      <c r="F95">
        <v>52</v>
      </c>
      <c r="G95">
        <v>156</v>
      </c>
      <c r="H95">
        <v>11</v>
      </c>
      <c r="I95">
        <v>72</v>
      </c>
      <c r="J95">
        <v>20</v>
      </c>
      <c r="K95">
        <v>10.8</v>
      </c>
      <c r="L95">
        <v>2</v>
      </c>
      <c r="M95">
        <v>5</v>
      </c>
      <c r="N95">
        <v>3</v>
      </c>
      <c r="O95">
        <v>0</v>
      </c>
      <c r="P95" t="str">
        <f>IF(Table1[[#This Row],[Pregnant(Y/N)]]=1,"YES","NO")</f>
        <v>NO</v>
      </c>
      <c r="Q95">
        <v>0</v>
      </c>
      <c r="R95">
        <v>1.99</v>
      </c>
      <c r="S95">
        <v>1.99</v>
      </c>
      <c r="T95">
        <v>5.0999999999999996</v>
      </c>
      <c r="U95">
        <v>8.9600000000000009</v>
      </c>
      <c r="V95">
        <f>Table1[[#This Row],[FSH(mIU/mL)]]/Table1[[#This Row],[LH(mIU/mL)]]</f>
        <v>0.56919642857142849</v>
      </c>
      <c r="W95" t="str">
        <f>IF(Table1[[#This Row],[FSH/LH]]&gt;=2,"Abnormal","Normal")</f>
        <v>Normal</v>
      </c>
      <c r="X95">
        <v>38</v>
      </c>
      <c r="Y95">
        <v>32</v>
      </c>
      <c r="Z95">
        <f>ROUND(Table1[[#This Row],[Waist(inch)]]/Table1[[#This Row],[Hip(inch)]],2)</f>
        <v>0.84</v>
      </c>
      <c r="AA95">
        <v>4.3</v>
      </c>
      <c r="AB95">
        <v>0.86</v>
      </c>
      <c r="AC95">
        <v>20.010000000000002</v>
      </c>
      <c r="AD95">
        <v>29.8</v>
      </c>
      <c r="AE95" t="str">
        <f>IF(Table1[[#This Row],[Vit D3 (ng/mL)]]&lt;20,"Deficiency","Normal")</f>
        <v>Normal</v>
      </c>
      <c r="AF95">
        <v>0.37</v>
      </c>
      <c r="AG95">
        <v>97</v>
      </c>
      <c r="AH95">
        <v>0</v>
      </c>
      <c r="AI95" t="str">
        <f>IF(Table1[[#This Row],[Weight gain(Y/N)]]=0,"NO","YES")</f>
        <v>NO</v>
      </c>
      <c r="AJ95">
        <v>0</v>
      </c>
      <c r="AK95" t="str">
        <f>IF(Table1[[#This Row],[hair growth(Y/N)]]=1,"YES","NO")</f>
        <v>NO</v>
      </c>
      <c r="AL95">
        <v>0</v>
      </c>
      <c r="AM95" t="str">
        <f>IF(Table1[[#This Row],[Skin darkening (Y/N)]]=1,"YES","NO")</f>
        <v>NO</v>
      </c>
      <c r="AN95">
        <v>0</v>
      </c>
      <c r="AO95" t="str">
        <f>IF(Table1[[#This Row],[Hair loss(Y/N)]]=1,"YES","NO")</f>
        <v>NO</v>
      </c>
      <c r="AP95">
        <v>0</v>
      </c>
      <c r="AQ95" t="str">
        <f>IF(Table1[[#This Row],[Pimples(Y/N)]]=1,"YES","NO")</f>
        <v>NO</v>
      </c>
      <c r="AR95">
        <v>0</v>
      </c>
      <c r="AS95" t="str">
        <f>IF(Table1[[#This Row],[Fast food (Y/N)]]=1,"YES","NO")</f>
        <v>NO</v>
      </c>
      <c r="AT95">
        <v>0</v>
      </c>
      <c r="AU95" t="str">
        <f>IF(Table1[[#This Row],[Reg.Exercise(Y/N)]]=1,"YES","NO")</f>
        <v>NO</v>
      </c>
      <c r="AV95">
        <v>120</v>
      </c>
      <c r="AW95">
        <v>80</v>
      </c>
      <c r="AX95">
        <v>2</v>
      </c>
      <c r="AY95">
        <v>1</v>
      </c>
      <c r="AZ95">
        <v>14</v>
      </c>
      <c r="BA95">
        <v>15</v>
      </c>
      <c r="BB95">
        <v>9</v>
      </c>
      <c r="BC95" t="str" cm="1">
        <f t="array" ref="BC95">_xlfn.IFS((F95/(G95*G95)*10000)&lt; 18.5,"Underweight",(F95/(G95*G95)*10000)&lt;24.9,"Normal",(F95/(G95*G95)*10000)&lt;29.9,"Overweight",(F95/(G95*G95)*10000)&gt;=30,"obesity")</f>
        <v>Normal</v>
      </c>
      <c r="BD95">
        <f>Table1[[#This Row],[Follicle No. (L)]]+Table1[[#This Row],[Follicle No. (R)]]</f>
        <v>3</v>
      </c>
      <c r="BE95">
        <f>Table1[[#This Row],[Avg. F size (L) (mm)]]+Table1[[#This Row],[Avg. F size (R) (mm)]]</f>
        <v>29</v>
      </c>
      <c r="BF95">
        <f>Table1[[#This Row],[BP _Diastolic (mmHg)]]+(Table1[[#This Row],[BP _Diastolic (mmHg)]]+Table1[[#This Row],[Follicle No. (L)]])/3</f>
        <v>107.33333333333333</v>
      </c>
      <c r="BG95" s="4" t="str" cm="1">
        <f t="array" ref="BG9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95" s="4">
        <f>SUM(Table1[[#This Row],[Pimples(Y/N)]],Table1[[#This Row],[hair growth(Y/N)]],Table1[[#This Row],[Skin darkening (Y/N)]],Table1[[#This Row],[Hair loss(Y/N)]])</f>
        <v>0</v>
      </c>
      <c r="BI95" s="4" t="str">
        <f>IF(AND(Table1[[#This Row],[Pregnant(Y/N)]]=0, Table1[[#This Row],[  I   beta-HCG(mIU/mL)]]&gt;5), "Investigation Required", "Clear")</f>
        <v>Clear</v>
      </c>
    </row>
    <row r="96" spans="1:61" ht="15.75" customHeight="1" x14ac:dyDescent="0.25">
      <c r="A96">
        <v>95</v>
      </c>
      <c r="B96">
        <v>95</v>
      </c>
      <c r="C96">
        <v>0</v>
      </c>
      <c r="D96" t="str">
        <f>IF(Table1[[#This Row],[PCOS (Y/N)]]=0,"NO","YES")</f>
        <v>NO</v>
      </c>
      <c r="E96">
        <v>27</v>
      </c>
      <c r="F96">
        <v>62.5</v>
      </c>
      <c r="G96">
        <v>154</v>
      </c>
      <c r="H96">
        <v>14</v>
      </c>
      <c r="I96">
        <v>70</v>
      </c>
      <c r="J96">
        <v>20</v>
      </c>
      <c r="K96">
        <v>12.4</v>
      </c>
      <c r="L96">
        <v>2</v>
      </c>
      <c r="M96">
        <v>5</v>
      </c>
      <c r="N96">
        <v>5</v>
      </c>
      <c r="O96">
        <v>0</v>
      </c>
      <c r="P96" t="str">
        <f>IF(Table1[[#This Row],[Pregnant(Y/N)]]=1,"YES","NO")</f>
        <v>NO</v>
      </c>
      <c r="Q96">
        <v>0</v>
      </c>
      <c r="R96">
        <v>1.99</v>
      </c>
      <c r="S96">
        <v>1.99</v>
      </c>
      <c r="T96">
        <v>5.32</v>
      </c>
      <c r="U96">
        <v>2.79</v>
      </c>
      <c r="V96">
        <f>Table1[[#This Row],[FSH(mIU/mL)]]/Table1[[#This Row],[LH(mIU/mL)]]</f>
        <v>1.9068100358422939</v>
      </c>
      <c r="W96" t="str">
        <f>IF(Table1[[#This Row],[FSH/LH]]&gt;=2,"Abnormal","Normal")</f>
        <v>Normal</v>
      </c>
      <c r="X96">
        <v>41</v>
      </c>
      <c r="Y96">
        <v>34</v>
      </c>
      <c r="Z96">
        <f>ROUND(Table1[[#This Row],[Waist(inch)]]/Table1[[#This Row],[Hip(inch)]],2)</f>
        <v>0.83</v>
      </c>
      <c r="AA96">
        <v>6.81</v>
      </c>
      <c r="AB96">
        <v>2.29</v>
      </c>
      <c r="AC96">
        <v>27.82</v>
      </c>
      <c r="AD96">
        <v>22.5</v>
      </c>
      <c r="AE96" t="str">
        <f>IF(Table1[[#This Row],[Vit D3 (ng/mL)]]&lt;20,"Deficiency","Normal")</f>
        <v>Normal</v>
      </c>
      <c r="AF96">
        <v>0.36</v>
      </c>
      <c r="AG96">
        <v>116</v>
      </c>
      <c r="AH96">
        <v>0</v>
      </c>
      <c r="AI96" t="str">
        <f>IF(Table1[[#This Row],[Weight gain(Y/N)]]=0,"NO","YES")</f>
        <v>NO</v>
      </c>
      <c r="AJ96">
        <v>0</v>
      </c>
      <c r="AK96" t="str">
        <f>IF(Table1[[#This Row],[hair growth(Y/N)]]=1,"YES","NO")</f>
        <v>NO</v>
      </c>
      <c r="AL96">
        <v>0</v>
      </c>
      <c r="AM96" t="str">
        <f>IF(Table1[[#This Row],[Skin darkening (Y/N)]]=1,"YES","NO")</f>
        <v>NO</v>
      </c>
      <c r="AN96">
        <v>0</v>
      </c>
      <c r="AO96" t="str">
        <f>IF(Table1[[#This Row],[Hair loss(Y/N)]]=1,"YES","NO")</f>
        <v>NO</v>
      </c>
      <c r="AP96">
        <v>0</v>
      </c>
      <c r="AQ96" t="str">
        <f>IF(Table1[[#This Row],[Pimples(Y/N)]]=1,"YES","NO")</f>
        <v>NO</v>
      </c>
      <c r="AR96">
        <v>0</v>
      </c>
      <c r="AS96" t="str">
        <f>IF(Table1[[#This Row],[Fast food (Y/N)]]=1,"YES","NO")</f>
        <v>NO</v>
      </c>
      <c r="AT96">
        <v>0</v>
      </c>
      <c r="AU96" t="str">
        <f>IF(Table1[[#This Row],[Reg.Exercise(Y/N)]]=1,"YES","NO")</f>
        <v>NO</v>
      </c>
      <c r="AV96">
        <v>120</v>
      </c>
      <c r="AW96">
        <v>80</v>
      </c>
      <c r="AX96">
        <v>3</v>
      </c>
      <c r="AY96">
        <v>5</v>
      </c>
      <c r="AZ96">
        <v>20</v>
      </c>
      <c r="BA96">
        <v>19</v>
      </c>
      <c r="BB96">
        <v>6.8</v>
      </c>
      <c r="BC96" t="str" cm="1">
        <f t="array" ref="BC96">_xlfn.IFS((F96/(G96*G96)*10000)&lt; 18.5,"Underweight",(F96/(G96*G96)*10000)&lt;24.9,"Normal",(F96/(G96*G96)*10000)&lt;29.9,"Overweight",(F96/(G96*G96)*10000)&gt;=30,"obesity")</f>
        <v>Overweight</v>
      </c>
      <c r="BD96">
        <f>Table1[[#This Row],[Follicle No. (L)]]+Table1[[#This Row],[Follicle No. (R)]]</f>
        <v>8</v>
      </c>
      <c r="BE96">
        <f>Table1[[#This Row],[Avg. F size (L) (mm)]]+Table1[[#This Row],[Avg. F size (R) (mm)]]</f>
        <v>39</v>
      </c>
      <c r="BF96">
        <f>Table1[[#This Row],[BP _Diastolic (mmHg)]]+(Table1[[#This Row],[BP _Diastolic (mmHg)]]+Table1[[#This Row],[Follicle No. (L)]])/3</f>
        <v>107.66666666666667</v>
      </c>
      <c r="BG96" s="4" t="str" cm="1">
        <f t="array" ref="BG9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96" s="4">
        <f>SUM(Table1[[#This Row],[Pimples(Y/N)]],Table1[[#This Row],[hair growth(Y/N)]],Table1[[#This Row],[Skin darkening (Y/N)]],Table1[[#This Row],[Hair loss(Y/N)]])</f>
        <v>0</v>
      </c>
      <c r="BI96" s="4" t="str">
        <f>IF(AND(Table1[[#This Row],[Pregnant(Y/N)]]=0, Table1[[#This Row],[  I   beta-HCG(mIU/mL)]]&gt;5), "Investigation Required", "Clear")</f>
        <v>Clear</v>
      </c>
    </row>
    <row r="97" spans="1:61" ht="15.75" customHeight="1" x14ac:dyDescent="0.25">
      <c r="A97">
        <v>96</v>
      </c>
      <c r="B97">
        <v>96</v>
      </c>
      <c r="C97">
        <v>1</v>
      </c>
      <c r="D97" t="str">
        <f>IF(Table1[[#This Row],[PCOS (Y/N)]]=0,"NO","YES")</f>
        <v>YES</v>
      </c>
      <c r="E97">
        <v>22</v>
      </c>
      <c r="F97">
        <v>50</v>
      </c>
      <c r="G97">
        <v>155</v>
      </c>
      <c r="H97">
        <v>15</v>
      </c>
      <c r="I97">
        <v>80</v>
      </c>
      <c r="J97">
        <v>20</v>
      </c>
      <c r="K97">
        <v>12.1</v>
      </c>
      <c r="L97">
        <v>2</v>
      </c>
      <c r="M97">
        <v>5</v>
      </c>
      <c r="N97">
        <v>1</v>
      </c>
      <c r="O97">
        <v>1</v>
      </c>
      <c r="P97" t="str">
        <f>IF(Table1[[#This Row],[Pregnant(Y/N)]]=1,"YES","NO")</f>
        <v>YES</v>
      </c>
      <c r="Q97">
        <v>0</v>
      </c>
      <c r="R97">
        <v>1247.56</v>
      </c>
      <c r="S97">
        <v>15</v>
      </c>
      <c r="T97">
        <v>2</v>
      </c>
      <c r="U97">
        <v>1</v>
      </c>
      <c r="V97">
        <f>Table1[[#This Row],[FSH(mIU/mL)]]/Table1[[#This Row],[LH(mIU/mL)]]</f>
        <v>2</v>
      </c>
      <c r="W97" t="str">
        <f>IF(Table1[[#This Row],[FSH/LH]]&gt;=2,"Abnormal","Normal")</f>
        <v>Abnormal</v>
      </c>
      <c r="X97">
        <v>38</v>
      </c>
      <c r="Y97">
        <v>32</v>
      </c>
      <c r="Z97">
        <f>ROUND(Table1[[#This Row],[Waist(inch)]]/Table1[[#This Row],[Hip(inch)]],2)</f>
        <v>0.84</v>
      </c>
      <c r="AA97">
        <v>2.78</v>
      </c>
      <c r="AB97">
        <v>2.19</v>
      </c>
      <c r="AC97">
        <v>27.86</v>
      </c>
      <c r="AD97">
        <v>18.7</v>
      </c>
      <c r="AE97" t="str">
        <f>IF(Table1[[#This Row],[Vit D3 (ng/mL)]]&lt;20,"Deficiency","Normal")</f>
        <v>Deficiency</v>
      </c>
      <c r="AF97">
        <v>0.3</v>
      </c>
      <c r="AG97">
        <v>107</v>
      </c>
      <c r="AH97">
        <v>1</v>
      </c>
      <c r="AI97" t="str">
        <f>IF(Table1[[#This Row],[Weight gain(Y/N)]]=0,"NO","YES")</f>
        <v>YES</v>
      </c>
      <c r="AJ97">
        <v>1</v>
      </c>
      <c r="AK97" t="str">
        <f>IF(Table1[[#This Row],[hair growth(Y/N)]]=1,"YES","NO")</f>
        <v>YES</v>
      </c>
      <c r="AL97">
        <v>1</v>
      </c>
      <c r="AM97" t="str">
        <f>IF(Table1[[#This Row],[Skin darkening (Y/N)]]=1,"YES","NO")</f>
        <v>YES</v>
      </c>
      <c r="AN97">
        <v>1</v>
      </c>
      <c r="AO97" t="str">
        <f>IF(Table1[[#This Row],[Hair loss(Y/N)]]=1,"YES","NO")</f>
        <v>YES</v>
      </c>
      <c r="AP97">
        <v>1</v>
      </c>
      <c r="AQ97" t="str">
        <f>IF(Table1[[#This Row],[Pimples(Y/N)]]=1,"YES","NO")</f>
        <v>YES</v>
      </c>
      <c r="AR97">
        <v>1</v>
      </c>
      <c r="AS97" t="str">
        <f>IF(Table1[[#This Row],[Fast food (Y/N)]]=1,"YES","NO")</f>
        <v>YES</v>
      </c>
      <c r="AT97">
        <v>0</v>
      </c>
      <c r="AU97" t="str">
        <f>IF(Table1[[#This Row],[Reg.Exercise(Y/N)]]=1,"YES","NO")</f>
        <v>NO</v>
      </c>
      <c r="AV97">
        <v>120</v>
      </c>
      <c r="AW97">
        <v>70</v>
      </c>
      <c r="AX97">
        <v>6</v>
      </c>
      <c r="AY97">
        <v>10</v>
      </c>
      <c r="AZ97">
        <v>19</v>
      </c>
      <c r="BA97">
        <v>19</v>
      </c>
      <c r="BB97">
        <v>6</v>
      </c>
      <c r="BC97" t="str" cm="1">
        <f t="array" ref="BC97">_xlfn.IFS((F97/(G97*G97)*10000)&lt; 18.5,"Underweight",(F97/(G97*G97)*10000)&lt;24.9,"Normal",(F97/(G97*G97)*10000)&lt;29.9,"Overweight",(F97/(G97*G97)*10000)&gt;=30,"obesity")</f>
        <v>Normal</v>
      </c>
      <c r="BD97">
        <f>Table1[[#This Row],[Follicle No. (L)]]+Table1[[#This Row],[Follicle No. (R)]]</f>
        <v>16</v>
      </c>
      <c r="BE97">
        <f>Table1[[#This Row],[Avg. F size (L) (mm)]]+Table1[[#This Row],[Avg. F size (R) (mm)]]</f>
        <v>38</v>
      </c>
      <c r="BF97">
        <f>Table1[[#This Row],[BP _Diastolic (mmHg)]]+(Table1[[#This Row],[BP _Diastolic (mmHg)]]+Table1[[#This Row],[Follicle No. (L)]])/3</f>
        <v>95.333333333333329</v>
      </c>
      <c r="BG97" s="4" t="str" cm="1">
        <f t="array" ref="BG9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97" s="4">
        <f>SUM(Table1[[#This Row],[Pimples(Y/N)]],Table1[[#This Row],[hair growth(Y/N)]],Table1[[#This Row],[Skin darkening (Y/N)]],Table1[[#This Row],[Hair loss(Y/N)]])</f>
        <v>4</v>
      </c>
      <c r="BI97" s="4" t="str">
        <f>IF(AND(Table1[[#This Row],[Pregnant(Y/N)]]=0, Table1[[#This Row],[  I   beta-HCG(mIU/mL)]]&gt;5), "Investigation Required", "Clear")</f>
        <v>Clear</v>
      </c>
    </row>
    <row r="98" spans="1:61" ht="15.75" customHeight="1" x14ac:dyDescent="0.25">
      <c r="A98">
        <v>97</v>
      </c>
      <c r="B98">
        <v>97</v>
      </c>
      <c r="C98">
        <v>1</v>
      </c>
      <c r="D98" t="str">
        <f>IF(Table1[[#This Row],[PCOS (Y/N)]]=0,"NO","YES")</f>
        <v>YES</v>
      </c>
      <c r="E98">
        <v>28</v>
      </c>
      <c r="F98">
        <v>67.5</v>
      </c>
      <c r="G98">
        <v>154</v>
      </c>
      <c r="H98">
        <v>16</v>
      </c>
      <c r="I98">
        <v>78</v>
      </c>
      <c r="J98">
        <v>24</v>
      </c>
      <c r="K98">
        <v>11.7</v>
      </c>
      <c r="L98">
        <v>2</v>
      </c>
      <c r="M98">
        <v>5</v>
      </c>
      <c r="N98">
        <v>2</v>
      </c>
      <c r="O98">
        <v>0</v>
      </c>
      <c r="P98" t="str">
        <f>IF(Table1[[#This Row],[Pregnant(Y/N)]]=1,"YES","NO")</f>
        <v>NO</v>
      </c>
      <c r="Q98">
        <v>3</v>
      </c>
      <c r="R98">
        <v>15</v>
      </c>
      <c r="S98">
        <v>1.99</v>
      </c>
      <c r="T98">
        <v>4.66</v>
      </c>
      <c r="U98">
        <v>2.4300000000000002</v>
      </c>
      <c r="V98">
        <f>Table1[[#This Row],[FSH(mIU/mL)]]/Table1[[#This Row],[LH(mIU/mL)]]</f>
        <v>1.9176954732510287</v>
      </c>
      <c r="W98" t="str">
        <f>IF(Table1[[#This Row],[FSH/LH]]&gt;=2,"Abnormal","Normal")</f>
        <v>Normal</v>
      </c>
      <c r="X98">
        <v>41</v>
      </c>
      <c r="Y98">
        <v>36</v>
      </c>
      <c r="Z98">
        <f>ROUND(Table1[[#This Row],[Waist(inch)]]/Table1[[#This Row],[Hip(inch)]],2)</f>
        <v>0.88</v>
      </c>
      <c r="AA98">
        <v>4.6399999999999997</v>
      </c>
      <c r="AB98">
        <v>8.4600000000000009</v>
      </c>
      <c r="AC98">
        <v>28.93</v>
      </c>
      <c r="AD98">
        <v>18.7</v>
      </c>
      <c r="AE98" t="str">
        <f>IF(Table1[[#This Row],[Vit D3 (ng/mL)]]&lt;20,"Deficiency","Normal")</f>
        <v>Deficiency</v>
      </c>
      <c r="AF98">
        <v>0.4</v>
      </c>
      <c r="AG98">
        <v>104</v>
      </c>
      <c r="AH98">
        <v>0</v>
      </c>
      <c r="AI98" t="str">
        <f>IF(Table1[[#This Row],[Weight gain(Y/N)]]=0,"NO","YES")</f>
        <v>NO</v>
      </c>
      <c r="AJ98">
        <v>0</v>
      </c>
      <c r="AK98" t="str">
        <f>IF(Table1[[#This Row],[hair growth(Y/N)]]=1,"YES","NO")</f>
        <v>NO</v>
      </c>
      <c r="AL98">
        <v>0</v>
      </c>
      <c r="AM98" t="str">
        <f>IF(Table1[[#This Row],[Skin darkening (Y/N)]]=1,"YES","NO")</f>
        <v>NO</v>
      </c>
      <c r="AN98">
        <v>0</v>
      </c>
      <c r="AO98" t="str">
        <f>IF(Table1[[#This Row],[Hair loss(Y/N)]]=1,"YES","NO")</f>
        <v>NO</v>
      </c>
      <c r="AP98">
        <v>0</v>
      </c>
      <c r="AQ98" t="str">
        <f>IF(Table1[[#This Row],[Pimples(Y/N)]]=1,"YES","NO")</f>
        <v>NO</v>
      </c>
      <c r="AR98">
        <v>0</v>
      </c>
      <c r="AS98" t="str">
        <f>IF(Table1[[#This Row],[Fast food (Y/N)]]=1,"YES","NO")</f>
        <v>NO</v>
      </c>
      <c r="AT98">
        <v>0</v>
      </c>
      <c r="AU98" t="str">
        <f>IF(Table1[[#This Row],[Reg.Exercise(Y/N)]]=1,"YES","NO")</f>
        <v>NO</v>
      </c>
      <c r="AV98">
        <v>110</v>
      </c>
      <c r="AW98">
        <v>70</v>
      </c>
      <c r="AX98">
        <v>18</v>
      </c>
      <c r="AY98">
        <v>13</v>
      </c>
      <c r="AZ98">
        <v>17</v>
      </c>
      <c r="BA98">
        <v>18</v>
      </c>
      <c r="BB98">
        <v>5.9</v>
      </c>
      <c r="BC98" t="str" cm="1">
        <f t="array" ref="BC98">_xlfn.IFS((F98/(G98*G98)*10000)&lt; 18.5,"Underweight",(F98/(G98*G98)*10000)&lt;24.9,"Normal",(F98/(G98*G98)*10000)&lt;29.9,"Overweight",(F98/(G98*G98)*10000)&gt;=30,"obesity")</f>
        <v>Overweight</v>
      </c>
      <c r="BD98">
        <f>Table1[[#This Row],[Follicle No. (L)]]+Table1[[#This Row],[Follicle No. (R)]]</f>
        <v>31</v>
      </c>
      <c r="BE98">
        <f>Table1[[#This Row],[Avg. F size (L) (mm)]]+Table1[[#This Row],[Avg. F size (R) (mm)]]</f>
        <v>35</v>
      </c>
      <c r="BF98">
        <f>Table1[[#This Row],[BP _Diastolic (mmHg)]]+(Table1[[#This Row],[BP _Diastolic (mmHg)]]+Table1[[#This Row],[Follicle No. (L)]])/3</f>
        <v>99.333333333333329</v>
      </c>
      <c r="BG98" s="4" t="str" cm="1">
        <f t="array" ref="BG9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98" s="4">
        <f>SUM(Table1[[#This Row],[Pimples(Y/N)]],Table1[[#This Row],[hair growth(Y/N)]],Table1[[#This Row],[Skin darkening (Y/N)]],Table1[[#This Row],[Hair loss(Y/N)]])</f>
        <v>0</v>
      </c>
      <c r="BI98" s="4" t="str">
        <f>IF(AND(Table1[[#This Row],[Pregnant(Y/N)]]=0, Table1[[#This Row],[  I   beta-HCG(mIU/mL)]]&gt;5), "Investigation Required", "Clear")</f>
        <v>Investigation Required</v>
      </c>
    </row>
    <row r="99" spans="1:61" ht="15.75" customHeight="1" x14ac:dyDescent="0.25">
      <c r="A99">
        <v>98</v>
      </c>
      <c r="B99">
        <v>98</v>
      </c>
      <c r="C99">
        <v>1</v>
      </c>
      <c r="D99" t="str">
        <f>IF(Table1[[#This Row],[PCOS (Y/N)]]=0,"NO","YES")</f>
        <v>YES</v>
      </c>
      <c r="E99">
        <v>31</v>
      </c>
      <c r="F99">
        <v>91.4</v>
      </c>
      <c r="G99">
        <v>154</v>
      </c>
      <c r="H99">
        <v>15</v>
      </c>
      <c r="I99">
        <v>78</v>
      </c>
      <c r="J99">
        <v>24</v>
      </c>
      <c r="K99">
        <v>10.7</v>
      </c>
      <c r="L99">
        <v>4</v>
      </c>
      <c r="M99">
        <v>12</v>
      </c>
      <c r="N99">
        <v>10</v>
      </c>
      <c r="O99">
        <v>1</v>
      </c>
      <c r="P99" t="str">
        <f>IF(Table1[[#This Row],[Pregnant(Y/N)]]=1,"YES","NO")</f>
        <v>YES</v>
      </c>
      <c r="Q99">
        <v>0</v>
      </c>
      <c r="R99">
        <v>320.56</v>
      </c>
      <c r="S99">
        <v>14.46</v>
      </c>
      <c r="T99">
        <v>3.68</v>
      </c>
      <c r="U99">
        <v>2.08</v>
      </c>
      <c r="V99">
        <f>Table1[[#This Row],[FSH(mIU/mL)]]/Table1[[#This Row],[LH(mIU/mL)]]</f>
        <v>1.7692307692307692</v>
      </c>
      <c r="W99" t="str">
        <f>IF(Table1[[#This Row],[FSH/LH]]&gt;=2,"Abnormal","Normal")</f>
        <v>Normal</v>
      </c>
      <c r="X99">
        <v>39</v>
      </c>
      <c r="Y99">
        <v>32</v>
      </c>
      <c r="Z99">
        <f>ROUND(Table1[[#This Row],[Waist(inch)]]/Table1[[#This Row],[Hip(inch)]],2)</f>
        <v>0.82</v>
      </c>
      <c r="AA99">
        <v>5</v>
      </c>
      <c r="AB99">
        <v>4.59</v>
      </c>
      <c r="AC99">
        <v>40.04</v>
      </c>
      <c r="AD99">
        <v>28.3</v>
      </c>
      <c r="AE99" t="str">
        <f>IF(Table1[[#This Row],[Vit D3 (ng/mL)]]&lt;20,"Deficiency","Normal")</f>
        <v>Normal</v>
      </c>
      <c r="AF99">
        <v>0.41</v>
      </c>
      <c r="AG99">
        <v>108</v>
      </c>
      <c r="AH99">
        <v>1</v>
      </c>
      <c r="AI99" t="str">
        <f>IF(Table1[[#This Row],[Weight gain(Y/N)]]=0,"NO","YES")</f>
        <v>YES</v>
      </c>
      <c r="AJ99">
        <v>1</v>
      </c>
      <c r="AK99" t="str">
        <f>IF(Table1[[#This Row],[hair growth(Y/N)]]=1,"YES","NO")</f>
        <v>YES</v>
      </c>
      <c r="AL99">
        <v>1</v>
      </c>
      <c r="AM99" t="str">
        <f>IF(Table1[[#This Row],[Skin darkening (Y/N)]]=1,"YES","NO")</f>
        <v>YES</v>
      </c>
      <c r="AN99">
        <v>1</v>
      </c>
      <c r="AO99" t="str">
        <f>IF(Table1[[#This Row],[Hair loss(Y/N)]]=1,"YES","NO")</f>
        <v>YES</v>
      </c>
      <c r="AP99">
        <v>1</v>
      </c>
      <c r="AQ99" t="str">
        <f>IF(Table1[[#This Row],[Pimples(Y/N)]]=1,"YES","NO")</f>
        <v>YES</v>
      </c>
      <c r="AR99">
        <v>1</v>
      </c>
      <c r="AS99" t="str">
        <f>IF(Table1[[#This Row],[Fast food (Y/N)]]=1,"YES","NO")</f>
        <v>YES</v>
      </c>
      <c r="AT99">
        <v>0</v>
      </c>
      <c r="AU99" t="str">
        <f>IF(Table1[[#This Row],[Reg.Exercise(Y/N)]]=1,"YES","NO")</f>
        <v>NO</v>
      </c>
      <c r="AV99">
        <v>110</v>
      </c>
      <c r="AW99">
        <v>70</v>
      </c>
      <c r="AX99">
        <v>13</v>
      </c>
      <c r="AY99">
        <v>10</v>
      </c>
      <c r="AZ99">
        <v>19</v>
      </c>
      <c r="BA99">
        <v>16</v>
      </c>
      <c r="BB99">
        <v>5</v>
      </c>
      <c r="BC99" t="str" cm="1">
        <f t="array" ref="BC99">_xlfn.IFS((F99/(G99*G99)*10000)&lt; 18.5,"Underweight",(F99/(G99*G99)*10000)&lt;24.9,"Normal",(F99/(G99*G99)*10000)&lt;29.9,"Overweight",(F99/(G99*G99)*10000)&gt;=30,"obesity")</f>
        <v>obesity</v>
      </c>
      <c r="BD99">
        <f>Table1[[#This Row],[Follicle No. (L)]]+Table1[[#This Row],[Follicle No. (R)]]</f>
        <v>23</v>
      </c>
      <c r="BE99">
        <f>Table1[[#This Row],[Avg. F size (L) (mm)]]+Table1[[#This Row],[Avg. F size (R) (mm)]]</f>
        <v>35</v>
      </c>
      <c r="BF99">
        <f>Table1[[#This Row],[BP _Diastolic (mmHg)]]+(Table1[[#This Row],[BP _Diastolic (mmHg)]]+Table1[[#This Row],[Follicle No. (L)]])/3</f>
        <v>97.666666666666671</v>
      </c>
      <c r="BG99" s="4" t="str" cm="1">
        <f t="array" ref="BG9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99" s="4">
        <f>SUM(Table1[[#This Row],[Pimples(Y/N)]],Table1[[#This Row],[hair growth(Y/N)]],Table1[[#This Row],[Skin darkening (Y/N)]],Table1[[#This Row],[Hair loss(Y/N)]])</f>
        <v>4</v>
      </c>
      <c r="BI99" s="4" t="str">
        <f>IF(AND(Table1[[#This Row],[Pregnant(Y/N)]]=0, Table1[[#This Row],[  I   beta-HCG(mIU/mL)]]&gt;5), "Investigation Required", "Clear")</f>
        <v>Clear</v>
      </c>
    </row>
    <row r="100" spans="1:61" ht="15.75" customHeight="1" x14ac:dyDescent="0.25">
      <c r="A100">
        <v>99</v>
      </c>
      <c r="B100">
        <v>99</v>
      </c>
      <c r="C100">
        <v>0</v>
      </c>
      <c r="D100" t="str">
        <f>IF(Table1[[#This Row],[PCOS (Y/N)]]=0,"NO","YES")</f>
        <v>NO</v>
      </c>
      <c r="E100">
        <v>32</v>
      </c>
      <c r="F100">
        <v>61</v>
      </c>
      <c r="G100">
        <v>163</v>
      </c>
      <c r="H100">
        <v>11</v>
      </c>
      <c r="I100">
        <v>72</v>
      </c>
      <c r="J100">
        <v>20</v>
      </c>
      <c r="K100">
        <v>11</v>
      </c>
      <c r="L100">
        <v>2</v>
      </c>
      <c r="M100">
        <v>5</v>
      </c>
      <c r="N100">
        <v>13</v>
      </c>
      <c r="O100">
        <v>1</v>
      </c>
      <c r="P100" t="str">
        <f>IF(Table1[[#This Row],[Pregnant(Y/N)]]=1,"YES","NO")</f>
        <v>YES</v>
      </c>
      <c r="Q100">
        <v>0</v>
      </c>
      <c r="R100">
        <v>145.88999999999999</v>
      </c>
      <c r="S100">
        <v>145.88999999999999</v>
      </c>
      <c r="T100">
        <v>5.28</v>
      </c>
      <c r="U100">
        <v>3.95</v>
      </c>
      <c r="V100">
        <f>Table1[[#This Row],[FSH(mIU/mL)]]/Table1[[#This Row],[LH(mIU/mL)]]</f>
        <v>1.3367088607594937</v>
      </c>
      <c r="W100" t="str">
        <f>IF(Table1[[#This Row],[FSH/LH]]&gt;=2,"Abnormal","Normal")</f>
        <v>Normal</v>
      </c>
      <c r="X100">
        <v>40</v>
      </c>
      <c r="Y100">
        <v>39</v>
      </c>
      <c r="Z100">
        <f>ROUND(Table1[[#This Row],[Waist(inch)]]/Table1[[#This Row],[Hip(inch)]],2)</f>
        <v>0.98</v>
      </c>
      <c r="AA100">
        <v>4.3600000000000003</v>
      </c>
      <c r="AB100">
        <v>1.04</v>
      </c>
      <c r="AC100">
        <v>30.98</v>
      </c>
      <c r="AD100">
        <v>19.2</v>
      </c>
      <c r="AE100" t="str">
        <f>IF(Table1[[#This Row],[Vit D3 (ng/mL)]]&lt;20,"Deficiency","Normal")</f>
        <v>Deficiency</v>
      </c>
      <c r="AF100">
        <v>0.36</v>
      </c>
      <c r="AG100">
        <v>125</v>
      </c>
      <c r="AH100">
        <v>0</v>
      </c>
      <c r="AI100" t="str">
        <f>IF(Table1[[#This Row],[Weight gain(Y/N)]]=0,"NO","YES")</f>
        <v>NO</v>
      </c>
      <c r="AJ100">
        <v>0</v>
      </c>
      <c r="AK100" t="str">
        <f>IF(Table1[[#This Row],[hair growth(Y/N)]]=1,"YES","NO")</f>
        <v>NO</v>
      </c>
      <c r="AL100">
        <v>0</v>
      </c>
      <c r="AM100" t="str">
        <f>IF(Table1[[#This Row],[Skin darkening (Y/N)]]=1,"YES","NO")</f>
        <v>NO</v>
      </c>
      <c r="AN100">
        <v>0</v>
      </c>
      <c r="AO100" t="str">
        <f>IF(Table1[[#This Row],[Hair loss(Y/N)]]=1,"YES","NO")</f>
        <v>NO</v>
      </c>
      <c r="AP100">
        <v>0</v>
      </c>
      <c r="AQ100" t="str">
        <f>IF(Table1[[#This Row],[Pimples(Y/N)]]=1,"YES","NO")</f>
        <v>NO</v>
      </c>
      <c r="AR100">
        <v>0</v>
      </c>
      <c r="AS100" t="str">
        <f>IF(Table1[[#This Row],[Fast food (Y/N)]]=1,"YES","NO")</f>
        <v>NO</v>
      </c>
      <c r="AT100">
        <v>0</v>
      </c>
      <c r="AU100" t="str">
        <f>IF(Table1[[#This Row],[Reg.Exercise(Y/N)]]=1,"YES","NO")</f>
        <v>NO</v>
      </c>
      <c r="AV100">
        <v>120</v>
      </c>
      <c r="AW100">
        <v>70</v>
      </c>
      <c r="AX100">
        <v>3</v>
      </c>
      <c r="AY100">
        <v>2</v>
      </c>
      <c r="AZ100">
        <v>20</v>
      </c>
      <c r="BA100">
        <v>18</v>
      </c>
      <c r="BB100">
        <v>5</v>
      </c>
      <c r="BC100" t="str" cm="1">
        <f t="array" ref="BC100">_xlfn.IFS((F100/(G100*G100)*10000)&lt; 18.5,"Underweight",(F100/(G100*G100)*10000)&lt;24.9,"Normal",(F100/(G100*G100)*10000)&lt;29.9,"Overweight",(F100/(G100*G100)*10000)&gt;=30,"obesity")</f>
        <v>Normal</v>
      </c>
      <c r="BD100">
        <f>Table1[[#This Row],[Follicle No. (L)]]+Table1[[#This Row],[Follicle No. (R)]]</f>
        <v>5</v>
      </c>
      <c r="BE100">
        <f>Table1[[#This Row],[Avg. F size (L) (mm)]]+Table1[[#This Row],[Avg. F size (R) (mm)]]</f>
        <v>38</v>
      </c>
      <c r="BF100">
        <f>Table1[[#This Row],[BP _Diastolic (mmHg)]]+(Table1[[#This Row],[BP _Diastolic (mmHg)]]+Table1[[#This Row],[Follicle No. (L)]])/3</f>
        <v>94.333333333333329</v>
      </c>
      <c r="BG100" s="4" t="str" cm="1">
        <f t="array" ref="BG10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00" s="4">
        <f>SUM(Table1[[#This Row],[Pimples(Y/N)]],Table1[[#This Row],[hair growth(Y/N)]],Table1[[#This Row],[Skin darkening (Y/N)]],Table1[[#This Row],[Hair loss(Y/N)]])</f>
        <v>0</v>
      </c>
      <c r="BI100" s="4" t="str">
        <f>IF(AND(Table1[[#This Row],[Pregnant(Y/N)]]=0, Table1[[#This Row],[  I   beta-HCG(mIU/mL)]]&gt;5), "Investigation Required", "Clear")</f>
        <v>Clear</v>
      </c>
    </row>
    <row r="101" spans="1:61" ht="15.75" customHeight="1" x14ac:dyDescent="0.25">
      <c r="A101">
        <v>100</v>
      </c>
      <c r="B101">
        <v>100</v>
      </c>
      <c r="C101">
        <v>0</v>
      </c>
      <c r="D101" t="str">
        <f>IF(Table1[[#This Row],[PCOS (Y/N)]]=0,"NO","YES")</f>
        <v>NO</v>
      </c>
      <c r="E101">
        <v>32</v>
      </c>
      <c r="F101">
        <v>61.7</v>
      </c>
      <c r="G101">
        <v>156</v>
      </c>
      <c r="H101">
        <v>15</v>
      </c>
      <c r="I101">
        <v>78</v>
      </c>
      <c r="J101">
        <v>22</v>
      </c>
      <c r="K101">
        <v>12.2</v>
      </c>
      <c r="L101">
        <v>2</v>
      </c>
      <c r="M101">
        <v>5</v>
      </c>
      <c r="N101">
        <v>8</v>
      </c>
      <c r="O101">
        <v>0</v>
      </c>
      <c r="P101" t="str">
        <f>IF(Table1[[#This Row],[Pregnant(Y/N)]]=1,"YES","NO")</f>
        <v>NO</v>
      </c>
      <c r="Q101">
        <v>5</v>
      </c>
      <c r="R101">
        <v>5.03</v>
      </c>
      <c r="S101">
        <v>1.99</v>
      </c>
      <c r="T101">
        <v>5.64</v>
      </c>
      <c r="U101">
        <v>0.79</v>
      </c>
      <c r="V101">
        <f>Table1[[#This Row],[FSH(mIU/mL)]]/Table1[[#This Row],[LH(mIU/mL)]]</f>
        <v>7.1392405063291129</v>
      </c>
      <c r="W101" t="str">
        <f>IF(Table1[[#This Row],[FSH/LH]]&gt;=2,"Abnormal","Normal")</f>
        <v>Abnormal</v>
      </c>
      <c r="X101">
        <v>41</v>
      </c>
      <c r="Y101">
        <v>34</v>
      </c>
      <c r="Z101">
        <f>ROUND(Table1[[#This Row],[Waist(inch)]]/Table1[[#This Row],[Hip(inch)]],2)</f>
        <v>0.83</v>
      </c>
      <c r="AA101">
        <v>4.1399999999999997</v>
      </c>
      <c r="AB101">
        <v>4.2699999999999996</v>
      </c>
      <c r="AC101">
        <v>13.66</v>
      </c>
      <c r="AD101">
        <v>37.200000000000003</v>
      </c>
      <c r="AE101" t="str">
        <f>IF(Table1[[#This Row],[Vit D3 (ng/mL)]]&lt;20,"Deficiency","Normal")</f>
        <v>Normal</v>
      </c>
      <c r="AF101">
        <v>0.4</v>
      </c>
      <c r="AG101">
        <v>60</v>
      </c>
      <c r="AH101">
        <v>0</v>
      </c>
      <c r="AI101" t="str">
        <f>IF(Table1[[#This Row],[Weight gain(Y/N)]]=0,"NO","YES")</f>
        <v>NO</v>
      </c>
      <c r="AJ101">
        <v>0</v>
      </c>
      <c r="AK101" t="str">
        <f>IF(Table1[[#This Row],[hair growth(Y/N)]]=1,"YES","NO")</f>
        <v>NO</v>
      </c>
      <c r="AL101">
        <v>0</v>
      </c>
      <c r="AM101" t="str">
        <f>IF(Table1[[#This Row],[Skin darkening (Y/N)]]=1,"YES","NO")</f>
        <v>NO</v>
      </c>
      <c r="AN101">
        <v>0</v>
      </c>
      <c r="AO101" t="str">
        <f>IF(Table1[[#This Row],[Hair loss(Y/N)]]=1,"YES","NO")</f>
        <v>NO</v>
      </c>
      <c r="AP101">
        <v>0</v>
      </c>
      <c r="AQ101" t="str">
        <f>IF(Table1[[#This Row],[Pimples(Y/N)]]=1,"YES","NO")</f>
        <v>NO</v>
      </c>
      <c r="AR101">
        <v>0</v>
      </c>
      <c r="AS101" t="str">
        <f>IF(Table1[[#This Row],[Fast food (Y/N)]]=1,"YES","NO")</f>
        <v>NO</v>
      </c>
      <c r="AT101">
        <v>0</v>
      </c>
      <c r="AU101" t="str">
        <f>IF(Table1[[#This Row],[Reg.Exercise(Y/N)]]=1,"YES","NO")</f>
        <v>NO</v>
      </c>
      <c r="AV101">
        <v>110</v>
      </c>
      <c r="AW101">
        <v>80</v>
      </c>
      <c r="AX101">
        <v>4</v>
      </c>
      <c r="AY101">
        <v>2</v>
      </c>
      <c r="AZ101">
        <v>18</v>
      </c>
      <c r="BA101">
        <v>18</v>
      </c>
      <c r="BB101">
        <v>7.5</v>
      </c>
      <c r="BC101" t="str" cm="1">
        <f t="array" ref="BC101">_xlfn.IFS((F101/(G101*G101)*10000)&lt; 18.5,"Underweight",(F101/(G101*G101)*10000)&lt;24.9,"Normal",(F101/(G101*G101)*10000)&lt;29.9,"Overweight",(F101/(G101*G101)*10000)&gt;=30,"obesity")</f>
        <v>Overweight</v>
      </c>
      <c r="BD101">
        <f>Table1[[#This Row],[Follicle No. (L)]]+Table1[[#This Row],[Follicle No. (R)]]</f>
        <v>6</v>
      </c>
      <c r="BE101">
        <f>Table1[[#This Row],[Avg. F size (L) (mm)]]+Table1[[#This Row],[Avg. F size (R) (mm)]]</f>
        <v>36</v>
      </c>
      <c r="BF101">
        <f>Table1[[#This Row],[BP _Diastolic (mmHg)]]+(Table1[[#This Row],[BP _Diastolic (mmHg)]]+Table1[[#This Row],[Follicle No. (L)]])/3</f>
        <v>108</v>
      </c>
      <c r="BG101" s="4" t="str" cm="1">
        <f t="array" ref="BG10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01" s="4">
        <f>SUM(Table1[[#This Row],[Pimples(Y/N)]],Table1[[#This Row],[hair growth(Y/N)]],Table1[[#This Row],[Skin darkening (Y/N)]],Table1[[#This Row],[Hair loss(Y/N)]])</f>
        <v>0</v>
      </c>
      <c r="BI101" s="4" t="str">
        <f>IF(AND(Table1[[#This Row],[Pregnant(Y/N)]]=0, Table1[[#This Row],[  I   beta-HCG(mIU/mL)]]&gt;5), "Investigation Required", "Clear")</f>
        <v>Investigation Required</v>
      </c>
    </row>
    <row r="102" spans="1:61" ht="15.75" customHeight="1" x14ac:dyDescent="0.25">
      <c r="A102">
        <v>101</v>
      </c>
      <c r="B102">
        <v>101</v>
      </c>
      <c r="C102">
        <v>0</v>
      </c>
      <c r="D102" t="str">
        <f>IF(Table1[[#This Row],[PCOS (Y/N)]]=0,"NO","YES")</f>
        <v>NO</v>
      </c>
      <c r="E102">
        <v>30</v>
      </c>
      <c r="F102">
        <v>62.2</v>
      </c>
      <c r="G102">
        <v>158</v>
      </c>
      <c r="H102">
        <v>13</v>
      </c>
      <c r="I102">
        <v>72</v>
      </c>
      <c r="J102">
        <v>18</v>
      </c>
      <c r="K102">
        <v>10.8</v>
      </c>
      <c r="L102">
        <v>2</v>
      </c>
      <c r="M102">
        <v>5</v>
      </c>
      <c r="N102">
        <v>5</v>
      </c>
      <c r="O102">
        <v>1</v>
      </c>
      <c r="P102" t="str">
        <f>IF(Table1[[#This Row],[Pregnant(Y/N)]]=1,"YES","NO")</f>
        <v>YES</v>
      </c>
      <c r="Q102">
        <v>1</v>
      </c>
      <c r="R102">
        <v>100.09</v>
      </c>
      <c r="S102">
        <v>100.09</v>
      </c>
      <c r="T102">
        <v>1.48</v>
      </c>
      <c r="U102">
        <v>0.3</v>
      </c>
      <c r="V102">
        <f>Table1[[#This Row],[FSH(mIU/mL)]]/Table1[[#This Row],[LH(mIU/mL)]]</f>
        <v>4.9333333333333336</v>
      </c>
      <c r="W102" t="str">
        <f>IF(Table1[[#This Row],[FSH/LH]]&gt;=2,"Abnormal","Normal")</f>
        <v>Abnormal</v>
      </c>
      <c r="X102">
        <v>42</v>
      </c>
      <c r="Y102">
        <v>37</v>
      </c>
      <c r="Z102">
        <f>ROUND(Table1[[#This Row],[Waist(inch)]]/Table1[[#This Row],[Hip(inch)]],2)</f>
        <v>0.88</v>
      </c>
      <c r="AA102">
        <v>1.44</v>
      </c>
      <c r="AB102">
        <v>3.86</v>
      </c>
      <c r="AC102">
        <v>20.079999999999998</v>
      </c>
      <c r="AD102">
        <v>16.899999999999999</v>
      </c>
      <c r="AE102" t="str">
        <f>IF(Table1[[#This Row],[Vit D3 (ng/mL)]]&lt;20,"Deficiency","Normal")</f>
        <v>Deficiency</v>
      </c>
      <c r="AF102">
        <v>0.98</v>
      </c>
      <c r="AG102">
        <v>116</v>
      </c>
      <c r="AH102">
        <v>0</v>
      </c>
      <c r="AI102" t="str">
        <f>IF(Table1[[#This Row],[Weight gain(Y/N)]]=0,"NO","YES")</f>
        <v>NO</v>
      </c>
      <c r="AJ102">
        <v>0</v>
      </c>
      <c r="AK102" t="str">
        <f>IF(Table1[[#This Row],[hair growth(Y/N)]]=1,"YES","NO")</f>
        <v>NO</v>
      </c>
      <c r="AL102">
        <v>0</v>
      </c>
      <c r="AM102" t="str">
        <f>IF(Table1[[#This Row],[Skin darkening (Y/N)]]=1,"YES","NO")</f>
        <v>NO</v>
      </c>
      <c r="AN102">
        <v>0</v>
      </c>
      <c r="AO102" t="str">
        <f>IF(Table1[[#This Row],[Hair loss(Y/N)]]=1,"YES","NO")</f>
        <v>NO</v>
      </c>
      <c r="AP102">
        <v>0</v>
      </c>
      <c r="AQ102" t="str">
        <f>IF(Table1[[#This Row],[Pimples(Y/N)]]=1,"YES","NO")</f>
        <v>NO</v>
      </c>
      <c r="AR102">
        <v>0</v>
      </c>
      <c r="AS102" t="str">
        <f>IF(Table1[[#This Row],[Fast food (Y/N)]]=1,"YES","NO")</f>
        <v>NO</v>
      </c>
      <c r="AT102">
        <v>0</v>
      </c>
      <c r="AU102" t="str">
        <f>IF(Table1[[#This Row],[Reg.Exercise(Y/N)]]=1,"YES","NO")</f>
        <v>NO</v>
      </c>
      <c r="AV102">
        <v>120</v>
      </c>
      <c r="AW102">
        <v>80</v>
      </c>
      <c r="AX102">
        <v>7</v>
      </c>
      <c r="AY102">
        <v>10</v>
      </c>
      <c r="AZ102">
        <v>19</v>
      </c>
      <c r="BA102">
        <v>20</v>
      </c>
      <c r="BB102">
        <v>6.8</v>
      </c>
      <c r="BC102" t="str" cm="1">
        <f t="array" ref="BC102">_xlfn.IFS((F102/(G102*G102)*10000)&lt; 18.5,"Underweight",(F102/(G102*G102)*10000)&lt;24.9,"Normal",(F102/(G102*G102)*10000)&lt;29.9,"Overweight",(F102/(G102*G102)*10000)&gt;=30,"obesity")</f>
        <v>Overweight</v>
      </c>
      <c r="BD102">
        <f>Table1[[#This Row],[Follicle No. (L)]]+Table1[[#This Row],[Follicle No. (R)]]</f>
        <v>17</v>
      </c>
      <c r="BE102">
        <f>Table1[[#This Row],[Avg. F size (L) (mm)]]+Table1[[#This Row],[Avg. F size (R) (mm)]]</f>
        <v>39</v>
      </c>
      <c r="BF102">
        <f>Table1[[#This Row],[BP _Diastolic (mmHg)]]+(Table1[[#This Row],[BP _Diastolic (mmHg)]]+Table1[[#This Row],[Follicle No. (L)]])/3</f>
        <v>109</v>
      </c>
      <c r="BG102" s="4" t="str" cm="1">
        <f t="array" ref="BG10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02" s="4">
        <f>SUM(Table1[[#This Row],[Pimples(Y/N)]],Table1[[#This Row],[hair growth(Y/N)]],Table1[[#This Row],[Skin darkening (Y/N)]],Table1[[#This Row],[Hair loss(Y/N)]])</f>
        <v>0</v>
      </c>
      <c r="BI102" s="4" t="str">
        <f>IF(AND(Table1[[#This Row],[Pregnant(Y/N)]]=0, Table1[[#This Row],[  I   beta-HCG(mIU/mL)]]&gt;5), "Investigation Required", "Clear")</f>
        <v>Clear</v>
      </c>
    </row>
    <row r="103" spans="1:61" ht="15.75" customHeight="1" x14ac:dyDescent="0.25">
      <c r="A103">
        <v>102</v>
      </c>
      <c r="B103">
        <v>102</v>
      </c>
      <c r="C103">
        <v>0</v>
      </c>
      <c r="D103" t="str">
        <f>IF(Table1[[#This Row],[PCOS (Y/N)]]=0,"NO","YES")</f>
        <v>NO</v>
      </c>
      <c r="E103">
        <v>34</v>
      </c>
      <c r="F103">
        <v>74.099999999999994</v>
      </c>
      <c r="G103">
        <v>162</v>
      </c>
      <c r="H103">
        <v>11</v>
      </c>
      <c r="I103">
        <v>78</v>
      </c>
      <c r="J103">
        <v>22</v>
      </c>
      <c r="K103">
        <v>12.4</v>
      </c>
      <c r="L103">
        <v>4</v>
      </c>
      <c r="M103">
        <v>11</v>
      </c>
      <c r="N103">
        <v>13</v>
      </c>
      <c r="O103">
        <v>0</v>
      </c>
      <c r="P103" t="str">
        <f>IF(Table1[[#This Row],[Pregnant(Y/N)]]=1,"YES","NO")</f>
        <v>NO</v>
      </c>
      <c r="Q103">
        <v>0</v>
      </c>
      <c r="R103">
        <v>1.99</v>
      </c>
      <c r="S103">
        <v>1.99</v>
      </c>
      <c r="T103">
        <v>1.47</v>
      </c>
      <c r="U103">
        <v>0.3</v>
      </c>
      <c r="V103">
        <f>Table1[[#This Row],[FSH(mIU/mL)]]/Table1[[#This Row],[LH(mIU/mL)]]</f>
        <v>4.9000000000000004</v>
      </c>
      <c r="W103" t="str">
        <f>IF(Table1[[#This Row],[FSH/LH]]&gt;=2,"Abnormal","Normal")</f>
        <v>Abnormal</v>
      </c>
      <c r="X103">
        <v>41</v>
      </c>
      <c r="Y103">
        <v>34</v>
      </c>
      <c r="Z103">
        <f>ROUND(Table1[[#This Row],[Waist(inch)]]/Table1[[#This Row],[Hip(inch)]],2)</f>
        <v>0.83</v>
      </c>
      <c r="AA103">
        <v>1.56</v>
      </c>
      <c r="AB103">
        <v>1.42</v>
      </c>
      <c r="AC103">
        <v>13.18</v>
      </c>
      <c r="AD103">
        <v>44.5</v>
      </c>
      <c r="AE103" t="str">
        <f>IF(Table1[[#This Row],[Vit D3 (ng/mL)]]&lt;20,"Deficiency","Normal")</f>
        <v>Normal</v>
      </c>
      <c r="AF103">
        <v>0.3</v>
      </c>
      <c r="AG103">
        <v>131</v>
      </c>
      <c r="AH103">
        <v>0</v>
      </c>
      <c r="AI103" t="str">
        <f>IF(Table1[[#This Row],[Weight gain(Y/N)]]=0,"NO","YES")</f>
        <v>NO</v>
      </c>
      <c r="AJ103">
        <v>0</v>
      </c>
      <c r="AK103" t="str">
        <f>IF(Table1[[#This Row],[hair growth(Y/N)]]=1,"YES","NO")</f>
        <v>NO</v>
      </c>
      <c r="AL103">
        <v>0</v>
      </c>
      <c r="AM103" t="str">
        <f>IF(Table1[[#This Row],[Skin darkening (Y/N)]]=1,"YES","NO")</f>
        <v>NO</v>
      </c>
      <c r="AN103">
        <v>0</v>
      </c>
      <c r="AO103" t="str">
        <f>IF(Table1[[#This Row],[Hair loss(Y/N)]]=1,"YES","NO")</f>
        <v>NO</v>
      </c>
      <c r="AP103">
        <v>0</v>
      </c>
      <c r="AQ103" t="str">
        <f>IF(Table1[[#This Row],[Pimples(Y/N)]]=1,"YES","NO")</f>
        <v>NO</v>
      </c>
      <c r="AR103">
        <v>0</v>
      </c>
      <c r="AS103" t="str">
        <f>IF(Table1[[#This Row],[Fast food (Y/N)]]=1,"YES","NO")</f>
        <v>NO</v>
      </c>
      <c r="AT103">
        <v>0</v>
      </c>
      <c r="AU103" t="str">
        <f>IF(Table1[[#This Row],[Reg.Exercise(Y/N)]]=1,"YES","NO")</f>
        <v>NO</v>
      </c>
      <c r="AV103">
        <v>110</v>
      </c>
      <c r="AW103">
        <v>80</v>
      </c>
      <c r="AX103">
        <v>5</v>
      </c>
      <c r="AY103">
        <v>2</v>
      </c>
      <c r="AZ103">
        <v>17.5</v>
      </c>
      <c r="BA103">
        <v>18</v>
      </c>
      <c r="BB103">
        <v>6.4</v>
      </c>
      <c r="BC103" t="str" cm="1">
        <f t="array" ref="BC103">_xlfn.IFS((F103/(G103*G103)*10000)&lt; 18.5,"Underweight",(F103/(G103*G103)*10000)&lt;24.9,"Normal",(F103/(G103*G103)*10000)&lt;29.9,"Overweight",(F103/(G103*G103)*10000)&gt;=30,"obesity")</f>
        <v>Overweight</v>
      </c>
      <c r="BD103">
        <f>Table1[[#This Row],[Follicle No. (L)]]+Table1[[#This Row],[Follicle No. (R)]]</f>
        <v>7</v>
      </c>
      <c r="BE103">
        <f>Table1[[#This Row],[Avg. F size (L) (mm)]]+Table1[[#This Row],[Avg. F size (R) (mm)]]</f>
        <v>35.5</v>
      </c>
      <c r="BF103">
        <f>Table1[[#This Row],[BP _Diastolic (mmHg)]]+(Table1[[#This Row],[BP _Diastolic (mmHg)]]+Table1[[#This Row],[Follicle No. (L)]])/3</f>
        <v>108.33333333333333</v>
      </c>
      <c r="BG103" s="4" t="str" cm="1">
        <f t="array" ref="BG10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03" s="4">
        <f>SUM(Table1[[#This Row],[Pimples(Y/N)]],Table1[[#This Row],[hair growth(Y/N)]],Table1[[#This Row],[Skin darkening (Y/N)]],Table1[[#This Row],[Hair loss(Y/N)]])</f>
        <v>0</v>
      </c>
      <c r="BI103" s="4" t="str">
        <f>IF(AND(Table1[[#This Row],[Pregnant(Y/N)]]=0, Table1[[#This Row],[  I   beta-HCG(mIU/mL)]]&gt;5), "Investigation Required", "Clear")</f>
        <v>Clear</v>
      </c>
    </row>
    <row r="104" spans="1:61" ht="15.75" customHeight="1" x14ac:dyDescent="0.25">
      <c r="A104">
        <v>103</v>
      </c>
      <c r="B104">
        <v>103</v>
      </c>
      <c r="C104">
        <v>1</v>
      </c>
      <c r="D104" t="str">
        <f>IF(Table1[[#This Row],[PCOS (Y/N)]]=0,"NO","YES")</f>
        <v>YES</v>
      </c>
      <c r="E104">
        <v>38</v>
      </c>
      <c r="F104">
        <v>64.3</v>
      </c>
      <c r="G104">
        <v>149</v>
      </c>
      <c r="H104">
        <v>11</v>
      </c>
      <c r="I104">
        <v>78</v>
      </c>
      <c r="J104">
        <v>20</v>
      </c>
      <c r="K104">
        <v>12.9</v>
      </c>
      <c r="L104">
        <v>4</v>
      </c>
      <c r="M104">
        <v>2</v>
      </c>
      <c r="N104">
        <v>16</v>
      </c>
      <c r="O104">
        <v>1</v>
      </c>
      <c r="P104" t="str">
        <f>IF(Table1[[#This Row],[Pregnant(Y/N)]]=1,"YES","NO")</f>
        <v>YES</v>
      </c>
      <c r="Q104">
        <v>1</v>
      </c>
      <c r="R104">
        <v>110.17</v>
      </c>
      <c r="S104">
        <v>110.17</v>
      </c>
      <c r="T104">
        <v>10.52</v>
      </c>
      <c r="U104">
        <v>2.5299999999999998</v>
      </c>
      <c r="V104">
        <f>Table1[[#This Row],[FSH(mIU/mL)]]/Table1[[#This Row],[LH(mIU/mL)]]</f>
        <v>4.1581027667984189</v>
      </c>
      <c r="W104" t="str">
        <f>IF(Table1[[#This Row],[FSH/LH]]&gt;=2,"Abnormal","Normal")</f>
        <v>Abnormal</v>
      </c>
      <c r="X104">
        <v>42</v>
      </c>
      <c r="Y104">
        <v>36</v>
      </c>
      <c r="Z104">
        <f>ROUND(Table1[[#This Row],[Waist(inch)]]/Table1[[#This Row],[Hip(inch)]],2)</f>
        <v>0.86</v>
      </c>
      <c r="AA104">
        <v>1.32</v>
      </c>
      <c r="AB104">
        <v>10.07</v>
      </c>
      <c r="AC104">
        <v>14.52</v>
      </c>
      <c r="AD104">
        <v>70.53</v>
      </c>
      <c r="AE104" t="str">
        <f>IF(Table1[[#This Row],[Vit D3 (ng/mL)]]&lt;20,"Deficiency","Normal")</f>
        <v>Normal</v>
      </c>
      <c r="AF104">
        <v>0.1</v>
      </c>
      <c r="AG104">
        <v>83.2</v>
      </c>
      <c r="AH104">
        <v>1</v>
      </c>
      <c r="AI104" t="str">
        <f>IF(Table1[[#This Row],[Weight gain(Y/N)]]=0,"NO","YES")</f>
        <v>YES</v>
      </c>
      <c r="AJ104">
        <v>1</v>
      </c>
      <c r="AK104" t="str">
        <f>IF(Table1[[#This Row],[hair growth(Y/N)]]=1,"YES","NO")</f>
        <v>YES</v>
      </c>
      <c r="AL104">
        <v>1</v>
      </c>
      <c r="AM104" t="str">
        <f>IF(Table1[[#This Row],[Skin darkening (Y/N)]]=1,"YES","NO")</f>
        <v>YES</v>
      </c>
      <c r="AN104">
        <v>1</v>
      </c>
      <c r="AO104" t="str">
        <f>IF(Table1[[#This Row],[Hair loss(Y/N)]]=1,"YES","NO")</f>
        <v>YES</v>
      </c>
      <c r="AP104">
        <v>1</v>
      </c>
      <c r="AQ104" t="str">
        <f>IF(Table1[[#This Row],[Pimples(Y/N)]]=1,"YES","NO")</f>
        <v>YES</v>
      </c>
      <c r="AR104">
        <v>1</v>
      </c>
      <c r="AS104" t="str">
        <f>IF(Table1[[#This Row],[Fast food (Y/N)]]=1,"YES","NO")</f>
        <v>YES</v>
      </c>
      <c r="AT104">
        <v>0</v>
      </c>
      <c r="AU104" t="str">
        <f>IF(Table1[[#This Row],[Reg.Exercise(Y/N)]]=1,"YES","NO")</f>
        <v>NO</v>
      </c>
      <c r="AV104">
        <v>110</v>
      </c>
      <c r="AW104">
        <v>70</v>
      </c>
      <c r="AX104">
        <v>12</v>
      </c>
      <c r="AY104">
        <v>12</v>
      </c>
      <c r="AZ104">
        <v>17</v>
      </c>
      <c r="BA104">
        <v>9</v>
      </c>
      <c r="BB104">
        <v>11.3</v>
      </c>
      <c r="BC104" t="str" cm="1">
        <f t="array" ref="BC104">_xlfn.IFS((F104/(G104*G104)*10000)&lt; 18.5,"Underweight",(F104/(G104*G104)*10000)&lt;24.9,"Normal",(F104/(G104*G104)*10000)&lt;29.9,"Overweight",(F104/(G104*G104)*10000)&gt;=30,"obesity")</f>
        <v>Overweight</v>
      </c>
      <c r="BD104">
        <f>Table1[[#This Row],[Follicle No. (L)]]+Table1[[#This Row],[Follicle No. (R)]]</f>
        <v>24</v>
      </c>
      <c r="BE104">
        <f>Table1[[#This Row],[Avg. F size (L) (mm)]]+Table1[[#This Row],[Avg. F size (R) (mm)]]</f>
        <v>26</v>
      </c>
      <c r="BF104">
        <f>Table1[[#This Row],[BP _Diastolic (mmHg)]]+(Table1[[#This Row],[BP _Diastolic (mmHg)]]+Table1[[#This Row],[Follicle No. (L)]])/3</f>
        <v>97.333333333333329</v>
      </c>
      <c r="BG104" s="4" t="str" cm="1">
        <f t="array" ref="BG10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04" s="4">
        <f>SUM(Table1[[#This Row],[Pimples(Y/N)]],Table1[[#This Row],[hair growth(Y/N)]],Table1[[#This Row],[Skin darkening (Y/N)]],Table1[[#This Row],[Hair loss(Y/N)]])</f>
        <v>4</v>
      </c>
      <c r="BI104" s="4" t="str">
        <f>IF(AND(Table1[[#This Row],[Pregnant(Y/N)]]=0, Table1[[#This Row],[  I   beta-HCG(mIU/mL)]]&gt;5), "Investigation Required", "Clear")</f>
        <v>Clear</v>
      </c>
    </row>
    <row r="105" spans="1:61" ht="15.75" customHeight="1" x14ac:dyDescent="0.25">
      <c r="A105">
        <v>104</v>
      </c>
      <c r="B105">
        <v>104</v>
      </c>
      <c r="C105">
        <v>0</v>
      </c>
      <c r="D105" t="str">
        <f>IF(Table1[[#This Row],[PCOS (Y/N)]]=0,"NO","YES")</f>
        <v>NO</v>
      </c>
      <c r="E105">
        <v>34</v>
      </c>
      <c r="F105">
        <v>57</v>
      </c>
      <c r="G105">
        <v>160</v>
      </c>
      <c r="H105">
        <v>15</v>
      </c>
      <c r="I105">
        <v>72</v>
      </c>
      <c r="J105">
        <v>20</v>
      </c>
      <c r="K105">
        <v>11.8</v>
      </c>
      <c r="L105">
        <v>2</v>
      </c>
      <c r="M105">
        <v>5</v>
      </c>
      <c r="N105">
        <v>12</v>
      </c>
      <c r="O105">
        <v>1</v>
      </c>
      <c r="P105" t="str">
        <f>IF(Table1[[#This Row],[Pregnant(Y/N)]]=1,"YES","NO")</f>
        <v>YES</v>
      </c>
      <c r="Q105">
        <v>1</v>
      </c>
      <c r="R105">
        <v>174.37</v>
      </c>
      <c r="S105">
        <v>174.37</v>
      </c>
      <c r="T105">
        <v>9.4</v>
      </c>
      <c r="U105">
        <v>3.72</v>
      </c>
      <c r="V105">
        <f>Table1[[#This Row],[FSH(mIU/mL)]]/Table1[[#This Row],[LH(mIU/mL)]]</f>
        <v>2.5268817204301075</v>
      </c>
      <c r="W105" t="str">
        <f>IF(Table1[[#This Row],[FSH/LH]]&gt;=2,"Abnormal","Normal")</f>
        <v>Abnormal</v>
      </c>
      <c r="X105">
        <v>38</v>
      </c>
      <c r="Y105">
        <v>32</v>
      </c>
      <c r="Z105">
        <f>ROUND(Table1[[#This Row],[Waist(inch)]]/Table1[[#This Row],[Hip(inch)]],2)</f>
        <v>0.84</v>
      </c>
      <c r="AA105">
        <v>4.05</v>
      </c>
      <c r="AB105">
        <v>0.98</v>
      </c>
      <c r="AC105">
        <v>17.55</v>
      </c>
      <c r="AD105">
        <v>24.3</v>
      </c>
      <c r="AE105" t="str">
        <f>IF(Table1[[#This Row],[Vit D3 (ng/mL)]]&lt;20,"Deficiency","Normal")</f>
        <v>Normal</v>
      </c>
      <c r="AF105">
        <v>0.38</v>
      </c>
      <c r="AG105">
        <v>92</v>
      </c>
      <c r="AH105">
        <v>0</v>
      </c>
      <c r="AI105" t="str">
        <f>IF(Table1[[#This Row],[Weight gain(Y/N)]]=0,"NO","YES")</f>
        <v>NO</v>
      </c>
      <c r="AJ105">
        <v>0</v>
      </c>
      <c r="AK105" t="str">
        <f>IF(Table1[[#This Row],[hair growth(Y/N)]]=1,"YES","NO")</f>
        <v>NO</v>
      </c>
      <c r="AL105">
        <v>0</v>
      </c>
      <c r="AM105" t="str">
        <f>IF(Table1[[#This Row],[Skin darkening (Y/N)]]=1,"YES","NO")</f>
        <v>NO</v>
      </c>
      <c r="AN105">
        <v>0</v>
      </c>
      <c r="AO105" t="str">
        <f>IF(Table1[[#This Row],[Hair loss(Y/N)]]=1,"YES","NO")</f>
        <v>NO</v>
      </c>
      <c r="AP105">
        <v>0</v>
      </c>
      <c r="AQ105" t="str">
        <f>IF(Table1[[#This Row],[Pimples(Y/N)]]=1,"YES","NO")</f>
        <v>NO</v>
      </c>
      <c r="AR105">
        <v>0</v>
      </c>
      <c r="AS105" t="str">
        <f>IF(Table1[[#This Row],[Fast food (Y/N)]]=1,"YES","NO")</f>
        <v>NO</v>
      </c>
      <c r="AT105">
        <v>0</v>
      </c>
      <c r="AU105" t="str">
        <f>IF(Table1[[#This Row],[Reg.Exercise(Y/N)]]=1,"YES","NO")</f>
        <v>NO</v>
      </c>
      <c r="AV105">
        <v>120</v>
      </c>
      <c r="AW105">
        <v>80</v>
      </c>
      <c r="AX105">
        <v>1</v>
      </c>
      <c r="AY105">
        <v>0</v>
      </c>
      <c r="AZ105">
        <v>14</v>
      </c>
      <c r="BA105">
        <v>0</v>
      </c>
      <c r="BB105">
        <v>7</v>
      </c>
      <c r="BC105" t="str" cm="1">
        <f t="array" ref="BC105">_xlfn.IFS((F105/(G105*G105)*10000)&lt; 18.5,"Underweight",(F105/(G105*G105)*10000)&lt;24.9,"Normal",(F105/(G105*G105)*10000)&lt;29.9,"Overweight",(F105/(G105*G105)*10000)&gt;=30,"obesity")</f>
        <v>Normal</v>
      </c>
      <c r="BD105">
        <f>Table1[[#This Row],[Follicle No. (L)]]+Table1[[#This Row],[Follicle No. (R)]]</f>
        <v>1</v>
      </c>
      <c r="BE105">
        <f>Table1[[#This Row],[Avg. F size (L) (mm)]]+Table1[[#This Row],[Avg. F size (R) (mm)]]</f>
        <v>14</v>
      </c>
      <c r="BF105">
        <f>Table1[[#This Row],[BP _Diastolic (mmHg)]]+(Table1[[#This Row],[BP _Diastolic (mmHg)]]+Table1[[#This Row],[Follicle No. (L)]])/3</f>
        <v>107</v>
      </c>
      <c r="BG105" s="4" t="str" cm="1">
        <f t="array" ref="BG10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05" s="4">
        <f>SUM(Table1[[#This Row],[Pimples(Y/N)]],Table1[[#This Row],[hair growth(Y/N)]],Table1[[#This Row],[Skin darkening (Y/N)]],Table1[[#This Row],[Hair loss(Y/N)]])</f>
        <v>0</v>
      </c>
      <c r="BI105" s="4" t="str">
        <f>IF(AND(Table1[[#This Row],[Pregnant(Y/N)]]=0, Table1[[#This Row],[  I   beta-HCG(mIU/mL)]]&gt;5), "Investigation Required", "Clear")</f>
        <v>Clear</v>
      </c>
    </row>
    <row r="106" spans="1:61" ht="15.75" customHeight="1" x14ac:dyDescent="0.25">
      <c r="A106">
        <v>105</v>
      </c>
      <c r="B106">
        <v>105</v>
      </c>
      <c r="C106">
        <v>0</v>
      </c>
      <c r="D106" t="str">
        <f>IF(Table1[[#This Row],[PCOS (Y/N)]]=0,"NO","YES")</f>
        <v>NO</v>
      </c>
      <c r="E106">
        <v>29</v>
      </c>
      <c r="F106">
        <v>60</v>
      </c>
      <c r="G106">
        <v>159</v>
      </c>
      <c r="H106">
        <v>13</v>
      </c>
      <c r="I106">
        <v>72</v>
      </c>
      <c r="J106">
        <v>18</v>
      </c>
      <c r="K106">
        <v>11.2</v>
      </c>
      <c r="L106">
        <v>4</v>
      </c>
      <c r="M106">
        <v>9</v>
      </c>
      <c r="N106">
        <v>6</v>
      </c>
      <c r="O106">
        <v>1</v>
      </c>
      <c r="P106" t="str">
        <f>IF(Table1[[#This Row],[Pregnant(Y/N)]]=1,"YES","NO")</f>
        <v>YES</v>
      </c>
      <c r="Q106">
        <v>0</v>
      </c>
      <c r="R106">
        <v>5202.59</v>
      </c>
      <c r="S106">
        <v>75.510000000000005</v>
      </c>
      <c r="T106">
        <v>7.11</v>
      </c>
      <c r="U106">
        <v>7.45</v>
      </c>
      <c r="V106">
        <f>Table1[[#This Row],[FSH(mIU/mL)]]/Table1[[#This Row],[LH(mIU/mL)]]</f>
        <v>0.95436241610738259</v>
      </c>
      <c r="W106" t="str">
        <f>IF(Table1[[#This Row],[FSH/LH]]&gt;=2,"Abnormal","Normal")</f>
        <v>Normal</v>
      </c>
      <c r="X106">
        <v>39</v>
      </c>
      <c r="Y106">
        <v>32</v>
      </c>
      <c r="Z106">
        <f>ROUND(Table1[[#This Row],[Waist(inch)]]/Table1[[#This Row],[Hip(inch)]],2)</f>
        <v>0.82</v>
      </c>
      <c r="AA106">
        <v>5</v>
      </c>
      <c r="AB106">
        <v>4.07</v>
      </c>
      <c r="AC106">
        <v>10.119999999999999</v>
      </c>
      <c r="AD106">
        <v>23.6</v>
      </c>
      <c r="AE106" t="str">
        <f>IF(Table1[[#This Row],[Vit D3 (ng/mL)]]&lt;20,"Deficiency","Normal")</f>
        <v>Normal</v>
      </c>
      <c r="AF106">
        <v>0.36</v>
      </c>
      <c r="AG106">
        <v>91</v>
      </c>
      <c r="AH106">
        <v>0</v>
      </c>
      <c r="AI106" t="str">
        <f>IF(Table1[[#This Row],[Weight gain(Y/N)]]=0,"NO","YES")</f>
        <v>NO</v>
      </c>
      <c r="AJ106">
        <v>0</v>
      </c>
      <c r="AK106" t="str">
        <f>IF(Table1[[#This Row],[hair growth(Y/N)]]=1,"YES","NO")</f>
        <v>NO</v>
      </c>
      <c r="AL106">
        <v>0</v>
      </c>
      <c r="AM106" t="str">
        <f>IF(Table1[[#This Row],[Skin darkening (Y/N)]]=1,"YES","NO")</f>
        <v>NO</v>
      </c>
      <c r="AN106">
        <v>0</v>
      </c>
      <c r="AO106" t="str">
        <f>IF(Table1[[#This Row],[Hair loss(Y/N)]]=1,"YES","NO")</f>
        <v>NO</v>
      </c>
      <c r="AP106">
        <v>0</v>
      </c>
      <c r="AQ106" t="str">
        <f>IF(Table1[[#This Row],[Pimples(Y/N)]]=1,"YES","NO")</f>
        <v>NO</v>
      </c>
      <c r="AR106">
        <v>0</v>
      </c>
      <c r="AS106" t="str">
        <f>IF(Table1[[#This Row],[Fast food (Y/N)]]=1,"YES","NO")</f>
        <v>NO</v>
      </c>
      <c r="AT106">
        <v>0</v>
      </c>
      <c r="AU106" t="str">
        <f>IF(Table1[[#This Row],[Reg.Exercise(Y/N)]]=1,"YES","NO")</f>
        <v>NO</v>
      </c>
      <c r="AV106">
        <v>120</v>
      </c>
      <c r="AW106">
        <v>80</v>
      </c>
      <c r="AX106">
        <v>11</v>
      </c>
      <c r="AY106">
        <v>12</v>
      </c>
      <c r="AZ106">
        <v>18</v>
      </c>
      <c r="BA106">
        <v>20</v>
      </c>
      <c r="BB106">
        <v>7</v>
      </c>
      <c r="BC106" t="str" cm="1">
        <f t="array" ref="BC106">_xlfn.IFS((F106/(G106*G106)*10000)&lt; 18.5,"Underweight",(F106/(G106*G106)*10000)&lt;24.9,"Normal",(F106/(G106*G106)*10000)&lt;29.9,"Overweight",(F106/(G106*G106)*10000)&gt;=30,"obesity")</f>
        <v>Normal</v>
      </c>
      <c r="BD106">
        <f>Table1[[#This Row],[Follicle No. (L)]]+Table1[[#This Row],[Follicle No. (R)]]</f>
        <v>23</v>
      </c>
      <c r="BE106">
        <f>Table1[[#This Row],[Avg. F size (L) (mm)]]+Table1[[#This Row],[Avg. F size (R) (mm)]]</f>
        <v>38</v>
      </c>
      <c r="BF106">
        <f>Table1[[#This Row],[BP _Diastolic (mmHg)]]+(Table1[[#This Row],[BP _Diastolic (mmHg)]]+Table1[[#This Row],[Follicle No. (L)]])/3</f>
        <v>110.33333333333333</v>
      </c>
      <c r="BG106" s="4" t="str" cm="1">
        <f t="array" ref="BG10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06" s="4">
        <f>SUM(Table1[[#This Row],[Pimples(Y/N)]],Table1[[#This Row],[hair growth(Y/N)]],Table1[[#This Row],[Skin darkening (Y/N)]],Table1[[#This Row],[Hair loss(Y/N)]])</f>
        <v>0</v>
      </c>
      <c r="BI106" s="4" t="str">
        <f>IF(AND(Table1[[#This Row],[Pregnant(Y/N)]]=0, Table1[[#This Row],[  I   beta-HCG(mIU/mL)]]&gt;5), "Investigation Required", "Clear")</f>
        <v>Clear</v>
      </c>
    </row>
    <row r="107" spans="1:61" ht="15.75" customHeight="1" x14ac:dyDescent="0.25">
      <c r="A107">
        <v>106</v>
      </c>
      <c r="B107">
        <v>106</v>
      </c>
      <c r="C107">
        <v>1</v>
      </c>
      <c r="D107" t="str">
        <f>IF(Table1[[#This Row],[PCOS (Y/N)]]=0,"NO","YES")</f>
        <v>YES</v>
      </c>
      <c r="E107">
        <v>25</v>
      </c>
      <c r="F107">
        <v>68.599999999999994</v>
      </c>
      <c r="G107">
        <v>180</v>
      </c>
      <c r="H107">
        <v>11</v>
      </c>
      <c r="I107">
        <v>74</v>
      </c>
      <c r="J107">
        <v>20</v>
      </c>
      <c r="K107">
        <v>10</v>
      </c>
      <c r="L107">
        <v>2</v>
      </c>
      <c r="M107">
        <v>5</v>
      </c>
      <c r="N107">
        <v>4</v>
      </c>
      <c r="O107">
        <v>1</v>
      </c>
      <c r="P107" t="str">
        <f>IF(Table1[[#This Row],[Pregnant(Y/N)]]=1,"YES","NO")</f>
        <v>YES</v>
      </c>
      <c r="Q107">
        <v>0</v>
      </c>
      <c r="R107">
        <v>600.17999999999995</v>
      </c>
      <c r="S107">
        <v>1.99</v>
      </c>
      <c r="T107">
        <v>4.96</v>
      </c>
      <c r="U107">
        <v>4.75</v>
      </c>
      <c r="V107">
        <f>Table1[[#This Row],[FSH(mIU/mL)]]/Table1[[#This Row],[LH(mIU/mL)]]</f>
        <v>1.0442105263157895</v>
      </c>
      <c r="W107" t="str">
        <f>IF(Table1[[#This Row],[FSH/LH]]&gt;=2,"Abnormal","Normal")</f>
        <v>Normal</v>
      </c>
      <c r="X107">
        <v>44</v>
      </c>
      <c r="Y107">
        <v>38</v>
      </c>
      <c r="Z107">
        <f>ROUND(Table1[[#This Row],[Waist(inch)]]/Table1[[#This Row],[Hip(inch)]],2)</f>
        <v>0.86</v>
      </c>
      <c r="AA107">
        <v>2</v>
      </c>
      <c r="AB107">
        <v>3.2</v>
      </c>
      <c r="AC107">
        <v>30.74</v>
      </c>
      <c r="AD107">
        <v>20.7</v>
      </c>
      <c r="AE107" t="str">
        <f>IF(Table1[[#This Row],[Vit D3 (ng/mL)]]&lt;20,"Deficiency","Normal")</f>
        <v>Normal</v>
      </c>
      <c r="AF107">
        <v>0.43</v>
      </c>
      <c r="AG107">
        <v>115</v>
      </c>
      <c r="AH107">
        <v>1</v>
      </c>
      <c r="AI107" t="str">
        <f>IF(Table1[[#This Row],[Weight gain(Y/N)]]=0,"NO","YES")</f>
        <v>YES</v>
      </c>
      <c r="AJ107">
        <v>0</v>
      </c>
      <c r="AK107" t="str">
        <f>IF(Table1[[#This Row],[hair growth(Y/N)]]=1,"YES","NO")</f>
        <v>NO</v>
      </c>
      <c r="AL107">
        <v>1</v>
      </c>
      <c r="AM107" t="str">
        <f>IF(Table1[[#This Row],[Skin darkening (Y/N)]]=1,"YES","NO")</f>
        <v>YES</v>
      </c>
      <c r="AN107">
        <v>0</v>
      </c>
      <c r="AO107" t="str">
        <f>IF(Table1[[#This Row],[Hair loss(Y/N)]]=1,"YES","NO")</f>
        <v>NO</v>
      </c>
      <c r="AP107">
        <v>1</v>
      </c>
      <c r="AQ107" t="str">
        <f>IF(Table1[[#This Row],[Pimples(Y/N)]]=1,"YES","NO")</f>
        <v>YES</v>
      </c>
      <c r="AR107">
        <v>0</v>
      </c>
      <c r="AS107" t="str">
        <f>IF(Table1[[#This Row],[Fast food (Y/N)]]=1,"YES","NO")</f>
        <v>NO</v>
      </c>
      <c r="AT107">
        <v>1</v>
      </c>
      <c r="AU107" t="str">
        <f>IF(Table1[[#This Row],[Reg.Exercise(Y/N)]]=1,"YES","NO")</f>
        <v>YES</v>
      </c>
      <c r="AV107">
        <v>110</v>
      </c>
      <c r="AW107">
        <v>70</v>
      </c>
      <c r="AX107">
        <v>12</v>
      </c>
      <c r="AY107">
        <v>8</v>
      </c>
      <c r="AZ107">
        <v>18</v>
      </c>
      <c r="BA107">
        <v>17.5</v>
      </c>
      <c r="BB107">
        <v>9</v>
      </c>
      <c r="BC107" t="str" cm="1">
        <f t="array" ref="BC107">_xlfn.IFS((F107/(G107*G107)*10000)&lt; 18.5,"Underweight",(F107/(G107*G107)*10000)&lt;24.9,"Normal",(F107/(G107*G107)*10000)&lt;29.9,"Overweight",(F107/(G107*G107)*10000)&gt;=30,"obesity")</f>
        <v>Normal</v>
      </c>
      <c r="BD107">
        <f>Table1[[#This Row],[Follicle No. (L)]]+Table1[[#This Row],[Follicle No. (R)]]</f>
        <v>20</v>
      </c>
      <c r="BE107">
        <f>Table1[[#This Row],[Avg. F size (L) (mm)]]+Table1[[#This Row],[Avg. F size (R) (mm)]]</f>
        <v>35.5</v>
      </c>
      <c r="BF107">
        <f>Table1[[#This Row],[BP _Diastolic (mmHg)]]+(Table1[[#This Row],[BP _Diastolic (mmHg)]]+Table1[[#This Row],[Follicle No. (L)]])/3</f>
        <v>97.333333333333329</v>
      </c>
      <c r="BG107" s="4" t="str" cm="1">
        <f t="array" ref="BG10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07" s="4">
        <f>SUM(Table1[[#This Row],[Pimples(Y/N)]],Table1[[#This Row],[hair growth(Y/N)]],Table1[[#This Row],[Skin darkening (Y/N)]],Table1[[#This Row],[Hair loss(Y/N)]])</f>
        <v>2</v>
      </c>
      <c r="BI107" s="4" t="str">
        <f>IF(AND(Table1[[#This Row],[Pregnant(Y/N)]]=0, Table1[[#This Row],[  I   beta-HCG(mIU/mL)]]&gt;5), "Investigation Required", "Clear")</f>
        <v>Clear</v>
      </c>
    </row>
    <row r="108" spans="1:61" ht="15.75" customHeight="1" x14ac:dyDescent="0.25">
      <c r="A108">
        <v>107</v>
      </c>
      <c r="B108">
        <v>107</v>
      </c>
      <c r="C108">
        <v>0</v>
      </c>
      <c r="D108" t="str">
        <f>IF(Table1[[#This Row],[PCOS (Y/N)]]=0,"NO","YES")</f>
        <v>NO</v>
      </c>
      <c r="E108">
        <v>28</v>
      </c>
      <c r="F108">
        <v>60</v>
      </c>
      <c r="G108">
        <v>160</v>
      </c>
      <c r="H108">
        <v>15</v>
      </c>
      <c r="I108">
        <v>72</v>
      </c>
      <c r="J108">
        <v>20</v>
      </c>
      <c r="K108">
        <v>10.8</v>
      </c>
      <c r="L108">
        <v>4</v>
      </c>
      <c r="M108">
        <v>7</v>
      </c>
      <c r="N108">
        <v>3</v>
      </c>
      <c r="O108">
        <v>0</v>
      </c>
      <c r="P108" t="str">
        <f>IF(Table1[[#This Row],[Pregnant(Y/N)]]=1,"YES","NO")</f>
        <v>NO</v>
      </c>
      <c r="Q108">
        <v>0</v>
      </c>
      <c r="R108">
        <v>1.99</v>
      </c>
      <c r="S108">
        <v>1.99</v>
      </c>
      <c r="T108">
        <v>2.9</v>
      </c>
      <c r="U108">
        <v>0.22</v>
      </c>
      <c r="V108">
        <f>Table1[[#This Row],[FSH(mIU/mL)]]/Table1[[#This Row],[LH(mIU/mL)]]</f>
        <v>13.181818181818182</v>
      </c>
      <c r="W108" t="str">
        <f>IF(Table1[[#This Row],[FSH/LH]]&gt;=2,"Abnormal","Normal")</f>
        <v>Abnormal</v>
      </c>
      <c r="X108">
        <v>38</v>
      </c>
      <c r="Y108">
        <v>32</v>
      </c>
      <c r="Z108">
        <f>ROUND(Table1[[#This Row],[Waist(inch)]]/Table1[[#This Row],[Hip(inch)]],2)</f>
        <v>0.84</v>
      </c>
      <c r="AA108">
        <v>1.78</v>
      </c>
      <c r="AB108">
        <v>3.9</v>
      </c>
      <c r="AC108">
        <v>6.54</v>
      </c>
      <c r="AD108">
        <v>30.5</v>
      </c>
      <c r="AE108" t="str">
        <f>IF(Table1[[#This Row],[Vit D3 (ng/mL)]]&lt;20,"Deficiency","Normal")</f>
        <v>Normal</v>
      </c>
      <c r="AF108">
        <v>0.25</v>
      </c>
      <c r="AG108">
        <v>92</v>
      </c>
      <c r="AH108">
        <v>1</v>
      </c>
      <c r="AI108" t="str">
        <f>IF(Table1[[#This Row],[Weight gain(Y/N)]]=0,"NO","YES")</f>
        <v>YES</v>
      </c>
      <c r="AJ108">
        <v>1</v>
      </c>
      <c r="AK108" t="str">
        <f>IF(Table1[[#This Row],[hair growth(Y/N)]]=1,"YES","NO")</f>
        <v>YES</v>
      </c>
      <c r="AL108">
        <v>1</v>
      </c>
      <c r="AM108" t="str">
        <f>IF(Table1[[#This Row],[Skin darkening (Y/N)]]=1,"YES","NO")</f>
        <v>YES</v>
      </c>
      <c r="AN108">
        <v>1</v>
      </c>
      <c r="AO108" t="str">
        <f>IF(Table1[[#This Row],[Hair loss(Y/N)]]=1,"YES","NO")</f>
        <v>YES</v>
      </c>
      <c r="AP108">
        <v>1</v>
      </c>
      <c r="AQ108" t="str">
        <f>IF(Table1[[#This Row],[Pimples(Y/N)]]=1,"YES","NO")</f>
        <v>YES</v>
      </c>
      <c r="AR108">
        <v>0</v>
      </c>
      <c r="AS108" t="str">
        <f>IF(Table1[[#This Row],[Fast food (Y/N)]]=1,"YES","NO")</f>
        <v>NO</v>
      </c>
      <c r="AT108">
        <v>0</v>
      </c>
      <c r="AU108" t="str">
        <f>IF(Table1[[#This Row],[Reg.Exercise(Y/N)]]=1,"YES","NO")</f>
        <v>NO</v>
      </c>
      <c r="AV108">
        <v>120</v>
      </c>
      <c r="AW108">
        <v>80</v>
      </c>
      <c r="AX108">
        <v>6</v>
      </c>
      <c r="AY108">
        <v>4</v>
      </c>
      <c r="AZ108">
        <v>19</v>
      </c>
      <c r="BA108">
        <v>16</v>
      </c>
      <c r="BB108">
        <v>4.4000000000000004</v>
      </c>
      <c r="BC108" t="str" cm="1">
        <f t="array" ref="BC108">_xlfn.IFS((F108/(G108*G108)*10000)&lt; 18.5,"Underweight",(F108/(G108*G108)*10000)&lt;24.9,"Normal",(F108/(G108*G108)*10000)&lt;29.9,"Overweight",(F108/(G108*G108)*10000)&gt;=30,"obesity")</f>
        <v>Normal</v>
      </c>
      <c r="BD108">
        <f>Table1[[#This Row],[Follicle No. (L)]]+Table1[[#This Row],[Follicle No. (R)]]</f>
        <v>10</v>
      </c>
      <c r="BE108">
        <f>Table1[[#This Row],[Avg. F size (L) (mm)]]+Table1[[#This Row],[Avg. F size (R) (mm)]]</f>
        <v>35</v>
      </c>
      <c r="BF108">
        <f>Table1[[#This Row],[BP _Diastolic (mmHg)]]+(Table1[[#This Row],[BP _Diastolic (mmHg)]]+Table1[[#This Row],[Follicle No. (L)]])/3</f>
        <v>108.66666666666667</v>
      </c>
      <c r="BG108" s="4" t="str" cm="1">
        <f t="array" ref="BG10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08" s="4">
        <f>SUM(Table1[[#This Row],[Pimples(Y/N)]],Table1[[#This Row],[hair growth(Y/N)]],Table1[[#This Row],[Skin darkening (Y/N)]],Table1[[#This Row],[Hair loss(Y/N)]])</f>
        <v>4</v>
      </c>
      <c r="BI108" s="4" t="str">
        <f>IF(AND(Table1[[#This Row],[Pregnant(Y/N)]]=0, Table1[[#This Row],[  I   beta-HCG(mIU/mL)]]&gt;5), "Investigation Required", "Clear")</f>
        <v>Clear</v>
      </c>
    </row>
    <row r="109" spans="1:61" ht="15.75" customHeight="1" x14ac:dyDescent="0.25">
      <c r="A109">
        <v>108</v>
      </c>
      <c r="B109">
        <v>108</v>
      </c>
      <c r="C109">
        <v>1</v>
      </c>
      <c r="D109" t="str">
        <f>IF(Table1[[#This Row],[PCOS (Y/N)]]=0,"NO","YES")</f>
        <v>YES</v>
      </c>
      <c r="E109">
        <v>27</v>
      </c>
      <c r="F109">
        <v>54</v>
      </c>
      <c r="G109">
        <v>156</v>
      </c>
      <c r="H109">
        <v>13</v>
      </c>
      <c r="I109">
        <v>72</v>
      </c>
      <c r="J109">
        <v>18</v>
      </c>
      <c r="K109">
        <v>11.8</v>
      </c>
      <c r="L109">
        <v>4</v>
      </c>
      <c r="M109">
        <v>8</v>
      </c>
      <c r="N109">
        <v>2</v>
      </c>
      <c r="O109">
        <v>0</v>
      </c>
      <c r="P109" t="str">
        <f>IF(Table1[[#This Row],[Pregnant(Y/N)]]=1,"YES","NO")</f>
        <v>NO</v>
      </c>
      <c r="Q109">
        <v>0</v>
      </c>
      <c r="R109">
        <v>120.96</v>
      </c>
      <c r="S109">
        <v>1.99</v>
      </c>
      <c r="T109">
        <v>2.62</v>
      </c>
      <c r="U109">
        <v>0.33</v>
      </c>
      <c r="V109">
        <f>Table1[[#This Row],[FSH(mIU/mL)]]/Table1[[#This Row],[LH(mIU/mL)]]</f>
        <v>7.9393939393939394</v>
      </c>
      <c r="W109" t="str">
        <f>IF(Table1[[#This Row],[FSH/LH]]&gt;=2,"Abnormal","Normal")</f>
        <v>Abnormal</v>
      </c>
      <c r="X109">
        <v>44</v>
      </c>
      <c r="Y109">
        <v>37</v>
      </c>
      <c r="Z109">
        <f>ROUND(Table1[[#This Row],[Waist(inch)]]/Table1[[#This Row],[Hip(inch)]],2)</f>
        <v>0.84</v>
      </c>
      <c r="AA109">
        <v>1.58</v>
      </c>
      <c r="AB109">
        <v>10</v>
      </c>
      <c r="AC109">
        <v>26.29</v>
      </c>
      <c r="AD109">
        <v>34.1</v>
      </c>
      <c r="AE109" t="str">
        <f>IF(Table1[[#This Row],[Vit D3 (ng/mL)]]&lt;20,"Deficiency","Normal")</f>
        <v>Normal</v>
      </c>
      <c r="AF109">
        <v>0.25</v>
      </c>
      <c r="AG109">
        <v>100</v>
      </c>
      <c r="AH109">
        <v>1</v>
      </c>
      <c r="AI109" t="str">
        <f>IF(Table1[[#This Row],[Weight gain(Y/N)]]=0,"NO","YES")</f>
        <v>YES</v>
      </c>
      <c r="AJ109">
        <v>1</v>
      </c>
      <c r="AK109" t="str">
        <f>IF(Table1[[#This Row],[hair growth(Y/N)]]=1,"YES","NO")</f>
        <v>YES</v>
      </c>
      <c r="AL109">
        <v>0</v>
      </c>
      <c r="AM109" t="str">
        <f>IF(Table1[[#This Row],[Skin darkening (Y/N)]]=1,"YES","NO")</f>
        <v>NO</v>
      </c>
      <c r="AN109">
        <v>1</v>
      </c>
      <c r="AO109" t="str">
        <f>IF(Table1[[#This Row],[Hair loss(Y/N)]]=1,"YES","NO")</f>
        <v>YES</v>
      </c>
      <c r="AP109">
        <v>1</v>
      </c>
      <c r="AQ109" t="str">
        <f>IF(Table1[[#This Row],[Pimples(Y/N)]]=1,"YES","NO")</f>
        <v>YES</v>
      </c>
      <c r="AR109">
        <v>1</v>
      </c>
      <c r="AS109" t="str">
        <f>IF(Table1[[#This Row],[Fast food (Y/N)]]=1,"YES","NO")</f>
        <v>YES</v>
      </c>
      <c r="AT109">
        <v>0</v>
      </c>
      <c r="AU109" t="str">
        <f>IF(Table1[[#This Row],[Reg.Exercise(Y/N)]]=1,"YES","NO")</f>
        <v>NO</v>
      </c>
      <c r="AV109">
        <v>110</v>
      </c>
      <c r="AW109">
        <v>80</v>
      </c>
      <c r="AX109">
        <v>11</v>
      </c>
      <c r="AY109">
        <v>10</v>
      </c>
      <c r="AZ109">
        <v>16</v>
      </c>
      <c r="BA109">
        <v>14</v>
      </c>
      <c r="BB109">
        <v>7</v>
      </c>
      <c r="BC109" t="str" cm="1">
        <f t="array" ref="BC109">_xlfn.IFS((F109/(G109*G109)*10000)&lt; 18.5,"Underweight",(F109/(G109*G109)*10000)&lt;24.9,"Normal",(F109/(G109*G109)*10000)&lt;29.9,"Overweight",(F109/(G109*G109)*10000)&gt;=30,"obesity")</f>
        <v>Normal</v>
      </c>
      <c r="BD109">
        <f>Table1[[#This Row],[Follicle No. (L)]]+Table1[[#This Row],[Follicle No. (R)]]</f>
        <v>21</v>
      </c>
      <c r="BE109">
        <f>Table1[[#This Row],[Avg. F size (L) (mm)]]+Table1[[#This Row],[Avg. F size (R) (mm)]]</f>
        <v>30</v>
      </c>
      <c r="BF109">
        <f>Table1[[#This Row],[BP _Diastolic (mmHg)]]+(Table1[[#This Row],[BP _Diastolic (mmHg)]]+Table1[[#This Row],[Follicle No. (L)]])/3</f>
        <v>110.33333333333333</v>
      </c>
      <c r="BG109" s="4" t="str" cm="1">
        <f t="array" ref="BG10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09" s="4">
        <f>SUM(Table1[[#This Row],[Pimples(Y/N)]],Table1[[#This Row],[hair growth(Y/N)]],Table1[[#This Row],[Skin darkening (Y/N)]],Table1[[#This Row],[Hair loss(Y/N)]])</f>
        <v>3</v>
      </c>
      <c r="BI109" s="4" t="str">
        <f>IF(AND(Table1[[#This Row],[Pregnant(Y/N)]]=0, Table1[[#This Row],[  I   beta-HCG(mIU/mL)]]&gt;5), "Investigation Required", "Clear")</f>
        <v>Investigation Required</v>
      </c>
    </row>
    <row r="110" spans="1:61" ht="15.75" customHeight="1" x14ac:dyDescent="0.25">
      <c r="A110">
        <v>109</v>
      </c>
      <c r="B110">
        <v>109</v>
      </c>
      <c r="C110">
        <v>1</v>
      </c>
      <c r="D110" t="str">
        <f>IF(Table1[[#This Row],[PCOS (Y/N)]]=0,"NO","YES")</f>
        <v>YES</v>
      </c>
      <c r="E110">
        <v>24</v>
      </c>
      <c r="F110">
        <v>53</v>
      </c>
      <c r="G110">
        <v>149</v>
      </c>
      <c r="H110">
        <v>15</v>
      </c>
      <c r="I110">
        <v>72</v>
      </c>
      <c r="J110">
        <v>22</v>
      </c>
      <c r="K110">
        <v>13.2</v>
      </c>
      <c r="L110">
        <v>4</v>
      </c>
      <c r="M110">
        <v>9</v>
      </c>
      <c r="N110">
        <v>3</v>
      </c>
      <c r="O110">
        <v>1</v>
      </c>
      <c r="P110" t="str">
        <f>IF(Table1[[#This Row],[Pregnant(Y/N)]]=1,"YES","NO")</f>
        <v>YES</v>
      </c>
      <c r="Q110">
        <v>0</v>
      </c>
      <c r="R110">
        <v>397.08</v>
      </c>
      <c r="S110">
        <v>3893.06</v>
      </c>
      <c r="T110">
        <v>4.62</v>
      </c>
      <c r="U110">
        <v>6.03</v>
      </c>
      <c r="V110">
        <f>Table1[[#This Row],[FSH(mIU/mL)]]/Table1[[#This Row],[LH(mIU/mL)]]</f>
        <v>0.76616915422885568</v>
      </c>
      <c r="W110" t="str">
        <f>IF(Table1[[#This Row],[FSH/LH]]&gt;=2,"Abnormal","Normal")</f>
        <v>Normal</v>
      </c>
      <c r="X110">
        <v>45</v>
      </c>
      <c r="Y110">
        <v>39</v>
      </c>
      <c r="Z110">
        <f>ROUND(Table1[[#This Row],[Waist(inch)]]/Table1[[#This Row],[Hip(inch)]],2)</f>
        <v>0.87</v>
      </c>
      <c r="AA110">
        <v>1.46</v>
      </c>
      <c r="AB110">
        <v>16.899999999999999</v>
      </c>
      <c r="AC110">
        <v>9.82</v>
      </c>
      <c r="AD110">
        <v>15.3</v>
      </c>
      <c r="AE110" t="str">
        <f>IF(Table1[[#This Row],[Vit D3 (ng/mL)]]&lt;20,"Deficiency","Normal")</f>
        <v>Deficiency</v>
      </c>
      <c r="AF110">
        <v>0.98</v>
      </c>
      <c r="AG110">
        <v>120</v>
      </c>
      <c r="AH110">
        <v>1</v>
      </c>
      <c r="AI110" t="str">
        <f>IF(Table1[[#This Row],[Weight gain(Y/N)]]=0,"NO","YES")</f>
        <v>YES</v>
      </c>
      <c r="AJ110">
        <v>1</v>
      </c>
      <c r="AK110" t="str">
        <f>IF(Table1[[#This Row],[hair growth(Y/N)]]=1,"YES","NO")</f>
        <v>YES</v>
      </c>
      <c r="AL110">
        <v>1</v>
      </c>
      <c r="AM110" t="str">
        <f>IF(Table1[[#This Row],[Skin darkening (Y/N)]]=1,"YES","NO")</f>
        <v>YES</v>
      </c>
      <c r="AN110">
        <v>0</v>
      </c>
      <c r="AO110" t="str">
        <f>IF(Table1[[#This Row],[Hair loss(Y/N)]]=1,"YES","NO")</f>
        <v>NO</v>
      </c>
      <c r="AP110">
        <v>0</v>
      </c>
      <c r="AQ110" t="str">
        <f>IF(Table1[[#This Row],[Pimples(Y/N)]]=1,"YES","NO")</f>
        <v>NO</v>
      </c>
      <c r="AR110">
        <v>1</v>
      </c>
      <c r="AS110" t="str">
        <f>IF(Table1[[#This Row],[Fast food (Y/N)]]=1,"YES","NO")</f>
        <v>YES</v>
      </c>
      <c r="AT110">
        <v>1</v>
      </c>
      <c r="AU110" t="str">
        <f>IF(Table1[[#This Row],[Reg.Exercise(Y/N)]]=1,"YES","NO")</f>
        <v>YES</v>
      </c>
      <c r="AV110">
        <v>110</v>
      </c>
      <c r="AW110">
        <v>70</v>
      </c>
      <c r="AX110">
        <v>11</v>
      </c>
      <c r="AY110">
        <v>10</v>
      </c>
      <c r="AZ110">
        <v>15</v>
      </c>
      <c r="BA110">
        <v>16</v>
      </c>
      <c r="BB110">
        <v>9</v>
      </c>
      <c r="BC110" t="str" cm="1">
        <f t="array" ref="BC110">_xlfn.IFS((F110/(G110*G110)*10000)&lt; 18.5,"Underweight",(F110/(G110*G110)*10000)&lt;24.9,"Normal",(F110/(G110*G110)*10000)&lt;29.9,"Overweight",(F110/(G110*G110)*10000)&gt;=30,"obesity")</f>
        <v>Normal</v>
      </c>
      <c r="BD110">
        <f>Table1[[#This Row],[Follicle No. (L)]]+Table1[[#This Row],[Follicle No. (R)]]</f>
        <v>21</v>
      </c>
      <c r="BE110">
        <f>Table1[[#This Row],[Avg. F size (L) (mm)]]+Table1[[#This Row],[Avg. F size (R) (mm)]]</f>
        <v>31</v>
      </c>
      <c r="BF110">
        <f>Table1[[#This Row],[BP _Diastolic (mmHg)]]+(Table1[[#This Row],[BP _Diastolic (mmHg)]]+Table1[[#This Row],[Follicle No. (L)]])/3</f>
        <v>97</v>
      </c>
      <c r="BG110" s="4" t="str" cm="1">
        <f t="array" ref="BG11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10" s="4">
        <f>SUM(Table1[[#This Row],[Pimples(Y/N)]],Table1[[#This Row],[hair growth(Y/N)]],Table1[[#This Row],[Skin darkening (Y/N)]],Table1[[#This Row],[Hair loss(Y/N)]])</f>
        <v>2</v>
      </c>
      <c r="BI110" s="4" t="str">
        <f>IF(AND(Table1[[#This Row],[Pregnant(Y/N)]]=0, Table1[[#This Row],[  I   beta-HCG(mIU/mL)]]&gt;5), "Investigation Required", "Clear")</f>
        <v>Clear</v>
      </c>
    </row>
    <row r="111" spans="1:61" ht="15.75" customHeight="1" x14ac:dyDescent="0.25">
      <c r="A111">
        <v>110</v>
      </c>
      <c r="B111">
        <v>110</v>
      </c>
      <c r="C111">
        <v>0</v>
      </c>
      <c r="D111" t="str">
        <f>IF(Table1[[#This Row],[PCOS (Y/N)]]=0,"NO","YES")</f>
        <v>NO</v>
      </c>
      <c r="E111">
        <v>34</v>
      </c>
      <c r="F111">
        <v>80</v>
      </c>
      <c r="G111">
        <v>160</v>
      </c>
      <c r="H111">
        <v>15</v>
      </c>
      <c r="I111">
        <v>74</v>
      </c>
      <c r="J111">
        <v>20</v>
      </c>
      <c r="K111">
        <v>10</v>
      </c>
      <c r="L111">
        <v>4</v>
      </c>
      <c r="M111">
        <v>11</v>
      </c>
      <c r="N111">
        <v>19</v>
      </c>
      <c r="O111">
        <v>1</v>
      </c>
      <c r="P111" t="str">
        <f>IF(Table1[[#This Row],[Pregnant(Y/N)]]=1,"YES","NO")</f>
        <v>YES</v>
      </c>
      <c r="Q111">
        <v>0</v>
      </c>
      <c r="R111">
        <v>926.24</v>
      </c>
      <c r="S111">
        <v>600.23</v>
      </c>
      <c r="T111">
        <v>4.8600000000000003</v>
      </c>
      <c r="U111">
        <v>1.97</v>
      </c>
      <c r="V111">
        <f>Table1[[#This Row],[FSH(mIU/mL)]]/Table1[[#This Row],[LH(mIU/mL)]]</f>
        <v>2.467005076142132</v>
      </c>
      <c r="W111" t="str">
        <f>IF(Table1[[#This Row],[FSH/LH]]&gt;=2,"Abnormal","Normal")</f>
        <v>Abnormal</v>
      </c>
      <c r="X111">
        <v>42</v>
      </c>
      <c r="Y111">
        <v>37</v>
      </c>
      <c r="Z111">
        <f>ROUND(Table1[[#This Row],[Waist(inch)]]/Table1[[#This Row],[Hip(inch)]],2)</f>
        <v>0.88</v>
      </c>
      <c r="AA111">
        <v>1.04</v>
      </c>
      <c r="AB111">
        <v>17</v>
      </c>
      <c r="AC111">
        <v>19.45</v>
      </c>
      <c r="AD111">
        <v>39.4</v>
      </c>
      <c r="AE111" t="str">
        <f>IF(Table1[[#This Row],[Vit D3 (ng/mL)]]&lt;20,"Deficiency","Normal")</f>
        <v>Normal</v>
      </c>
      <c r="AF111">
        <v>0.34</v>
      </c>
      <c r="AG111">
        <v>108</v>
      </c>
      <c r="AH111">
        <v>0</v>
      </c>
      <c r="AI111" t="str">
        <f>IF(Table1[[#This Row],[Weight gain(Y/N)]]=0,"NO","YES")</f>
        <v>NO</v>
      </c>
      <c r="AJ111">
        <v>1</v>
      </c>
      <c r="AK111" t="str">
        <f>IF(Table1[[#This Row],[hair growth(Y/N)]]=1,"YES","NO")</f>
        <v>YES</v>
      </c>
      <c r="AL111">
        <v>1</v>
      </c>
      <c r="AM111" t="str">
        <f>IF(Table1[[#This Row],[Skin darkening (Y/N)]]=1,"YES","NO")</f>
        <v>YES</v>
      </c>
      <c r="AN111">
        <v>0</v>
      </c>
      <c r="AO111" t="str">
        <f>IF(Table1[[#This Row],[Hair loss(Y/N)]]=1,"YES","NO")</f>
        <v>NO</v>
      </c>
      <c r="AP111">
        <v>0</v>
      </c>
      <c r="AQ111" t="str">
        <f>IF(Table1[[#This Row],[Pimples(Y/N)]]=1,"YES","NO")</f>
        <v>NO</v>
      </c>
      <c r="AR111">
        <v>1</v>
      </c>
      <c r="AS111" t="str">
        <f>IF(Table1[[#This Row],[Fast food (Y/N)]]=1,"YES","NO")</f>
        <v>YES</v>
      </c>
      <c r="AT111">
        <v>1</v>
      </c>
      <c r="AU111" t="str">
        <f>IF(Table1[[#This Row],[Reg.Exercise(Y/N)]]=1,"YES","NO")</f>
        <v>YES</v>
      </c>
      <c r="AV111">
        <v>120</v>
      </c>
      <c r="AW111">
        <v>70</v>
      </c>
      <c r="AX111">
        <v>5</v>
      </c>
      <c r="AY111">
        <v>4</v>
      </c>
      <c r="AZ111">
        <v>17</v>
      </c>
      <c r="BA111">
        <v>21</v>
      </c>
      <c r="BB111">
        <v>9.3000000000000007</v>
      </c>
      <c r="BC111" t="str" cm="1">
        <f t="array" ref="BC111">_xlfn.IFS((F111/(G111*G111)*10000)&lt; 18.5,"Underweight",(F111/(G111*G111)*10000)&lt;24.9,"Normal",(F111/(G111*G111)*10000)&lt;29.9,"Overweight",(F111/(G111*G111)*10000)&gt;=30,"obesity")</f>
        <v>obesity</v>
      </c>
      <c r="BD111">
        <f>Table1[[#This Row],[Follicle No. (L)]]+Table1[[#This Row],[Follicle No. (R)]]</f>
        <v>9</v>
      </c>
      <c r="BE111">
        <f>Table1[[#This Row],[Avg. F size (L) (mm)]]+Table1[[#This Row],[Avg. F size (R) (mm)]]</f>
        <v>38</v>
      </c>
      <c r="BF111">
        <f>Table1[[#This Row],[BP _Diastolic (mmHg)]]+(Table1[[#This Row],[BP _Diastolic (mmHg)]]+Table1[[#This Row],[Follicle No. (L)]])/3</f>
        <v>95</v>
      </c>
      <c r="BG111" s="4" t="str" cm="1">
        <f t="array" ref="BG11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11" s="4">
        <f>SUM(Table1[[#This Row],[Pimples(Y/N)]],Table1[[#This Row],[hair growth(Y/N)]],Table1[[#This Row],[Skin darkening (Y/N)]],Table1[[#This Row],[Hair loss(Y/N)]])</f>
        <v>2</v>
      </c>
      <c r="BI111" s="4" t="str">
        <f>IF(AND(Table1[[#This Row],[Pregnant(Y/N)]]=0, Table1[[#This Row],[  I   beta-HCG(mIU/mL)]]&gt;5), "Investigation Required", "Clear")</f>
        <v>Clear</v>
      </c>
    </row>
    <row r="112" spans="1:61" ht="15.75" customHeight="1" x14ac:dyDescent="0.25">
      <c r="A112">
        <v>111</v>
      </c>
      <c r="B112">
        <v>111</v>
      </c>
      <c r="C112">
        <v>0</v>
      </c>
      <c r="D112" t="str">
        <f>IF(Table1[[#This Row],[PCOS (Y/N)]]=0,"NO","YES")</f>
        <v>NO</v>
      </c>
      <c r="E112">
        <v>21</v>
      </c>
      <c r="F112">
        <v>59</v>
      </c>
      <c r="G112">
        <v>150</v>
      </c>
      <c r="H112">
        <v>15</v>
      </c>
      <c r="I112">
        <v>72</v>
      </c>
      <c r="J112">
        <v>18</v>
      </c>
      <c r="K112">
        <v>11.2</v>
      </c>
      <c r="L112">
        <v>4</v>
      </c>
      <c r="M112">
        <v>6</v>
      </c>
      <c r="N112">
        <v>2</v>
      </c>
      <c r="O112">
        <v>1</v>
      </c>
      <c r="P112" t="str">
        <f>IF(Table1[[#This Row],[Pregnant(Y/N)]]=1,"YES","NO")</f>
        <v>YES</v>
      </c>
      <c r="Q112">
        <v>0</v>
      </c>
      <c r="R112">
        <v>26290.26</v>
      </c>
      <c r="S112">
        <v>3350.19</v>
      </c>
      <c r="T112">
        <v>4.13</v>
      </c>
      <c r="U112">
        <v>5.1100000000000003</v>
      </c>
      <c r="V112">
        <f>Table1[[#This Row],[FSH(mIU/mL)]]/Table1[[#This Row],[LH(mIU/mL)]]</f>
        <v>0.80821917808219168</v>
      </c>
      <c r="W112" t="str">
        <f>IF(Table1[[#This Row],[FSH/LH]]&gt;=2,"Abnormal","Normal")</f>
        <v>Normal</v>
      </c>
      <c r="X112">
        <v>41</v>
      </c>
      <c r="Y112">
        <v>34</v>
      </c>
      <c r="Z112">
        <f>ROUND(Table1[[#This Row],[Waist(inch)]]/Table1[[#This Row],[Hip(inch)]],2)</f>
        <v>0.83</v>
      </c>
      <c r="AA112">
        <v>1.26</v>
      </c>
      <c r="AB112">
        <v>21.9</v>
      </c>
      <c r="AC112">
        <v>13.97</v>
      </c>
      <c r="AD112">
        <v>33.4</v>
      </c>
      <c r="AE112" t="str">
        <f>IF(Table1[[#This Row],[Vit D3 (ng/mL)]]&lt;20,"Deficiency","Normal")</f>
        <v>Normal</v>
      </c>
      <c r="AF112">
        <v>1</v>
      </c>
      <c r="AG112">
        <v>125</v>
      </c>
      <c r="AH112">
        <v>0</v>
      </c>
      <c r="AI112" t="str">
        <f>IF(Table1[[#This Row],[Weight gain(Y/N)]]=0,"NO","YES")</f>
        <v>NO</v>
      </c>
      <c r="AJ112">
        <v>0</v>
      </c>
      <c r="AK112" t="str">
        <f>IF(Table1[[#This Row],[hair growth(Y/N)]]=1,"YES","NO")</f>
        <v>NO</v>
      </c>
      <c r="AL112">
        <v>1</v>
      </c>
      <c r="AM112" t="str">
        <f>IF(Table1[[#This Row],[Skin darkening (Y/N)]]=1,"YES","NO")</f>
        <v>YES</v>
      </c>
      <c r="AN112">
        <v>1</v>
      </c>
      <c r="AO112" t="str">
        <f>IF(Table1[[#This Row],[Hair loss(Y/N)]]=1,"YES","NO")</f>
        <v>YES</v>
      </c>
      <c r="AP112">
        <v>0</v>
      </c>
      <c r="AQ112" t="str">
        <f>IF(Table1[[#This Row],[Pimples(Y/N)]]=1,"YES","NO")</f>
        <v>NO</v>
      </c>
      <c r="AR112">
        <v>0</v>
      </c>
      <c r="AS112" t="str">
        <f>IF(Table1[[#This Row],[Fast food (Y/N)]]=1,"YES","NO")</f>
        <v>NO</v>
      </c>
      <c r="AT112">
        <v>1</v>
      </c>
      <c r="AU112" t="str">
        <f>IF(Table1[[#This Row],[Reg.Exercise(Y/N)]]=1,"YES","NO")</f>
        <v>YES</v>
      </c>
      <c r="AV112">
        <v>100</v>
      </c>
      <c r="AW112">
        <v>70</v>
      </c>
      <c r="AX112">
        <v>1</v>
      </c>
      <c r="AY112">
        <v>1</v>
      </c>
      <c r="AZ112">
        <v>11</v>
      </c>
      <c r="BA112">
        <v>10</v>
      </c>
      <c r="BB112">
        <v>8.5</v>
      </c>
      <c r="BC112" t="str" cm="1">
        <f t="array" ref="BC112">_xlfn.IFS((F112/(G112*G112)*10000)&lt; 18.5,"Underweight",(F112/(G112*G112)*10000)&lt;24.9,"Normal",(F112/(G112*G112)*10000)&lt;29.9,"Overweight",(F112/(G112*G112)*10000)&gt;=30,"obesity")</f>
        <v>Overweight</v>
      </c>
      <c r="BD112">
        <f>Table1[[#This Row],[Follicle No. (L)]]+Table1[[#This Row],[Follicle No. (R)]]</f>
        <v>2</v>
      </c>
      <c r="BE112">
        <f>Table1[[#This Row],[Avg. F size (L) (mm)]]+Table1[[#This Row],[Avg. F size (R) (mm)]]</f>
        <v>21</v>
      </c>
      <c r="BF112">
        <f>Table1[[#This Row],[BP _Diastolic (mmHg)]]+(Table1[[#This Row],[BP _Diastolic (mmHg)]]+Table1[[#This Row],[Follicle No. (L)]])/3</f>
        <v>93.666666666666671</v>
      </c>
      <c r="BG112" s="4" t="str" cm="1">
        <f t="array" ref="BG11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12" s="4">
        <f>SUM(Table1[[#This Row],[Pimples(Y/N)]],Table1[[#This Row],[hair growth(Y/N)]],Table1[[#This Row],[Skin darkening (Y/N)]],Table1[[#This Row],[Hair loss(Y/N)]])</f>
        <v>2</v>
      </c>
      <c r="BI112" s="4" t="str">
        <f>IF(AND(Table1[[#This Row],[Pregnant(Y/N)]]=0, Table1[[#This Row],[  I   beta-HCG(mIU/mL)]]&gt;5), "Investigation Required", "Clear")</f>
        <v>Clear</v>
      </c>
    </row>
    <row r="113" spans="1:61" ht="15.75" customHeight="1" x14ac:dyDescent="0.25">
      <c r="A113">
        <v>112</v>
      </c>
      <c r="B113">
        <v>112</v>
      </c>
      <c r="C113">
        <v>0</v>
      </c>
      <c r="D113" t="str">
        <f>IF(Table1[[#This Row],[PCOS (Y/N)]]=0,"NO","YES")</f>
        <v>NO</v>
      </c>
      <c r="E113">
        <v>26</v>
      </c>
      <c r="F113">
        <v>75</v>
      </c>
      <c r="G113">
        <v>170</v>
      </c>
      <c r="H113">
        <v>15</v>
      </c>
      <c r="I113">
        <v>72</v>
      </c>
      <c r="J113">
        <v>18</v>
      </c>
      <c r="K113">
        <v>11.2</v>
      </c>
      <c r="L113">
        <v>4</v>
      </c>
      <c r="M113">
        <v>2</v>
      </c>
      <c r="N113">
        <v>3</v>
      </c>
      <c r="O113">
        <v>1</v>
      </c>
      <c r="P113" t="str">
        <f>IF(Table1[[#This Row],[Pregnant(Y/N)]]=1,"YES","NO")</f>
        <v>YES</v>
      </c>
      <c r="Q113">
        <v>0</v>
      </c>
      <c r="R113">
        <v>32460.97</v>
      </c>
      <c r="S113">
        <v>97.63</v>
      </c>
      <c r="T113">
        <v>6.21</v>
      </c>
      <c r="U113">
        <v>2.1800000000000002</v>
      </c>
      <c r="V113">
        <f>Table1[[#This Row],[FSH(mIU/mL)]]/Table1[[#This Row],[LH(mIU/mL)]]</f>
        <v>2.8486238532110089</v>
      </c>
      <c r="W113" t="str">
        <f>IF(Table1[[#This Row],[FSH/LH]]&gt;=2,"Abnormal","Normal")</f>
        <v>Abnormal</v>
      </c>
      <c r="X113">
        <v>40</v>
      </c>
      <c r="Y113">
        <v>34</v>
      </c>
      <c r="Z113">
        <f>ROUND(Table1[[#This Row],[Waist(inch)]]/Table1[[#This Row],[Hip(inch)]],2)</f>
        <v>0.85</v>
      </c>
      <c r="AA113">
        <v>2.44</v>
      </c>
      <c r="AB113">
        <v>1.6</v>
      </c>
      <c r="AC113">
        <v>21.48</v>
      </c>
      <c r="AD113">
        <v>25.3</v>
      </c>
      <c r="AE113" t="str">
        <f>IF(Table1[[#This Row],[Vit D3 (ng/mL)]]&lt;20,"Deficiency","Normal")</f>
        <v>Normal</v>
      </c>
      <c r="AF113">
        <v>0.28000000000000003</v>
      </c>
      <c r="AG113">
        <v>100</v>
      </c>
      <c r="AH113">
        <v>0</v>
      </c>
      <c r="AI113" t="str">
        <f>IF(Table1[[#This Row],[Weight gain(Y/N)]]=0,"NO","YES")</f>
        <v>NO</v>
      </c>
      <c r="AJ113">
        <v>1</v>
      </c>
      <c r="AK113" t="str">
        <f>IF(Table1[[#This Row],[hair growth(Y/N)]]=1,"YES","NO")</f>
        <v>YES</v>
      </c>
      <c r="AL113">
        <v>1</v>
      </c>
      <c r="AM113" t="str">
        <f>IF(Table1[[#This Row],[Skin darkening (Y/N)]]=1,"YES","NO")</f>
        <v>YES</v>
      </c>
      <c r="AN113">
        <v>1</v>
      </c>
      <c r="AO113" t="str">
        <f>IF(Table1[[#This Row],[Hair loss(Y/N)]]=1,"YES","NO")</f>
        <v>YES</v>
      </c>
      <c r="AP113">
        <v>0</v>
      </c>
      <c r="AQ113" t="str">
        <f>IF(Table1[[#This Row],[Pimples(Y/N)]]=1,"YES","NO")</f>
        <v>NO</v>
      </c>
      <c r="AR113">
        <v>1</v>
      </c>
      <c r="AS113" t="str">
        <f>IF(Table1[[#This Row],[Fast food (Y/N)]]=1,"YES","NO")</f>
        <v>YES</v>
      </c>
      <c r="AT113">
        <v>1</v>
      </c>
      <c r="AU113" t="str">
        <f>IF(Table1[[#This Row],[Reg.Exercise(Y/N)]]=1,"YES","NO")</f>
        <v>YES</v>
      </c>
      <c r="AV113">
        <v>120</v>
      </c>
      <c r="AW113">
        <v>80</v>
      </c>
      <c r="AX113">
        <v>5</v>
      </c>
      <c r="AY113">
        <v>4</v>
      </c>
      <c r="AZ113">
        <v>17</v>
      </c>
      <c r="BA113">
        <v>19</v>
      </c>
      <c r="BB113">
        <v>10</v>
      </c>
      <c r="BC113" t="str" cm="1">
        <f t="array" ref="BC113">_xlfn.IFS((F113/(G113*G113)*10000)&lt; 18.5,"Underweight",(F113/(G113*G113)*10000)&lt;24.9,"Normal",(F113/(G113*G113)*10000)&lt;29.9,"Overweight",(F113/(G113*G113)*10000)&gt;=30,"obesity")</f>
        <v>Overweight</v>
      </c>
      <c r="BD113">
        <f>Table1[[#This Row],[Follicle No. (L)]]+Table1[[#This Row],[Follicle No. (R)]]</f>
        <v>9</v>
      </c>
      <c r="BE113">
        <f>Table1[[#This Row],[Avg. F size (L) (mm)]]+Table1[[#This Row],[Avg. F size (R) (mm)]]</f>
        <v>36</v>
      </c>
      <c r="BF113">
        <f>Table1[[#This Row],[BP _Diastolic (mmHg)]]+(Table1[[#This Row],[BP _Diastolic (mmHg)]]+Table1[[#This Row],[Follicle No. (L)]])/3</f>
        <v>108.33333333333333</v>
      </c>
      <c r="BG113" s="4" t="str" cm="1">
        <f t="array" ref="BG11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13" s="4">
        <f>SUM(Table1[[#This Row],[Pimples(Y/N)]],Table1[[#This Row],[hair growth(Y/N)]],Table1[[#This Row],[Skin darkening (Y/N)]],Table1[[#This Row],[Hair loss(Y/N)]])</f>
        <v>3</v>
      </c>
      <c r="BI113" s="4" t="str">
        <f>IF(AND(Table1[[#This Row],[Pregnant(Y/N)]]=0, Table1[[#This Row],[  I   beta-HCG(mIU/mL)]]&gt;5), "Investigation Required", "Clear")</f>
        <v>Clear</v>
      </c>
    </row>
    <row r="114" spans="1:61" ht="15.75" customHeight="1" x14ac:dyDescent="0.25">
      <c r="A114">
        <v>113</v>
      </c>
      <c r="B114">
        <v>113</v>
      </c>
      <c r="C114">
        <v>0</v>
      </c>
      <c r="D114" t="str">
        <f>IF(Table1[[#This Row],[PCOS (Y/N)]]=0,"NO","YES")</f>
        <v>NO</v>
      </c>
      <c r="E114">
        <v>39</v>
      </c>
      <c r="F114">
        <v>71.2</v>
      </c>
      <c r="G114">
        <v>170</v>
      </c>
      <c r="H114">
        <v>15</v>
      </c>
      <c r="I114">
        <v>72</v>
      </c>
      <c r="J114">
        <v>20</v>
      </c>
      <c r="K114">
        <v>10.1</v>
      </c>
      <c r="L114">
        <v>2</v>
      </c>
      <c r="M114">
        <v>5</v>
      </c>
      <c r="N114">
        <v>12</v>
      </c>
      <c r="O114">
        <v>0</v>
      </c>
      <c r="P114" t="str">
        <f>IF(Table1[[#This Row],[Pregnant(Y/N)]]=1,"YES","NO")</f>
        <v>NO</v>
      </c>
      <c r="Q114">
        <v>0</v>
      </c>
      <c r="R114">
        <v>14.47</v>
      </c>
      <c r="S114">
        <v>14.4</v>
      </c>
      <c r="T114">
        <v>4.6100000000000003</v>
      </c>
      <c r="U114">
        <v>3.37</v>
      </c>
      <c r="V114">
        <f>Table1[[#This Row],[FSH(mIU/mL)]]/Table1[[#This Row],[LH(mIU/mL)]]</f>
        <v>1.3679525222551929</v>
      </c>
      <c r="W114" t="str">
        <f>IF(Table1[[#This Row],[FSH/LH]]&gt;=2,"Abnormal","Normal")</f>
        <v>Normal</v>
      </c>
      <c r="X114">
        <v>41</v>
      </c>
      <c r="Y114">
        <v>36</v>
      </c>
      <c r="Z114">
        <f>ROUND(Table1[[#This Row],[Waist(inch)]]/Table1[[#This Row],[Hip(inch)]],2)</f>
        <v>0.88</v>
      </c>
      <c r="AA114">
        <v>4.33</v>
      </c>
      <c r="AB114">
        <v>3.3</v>
      </c>
      <c r="AC114">
        <v>13.92</v>
      </c>
      <c r="AD114">
        <v>29</v>
      </c>
      <c r="AE114" t="str">
        <f>IF(Table1[[#This Row],[Vit D3 (ng/mL)]]&lt;20,"Deficiency","Normal")</f>
        <v>Normal</v>
      </c>
      <c r="AF114">
        <v>0.66</v>
      </c>
      <c r="AG114">
        <v>100</v>
      </c>
      <c r="AH114">
        <v>1</v>
      </c>
      <c r="AI114" t="str">
        <f>IF(Table1[[#This Row],[Weight gain(Y/N)]]=0,"NO","YES")</f>
        <v>YES</v>
      </c>
      <c r="AJ114">
        <v>0</v>
      </c>
      <c r="AK114" t="str">
        <f>IF(Table1[[#This Row],[hair growth(Y/N)]]=1,"YES","NO")</f>
        <v>NO</v>
      </c>
      <c r="AL114">
        <v>0</v>
      </c>
      <c r="AM114" t="str">
        <f>IF(Table1[[#This Row],[Skin darkening (Y/N)]]=1,"YES","NO")</f>
        <v>NO</v>
      </c>
      <c r="AN114">
        <v>1</v>
      </c>
      <c r="AO114" t="str">
        <f>IF(Table1[[#This Row],[Hair loss(Y/N)]]=1,"YES","NO")</f>
        <v>YES</v>
      </c>
      <c r="AP114">
        <v>0</v>
      </c>
      <c r="AQ114" t="str">
        <f>IF(Table1[[#This Row],[Pimples(Y/N)]]=1,"YES","NO")</f>
        <v>NO</v>
      </c>
      <c r="AR114">
        <v>0</v>
      </c>
      <c r="AS114" t="str">
        <f>IF(Table1[[#This Row],[Fast food (Y/N)]]=1,"YES","NO")</f>
        <v>NO</v>
      </c>
      <c r="AT114">
        <v>0</v>
      </c>
      <c r="AU114" t="str">
        <f>IF(Table1[[#This Row],[Reg.Exercise(Y/N)]]=1,"YES","NO")</f>
        <v>NO</v>
      </c>
      <c r="AV114">
        <v>120</v>
      </c>
      <c r="AW114">
        <v>80</v>
      </c>
      <c r="AX114">
        <v>5</v>
      </c>
      <c r="AY114">
        <v>3</v>
      </c>
      <c r="AZ114">
        <v>19</v>
      </c>
      <c r="BA114">
        <v>20</v>
      </c>
      <c r="BB114">
        <v>7</v>
      </c>
      <c r="BC114" t="str" cm="1">
        <f t="array" ref="BC114">_xlfn.IFS((F114/(G114*G114)*10000)&lt; 18.5,"Underweight",(F114/(G114*G114)*10000)&lt;24.9,"Normal",(F114/(G114*G114)*10000)&lt;29.9,"Overweight",(F114/(G114*G114)*10000)&gt;=30,"obesity")</f>
        <v>Normal</v>
      </c>
      <c r="BD114">
        <f>Table1[[#This Row],[Follicle No. (L)]]+Table1[[#This Row],[Follicle No. (R)]]</f>
        <v>8</v>
      </c>
      <c r="BE114">
        <f>Table1[[#This Row],[Avg. F size (L) (mm)]]+Table1[[#This Row],[Avg. F size (R) (mm)]]</f>
        <v>39</v>
      </c>
      <c r="BF114">
        <f>Table1[[#This Row],[BP _Diastolic (mmHg)]]+(Table1[[#This Row],[BP _Diastolic (mmHg)]]+Table1[[#This Row],[Follicle No. (L)]])/3</f>
        <v>108.33333333333333</v>
      </c>
      <c r="BG114" s="4" t="str" cm="1">
        <f t="array" ref="BG11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14" s="4">
        <f>SUM(Table1[[#This Row],[Pimples(Y/N)]],Table1[[#This Row],[hair growth(Y/N)]],Table1[[#This Row],[Skin darkening (Y/N)]],Table1[[#This Row],[Hair loss(Y/N)]])</f>
        <v>1</v>
      </c>
      <c r="BI114" s="4" t="str">
        <f>IF(AND(Table1[[#This Row],[Pregnant(Y/N)]]=0, Table1[[#This Row],[  I   beta-HCG(mIU/mL)]]&gt;5), "Investigation Required", "Clear")</f>
        <v>Investigation Required</v>
      </c>
    </row>
    <row r="115" spans="1:61" ht="15.75" customHeight="1" x14ac:dyDescent="0.25">
      <c r="A115">
        <v>114</v>
      </c>
      <c r="B115">
        <v>114</v>
      </c>
      <c r="C115">
        <v>1</v>
      </c>
      <c r="D115" t="str">
        <f>IF(Table1[[#This Row],[PCOS (Y/N)]]=0,"NO","YES")</f>
        <v>YES</v>
      </c>
      <c r="E115">
        <v>32</v>
      </c>
      <c r="F115">
        <v>63</v>
      </c>
      <c r="G115">
        <v>164</v>
      </c>
      <c r="H115">
        <v>17</v>
      </c>
      <c r="I115">
        <v>72</v>
      </c>
      <c r="J115">
        <v>18</v>
      </c>
      <c r="K115">
        <v>11</v>
      </c>
      <c r="L115">
        <v>4</v>
      </c>
      <c r="M115">
        <v>9</v>
      </c>
      <c r="N115">
        <v>9</v>
      </c>
      <c r="O115">
        <v>0</v>
      </c>
      <c r="P115" t="str">
        <f>IF(Table1[[#This Row],[Pregnant(Y/N)]]=1,"YES","NO")</f>
        <v>NO</v>
      </c>
      <c r="Q115">
        <v>0</v>
      </c>
      <c r="R115">
        <v>332.51</v>
      </c>
      <c r="S115">
        <v>2</v>
      </c>
      <c r="T115">
        <v>5.0199999999999996</v>
      </c>
      <c r="U115">
        <v>7.52</v>
      </c>
      <c r="V115">
        <f>Table1[[#This Row],[FSH(mIU/mL)]]/Table1[[#This Row],[LH(mIU/mL)]]</f>
        <v>0.66755319148936165</v>
      </c>
      <c r="W115" t="str">
        <f>IF(Table1[[#This Row],[FSH/LH]]&gt;=2,"Abnormal","Normal")</f>
        <v>Normal</v>
      </c>
      <c r="X115">
        <v>46</v>
      </c>
      <c r="Y115">
        <v>40</v>
      </c>
      <c r="Z115">
        <f>ROUND(Table1[[#This Row],[Waist(inch)]]/Table1[[#This Row],[Hip(inch)]],2)</f>
        <v>0.87</v>
      </c>
      <c r="AA115">
        <v>1.46</v>
      </c>
      <c r="AB115">
        <v>21</v>
      </c>
      <c r="AC115">
        <v>46.05</v>
      </c>
      <c r="AD115">
        <v>32.9</v>
      </c>
      <c r="AE115" t="str">
        <f>IF(Table1[[#This Row],[Vit D3 (ng/mL)]]&lt;20,"Deficiency","Normal")</f>
        <v>Normal</v>
      </c>
      <c r="AF115">
        <v>0.68</v>
      </c>
      <c r="AG115">
        <v>92</v>
      </c>
      <c r="AH115">
        <v>1</v>
      </c>
      <c r="AI115" t="str">
        <f>IF(Table1[[#This Row],[Weight gain(Y/N)]]=0,"NO","YES")</f>
        <v>YES</v>
      </c>
      <c r="AJ115">
        <v>0</v>
      </c>
      <c r="AK115" t="str">
        <f>IF(Table1[[#This Row],[hair growth(Y/N)]]=1,"YES","NO")</f>
        <v>NO</v>
      </c>
      <c r="AL115">
        <v>1</v>
      </c>
      <c r="AM115" t="str">
        <f>IF(Table1[[#This Row],[Skin darkening (Y/N)]]=1,"YES","NO")</f>
        <v>YES</v>
      </c>
      <c r="AN115">
        <v>1</v>
      </c>
      <c r="AO115" t="str">
        <f>IF(Table1[[#This Row],[Hair loss(Y/N)]]=1,"YES","NO")</f>
        <v>YES</v>
      </c>
      <c r="AP115">
        <v>1</v>
      </c>
      <c r="AQ115" t="str">
        <f>IF(Table1[[#This Row],[Pimples(Y/N)]]=1,"YES","NO")</f>
        <v>YES</v>
      </c>
      <c r="AR115">
        <v>1</v>
      </c>
      <c r="AS115" t="str">
        <f>IF(Table1[[#This Row],[Fast food (Y/N)]]=1,"YES","NO")</f>
        <v>YES</v>
      </c>
      <c r="AT115">
        <v>1</v>
      </c>
      <c r="AU115" t="str">
        <f>IF(Table1[[#This Row],[Reg.Exercise(Y/N)]]=1,"YES","NO")</f>
        <v>YES</v>
      </c>
      <c r="AV115">
        <v>110</v>
      </c>
      <c r="AW115">
        <v>80</v>
      </c>
      <c r="AX115">
        <v>5</v>
      </c>
      <c r="AY115">
        <v>6</v>
      </c>
      <c r="AZ115">
        <v>18</v>
      </c>
      <c r="BA115">
        <v>21</v>
      </c>
      <c r="BB115">
        <v>9</v>
      </c>
      <c r="BC115" t="str" cm="1">
        <f t="array" ref="BC115">_xlfn.IFS((F115/(G115*G115)*10000)&lt; 18.5,"Underweight",(F115/(G115*G115)*10000)&lt;24.9,"Normal",(F115/(G115*G115)*10000)&lt;29.9,"Overweight",(F115/(G115*G115)*10000)&gt;=30,"obesity")</f>
        <v>Normal</v>
      </c>
      <c r="BD115">
        <f>Table1[[#This Row],[Follicle No. (L)]]+Table1[[#This Row],[Follicle No. (R)]]</f>
        <v>11</v>
      </c>
      <c r="BE115">
        <f>Table1[[#This Row],[Avg. F size (L) (mm)]]+Table1[[#This Row],[Avg. F size (R) (mm)]]</f>
        <v>39</v>
      </c>
      <c r="BF115">
        <f>Table1[[#This Row],[BP _Diastolic (mmHg)]]+(Table1[[#This Row],[BP _Diastolic (mmHg)]]+Table1[[#This Row],[Follicle No. (L)]])/3</f>
        <v>108.33333333333333</v>
      </c>
      <c r="BG115" s="4" t="str" cm="1">
        <f t="array" ref="BG11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15" s="4">
        <f>SUM(Table1[[#This Row],[Pimples(Y/N)]],Table1[[#This Row],[hair growth(Y/N)]],Table1[[#This Row],[Skin darkening (Y/N)]],Table1[[#This Row],[Hair loss(Y/N)]])</f>
        <v>3</v>
      </c>
      <c r="BI115" s="4" t="str">
        <f>IF(AND(Table1[[#This Row],[Pregnant(Y/N)]]=0, Table1[[#This Row],[  I   beta-HCG(mIU/mL)]]&gt;5), "Investigation Required", "Clear")</f>
        <v>Investigation Required</v>
      </c>
    </row>
    <row r="116" spans="1:61" ht="15.75" customHeight="1" x14ac:dyDescent="0.25">
      <c r="A116">
        <v>115</v>
      </c>
      <c r="B116">
        <v>115</v>
      </c>
      <c r="C116">
        <v>1</v>
      </c>
      <c r="D116" t="str">
        <f>IF(Table1[[#This Row],[PCOS (Y/N)]]=0,"NO","YES")</f>
        <v>YES</v>
      </c>
      <c r="E116">
        <v>29</v>
      </c>
      <c r="F116">
        <v>74</v>
      </c>
      <c r="G116">
        <v>162</v>
      </c>
      <c r="H116">
        <v>15</v>
      </c>
      <c r="I116">
        <v>72</v>
      </c>
      <c r="J116">
        <v>18</v>
      </c>
      <c r="K116">
        <v>11.3</v>
      </c>
      <c r="L116">
        <v>2</v>
      </c>
      <c r="M116">
        <v>5</v>
      </c>
      <c r="N116">
        <v>6</v>
      </c>
      <c r="O116">
        <v>0</v>
      </c>
      <c r="P116" t="str">
        <f>IF(Table1[[#This Row],[Pregnant(Y/N)]]=1,"YES","NO")</f>
        <v>NO</v>
      </c>
      <c r="Q116">
        <v>0</v>
      </c>
      <c r="R116">
        <v>70.17</v>
      </c>
      <c r="S116">
        <v>2</v>
      </c>
      <c r="T116">
        <v>4.5199999999999996</v>
      </c>
      <c r="U116">
        <v>1.92</v>
      </c>
      <c r="V116">
        <f>Table1[[#This Row],[FSH(mIU/mL)]]/Table1[[#This Row],[LH(mIU/mL)]]</f>
        <v>2.3541666666666665</v>
      </c>
      <c r="W116" t="str">
        <f>IF(Table1[[#This Row],[FSH/LH]]&gt;=2,"Abnormal","Normal")</f>
        <v>Abnormal</v>
      </c>
      <c r="X116">
        <v>45</v>
      </c>
      <c r="Y116">
        <v>38</v>
      </c>
      <c r="Z116">
        <f>ROUND(Table1[[#This Row],[Waist(inch)]]/Table1[[#This Row],[Hip(inch)]],2)</f>
        <v>0.84</v>
      </c>
      <c r="AA116">
        <v>1.68</v>
      </c>
      <c r="AB116">
        <v>12.7</v>
      </c>
      <c r="AC116">
        <v>11.03</v>
      </c>
      <c r="AD116">
        <v>22.7</v>
      </c>
      <c r="AE116" t="str">
        <f>IF(Table1[[#This Row],[Vit D3 (ng/mL)]]&lt;20,"Deficiency","Normal")</f>
        <v>Normal</v>
      </c>
      <c r="AF116">
        <v>0.7</v>
      </c>
      <c r="AG116">
        <v>100</v>
      </c>
      <c r="AH116">
        <v>1</v>
      </c>
      <c r="AI116" t="str">
        <f>IF(Table1[[#This Row],[Weight gain(Y/N)]]=0,"NO","YES")</f>
        <v>YES</v>
      </c>
      <c r="AJ116">
        <v>1</v>
      </c>
      <c r="AK116" t="str">
        <f>IF(Table1[[#This Row],[hair growth(Y/N)]]=1,"YES","NO")</f>
        <v>YES</v>
      </c>
      <c r="AL116">
        <v>1</v>
      </c>
      <c r="AM116" t="str">
        <f>IF(Table1[[#This Row],[Skin darkening (Y/N)]]=1,"YES","NO")</f>
        <v>YES</v>
      </c>
      <c r="AN116">
        <v>1</v>
      </c>
      <c r="AO116" t="str">
        <f>IF(Table1[[#This Row],[Hair loss(Y/N)]]=1,"YES","NO")</f>
        <v>YES</v>
      </c>
      <c r="AP116">
        <v>0</v>
      </c>
      <c r="AQ116" t="str">
        <f>IF(Table1[[#This Row],[Pimples(Y/N)]]=1,"YES","NO")</f>
        <v>NO</v>
      </c>
      <c r="AR116">
        <v>0</v>
      </c>
      <c r="AS116" t="str">
        <f>IF(Table1[[#This Row],[Fast food (Y/N)]]=1,"YES","NO")</f>
        <v>NO</v>
      </c>
      <c r="AT116">
        <v>1</v>
      </c>
      <c r="AU116" t="str">
        <f>IF(Table1[[#This Row],[Reg.Exercise(Y/N)]]=1,"YES","NO")</f>
        <v>YES</v>
      </c>
      <c r="AV116">
        <v>110</v>
      </c>
      <c r="AW116">
        <v>80</v>
      </c>
      <c r="AX116">
        <v>14</v>
      </c>
      <c r="AY116">
        <v>5</v>
      </c>
      <c r="AZ116">
        <v>15</v>
      </c>
      <c r="BA116">
        <v>14</v>
      </c>
      <c r="BB116">
        <v>8.6999999999999993</v>
      </c>
      <c r="BC116" t="str" cm="1">
        <f t="array" ref="BC116">_xlfn.IFS((F116/(G116*G116)*10000)&lt; 18.5,"Underweight",(F116/(G116*G116)*10000)&lt;24.9,"Normal",(F116/(G116*G116)*10000)&lt;29.9,"Overweight",(F116/(G116*G116)*10000)&gt;=30,"obesity")</f>
        <v>Overweight</v>
      </c>
      <c r="BD116">
        <f>Table1[[#This Row],[Follicle No. (L)]]+Table1[[#This Row],[Follicle No. (R)]]</f>
        <v>19</v>
      </c>
      <c r="BE116">
        <f>Table1[[#This Row],[Avg. F size (L) (mm)]]+Table1[[#This Row],[Avg. F size (R) (mm)]]</f>
        <v>29</v>
      </c>
      <c r="BF116">
        <f>Table1[[#This Row],[BP _Diastolic (mmHg)]]+(Table1[[#This Row],[BP _Diastolic (mmHg)]]+Table1[[#This Row],[Follicle No. (L)]])/3</f>
        <v>111.33333333333333</v>
      </c>
      <c r="BG116" s="4" t="str" cm="1">
        <f t="array" ref="BG11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16" s="4">
        <f>SUM(Table1[[#This Row],[Pimples(Y/N)]],Table1[[#This Row],[hair growth(Y/N)]],Table1[[#This Row],[Skin darkening (Y/N)]],Table1[[#This Row],[Hair loss(Y/N)]])</f>
        <v>3</v>
      </c>
      <c r="BI116" s="4" t="str">
        <f>IF(AND(Table1[[#This Row],[Pregnant(Y/N)]]=0, Table1[[#This Row],[  I   beta-HCG(mIU/mL)]]&gt;5), "Investigation Required", "Clear")</f>
        <v>Investigation Required</v>
      </c>
    </row>
    <row r="117" spans="1:61" ht="15.75" customHeight="1" x14ac:dyDescent="0.25">
      <c r="A117">
        <v>116</v>
      </c>
      <c r="B117">
        <v>116</v>
      </c>
      <c r="C117">
        <v>0</v>
      </c>
      <c r="D117" t="str">
        <f>IF(Table1[[#This Row],[PCOS (Y/N)]]=0,"NO","YES")</f>
        <v>NO</v>
      </c>
      <c r="E117">
        <v>29</v>
      </c>
      <c r="F117">
        <v>67</v>
      </c>
      <c r="G117">
        <v>158</v>
      </c>
      <c r="H117">
        <v>11</v>
      </c>
      <c r="I117">
        <v>72</v>
      </c>
      <c r="J117">
        <v>18</v>
      </c>
      <c r="K117">
        <v>11.2</v>
      </c>
      <c r="L117">
        <v>2</v>
      </c>
      <c r="M117">
        <v>5</v>
      </c>
      <c r="N117">
        <v>2</v>
      </c>
      <c r="O117">
        <v>0</v>
      </c>
      <c r="P117" t="str">
        <f>IF(Table1[[#This Row],[Pregnant(Y/N)]]=1,"YES","NO")</f>
        <v>NO</v>
      </c>
      <c r="Q117">
        <v>0</v>
      </c>
      <c r="R117">
        <v>177.57</v>
      </c>
      <c r="S117">
        <v>177.58</v>
      </c>
      <c r="T117">
        <v>5.36</v>
      </c>
      <c r="U117">
        <v>0.42</v>
      </c>
      <c r="V117">
        <f>Table1[[#This Row],[FSH(mIU/mL)]]/Table1[[#This Row],[LH(mIU/mL)]]</f>
        <v>12.761904761904763</v>
      </c>
      <c r="W117" t="str">
        <f>IF(Table1[[#This Row],[FSH/LH]]&gt;=2,"Abnormal","Normal")</f>
        <v>Abnormal</v>
      </c>
      <c r="X117">
        <v>38</v>
      </c>
      <c r="Y117">
        <v>32</v>
      </c>
      <c r="Z117">
        <f>ROUND(Table1[[#This Row],[Waist(inch)]]/Table1[[#This Row],[Hip(inch)]],2)</f>
        <v>0.84</v>
      </c>
      <c r="AA117">
        <v>0.69</v>
      </c>
      <c r="AB117">
        <v>1.8</v>
      </c>
      <c r="AC117">
        <v>9.09</v>
      </c>
      <c r="AD117">
        <v>15.3</v>
      </c>
      <c r="AE117" t="str">
        <f>IF(Table1[[#This Row],[Vit D3 (ng/mL)]]&lt;20,"Deficiency","Normal")</f>
        <v>Deficiency</v>
      </c>
      <c r="AF117">
        <v>0.63</v>
      </c>
      <c r="AG117">
        <v>108</v>
      </c>
      <c r="AH117">
        <v>1</v>
      </c>
      <c r="AI117" t="str">
        <f>IF(Table1[[#This Row],[Weight gain(Y/N)]]=0,"NO","YES")</f>
        <v>YES</v>
      </c>
      <c r="AJ117">
        <v>0</v>
      </c>
      <c r="AK117" t="str">
        <f>IF(Table1[[#This Row],[hair growth(Y/N)]]=1,"YES","NO")</f>
        <v>NO</v>
      </c>
      <c r="AL117">
        <v>1</v>
      </c>
      <c r="AM117" t="str">
        <f>IF(Table1[[#This Row],[Skin darkening (Y/N)]]=1,"YES","NO")</f>
        <v>YES</v>
      </c>
      <c r="AN117">
        <v>0</v>
      </c>
      <c r="AO117" t="str">
        <f>IF(Table1[[#This Row],[Hair loss(Y/N)]]=1,"YES","NO")</f>
        <v>NO</v>
      </c>
      <c r="AP117">
        <v>0</v>
      </c>
      <c r="AQ117" t="str">
        <f>IF(Table1[[#This Row],[Pimples(Y/N)]]=1,"YES","NO")</f>
        <v>NO</v>
      </c>
      <c r="AR117">
        <v>0</v>
      </c>
      <c r="AS117" t="str">
        <f>IF(Table1[[#This Row],[Fast food (Y/N)]]=1,"YES","NO")</f>
        <v>NO</v>
      </c>
      <c r="AT117">
        <v>1</v>
      </c>
      <c r="AU117" t="str">
        <f>IF(Table1[[#This Row],[Reg.Exercise(Y/N)]]=1,"YES","NO")</f>
        <v>YES</v>
      </c>
      <c r="AV117">
        <v>110</v>
      </c>
      <c r="AW117">
        <v>70</v>
      </c>
      <c r="AX117">
        <v>5</v>
      </c>
      <c r="AY117">
        <v>3</v>
      </c>
      <c r="AZ117">
        <v>15.5</v>
      </c>
      <c r="BA117">
        <v>15</v>
      </c>
      <c r="BB117">
        <v>8.3000000000000007</v>
      </c>
      <c r="BC117" t="str" cm="1">
        <f t="array" ref="BC117">_xlfn.IFS((F117/(G117*G117)*10000)&lt; 18.5,"Underweight",(F117/(G117*G117)*10000)&lt;24.9,"Normal",(F117/(G117*G117)*10000)&lt;29.9,"Overweight",(F117/(G117*G117)*10000)&gt;=30,"obesity")</f>
        <v>Overweight</v>
      </c>
      <c r="BD117">
        <f>Table1[[#This Row],[Follicle No. (L)]]+Table1[[#This Row],[Follicle No. (R)]]</f>
        <v>8</v>
      </c>
      <c r="BE117">
        <f>Table1[[#This Row],[Avg. F size (L) (mm)]]+Table1[[#This Row],[Avg. F size (R) (mm)]]</f>
        <v>30.5</v>
      </c>
      <c r="BF117">
        <f>Table1[[#This Row],[BP _Diastolic (mmHg)]]+(Table1[[#This Row],[BP _Diastolic (mmHg)]]+Table1[[#This Row],[Follicle No. (L)]])/3</f>
        <v>95</v>
      </c>
      <c r="BG117" s="4" t="str" cm="1">
        <f t="array" ref="BG11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17" s="4">
        <f>SUM(Table1[[#This Row],[Pimples(Y/N)]],Table1[[#This Row],[hair growth(Y/N)]],Table1[[#This Row],[Skin darkening (Y/N)]],Table1[[#This Row],[Hair loss(Y/N)]])</f>
        <v>1</v>
      </c>
      <c r="BI117" s="4" t="str">
        <f>IF(AND(Table1[[#This Row],[Pregnant(Y/N)]]=0, Table1[[#This Row],[  I   beta-HCG(mIU/mL)]]&gt;5), "Investigation Required", "Clear")</f>
        <v>Investigation Required</v>
      </c>
    </row>
    <row r="118" spans="1:61" ht="15.75" customHeight="1" x14ac:dyDescent="0.25">
      <c r="A118">
        <v>117</v>
      </c>
      <c r="B118">
        <v>117</v>
      </c>
      <c r="C118">
        <v>0</v>
      </c>
      <c r="D118" t="str">
        <f>IF(Table1[[#This Row],[PCOS (Y/N)]]=0,"NO","YES")</f>
        <v>NO</v>
      </c>
      <c r="E118">
        <v>35</v>
      </c>
      <c r="F118">
        <v>63</v>
      </c>
      <c r="G118">
        <v>155</v>
      </c>
      <c r="H118">
        <v>15</v>
      </c>
      <c r="I118">
        <v>80</v>
      </c>
      <c r="J118">
        <v>22</v>
      </c>
      <c r="K118">
        <v>10.7</v>
      </c>
      <c r="L118">
        <v>2</v>
      </c>
      <c r="M118">
        <v>5</v>
      </c>
      <c r="N118">
        <v>14</v>
      </c>
      <c r="O118">
        <v>0</v>
      </c>
      <c r="P118" t="str">
        <f>IF(Table1[[#This Row],[Pregnant(Y/N)]]=1,"YES","NO")</f>
        <v>NO</v>
      </c>
      <c r="Q118">
        <v>0</v>
      </c>
      <c r="R118">
        <v>3.1</v>
      </c>
      <c r="S118">
        <v>12.17</v>
      </c>
      <c r="T118">
        <v>9.81</v>
      </c>
      <c r="U118">
        <v>0.34</v>
      </c>
      <c r="V118">
        <f>Table1[[#This Row],[FSH(mIU/mL)]]/Table1[[#This Row],[LH(mIU/mL)]]</f>
        <v>28.852941176470587</v>
      </c>
      <c r="W118" t="str">
        <f>IF(Table1[[#This Row],[FSH/LH]]&gt;=2,"Abnormal","Normal")</f>
        <v>Abnormal</v>
      </c>
      <c r="X118">
        <v>36</v>
      </c>
      <c r="Y118">
        <v>30</v>
      </c>
      <c r="Z118">
        <f>ROUND(Table1[[#This Row],[Waist(inch)]]/Table1[[#This Row],[Hip(inch)]],2)</f>
        <v>0.83</v>
      </c>
      <c r="AA118">
        <v>2.2799999999999998</v>
      </c>
      <c r="AB118">
        <v>3.6</v>
      </c>
      <c r="AC118">
        <v>29.97</v>
      </c>
      <c r="AD118">
        <v>24.3</v>
      </c>
      <c r="AE118" t="str">
        <f>IF(Table1[[#This Row],[Vit D3 (ng/mL)]]&lt;20,"Deficiency","Normal")</f>
        <v>Normal</v>
      </c>
      <c r="AF118">
        <v>0.93</v>
      </c>
      <c r="AG118">
        <v>100</v>
      </c>
      <c r="AH118">
        <v>0</v>
      </c>
      <c r="AI118" t="str">
        <f>IF(Table1[[#This Row],[Weight gain(Y/N)]]=0,"NO","YES")</f>
        <v>NO</v>
      </c>
      <c r="AJ118">
        <v>1</v>
      </c>
      <c r="AK118" t="str">
        <f>IF(Table1[[#This Row],[hair growth(Y/N)]]=1,"YES","NO")</f>
        <v>YES</v>
      </c>
      <c r="AL118">
        <v>0</v>
      </c>
      <c r="AM118" t="str">
        <f>IF(Table1[[#This Row],[Skin darkening (Y/N)]]=1,"YES","NO")</f>
        <v>NO</v>
      </c>
      <c r="AN118">
        <v>0</v>
      </c>
      <c r="AO118" t="str">
        <f>IF(Table1[[#This Row],[Hair loss(Y/N)]]=1,"YES","NO")</f>
        <v>NO</v>
      </c>
      <c r="AP118">
        <v>1</v>
      </c>
      <c r="AQ118" t="str">
        <f>IF(Table1[[#This Row],[Pimples(Y/N)]]=1,"YES","NO")</f>
        <v>YES</v>
      </c>
      <c r="AR118">
        <v>1</v>
      </c>
      <c r="AS118" t="str">
        <f>IF(Table1[[#This Row],[Fast food (Y/N)]]=1,"YES","NO")</f>
        <v>YES</v>
      </c>
      <c r="AT118">
        <v>1</v>
      </c>
      <c r="AU118" t="str">
        <f>IF(Table1[[#This Row],[Reg.Exercise(Y/N)]]=1,"YES","NO")</f>
        <v>YES</v>
      </c>
      <c r="AV118">
        <v>110</v>
      </c>
      <c r="AW118">
        <v>70</v>
      </c>
      <c r="AX118">
        <v>4</v>
      </c>
      <c r="AY118">
        <v>4</v>
      </c>
      <c r="AZ118">
        <v>15</v>
      </c>
      <c r="BA118">
        <v>14</v>
      </c>
      <c r="BB118">
        <v>9.8000000000000007</v>
      </c>
      <c r="BC118" t="str" cm="1">
        <f t="array" ref="BC118">_xlfn.IFS((F118/(G118*G118)*10000)&lt; 18.5,"Underweight",(F118/(G118*G118)*10000)&lt;24.9,"Normal",(F118/(G118*G118)*10000)&lt;29.9,"Overweight",(F118/(G118*G118)*10000)&gt;=30,"obesity")</f>
        <v>Overweight</v>
      </c>
      <c r="BD118">
        <f>Table1[[#This Row],[Follicle No. (L)]]+Table1[[#This Row],[Follicle No. (R)]]</f>
        <v>8</v>
      </c>
      <c r="BE118">
        <f>Table1[[#This Row],[Avg. F size (L) (mm)]]+Table1[[#This Row],[Avg. F size (R) (mm)]]</f>
        <v>29</v>
      </c>
      <c r="BF118">
        <f>Table1[[#This Row],[BP _Diastolic (mmHg)]]+(Table1[[#This Row],[BP _Diastolic (mmHg)]]+Table1[[#This Row],[Follicle No. (L)]])/3</f>
        <v>94.666666666666671</v>
      </c>
      <c r="BG118" s="4" t="str" cm="1">
        <f t="array" ref="BG11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18" s="4">
        <f>SUM(Table1[[#This Row],[Pimples(Y/N)]],Table1[[#This Row],[hair growth(Y/N)]],Table1[[#This Row],[Skin darkening (Y/N)]],Table1[[#This Row],[Hair loss(Y/N)]])</f>
        <v>2</v>
      </c>
      <c r="BI118" s="4" t="str">
        <f>IF(AND(Table1[[#This Row],[Pregnant(Y/N)]]=0, Table1[[#This Row],[  I   beta-HCG(mIU/mL)]]&gt;5), "Investigation Required", "Clear")</f>
        <v>Clear</v>
      </c>
    </row>
    <row r="119" spans="1:61" ht="15.75" customHeight="1" x14ac:dyDescent="0.25">
      <c r="A119">
        <v>118</v>
      </c>
      <c r="B119">
        <v>118</v>
      </c>
      <c r="C119">
        <v>1</v>
      </c>
      <c r="D119" t="str">
        <f>IF(Table1[[#This Row],[PCOS (Y/N)]]=0,"NO","YES")</f>
        <v>YES</v>
      </c>
      <c r="E119">
        <v>28</v>
      </c>
      <c r="F119">
        <v>68</v>
      </c>
      <c r="G119">
        <v>155</v>
      </c>
      <c r="H119">
        <v>13</v>
      </c>
      <c r="I119">
        <v>74</v>
      </c>
      <c r="J119">
        <v>20</v>
      </c>
      <c r="K119">
        <v>11.2</v>
      </c>
      <c r="L119">
        <v>4</v>
      </c>
      <c r="M119">
        <v>9</v>
      </c>
      <c r="N119">
        <v>7</v>
      </c>
      <c r="O119">
        <v>0</v>
      </c>
      <c r="P119" t="str">
        <f>IF(Table1[[#This Row],[Pregnant(Y/N)]]=1,"YES","NO")</f>
        <v>NO</v>
      </c>
      <c r="Q119">
        <v>0</v>
      </c>
      <c r="R119">
        <v>59.39</v>
      </c>
      <c r="S119">
        <v>2</v>
      </c>
      <c r="T119">
        <v>5.71</v>
      </c>
      <c r="U119">
        <v>4.3099999999999996</v>
      </c>
      <c r="V119">
        <f>Table1[[#This Row],[FSH(mIU/mL)]]/Table1[[#This Row],[LH(mIU/mL)]]</f>
        <v>1.3248259860788865</v>
      </c>
      <c r="W119" t="str">
        <f>IF(Table1[[#This Row],[FSH/LH]]&gt;=2,"Abnormal","Normal")</f>
        <v>Normal</v>
      </c>
      <c r="X119">
        <v>45</v>
      </c>
      <c r="Y119">
        <v>37</v>
      </c>
      <c r="Z119">
        <f>ROUND(Table1[[#This Row],[Waist(inch)]]/Table1[[#This Row],[Hip(inch)]],2)</f>
        <v>0.82</v>
      </c>
      <c r="AA119">
        <v>2.41</v>
      </c>
      <c r="AB119">
        <v>15</v>
      </c>
      <c r="AC119">
        <v>21.86</v>
      </c>
      <c r="AD119">
        <v>18.3</v>
      </c>
      <c r="AE119" t="str">
        <f>IF(Table1[[#This Row],[Vit D3 (ng/mL)]]&lt;20,"Deficiency","Normal")</f>
        <v>Deficiency</v>
      </c>
      <c r="AF119">
        <v>0.35</v>
      </c>
      <c r="AG119">
        <v>100</v>
      </c>
      <c r="AH119">
        <v>1</v>
      </c>
      <c r="AI119" t="str">
        <f>IF(Table1[[#This Row],[Weight gain(Y/N)]]=0,"NO","YES")</f>
        <v>YES</v>
      </c>
      <c r="AJ119">
        <v>0</v>
      </c>
      <c r="AK119" t="str">
        <f>IF(Table1[[#This Row],[hair growth(Y/N)]]=1,"YES","NO")</f>
        <v>NO</v>
      </c>
      <c r="AL119">
        <v>1</v>
      </c>
      <c r="AM119" t="str">
        <f>IF(Table1[[#This Row],[Skin darkening (Y/N)]]=1,"YES","NO")</f>
        <v>YES</v>
      </c>
      <c r="AN119">
        <v>1</v>
      </c>
      <c r="AO119" t="str">
        <f>IF(Table1[[#This Row],[Hair loss(Y/N)]]=1,"YES","NO")</f>
        <v>YES</v>
      </c>
      <c r="AP119">
        <v>1</v>
      </c>
      <c r="AQ119" t="str">
        <f>IF(Table1[[#This Row],[Pimples(Y/N)]]=1,"YES","NO")</f>
        <v>YES</v>
      </c>
      <c r="AR119">
        <v>1</v>
      </c>
      <c r="AS119" t="str">
        <f>IF(Table1[[#This Row],[Fast food (Y/N)]]=1,"YES","NO")</f>
        <v>YES</v>
      </c>
      <c r="AT119">
        <v>1</v>
      </c>
      <c r="AU119" t="str">
        <f>IF(Table1[[#This Row],[Reg.Exercise(Y/N)]]=1,"YES","NO")</f>
        <v>YES</v>
      </c>
      <c r="AV119">
        <v>110</v>
      </c>
      <c r="AW119">
        <v>80</v>
      </c>
      <c r="AX119">
        <v>21</v>
      </c>
      <c r="AY119">
        <v>20</v>
      </c>
      <c r="AZ119">
        <v>15</v>
      </c>
      <c r="BA119">
        <v>17</v>
      </c>
      <c r="BB119">
        <v>11</v>
      </c>
      <c r="BC119" t="str" cm="1">
        <f t="array" ref="BC119">_xlfn.IFS((F119/(G119*G119)*10000)&lt; 18.5,"Underweight",(F119/(G119*G119)*10000)&lt;24.9,"Normal",(F119/(G119*G119)*10000)&lt;29.9,"Overweight",(F119/(G119*G119)*10000)&gt;=30,"obesity")</f>
        <v>Overweight</v>
      </c>
      <c r="BD119">
        <f>Table1[[#This Row],[Follicle No. (L)]]+Table1[[#This Row],[Follicle No. (R)]]</f>
        <v>41</v>
      </c>
      <c r="BE119">
        <f>Table1[[#This Row],[Avg. F size (L) (mm)]]+Table1[[#This Row],[Avg. F size (R) (mm)]]</f>
        <v>32</v>
      </c>
      <c r="BF119">
        <f>Table1[[#This Row],[BP _Diastolic (mmHg)]]+(Table1[[#This Row],[BP _Diastolic (mmHg)]]+Table1[[#This Row],[Follicle No. (L)]])/3</f>
        <v>113.66666666666666</v>
      </c>
      <c r="BG119" s="4" t="str" cm="1">
        <f t="array" ref="BG11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19" s="4">
        <f>SUM(Table1[[#This Row],[Pimples(Y/N)]],Table1[[#This Row],[hair growth(Y/N)]],Table1[[#This Row],[Skin darkening (Y/N)]],Table1[[#This Row],[Hair loss(Y/N)]])</f>
        <v>3</v>
      </c>
      <c r="BI119" s="4" t="str">
        <f>IF(AND(Table1[[#This Row],[Pregnant(Y/N)]]=0, Table1[[#This Row],[  I   beta-HCG(mIU/mL)]]&gt;5), "Investigation Required", "Clear")</f>
        <v>Investigation Required</v>
      </c>
    </row>
    <row r="120" spans="1:61" ht="15.75" customHeight="1" x14ac:dyDescent="0.25">
      <c r="A120">
        <v>119</v>
      </c>
      <c r="B120">
        <v>119</v>
      </c>
      <c r="C120">
        <v>0</v>
      </c>
      <c r="D120" t="str">
        <f>IF(Table1[[#This Row],[PCOS (Y/N)]]=0,"NO","YES")</f>
        <v>NO</v>
      </c>
      <c r="E120">
        <v>33</v>
      </c>
      <c r="F120">
        <v>83</v>
      </c>
      <c r="G120">
        <v>162</v>
      </c>
      <c r="H120">
        <v>13</v>
      </c>
      <c r="I120">
        <v>78</v>
      </c>
      <c r="J120">
        <v>22</v>
      </c>
      <c r="K120">
        <v>11</v>
      </c>
      <c r="L120">
        <v>2</v>
      </c>
      <c r="M120">
        <v>5</v>
      </c>
      <c r="N120">
        <v>10</v>
      </c>
      <c r="O120">
        <v>0</v>
      </c>
      <c r="P120" t="str">
        <f>IF(Table1[[#This Row],[Pregnant(Y/N)]]=1,"YES","NO")</f>
        <v>NO</v>
      </c>
      <c r="Q120">
        <v>0</v>
      </c>
      <c r="R120">
        <v>100.68</v>
      </c>
      <c r="S120">
        <v>25.3</v>
      </c>
      <c r="T120">
        <v>4.74</v>
      </c>
      <c r="U120">
        <v>1.49</v>
      </c>
      <c r="V120">
        <f>Table1[[#This Row],[FSH(mIU/mL)]]/Table1[[#This Row],[LH(mIU/mL)]]</f>
        <v>3.1812080536912752</v>
      </c>
      <c r="W120" t="str">
        <f>IF(Table1[[#This Row],[FSH/LH]]&gt;=2,"Abnormal","Normal")</f>
        <v>Abnormal</v>
      </c>
      <c r="X120">
        <v>38</v>
      </c>
      <c r="Y120">
        <v>31</v>
      </c>
      <c r="Z120">
        <f>ROUND(Table1[[#This Row],[Waist(inch)]]/Table1[[#This Row],[Hip(inch)]],2)</f>
        <v>0.82</v>
      </c>
      <c r="AA120">
        <v>0.56999999999999995</v>
      </c>
      <c r="AB120">
        <v>5</v>
      </c>
      <c r="AC120">
        <v>14.72</v>
      </c>
      <c r="AD120">
        <v>32.4</v>
      </c>
      <c r="AE120" t="str">
        <f>IF(Table1[[#This Row],[Vit D3 (ng/mL)]]&lt;20,"Deficiency","Normal")</f>
        <v>Normal</v>
      </c>
      <c r="AF120">
        <v>0.26</v>
      </c>
      <c r="AG120">
        <v>100</v>
      </c>
      <c r="AH120">
        <v>0</v>
      </c>
      <c r="AI120" t="str">
        <f>IF(Table1[[#This Row],[Weight gain(Y/N)]]=0,"NO","YES")</f>
        <v>NO</v>
      </c>
      <c r="AJ120">
        <v>0</v>
      </c>
      <c r="AK120" t="str">
        <f>IF(Table1[[#This Row],[hair growth(Y/N)]]=1,"YES","NO")</f>
        <v>NO</v>
      </c>
      <c r="AL120">
        <v>1</v>
      </c>
      <c r="AM120" t="str">
        <f>IF(Table1[[#This Row],[Skin darkening (Y/N)]]=1,"YES","NO")</f>
        <v>YES</v>
      </c>
      <c r="AN120">
        <v>1</v>
      </c>
      <c r="AO120" t="str">
        <f>IF(Table1[[#This Row],[Hair loss(Y/N)]]=1,"YES","NO")</f>
        <v>YES</v>
      </c>
      <c r="AP120">
        <v>0</v>
      </c>
      <c r="AQ120" t="str">
        <f>IF(Table1[[#This Row],[Pimples(Y/N)]]=1,"YES","NO")</f>
        <v>NO</v>
      </c>
      <c r="AR120">
        <v>1</v>
      </c>
      <c r="AS120" t="str">
        <f>IF(Table1[[#This Row],[Fast food (Y/N)]]=1,"YES","NO")</f>
        <v>YES</v>
      </c>
      <c r="AT120">
        <v>0</v>
      </c>
      <c r="AU120" t="str">
        <f>IF(Table1[[#This Row],[Reg.Exercise(Y/N)]]=1,"YES","NO")</f>
        <v>NO</v>
      </c>
      <c r="AV120">
        <v>110</v>
      </c>
      <c r="AW120">
        <v>80</v>
      </c>
      <c r="AX120">
        <v>7</v>
      </c>
      <c r="AY120">
        <v>9</v>
      </c>
      <c r="AZ120">
        <v>18</v>
      </c>
      <c r="BA120">
        <v>20</v>
      </c>
      <c r="BB120">
        <v>8</v>
      </c>
      <c r="BC120" t="str" cm="1">
        <f t="array" ref="BC120">_xlfn.IFS((F120/(G120*G120)*10000)&lt; 18.5,"Underweight",(F120/(G120*G120)*10000)&lt;24.9,"Normal",(F120/(G120*G120)*10000)&lt;29.9,"Overweight",(F120/(G120*G120)*10000)&gt;=30,"obesity")</f>
        <v>obesity</v>
      </c>
      <c r="BD120">
        <f>Table1[[#This Row],[Follicle No. (L)]]+Table1[[#This Row],[Follicle No. (R)]]</f>
        <v>16</v>
      </c>
      <c r="BE120">
        <f>Table1[[#This Row],[Avg. F size (L) (mm)]]+Table1[[#This Row],[Avg. F size (R) (mm)]]</f>
        <v>38</v>
      </c>
      <c r="BF120">
        <f>Table1[[#This Row],[BP _Diastolic (mmHg)]]+(Table1[[#This Row],[BP _Diastolic (mmHg)]]+Table1[[#This Row],[Follicle No. (L)]])/3</f>
        <v>109</v>
      </c>
      <c r="BG120" s="4" t="str" cm="1">
        <f t="array" ref="BG12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20" s="4">
        <f>SUM(Table1[[#This Row],[Pimples(Y/N)]],Table1[[#This Row],[hair growth(Y/N)]],Table1[[#This Row],[Skin darkening (Y/N)]],Table1[[#This Row],[Hair loss(Y/N)]])</f>
        <v>2</v>
      </c>
      <c r="BI120" s="4" t="str">
        <f>IF(AND(Table1[[#This Row],[Pregnant(Y/N)]]=0, Table1[[#This Row],[  I   beta-HCG(mIU/mL)]]&gt;5), "Investigation Required", "Clear")</f>
        <v>Investigation Required</v>
      </c>
    </row>
    <row r="121" spans="1:61" ht="15.75" customHeight="1" x14ac:dyDescent="0.25">
      <c r="A121">
        <v>120</v>
      </c>
      <c r="B121">
        <v>120</v>
      </c>
      <c r="C121">
        <v>0</v>
      </c>
      <c r="D121" t="str">
        <f>IF(Table1[[#This Row],[PCOS (Y/N)]]=0,"NO","YES")</f>
        <v>NO</v>
      </c>
      <c r="E121">
        <v>29</v>
      </c>
      <c r="F121">
        <v>55</v>
      </c>
      <c r="G121">
        <v>152</v>
      </c>
      <c r="H121">
        <v>11</v>
      </c>
      <c r="I121">
        <v>72</v>
      </c>
      <c r="J121">
        <v>18</v>
      </c>
      <c r="K121">
        <v>11.2</v>
      </c>
      <c r="L121">
        <v>2</v>
      </c>
      <c r="M121">
        <v>5</v>
      </c>
      <c r="N121">
        <v>3</v>
      </c>
      <c r="O121">
        <v>0</v>
      </c>
      <c r="P121" t="str">
        <f>IF(Table1[[#This Row],[Pregnant(Y/N)]]=1,"YES","NO")</f>
        <v>NO</v>
      </c>
      <c r="Q121">
        <v>0</v>
      </c>
      <c r="R121">
        <v>566.24</v>
      </c>
      <c r="S121">
        <v>100.2</v>
      </c>
      <c r="T121">
        <v>3.62</v>
      </c>
      <c r="U121">
        <v>4.25</v>
      </c>
      <c r="V121">
        <f>Table1[[#This Row],[FSH(mIU/mL)]]/Table1[[#This Row],[LH(mIU/mL)]]</f>
        <v>0.85176470588235298</v>
      </c>
      <c r="W121" t="str">
        <f>IF(Table1[[#This Row],[FSH/LH]]&gt;=2,"Abnormal","Normal")</f>
        <v>Normal</v>
      </c>
      <c r="X121">
        <v>39</v>
      </c>
      <c r="Y121">
        <v>32</v>
      </c>
      <c r="Z121">
        <f>ROUND(Table1[[#This Row],[Waist(inch)]]/Table1[[#This Row],[Hip(inch)]],2)</f>
        <v>0.82</v>
      </c>
      <c r="AA121">
        <v>1.67</v>
      </c>
      <c r="AB121">
        <v>3.3</v>
      </c>
      <c r="AC121">
        <v>12.56</v>
      </c>
      <c r="AD121">
        <v>17.5</v>
      </c>
      <c r="AE121" t="str">
        <f>IF(Table1[[#This Row],[Vit D3 (ng/mL)]]&lt;20,"Deficiency","Normal")</f>
        <v>Deficiency</v>
      </c>
      <c r="AF121">
        <v>0.48</v>
      </c>
      <c r="AG121">
        <v>100</v>
      </c>
      <c r="AH121">
        <v>1</v>
      </c>
      <c r="AI121" t="str">
        <f>IF(Table1[[#This Row],[Weight gain(Y/N)]]=0,"NO","YES")</f>
        <v>YES</v>
      </c>
      <c r="AJ121">
        <v>0</v>
      </c>
      <c r="AK121" t="str">
        <f>IF(Table1[[#This Row],[hair growth(Y/N)]]=1,"YES","NO")</f>
        <v>NO</v>
      </c>
      <c r="AL121">
        <v>0</v>
      </c>
      <c r="AM121" t="str">
        <f>IF(Table1[[#This Row],[Skin darkening (Y/N)]]=1,"YES","NO")</f>
        <v>NO</v>
      </c>
      <c r="AN121">
        <v>0</v>
      </c>
      <c r="AO121" t="str">
        <f>IF(Table1[[#This Row],[Hair loss(Y/N)]]=1,"YES","NO")</f>
        <v>NO</v>
      </c>
      <c r="AP121">
        <v>0</v>
      </c>
      <c r="AQ121" t="str">
        <f>IF(Table1[[#This Row],[Pimples(Y/N)]]=1,"YES","NO")</f>
        <v>NO</v>
      </c>
      <c r="AR121">
        <v>0</v>
      </c>
      <c r="AS121" t="str">
        <f>IF(Table1[[#This Row],[Fast food (Y/N)]]=1,"YES","NO")</f>
        <v>NO</v>
      </c>
      <c r="AT121">
        <v>0</v>
      </c>
      <c r="AU121" t="str">
        <f>IF(Table1[[#This Row],[Reg.Exercise(Y/N)]]=1,"YES","NO")</f>
        <v>NO</v>
      </c>
      <c r="AV121">
        <v>110</v>
      </c>
      <c r="AW121">
        <v>80</v>
      </c>
      <c r="AX121">
        <v>2</v>
      </c>
      <c r="AY121">
        <v>4</v>
      </c>
      <c r="AZ121">
        <v>18</v>
      </c>
      <c r="BA121">
        <v>20</v>
      </c>
      <c r="BB121">
        <v>11.7</v>
      </c>
      <c r="BC121" t="str" cm="1">
        <f t="array" ref="BC121">_xlfn.IFS((F121/(G121*G121)*10000)&lt; 18.5,"Underweight",(F121/(G121*G121)*10000)&lt;24.9,"Normal",(F121/(G121*G121)*10000)&lt;29.9,"Overweight",(F121/(G121*G121)*10000)&gt;=30,"obesity")</f>
        <v>Normal</v>
      </c>
      <c r="BD121">
        <f>Table1[[#This Row],[Follicle No. (L)]]+Table1[[#This Row],[Follicle No. (R)]]</f>
        <v>6</v>
      </c>
      <c r="BE121">
        <f>Table1[[#This Row],[Avg. F size (L) (mm)]]+Table1[[#This Row],[Avg. F size (R) (mm)]]</f>
        <v>38</v>
      </c>
      <c r="BF121">
        <f>Table1[[#This Row],[BP _Diastolic (mmHg)]]+(Table1[[#This Row],[BP _Diastolic (mmHg)]]+Table1[[#This Row],[Follicle No. (L)]])/3</f>
        <v>107.33333333333333</v>
      </c>
      <c r="BG121" s="4" t="str" cm="1">
        <f t="array" ref="BG12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21" s="4">
        <f>SUM(Table1[[#This Row],[Pimples(Y/N)]],Table1[[#This Row],[hair growth(Y/N)]],Table1[[#This Row],[Skin darkening (Y/N)]],Table1[[#This Row],[Hair loss(Y/N)]])</f>
        <v>0</v>
      </c>
      <c r="BI121" s="4" t="str">
        <f>IF(AND(Table1[[#This Row],[Pregnant(Y/N)]]=0, Table1[[#This Row],[  I   beta-HCG(mIU/mL)]]&gt;5), "Investigation Required", "Clear")</f>
        <v>Investigation Required</v>
      </c>
    </row>
    <row r="122" spans="1:61" ht="15.75" customHeight="1" x14ac:dyDescent="0.25">
      <c r="A122">
        <v>121</v>
      </c>
      <c r="B122">
        <v>121</v>
      </c>
      <c r="C122">
        <v>0</v>
      </c>
      <c r="D122" t="str">
        <f>IF(Table1[[#This Row],[PCOS (Y/N)]]=0,"NO","YES")</f>
        <v>NO</v>
      </c>
      <c r="E122">
        <v>30</v>
      </c>
      <c r="F122">
        <v>63</v>
      </c>
      <c r="G122">
        <v>159</v>
      </c>
      <c r="H122">
        <v>15</v>
      </c>
      <c r="I122">
        <v>76</v>
      </c>
      <c r="J122">
        <v>20</v>
      </c>
      <c r="K122">
        <v>10.5</v>
      </c>
      <c r="L122">
        <v>4</v>
      </c>
      <c r="M122">
        <v>9</v>
      </c>
      <c r="N122">
        <v>5</v>
      </c>
      <c r="O122">
        <v>0</v>
      </c>
      <c r="P122" t="str">
        <f>IF(Table1[[#This Row],[Pregnant(Y/N)]]=1,"YES","NO")</f>
        <v>NO</v>
      </c>
      <c r="Q122">
        <v>0</v>
      </c>
      <c r="R122">
        <v>1.99</v>
      </c>
      <c r="S122">
        <v>479.66</v>
      </c>
      <c r="T122">
        <v>7.78</v>
      </c>
      <c r="U122">
        <v>14.69</v>
      </c>
      <c r="V122">
        <f>Table1[[#This Row],[FSH(mIU/mL)]]/Table1[[#This Row],[LH(mIU/mL)]]</f>
        <v>0.52961198093941464</v>
      </c>
      <c r="W122" t="str">
        <f>IF(Table1[[#This Row],[FSH/LH]]&gt;=2,"Abnormal","Normal")</f>
        <v>Normal</v>
      </c>
      <c r="X122">
        <v>40</v>
      </c>
      <c r="Y122">
        <v>33</v>
      </c>
      <c r="Z122">
        <f>ROUND(Table1[[#This Row],[Waist(inch)]]/Table1[[#This Row],[Hip(inch)]],2)</f>
        <v>0.83</v>
      </c>
      <c r="AA122">
        <v>2.9</v>
      </c>
      <c r="AB122">
        <v>3.3</v>
      </c>
      <c r="AC122">
        <v>24.15</v>
      </c>
      <c r="AD122">
        <v>56.3</v>
      </c>
      <c r="AE122" t="str">
        <f>IF(Table1[[#This Row],[Vit D3 (ng/mL)]]&lt;20,"Deficiency","Normal")</f>
        <v>Normal</v>
      </c>
      <c r="AF122">
        <v>0.44</v>
      </c>
      <c r="AG122">
        <v>100</v>
      </c>
      <c r="AH122">
        <v>0</v>
      </c>
      <c r="AI122" t="str">
        <f>IF(Table1[[#This Row],[Weight gain(Y/N)]]=0,"NO","YES")</f>
        <v>NO</v>
      </c>
      <c r="AJ122">
        <v>0</v>
      </c>
      <c r="AK122" t="str">
        <f>IF(Table1[[#This Row],[hair growth(Y/N)]]=1,"YES","NO")</f>
        <v>NO</v>
      </c>
      <c r="AL122">
        <v>0</v>
      </c>
      <c r="AM122" t="str">
        <f>IF(Table1[[#This Row],[Skin darkening (Y/N)]]=1,"YES","NO")</f>
        <v>NO</v>
      </c>
      <c r="AN122">
        <v>0</v>
      </c>
      <c r="AO122" t="str">
        <f>IF(Table1[[#This Row],[Hair loss(Y/N)]]=1,"YES","NO")</f>
        <v>NO</v>
      </c>
      <c r="AP122">
        <v>0</v>
      </c>
      <c r="AQ122" t="str">
        <f>IF(Table1[[#This Row],[Pimples(Y/N)]]=1,"YES","NO")</f>
        <v>NO</v>
      </c>
      <c r="AR122">
        <v>1</v>
      </c>
      <c r="AS122" t="str">
        <f>IF(Table1[[#This Row],[Fast food (Y/N)]]=1,"YES","NO")</f>
        <v>YES</v>
      </c>
      <c r="AT122">
        <v>1</v>
      </c>
      <c r="AU122" t="str">
        <f>IF(Table1[[#This Row],[Reg.Exercise(Y/N)]]=1,"YES","NO")</f>
        <v>YES</v>
      </c>
      <c r="AV122">
        <v>110</v>
      </c>
      <c r="AW122">
        <v>70</v>
      </c>
      <c r="AX122">
        <v>3</v>
      </c>
      <c r="AY122">
        <v>2</v>
      </c>
      <c r="AZ122">
        <v>16</v>
      </c>
      <c r="BA122">
        <v>14</v>
      </c>
      <c r="BB122">
        <v>8.6</v>
      </c>
      <c r="BC122" t="str" cm="1">
        <f t="array" ref="BC122">_xlfn.IFS((F122/(G122*G122)*10000)&lt; 18.5,"Underweight",(F122/(G122*G122)*10000)&lt;24.9,"Normal",(F122/(G122*G122)*10000)&lt;29.9,"Overweight",(F122/(G122*G122)*10000)&gt;=30,"obesity")</f>
        <v>Overweight</v>
      </c>
      <c r="BD122">
        <f>Table1[[#This Row],[Follicle No. (L)]]+Table1[[#This Row],[Follicle No. (R)]]</f>
        <v>5</v>
      </c>
      <c r="BE122">
        <f>Table1[[#This Row],[Avg. F size (L) (mm)]]+Table1[[#This Row],[Avg. F size (R) (mm)]]</f>
        <v>30</v>
      </c>
      <c r="BF122">
        <f>Table1[[#This Row],[BP _Diastolic (mmHg)]]+(Table1[[#This Row],[BP _Diastolic (mmHg)]]+Table1[[#This Row],[Follicle No. (L)]])/3</f>
        <v>94.333333333333329</v>
      </c>
      <c r="BG122" s="4" t="str" cm="1">
        <f t="array" ref="BG12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22" s="4">
        <f>SUM(Table1[[#This Row],[Pimples(Y/N)]],Table1[[#This Row],[hair growth(Y/N)]],Table1[[#This Row],[Skin darkening (Y/N)]],Table1[[#This Row],[Hair loss(Y/N)]])</f>
        <v>0</v>
      </c>
      <c r="BI122" s="4" t="str">
        <f>IF(AND(Table1[[#This Row],[Pregnant(Y/N)]]=0, Table1[[#This Row],[  I   beta-HCG(mIU/mL)]]&gt;5), "Investigation Required", "Clear")</f>
        <v>Clear</v>
      </c>
    </row>
    <row r="123" spans="1:61" ht="15.75" customHeight="1" x14ac:dyDescent="0.25">
      <c r="A123">
        <v>122</v>
      </c>
      <c r="B123">
        <v>122</v>
      </c>
      <c r="C123">
        <v>0</v>
      </c>
      <c r="D123" t="str">
        <f>IF(Table1[[#This Row],[PCOS (Y/N)]]=0,"NO","YES")</f>
        <v>NO</v>
      </c>
      <c r="E123">
        <v>33</v>
      </c>
      <c r="F123">
        <v>48</v>
      </c>
      <c r="G123">
        <v>148</v>
      </c>
      <c r="H123">
        <v>16</v>
      </c>
      <c r="I123">
        <v>70</v>
      </c>
      <c r="J123">
        <v>18</v>
      </c>
      <c r="K123">
        <v>10</v>
      </c>
      <c r="L123">
        <v>2</v>
      </c>
      <c r="M123">
        <v>5</v>
      </c>
      <c r="N123">
        <v>12</v>
      </c>
      <c r="O123">
        <v>0</v>
      </c>
      <c r="P123" t="str">
        <f>IF(Table1[[#This Row],[Pregnant(Y/N)]]=1,"YES","NO")</f>
        <v>NO</v>
      </c>
      <c r="Q123">
        <v>0</v>
      </c>
      <c r="R123">
        <v>357.09</v>
      </c>
      <c r="S123">
        <v>1.9</v>
      </c>
      <c r="T123">
        <v>7.6</v>
      </c>
      <c r="U123">
        <v>0.48</v>
      </c>
      <c r="V123">
        <f>Table1[[#This Row],[FSH(mIU/mL)]]/Table1[[#This Row],[LH(mIU/mL)]]</f>
        <v>15.833333333333334</v>
      </c>
      <c r="W123" t="str">
        <f>IF(Table1[[#This Row],[FSH/LH]]&gt;=2,"Abnormal","Normal")</f>
        <v>Abnormal</v>
      </c>
      <c r="X123">
        <v>38</v>
      </c>
      <c r="Y123">
        <v>30</v>
      </c>
      <c r="Z123">
        <f>ROUND(Table1[[#This Row],[Waist(inch)]]/Table1[[#This Row],[Hip(inch)]],2)</f>
        <v>0.79</v>
      </c>
      <c r="AA123">
        <v>1.67</v>
      </c>
      <c r="AB123">
        <v>3.9</v>
      </c>
      <c r="AC123">
        <v>27.45</v>
      </c>
      <c r="AD123">
        <v>33.4</v>
      </c>
      <c r="AE123" t="str">
        <f>IF(Table1[[#This Row],[Vit D3 (ng/mL)]]&lt;20,"Deficiency","Normal")</f>
        <v>Normal</v>
      </c>
      <c r="AF123">
        <v>6.39</v>
      </c>
      <c r="AG123">
        <v>100</v>
      </c>
      <c r="AH123">
        <v>0</v>
      </c>
      <c r="AI123" t="str">
        <f>IF(Table1[[#This Row],[Weight gain(Y/N)]]=0,"NO","YES")</f>
        <v>NO</v>
      </c>
      <c r="AJ123">
        <v>1</v>
      </c>
      <c r="AK123" t="str">
        <f>IF(Table1[[#This Row],[hair growth(Y/N)]]=1,"YES","NO")</f>
        <v>YES</v>
      </c>
      <c r="AL123">
        <v>0</v>
      </c>
      <c r="AM123" t="str">
        <f>IF(Table1[[#This Row],[Skin darkening (Y/N)]]=1,"YES","NO")</f>
        <v>NO</v>
      </c>
      <c r="AN123">
        <v>0</v>
      </c>
      <c r="AO123" t="str">
        <f>IF(Table1[[#This Row],[Hair loss(Y/N)]]=1,"YES","NO")</f>
        <v>NO</v>
      </c>
      <c r="AP123">
        <v>0</v>
      </c>
      <c r="AQ123" t="str">
        <f>IF(Table1[[#This Row],[Pimples(Y/N)]]=1,"YES","NO")</f>
        <v>NO</v>
      </c>
      <c r="AR123">
        <v>0</v>
      </c>
      <c r="AS123" t="str">
        <f>IF(Table1[[#This Row],[Fast food (Y/N)]]=1,"YES","NO")</f>
        <v>NO</v>
      </c>
      <c r="AT123">
        <v>0</v>
      </c>
      <c r="AU123" t="str">
        <f>IF(Table1[[#This Row],[Reg.Exercise(Y/N)]]=1,"YES","NO")</f>
        <v>NO</v>
      </c>
      <c r="AV123">
        <v>110</v>
      </c>
      <c r="AW123">
        <v>80</v>
      </c>
      <c r="AX123">
        <v>1</v>
      </c>
      <c r="AY123">
        <v>1</v>
      </c>
      <c r="AZ123">
        <v>15</v>
      </c>
      <c r="BA123">
        <v>18</v>
      </c>
      <c r="BB123">
        <v>6.2</v>
      </c>
      <c r="BC123" t="str" cm="1">
        <f t="array" ref="BC123">_xlfn.IFS((F123/(G123*G123)*10000)&lt; 18.5,"Underweight",(F123/(G123*G123)*10000)&lt;24.9,"Normal",(F123/(G123*G123)*10000)&lt;29.9,"Overweight",(F123/(G123*G123)*10000)&gt;=30,"obesity")</f>
        <v>Normal</v>
      </c>
      <c r="BD123">
        <f>Table1[[#This Row],[Follicle No. (L)]]+Table1[[#This Row],[Follicle No. (R)]]</f>
        <v>2</v>
      </c>
      <c r="BE123">
        <f>Table1[[#This Row],[Avg. F size (L) (mm)]]+Table1[[#This Row],[Avg. F size (R) (mm)]]</f>
        <v>33</v>
      </c>
      <c r="BF123">
        <f>Table1[[#This Row],[BP _Diastolic (mmHg)]]+(Table1[[#This Row],[BP _Diastolic (mmHg)]]+Table1[[#This Row],[Follicle No. (L)]])/3</f>
        <v>107</v>
      </c>
      <c r="BG123" s="4" t="str" cm="1">
        <f t="array" ref="BG12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23" s="4">
        <f>SUM(Table1[[#This Row],[Pimples(Y/N)]],Table1[[#This Row],[hair growth(Y/N)]],Table1[[#This Row],[Skin darkening (Y/N)]],Table1[[#This Row],[Hair loss(Y/N)]])</f>
        <v>1</v>
      </c>
      <c r="BI123" s="4" t="str">
        <f>IF(AND(Table1[[#This Row],[Pregnant(Y/N)]]=0, Table1[[#This Row],[  I   beta-HCG(mIU/mL)]]&gt;5), "Investigation Required", "Clear")</f>
        <v>Investigation Required</v>
      </c>
    </row>
    <row r="124" spans="1:61" ht="15.75" customHeight="1" x14ac:dyDescent="0.25">
      <c r="A124">
        <v>123</v>
      </c>
      <c r="B124">
        <v>123</v>
      </c>
      <c r="C124">
        <v>1</v>
      </c>
      <c r="D124" t="str">
        <f>IF(Table1[[#This Row],[PCOS (Y/N)]]=0,"NO","YES")</f>
        <v>YES</v>
      </c>
      <c r="E124">
        <v>22</v>
      </c>
      <c r="F124">
        <v>79</v>
      </c>
      <c r="G124">
        <v>155</v>
      </c>
      <c r="H124">
        <v>11</v>
      </c>
      <c r="I124">
        <v>72</v>
      </c>
      <c r="J124">
        <v>18</v>
      </c>
      <c r="K124">
        <v>11.3</v>
      </c>
      <c r="L124">
        <v>2</v>
      </c>
      <c r="M124">
        <v>5</v>
      </c>
      <c r="N124">
        <v>4</v>
      </c>
      <c r="O124">
        <v>0</v>
      </c>
      <c r="P124" t="str">
        <f>IF(Table1[[#This Row],[Pregnant(Y/N)]]=1,"YES","NO")</f>
        <v>NO</v>
      </c>
      <c r="Q124">
        <v>0</v>
      </c>
      <c r="R124">
        <v>138.68</v>
      </c>
      <c r="S124">
        <v>586.05999999999995</v>
      </c>
      <c r="T124">
        <v>4.1399999999999997</v>
      </c>
      <c r="U124">
        <v>4.0599999999999996</v>
      </c>
      <c r="V124">
        <f>Table1[[#This Row],[FSH(mIU/mL)]]/Table1[[#This Row],[LH(mIU/mL)]]</f>
        <v>1.0197044334975369</v>
      </c>
      <c r="W124" t="str">
        <f>IF(Table1[[#This Row],[FSH/LH]]&gt;=2,"Abnormal","Normal")</f>
        <v>Normal</v>
      </c>
      <c r="X124">
        <v>45</v>
      </c>
      <c r="Y124">
        <v>37</v>
      </c>
      <c r="Z124">
        <f>ROUND(Table1[[#This Row],[Waist(inch)]]/Table1[[#This Row],[Hip(inch)]],2)</f>
        <v>0.82</v>
      </c>
      <c r="AA124">
        <v>2.9</v>
      </c>
      <c r="AB124">
        <v>17.899999999999999</v>
      </c>
      <c r="AC124">
        <v>21.92</v>
      </c>
      <c r="AD124">
        <v>22.92</v>
      </c>
      <c r="AE124" t="str">
        <f>IF(Table1[[#This Row],[Vit D3 (ng/mL)]]&lt;20,"Deficiency","Normal")</f>
        <v>Normal</v>
      </c>
      <c r="AF124">
        <v>0.42</v>
      </c>
      <c r="AG124">
        <v>92</v>
      </c>
      <c r="AH124">
        <v>1</v>
      </c>
      <c r="AI124" t="str">
        <f>IF(Table1[[#This Row],[Weight gain(Y/N)]]=0,"NO","YES")</f>
        <v>YES</v>
      </c>
      <c r="AJ124">
        <v>0</v>
      </c>
      <c r="AK124" t="str">
        <f>IF(Table1[[#This Row],[hair growth(Y/N)]]=1,"YES","NO")</f>
        <v>NO</v>
      </c>
      <c r="AL124">
        <v>1</v>
      </c>
      <c r="AM124" t="str">
        <f>IF(Table1[[#This Row],[Skin darkening (Y/N)]]=1,"YES","NO")</f>
        <v>YES</v>
      </c>
      <c r="AN124">
        <v>0</v>
      </c>
      <c r="AO124" t="str">
        <f>IF(Table1[[#This Row],[Hair loss(Y/N)]]=1,"YES","NO")</f>
        <v>NO</v>
      </c>
      <c r="AP124">
        <v>1</v>
      </c>
      <c r="AQ124" t="str">
        <f>IF(Table1[[#This Row],[Pimples(Y/N)]]=1,"YES","NO")</f>
        <v>YES</v>
      </c>
      <c r="AR124">
        <v>1</v>
      </c>
      <c r="AS124" t="str">
        <f>IF(Table1[[#This Row],[Fast food (Y/N)]]=1,"YES","NO")</f>
        <v>YES</v>
      </c>
      <c r="AT124">
        <v>1</v>
      </c>
      <c r="AU124" t="str">
        <f>IF(Table1[[#This Row],[Reg.Exercise(Y/N)]]=1,"YES","NO")</f>
        <v>YES</v>
      </c>
      <c r="AV124">
        <v>110</v>
      </c>
      <c r="AW124">
        <v>80</v>
      </c>
      <c r="AX124">
        <v>6</v>
      </c>
      <c r="AY124">
        <v>10</v>
      </c>
      <c r="AZ124">
        <v>16</v>
      </c>
      <c r="BA124">
        <v>15</v>
      </c>
      <c r="BB124">
        <v>13.4</v>
      </c>
      <c r="BC124" t="str" cm="1">
        <f t="array" ref="BC124">_xlfn.IFS((F124/(G124*G124)*10000)&lt; 18.5,"Underweight",(F124/(G124*G124)*10000)&lt;24.9,"Normal",(F124/(G124*G124)*10000)&lt;29.9,"Overweight",(F124/(G124*G124)*10000)&gt;=30,"obesity")</f>
        <v>obesity</v>
      </c>
      <c r="BD124">
        <f>Table1[[#This Row],[Follicle No. (L)]]+Table1[[#This Row],[Follicle No. (R)]]</f>
        <v>16</v>
      </c>
      <c r="BE124">
        <f>Table1[[#This Row],[Avg. F size (L) (mm)]]+Table1[[#This Row],[Avg. F size (R) (mm)]]</f>
        <v>31</v>
      </c>
      <c r="BF124">
        <f>Table1[[#This Row],[BP _Diastolic (mmHg)]]+(Table1[[#This Row],[BP _Diastolic (mmHg)]]+Table1[[#This Row],[Follicle No. (L)]])/3</f>
        <v>108.66666666666667</v>
      </c>
      <c r="BG124" s="4" t="str" cm="1">
        <f t="array" ref="BG12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24" s="4">
        <f>SUM(Table1[[#This Row],[Pimples(Y/N)]],Table1[[#This Row],[hair growth(Y/N)]],Table1[[#This Row],[Skin darkening (Y/N)]],Table1[[#This Row],[Hair loss(Y/N)]])</f>
        <v>2</v>
      </c>
      <c r="BI124" s="4" t="str">
        <f>IF(AND(Table1[[#This Row],[Pregnant(Y/N)]]=0, Table1[[#This Row],[  I   beta-HCG(mIU/mL)]]&gt;5), "Investigation Required", "Clear")</f>
        <v>Investigation Required</v>
      </c>
    </row>
    <row r="125" spans="1:61" ht="15.75" customHeight="1" x14ac:dyDescent="0.25">
      <c r="A125">
        <v>124</v>
      </c>
      <c r="B125">
        <v>124</v>
      </c>
      <c r="C125">
        <v>1</v>
      </c>
      <c r="D125" t="str">
        <f>IF(Table1[[#This Row],[PCOS (Y/N)]]=0,"NO","YES")</f>
        <v>YES</v>
      </c>
      <c r="E125">
        <v>23</v>
      </c>
      <c r="F125">
        <v>40</v>
      </c>
      <c r="G125">
        <v>150</v>
      </c>
      <c r="H125">
        <v>15</v>
      </c>
      <c r="I125">
        <v>74</v>
      </c>
      <c r="J125">
        <v>18</v>
      </c>
      <c r="K125">
        <v>10.8</v>
      </c>
      <c r="L125">
        <v>2</v>
      </c>
      <c r="M125">
        <v>5</v>
      </c>
      <c r="N125">
        <v>2</v>
      </c>
      <c r="O125">
        <v>0</v>
      </c>
      <c r="P125" t="str">
        <f>IF(Table1[[#This Row],[Pregnant(Y/N)]]=1,"YES","NO")</f>
        <v>NO</v>
      </c>
      <c r="Q125">
        <v>0</v>
      </c>
      <c r="R125">
        <v>1.99</v>
      </c>
      <c r="S125" t="s">
        <v>43</v>
      </c>
      <c r="T125">
        <v>5</v>
      </c>
      <c r="U125">
        <v>5.15</v>
      </c>
      <c r="V125">
        <f>Table1[[#This Row],[FSH(mIU/mL)]]/Table1[[#This Row],[LH(mIU/mL)]]</f>
        <v>0.97087378640776689</v>
      </c>
      <c r="W125" t="str">
        <f>IF(Table1[[#This Row],[FSH/LH]]&gt;=2,"Abnormal","Normal")</f>
        <v>Normal</v>
      </c>
      <c r="X125">
        <v>46</v>
      </c>
      <c r="Y125">
        <v>38</v>
      </c>
      <c r="Z125">
        <f>ROUND(Table1[[#This Row],[Waist(inch)]]/Table1[[#This Row],[Hip(inch)]],2)</f>
        <v>0.83</v>
      </c>
      <c r="AA125">
        <v>1.69</v>
      </c>
      <c r="AB125">
        <v>19.8</v>
      </c>
      <c r="AC125">
        <v>15.23</v>
      </c>
      <c r="AD125">
        <v>23.5</v>
      </c>
      <c r="AE125" t="str">
        <f>IF(Table1[[#This Row],[Vit D3 (ng/mL)]]&lt;20,"Deficiency","Normal")</f>
        <v>Normal</v>
      </c>
      <c r="AF125">
        <v>0.93</v>
      </c>
      <c r="AG125">
        <v>92</v>
      </c>
      <c r="AH125">
        <v>1</v>
      </c>
      <c r="AI125" t="str">
        <f>IF(Table1[[#This Row],[Weight gain(Y/N)]]=0,"NO","YES")</f>
        <v>YES</v>
      </c>
      <c r="AJ125">
        <v>1</v>
      </c>
      <c r="AK125" t="str">
        <f>IF(Table1[[#This Row],[hair growth(Y/N)]]=1,"YES","NO")</f>
        <v>YES</v>
      </c>
      <c r="AL125">
        <v>1</v>
      </c>
      <c r="AM125" t="str">
        <f>IF(Table1[[#This Row],[Skin darkening (Y/N)]]=1,"YES","NO")</f>
        <v>YES</v>
      </c>
      <c r="AN125">
        <v>1</v>
      </c>
      <c r="AO125" t="str">
        <f>IF(Table1[[#This Row],[Hair loss(Y/N)]]=1,"YES","NO")</f>
        <v>YES</v>
      </c>
      <c r="AP125">
        <v>0</v>
      </c>
      <c r="AQ125" t="str">
        <f>IF(Table1[[#This Row],[Pimples(Y/N)]]=1,"YES","NO")</f>
        <v>NO</v>
      </c>
      <c r="AR125">
        <v>1</v>
      </c>
      <c r="AS125" t="str">
        <f>IF(Table1[[#This Row],[Fast food (Y/N)]]=1,"YES","NO")</f>
        <v>YES</v>
      </c>
      <c r="AT125">
        <v>1</v>
      </c>
      <c r="AU125" t="str">
        <f>IF(Table1[[#This Row],[Reg.Exercise(Y/N)]]=1,"YES","NO")</f>
        <v>YES</v>
      </c>
      <c r="AV125">
        <v>100</v>
      </c>
      <c r="AW125">
        <v>70</v>
      </c>
      <c r="AX125">
        <v>10</v>
      </c>
      <c r="AY125">
        <v>13</v>
      </c>
      <c r="AZ125">
        <v>18</v>
      </c>
      <c r="BA125">
        <v>17</v>
      </c>
      <c r="BB125">
        <v>12.5</v>
      </c>
      <c r="BC125" t="str" cm="1">
        <f t="array" ref="BC125">_xlfn.IFS((F125/(G125*G125)*10000)&lt; 18.5,"Underweight",(F125/(G125*G125)*10000)&lt;24.9,"Normal",(F125/(G125*G125)*10000)&lt;29.9,"Overweight",(F125/(G125*G125)*10000)&gt;=30,"obesity")</f>
        <v>Underweight</v>
      </c>
      <c r="BD125">
        <f>Table1[[#This Row],[Follicle No. (L)]]+Table1[[#This Row],[Follicle No. (R)]]</f>
        <v>23</v>
      </c>
      <c r="BE125">
        <f>Table1[[#This Row],[Avg. F size (L) (mm)]]+Table1[[#This Row],[Avg. F size (R) (mm)]]</f>
        <v>35</v>
      </c>
      <c r="BF125">
        <f>Table1[[#This Row],[BP _Diastolic (mmHg)]]+(Table1[[#This Row],[BP _Diastolic (mmHg)]]+Table1[[#This Row],[Follicle No. (L)]])/3</f>
        <v>96.666666666666671</v>
      </c>
      <c r="BG125" s="4" t="str" cm="1">
        <f t="array" ref="BG12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25" s="4">
        <f>SUM(Table1[[#This Row],[Pimples(Y/N)]],Table1[[#This Row],[hair growth(Y/N)]],Table1[[#This Row],[Skin darkening (Y/N)]],Table1[[#This Row],[Hair loss(Y/N)]])</f>
        <v>3</v>
      </c>
      <c r="BI125" s="4" t="str">
        <f>IF(AND(Table1[[#This Row],[Pregnant(Y/N)]]=0, Table1[[#This Row],[  I   beta-HCG(mIU/mL)]]&gt;5), "Investigation Required", "Clear")</f>
        <v>Clear</v>
      </c>
    </row>
    <row r="126" spans="1:61" ht="15.75" customHeight="1" x14ac:dyDescent="0.25">
      <c r="A126">
        <v>125</v>
      </c>
      <c r="B126">
        <v>125</v>
      </c>
      <c r="C126">
        <v>1</v>
      </c>
      <c r="D126" t="str">
        <f>IF(Table1[[#This Row],[PCOS (Y/N)]]=0,"NO","YES")</f>
        <v>YES</v>
      </c>
      <c r="E126">
        <v>26</v>
      </c>
      <c r="F126">
        <v>78</v>
      </c>
      <c r="G126">
        <v>159</v>
      </c>
      <c r="H126">
        <v>13</v>
      </c>
      <c r="I126">
        <v>78</v>
      </c>
      <c r="J126">
        <v>20</v>
      </c>
      <c r="K126">
        <v>11</v>
      </c>
      <c r="L126">
        <v>2</v>
      </c>
      <c r="M126">
        <v>5</v>
      </c>
      <c r="N126">
        <v>4</v>
      </c>
      <c r="O126">
        <v>0</v>
      </c>
      <c r="P126" t="str">
        <f>IF(Table1[[#This Row],[Pregnant(Y/N)]]=1,"YES","NO")</f>
        <v>NO</v>
      </c>
      <c r="Q126">
        <v>0</v>
      </c>
      <c r="R126">
        <v>1.99</v>
      </c>
      <c r="S126">
        <v>1.99</v>
      </c>
      <c r="T126">
        <v>4.88</v>
      </c>
      <c r="U126">
        <v>5.84</v>
      </c>
      <c r="V126">
        <f>Table1[[#This Row],[FSH(mIU/mL)]]/Table1[[#This Row],[LH(mIU/mL)]]</f>
        <v>0.83561643835616439</v>
      </c>
      <c r="W126" t="str">
        <f>IF(Table1[[#This Row],[FSH/LH]]&gt;=2,"Abnormal","Normal")</f>
        <v>Normal</v>
      </c>
      <c r="X126">
        <v>45</v>
      </c>
      <c r="Y126">
        <v>39</v>
      </c>
      <c r="Z126">
        <f>ROUND(Table1[[#This Row],[Waist(inch)]]/Table1[[#This Row],[Hip(inch)]],2)</f>
        <v>0.87</v>
      </c>
      <c r="AA126">
        <v>2.31</v>
      </c>
      <c r="AB126">
        <v>9.1999999999999993</v>
      </c>
      <c r="AC126">
        <v>31.53</v>
      </c>
      <c r="AD126">
        <v>56.2</v>
      </c>
      <c r="AE126" t="str">
        <f>IF(Table1[[#This Row],[Vit D3 (ng/mL)]]&lt;20,"Deficiency","Normal")</f>
        <v>Normal</v>
      </c>
      <c r="AF126">
        <v>0.4</v>
      </c>
      <c r="AG126">
        <v>100</v>
      </c>
      <c r="AH126">
        <v>1</v>
      </c>
      <c r="AI126" t="str">
        <f>IF(Table1[[#This Row],[Weight gain(Y/N)]]=0,"NO","YES")</f>
        <v>YES</v>
      </c>
      <c r="AJ126">
        <v>0</v>
      </c>
      <c r="AK126" t="str">
        <f>IF(Table1[[#This Row],[hair growth(Y/N)]]=1,"YES","NO")</f>
        <v>NO</v>
      </c>
      <c r="AL126">
        <v>1</v>
      </c>
      <c r="AM126" t="str">
        <f>IF(Table1[[#This Row],[Skin darkening (Y/N)]]=1,"YES","NO")</f>
        <v>YES</v>
      </c>
      <c r="AN126">
        <v>1</v>
      </c>
      <c r="AO126" t="str">
        <f>IF(Table1[[#This Row],[Hair loss(Y/N)]]=1,"YES","NO")</f>
        <v>YES</v>
      </c>
      <c r="AP126">
        <v>1</v>
      </c>
      <c r="AQ126" t="str">
        <f>IF(Table1[[#This Row],[Pimples(Y/N)]]=1,"YES","NO")</f>
        <v>YES</v>
      </c>
      <c r="AR126">
        <v>1</v>
      </c>
      <c r="AS126" t="str">
        <f>IF(Table1[[#This Row],[Fast food (Y/N)]]=1,"YES","NO")</f>
        <v>YES</v>
      </c>
      <c r="AT126">
        <v>1</v>
      </c>
      <c r="AU126" t="str">
        <f>IF(Table1[[#This Row],[Reg.Exercise(Y/N)]]=1,"YES","NO")</f>
        <v>YES</v>
      </c>
      <c r="AV126">
        <v>120</v>
      </c>
      <c r="AW126">
        <v>80</v>
      </c>
      <c r="AX126">
        <v>8</v>
      </c>
      <c r="AY126">
        <v>10</v>
      </c>
      <c r="AZ126">
        <v>16</v>
      </c>
      <c r="BA126">
        <v>18</v>
      </c>
      <c r="BB126">
        <v>8.5</v>
      </c>
      <c r="BC126" t="str" cm="1">
        <f t="array" ref="BC126">_xlfn.IFS((F126/(G126*G126)*10000)&lt; 18.5,"Underweight",(F126/(G126*G126)*10000)&lt;24.9,"Normal",(F126/(G126*G126)*10000)&lt;29.9,"Overweight",(F126/(G126*G126)*10000)&gt;=30,"obesity")</f>
        <v>obesity</v>
      </c>
      <c r="BD126">
        <f>Table1[[#This Row],[Follicle No. (L)]]+Table1[[#This Row],[Follicle No. (R)]]</f>
        <v>18</v>
      </c>
      <c r="BE126">
        <f>Table1[[#This Row],[Avg. F size (L) (mm)]]+Table1[[#This Row],[Avg. F size (R) (mm)]]</f>
        <v>34</v>
      </c>
      <c r="BF126">
        <f>Table1[[#This Row],[BP _Diastolic (mmHg)]]+(Table1[[#This Row],[BP _Diastolic (mmHg)]]+Table1[[#This Row],[Follicle No. (L)]])/3</f>
        <v>109.33333333333333</v>
      </c>
      <c r="BG126" s="4" t="str" cm="1">
        <f t="array" ref="BG12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26" s="4">
        <f>SUM(Table1[[#This Row],[Pimples(Y/N)]],Table1[[#This Row],[hair growth(Y/N)]],Table1[[#This Row],[Skin darkening (Y/N)]],Table1[[#This Row],[Hair loss(Y/N)]])</f>
        <v>3</v>
      </c>
      <c r="BI126" s="4" t="str">
        <f>IF(AND(Table1[[#This Row],[Pregnant(Y/N)]]=0, Table1[[#This Row],[  I   beta-HCG(mIU/mL)]]&gt;5), "Investigation Required", "Clear")</f>
        <v>Clear</v>
      </c>
    </row>
    <row r="127" spans="1:61" ht="15.75" customHeight="1" x14ac:dyDescent="0.25">
      <c r="A127">
        <v>126</v>
      </c>
      <c r="B127">
        <v>126</v>
      </c>
      <c r="C127">
        <v>0</v>
      </c>
      <c r="D127" t="str">
        <f>IF(Table1[[#This Row],[PCOS (Y/N)]]=0,"NO","YES")</f>
        <v>NO</v>
      </c>
      <c r="E127">
        <v>38</v>
      </c>
      <c r="F127">
        <v>54</v>
      </c>
      <c r="G127">
        <v>155</v>
      </c>
      <c r="H127">
        <v>13</v>
      </c>
      <c r="I127">
        <v>72</v>
      </c>
      <c r="J127">
        <v>22</v>
      </c>
      <c r="K127">
        <v>10.8</v>
      </c>
      <c r="L127">
        <v>2</v>
      </c>
      <c r="M127">
        <v>5</v>
      </c>
      <c r="N127">
        <v>4</v>
      </c>
      <c r="O127">
        <v>0</v>
      </c>
      <c r="P127" t="str">
        <f>IF(Table1[[#This Row],[Pregnant(Y/N)]]=1,"YES","NO")</f>
        <v>NO</v>
      </c>
      <c r="Q127">
        <v>1</v>
      </c>
      <c r="R127">
        <v>363.13</v>
      </c>
      <c r="S127">
        <v>2.8</v>
      </c>
      <c r="T127">
        <v>8.36</v>
      </c>
      <c r="U127">
        <v>0.78</v>
      </c>
      <c r="V127">
        <f>Table1[[#This Row],[FSH(mIU/mL)]]/Table1[[#This Row],[LH(mIU/mL)]]</f>
        <v>10.717948717948717</v>
      </c>
      <c r="W127" t="str">
        <f>IF(Table1[[#This Row],[FSH/LH]]&gt;=2,"Abnormal","Normal")</f>
        <v>Abnormal</v>
      </c>
      <c r="X127">
        <v>41</v>
      </c>
      <c r="Y127">
        <v>33</v>
      </c>
      <c r="Z127">
        <f>ROUND(Table1[[#This Row],[Waist(inch)]]/Table1[[#This Row],[Hip(inch)]],2)</f>
        <v>0.8</v>
      </c>
      <c r="AA127">
        <v>2.4300000000000002</v>
      </c>
      <c r="AB127">
        <v>2.4</v>
      </c>
      <c r="AC127">
        <v>33.51</v>
      </c>
      <c r="AD127">
        <v>13.5</v>
      </c>
      <c r="AE127" t="str">
        <f>IF(Table1[[#This Row],[Vit D3 (ng/mL)]]&lt;20,"Deficiency","Normal")</f>
        <v>Deficiency</v>
      </c>
      <c r="AF127">
        <v>0.5</v>
      </c>
      <c r="AG127">
        <v>92</v>
      </c>
      <c r="AH127">
        <v>1</v>
      </c>
      <c r="AI127" t="str">
        <f>IF(Table1[[#This Row],[Weight gain(Y/N)]]=0,"NO","YES")</f>
        <v>YES</v>
      </c>
      <c r="AJ127">
        <v>0</v>
      </c>
      <c r="AK127" t="str">
        <f>IF(Table1[[#This Row],[hair growth(Y/N)]]=1,"YES","NO")</f>
        <v>NO</v>
      </c>
      <c r="AL127">
        <v>0</v>
      </c>
      <c r="AM127" t="str">
        <f>IF(Table1[[#This Row],[Skin darkening (Y/N)]]=1,"YES","NO")</f>
        <v>NO</v>
      </c>
      <c r="AN127">
        <v>0</v>
      </c>
      <c r="AO127" t="str">
        <f>IF(Table1[[#This Row],[Hair loss(Y/N)]]=1,"YES","NO")</f>
        <v>NO</v>
      </c>
      <c r="AP127">
        <v>0</v>
      </c>
      <c r="AQ127" t="str">
        <f>IF(Table1[[#This Row],[Pimples(Y/N)]]=1,"YES","NO")</f>
        <v>NO</v>
      </c>
      <c r="AR127">
        <v>0</v>
      </c>
      <c r="AS127" t="str">
        <f>IF(Table1[[#This Row],[Fast food (Y/N)]]=1,"YES","NO")</f>
        <v>NO</v>
      </c>
      <c r="AT127">
        <v>0</v>
      </c>
      <c r="AU127" t="str">
        <f>IF(Table1[[#This Row],[Reg.Exercise(Y/N)]]=1,"YES","NO")</f>
        <v>NO</v>
      </c>
      <c r="AV127">
        <v>120</v>
      </c>
      <c r="AW127">
        <v>80</v>
      </c>
      <c r="AX127">
        <v>7</v>
      </c>
      <c r="AY127">
        <v>6</v>
      </c>
      <c r="AZ127">
        <v>18</v>
      </c>
      <c r="BA127">
        <v>17</v>
      </c>
      <c r="BB127">
        <v>12</v>
      </c>
      <c r="BC127" t="str" cm="1">
        <f t="array" ref="BC127">_xlfn.IFS((F127/(G127*G127)*10000)&lt; 18.5,"Underweight",(F127/(G127*G127)*10000)&lt;24.9,"Normal",(F127/(G127*G127)*10000)&lt;29.9,"Overweight",(F127/(G127*G127)*10000)&gt;=30,"obesity")</f>
        <v>Normal</v>
      </c>
      <c r="BD127">
        <f>Table1[[#This Row],[Follicle No. (L)]]+Table1[[#This Row],[Follicle No. (R)]]</f>
        <v>13</v>
      </c>
      <c r="BE127">
        <f>Table1[[#This Row],[Avg. F size (L) (mm)]]+Table1[[#This Row],[Avg. F size (R) (mm)]]</f>
        <v>35</v>
      </c>
      <c r="BF127">
        <f>Table1[[#This Row],[BP _Diastolic (mmHg)]]+(Table1[[#This Row],[BP _Diastolic (mmHg)]]+Table1[[#This Row],[Follicle No. (L)]])/3</f>
        <v>109</v>
      </c>
      <c r="BG127" s="4" t="str" cm="1">
        <f t="array" ref="BG12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27" s="4">
        <f>SUM(Table1[[#This Row],[Pimples(Y/N)]],Table1[[#This Row],[hair growth(Y/N)]],Table1[[#This Row],[Skin darkening (Y/N)]],Table1[[#This Row],[Hair loss(Y/N)]])</f>
        <v>0</v>
      </c>
      <c r="BI127" s="4" t="str">
        <f>IF(AND(Table1[[#This Row],[Pregnant(Y/N)]]=0, Table1[[#This Row],[  I   beta-HCG(mIU/mL)]]&gt;5), "Investigation Required", "Clear")</f>
        <v>Investigation Required</v>
      </c>
    </row>
    <row r="128" spans="1:61" ht="15.75" customHeight="1" x14ac:dyDescent="0.25">
      <c r="A128">
        <v>127</v>
      </c>
      <c r="B128">
        <v>127</v>
      </c>
      <c r="C128">
        <v>0</v>
      </c>
      <c r="D128" t="str">
        <f>IF(Table1[[#This Row],[PCOS (Y/N)]]=0,"NO","YES")</f>
        <v>NO</v>
      </c>
      <c r="E128">
        <v>40</v>
      </c>
      <c r="F128">
        <v>56</v>
      </c>
      <c r="G128">
        <v>154</v>
      </c>
      <c r="H128">
        <v>15</v>
      </c>
      <c r="I128">
        <v>72</v>
      </c>
      <c r="J128">
        <v>18</v>
      </c>
      <c r="K128">
        <v>10.199999999999999</v>
      </c>
      <c r="L128">
        <v>2</v>
      </c>
      <c r="M128">
        <v>5</v>
      </c>
      <c r="N128">
        <v>14</v>
      </c>
      <c r="O128">
        <v>0</v>
      </c>
      <c r="P128" t="str">
        <f>IF(Table1[[#This Row],[Pregnant(Y/N)]]=1,"YES","NO")</f>
        <v>NO</v>
      </c>
      <c r="Q128">
        <v>0</v>
      </c>
      <c r="R128">
        <v>84.79</v>
      </c>
      <c r="S128">
        <v>1.99</v>
      </c>
      <c r="T128">
        <v>5.01</v>
      </c>
      <c r="U128">
        <v>1.94</v>
      </c>
      <c r="V128">
        <f>Table1[[#This Row],[FSH(mIU/mL)]]/Table1[[#This Row],[LH(mIU/mL)]]</f>
        <v>2.5824742268041239</v>
      </c>
      <c r="W128" t="str">
        <f>IF(Table1[[#This Row],[FSH/LH]]&gt;=2,"Abnormal","Normal")</f>
        <v>Abnormal</v>
      </c>
      <c r="X128">
        <v>42</v>
      </c>
      <c r="Y128">
        <v>33</v>
      </c>
      <c r="Z128">
        <f>ROUND(Table1[[#This Row],[Waist(inch)]]/Table1[[#This Row],[Hip(inch)]],2)</f>
        <v>0.79</v>
      </c>
      <c r="AA128">
        <v>2.08</v>
      </c>
      <c r="AB128">
        <v>4.5</v>
      </c>
      <c r="AC128">
        <v>26.34</v>
      </c>
      <c r="AD128">
        <v>52.2</v>
      </c>
      <c r="AE128" t="str">
        <f>IF(Table1[[#This Row],[Vit D3 (ng/mL)]]&lt;20,"Deficiency","Normal")</f>
        <v>Normal</v>
      </c>
      <c r="AF128">
        <v>0.91</v>
      </c>
      <c r="AG128">
        <v>98</v>
      </c>
      <c r="AH128">
        <v>0</v>
      </c>
      <c r="AI128" t="str">
        <f>IF(Table1[[#This Row],[Weight gain(Y/N)]]=0,"NO","YES")</f>
        <v>NO</v>
      </c>
      <c r="AJ128">
        <v>0</v>
      </c>
      <c r="AK128" t="str">
        <f>IF(Table1[[#This Row],[hair growth(Y/N)]]=1,"YES","NO")</f>
        <v>NO</v>
      </c>
      <c r="AL128">
        <v>0</v>
      </c>
      <c r="AM128" t="str">
        <f>IF(Table1[[#This Row],[Skin darkening (Y/N)]]=1,"YES","NO")</f>
        <v>NO</v>
      </c>
      <c r="AN128">
        <v>1</v>
      </c>
      <c r="AO128" t="str">
        <f>IF(Table1[[#This Row],[Hair loss(Y/N)]]=1,"YES","NO")</f>
        <v>YES</v>
      </c>
      <c r="AP128">
        <v>0</v>
      </c>
      <c r="AQ128" t="str">
        <f>IF(Table1[[#This Row],[Pimples(Y/N)]]=1,"YES","NO")</f>
        <v>NO</v>
      </c>
      <c r="AR128">
        <v>0</v>
      </c>
      <c r="AS128" t="str">
        <f>IF(Table1[[#This Row],[Fast food (Y/N)]]=1,"YES","NO")</f>
        <v>NO</v>
      </c>
      <c r="AT128">
        <v>1</v>
      </c>
      <c r="AU128" t="str">
        <f>IF(Table1[[#This Row],[Reg.Exercise(Y/N)]]=1,"YES","NO")</f>
        <v>YES</v>
      </c>
      <c r="AV128">
        <v>110</v>
      </c>
      <c r="AW128">
        <v>80</v>
      </c>
      <c r="AX128">
        <v>2</v>
      </c>
      <c r="AY128">
        <v>3</v>
      </c>
      <c r="AZ128">
        <v>18</v>
      </c>
      <c r="BA128">
        <v>18</v>
      </c>
      <c r="BB128">
        <v>8.5</v>
      </c>
      <c r="BC128" t="str" cm="1">
        <f t="array" ref="BC128">_xlfn.IFS((F128/(G128*G128)*10000)&lt; 18.5,"Underweight",(F128/(G128*G128)*10000)&lt;24.9,"Normal",(F128/(G128*G128)*10000)&lt;29.9,"Overweight",(F128/(G128*G128)*10000)&gt;=30,"obesity")</f>
        <v>Normal</v>
      </c>
      <c r="BD128">
        <f>Table1[[#This Row],[Follicle No. (L)]]+Table1[[#This Row],[Follicle No. (R)]]</f>
        <v>5</v>
      </c>
      <c r="BE128">
        <f>Table1[[#This Row],[Avg. F size (L) (mm)]]+Table1[[#This Row],[Avg. F size (R) (mm)]]</f>
        <v>36</v>
      </c>
      <c r="BF128">
        <f>Table1[[#This Row],[BP _Diastolic (mmHg)]]+(Table1[[#This Row],[BP _Diastolic (mmHg)]]+Table1[[#This Row],[Follicle No. (L)]])/3</f>
        <v>107.33333333333333</v>
      </c>
      <c r="BG128" s="4" t="str" cm="1">
        <f t="array" ref="BG12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28" s="4">
        <f>SUM(Table1[[#This Row],[Pimples(Y/N)]],Table1[[#This Row],[hair growth(Y/N)]],Table1[[#This Row],[Skin darkening (Y/N)]],Table1[[#This Row],[Hair loss(Y/N)]])</f>
        <v>1</v>
      </c>
      <c r="BI128" s="4" t="str">
        <f>IF(AND(Table1[[#This Row],[Pregnant(Y/N)]]=0, Table1[[#This Row],[  I   beta-HCG(mIU/mL)]]&gt;5), "Investigation Required", "Clear")</f>
        <v>Investigation Required</v>
      </c>
    </row>
    <row r="129" spans="1:61" ht="15.75" customHeight="1" x14ac:dyDescent="0.25">
      <c r="A129">
        <v>128</v>
      </c>
      <c r="B129">
        <v>128</v>
      </c>
      <c r="C129">
        <v>0</v>
      </c>
      <c r="D129" t="str">
        <f>IF(Table1[[#This Row],[PCOS (Y/N)]]=0,"NO","YES")</f>
        <v>NO</v>
      </c>
      <c r="E129">
        <v>42</v>
      </c>
      <c r="F129">
        <v>48</v>
      </c>
      <c r="G129">
        <v>148</v>
      </c>
      <c r="H129">
        <v>11</v>
      </c>
      <c r="I129">
        <v>72</v>
      </c>
      <c r="J129">
        <v>18</v>
      </c>
      <c r="K129">
        <v>11.2</v>
      </c>
      <c r="L129">
        <v>2</v>
      </c>
      <c r="M129">
        <v>5</v>
      </c>
      <c r="N129">
        <v>8</v>
      </c>
      <c r="O129">
        <v>0</v>
      </c>
      <c r="P129" t="str">
        <f>IF(Table1[[#This Row],[Pregnant(Y/N)]]=1,"YES","NO")</f>
        <v>NO</v>
      </c>
      <c r="Q129">
        <v>0</v>
      </c>
      <c r="R129">
        <v>1.99</v>
      </c>
      <c r="S129">
        <v>15.36</v>
      </c>
      <c r="T129">
        <v>6.81</v>
      </c>
      <c r="U129">
        <v>3.83</v>
      </c>
      <c r="V129">
        <f>Table1[[#This Row],[FSH(mIU/mL)]]/Table1[[#This Row],[LH(mIU/mL)]]</f>
        <v>1.7780678851174934</v>
      </c>
      <c r="W129" t="str">
        <f>IF(Table1[[#This Row],[FSH/LH]]&gt;=2,"Abnormal","Normal")</f>
        <v>Normal</v>
      </c>
      <c r="X129">
        <v>40</v>
      </c>
      <c r="Y129">
        <v>32</v>
      </c>
      <c r="Z129">
        <f>ROUND(Table1[[#This Row],[Waist(inch)]]/Table1[[#This Row],[Hip(inch)]],2)</f>
        <v>0.8</v>
      </c>
      <c r="AA129">
        <v>1.99</v>
      </c>
      <c r="AB129">
        <v>5.14</v>
      </c>
      <c r="AC129">
        <v>18.02</v>
      </c>
      <c r="AD129">
        <v>9.1999999999999993</v>
      </c>
      <c r="AE129" t="str">
        <f>IF(Table1[[#This Row],[Vit D3 (ng/mL)]]&lt;20,"Deficiency","Normal")</f>
        <v>Deficiency</v>
      </c>
      <c r="AF129">
        <v>0.32</v>
      </c>
      <c r="AG129">
        <v>100</v>
      </c>
      <c r="AH129">
        <v>0</v>
      </c>
      <c r="AI129" t="str">
        <f>IF(Table1[[#This Row],[Weight gain(Y/N)]]=0,"NO","YES")</f>
        <v>NO</v>
      </c>
      <c r="AJ129">
        <v>0</v>
      </c>
      <c r="AK129" t="str">
        <f>IF(Table1[[#This Row],[hair growth(Y/N)]]=1,"YES","NO")</f>
        <v>NO</v>
      </c>
      <c r="AL129">
        <v>0</v>
      </c>
      <c r="AM129" t="str">
        <f>IF(Table1[[#This Row],[Skin darkening (Y/N)]]=1,"YES","NO")</f>
        <v>NO</v>
      </c>
      <c r="AN129">
        <v>0</v>
      </c>
      <c r="AO129" t="str">
        <f>IF(Table1[[#This Row],[Hair loss(Y/N)]]=1,"YES","NO")</f>
        <v>NO</v>
      </c>
      <c r="AP129">
        <v>0</v>
      </c>
      <c r="AQ129" t="str">
        <f>IF(Table1[[#This Row],[Pimples(Y/N)]]=1,"YES","NO")</f>
        <v>NO</v>
      </c>
      <c r="AR129">
        <v>0</v>
      </c>
      <c r="AS129" t="str">
        <f>IF(Table1[[#This Row],[Fast food (Y/N)]]=1,"YES","NO")</f>
        <v>NO</v>
      </c>
      <c r="AT129">
        <v>0</v>
      </c>
      <c r="AU129" t="str">
        <f>IF(Table1[[#This Row],[Reg.Exercise(Y/N)]]=1,"YES","NO")</f>
        <v>NO</v>
      </c>
      <c r="AV129">
        <v>110</v>
      </c>
      <c r="AW129">
        <v>70</v>
      </c>
      <c r="AX129">
        <v>1</v>
      </c>
      <c r="AY129">
        <v>0</v>
      </c>
      <c r="AZ129">
        <v>17</v>
      </c>
      <c r="BA129">
        <v>15</v>
      </c>
      <c r="BB129">
        <v>9</v>
      </c>
      <c r="BC129" t="str" cm="1">
        <f t="array" ref="BC129">_xlfn.IFS((F129/(G129*G129)*10000)&lt; 18.5,"Underweight",(F129/(G129*G129)*10000)&lt;24.9,"Normal",(F129/(G129*G129)*10000)&lt;29.9,"Overweight",(F129/(G129*G129)*10000)&gt;=30,"obesity")</f>
        <v>Normal</v>
      </c>
      <c r="BD129">
        <f>Table1[[#This Row],[Follicle No. (L)]]+Table1[[#This Row],[Follicle No. (R)]]</f>
        <v>1</v>
      </c>
      <c r="BE129">
        <f>Table1[[#This Row],[Avg. F size (L) (mm)]]+Table1[[#This Row],[Avg. F size (R) (mm)]]</f>
        <v>32</v>
      </c>
      <c r="BF129">
        <f>Table1[[#This Row],[BP _Diastolic (mmHg)]]+(Table1[[#This Row],[BP _Diastolic (mmHg)]]+Table1[[#This Row],[Follicle No. (L)]])/3</f>
        <v>93.666666666666671</v>
      </c>
      <c r="BG129" s="4" t="str" cm="1">
        <f t="array" ref="BG12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29" s="4">
        <f>SUM(Table1[[#This Row],[Pimples(Y/N)]],Table1[[#This Row],[hair growth(Y/N)]],Table1[[#This Row],[Skin darkening (Y/N)]],Table1[[#This Row],[Hair loss(Y/N)]])</f>
        <v>0</v>
      </c>
      <c r="BI129" s="4" t="str">
        <f>IF(AND(Table1[[#This Row],[Pregnant(Y/N)]]=0, Table1[[#This Row],[  I   beta-HCG(mIU/mL)]]&gt;5), "Investigation Required", "Clear")</f>
        <v>Clear</v>
      </c>
    </row>
    <row r="130" spans="1:61" ht="15.75" customHeight="1" x14ac:dyDescent="0.25">
      <c r="A130">
        <v>129</v>
      </c>
      <c r="B130">
        <v>129</v>
      </c>
      <c r="C130">
        <v>0</v>
      </c>
      <c r="D130" t="str">
        <f>IF(Table1[[#This Row],[PCOS (Y/N)]]=0,"NO","YES")</f>
        <v>NO</v>
      </c>
      <c r="E130">
        <v>41</v>
      </c>
      <c r="F130">
        <v>54</v>
      </c>
      <c r="G130">
        <v>150</v>
      </c>
      <c r="H130">
        <v>15</v>
      </c>
      <c r="I130">
        <v>70</v>
      </c>
      <c r="J130">
        <v>18</v>
      </c>
      <c r="K130">
        <v>11.5</v>
      </c>
      <c r="L130">
        <v>2</v>
      </c>
      <c r="M130">
        <v>5</v>
      </c>
      <c r="N130">
        <v>10</v>
      </c>
      <c r="O130">
        <v>0</v>
      </c>
      <c r="P130" t="str">
        <f>IF(Table1[[#This Row],[Pregnant(Y/N)]]=1,"YES","NO")</f>
        <v>NO</v>
      </c>
      <c r="Q130">
        <v>0</v>
      </c>
      <c r="R130">
        <v>98.91</v>
      </c>
      <c r="S130">
        <v>54.08</v>
      </c>
      <c r="T130">
        <v>7.37</v>
      </c>
      <c r="U130">
        <v>1.51</v>
      </c>
      <c r="V130">
        <f>Table1[[#This Row],[FSH(mIU/mL)]]/Table1[[#This Row],[LH(mIU/mL)]]</f>
        <v>4.8807947019867548</v>
      </c>
      <c r="W130" t="str">
        <f>IF(Table1[[#This Row],[FSH/LH]]&gt;=2,"Abnormal","Normal")</f>
        <v>Abnormal</v>
      </c>
      <c r="X130">
        <v>38</v>
      </c>
      <c r="Y130">
        <v>30</v>
      </c>
      <c r="Z130">
        <f>ROUND(Table1[[#This Row],[Waist(inch)]]/Table1[[#This Row],[Hip(inch)]],2)</f>
        <v>0.79</v>
      </c>
      <c r="AA130">
        <v>15.68</v>
      </c>
      <c r="AB130">
        <v>2.4</v>
      </c>
      <c r="AC130">
        <v>20.16</v>
      </c>
      <c r="AD130">
        <v>25.6</v>
      </c>
      <c r="AE130" t="str">
        <f>IF(Table1[[#This Row],[Vit D3 (ng/mL)]]&lt;20,"Deficiency","Normal")</f>
        <v>Normal</v>
      </c>
      <c r="AF130">
        <v>0.28000000000000003</v>
      </c>
      <c r="AG130">
        <v>92</v>
      </c>
      <c r="AH130">
        <v>0</v>
      </c>
      <c r="AI130" t="str">
        <f>IF(Table1[[#This Row],[Weight gain(Y/N)]]=0,"NO","YES")</f>
        <v>NO</v>
      </c>
      <c r="AJ130">
        <v>0</v>
      </c>
      <c r="AK130" t="str">
        <f>IF(Table1[[#This Row],[hair growth(Y/N)]]=1,"YES","NO")</f>
        <v>NO</v>
      </c>
      <c r="AL130">
        <v>0</v>
      </c>
      <c r="AM130" t="str">
        <f>IF(Table1[[#This Row],[Skin darkening (Y/N)]]=1,"YES","NO")</f>
        <v>NO</v>
      </c>
      <c r="AN130">
        <v>0</v>
      </c>
      <c r="AO130" t="str">
        <f>IF(Table1[[#This Row],[Hair loss(Y/N)]]=1,"YES","NO")</f>
        <v>NO</v>
      </c>
      <c r="AP130">
        <v>0</v>
      </c>
      <c r="AQ130" t="str">
        <f>IF(Table1[[#This Row],[Pimples(Y/N)]]=1,"YES","NO")</f>
        <v>NO</v>
      </c>
      <c r="AR130">
        <v>0</v>
      </c>
      <c r="AS130" t="str">
        <f>IF(Table1[[#This Row],[Fast food (Y/N)]]=1,"YES","NO")</f>
        <v>NO</v>
      </c>
      <c r="AT130">
        <v>1</v>
      </c>
      <c r="AU130" t="str">
        <f>IF(Table1[[#This Row],[Reg.Exercise(Y/N)]]=1,"YES","NO")</f>
        <v>YES</v>
      </c>
      <c r="AV130">
        <v>110</v>
      </c>
      <c r="AW130">
        <v>80</v>
      </c>
      <c r="AX130">
        <v>0</v>
      </c>
      <c r="AY130">
        <v>1</v>
      </c>
      <c r="AZ130">
        <v>15</v>
      </c>
      <c r="BA130">
        <v>9</v>
      </c>
      <c r="BB130">
        <v>14</v>
      </c>
      <c r="BC130" t="str" cm="1">
        <f t="array" ref="BC130">_xlfn.IFS((F130/(G130*G130)*10000)&lt; 18.5,"Underweight",(F130/(G130*G130)*10000)&lt;24.9,"Normal",(F130/(G130*G130)*10000)&lt;29.9,"Overweight",(F130/(G130*G130)*10000)&gt;=30,"obesity")</f>
        <v>Normal</v>
      </c>
      <c r="BD130">
        <f>Table1[[#This Row],[Follicle No. (L)]]+Table1[[#This Row],[Follicle No. (R)]]</f>
        <v>1</v>
      </c>
      <c r="BE130">
        <f>Table1[[#This Row],[Avg. F size (L) (mm)]]+Table1[[#This Row],[Avg. F size (R) (mm)]]</f>
        <v>24</v>
      </c>
      <c r="BF130">
        <f>Table1[[#This Row],[BP _Diastolic (mmHg)]]+(Table1[[#This Row],[BP _Diastolic (mmHg)]]+Table1[[#This Row],[Follicle No. (L)]])/3</f>
        <v>106.66666666666667</v>
      </c>
      <c r="BG130" s="4" t="str" cm="1">
        <f t="array" ref="BG13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30" s="4">
        <f>SUM(Table1[[#This Row],[Pimples(Y/N)]],Table1[[#This Row],[hair growth(Y/N)]],Table1[[#This Row],[Skin darkening (Y/N)]],Table1[[#This Row],[Hair loss(Y/N)]])</f>
        <v>0</v>
      </c>
      <c r="BI130" s="4" t="str">
        <f>IF(AND(Table1[[#This Row],[Pregnant(Y/N)]]=0, Table1[[#This Row],[  I   beta-HCG(mIU/mL)]]&gt;5), "Investigation Required", "Clear")</f>
        <v>Investigation Required</v>
      </c>
    </row>
    <row r="131" spans="1:61" ht="15.75" customHeight="1" x14ac:dyDescent="0.25">
      <c r="A131">
        <v>130</v>
      </c>
      <c r="B131">
        <v>130</v>
      </c>
      <c r="C131">
        <v>0</v>
      </c>
      <c r="D131" t="str">
        <f>IF(Table1[[#This Row],[PCOS (Y/N)]]=0,"NO","YES")</f>
        <v>NO</v>
      </c>
      <c r="E131">
        <v>40</v>
      </c>
      <c r="F131">
        <v>40</v>
      </c>
      <c r="G131">
        <v>145</v>
      </c>
      <c r="H131">
        <v>11</v>
      </c>
      <c r="I131">
        <v>72</v>
      </c>
      <c r="J131">
        <v>18</v>
      </c>
      <c r="K131">
        <v>10.199999999999999</v>
      </c>
      <c r="L131">
        <v>2</v>
      </c>
      <c r="M131">
        <v>5</v>
      </c>
      <c r="N131">
        <v>4</v>
      </c>
      <c r="O131">
        <v>0</v>
      </c>
      <c r="P131" t="str">
        <f>IF(Table1[[#This Row],[Pregnant(Y/N)]]=1,"YES","NO")</f>
        <v>NO</v>
      </c>
      <c r="Q131">
        <v>4</v>
      </c>
      <c r="R131">
        <v>1.99</v>
      </c>
      <c r="S131">
        <v>1.99</v>
      </c>
      <c r="T131">
        <v>4.96</v>
      </c>
      <c r="U131">
        <v>0.69</v>
      </c>
      <c r="V131">
        <f>Table1[[#This Row],[FSH(mIU/mL)]]/Table1[[#This Row],[LH(mIU/mL)]]</f>
        <v>7.1884057971014501</v>
      </c>
      <c r="W131" t="str">
        <f>IF(Table1[[#This Row],[FSH/LH]]&gt;=2,"Abnormal","Normal")</f>
        <v>Abnormal</v>
      </c>
      <c r="X131">
        <v>38</v>
      </c>
      <c r="Y131">
        <v>31</v>
      </c>
      <c r="Z131">
        <f>ROUND(Table1[[#This Row],[Waist(inch)]]/Table1[[#This Row],[Hip(inch)]],2)</f>
        <v>0.82</v>
      </c>
      <c r="AA131">
        <v>1.86</v>
      </c>
      <c r="AB131">
        <v>0.3</v>
      </c>
      <c r="AC131">
        <v>45.56</v>
      </c>
      <c r="AD131">
        <v>36.1</v>
      </c>
      <c r="AE131" t="str">
        <f>IF(Table1[[#This Row],[Vit D3 (ng/mL)]]&lt;20,"Deficiency","Normal")</f>
        <v>Normal</v>
      </c>
      <c r="AF131">
        <v>0.35</v>
      </c>
      <c r="AG131">
        <v>92</v>
      </c>
      <c r="AH131">
        <v>0</v>
      </c>
      <c r="AI131" t="str">
        <f>IF(Table1[[#This Row],[Weight gain(Y/N)]]=0,"NO","YES")</f>
        <v>NO</v>
      </c>
      <c r="AJ131">
        <v>1</v>
      </c>
      <c r="AK131" t="str">
        <f>IF(Table1[[#This Row],[hair growth(Y/N)]]=1,"YES","NO")</f>
        <v>YES</v>
      </c>
      <c r="AL131">
        <v>0</v>
      </c>
      <c r="AM131" t="str">
        <f>IF(Table1[[#This Row],[Skin darkening (Y/N)]]=1,"YES","NO")</f>
        <v>NO</v>
      </c>
      <c r="AN131">
        <v>0</v>
      </c>
      <c r="AO131" t="str">
        <f>IF(Table1[[#This Row],[Hair loss(Y/N)]]=1,"YES","NO")</f>
        <v>NO</v>
      </c>
      <c r="AP131">
        <v>0</v>
      </c>
      <c r="AQ131" t="str">
        <f>IF(Table1[[#This Row],[Pimples(Y/N)]]=1,"YES","NO")</f>
        <v>NO</v>
      </c>
      <c r="AR131">
        <v>0</v>
      </c>
      <c r="AS131" t="str">
        <f>IF(Table1[[#This Row],[Fast food (Y/N)]]=1,"YES","NO")</f>
        <v>NO</v>
      </c>
      <c r="AT131">
        <v>0</v>
      </c>
      <c r="AU131" t="str">
        <f>IF(Table1[[#This Row],[Reg.Exercise(Y/N)]]=1,"YES","NO")</f>
        <v>NO</v>
      </c>
      <c r="AV131">
        <v>110</v>
      </c>
      <c r="AW131">
        <v>80</v>
      </c>
      <c r="AX131">
        <v>2</v>
      </c>
      <c r="AY131">
        <v>1</v>
      </c>
      <c r="AZ131">
        <v>19</v>
      </c>
      <c r="BA131">
        <v>12</v>
      </c>
      <c r="BB131">
        <v>9.6999999999999993</v>
      </c>
      <c r="BC131" t="str" cm="1">
        <f t="array" ref="BC131">_xlfn.IFS((F131/(G131*G131)*10000)&lt; 18.5,"Underweight",(F131/(G131*G131)*10000)&lt;24.9,"Normal",(F131/(G131*G131)*10000)&lt;29.9,"Overweight",(F131/(G131*G131)*10000)&gt;=30,"obesity")</f>
        <v>Normal</v>
      </c>
      <c r="BD131">
        <f>Table1[[#This Row],[Follicle No. (L)]]+Table1[[#This Row],[Follicle No. (R)]]</f>
        <v>3</v>
      </c>
      <c r="BE131">
        <f>Table1[[#This Row],[Avg. F size (L) (mm)]]+Table1[[#This Row],[Avg. F size (R) (mm)]]</f>
        <v>31</v>
      </c>
      <c r="BF131">
        <f>Table1[[#This Row],[BP _Diastolic (mmHg)]]+(Table1[[#This Row],[BP _Diastolic (mmHg)]]+Table1[[#This Row],[Follicle No. (L)]])/3</f>
        <v>107.33333333333333</v>
      </c>
      <c r="BG131" s="4" t="str" cm="1">
        <f t="array" ref="BG13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31" s="4">
        <f>SUM(Table1[[#This Row],[Pimples(Y/N)]],Table1[[#This Row],[hair growth(Y/N)]],Table1[[#This Row],[Skin darkening (Y/N)]],Table1[[#This Row],[Hair loss(Y/N)]])</f>
        <v>1</v>
      </c>
      <c r="BI131" s="4" t="str">
        <f>IF(AND(Table1[[#This Row],[Pregnant(Y/N)]]=0, Table1[[#This Row],[  I   beta-HCG(mIU/mL)]]&gt;5), "Investigation Required", "Clear")</f>
        <v>Clear</v>
      </c>
    </row>
    <row r="132" spans="1:61" ht="15.75" customHeight="1" x14ac:dyDescent="0.25">
      <c r="A132">
        <v>131</v>
      </c>
      <c r="B132">
        <v>131</v>
      </c>
      <c r="C132">
        <v>1</v>
      </c>
      <c r="D132" t="str">
        <f>IF(Table1[[#This Row],[PCOS (Y/N)]]=0,"NO","YES")</f>
        <v>YES</v>
      </c>
      <c r="E132">
        <v>24</v>
      </c>
      <c r="F132">
        <v>89</v>
      </c>
      <c r="G132">
        <v>173</v>
      </c>
      <c r="H132">
        <v>17</v>
      </c>
      <c r="I132">
        <v>72</v>
      </c>
      <c r="J132">
        <v>18</v>
      </c>
      <c r="K132">
        <v>11.2</v>
      </c>
      <c r="L132">
        <v>4</v>
      </c>
      <c r="M132">
        <v>2</v>
      </c>
      <c r="N132">
        <v>4</v>
      </c>
      <c r="O132">
        <v>0</v>
      </c>
      <c r="P132" t="str">
        <f>IF(Table1[[#This Row],[Pregnant(Y/N)]]=1,"YES","NO")</f>
        <v>NO</v>
      </c>
      <c r="Q132">
        <v>0</v>
      </c>
      <c r="R132">
        <v>152.13</v>
      </c>
      <c r="S132">
        <v>152.13</v>
      </c>
      <c r="T132">
        <v>5.9</v>
      </c>
      <c r="U132">
        <v>9.9</v>
      </c>
      <c r="V132">
        <f>Table1[[#This Row],[FSH(mIU/mL)]]/Table1[[#This Row],[LH(mIU/mL)]]</f>
        <v>0.59595959595959602</v>
      </c>
      <c r="W132" t="str">
        <f>IF(Table1[[#This Row],[FSH/LH]]&gt;=2,"Abnormal","Normal")</f>
        <v>Normal</v>
      </c>
      <c r="X132">
        <v>44</v>
      </c>
      <c r="Y132">
        <v>38</v>
      </c>
      <c r="Z132">
        <f>ROUND(Table1[[#This Row],[Waist(inch)]]/Table1[[#This Row],[Hip(inch)]],2)</f>
        <v>0.86</v>
      </c>
      <c r="AA132">
        <v>1.73</v>
      </c>
      <c r="AB132">
        <v>11.48</v>
      </c>
      <c r="AC132">
        <v>42.43</v>
      </c>
      <c r="AD132">
        <v>13</v>
      </c>
      <c r="AE132" t="str">
        <f>IF(Table1[[#This Row],[Vit D3 (ng/mL)]]&lt;20,"Deficiency","Normal")</f>
        <v>Deficiency</v>
      </c>
      <c r="AF132">
        <v>0.6</v>
      </c>
      <c r="AG132">
        <v>91</v>
      </c>
      <c r="AH132">
        <v>1</v>
      </c>
      <c r="AI132" t="str">
        <f>IF(Table1[[#This Row],[Weight gain(Y/N)]]=0,"NO","YES")</f>
        <v>YES</v>
      </c>
      <c r="AJ132">
        <v>0</v>
      </c>
      <c r="AK132" t="str">
        <f>IF(Table1[[#This Row],[hair growth(Y/N)]]=1,"YES","NO")</f>
        <v>NO</v>
      </c>
      <c r="AL132">
        <v>1</v>
      </c>
      <c r="AM132" t="str">
        <f>IF(Table1[[#This Row],[Skin darkening (Y/N)]]=1,"YES","NO")</f>
        <v>YES</v>
      </c>
      <c r="AN132">
        <v>0</v>
      </c>
      <c r="AO132" t="str">
        <f>IF(Table1[[#This Row],[Hair loss(Y/N)]]=1,"YES","NO")</f>
        <v>NO</v>
      </c>
      <c r="AP132">
        <v>1</v>
      </c>
      <c r="AQ132" t="str">
        <f>IF(Table1[[#This Row],[Pimples(Y/N)]]=1,"YES","NO")</f>
        <v>YES</v>
      </c>
      <c r="AR132">
        <v>1</v>
      </c>
      <c r="AS132" t="str">
        <f>IF(Table1[[#This Row],[Fast food (Y/N)]]=1,"YES","NO")</f>
        <v>YES</v>
      </c>
      <c r="AT132">
        <v>1</v>
      </c>
      <c r="AU132" t="str">
        <f>IF(Table1[[#This Row],[Reg.Exercise(Y/N)]]=1,"YES","NO")</f>
        <v>YES</v>
      </c>
      <c r="AV132">
        <v>120</v>
      </c>
      <c r="AW132">
        <v>80</v>
      </c>
      <c r="AX132">
        <v>4</v>
      </c>
      <c r="AY132">
        <v>8</v>
      </c>
      <c r="AZ132">
        <v>16</v>
      </c>
      <c r="BA132">
        <v>18</v>
      </c>
      <c r="BB132">
        <v>8</v>
      </c>
      <c r="BC132" t="str" cm="1">
        <f t="array" ref="BC132">_xlfn.IFS((F132/(G132*G132)*10000)&lt; 18.5,"Underweight",(F132/(G132*G132)*10000)&lt;24.9,"Normal",(F132/(G132*G132)*10000)&lt;29.9,"Overweight",(F132/(G132*G132)*10000)&gt;=30,"obesity")</f>
        <v>Overweight</v>
      </c>
      <c r="BD132">
        <f>Table1[[#This Row],[Follicle No. (L)]]+Table1[[#This Row],[Follicle No. (R)]]</f>
        <v>12</v>
      </c>
      <c r="BE132">
        <f>Table1[[#This Row],[Avg. F size (L) (mm)]]+Table1[[#This Row],[Avg. F size (R) (mm)]]</f>
        <v>34</v>
      </c>
      <c r="BF132">
        <f>Table1[[#This Row],[BP _Diastolic (mmHg)]]+(Table1[[#This Row],[BP _Diastolic (mmHg)]]+Table1[[#This Row],[Follicle No. (L)]])/3</f>
        <v>108</v>
      </c>
      <c r="BG132" s="4" t="str" cm="1">
        <f t="array" ref="BG13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32" s="4">
        <f>SUM(Table1[[#This Row],[Pimples(Y/N)]],Table1[[#This Row],[hair growth(Y/N)]],Table1[[#This Row],[Skin darkening (Y/N)]],Table1[[#This Row],[Hair loss(Y/N)]])</f>
        <v>2</v>
      </c>
      <c r="BI132" s="4" t="str">
        <f>IF(AND(Table1[[#This Row],[Pregnant(Y/N)]]=0, Table1[[#This Row],[  I   beta-HCG(mIU/mL)]]&gt;5), "Investigation Required", "Clear")</f>
        <v>Investigation Required</v>
      </c>
    </row>
    <row r="133" spans="1:61" ht="15.75" customHeight="1" x14ac:dyDescent="0.25">
      <c r="A133">
        <v>132</v>
      </c>
      <c r="B133">
        <v>132</v>
      </c>
      <c r="C133">
        <v>0</v>
      </c>
      <c r="D133" t="str">
        <f>IF(Table1[[#This Row],[PCOS (Y/N)]]=0,"NO","YES")</f>
        <v>NO</v>
      </c>
      <c r="E133">
        <v>25</v>
      </c>
      <c r="F133">
        <v>53.4</v>
      </c>
      <c r="G133">
        <v>159</v>
      </c>
      <c r="H133">
        <v>11</v>
      </c>
      <c r="I133">
        <v>72</v>
      </c>
      <c r="J133">
        <v>18</v>
      </c>
      <c r="K133">
        <v>10.5</v>
      </c>
      <c r="L133">
        <v>2</v>
      </c>
      <c r="M133">
        <v>5</v>
      </c>
      <c r="N133">
        <v>4</v>
      </c>
      <c r="O133">
        <v>0</v>
      </c>
      <c r="P133" t="str">
        <f>IF(Table1[[#This Row],[Pregnant(Y/N)]]=1,"YES","NO")</f>
        <v>NO</v>
      </c>
      <c r="Q133">
        <v>0</v>
      </c>
      <c r="R133">
        <v>1.99</v>
      </c>
      <c r="S133">
        <v>1.99</v>
      </c>
      <c r="T133">
        <v>6.54</v>
      </c>
      <c r="U133">
        <v>10.75</v>
      </c>
      <c r="V133">
        <f>Table1[[#This Row],[FSH(mIU/mL)]]/Table1[[#This Row],[LH(mIU/mL)]]</f>
        <v>0.60837209302325579</v>
      </c>
      <c r="W133" t="str">
        <f>IF(Table1[[#This Row],[FSH/LH]]&gt;=2,"Abnormal","Normal")</f>
        <v>Normal</v>
      </c>
      <c r="X133">
        <v>36</v>
      </c>
      <c r="Y133">
        <v>30</v>
      </c>
      <c r="Z133">
        <f>ROUND(Table1[[#This Row],[Waist(inch)]]/Table1[[#This Row],[Hip(inch)]],2)</f>
        <v>0.83</v>
      </c>
      <c r="AA133">
        <v>1.29</v>
      </c>
      <c r="AB133">
        <v>19.3</v>
      </c>
      <c r="AC133">
        <v>17.68</v>
      </c>
      <c r="AD133">
        <v>36.799999999999997</v>
      </c>
      <c r="AE133" t="str">
        <f>IF(Table1[[#This Row],[Vit D3 (ng/mL)]]&lt;20,"Deficiency","Normal")</f>
        <v>Normal</v>
      </c>
      <c r="AF133">
        <v>0.45</v>
      </c>
      <c r="AG133">
        <v>100</v>
      </c>
      <c r="AH133">
        <v>0</v>
      </c>
      <c r="AI133" t="str">
        <f>IF(Table1[[#This Row],[Weight gain(Y/N)]]=0,"NO","YES")</f>
        <v>NO</v>
      </c>
      <c r="AJ133">
        <v>0</v>
      </c>
      <c r="AK133" t="str">
        <f>IF(Table1[[#This Row],[hair growth(Y/N)]]=1,"YES","NO")</f>
        <v>NO</v>
      </c>
      <c r="AL133">
        <v>0</v>
      </c>
      <c r="AM133" t="str">
        <f>IF(Table1[[#This Row],[Skin darkening (Y/N)]]=1,"YES","NO")</f>
        <v>NO</v>
      </c>
      <c r="AN133">
        <v>0</v>
      </c>
      <c r="AO133" t="str">
        <f>IF(Table1[[#This Row],[Hair loss(Y/N)]]=1,"YES","NO")</f>
        <v>NO</v>
      </c>
      <c r="AP133">
        <v>1</v>
      </c>
      <c r="AQ133" t="str">
        <f>IF(Table1[[#This Row],[Pimples(Y/N)]]=1,"YES","NO")</f>
        <v>YES</v>
      </c>
      <c r="AR133">
        <v>1</v>
      </c>
      <c r="AS133" t="str">
        <f>IF(Table1[[#This Row],[Fast food (Y/N)]]=1,"YES","NO")</f>
        <v>YES</v>
      </c>
      <c r="AT133">
        <v>0</v>
      </c>
      <c r="AU133" t="str">
        <f>IF(Table1[[#This Row],[Reg.Exercise(Y/N)]]=1,"YES","NO")</f>
        <v>NO</v>
      </c>
      <c r="AV133">
        <v>110</v>
      </c>
      <c r="AW133">
        <v>70</v>
      </c>
      <c r="AX133">
        <v>3</v>
      </c>
      <c r="AY133">
        <v>7</v>
      </c>
      <c r="AZ133">
        <v>15</v>
      </c>
      <c r="BA133">
        <v>14</v>
      </c>
      <c r="BB133">
        <v>11.5</v>
      </c>
      <c r="BC133" t="str" cm="1">
        <f t="array" ref="BC133">_xlfn.IFS((F133/(G133*G133)*10000)&lt; 18.5,"Underweight",(F133/(G133*G133)*10000)&lt;24.9,"Normal",(F133/(G133*G133)*10000)&lt;29.9,"Overweight",(F133/(G133*G133)*10000)&gt;=30,"obesity")</f>
        <v>Normal</v>
      </c>
      <c r="BD133">
        <f>Table1[[#This Row],[Follicle No. (L)]]+Table1[[#This Row],[Follicle No. (R)]]</f>
        <v>10</v>
      </c>
      <c r="BE133">
        <f>Table1[[#This Row],[Avg. F size (L) (mm)]]+Table1[[#This Row],[Avg. F size (R) (mm)]]</f>
        <v>29</v>
      </c>
      <c r="BF133">
        <f>Table1[[#This Row],[BP _Diastolic (mmHg)]]+(Table1[[#This Row],[BP _Diastolic (mmHg)]]+Table1[[#This Row],[Follicle No. (L)]])/3</f>
        <v>94.333333333333329</v>
      </c>
      <c r="BG133" s="4" t="str" cm="1">
        <f t="array" ref="BG13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33" s="4">
        <f>SUM(Table1[[#This Row],[Pimples(Y/N)]],Table1[[#This Row],[hair growth(Y/N)]],Table1[[#This Row],[Skin darkening (Y/N)]],Table1[[#This Row],[Hair loss(Y/N)]])</f>
        <v>1</v>
      </c>
      <c r="BI133" s="4" t="str">
        <f>IF(AND(Table1[[#This Row],[Pregnant(Y/N)]]=0, Table1[[#This Row],[  I   beta-HCG(mIU/mL)]]&gt;5), "Investigation Required", "Clear")</f>
        <v>Clear</v>
      </c>
    </row>
    <row r="134" spans="1:61" ht="15.75" customHeight="1" x14ac:dyDescent="0.25">
      <c r="A134">
        <v>133</v>
      </c>
      <c r="B134">
        <v>133</v>
      </c>
      <c r="C134">
        <v>1</v>
      </c>
      <c r="D134" t="str">
        <f>IF(Table1[[#This Row],[PCOS (Y/N)]]=0,"NO","YES")</f>
        <v>YES</v>
      </c>
      <c r="E134">
        <v>22</v>
      </c>
      <c r="F134">
        <v>60</v>
      </c>
      <c r="G134">
        <v>154</v>
      </c>
      <c r="H134">
        <v>15</v>
      </c>
      <c r="I134">
        <v>70</v>
      </c>
      <c r="J134">
        <v>18</v>
      </c>
      <c r="K134">
        <v>12.7</v>
      </c>
      <c r="L134">
        <v>2</v>
      </c>
      <c r="M134">
        <v>5</v>
      </c>
      <c r="N134">
        <v>4</v>
      </c>
      <c r="O134">
        <v>0</v>
      </c>
      <c r="P134" t="str">
        <f>IF(Table1[[#This Row],[Pregnant(Y/N)]]=1,"YES","NO")</f>
        <v>NO</v>
      </c>
      <c r="Q134">
        <v>0</v>
      </c>
      <c r="R134">
        <v>1.99</v>
      </c>
      <c r="S134">
        <v>1.99</v>
      </c>
      <c r="T134">
        <v>6.44</v>
      </c>
      <c r="U134">
        <v>5.78</v>
      </c>
      <c r="V134">
        <f>Table1[[#This Row],[FSH(mIU/mL)]]/Table1[[#This Row],[LH(mIU/mL)]]</f>
        <v>1.1141868512110726</v>
      </c>
      <c r="W134" t="str">
        <f>IF(Table1[[#This Row],[FSH/LH]]&gt;=2,"Abnormal","Normal")</f>
        <v>Normal</v>
      </c>
      <c r="X134">
        <v>45</v>
      </c>
      <c r="Y134">
        <v>34</v>
      </c>
      <c r="Z134">
        <f>ROUND(Table1[[#This Row],[Waist(inch)]]/Table1[[#This Row],[Hip(inch)]],2)</f>
        <v>0.76</v>
      </c>
      <c r="AA134">
        <v>2.96</v>
      </c>
      <c r="AB134">
        <v>8.8000000000000007</v>
      </c>
      <c r="AC134">
        <v>26.72</v>
      </c>
      <c r="AD134">
        <v>41.7</v>
      </c>
      <c r="AE134" t="str">
        <f>IF(Table1[[#This Row],[Vit D3 (ng/mL)]]&lt;20,"Deficiency","Normal")</f>
        <v>Normal</v>
      </c>
      <c r="AF134">
        <v>0.3</v>
      </c>
      <c r="AG134">
        <v>85</v>
      </c>
      <c r="AH134">
        <v>1</v>
      </c>
      <c r="AI134" t="str">
        <f>IF(Table1[[#This Row],[Weight gain(Y/N)]]=0,"NO","YES")</f>
        <v>YES</v>
      </c>
      <c r="AJ134">
        <v>1</v>
      </c>
      <c r="AK134" t="str">
        <f>IF(Table1[[#This Row],[hair growth(Y/N)]]=1,"YES","NO")</f>
        <v>YES</v>
      </c>
      <c r="AL134">
        <v>1</v>
      </c>
      <c r="AM134" t="str">
        <f>IF(Table1[[#This Row],[Skin darkening (Y/N)]]=1,"YES","NO")</f>
        <v>YES</v>
      </c>
      <c r="AN134">
        <v>0</v>
      </c>
      <c r="AO134" t="str">
        <f>IF(Table1[[#This Row],[Hair loss(Y/N)]]=1,"YES","NO")</f>
        <v>NO</v>
      </c>
      <c r="AP134">
        <v>0</v>
      </c>
      <c r="AQ134" t="str">
        <f>IF(Table1[[#This Row],[Pimples(Y/N)]]=1,"YES","NO")</f>
        <v>NO</v>
      </c>
      <c r="AR134">
        <v>1</v>
      </c>
      <c r="AS134" t="str">
        <f>IF(Table1[[#This Row],[Fast food (Y/N)]]=1,"YES","NO")</f>
        <v>YES</v>
      </c>
      <c r="AT134">
        <v>0</v>
      </c>
      <c r="AU134" t="str">
        <f>IF(Table1[[#This Row],[Reg.Exercise(Y/N)]]=1,"YES","NO")</f>
        <v>NO</v>
      </c>
      <c r="AV134">
        <v>110</v>
      </c>
      <c r="AW134">
        <v>80</v>
      </c>
      <c r="AX134">
        <v>3</v>
      </c>
      <c r="AY134">
        <v>3</v>
      </c>
      <c r="AZ134">
        <v>16</v>
      </c>
      <c r="BA134">
        <v>17</v>
      </c>
      <c r="BB134">
        <v>9.6999999999999993</v>
      </c>
      <c r="BC134" t="str" cm="1">
        <f t="array" ref="BC134">_xlfn.IFS((F134/(G134*G134)*10000)&lt; 18.5,"Underweight",(F134/(G134*G134)*10000)&lt;24.9,"Normal",(F134/(G134*G134)*10000)&lt;29.9,"Overweight",(F134/(G134*G134)*10000)&gt;=30,"obesity")</f>
        <v>Overweight</v>
      </c>
      <c r="BD134">
        <f>Table1[[#This Row],[Follicle No. (L)]]+Table1[[#This Row],[Follicle No. (R)]]</f>
        <v>6</v>
      </c>
      <c r="BE134">
        <f>Table1[[#This Row],[Avg. F size (L) (mm)]]+Table1[[#This Row],[Avg. F size (R) (mm)]]</f>
        <v>33</v>
      </c>
      <c r="BF134">
        <f>Table1[[#This Row],[BP _Diastolic (mmHg)]]+(Table1[[#This Row],[BP _Diastolic (mmHg)]]+Table1[[#This Row],[Follicle No. (L)]])/3</f>
        <v>107.66666666666667</v>
      </c>
      <c r="BG134" s="4" t="str" cm="1">
        <f t="array" ref="BG13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34" s="4">
        <f>SUM(Table1[[#This Row],[Pimples(Y/N)]],Table1[[#This Row],[hair growth(Y/N)]],Table1[[#This Row],[Skin darkening (Y/N)]],Table1[[#This Row],[Hair loss(Y/N)]])</f>
        <v>2</v>
      </c>
      <c r="BI134" s="4" t="str">
        <f>IF(AND(Table1[[#This Row],[Pregnant(Y/N)]]=0, Table1[[#This Row],[  I   beta-HCG(mIU/mL)]]&gt;5), "Investigation Required", "Clear")</f>
        <v>Clear</v>
      </c>
    </row>
    <row r="135" spans="1:61" ht="15.75" customHeight="1" x14ac:dyDescent="0.25">
      <c r="A135">
        <v>134</v>
      </c>
      <c r="B135">
        <v>134</v>
      </c>
      <c r="C135">
        <v>1</v>
      </c>
      <c r="D135" t="str">
        <f>IF(Table1[[#This Row],[PCOS (Y/N)]]=0,"NO","YES")</f>
        <v>YES</v>
      </c>
      <c r="E135">
        <v>28</v>
      </c>
      <c r="F135">
        <v>70</v>
      </c>
      <c r="G135">
        <v>157</v>
      </c>
      <c r="H135">
        <v>15</v>
      </c>
      <c r="I135">
        <v>70</v>
      </c>
      <c r="J135">
        <v>18</v>
      </c>
      <c r="K135">
        <v>11</v>
      </c>
      <c r="L135">
        <v>2</v>
      </c>
      <c r="M135">
        <v>5</v>
      </c>
      <c r="N135">
        <v>5</v>
      </c>
      <c r="O135">
        <v>0</v>
      </c>
      <c r="P135" t="str">
        <f>IF(Table1[[#This Row],[Pregnant(Y/N)]]=1,"YES","NO")</f>
        <v>NO</v>
      </c>
      <c r="Q135">
        <v>1</v>
      </c>
      <c r="R135">
        <v>342.16</v>
      </c>
      <c r="S135">
        <v>1.99</v>
      </c>
      <c r="T135">
        <v>3.41</v>
      </c>
      <c r="U135">
        <v>3.58</v>
      </c>
      <c r="V135">
        <f>Table1[[#This Row],[FSH(mIU/mL)]]/Table1[[#This Row],[LH(mIU/mL)]]</f>
        <v>0.95251396648044695</v>
      </c>
      <c r="W135" t="str">
        <f>IF(Table1[[#This Row],[FSH/LH]]&gt;=2,"Abnormal","Normal")</f>
        <v>Normal</v>
      </c>
      <c r="X135">
        <v>42</v>
      </c>
      <c r="Y135">
        <v>36</v>
      </c>
      <c r="Z135">
        <f>ROUND(Table1[[#This Row],[Waist(inch)]]/Table1[[#This Row],[Hip(inch)]],2)</f>
        <v>0.86</v>
      </c>
      <c r="AA135">
        <v>1.1299999999999999</v>
      </c>
      <c r="AB135">
        <v>19</v>
      </c>
      <c r="AC135">
        <v>21.7</v>
      </c>
      <c r="AD135">
        <v>18.8</v>
      </c>
      <c r="AE135" t="str">
        <f>IF(Table1[[#This Row],[Vit D3 (ng/mL)]]&lt;20,"Deficiency","Normal")</f>
        <v>Deficiency</v>
      </c>
      <c r="AF135">
        <v>0.56000000000000005</v>
      </c>
      <c r="AG135">
        <v>120</v>
      </c>
      <c r="AH135">
        <v>1</v>
      </c>
      <c r="AI135" t="str">
        <f>IF(Table1[[#This Row],[Weight gain(Y/N)]]=0,"NO","YES")</f>
        <v>YES</v>
      </c>
      <c r="AJ135">
        <v>1</v>
      </c>
      <c r="AK135" t="str">
        <f>IF(Table1[[#This Row],[hair growth(Y/N)]]=1,"YES","NO")</f>
        <v>YES</v>
      </c>
      <c r="AL135">
        <v>1</v>
      </c>
      <c r="AM135" t="str">
        <f>IF(Table1[[#This Row],[Skin darkening (Y/N)]]=1,"YES","NO")</f>
        <v>YES</v>
      </c>
      <c r="AN135">
        <v>0</v>
      </c>
      <c r="AO135" t="str">
        <f>IF(Table1[[#This Row],[Hair loss(Y/N)]]=1,"YES","NO")</f>
        <v>NO</v>
      </c>
      <c r="AP135">
        <v>0</v>
      </c>
      <c r="AQ135" t="str">
        <f>IF(Table1[[#This Row],[Pimples(Y/N)]]=1,"YES","NO")</f>
        <v>NO</v>
      </c>
      <c r="AR135">
        <v>1</v>
      </c>
      <c r="AS135" t="str">
        <f>IF(Table1[[#This Row],[Fast food (Y/N)]]=1,"YES","NO")</f>
        <v>YES</v>
      </c>
      <c r="AT135">
        <v>1</v>
      </c>
      <c r="AU135" t="str">
        <f>IF(Table1[[#This Row],[Reg.Exercise(Y/N)]]=1,"YES","NO")</f>
        <v>YES</v>
      </c>
      <c r="AV135">
        <v>110</v>
      </c>
      <c r="AW135">
        <v>80</v>
      </c>
      <c r="AX135">
        <v>12</v>
      </c>
      <c r="AY135">
        <v>9</v>
      </c>
      <c r="AZ135">
        <v>19</v>
      </c>
      <c r="BA135">
        <v>18</v>
      </c>
      <c r="BB135">
        <v>12</v>
      </c>
      <c r="BC135" t="str" cm="1">
        <f t="array" ref="BC135">_xlfn.IFS((F135/(G135*G135)*10000)&lt; 18.5,"Underweight",(F135/(G135*G135)*10000)&lt;24.9,"Normal",(F135/(G135*G135)*10000)&lt;29.9,"Overweight",(F135/(G135*G135)*10000)&gt;=30,"obesity")</f>
        <v>Overweight</v>
      </c>
      <c r="BD135">
        <f>Table1[[#This Row],[Follicle No. (L)]]+Table1[[#This Row],[Follicle No. (R)]]</f>
        <v>21</v>
      </c>
      <c r="BE135">
        <f>Table1[[#This Row],[Avg. F size (L) (mm)]]+Table1[[#This Row],[Avg. F size (R) (mm)]]</f>
        <v>37</v>
      </c>
      <c r="BF135">
        <f>Table1[[#This Row],[BP _Diastolic (mmHg)]]+(Table1[[#This Row],[BP _Diastolic (mmHg)]]+Table1[[#This Row],[Follicle No. (L)]])/3</f>
        <v>110.66666666666667</v>
      </c>
      <c r="BG135" s="4" t="str" cm="1">
        <f t="array" ref="BG13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35" s="4">
        <f>SUM(Table1[[#This Row],[Pimples(Y/N)]],Table1[[#This Row],[hair growth(Y/N)]],Table1[[#This Row],[Skin darkening (Y/N)]],Table1[[#This Row],[Hair loss(Y/N)]])</f>
        <v>2</v>
      </c>
      <c r="BI135" s="4" t="str">
        <f>IF(AND(Table1[[#This Row],[Pregnant(Y/N)]]=0, Table1[[#This Row],[  I   beta-HCG(mIU/mL)]]&gt;5), "Investigation Required", "Clear")</f>
        <v>Investigation Required</v>
      </c>
    </row>
    <row r="136" spans="1:61" ht="15.75" customHeight="1" x14ac:dyDescent="0.25">
      <c r="A136">
        <v>135</v>
      </c>
      <c r="B136">
        <v>135</v>
      </c>
      <c r="C136">
        <v>0</v>
      </c>
      <c r="D136" t="str">
        <f>IF(Table1[[#This Row],[PCOS (Y/N)]]=0,"NO","YES")</f>
        <v>NO</v>
      </c>
      <c r="E136">
        <v>35</v>
      </c>
      <c r="F136">
        <v>68</v>
      </c>
      <c r="G136">
        <v>154</v>
      </c>
      <c r="H136">
        <v>15</v>
      </c>
      <c r="I136">
        <v>72</v>
      </c>
      <c r="J136">
        <v>18</v>
      </c>
      <c r="K136">
        <v>12</v>
      </c>
      <c r="L136">
        <v>2</v>
      </c>
      <c r="M136">
        <v>5</v>
      </c>
      <c r="N136">
        <v>10</v>
      </c>
      <c r="O136">
        <v>0</v>
      </c>
      <c r="P136" t="str">
        <f>IF(Table1[[#This Row],[Pregnant(Y/N)]]=1,"YES","NO")</f>
        <v>NO</v>
      </c>
      <c r="Q136">
        <v>0</v>
      </c>
      <c r="R136">
        <v>3.05</v>
      </c>
      <c r="S136">
        <v>3.05</v>
      </c>
      <c r="T136">
        <v>4.83</v>
      </c>
      <c r="U136">
        <v>1.1499999999999999</v>
      </c>
      <c r="V136">
        <f>Table1[[#This Row],[FSH(mIU/mL)]]/Table1[[#This Row],[LH(mIU/mL)]]</f>
        <v>4.2</v>
      </c>
      <c r="W136" t="str">
        <f>IF(Table1[[#This Row],[FSH/LH]]&gt;=2,"Abnormal","Normal")</f>
        <v>Abnormal</v>
      </c>
      <c r="X136">
        <v>38</v>
      </c>
      <c r="Y136">
        <v>30</v>
      </c>
      <c r="Z136">
        <f>ROUND(Table1[[#This Row],[Waist(inch)]]/Table1[[#This Row],[Hip(inch)]],2)</f>
        <v>0.79</v>
      </c>
      <c r="AA136">
        <v>2.2599999999999998</v>
      </c>
      <c r="AB136">
        <v>4.3</v>
      </c>
      <c r="AC136">
        <v>14.79</v>
      </c>
      <c r="AD136">
        <v>19.2</v>
      </c>
      <c r="AE136" t="str">
        <f>IF(Table1[[#This Row],[Vit D3 (ng/mL)]]&lt;20,"Deficiency","Normal")</f>
        <v>Deficiency</v>
      </c>
      <c r="AF136">
        <v>0.41</v>
      </c>
      <c r="AG136">
        <v>85</v>
      </c>
      <c r="AH136">
        <v>0</v>
      </c>
      <c r="AI136" t="str">
        <f>IF(Table1[[#This Row],[Weight gain(Y/N)]]=0,"NO","YES")</f>
        <v>NO</v>
      </c>
      <c r="AJ136">
        <v>0</v>
      </c>
      <c r="AK136" t="str">
        <f>IF(Table1[[#This Row],[hair growth(Y/N)]]=1,"YES","NO")</f>
        <v>NO</v>
      </c>
      <c r="AL136">
        <v>0</v>
      </c>
      <c r="AM136" t="str">
        <f>IF(Table1[[#This Row],[Skin darkening (Y/N)]]=1,"YES","NO")</f>
        <v>NO</v>
      </c>
      <c r="AN136">
        <v>0</v>
      </c>
      <c r="AO136" t="str">
        <f>IF(Table1[[#This Row],[Hair loss(Y/N)]]=1,"YES","NO")</f>
        <v>NO</v>
      </c>
      <c r="AP136">
        <v>1</v>
      </c>
      <c r="AQ136" t="str">
        <f>IF(Table1[[#This Row],[Pimples(Y/N)]]=1,"YES","NO")</f>
        <v>YES</v>
      </c>
      <c r="AR136">
        <v>0</v>
      </c>
      <c r="AS136" t="str">
        <f>IF(Table1[[#This Row],[Fast food (Y/N)]]=1,"YES","NO")</f>
        <v>NO</v>
      </c>
      <c r="AT136">
        <v>0</v>
      </c>
      <c r="AU136" t="str">
        <f>IF(Table1[[#This Row],[Reg.Exercise(Y/N)]]=1,"YES","NO")</f>
        <v>NO</v>
      </c>
      <c r="AV136">
        <v>120</v>
      </c>
      <c r="AW136">
        <v>80</v>
      </c>
      <c r="AX136">
        <v>3</v>
      </c>
      <c r="AY136">
        <v>4</v>
      </c>
      <c r="AZ136">
        <v>18</v>
      </c>
      <c r="BA136">
        <v>17</v>
      </c>
      <c r="BB136">
        <v>9</v>
      </c>
      <c r="BC136" t="str" cm="1">
        <f t="array" ref="BC136">_xlfn.IFS((F136/(G136*G136)*10000)&lt; 18.5,"Underweight",(F136/(G136*G136)*10000)&lt;24.9,"Normal",(F136/(G136*G136)*10000)&lt;29.9,"Overweight",(F136/(G136*G136)*10000)&gt;=30,"obesity")</f>
        <v>Overweight</v>
      </c>
      <c r="BD136">
        <f>Table1[[#This Row],[Follicle No. (L)]]+Table1[[#This Row],[Follicle No. (R)]]</f>
        <v>7</v>
      </c>
      <c r="BE136">
        <f>Table1[[#This Row],[Avg. F size (L) (mm)]]+Table1[[#This Row],[Avg. F size (R) (mm)]]</f>
        <v>35</v>
      </c>
      <c r="BF136">
        <f>Table1[[#This Row],[BP _Diastolic (mmHg)]]+(Table1[[#This Row],[BP _Diastolic (mmHg)]]+Table1[[#This Row],[Follicle No. (L)]])/3</f>
        <v>107.66666666666667</v>
      </c>
      <c r="BG136" s="4" t="str" cm="1">
        <f t="array" ref="BG13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36" s="4">
        <f>SUM(Table1[[#This Row],[Pimples(Y/N)]],Table1[[#This Row],[hair growth(Y/N)]],Table1[[#This Row],[Skin darkening (Y/N)]],Table1[[#This Row],[Hair loss(Y/N)]])</f>
        <v>1</v>
      </c>
      <c r="BI136" s="4" t="str">
        <f>IF(AND(Table1[[#This Row],[Pregnant(Y/N)]]=0, Table1[[#This Row],[  I   beta-HCG(mIU/mL)]]&gt;5), "Investigation Required", "Clear")</f>
        <v>Clear</v>
      </c>
    </row>
    <row r="137" spans="1:61" ht="15.75" customHeight="1" x14ac:dyDescent="0.25">
      <c r="A137">
        <v>136</v>
      </c>
      <c r="B137">
        <v>136</v>
      </c>
      <c r="C137">
        <v>0</v>
      </c>
      <c r="D137" t="str">
        <f>IF(Table1[[#This Row],[PCOS (Y/N)]]=0,"NO","YES")</f>
        <v>NO</v>
      </c>
      <c r="E137">
        <v>30</v>
      </c>
      <c r="F137">
        <v>71</v>
      </c>
      <c r="G137">
        <v>160</v>
      </c>
      <c r="H137">
        <v>15</v>
      </c>
      <c r="I137">
        <v>72</v>
      </c>
      <c r="J137">
        <v>18</v>
      </c>
      <c r="K137">
        <v>12</v>
      </c>
      <c r="L137">
        <v>2</v>
      </c>
      <c r="M137">
        <v>5</v>
      </c>
      <c r="N137">
        <v>10</v>
      </c>
      <c r="O137">
        <v>0</v>
      </c>
      <c r="P137" t="str">
        <f>IF(Table1[[#This Row],[Pregnant(Y/N)]]=1,"YES","NO")</f>
        <v>NO</v>
      </c>
      <c r="Q137">
        <v>2</v>
      </c>
      <c r="R137">
        <v>1.99</v>
      </c>
      <c r="S137">
        <v>1.99</v>
      </c>
      <c r="T137">
        <v>6.02</v>
      </c>
      <c r="U137">
        <v>3.4</v>
      </c>
      <c r="V137">
        <f>Table1[[#This Row],[FSH(mIU/mL)]]/Table1[[#This Row],[LH(mIU/mL)]]</f>
        <v>1.7705882352941176</v>
      </c>
      <c r="W137" t="str">
        <f>IF(Table1[[#This Row],[FSH/LH]]&gt;=2,"Abnormal","Normal")</f>
        <v>Normal</v>
      </c>
      <c r="X137">
        <v>39</v>
      </c>
      <c r="Y137">
        <v>31</v>
      </c>
      <c r="Z137">
        <f>ROUND(Table1[[#This Row],[Waist(inch)]]/Table1[[#This Row],[Hip(inch)]],2)</f>
        <v>0.79</v>
      </c>
      <c r="AA137">
        <v>1.33</v>
      </c>
      <c r="AB137">
        <v>1.4</v>
      </c>
      <c r="AC137">
        <v>13.87</v>
      </c>
      <c r="AD137">
        <v>26.87</v>
      </c>
      <c r="AE137" t="str">
        <f>IF(Table1[[#This Row],[Vit D3 (ng/mL)]]&lt;20,"Deficiency","Normal")</f>
        <v>Normal</v>
      </c>
      <c r="AF137">
        <v>0.72</v>
      </c>
      <c r="AG137">
        <v>100</v>
      </c>
      <c r="AH137">
        <v>0</v>
      </c>
      <c r="AI137" t="str">
        <f>IF(Table1[[#This Row],[Weight gain(Y/N)]]=0,"NO","YES")</f>
        <v>NO</v>
      </c>
      <c r="AJ137">
        <v>0</v>
      </c>
      <c r="AK137" t="str">
        <f>IF(Table1[[#This Row],[hair growth(Y/N)]]=1,"YES","NO")</f>
        <v>NO</v>
      </c>
      <c r="AL137">
        <v>1</v>
      </c>
      <c r="AM137" t="str">
        <f>IF(Table1[[#This Row],[Skin darkening (Y/N)]]=1,"YES","NO")</f>
        <v>YES</v>
      </c>
      <c r="AN137">
        <v>0</v>
      </c>
      <c r="AO137" t="str">
        <f>IF(Table1[[#This Row],[Hair loss(Y/N)]]=1,"YES","NO")</f>
        <v>NO</v>
      </c>
      <c r="AP137">
        <v>0</v>
      </c>
      <c r="AQ137" t="str">
        <f>IF(Table1[[#This Row],[Pimples(Y/N)]]=1,"YES","NO")</f>
        <v>NO</v>
      </c>
      <c r="AR137">
        <v>0</v>
      </c>
      <c r="AS137" t="str">
        <f>IF(Table1[[#This Row],[Fast food (Y/N)]]=1,"YES","NO")</f>
        <v>NO</v>
      </c>
      <c r="AT137">
        <v>0</v>
      </c>
      <c r="AU137" t="str">
        <f>IF(Table1[[#This Row],[Reg.Exercise(Y/N)]]=1,"YES","NO")</f>
        <v>NO</v>
      </c>
      <c r="AV137">
        <v>120</v>
      </c>
      <c r="AW137">
        <v>80</v>
      </c>
      <c r="AX137">
        <v>4</v>
      </c>
      <c r="AY137">
        <v>7</v>
      </c>
      <c r="AZ137">
        <v>15</v>
      </c>
      <c r="BA137">
        <v>17</v>
      </c>
      <c r="BB137">
        <v>11</v>
      </c>
      <c r="BC137" t="str" cm="1">
        <f t="array" ref="BC137">_xlfn.IFS((F137/(G137*G137)*10000)&lt; 18.5,"Underweight",(F137/(G137*G137)*10000)&lt;24.9,"Normal",(F137/(G137*G137)*10000)&lt;29.9,"Overweight",(F137/(G137*G137)*10000)&gt;=30,"obesity")</f>
        <v>Overweight</v>
      </c>
      <c r="BD137">
        <f>Table1[[#This Row],[Follicle No. (L)]]+Table1[[#This Row],[Follicle No. (R)]]</f>
        <v>11</v>
      </c>
      <c r="BE137">
        <f>Table1[[#This Row],[Avg. F size (L) (mm)]]+Table1[[#This Row],[Avg. F size (R) (mm)]]</f>
        <v>32</v>
      </c>
      <c r="BF137">
        <f>Table1[[#This Row],[BP _Diastolic (mmHg)]]+(Table1[[#This Row],[BP _Diastolic (mmHg)]]+Table1[[#This Row],[Follicle No. (L)]])/3</f>
        <v>108</v>
      </c>
      <c r="BG137" s="4" t="str" cm="1">
        <f t="array" ref="BG13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37" s="4">
        <f>SUM(Table1[[#This Row],[Pimples(Y/N)]],Table1[[#This Row],[hair growth(Y/N)]],Table1[[#This Row],[Skin darkening (Y/N)]],Table1[[#This Row],[Hair loss(Y/N)]])</f>
        <v>1</v>
      </c>
      <c r="BI137" s="4" t="str">
        <f>IF(AND(Table1[[#This Row],[Pregnant(Y/N)]]=0, Table1[[#This Row],[  I   beta-HCG(mIU/mL)]]&gt;5), "Investigation Required", "Clear")</f>
        <v>Clear</v>
      </c>
    </row>
    <row r="138" spans="1:61" ht="15.75" customHeight="1" x14ac:dyDescent="0.25">
      <c r="A138">
        <v>137</v>
      </c>
      <c r="B138">
        <v>137</v>
      </c>
      <c r="C138">
        <v>0</v>
      </c>
      <c r="D138" t="str">
        <f>IF(Table1[[#This Row],[PCOS (Y/N)]]=0,"NO","YES")</f>
        <v>NO</v>
      </c>
      <c r="E138">
        <v>26</v>
      </c>
      <c r="F138">
        <v>60</v>
      </c>
      <c r="G138">
        <v>153</v>
      </c>
      <c r="H138">
        <v>13</v>
      </c>
      <c r="I138">
        <v>78</v>
      </c>
      <c r="J138">
        <v>22</v>
      </c>
      <c r="K138">
        <v>11.5</v>
      </c>
      <c r="L138">
        <v>2</v>
      </c>
      <c r="M138">
        <v>5</v>
      </c>
      <c r="N138">
        <v>4</v>
      </c>
      <c r="O138">
        <v>0</v>
      </c>
      <c r="P138" t="str">
        <f>IF(Table1[[#This Row],[Pregnant(Y/N)]]=1,"YES","NO")</f>
        <v>NO</v>
      </c>
      <c r="Q138">
        <v>0</v>
      </c>
      <c r="R138">
        <v>201.36</v>
      </c>
      <c r="S138">
        <v>201.36</v>
      </c>
      <c r="T138">
        <v>3.59</v>
      </c>
      <c r="U138">
        <v>2.54</v>
      </c>
      <c r="V138">
        <f>Table1[[#This Row],[FSH(mIU/mL)]]/Table1[[#This Row],[LH(mIU/mL)]]</f>
        <v>1.4133858267716535</v>
      </c>
      <c r="W138" t="str">
        <f>IF(Table1[[#This Row],[FSH/LH]]&gt;=2,"Abnormal","Normal")</f>
        <v>Normal</v>
      </c>
      <c r="X138">
        <v>37</v>
      </c>
      <c r="Y138">
        <v>30</v>
      </c>
      <c r="Z138">
        <f>ROUND(Table1[[#This Row],[Waist(inch)]]/Table1[[#This Row],[Hip(inch)]],2)</f>
        <v>0.81</v>
      </c>
      <c r="AA138">
        <v>0.25</v>
      </c>
      <c r="AB138">
        <v>12.6</v>
      </c>
      <c r="AC138">
        <v>8.1199999999999992</v>
      </c>
      <c r="AD138">
        <v>26.6</v>
      </c>
      <c r="AE138" t="str">
        <f>IF(Table1[[#This Row],[Vit D3 (ng/mL)]]&lt;20,"Deficiency","Normal")</f>
        <v>Normal</v>
      </c>
      <c r="AF138">
        <v>0.57999999999999996</v>
      </c>
      <c r="AG138">
        <v>123</v>
      </c>
      <c r="AH138">
        <v>1</v>
      </c>
      <c r="AI138" t="str">
        <f>IF(Table1[[#This Row],[Weight gain(Y/N)]]=0,"NO","YES")</f>
        <v>YES</v>
      </c>
      <c r="AJ138">
        <v>0</v>
      </c>
      <c r="AK138" t="str">
        <f>IF(Table1[[#This Row],[hair growth(Y/N)]]=1,"YES","NO")</f>
        <v>NO</v>
      </c>
      <c r="AL138">
        <v>0</v>
      </c>
      <c r="AM138" t="str">
        <f>IF(Table1[[#This Row],[Skin darkening (Y/N)]]=1,"YES","NO")</f>
        <v>NO</v>
      </c>
      <c r="AN138">
        <v>1</v>
      </c>
      <c r="AO138" t="str">
        <f>IF(Table1[[#This Row],[Hair loss(Y/N)]]=1,"YES","NO")</f>
        <v>YES</v>
      </c>
      <c r="AP138">
        <v>0</v>
      </c>
      <c r="AQ138" t="str">
        <f>IF(Table1[[#This Row],[Pimples(Y/N)]]=1,"YES","NO")</f>
        <v>NO</v>
      </c>
      <c r="AR138">
        <v>0</v>
      </c>
      <c r="AS138" t="str">
        <f>IF(Table1[[#This Row],[Fast food (Y/N)]]=1,"YES","NO")</f>
        <v>NO</v>
      </c>
      <c r="AT138">
        <v>1</v>
      </c>
      <c r="AU138" t="str">
        <f>IF(Table1[[#This Row],[Reg.Exercise(Y/N)]]=1,"YES","NO")</f>
        <v>YES</v>
      </c>
      <c r="AV138">
        <v>110</v>
      </c>
      <c r="AW138">
        <v>80</v>
      </c>
      <c r="AX138">
        <v>4</v>
      </c>
      <c r="AY138">
        <v>4</v>
      </c>
      <c r="AZ138">
        <v>14</v>
      </c>
      <c r="BA138">
        <v>13</v>
      </c>
      <c r="BB138">
        <v>11</v>
      </c>
      <c r="BC138" t="str" cm="1">
        <f t="array" ref="BC138">_xlfn.IFS((F138/(G138*G138)*10000)&lt; 18.5,"Underweight",(F138/(G138*G138)*10000)&lt;24.9,"Normal",(F138/(G138*G138)*10000)&lt;29.9,"Overweight",(F138/(G138*G138)*10000)&gt;=30,"obesity")</f>
        <v>Overweight</v>
      </c>
      <c r="BD138">
        <f>Table1[[#This Row],[Follicle No. (L)]]+Table1[[#This Row],[Follicle No. (R)]]</f>
        <v>8</v>
      </c>
      <c r="BE138">
        <f>Table1[[#This Row],[Avg. F size (L) (mm)]]+Table1[[#This Row],[Avg. F size (R) (mm)]]</f>
        <v>27</v>
      </c>
      <c r="BF138">
        <f>Table1[[#This Row],[BP _Diastolic (mmHg)]]+(Table1[[#This Row],[BP _Diastolic (mmHg)]]+Table1[[#This Row],[Follicle No. (L)]])/3</f>
        <v>108</v>
      </c>
      <c r="BG138" s="4" t="str" cm="1">
        <f t="array" ref="BG13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38" s="4">
        <f>SUM(Table1[[#This Row],[Pimples(Y/N)]],Table1[[#This Row],[hair growth(Y/N)]],Table1[[#This Row],[Skin darkening (Y/N)]],Table1[[#This Row],[Hair loss(Y/N)]])</f>
        <v>1</v>
      </c>
      <c r="BI138" s="4" t="str">
        <f>IF(AND(Table1[[#This Row],[Pregnant(Y/N)]]=0, Table1[[#This Row],[  I   beta-HCG(mIU/mL)]]&gt;5), "Investigation Required", "Clear")</f>
        <v>Investigation Required</v>
      </c>
    </row>
    <row r="139" spans="1:61" ht="15.75" customHeight="1" x14ac:dyDescent="0.25">
      <c r="A139">
        <v>138</v>
      </c>
      <c r="B139">
        <v>138</v>
      </c>
      <c r="C139">
        <v>0</v>
      </c>
      <c r="D139" t="str">
        <f>IF(Table1[[#This Row],[PCOS (Y/N)]]=0,"NO","YES")</f>
        <v>NO</v>
      </c>
      <c r="E139">
        <v>35</v>
      </c>
      <c r="F139">
        <v>40</v>
      </c>
      <c r="G139">
        <v>144</v>
      </c>
      <c r="H139">
        <v>17</v>
      </c>
      <c r="I139">
        <v>72</v>
      </c>
      <c r="J139">
        <v>18</v>
      </c>
      <c r="K139">
        <v>10.8</v>
      </c>
      <c r="L139">
        <v>2</v>
      </c>
      <c r="M139">
        <v>5</v>
      </c>
      <c r="N139">
        <v>4</v>
      </c>
      <c r="O139">
        <v>0</v>
      </c>
      <c r="P139" t="str">
        <f>IF(Table1[[#This Row],[Pregnant(Y/N)]]=1,"YES","NO")</f>
        <v>NO</v>
      </c>
      <c r="Q139">
        <v>0</v>
      </c>
      <c r="R139">
        <v>1.99</v>
      </c>
      <c r="S139">
        <v>1.99</v>
      </c>
      <c r="T139">
        <v>3.08</v>
      </c>
      <c r="U139">
        <v>1.28</v>
      </c>
      <c r="V139">
        <f>Table1[[#This Row],[FSH(mIU/mL)]]/Table1[[#This Row],[LH(mIU/mL)]]</f>
        <v>2.40625</v>
      </c>
      <c r="W139" t="str">
        <f>IF(Table1[[#This Row],[FSH/LH]]&gt;=2,"Abnormal","Normal")</f>
        <v>Abnormal</v>
      </c>
      <c r="X139">
        <v>39</v>
      </c>
      <c r="Y139">
        <v>33</v>
      </c>
      <c r="Z139">
        <f>ROUND(Table1[[#This Row],[Waist(inch)]]/Table1[[#This Row],[Hip(inch)]],2)</f>
        <v>0.85</v>
      </c>
      <c r="AA139">
        <v>1.51</v>
      </c>
      <c r="AB139">
        <v>4.8</v>
      </c>
      <c r="AC139">
        <v>55.47</v>
      </c>
      <c r="AD139">
        <v>30.9</v>
      </c>
      <c r="AE139" t="str">
        <f>IF(Table1[[#This Row],[Vit D3 (ng/mL)]]&lt;20,"Deficiency","Normal")</f>
        <v>Normal</v>
      </c>
      <c r="AF139">
        <v>0.53</v>
      </c>
      <c r="AG139">
        <v>100</v>
      </c>
      <c r="AH139">
        <v>0</v>
      </c>
      <c r="AI139" t="str">
        <f>IF(Table1[[#This Row],[Weight gain(Y/N)]]=0,"NO","YES")</f>
        <v>NO</v>
      </c>
      <c r="AJ139">
        <v>1</v>
      </c>
      <c r="AK139" t="str">
        <f>IF(Table1[[#This Row],[hair growth(Y/N)]]=1,"YES","NO")</f>
        <v>YES</v>
      </c>
      <c r="AL139">
        <v>0</v>
      </c>
      <c r="AM139" t="str">
        <f>IF(Table1[[#This Row],[Skin darkening (Y/N)]]=1,"YES","NO")</f>
        <v>NO</v>
      </c>
      <c r="AN139">
        <v>0</v>
      </c>
      <c r="AO139" t="str">
        <f>IF(Table1[[#This Row],[Hair loss(Y/N)]]=1,"YES","NO")</f>
        <v>NO</v>
      </c>
      <c r="AP139">
        <v>0</v>
      </c>
      <c r="AQ139" t="str">
        <f>IF(Table1[[#This Row],[Pimples(Y/N)]]=1,"YES","NO")</f>
        <v>NO</v>
      </c>
      <c r="AR139">
        <v>0</v>
      </c>
      <c r="AS139" t="str">
        <f>IF(Table1[[#This Row],[Fast food (Y/N)]]=1,"YES","NO")</f>
        <v>NO</v>
      </c>
      <c r="AT139">
        <v>0</v>
      </c>
      <c r="AU139" t="str">
        <f>IF(Table1[[#This Row],[Reg.Exercise(Y/N)]]=1,"YES","NO")</f>
        <v>NO</v>
      </c>
      <c r="AV139">
        <v>100</v>
      </c>
      <c r="AW139">
        <v>70</v>
      </c>
      <c r="AX139">
        <v>6</v>
      </c>
      <c r="AY139">
        <v>4</v>
      </c>
      <c r="AZ139">
        <v>17</v>
      </c>
      <c r="BA139">
        <v>18</v>
      </c>
      <c r="BB139">
        <v>10.7</v>
      </c>
      <c r="BC139" t="str" cm="1">
        <f t="array" ref="BC139">_xlfn.IFS((F139/(G139*G139)*10000)&lt; 18.5,"Underweight",(F139/(G139*G139)*10000)&lt;24.9,"Normal",(F139/(G139*G139)*10000)&lt;29.9,"Overweight",(F139/(G139*G139)*10000)&gt;=30,"obesity")</f>
        <v>Normal</v>
      </c>
      <c r="BD139">
        <f>Table1[[#This Row],[Follicle No. (L)]]+Table1[[#This Row],[Follicle No. (R)]]</f>
        <v>10</v>
      </c>
      <c r="BE139">
        <f>Table1[[#This Row],[Avg. F size (L) (mm)]]+Table1[[#This Row],[Avg. F size (R) (mm)]]</f>
        <v>35</v>
      </c>
      <c r="BF139">
        <f>Table1[[#This Row],[BP _Diastolic (mmHg)]]+(Table1[[#This Row],[BP _Diastolic (mmHg)]]+Table1[[#This Row],[Follicle No. (L)]])/3</f>
        <v>95.333333333333329</v>
      </c>
      <c r="BG139" s="4" t="str" cm="1">
        <f t="array" ref="BG13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39" s="4">
        <f>SUM(Table1[[#This Row],[Pimples(Y/N)]],Table1[[#This Row],[hair growth(Y/N)]],Table1[[#This Row],[Skin darkening (Y/N)]],Table1[[#This Row],[Hair loss(Y/N)]])</f>
        <v>1</v>
      </c>
      <c r="BI139" s="4" t="str">
        <f>IF(AND(Table1[[#This Row],[Pregnant(Y/N)]]=0, Table1[[#This Row],[  I   beta-HCG(mIU/mL)]]&gt;5), "Investigation Required", "Clear")</f>
        <v>Clear</v>
      </c>
    </row>
    <row r="140" spans="1:61" ht="15.75" customHeight="1" x14ac:dyDescent="0.25">
      <c r="A140">
        <v>139</v>
      </c>
      <c r="B140">
        <v>139</v>
      </c>
      <c r="C140">
        <v>0</v>
      </c>
      <c r="D140" t="str">
        <f>IF(Table1[[#This Row],[PCOS (Y/N)]]=0,"NO","YES")</f>
        <v>NO</v>
      </c>
      <c r="E140">
        <v>27</v>
      </c>
      <c r="F140">
        <v>59</v>
      </c>
      <c r="G140">
        <v>160</v>
      </c>
      <c r="H140">
        <v>15</v>
      </c>
      <c r="I140">
        <v>70</v>
      </c>
      <c r="J140">
        <v>18</v>
      </c>
      <c r="K140">
        <v>10.8</v>
      </c>
      <c r="L140">
        <v>2</v>
      </c>
      <c r="M140">
        <v>5</v>
      </c>
      <c r="N140">
        <v>5</v>
      </c>
      <c r="O140">
        <v>1</v>
      </c>
      <c r="P140" t="str">
        <f>IF(Table1[[#This Row],[Pregnant(Y/N)]]=1,"YES","NO")</f>
        <v>YES</v>
      </c>
      <c r="Q140">
        <v>0</v>
      </c>
      <c r="R140">
        <v>21977.29</v>
      </c>
      <c r="S140">
        <v>16069.69</v>
      </c>
      <c r="T140">
        <v>3.14</v>
      </c>
      <c r="U140">
        <v>0.09</v>
      </c>
      <c r="V140">
        <f>Table1[[#This Row],[FSH(mIU/mL)]]/Table1[[#This Row],[LH(mIU/mL)]]</f>
        <v>34.888888888888893</v>
      </c>
      <c r="W140" t="str">
        <f>IF(Table1[[#This Row],[FSH/LH]]&gt;=2,"Abnormal","Normal")</f>
        <v>Abnormal</v>
      </c>
      <c r="X140">
        <v>40</v>
      </c>
      <c r="Y140">
        <v>34</v>
      </c>
      <c r="Z140">
        <f>ROUND(Table1[[#This Row],[Waist(inch)]]/Table1[[#This Row],[Hip(inch)]],2)</f>
        <v>0.85</v>
      </c>
      <c r="AA140">
        <v>0.04</v>
      </c>
      <c r="AB140">
        <v>4.5999999999999996</v>
      </c>
      <c r="AC140">
        <v>19.989999999999998</v>
      </c>
      <c r="AD140">
        <v>47</v>
      </c>
      <c r="AE140" t="str">
        <f>IF(Table1[[#This Row],[Vit D3 (ng/mL)]]&lt;20,"Deficiency","Normal")</f>
        <v>Normal</v>
      </c>
      <c r="AF140">
        <v>0.53</v>
      </c>
      <c r="AG140">
        <v>84</v>
      </c>
      <c r="AH140">
        <v>0</v>
      </c>
      <c r="AI140" t="str">
        <f>IF(Table1[[#This Row],[Weight gain(Y/N)]]=0,"NO","YES")</f>
        <v>NO</v>
      </c>
      <c r="AJ140">
        <v>0</v>
      </c>
      <c r="AK140" t="str">
        <f>IF(Table1[[#This Row],[hair growth(Y/N)]]=1,"YES","NO")</f>
        <v>NO</v>
      </c>
      <c r="AL140">
        <v>0</v>
      </c>
      <c r="AM140" t="str">
        <f>IF(Table1[[#This Row],[Skin darkening (Y/N)]]=1,"YES","NO")</f>
        <v>NO</v>
      </c>
      <c r="AN140">
        <v>1</v>
      </c>
      <c r="AO140" t="str">
        <f>IF(Table1[[#This Row],[Hair loss(Y/N)]]=1,"YES","NO")</f>
        <v>YES</v>
      </c>
      <c r="AP140">
        <v>1</v>
      </c>
      <c r="AQ140" t="str">
        <f>IF(Table1[[#This Row],[Pimples(Y/N)]]=1,"YES","NO")</f>
        <v>YES</v>
      </c>
      <c r="AR140">
        <v>0</v>
      </c>
      <c r="AS140" t="str">
        <f>IF(Table1[[#This Row],[Fast food (Y/N)]]=1,"YES","NO")</f>
        <v>NO</v>
      </c>
      <c r="AT140">
        <v>0</v>
      </c>
      <c r="AU140" t="str">
        <f>IF(Table1[[#This Row],[Reg.Exercise(Y/N)]]=1,"YES","NO")</f>
        <v>NO</v>
      </c>
      <c r="AV140">
        <v>110</v>
      </c>
      <c r="AW140">
        <v>70</v>
      </c>
      <c r="AX140">
        <v>8</v>
      </c>
      <c r="AY140">
        <v>5</v>
      </c>
      <c r="AZ140">
        <v>18</v>
      </c>
      <c r="BA140">
        <v>15</v>
      </c>
      <c r="BB140">
        <v>9</v>
      </c>
      <c r="BC140" t="str" cm="1">
        <f t="array" ref="BC140">_xlfn.IFS((F140/(G140*G140)*10000)&lt; 18.5,"Underweight",(F140/(G140*G140)*10000)&lt;24.9,"Normal",(F140/(G140*G140)*10000)&lt;29.9,"Overweight",(F140/(G140*G140)*10000)&gt;=30,"obesity")</f>
        <v>Normal</v>
      </c>
      <c r="BD140">
        <f>Table1[[#This Row],[Follicle No. (L)]]+Table1[[#This Row],[Follicle No. (R)]]</f>
        <v>13</v>
      </c>
      <c r="BE140">
        <f>Table1[[#This Row],[Avg. F size (L) (mm)]]+Table1[[#This Row],[Avg. F size (R) (mm)]]</f>
        <v>33</v>
      </c>
      <c r="BF140">
        <f>Table1[[#This Row],[BP _Diastolic (mmHg)]]+(Table1[[#This Row],[BP _Diastolic (mmHg)]]+Table1[[#This Row],[Follicle No. (L)]])/3</f>
        <v>96</v>
      </c>
      <c r="BG140" s="4" t="str" cm="1">
        <f t="array" ref="BG14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40" s="4">
        <f>SUM(Table1[[#This Row],[Pimples(Y/N)]],Table1[[#This Row],[hair growth(Y/N)]],Table1[[#This Row],[Skin darkening (Y/N)]],Table1[[#This Row],[Hair loss(Y/N)]])</f>
        <v>2</v>
      </c>
      <c r="BI140" s="4" t="str">
        <f>IF(AND(Table1[[#This Row],[Pregnant(Y/N)]]=0, Table1[[#This Row],[  I   beta-HCG(mIU/mL)]]&gt;5), "Investigation Required", "Clear")</f>
        <v>Clear</v>
      </c>
    </row>
    <row r="141" spans="1:61" ht="15.75" customHeight="1" x14ac:dyDescent="0.25">
      <c r="A141">
        <v>140</v>
      </c>
      <c r="B141">
        <v>140</v>
      </c>
      <c r="C141">
        <v>0</v>
      </c>
      <c r="D141" t="str">
        <f>IF(Table1[[#This Row],[PCOS (Y/N)]]=0,"NO","YES")</f>
        <v>NO</v>
      </c>
      <c r="E141">
        <v>35</v>
      </c>
      <c r="F141">
        <v>65</v>
      </c>
      <c r="G141">
        <v>154</v>
      </c>
      <c r="H141">
        <v>15</v>
      </c>
      <c r="I141">
        <v>72</v>
      </c>
      <c r="J141">
        <v>18</v>
      </c>
      <c r="K141">
        <v>10.7</v>
      </c>
      <c r="L141">
        <v>2</v>
      </c>
      <c r="M141">
        <v>5</v>
      </c>
      <c r="N141">
        <v>5</v>
      </c>
      <c r="O141">
        <v>0</v>
      </c>
      <c r="P141" t="str">
        <f>IF(Table1[[#This Row],[Pregnant(Y/N)]]=1,"YES","NO")</f>
        <v>NO</v>
      </c>
      <c r="Q141">
        <v>0</v>
      </c>
      <c r="R141">
        <v>1.99</v>
      </c>
      <c r="S141">
        <v>1.99</v>
      </c>
      <c r="T141">
        <v>2.36</v>
      </c>
      <c r="U141">
        <v>1.1599999999999999</v>
      </c>
      <c r="V141">
        <f>Table1[[#This Row],[FSH(mIU/mL)]]/Table1[[#This Row],[LH(mIU/mL)]]</f>
        <v>2.0344827586206895</v>
      </c>
      <c r="W141" t="str">
        <f>IF(Table1[[#This Row],[FSH/LH]]&gt;=2,"Abnormal","Normal")</f>
        <v>Abnormal</v>
      </c>
      <c r="X141">
        <v>38</v>
      </c>
      <c r="Y141">
        <v>30</v>
      </c>
      <c r="Z141">
        <f>ROUND(Table1[[#This Row],[Waist(inch)]]/Table1[[#This Row],[Hip(inch)]],2)</f>
        <v>0.79</v>
      </c>
      <c r="AA141">
        <v>3.85</v>
      </c>
      <c r="AB141">
        <v>17.100000000000001</v>
      </c>
      <c r="AC141">
        <v>6.6</v>
      </c>
      <c r="AD141">
        <v>25.8</v>
      </c>
      <c r="AE141" t="str">
        <f>IF(Table1[[#This Row],[Vit D3 (ng/mL)]]&lt;20,"Deficiency","Normal")</f>
        <v>Normal</v>
      </c>
      <c r="AF141">
        <v>0.44</v>
      </c>
      <c r="AG141">
        <v>120</v>
      </c>
      <c r="AH141">
        <v>0</v>
      </c>
      <c r="AI141" t="str">
        <f>IF(Table1[[#This Row],[Weight gain(Y/N)]]=0,"NO","YES")</f>
        <v>NO</v>
      </c>
      <c r="AJ141">
        <v>0</v>
      </c>
      <c r="AK141" t="str">
        <f>IF(Table1[[#This Row],[hair growth(Y/N)]]=1,"YES","NO")</f>
        <v>NO</v>
      </c>
      <c r="AL141">
        <v>0</v>
      </c>
      <c r="AM141" t="str">
        <f>IF(Table1[[#This Row],[Skin darkening (Y/N)]]=1,"YES","NO")</f>
        <v>NO</v>
      </c>
      <c r="AN141">
        <v>0</v>
      </c>
      <c r="AO141" t="str">
        <f>IF(Table1[[#This Row],[Hair loss(Y/N)]]=1,"YES","NO")</f>
        <v>NO</v>
      </c>
      <c r="AP141">
        <v>0</v>
      </c>
      <c r="AQ141" t="str">
        <f>IF(Table1[[#This Row],[Pimples(Y/N)]]=1,"YES","NO")</f>
        <v>NO</v>
      </c>
      <c r="AR141">
        <v>0</v>
      </c>
      <c r="AS141" t="str">
        <f>IF(Table1[[#This Row],[Fast food (Y/N)]]=1,"YES","NO")</f>
        <v>NO</v>
      </c>
      <c r="AT141">
        <v>0</v>
      </c>
      <c r="AU141" t="str">
        <f>IF(Table1[[#This Row],[Reg.Exercise(Y/N)]]=1,"YES","NO")</f>
        <v>NO</v>
      </c>
      <c r="AV141">
        <v>120</v>
      </c>
      <c r="AW141">
        <v>70</v>
      </c>
      <c r="AX141">
        <v>5</v>
      </c>
      <c r="AY141">
        <v>7</v>
      </c>
      <c r="AZ141">
        <v>15</v>
      </c>
      <c r="BA141">
        <v>13</v>
      </c>
      <c r="BB141">
        <v>8.5</v>
      </c>
      <c r="BC141" t="str" cm="1">
        <f t="array" ref="BC141">_xlfn.IFS((F141/(G141*G141)*10000)&lt; 18.5,"Underweight",(F141/(G141*G141)*10000)&lt;24.9,"Normal",(F141/(G141*G141)*10000)&lt;29.9,"Overweight",(F141/(G141*G141)*10000)&gt;=30,"obesity")</f>
        <v>Overweight</v>
      </c>
      <c r="BD141">
        <f>Table1[[#This Row],[Follicle No. (L)]]+Table1[[#This Row],[Follicle No. (R)]]</f>
        <v>12</v>
      </c>
      <c r="BE141">
        <f>Table1[[#This Row],[Avg. F size (L) (mm)]]+Table1[[#This Row],[Avg. F size (R) (mm)]]</f>
        <v>28</v>
      </c>
      <c r="BF141">
        <f>Table1[[#This Row],[BP _Diastolic (mmHg)]]+(Table1[[#This Row],[BP _Diastolic (mmHg)]]+Table1[[#This Row],[Follicle No. (L)]])/3</f>
        <v>95</v>
      </c>
      <c r="BG141" s="4" t="str" cm="1">
        <f t="array" ref="BG14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41" s="4">
        <f>SUM(Table1[[#This Row],[Pimples(Y/N)]],Table1[[#This Row],[hair growth(Y/N)]],Table1[[#This Row],[Skin darkening (Y/N)]],Table1[[#This Row],[Hair loss(Y/N)]])</f>
        <v>0</v>
      </c>
      <c r="BI141" s="4" t="str">
        <f>IF(AND(Table1[[#This Row],[Pregnant(Y/N)]]=0, Table1[[#This Row],[  I   beta-HCG(mIU/mL)]]&gt;5), "Investigation Required", "Clear")</f>
        <v>Clear</v>
      </c>
    </row>
    <row r="142" spans="1:61" ht="15.75" customHeight="1" x14ac:dyDescent="0.25">
      <c r="A142">
        <v>141</v>
      </c>
      <c r="B142">
        <v>141</v>
      </c>
      <c r="C142">
        <v>0</v>
      </c>
      <c r="D142" t="str">
        <f>IF(Table1[[#This Row],[PCOS (Y/N)]]=0,"NO","YES")</f>
        <v>NO</v>
      </c>
      <c r="E142">
        <v>36</v>
      </c>
      <c r="F142">
        <v>51</v>
      </c>
      <c r="G142">
        <v>150</v>
      </c>
      <c r="H142">
        <v>13</v>
      </c>
      <c r="I142">
        <v>72</v>
      </c>
      <c r="J142">
        <v>18</v>
      </c>
      <c r="K142">
        <v>10.199999999999999</v>
      </c>
      <c r="L142">
        <v>2</v>
      </c>
      <c r="M142">
        <v>5</v>
      </c>
      <c r="N142">
        <v>8</v>
      </c>
      <c r="O142">
        <v>0</v>
      </c>
      <c r="P142" t="str">
        <f>IF(Table1[[#This Row],[Pregnant(Y/N)]]=1,"YES","NO")</f>
        <v>NO</v>
      </c>
      <c r="Q142">
        <v>0</v>
      </c>
      <c r="R142">
        <v>3.41</v>
      </c>
      <c r="S142">
        <v>57.08</v>
      </c>
      <c r="T142">
        <v>7.92</v>
      </c>
      <c r="U142">
        <v>1.03</v>
      </c>
      <c r="V142">
        <f>Table1[[#This Row],[FSH(mIU/mL)]]/Table1[[#This Row],[LH(mIU/mL)]]</f>
        <v>7.6893203883495147</v>
      </c>
      <c r="W142" t="str">
        <f>IF(Table1[[#This Row],[FSH/LH]]&gt;=2,"Abnormal","Normal")</f>
        <v>Abnormal</v>
      </c>
      <c r="X142">
        <v>37</v>
      </c>
      <c r="Y142">
        <v>30</v>
      </c>
      <c r="Z142">
        <f>ROUND(Table1[[#This Row],[Waist(inch)]]/Table1[[#This Row],[Hip(inch)]],2)</f>
        <v>0.81</v>
      </c>
      <c r="AA142">
        <v>4.04</v>
      </c>
      <c r="AB142">
        <v>2.1</v>
      </c>
      <c r="AC142">
        <v>27.85</v>
      </c>
      <c r="AD142">
        <v>26.5</v>
      </c>
      <c r="AE142" t="str">
        <f>IF(Table1[[#This Row],[Vit D3 (ng/mL)]]&lt;20,"Deficiency","Normal")</f>
        <v>Normal</v>
      </c>
      <c r="AF142">
        <v>0.5</v>
      </c>
      <c r="AG142">
        <v>92</v>
      </c>
      <c r="AH142">
        <v>1</v>
      </c>
      <c r="AI142" t="str">
        <f>IF(Table1[[#This Row],[Weight gain(Y/N)]]=0,"NO","YES")</f>
        <v>YES</v>
      </c>
      <c r="AJ142">
        <v>0</v>
      </c>
      <c r="AK142" t="str">
        <f>IF(Table1[[#This Row],[hair growth(Y/N)]]=1,"YES","NO")</f>
        <v>NO</v>
      </c>
      <c r="AL142">
        <v>1</v>
      </c>
      <c r="AM142" t="str">
        <f>IF(Table1[[#This Row],[Skin darkening (Y/N)]]=1,"YES","NO")</f>
        <v>YES</v>
      </c>
      <c r="AN142">
        <v>0</v>
      </c>
      <c r="AO142" t="str">
        <f>IF(Table1[[#This Row],[Hair loss(Y/N)]]=1,"YES","NO")</f>
        <v>NO</v>
      </c>
      <c r="AP142">
        <v>0</v>
      </c>
      <c r="AQ142" t="str">
        <f>IF(Table1[[#This Row],[Pimples(Y/N)]]=1,"YES","NO")</f>
        <v>NO</v>
      </c>
      <c r="AR142">
        <v>0</v>
      </c>
      <c r="AS142" t="str">
        <f>IF(Table1[[#This Row],[Fast food (Y/N)]]=1,"YES","NO")</f>
        <v>NO</v>
      </c>
      <c r="AT142">
        <v>1</v>
      </c>
      <c r="AU142" t="str">
        <f>IF(Table1[[#This Row],[Reg.Exercise(Y/N)]]=1,"YES","NO")</f>
        <v>YES</v>
      </c>
      <c r="AV142">
        <v>110</v>
      </c>
      <c r="AW142">
        <v>80</v>
      </c>
      <c r="AX142">
        <v>3</v>
      </c>
      <c r="AY142">
        <v>2</v>
      </c>
      <c r="AZ142">
        <v>9</v>
      </c>
      <c r="BA142">
        <v>18</v>
      </c>
      <c r="BB142">
        <v>9</v>
      </c>
      <c r="BC142" t="str" cm="1">
        <f t="array" ref="BC142">_xlfn.IFS((F142/(G142*G142)*10000)&lt; 18.5,"Underweight",(F142/(G142*G142)*10000)&lt;24.9,"Normal",(F142/(G142*G142)*10000)&lt;29.9,"Overweight",(F142/(G142*G142)*10000)&gt;=30,"obesity")</f>
        <v>Normal</v>
      </c>
      <c r="BD142">
        <f>Table1[[#This Row],[Follicle No. (L)]]+Table1[[#This Row],[Follicle No. (R)]]</f>
        <v>5</v>
      </c>
      <c r="BE142">
        <f>Table1[[#This Row],[Avg. F size (L) (mm)]]+Table1[[#This Row],[Avg. F size (R) (mm)]]</f>
        <v>27</v>
      </c>
      <c r="BF142">
        <f>Table1[[#This Row],[BP _Diastolic (mmHg)]]+(Table1[[#This Row],[BP _Diastolic (mmHg)]]+Table1[[#This Row],[Follicle No. (L)]])/3</f>
        <v>107.66666666666667</v>
      </c>
      <c r="BG142" s="4" t="str" cm="1">
        <f t="array" ref="BG14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42" s="4">
        <f>SUM(Table1[[#This Row],[Pimples(Y/N)]],Table1[[#This Row],[hair growth(Y/N)]],Table1[[#This Row],[Skin darkening (Y/N)]],Table1[[#This Row],[Hair loss(Y/N)]])</f>
        <v>1</v>
      </c>
      <c r="BI142" s="4" t="str">
        <f>IF(AND(Table1[[#This Row],[Pregnant(Y/N)]]=0, Table1[[#This Row],[  I   beta-HCG(mIU/mL)]]&gt;5), "Investigation Required", "Clear")</f>
        <v>Clear</v>
      </c>
    </row>
    <row r="143" spans="1:61" ht="15.75" customHeight="1" x14ac:dyDescent="0.25">
      <c r="A143">
        <v>142</v>
      </c>
      <c r="B143">
        <v>142</v>
      </c>
      <c r="C143">
        <v>1</v>
      </c>
      <c r="D143" t="str">
        <f>IF(Table1[[#This Row],[PCOS (Y/N)]]=0,"NO","YES")</f>
        <v>YES</v>
      </c>
      <c r="E143">
        <v>28</v>
      </c>
      <c r="F143">
        <v>57</v>
      </c>
      <c r="G143">
        <v>158</v>
      </c>
      <c r="H143">
        <v>15</v>
      </c>
      <c r="I143">
        <v>74</v>
      </c>
      <c r="J143">
        <v>22</v>
      </c>
      <c r="K143">
        <v>10.8</v>
      </c>
      <c r="L143">
        <v>2</v>
      </c>
      <c r="M143">
        <v>5</v>
      </c>
      <c r="N143">
        <v>5</v>
      </c>
      <c r="O143">
        <v>0</v>
      </c>
      <c r="P143" t="str">
        <f>IF(Table1[[#This Row],[Pregnant(Y/N)]]=1,"YES","NO")</f>
        <v>NO</v>
      </c>
      <c r="Q143">
        <v>0</v>
      </c>
      <c r="R143">
        <v>1.99</v>
      </c>
      <c r="S143">
        <v>1.99</v>
      </c>
      <c r="T143">
        <v>2.81</v>
      </c>
      <c r="U143">
        <v>3.27</v>
      </c>
      <c r="V143">
        <f>Table1[[#This Row],[FSH(mIU/mL)]]/Table1[[#This Row],[LH(mIU/mL)]]</f>
        <v>0.85932721712538229</v>
      </c>
      <c r="W143" t="str">
        <f>IF(Table1[[#This Row],[FSH/LH]]&gt;=2,"Abnormal","Normal")</f>
        <v>Normal</v>
      </c>
      <c r="X143">
        <v>42</v>
      </c>
      <c r="Y143">
        <v>33</v>
      </c>
      <c r="Z143">
        <f>ROUND(Table1[[#This Row],[Waist(inch)]]/Table1[[#This Row],[Hip(inch)]],2)</f>
        <v>0.79</v>
      </c>
      <c r="AA143">
        <v>5</v>
      </c>
      <c r="AB143">
        <v>11.6</v>
      </c>
      <c r="AC143">
        <v>16.98</v>
      </c>
      <c r="AD143">
        <v>19.899999999999999</v>
      </c>
      <c r="AE143" t="str">
        <f>IF(Table1[[#This Row],[Vit D3 (ng/mL)]]&lt;20,"Deficiency","Normal")</f>
        <v>Deficiency</v>
      </c>
      <c r="AF143">
        <v>0.25</v>
      </c>
      <c r="AG143">
        <v>92</v>
      </c>
      <c r="AH143">
        <v>1</v>
      </c>
      <c r="AI143" t="str">
        <f>IF(Table1[[#This Row],[Weight gain(Y/N)]]=0,"NO","YES")</f>
        <v>YES</v>
      </c>
      <c r="AJ143">
        <v>0</v>
      </c>
      <c r="AK143" t="str">
        <f>IF(Table1[[#This Row],[hair growth(Y/N)]]=1,"YES","NO")</f>
        <v>NO</v>
      </c>
      <c r="AL143">
        <v>1</v>
      </c>
      <c r="AM143" t="str">
        <f>IF(Table1[[#This Row],[Skin darkening (Y/N)]]=1,"YES","NO")</f>
        <v>YES</v>
      </c>
      <c r="AN143">
        <v>0</v>
      </c>
      <c r="AO143" t="str">
        <f>IF(Table1[[#This Row],[Hair loss(Y/N)]]=1,"YES","NO")</f>
        <v>NO</v>
      </c>
      <c r="AP143">
        <v>1</v>
      </c>
      <c r="AQ143" t="str">
        <f>IF(Table1[[#This Row],[Pimples(Y/N)]]=1,"YES","NO")</f>
        <v>YES</v>
      </c>
      <c r="AR143">
        <v>1</v>
      </c>
      <c r="AS143" t="str">
        <f>IF(Table1[[#This Row],[Fast food (Y/N)]]=1,"YES","NO")</f>
        <v>YES</v>
      </c>
      <c r="AT143">
        <v>1</v>
      </c>
      <c r="AU143" t="str">
        <f>IF(Table1[[#This Row],[Reg.Exercise(Y/N)]]=1,"YES","NO")</f>
        <v>YES</v>
      </c>
      <c r="AV143">
        <v>110</v>
      </c>
      <c r="AW143">
        <v>70</v>
      </c>
      <c r="AX143">
        <v>13</v>
      </c>
      <c r="AY143">
        <v>12</v>
      </c>
      <c r="AZ143">
        <v>16</v>
      </c>
      <c r="BA143">
        <v>18</v>
      </c>
      <c r="BB143">
        <v>11</v>
      </c>
      <c r="BC143" t="str" cm="1">
        <f t="array" ref="BC143">_xlfn.IFS((F143/(G143*G143)*10000)&lt; 18.5,"Underweight",(F143/(G143*G143)*10000)&lt;24.9,"Normal",(F143/(G143*G143)*10000)&lt;29.9,"Overweight",(F143/(G143*G143)*10000)&gt;=30,"obesity")</f>
        <v>Normal</v>
      </c>
      <c r="BD143">
        <f>Table1[[#This Row],[Follicle No. (L)]]+Table1[[#This Row],[Follicle No. (R)]]</f>
        <v>25</v>
      </c>
      <c r="BE143">
        <f>Table1[[#This Row],[Avg. F size (L) (mm)]]+Table1[[#This Row],[Avg. F size (R) (mm)]]</f>
        <v>34</v>
      </c>
      <c r="BF143">
        <f>Table1[[#This Row],[BP _Diastolic (mmHg)]]+(Table1[[#This Row],[BP _Diastolic (mmHg)]]+Table1[[#This Row],[Follicle No. (L)]])/3</f>
        <v>97.666666666666671</v>
      </c>
      <c r="BG143" s="4" t="str" cm="1">
        <f t="array" ref="BG14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43" s="4">
        <f>SUM(Table1[[#This Row],[Pimples(Y/N)]],Table1[[#This Row],[hair growth(Y/N)]],Table1[[#This Row],[Skin darkening (Y/N)]],Table1[[#This Row],[Hair loss(Y/N)]])</f>
        <v>2</v>
      </c>
      <c r="BI143" s="4" t="str">
        <f>IF(AND(Table1[[#This Row],[Pregnant(Y/N)]]=0, Table1[[#This Row],[  I   beta-HCG(mIU/mL)]]&gt;5), "Investigation Required", "Clear")</f>
        <v>Clear</v>
      </c>
    </row>
    <row r="144" spans="1:61" ht="15.75" customHeight="1" x14ac:dyDescent="0.25">
      <c r="A144">
        <v>143</v>
      </c>
      <c r="B144">
        <v>143</v>
      </c>
      <c r="C144">
        <v>1</v>
      </c>
      <c r="D144" t="str">
        <f>IF(Table1[[#This Row],[PCOS (Y/N)]]=0,"NO","YES")</f>
        <v>YES</v>
      </c>
      <c r="E144">
        <v>30</v>
      </c>
      <c r="F144">
        <v>69</v>
      </c>
      <c r="G144">
        <v>158</v>
      </c>
      <c r="H144">
        <v>13</v>
      </c>
      <c r="I144">
        <v>72</v>
      </c>
      <c r="J144">
        <v>18</v>
      </c>
      <c r="K144">
        <v>10.4</v>
      </c>
      <c r="L144">
        <v>4</v>
      </c>
      <c r="M144">
        <v>11</v>
      </c>
      <c r="N144">
        <v>14</v>
      </c>
      <c r="O144">
        <v>0</v>
      </c>
      <c r="P144" t="str">
        <f>IF(Table1[[#This Row],[Pregnant(Y/N)]]=1,"YES","NO")</f>
        <v>NO</v>
      </c>
      <c r="Q144">
        <v>0</v>
      </c>
      <c r="R144">
        <v>1.99</v>
      </c>
      <c r="S144">
        <v>1.99</v>
      </c>
      <c r="T144">
        <v>6.4</v>
      </c>
      <c r="U144">
        <v>3.27</v>
      </c>
      <c r="V144">
        <f>Table1[[#This Row],[FSH(mIU/mL)]]/Table1[[#This Row],[LH(mIU/mL)]]</f>
        <v>1.9571865443425078</v>
      </c>
      <c r="W144" t="str">
        <f>IF(Table1[[#This Row],[FSH/LH]]&gt;=2,"Abnormal","Normal")</f>
        <v>Normal</v>
      </c>
      <c r="X144">
        <v>42</v>
      </c>
      <c r="Y144">
        <v>32</v>
      </c>
      <c r="Z144">
        <f>ROUND(Table1[[#This Row],[Waist(inch)]]/Table1[[#This Row],[Hip(inch)]],2)</f>
        <v>0.76</v>
      </c>
      <c r="AA144">
        <v>4.18</v>
      </c>
      <c r="AB144">
        <v>18.399999999999999</v>
      </c>
      <c r="AC144">
        <v>23.17</v>
      </c>
      <c r="AD144">
        <v>41.8</v>
      </c>
      <c r="AE144" t="str">
        <f>IF(Table1[[#This Row],[Vit D3 (ng/mL)]]&lt;20,"Deficiency","Normal")</f>
        <v>Normal</v>
      </c>
      <c r="AF144">
        <v>0.46</v>
      </c>
      <c r="AG144">
        <v>100</v>
      </c>
      <c r="AH144">
        <v>1</v>
      </c>
      <c r="AI144" t="str">
        <f>IF(Table1[[#This Row],[Weight gain(Y/N)]]=0,"NO","YES")</f>
        <v>YES</v>
      </c>
      <c r="AJ144">
        <v>1</v>
      </c>
      <c r="AK144" t="str">
        <f>IF(Table1[[#This Row],[hair growth(Y/N)]]=1,"YES","NO")</f>
        <v>YES</v>
      </c>
      <c r="AL144">
        <v>0</v>
      </c>
      <c r="AM144" t="str">
        <f>IF(Table1[[#This Row],[Skin darkening (Y/N)]]=1,"YES","NO")</f>
        <v>NO</v>
      </c>
      <c r="AN144">
        <v>1</v>
      </c>
      <c r="AO144" t="str">
        <f>IF(Table1[[#This Row],[Hair loss(Y/N)]]=1,"YES","NO")</f>
        <v>YES</v>
      </c>
      <c r="AP144">
        <v>1</v>
      </c>
      <c r="AQ144" t="str">
        <f>IF(Table1[[#This Row],[Pimples(Y/N)]]=1,"YES","NO")</f>
        <v>YES</v>
      </c>
      <c r="AR144">
        <v>1</v>
      </c>
      <c r="AS144" t="str">
        <f>IF(Table1[[#This Row],[Fast food (Y/N)]]=1,"YES","NO")</f>
        <v>YES</v>
      </c>
      <c r="AT144">
        <v>1</v>
      </c>
      <c r="AU144" t="str">
        <f>IF(Table1[[#This Row],[Reg.Exercise(Y/N)]]=1,"YES","NO")</f>
        <v>YES</v>
      </c>
      <c r="AV144">
        <v>110</v>
      </c>
      <c r="AW144">
        <v>70</v>
      </c>
      <c r="AX144">
        <v>6</v>
      </c>
      <c r="AY144">
        <v>7</v>
      </c>
      <c r="AZ144">
        <v>18.5</v>
      </c>
      <c r="BA144">
        <v>16</v>
      </c>
      <c r="BB144">
        <v>8</v>
      </c>
      <c r="BC144" t="str" cm="1">
        <f t="array" ref="BC144">_xlfn.IFS((F144/(G144*G144)*10000)&lt; 18.5,"Underweight",(F144/(G144*G144)*10000)&lt;24.9,"Normal",(F144/(G144*G144)*10000)&lt;29.9,"Overweight",(F144/(G144*G144)*10000)&gt;=30,"obesity")</f>
        <v>Overweight</v>
      </c>
      <c r="BD144">
        <f>Table1[[#This Row],[Follicle No. (L)]]+Table1[[#This Row],[Follicle No. (R)]]</f>
        <v>13</v>
      </c>
      <c r="BE144">
        <f>Table1[[#This Row],[Avg. F size (L) (mm)]]+Table1[[#This Row],[Avg. F size (R) (mm)]]</f>
        <v>34.5</v>
      </c>
      <c r="BF144">
        <f>Table1[[#This Row],[BP _Diastolic (mmHg)]]+(Table1[[#This Row],[BP _Diastolic (mmHg)]]+Table1[[#This Row],[Follicle No. (L)]])/3</f>
        <v>95.333333333333329</v>
      </c>
      <c r="BG144" s="4" t="str" cm="1">
        <f t="array" ref="BG14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44" s="4">
        <f>SUM(Table1[[#This Row],[Pimples(Y/N)]],Table1[[#This Row],[hair growth(Y/N)]],Table1[[#This Row],[Skin darkening (Y/N)]],Table1[[#This Row],[Hair loss(Y/N)]])</f>
        <v>3</v>
      </c>
      <c r="BI144" s="4" t="str">
        <f>IF(AND(Table1[[#This Row],[Pregnant(Y/N)]]=0, Table1[[#This Row],[  I   beta-HCG(mIU/mL)]]&gt;5), "Investigation Required", "Clear")</f>
        <v>Clear</v>
      </c>
    </row>
    <row r="145" spans="1:61" ht="15.75" customHeight="1" x14ac:dyDescent="0.25">
      <c r="A145">
        <v>144</v>
      </c>
      <c r="B145">
        <v>144</v>
      </c>
      <c r="C145">
        <v>0</v>
      </c>
      <c r="D145" t="str">
        <f>IF(Table1[[#This Row],[PCOS (Y/N)]]=0,"NO","YES")</f>
        <v>NO</v>
      </c>
      <c r="E145">
        <v>32</v>
      </c>
      <c r="F145">
        <v>45</v>
      </c>
      <c r="G145">
        <v>150</v>
      </c>
      <c r="H145">
        <v>15</v>
      </c>
      <c r="I145">
        <v>70</v>
      </c>
      <c r="J145">
        <v>18</v>
      </c>
      <c r="K145">
        <v>10.8</v>
      </c>
      <c r="L145">
        <v>2</v>
      </c>
      <c r="M145">
        <v>5</v>
      </c>
      <c r="N145">
        <v>7</v>
      </c>
      <c r="O145">
        <v>0</v>
      </c>
      <c r="P145" t="str">
        <f>IF(Table1[[#This Row],[Pregnant(Y/N)]]=1,"YES","NO")</f>
        <v>NO</v>
      </c>
      <c r="Q145">
        <v>0</v>
      </c>
      <c r="R145">
        <v>1.99</v>
      </c>
      <c r="S145">
        <v>1.99</v>
      </c>
      <c r="T145">
        <v>11.12</v>
      </c>
      <c r="U145">
        <v>4.22</v>
      </c>
      <c r="V145">
        <f>Table1[[#This Row],[FSH(mIU/mL)]]/Table1[[#This Row],[LH(mIU/mL)]]</f>
        <v>2.6350710900473935</v>
      </c>
      <c r="W145" t="str">
        <f>IF(Table1[[#This Row],[FSH/LH]]&gt;=2,"Abnormal","Normal")</f>
        <v>Abnormal</v>
      </c>
      <c r="X145">
        <v>38</v>
      </c>
      <c r="Y145">
        <v>31</v>
      </c>
      <c r="Z145">
        <f>ROUND(Table1[[#This Row],[Waist(inch)]]/Table1[[#This Row],[Hip(inch)]],2)</f>
        <v>0.82</v>
      </c>
      <c r="AA145">
        <v>0.9</v>
      </c>
      <c r="AB145">
        <v>1.8</v>
      </c>
      <c r="AC145">
        <v>3.81</v>
      </c>
      <c r="AD145">
        <v>27.9</v>
      </c>
      <c r="AE145" t="str">
        <f>IF(Table1[[#This Row],[Vit D3 (ng/mL)]]&lt;20,"Deficiency","Normal")</f>
        <v>Normal</v>
      </c>
      <c r="AF145">
        <v>0.25</v>
      </c>
      <c r="AG145">
        <v>110</v>
      </c>
      <c r="AH145">
        <v>0</v>
      </c>
      <c r="AI145" t="str">
        <f>IF(Table1[[#This Row],[Weight gain(Y/N)]]=0,"NO","YES")</f>
        <v>NO</v>
      </c>
      <c r="AJ145">
        <v>0</v>
      </c>
      <c r="AK145" t="str">
        <f>IF(Table1[[#This Row],[hair growth(Y/N)]]=1,"YES","NO")</f>
        <v>NO</v>
      </c>
      <c r="AL145">
        <v>0</v>
      </c>
      <c r="AM145" t="str">
        <f>IF(Table1[[#This Row],[Skin darkening (Y/N)]]=1,"YES","NO")</f>
        <v>NO</v>
      </c>
      <c r="AN145">
        <v>0</v>
      </c>
      <c r="AO145" t="str">
        <f>IF(Table1[[#This Row],[Hair loss(Y/N)]]=1,"YES","NO")</f>
        <v>NO</v>
      </c>
      <c r="AP145">
        <v>0</v>
      </c>
      <c r="AQ145" t="str">
        <f>IF(Table1[[#This Row],[Pimples(Y/N)]]=1,"YES","NO")</f>
        <v>NO</v>
      </c>
      <c r="AR145">
        <v>1</v>
      </c>
      <c r="AS145" t="str">
        <f>IF(Table1[[#This Row],[Fast food (Y/N)]]=1,"YES","NO")</f>
        <v>YES</v>
      </c>
      <c r="AT145">
        <v>1</v>
      </c>
      <c r="AU145" t="str">
        <f>IF(Table1[[#This Row],[Reg.Exercise(Y/N)]]=1,"YES","NO")</f>
        <v>YES</v>
      </c>
      <c r="AV145">
        <v>110</v>
      </c>
      <c r="AW145">
        <v>80</v>
      </c>
      <c r="AX145">
        <v>0</v>
      </c>
      <c r="AY145">
        <v>5</v>
      </c>
      <c r="AZ145">
        <v>0</v>
      </c>
      <c r="BA145">
        <v>19</v>
      </c>
      <c r="BB145">
        <v>7</v>
      </c>
      <c r="BC145" t="str" cm="1">
        <f t="array" ref="BC145">_xlfn.IFS((F145/(G145*G145)*10000)&lt; 18.5,"Underweight",(F145/(G145*G145)*10000)&lt;24.9,"Normal",(F145/(G145*G145)*10000)&lt;29.9,"Overweight",(F145/(G145*G145)*10000)&gt;=30,"obesity")</f>
        <v>Normal</v>
      </c>
      <c r="BD145">
        <f>Table1[[#This Row],[Follicle No. (L)]]+Table1[[#This Row],[Follicle No. (R)]]</f>
        <v>5</v>
      </c>
      <c r="BE145">
        <f>Table1[[#This Row],[Avg. F size (L) (mm)]]+Table1[[#This Row],[Avg. F size (R) (mm)]]</f>
        <v>19</v>
      </c>
      <c r="BF145">
        <f>Table1[[#This Row],[BP _Diastolic (mmHg)]]+(Table1[[#This Row],[BP _Diastolic (mmHg)]]+Table1[[#This Row],[Follicle No. (L)]])/3</f>
        <v>106.66666666666667</v>
      </c>
      <c r="BG145" s="4" t="str" cm="1">
        <f t="array" ref="BG14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45" s="4">
        <f>SUM(Table1[[#This Row],[Pimples(Y/N)]],Table1[[#This Row],[hair growth(Y/N)]],Table1[[#This Row],[Skin darkening (Y/N)]],Table1[[#This Row],[Hair loss(Y/N)]])</f>
        <v>0</v>
      </c>
      <c r="BI145" s="4" t="str">
        <f>IF(AND(Table1[[#This Row],[Pregnant(Y/N)]]=0, Table1[[#This Row],[  I   beta-HCG(mIU/mL)]]&gt;5), "Investigation Required", "Clear")</f>
        <v>Clear</v>
      </c>
    </row>
    <row r="146" spans="1:61" ht="15.75" customHeight="1" x14ac:dyDescent="0.25">
      <c r="A146">
        <v>145</v>
      </c>
      <c r="B146">
        <v>145</v>
      </c>
      <c r="C146">
        <v>0</v>
      </c>
      <c r="D146" t="str">
        <f>IF(Table1[[#This Row],[PCOS (Y/N)]]=0,"NO","YES")</f>
        <v>NO</v>
      </c>
      <c r="E146">
        <v>37</v>
      </c>
      <c r="F146">
        <v>68</v>
      </c>
      <c r="G146">
        <v>153</v>
      </c>
      <c r="H146">
        <v>15</v>
      </c>
      <c r="I146">
        <v>80</v>
      </c>
      <c r="J146">
        <v>22</v>
      </c>
      <c r="K146">
        <v>11.2</v>
      </c>
      <c r="L146">
        <v>2</v>
      </c>
      <c r="M146">
        <v>5</v>
      </c>
      <c r="N146">
        <v>14</v>
      </c>
      <c r="O146">
        <v>0</v>
      </c>
      <c r="P146" t="str">
        <f>IF(Table1[[#This Row],[Pregnant(Y/N)]]=1,"YES","NO")</f>
        <v>NO</v>
      </c>
      <c r="Q146">
        <v>0</v>
      </c>
      <c r="R146">
        <v>1.99</v>
      </c>
      <c r="S146">
        <v>1.99</v>
      </c>
      <c r="T146">
        <v>4.1900000000000004</v>
      </c>
      <c r="U146">
        <v>1.49</v>
      </c>
      <c r="V146">
        <f>Table1[[#This Row],[FSH(mIU/mL)]]/Table1[[#This Row],[LH(mIU/mL)]]</f>
        <v>2.8120805369127519</v>
      </c>
      <c r="W146" t="str">
        <f>IF(Table1[[#This Row],[FSH/LH]]&gt;=2,"Abnormal","Normal")</f>
        <v>Abnormal</v>
      </c>
      <c r="X146">
        <v>37</v>
      </c>
      <c r="Y146">
        <v>30</v>
      </c>
      <c r="Z146">
        <f>ROUND(Table1[[#This Row],[Waist(inch)]]/Table1[[#This Row],[Hip(inch)]],2)</f>
        <v>0.81</v>
      </c>
      <c r="AA146">
        <v>1.4</v>
      </c>
      <c r="AB146">
        <v>9.9</v>
      </c>
      <c r="AC146">
        <v>10.01</v>
      </c>
      <c r="AD146">
        <v>23.5</v>
      </c>
      <c r="AE146" t="str">
        <f>IF(Table1[[#This Row],[Vit D3 (ng/mL)]]&lt;20,"Deficiency","Normal")</f>
        <v>Normal</v>
      </c>
      <c r="AF146">
        <v>0.57999999999999996</v>
      </c>
      <c r="AG146">
        <v>130</v>
      </c>
      <c r="AH146">
        <v>0</v>
      </c>
      <c r="AI146" t="str">
        <f>IF(Table1[[#This Row],[Weight gain(Y/N)]]=0,"NO","YES")</f>
        <v>NO</v>
      </c>
      <c r="AJ146">
        <v>0</v>
      </c>
      <c r="AK146" t="str">
        <f>IF(Table1[[#This Row],[hair growth(Y/N)]]=1,"YES","NO")</f>
        <v>NO</v>
      </c>
      <c r="AL146">
        <v>0</v>
      </c>
      <c r="AM146" t="str">
        <f>IF(Table1[[#This Row],[Skin darkening (Y/N)]]=1,"YES","NO")</f>
        <v>NO</v>
      </c>
      <c r="AN146">
        <v>1</v>
      </c>
      <c r="AO146" t="str">
        <f>IF(Table1[[#This Row],[Hair loss(Y/N)]]=1,"YES","NO")</f>
        <v>YES</v>
      </c>
      <c r="AP146">
        <v>0</v>
      </c>
      <c r="AQ146" t="str">
        <f>IF(Table1[[#This Row],[Pimples(Y/N)]]=1,"YES","NO")</f>
        <v>NO</v>
      </c>
      <c r="AR146">
        <v>1</v>
      </c>
      <c r="AS146" t="str">
        <f>IF(Table1[[#This Row],[Fast food (Y/N)]]=1,"YES","NO")</f>
        <v>YES</v>
      </c>
      <c r="AT146">
        <v>1</v>
      </c>
      <c r="AU146" t="str">
        <f>IF(Table1[[#This Row],[Reg.Exercise(Y/N)]]=1,"YES","NO")</f>
        <v>YES</v>
      </c>
      <c r="AV146">
        <v>120</v>
      </c>
      <c r="AW146">
        <v>80</v>
      </c>
      <c r="AX146">
        <v>3</v>
      </c>
      <c r="AY146">
        <v>3</v>
      </c>
      <c r="AZ146">
        <v>21</v>
      </c>
      <c r="BA146">
        <v>18</v>
      </c>
      <c r="BB146">
        <v>9.3000000000000007</v>
      </c>
      <c r="BC146" t="str" cm="1">
        <f t="array" ref="BC146">_xlfn.IFS((F146/(G146*G146)*10000)&lt; 18.5,"Underweight",(F146/(G146*G146)*10000)&lt;24.9,"Normal",(F146/(G146*G146)*10000)&lt;29.9,"Overweight",(F146/(G146*G146)*10000)&gt;=30,"obesity")</f>
        <v>Overweight</v>
      </c>
      <c r="BD146">
        <f>Table1[[#This Row],[Follicle No. (L)]]+Table1[[#This Row],[Follicle No. (R)]]</f>
        <v>6</v>
      </c>
      <c r="BE146">
        <f>Table1[[#This Row],[Avg. F size (L) (mm)]]+Table1[[#This Row],[Avg. F size (R) (mm)]]</f>
        <v>39</v>
      </c>
      <c r="BF146">
        <f>Table1[[#This Row],[BP _Diastolic (mmHg)]]+(Table1[[#This Row],[BP _Diastolic (mmHg)]]+Table1[[#This Row],[Follicle No. (L)]])/3</f>
        <v>107.66666666666667</v>
      </c>
      <c r="BG146" s="4" t="str" cm="1">
        <f t="array" ref="BG14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46" s="4">
        <f>SUM(Table1[[#This Row],[Pimples(Y/N)]],Table1[[#This Row],[hair growth(Y/N)]],Table1[[#This Row],[Skin darkening (Y/N)]],Table1[[#This Row],[Hair loss(Y/N)]])</f>
        <v>1</v>
      </c>
      <c r="BI146" s="4" t="str">
        <f>IF(AND(Table1[[#This Row],[Pregnant(Y/N)]]=0, Table1[[#This Row],[  I   beta-HCG(mIU/mL)]]&gt;5), "Investigation Required", "Clear")</f>
        <v>Clear</v>
      </c>
    </row>
    <row r="147" spans="1:61" ht="15.75" customHeight="1" x14ac:dyDescent="0.25">
      <c r="A147">
        <v>146</v>
      </c>
      <c r="B147">
        <v>146</v>
      </c>
      <c r="C147">
        <v>0</v>
      </c>
      <c r="D147" t="str">
        <f>IF(Table1[[#This Row],[PCOS (Y/N)]]=0,"NO","YES")</f>
        <v>NO</v>
      </c>
      <c r="E147">
        <v>35</v>
      </c>
      <c r="F147">
        <v>68</v>
      </c>
      <c r="G147">
        <v>160</v>
      </c>
      <c r="H147">
        <v>15</v>
      </c>
      <c r="I147">
        <v>74</v>
      </c>
      <c r="J147">
        <v>18</v>
      </c>
      <c r="K147">
        <v>11.1</v>
      </c>
      <c r="L147">
        <v>2</v>
      </c>
      <c r="M147">
        <v>5</v>
      </c>
      <c r="N147">
        <v>4</v>
      </c>
      <c r="O147">
        <v>0</v>
      </c>
      <c r="P147" t="str">
        <f>IF(Table1[[#This Row],[Pregnant(Y/N)]]=1,"YES","NO")</f>
        <v>NO</v>
      </c>
      <c r="Q147">
        <v>0</v>
      </c>
      <c r="R147">
        <v>1.99</v>
      </c>
      <c r="S147">
        <v>1.99</v>
      </c>
      <c r="T147">
        <v>7.42</v>
      </c>
      <c r="U147">
        <v>2.1</v>
      </c>
      <c r="V147">
        <f>Table1[[#This Row],[FSH(mIU/mL)]]/Table1[[#This Row],[LH(mIU/mL)]]</f>
        <v>3.5333333333333332</v>
      </c>
      <c r="W147" t="str">
        <f>IF(Table1[[#This Row],[FSH/LH]]&gt;=2,"Abnormal","Normal")</f>
        <v>Abnormal</v>
      </c>
      <c r="X147">
        <v>39</v>
      </c>
      <c r="Y147">
        <v>32</v>
      </c>
      <c r="Z147">
        <f>ROUND(Table1[[#This Row],[Waist(inch)]]/Table1[[#This Row],[Hip(inch)]],2)</f>
        <v>0.82</v>
      </c>
      <c r="AA147">
        <v>1.62</v>
      </c>
      <c r="AB147">
        <v>3.7</v>
      </c>
      <c r="AC147">
        <v>18.600000000000001</v>
      </c>
      <c r="AD147">
        <v>20.100000000000001</v>
      </c>
      <c r="AE147" t="str">
        <f>IF(Table1[[#This Row],[Vit D3 (ng/mL)]]&lt;20,"Deficiency","Normal")</f>
        <v>Normal</v>
      </c>
      <c r="AF147">
        <v>0.7</v>
      </c>
      <c r="AG147">
        <v>108</v>
      </c>
      <c r="AH147">
        <v>0</v>
      </c>
      <c r="AI147" t="str">
        <f>IF(Table1[[#This Row],[Weight gain(Y/N)]]=0,"NO","YES")</f>
        <v>NO</v>
      </c>
      <c r="AJ147">
        <v>0</v>
      </c>
      <c r="AK147" t="str">
        <f>IF(Table1[[#This Row],[hair growth(Y/N)]]=1,"YES","NO")</f>
        <v>NO</v>
      </c>
      <c r="AL147">
        <v>0</v>
      </c>
      <c r="AM147" t="str">
        <f>IF(Table1[[#This Row],[Skin darkening (Y/N)]]=1,"YES","NO")</f>
        <v>NO</v>
      </c>
      <c r="AN147">
        <v>0</v>
      </c>
      <c r="AO147" t="str">
        <f>IF(Table1[[#This Row],[Hair loss(Y/N)]]=1,"YES","NO")</f>
        <v>NO</v>
      </c>
      <c r="AP147">
        <v>0</v>
      </c>
      <c r="AQ147" t="str">
        <f>IF(Table1[[#This Row],[Pimples(Y/N)]]=1,"YES","NO")</f>
        <v>NO</v>
      </c>
      <c r="AR147">
        <v>0</v>
      </c>
      <c r="AS147" t="str">
        <f>IF(Table1[[#This Row],[Fast food (Y/N)]]=1,"YES","NO")</f>
        <v>NO</v>
      </c>
      <c r="AT147">
        <v>0</v>
      </c>
      <c r="AU147" t="str">
        <f>IF(Table1[[#This Row],[Reg.Exercise(Y/N)]]=1,"YES","NO")</f>
        <v>NO</v>
      </c>
      <c r="AV147">
        <v>120</v>
      </c>
      <c r="AW147">
        <v>70</v>
      </c>
      <c r="AX147">
        <v>9</v>
      </c>
      <c r="AY147">
        <v>10</v>
      </c>
      <c r="AZ147">
        <v>17</v>
      </c>
      <c r="BA147">
        <v>18</v>
      </c>
      <c r="BB147">
        <v>7.5</v>
      </c>
      <c r="BC147" t="str" cm="1">
        <f t="array" ref="BC147">_xlfn.IFS((F147/(G147*G147)*10000)&lt; 18.5,"Underweight",(F147/(G147*G147)*10000)&lt;24.9,"Normal",(F147/(G147*G147)*10000)&lt;29.9,"Overweight",(F147/(G147*G147)*10000)&gt;=30,"obesity")</f>
        <v>Overweight</v>
      </c>
      <c r="BD147">
        <f>Table1[[#This Row],[Follicle No. (L)]]+Table1[[#This Row],[Follicle No. (R)]]</f>
        <v>19</v>
      </c>
      <c r="BE147">
        <f>Table1[[#This Row],[Avg. F size (L) (mm)]]+Table1[[#This Row],[Avg. F size (R) (mm)]]</f>
        <v>35</v>
      </c>
      <c r="BF147">
        <f>Table1[[#This Row],[BP _Diastolic (mmHg)]]+(Table1[[#This Row],[BP _Diastolic (mmHg)]]+Table1[[#This Row],[Follicle No. (L)]])/3</f>
        <v>96.333333333333329</v>
      </c>
      <c r="BG147" s="4" t="str" cm="1">
        <f t="array" ref="BG14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47" s="4">
        <f>SUM(Table1[[#This Row],[Pimples(Y/N)]],Table1[[#This Row],[hair growth(Y/N)]],Table1[[#This Row],[Skin darkening (Y/N)]],Table1[[#This Row],[Hair loss(Y/N)]])</f>
        <v>0</v>
      </c>
      <c r="BI147" s="4" t="str">
        <f>IF(AND(Table1[[#This Row],[Pregnant(Y/N)]]=0, Table1[[#This Row],[  I   beta-HCG(mIU/mL)]]&gt;5), "Investigation Required", "Clear")</f>
        <v>Clear</v>
      </c>
    </row>
    <row r="148" spans="1:61" ht="15.75" customHeight="1" x14ac:dyDescent="0.25">
      <c r="A148">
        <v>147</v>
      </c>
      <c r="B148">
        <v>147</v>
      </c>
      <c r="C148">
        <v>0</v>
      </c>
      <c r="D148" t="str">
        <f>IF(Table1[[#This Row],[PCOS (Y/N)]]=0,"NO","YES")</f>
        <v>NO</v>
      </c>
      <c r="E148">
        <v>36</v>
      </c>
      <c r="F148">
        <v>85</v>
      </c>
      <c r="G148">
        <v>164</v>
      </c>
      <c r="H148">
        <v>13</v>
      </c>
      <c r="I148">
        <v>72</v>
      </c>
      <c r="J148">
        <v>18</v>
      </c>
      <c r="K148">
        <v>10.199999999999999</v>
      </c>
      <c r="L148">
        <v>2</v>
      </c>
      <c r="M148">
        <v>5</v>
      </c>
      <c r="N148">
        <v>12</v>
      </c>
      <c r="O148">
        <v>0</v>
      </c>
      <c r="P148" t="str">
        <f>IF(Table1[[#This Row],[Pregnant(Y/N)]]=1,"YES","NO")</f>
        <v>NO</v>
      </c>
      <c r="Q148">
        <v>1</v>
      </c>
      <c r="R148">
        <v>1.99</v>
      </c>
      <c r="S148">
        <v>1.99</v>
      </c>
      <c r="T148">
        <v>6.28</v>
      </c>
      <c r="U148">
        <v>1.28</v>
      </c>
      <c r="V148">
        <f>Table1[[#This Row],[FSH(mIU/mL)]]/Table1[[#This Row],[LH(mIU/mL)]]</f>
        <v>4.90625</v>
      </c>
      <c r="W148" t="str">
        <f>IF(Table1[[#This Row],[FSH/LH]]&gt;=2,"Abnormal","Normal")</f>
        <v>Abnormal</v>
      </c>
      <c r="X148">
        <v>40</v>
      </c>
      <c r="Y148">
        <v>33</v>
      </c>
      <c r="Z148">
        <f>ROUND(Table1[[#This Row],[Waist(inch)]]/Table1[[#This Row],[Hip(inch)]],2)</f>
        <v>0.83</v>
      </c>
      <c r="AA148">
        <v>3.26</v>
      </c>
      <c r="AB148">
        <v>2.9</v>
      </c>
      <c r="AC148">
        <v>12.28</v>
      </c>
      <c r="AD148">
        <v>10.1</v>
      </c>
      <c r="AE148" t="str">
        <f>IF(Table1[[#This Row],[Vit D3 (ng/mL)]]&lt;20,"Deficiency","Normal")</f>
        <v>Deficiency</v>
      </c>
      <c r="AF148">
        <v>0.32</v>
      </c>
      <c r="AG148">
        <v>160</v>
      </c>
      <c r="AH148">
        <v>0</v>
      </c>
      <c r="AI148" t="str">
        <f>IF(Table1[[#This Row],[Weight gain(Y/N)]]=0,"NO","YES")</f>
        <v>NO</v>
      </c>
      <c r="AJ148">
        <v>0</v>
      </c>
      <c r="AK148" t="str">
        <f>IF(Table1[[#This Row],[hair growth(Y/N)]]=1,"YES","NO")</f>
        <v>NO</v>
      </c>
      <c r="AL148">
        <v>0</v>
      </c>
      <c r="AM148" t="str">
        <f>IF(Table1[[#This Row],[Skin darkening (Y/N)]]=1,"YES","NO")</f>
        <v>NO</v>
      </c>
      <c r="AN148">
        <v>1</v>
      </c>
      <c r="AO148" t="str">
        <f>IF(Table1[[#This Row],[Hair loss(Y/N)]]=1,"YES","NO")</f>
        <v>YES</v>
      </c>
      <c r="AP148">
        <v>0</v>
      </c>
      <c r="AQ148" t="str">
        <f>IF(Table1[[#This Row],[Pimples(Y/N)]]=1,"YES","NO")</f>
        <v>NO</v>
      </c>
      <c r="AR148">
        <v>0</v>
      </c>
      <c r="AS148" t="str">
        <f>IF(Table1[[#This Row],[Fast food (Y/N)]]=1,"YES","NO")</f>
        <v>NO</v>
      </c>
      <c r="AT148">
        <v>0</v>
      </c>
      <c r="AU148" t="str">
        <f>IF(Table1[[#This Row],[Reg.Exercise(Y/N)]]=1,"YES","NO")</f>
        <v>NO</v>
      </c>
      <c r="AV148">
        <v>120</v>
      </c>
      <c r="AW148">
        <v>70</v>
      </c>
      <c r="AX148">
        <v>0</v>
      </c>
      <c r="AY148">
        <v>4</v>
      </c>
      <c r="AZ148">
        <v>0</v>
      </c>
      <c r="BA148">
        <v>18</v>
      </c>
      <c r="BB148">
        <v>10.7</v>
      </c>
      <c r="BC148" t="str" cm="1">
        <f t="array" ref="BC148">_xlfn.IFS((F148/(G148*G148)*10000)&lt; 18.5,"Underweight",(F148/(G148*G148)*10000)&lt;24.9,"Normal",(F148/(G148*G148)*10000)&lt;29.9,"Overweight",(F148/(G148*G148)*10000)&gt;=30,"obesity")</f>
        <v>obesity</v>
      </c>
      <c r="BD148">
        <f>Table1[[#This Row],[Follicle No. (L)]]+Table1[[#This Row],[Follicle No. (R)]]</f>
        <v>4</v>
      </c>
      <c r="BE148">
        <f>Table1[[#This Row],[Avg. F size (L) (mm)]]+Table1[[#This Row],[Avg. F size (R) (mm)]]</f>
        <v>18</v>
      </c>
      <c r="BF148">
        <f>Table1[[#This Row],[BP _Diastolic (mmHg)]]+(Table1[[#This Row],[BP _Diastolic (mmHg)]]+Table1[[#This Row],[Follicle No. (L)]])/3</f>
        <v>93.333333333333329</v>
      </c>
      <c r="BG148" s="4" t="str" cm="1">
        <f t="array" ref="BG14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48" s="4">
        <f>SUM(Table1[[#This Row],[Pimples(Y/N)]],Table1[[#This Row],[hair growth(Y/N)]],Table1[[#This Row],[Skin darkening (Y/N)]],Table1[[#This Row],[Hair loss(Y/N)]])</f>
        <v>1</v>
      </c>
      <c r="BI148" s="4" t="str">
        <f>IF(AND(Table1[[#This Row],[Pregnant(Y/N)]]=0, Table1[[#This Row],[  I   beta-HCG(mIU/mL)]]&gt;5), "Investigation Required", "Clear")</f>
        <v>Clear</v>
      </c>
    </row>
    <row r="149" spans="1:61" ht="15.75" customHeight="1" x14ac:dyDescent="0.25">
      <c r="A149">
        <v>148</v>
      </c>
      <c r="B149">
        <v>148</v>
      </c>
      <c r="C149">
        <v>0</v>
      </c>
      <c r="D149" t="str">
        <f>IF(Table1[[#This Row],[PCOS (Y/N)]]=0,"NO","YES")</f>
        <v>NO</v>
      </c>
      <c r="E149">
        <v>28</v>
      </c>
      <c r="F149">
        <v>72</v>
      </c>
      <c r="G149">
        <v>160</v>
      </c>
      <c r="H149">
        <v>17</v>
      </c>
      <c r="I149">
        <v>70</v>
      </c>
      <c r="J149">
        <v>18</v>
      </c>
      <c r="K149">
        <v>10</v>
      </c>
      <c r="L149">
        <v>2</v>
      </c>
      <c r="M149">
        <v>5</v>
      </c>
      <c r="N149">
        <v>3</v>
      </c>
      <c r="O149">
        <v>0</v>
      </c>
      <c r="P149" t="str">
        <f>IF(Table1[[#This Row],[Pregnant(Y/N)]]=1,"YES","NO")</f>
        <v>NO</v>
      </c>
      <c r="Q149">
        <v>0</v>
      </c>
      <c r="R149">
        <v>1.99</v>
      </c>
      <c r="S149">
        <v>1.99</v>
      </c>
      <c r="T149">
        <v>8.9600000000000009</v>
      </c>
      <c r="U149">
        <v>0.75</v>
      </c>
      <c r="V149">
        <f>Table1[[#This Row],[FSH(mIU/mL)]]/Table1[[#This Row],[LH(mIU/mL)]]</f>
        <v>11.946666666666667</v>
      </c>
      <c r="W149" t="str">
        <f>IF(Table1[[#This Row],[FSH/LH]]&gt;=2,"Abnormal","Normal")</f>
        <v>Abnormal</v>
      </c>
      <c r="X149">
        <v>38</v>
      </c>
      <c r="Y149">
        <v>32</v>
      </c>
      <c r="Z149">
        <f>ROUND(Table1[[#This Row],[Waist(inch)]]/Table1[[#This Row],[Hip(inch)]],2)</f>
        <v>0.84</v>
      </c>
      <c r="AA149">
        <v>1.04</v>
      </c>
      <c r="AB149">
        <v>2</v>
      </c>
      <c r="AC149">
        <v>24.51</v>
      </c>
      <c r="AD149">
        <v>20</v>
      </c>
      <c r="AE149" t="str">
        <f>IF(Table1[[#This Row],[Vit D3 (ng/mL)]]&lt;20,"Deficiency","Normal")</f>
        <v>Normal</v>
      </c>
      <c r="AF149">
        <v>0.6</v>
      </c>
      <c r="AG149">
        <v>92</v>
      </c>
      <c r="AH149">
        <v>0</v>
      </c>
      <c r="AI149" t="str">
        <f>IF(Table1[[#This Row],[Weight gain(Y/N)]]=0,"NO","YES")</f>
        <v>NO</v>
      </c>
      <c r="AJ149">
        <v>1</v>
      </c>
      <c r="AK149" t="str">
        <f>IF(Table1[[#This Row],[hair growth(Y/N)]]=1,"YES","NO")</f>
        <v>YES</v>
      </c>
      <c r="AL149">
        <v>1</v>
      </c>
      <c r="AM149" t="str">
        <f>IF(Table1[[#This Row],[Skin darkening (Y/N)]]=1,"YES","NO")</f>
        <v>YES</v>
      </c>
      <c r="AN149">
        <v>1</v>
      </c>
      <c r="AO149" t="str">
        <f>IF(Table1[[#This Row],[Hair loss(Y/N)]]=1,"YES","NO")</f>
        <v>YES</v>
      </c>
      <c r="AP149">
        <v>0</v>
      </c>
      <c r="AQ149" t="str">
        <f>IF(Table1[[#This Row],[Pimples(Y/N)]]=1,"YES","NO")</f>
        <v>NO</v>
      </c>
      <c r="AR149">
        <v>0</v>
      </c>
      <c r="AS149" t="str">
        <f>IF(Table1[[#This Row],[Fast food (Y/N)]]=1,"YES","NO")</f>
        <v>NO</v>
      </c>
      <c r="AT149">
        <v>0</v>
      </c>
      <c r="AU149" t="str">
        <f>IF(Table1[[#This Row],[Reg.Exercise(Y/N)]]=1,"YES","NO")</f>
        <v>NO</v>
      </c>
      <c r="AV149">
        <v>110</v>
      </c>
      <c r="AW149">
        <v>80</v>
      </c>
      <c r="AX149">
        <v>3</v>
      </c>
      <c r="AY149">
        <v>3</v>
      </c>
      <c r="AZ149">
        <v>17</v>
      </c>
      <c r="BA149">
        <v>18</v>
      </c>
      <c r="BB149">
        <v>8</v>
      </c>
      <c r="BC149" t="str" cm="1">
        <f t="array" ref="BC149">_xlfn.IFS((F149/(G149*G149)*10000)&lt; 18.5,"Underweight",(F149/(G149*G149)*10000)&lt;24.9,"Normal",(F149/(G149*G149)*10000)&lt;29.9,"Overweight",(F149/(G149*G149)*10000)&gt;=30,"obesity")</f>
        <v>Overweight</v>
      </c>
      <c r="BD149">
        <f>Table1[[#This Row],[Follicle No. (L)]]+Table1[[#This Row],[Follicle No. (R)]]</f>
        <v>6</v>
      </c>
      <c r="BE149">
        <f>Table1[[#This Row],[Avg. F size (L) (mm)]]+Table1[[#This Row],[Avg. F size (R) (mm)]]</f>
        <v>35</v>
      </c>
      <c r="BF149">
        <f>Table1[[#This Row],[BP _Diastolic (mmHg)]]+(Table1[[#This Row],[BP _Diastolic (mmHg)]]+Table1[[#This Row],[Follicle No. (L)]])/3</f>
        <v>107.66666666666667</v>
      </c>
      <c r="BG149" s="4" t="str" cm="1">
        <f t="array" ref="BG14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49" s="4">
        <f>SUM(Table1[[#This Row],[Pimples(Y/N)]],Table1[[#This Row],[hair growth(Y/N)]],Table1[[#This Row],[Skin darkening (Y/N)]],Table1[[#This Row],[Hair loss(Y/N)]])</f>
        <v>3</v>
      </c>
      <c r="BI149" s="4" t="str">
        <f>IF(AND(Table1[[#This Row],[Pregnant(Y/N)]]=0, Table1[[#This Row],[  I   beta-HCG(mIU/mL)]]&gt;5), "Investigation Required", "Clear")</f>
        <v>Clear</v>
      </c>
    </row>
    <row r="150" spans="1:61" ht="15.75" customHeight="1" x14ac:dyDescent="0.25">
      <c r="A150">
        <v>149</v>
      </c>
      <c r="B150">
        <v>149</v>
      </c>
      <c r="C150">
        <v>1</v>
      </c>
      <c r="D150" t="str">
        <f>IF(Table1[[#This Row],[PCOS (Y/N)]]=0,"NO","YES")</f>
        <v>YES</v>
      </c>
      <c r="E150">
        <v>23</v>
      </c>
      <c r="F150">
        <v>53</v>
      </c>
      <c r="G150">
        <v>152</v>
      </c>
      <c r="H150">
        <v>11</v>
      </c>
      <c r="I150">
        <v>72</v>
      </c>
      <c r="J150">
        <v>18</v>
      </c>
      <c r="K150">
        <v>11</v>
      </c>
      <c r="L150">
        <v>4</v>
      </c>
      <c r="M150">
        <v>2</v>
      </c>
      <c r="N150">
        <v>3.5</v>
      </c>
      <c r="O150">
        <v>0</v>
      </c>
      <c r="P150" t="str">
        <f>IF(Table1[[#This Row],[Pregnant(Y/N)]]=1,"YES","NO")</f>
        <v>NO</v>
      </c>
      <c r="Q150">
        <v>0</v>
      </c>
      <c r="R150">
        <v>1.99</v>
      </c>
      <c r="S150">
        <v>1.99</v>
      </c>
      <c r="T150">
        <v>6.23</v>
      </c>
      <c r="U150">
        <v>3.25</v>
      </c>
      <c r="V150">
        <f>Table1[[#This Row],[FSH(mIU/mL)]]/Table1[[#This Row],[LH(mIU/mL)]]</f>
        <v>1.916923076923077</v>
      </c>
      <c r="W150" t="str">
        <f>IF(Table1[[#This Row],[FSH/LH]]&gt;=2,"Abnormal","Normal")</f>
        <v>Normal</v>
      </c>
      <c r="X150">
        <v>45</v>
      </c>
      <c r="Y150">
        <v>40</v>
      </c>
      <c r="Z150">
        <f>ROUND(Table1[[#This Row],[Waist(inch)]]/Table1[[#This Row],[Hip(inch)]],2)</f>
        <v>0.89</v>
      </c>
      <c r="AA150">
        <v>0.05</v>
      </c>
      <c r="AB150">
        <v>4</v>
      </c>
      <c r="AC150">
        <v>28.17</v>
      </c>
      <c r="AD150">
        <v>24.9</v>
      </c>
      <c r="AE150" t="str">
        <f>IF(Table1[[#This Row],[Vit D3 (ng/mL)]]&lt;20,"Deficiency","Normal")</f>
        <v>Normal</v>
      </c>
      <c r="AF150">
        <v>0.38</v>
      </c>
      <c r="AG150">
        <v>92</v>
      </c>
      <c r="AH150">
        <v>1</v>
      </c>
      <c r="AI150" t="str">
        <f>IF(Table1[[#This Row],[Weight gain(Y/N)]]=0,"NO","YES")</f>
        <v>YES</v>
      </c>
      <c r="AJ150">
        <v>1</v>
      </c>
      <c r="AK150" t="str">
        <f>IF(Table1[[#This Row],[hair growth(Y/N)]]=1,"YES","NO")</f>
        <v>YES</v>
      </c>
      <c r="AL150">
        <v>0</v>
      </c>
      <c r="AM150" t="str">
        <f>IF(Table1[[#This Row],[Skin darkening (Y/N)]]=1,"YES","NO")</f>
        <v>NO</v>
      </c>
      <c r="AN150">
        <v>1</v>
      </c>
      <c r="AO150" t="str">
        <f>IF(Table1[[#This Row],[Hair loss(Y/N)]]=1,"YES","NO")</f>
        <v>YES</v>
      </c>
      <c r="AP150">
        <v>0</v>
      </c>
      <c r="AQ150" t="str">
        <f>IF(Table1[[#This Row],[Pimples(Y/N)]]=1,"YES","NO")</f>
        <v>NO</v>
      </c>
      <c r="AR150">
        <v>1</v>
      </c>
      <c r="AS150" t="str">
        <f>IF(Table1[[#This Row],[Fast food (Y/N)]]=1,"YES","NO")</f>
        <v>YES</v>
      </c>
      <c r="AT150">
        <v>1</v>
      </c>
      <c r="AU150" t="str">
        <f>IF(Table1[[#This Row],[Reg.Exercise(Y/N)]]=1,"YES","NO")</f>
        <v>YES</v>
      </c>
      <c r="AV150">
        <v>110</v>
      </c>
      <c r="AW150">
        <v>80</v>
      </c>
      <c r="AX150">
        <v>4</v>
      </c>
      <c r="AY150">
        <v>12</v>
      </c>
      <c r="AZ150">
        <v>18</v>
      </c>
      <c r="BA150">
        <v>16</v>
      </c>
      <c r="BB150">
        <v>10</v>
      </c>
      <c r="BC150" t="str" cm="1">
        <f t="array" ref="BC150">_xlfn.IFS((F150/(G150*G150)*10000)&lt; 18.5,"Underweight",(F150/(G150*G150)*10000)&lt;24.9,"Normal",(F150/(G150*G150)*10000)&lt;29.9,"Overweight",(F150/(G150*G150)*10000)&gt;=30,"obesity")</f>
        <v>Normal</v>
      </c>
      <c r="BD150">
        <f>Table1[[#This Row],[Follicle No. (L)]]+Table1[[#This Row],[Follicle No. (R)]]</f>
        <v>16</v>
      </c>
      <c r="BE150">
        <f>Table1[[#This Row],[Avg. F size (L) (mm)]]+Table1[[#This Row],[Avg. F size (R) (mm)]]</f>
        <v>34</v>
      </c>
      <c r="BF150">
        <f>Table1[[#This Row],[BP _Diastolic (mmHg)]]+(Table1[[#This Row],[BP _Diastolic (mmHg)]]+Table1[[#This Row],[Follicle No. (L)]])/3</f>
        <v>108</v>
      </c>
      <c r="BG150" s="4" t="str" cm="1">
        <f t="array" ref="BG15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50" s="4">
        <f>SUM(Table1[[#This Row],[Pimples(Y/N)]],Table1[[#This Row],[hair growth(Y/N)]],Table1[[#This Row],[Skin darkening (Y/N)]],Table1[[#This Row],[Hair loss(Y/N)]])</f>
        <v>2</v>
      </c>
      <c r="BI150" s="4" t="str">
        <f>IF(AND(Table1[[#This Row],[Pregnant(Y/N)]]=0, Table1[[#This Row],[  I   beta-HCG(mIU/mL)]]&gt;5), "Investigation Required", "Clear")</f>
        <v>Clear</v>
      </c>
    </row>
    <row r="151" spans="1:61" ht="15.75" customHeight="1" x14ac:dyDescent="0.25">
      <c r="A151">
        <v>150</v>
      </c>
      <c r="B151">
        <v>150</v>
      </c>
      <c r="C151">
        <v>0</v>
      </c>
      <c r="D151" t="str">
        <f>IF(Table1[[#This Row],[PCOS (Y/N)]]=0,"NO","YES")</f>
        <v>NO</v>
      </c>
      <c r="E151">
        <v>24</v>
      </c>
      <c r="F151">
        <v>52</v>
      </c>
      <c r="G151">
        <v>152</v>
      </c>
      <c r="H151">
        <v>11</v>
      </c>
      <c r="I151">
        <v>80</v>
      </c>
      <c r="J151">
        <v>20</v>
      </c>
      <c r="K151">
        <v>11</v>
      </c>
      <c r="L151">
        <v>2</v>
      </c>
      <c r="M151">
        <v>5</v>
      </c>
      <c r="N151">
        <v>4</v>
      </c>
      <c r="O151">
        <v>0</v>
      </c>
      <c r="P151" t="str">
        <f>IF(Table1[[#This Row],[Pregnant(Y/N)]]=1,"YES","NO")</f>
        <v>NO</v>
      </c>
      <c r="Q151">
        <v>0</v>
      </c>
      <c r="R151">
        <v>1.99</v>
      </c>
      <c r="S151">
        <v>1.99</v>
      </c>
      <c r="T151">
        <v>5.45</v>
      </c>
      <c r="U151">
        <v>3.01</v>
      </c>
      <c r="V151">
        <f>Table1[[#This Row],[FSH(mIU/mL)]]/Table1[[#This Row],[LH(mIU/mL)]]</f>
        <v>1.8106312292358806</v>
      </c>
      <c r="W151" t="str">
        <f>IF(Table1[[#This Row],[FSH/LH]]&gt;=2,"Abnormal","Normal")</f>
        <v>Normal</v>
      </c>
      <c r="X151">
        <v>39</v>
      </c>
      <c r="Y151">
        <v>32</v>
      </c>
      <c r="Z151">
        <f>ROUND(Table1[[#This Row],[Waist(inch)]]/Table1[[#This Row],[Hip(inch)]],2)</f>
        <v>0.82</v>
      </c>
      <c r="AA151">
        <v>3.46</v>
      </c>
      <c r="AB151">
        <v>1.6</v>
      </c>
      <c r="AC151">
        <v>77.319999999999993</v>
      </c>
      <c r="AD151">
        <v>19.5</v>
      </c>
      <c r="AE151" t="str">
        <f>IF(Table1[[#This Row],[Vit D3 (ng/mL)]]&lt;20,"Deficiency","Normal")</f>
        <v>Deficiency</v>
      </c>
      <c r="AF151">
        <v>0.38</v>
      </c>
      <c r="AG151">
        <v>92</v>
      </c>
      <c r="AH151">
        <v>0</v>
      </c>
      <c r="AI151" t="str">
        <f>IF(Table1[[#This Row],[Weight gain(Y/N)]]=0,"NO","YES")</f>
        <v>NO</v>
      </c>
      <c r="AJ151">
        <v>0</v>
      </c>
      <c r="AK151" t="str">
        <f>IF(Table1[[#This Row],[hair growth(Y/N)]]=1,"YES","NO")</f>
        <v>NO</v>
      </c>
      <c r="AL151">
        <v>0</v>
      </c>
      <c r="AM151" t="str">
        <f>IF(Table1[[#This Row],[Skin darkening (Y/N)]]=1,"YES","NO")</f>
        <v>NO</v>
      </c>
      <c r="AN151">
        <v>1</v>
      </c>
      <c r="AO151" t="str">
        <f>IF(Table1[[#This Row],[Hair loss(Y/N)]]=1,"YES","NO")</f>
        <v>YES</v>
      </c>
      <c r="AP151">
        <v>0</v>
      </c>
      <c r="AQ151" t="str">
        <f>IF(Table1[[#This Row],[Pimples(Y/N)]]=1,"YES","NO")</f>
        <v>NO</v>
      </c>
      <c r="AR151">
        <v>0</v>
      </c>
      <c r="AS151" t="str">
        <f>IF(Table1[[#This Row],[Fast food (Y/N)]]=1,"YES","NO")</f>
        <v>NO</v>
      </c>
      <c r="AT151">
        <v>0</v>
      </c>
      <c r="AU151" t="str">
        <f>IF(Table1[[#This Row],[Reg.Exercise(Y/N)]]=1,"YES","NO")</f>
        <v>NO</v>
      </c>
      <c r="AV151">
        <v>110</v>
      </c>
      <c r="AW151">
        <v>70</v>
      </c>
      <c r="AX151">
        <v>6</v>
      </c>
      <c r="AY151">
        <v>2</v>
      </c>
      <c r="AZ151">
        <v>19</v>
      </c>
      <c r="BA151">
        <v>19</v>
      </c>
      <c r="BB151">
        <v>7.1</v>
      </c>
      <c r="BC151" t="str" cm="1">
        <f t="array" ref="BC151">_xlfn.IFS((F151/(G151*G151)*10000)&lt; 18.5,"Underweight",(F151/(G151*G151)*10000)&lt;24.9,"Normal",(F151/(G151*G151)*10000)&lt;29.9,"Overweight",(F151/(G151*G151)*10000)&gt;=30,"obesity")</f>
        <v>Normal</v>
      </c>
      <c r="BD151">
        <f>Table1[[#This Row],[Follicle No. (L)]]+Table1[[#This Row],[Follicle No. (R)]]</f>
        <v>8</v>
      </c>
      <c r="BE151">
        <f>Table1[[#This Row],[Avg. F size (L) (mm)]]+Table1[[#This Row],[Avg. F size (R) (mm)]]</f>
        <v>38</v>
      </c>
      <c r="BF151">
        <f>Table1[[#This Row],[BP _Diastolic (mmHg)]]+(Table1[[#This Row],[BP _Diastolic (mmHg)]]+Table1[[#This Row],[Follicle No. (L)]])/3</f>
        <v>95.333333333333329</v>
      </c>
      <c r="BG151" s="4" t="str" cm="1">
        <f t="array" ref="BG15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51" s="4">
        <f>SUM(Table1[[#This Row],[Pimples(Y/N)]],Table1[[#This Row],[hair growth(Y/N)]],Table1[[#This Row],[Skin darkening (Y/N)]],Table1[[#This Row],[Hair loss(Y/N)]])</f>
        <v>1</v>
      </c>
      <c r="BI151" s="4" t="str">
        <f>IF(AND(Table1[[#This Row],[Pregnant(Y/N)]]=0, Table1[[#This Row],[  I   beta-HCG(mIU/mL)]]&gt;5), "Investigation Required", "Clear")</f>
        <v>Clear</v>
      </c>
    </row>
    <row r="152" spans="1:61" ht="15.75" customHeight="1" x14ac:dyDescent="0.25">
      <c r="A152">
        <v>151</v>
      </c>
      <c r="B152">
        <v>151</v>
      </c>
      <c r="C152">
        <v>1</v>
      </c>
      <c r="D152" t="str">
        <f>IF(Table1[[#This Row],[PCOS (Y/N)]]=0,"NO","YES")</f>
        <v>YES</v>
      </c>
      <c r="E152">
        <v>28</v>
      </c>
      <c r="F152">
        <v>63</v>
      </c>
      <c r="G152">
        <v>162</v>
      </c>
      <c r="H152">
        <v>15</v>
      </c>
      <c r="I152">
        <v>78</v>
      </c>
      <c r="J152">
        <v>18</v>
      </c>
      <c r="K152">
        <v>10.8</v>
      </c>
      <c r="L152">
        <v>4</v>
      </c>
      <c r="M152">
        <v>2</v>
      </c>
      <c r="N152">
        <v>5</v>
      </c>
      <c r="O152">
        <v>0</v>
      </c>
      <c r="P152" t="str">
        <f>IF(Table1[[#This Row],[Pregnant(Y/N)]]=1,"YES","NO")</f>
        <v>NO</v>
      </c>
      <c r="Q152">
        <v>0</v>
      </c>
      <c r="R152">
        <v>232.71</v>
      </c>
      <c r="S152">
        <v>232.71</v>
      </c>
      <c r="T152">
        <v>4.21</v>
      </c>
      <c r="U152">
        <v>9.5</v>
      </c>
      <c r="V152">
        <f>Table1[[#This Row],[FSH(mIU/mL)]]/Table1[[#This Row],[LH(mIU/mL)]]</f>
        <v>0.44315789473684208</v>
      </c>
      <c r="W152" t="str">
        <f>IF(Table1[[#This Row],[FSH/LH]]&gt;=2,"Abnormal","Normal")</f>
        <v>Normal</v>
      </c>
      <c r="X152">
        <v>44</v>
      </c>
      <c r="Y152">
        <v>38</v>
      </c>
      <c r="Z152">
        <f>ROUND(Table1[[#This Row],[Waist(inch)]]/Table1[[#This Row],[Hip(inch)]],2)</f>
        <v>0.86</v>
      </c>
      <c r="AA152">
        <v>0.65</v>
      </c>
      <c r="AB152">
        <v>15.9</v>
      </c>
      <c r="AC152">
        <v>17.28</v>
      </c>
      <c r="AD152">
        <v>23.8</v>
      </c>
      <c r="AE152" t="str">
        <f>IF(Table1[[#This Row],[Vit D3 (ng/mL)]]&lt;20,"Deficiency","Normal")</f>
        <v>Normal</v>
      </c>
      <c r="AF152">
        <v>0.98</v>
      </c>
      <c r="AG152">
        <v>110</v>
      </c>
      <c r="AH152">
        <v>1</v>
      </c>
      <c r="AI152" t="str">
        <f>IF(Table1[[#This Row],[Weight gain(Y/N)]]=0,"NO","YES")</f>
        <v>YES</v>
      </c>
      <c r="AJ152">
        <v>1</v>
      </c>
      <c r="AK152" t="str">
        <f>IF(Table1[[#This Row],[hair growth(Y/N)]]=1,"YES","NO")</f>
        <v>YES</v>
      </c>
      <c r="AL152">
        <v>0</v>
      </c>
      <c r="AM152" t="str">
        <f>IF(Table1[[#This Row],[Skin darkening (Y/N)]]=1,"YES","NO")</f>
        <v>NO</v>
      </c>
      <c r="AN152">
        <v>1</v>
      </c>
      <c r="AO152" t="str">
        <f>IF(Table1[[#This Row],[Hair loss(Y/N)]]=1,"YES","NO")</f>
        <v>YES</v>
      </c>
      <c r="AP152">
        <v>0</v>
      </c>
      <c r="AQ152" t="str">
        <f>IF(Table1[[#This Row],[Pimples(Y/N)]]=1,"YES","NO")</f>
        <v>NO</v>
      </c>
      <c r="AR152">
        <v>1</v>
      </c>
      <c r="AS152" t="str">
        <f>IF(Table1[[#This Row],[Fast food (Y/N)]]=1,"YES","NO")</f>
        <v>YES</v>
      </c>
      <c r="AT152">
        <v>1</v>
      </c>
      <c r="AU152" t="str">
        <f>IF(Table1[[#This Row],[Reg.Exercise(Y/N)]]=1,"YES","NO")</f>
        <v>YES</v>
      </c>
      <c r="AV152">
        <v>110</v>
      </c>
      <c r="AW152">
        <v>80</v>
      </c>
      <c r="AX152">
        <v>4</v>
      </c>
      <c r="AY152">
        <v>9</v>
      </c>
      <c r="AZ152">
        <v>15</v>
      </c>
      <c r="BA152">
        <v>18</v>
      </c>
      <c r="BB152">
        <v>10</v>
      </c>
      <c r="BC152" t="str" cm="1">
        <f t="array" ref="BC152">_xlfn.IFS((F152/(G152*G152)*10000)&lt; 18.5,"Underweight",(F152/(G152*G152)*10000)&lt;24.9,"Normal",(F152/(G152*G152)*10000)&lt;29.9,"Overweight",(F152/(G152*G152)*10000)&gt;=30,"obesity")</f>
        <v>Normal</v>
      </c>
      <c r="BD152">
        <f>Table1[[#This Row],[Follicle No. (L)]]+Table1[[#This Row],[Follicle No. (R)]]</f>
        <v>13</v>
      </c>
      <c r="BE152">
        <f>Table1[[#This Row],[Avg. F size (L) (mm)]]+Table1[[#This Row],[Avg. F size (R) (mm)]]</f>
        <v>33</v>
      </c>
      <c r="BF152">
        <f>Table1[[#This Row],[BP _Diastolic (mmHg)]]+(Table1[[#This Row],[BP _Diastolic (mmHg)]]+Table1[[#This Row],[Follicle No. (L)]])/3</f>
        <v>108</v>
      </c>
      <c r="BG152" s="4" t="str" cm="1">
        <f t="array" ref="BG15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52" s="4">
        <f>SUM(Table1[[#This Row],[Pimples(Y/N)]],Table1[[#This Row],[hair growth(Y/N)]],Table1[[#This Row],[Skin darkening (Y/N)]],Table1[[#This Row],[Hair loss(Y/N)]])</f>
        <v>2</v>
      </c>
      <c r="BI152" s="4" t="str">
        <f>IF(AND(Table1[[#This Row],[Pregnant(Y/N)]]=0, Table1[[#This Row],[  I   beta-HCG(mIU/mL)]]&gt;5), "Investigation Required", "Clear")</f>
        <v>Investigation Required</v>
      </c>
    </row>
    <row r="153" spans="1:61" ht="15.75" customHeight="1" x14ac:dyDescent="0.25">
      <c r="A153">
        <v>152</v>
      </c>
      <c r="B153">
        <v>152</v>
      </c>
      <c r="C153">
        <v>1</v>
      </c>
      <c r="D153" t="str">
        <f>IF(Table1[[#This Row],[PCOS (Y/N)]]=0,"NO","YES")</f>
        <v>YES</v>
      </c>
      <c r="E153">
        <v>29</v>
      </c>
      <c r="F153">
        <v>56.4</v>
      </c>
      <c r="G153">
        <v>150</v>
      </c>
      <c r="H153">
        <v>13</v>
      </c>
      <c r="I153">
        <v>76</v>
      </c>
      <c r="J153">
        <v>22</v>
      </c>
      <c r="K153">
        <v>10.5</v>
      </c>
      <c r="L153">
        <v>4</v>
      </c>
      <c r="M153">
        <v>4</v>
      </c>
      <c r="N153">
        <v>6</v>
      </c>
      <c r="O153">
        <v>0</v>
      </c>
      <c r="P153" t="str">
        <f>IF(Table1[[#This Row],[Pregnant(Y/N)]]=1,"YES","NO")</f>
        <v>NO</v>
      </c>
      <c r="Q153">
        <v>0</v>
      </c>
      <c r="R153">
        <v>1.99</v>
      </c>
      <c r="S153">
        <v>1.99</v>
      </c>
      <c r="T153">
        <v>2.91</v>
      </c>
      <c r="U153">
        <v>0.4</v>
      </c>
      <c r="V153">
        <f>Table1[[#This Row],[FSH(mIU/mL)]]/Table1[[#This Row],[LH(mIU/mL)]]</f>
        <v>7.2750000000000004</v>
      </c>
      <c r="W153" t="str">
        <f>IF(Table1[[#This Row],[FSH/LH]]&gt;=2,"Abnormal","Normal")</f>
        <v>Abnormal</v>
      </c>
      <c r="X153">
        <v>44</v>
      </c>
      <c r="Y153">
        <v>35</v>
      </c>
      <c r="Z153">
        <f>ROUND(Table1[[#This Row],[Waist(inch)]]/Table1[[#This Row],[Hip(inch)]],2)</f>
        <v>0.8</v>
      </c>
      <c r="AA153">
        <v>1.64</v>
      </c>
      <c r="AB153">
        <v>7.51</v>
      </c>
      <c r="AC153">
        <v>10.6</v>
      </c>
      <c r="AD153">
        <v>31.2</v>
      </c>
      <c r="AE153" t="str">
        <f>IF(Table1[[#This Row],[Vit D3 (ng/mL)]]&lt;20,"Deficiency","Normal")</f>
        <v>Normal</v>
      </c>
      <c r="AF153">
        <v>0.39</v>
      </c>
      <c r="AG153">
        <v>108</v>
      </c>
      <c r="AH153">
        <v>1</v>
      </c>
      <c r="AI153" t="str">
        <f>IF(Table1[[#This Row],[Weight gain(Y/N)]]=0,"NO","YES")</f>
        <v>YES</v>
      </c>
      <c r="AJ153">
        <v>1</v>
      </c>
      <c r="AK153" t="str">
        <f>IF(Table1[[#This Row],[hair growth(Y/N)]]=1,"YES","NO")</f>
        <v>YES</v>
      </c>
      <c r="AL153">
        <v>0</v>
      </c>
      <c r="AM153" t="str">
        <f>IF(Table1[[#This Row],[Skin darkening (Y/N)]]=1,"YES","NO")</f>
        <v>NO</v>
      </c>
      <c r="AN153">
        <v>1</v>
      </c>
      <c r="AO153" t="str">
        <f>IF(Table1[[#This Row],[Hair loss(Y/N)]]=1,"YES","NO")</f>
        <v>YES</v>
      </c>
      <c r="AP153">
        <v>0</v>
      </c>
      <c r="AQ153" t="str">
        <f>IF(Table1[[#This Row],[Pimples(Y/N)]]=1,"YES","NO")</f>
        <v>NO</v>
      </c>
      <c r="AR153">
        <v>1</v>
      </c>
      <c r="AS153" t="str">
        <f>IF(Table1[[#This Row],[Fast food (Y/N)]]=1,"YES","NO")</f>
        <v>YES</v>
      </c>
      <c r="AT153">
        <v>0</v>
      </c>
      <c r="AU153" t="str">
        <f>IF(Table1[[#This Row],[Reg.Exercise(Y/N)]]=1,"YES","NO")</f>
        <v>NO</v>
      </c>
      <c r="AV153">
        <v>110</v>
      </c>
      <c r="AW153">
        <v>80</v>
      </c>
      <c r="AX153">
        <v>12</v>
      </c>
      <c r="AY153">
        <v>14</v>
      </c>
      <c r="AZ153">
        <v>14</v>
      </c>
      <c r="BA153">
        <v>18</v>
      </c>
      <c r="BB153">
        <v>8</v>
      </c>
      <c r="BC153" t="str" cm="1">
        <f t="array" ref="BC153">_xlfn.IFS((F153/(G153*G153)*10000)&lt; 18.5,"Underweight",(F153/(G153*G153)*10000)&lt;24.9,"Normal",(F153/(G153*G153)*10000)&lt;29.9,"Overweight",(F153/(G153*G153)*10000)&gt;=30,"obesity")</f>
        <v>Overweight</v>
      </c>
      <c r="BD153">
        <f>Table1[[#This Row],[Follicle No. (L)]]+Table1[[#This Row],[Follicle No. (R)]]</f>
        <v>26</v>
      </c>
      <c r="BE153">
        <f>Table1[[#This Row],[Avg. F size (L) (mm)]]+Table1[[#This Row],[Avg. F size (R) (mm)]]</f>
        <v>32</v>
      </c>
      <c r="BF153">
        <f>Table1[[#This Row],[BP _Diastolic (mmHg)]]+(Table1[[#This Row],[BP _Diastolic (mmHg)]]+Table1[[#This Row],[Follicle No. (L)]])/3</f>
        <v>110.66666666666667</v>
      </c>
      <c r="BG153" s="4" t="str" cm="1">
        <f t="array" ref="BG15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53" s="4">
        <f>SUM(Table1[[#This Row],[Pimples(Y/N)]],Table1[[#This Row],[hair growth(Y/N)]],Table1[[#This Row],[Skin darkening (Y/N)]],Table1[[#This Row],[Hair loss(Y/N)]])</f>
        <v>2</v>
      </c>
      <c r="BI153" s="4" t="str">
        <f>IF(AND(Table1[[#This Row],[Pregnant(Y/N)]]=0, Table1[[#This Row],[  I   beta-HCG(mIU/mL)]]&gt;5), "Investigation Required", "Clear")</f>
        <v>Clear</v>
      </c>
    </row>
    <row r="154" spans="1:61" ht="15.75" customHeight="1" x14ac:dyDescent="0.25">
      <c r="A154">
        <v>153</v>
      </c>
      <c r="B154">
        <v>153</v>
      </c>
      <c r="C154">
        <v>1</v>
      </c>
      <c r="D154" t="str">
        <f>IF(Table1[[#This Row],[PCOS (Y/N)]]=0,"NO","YES")</f>
        <v>YES</v>
      </c>
      <c r="E154">
        <v>31</v>
      </c>
      <c r="F154">
        <v>60</v>
      </c>
      <c r="G154">
        <v>156</v>
      </c>
      <c r="H154">
        <v>13</v>
      </c>
      <c r="I154">
        <v>72</v>
      </c>
      <c r="J154">
        <v>18</v>
      </c>
      <c r="K154">
        <v>11.9</v>
      </c>
      <c r="L154">
        <v>4</v>
      </c>
      <c r="M154">
        <v>5</v>
      </c>
      <c r="N154">
        <v>10</v>
      </c>
      <c r="O154">
        <v>0</v>
      </c>
      <c r="P154" t="str">
        <f>IF(Table1[[#This Row],[Pregnant(Y/N)]]=1,"YES","NO")</f>
        <v>NO</v>
      </c>
      <c r="Q154">
        <v>1</v>
      </c>
      <c r="R154">
        <v>1.99</v>
      </c>
      <c r="S154">
        <v>1.99</v>
      </c>
      <c r="T154">
        <v>2.68</v>
      </c>
      <c r="U154">
        <v>0.65</v>
      </c>
      <c r="V154">
        <f>Table1[[#This Row],[FSH(mIU/mL)]]/Table1[[#This Row],[LH(mIU/mL)]]</f>
        <v>4.1230769230769235</v>
      </c>
      <c r="W154" t="str">
        <f>IF(Table1[[#This Row],[FSH/LH]]&gt;=2,"Abnormal","Normal")</f>
        <v>Abnormal</v>
      </c>
      <c r="X154">
        <v>46</v>
      </c>
      <c r="Y154">
        <v>36</v>
      </c>
      <c r="Z154">
        <f>ROUND(Table1[[#This Row],[Waist(inch)]]/Table1[[#This Row],[Hip(inch)]],2)</f>
        <v>0.78</v>
      </c>
      <c r="AA154">
        <v>1</v>
      </c>
      <c r="AB154">
        <v>10.039999999999999</v>
      </c>
      <c r="AC154">
        <v>13.01</v>
      </c>
      <c r="AD154">
        <v>41.89</v>
      </c>
      <c r="AE154" t="str">
        <f>IF(Table1[[#This Row],[Vit D3 (ng/mL)]]&lt;20,"Deficiency","Normal")</f>
        <v>Normal</v>
      </c>
      <c r="AF154">
        <v>0.24</v>
      </c>
      <c r="AG154">
        <v>100</v>
      </c>
      <c r="AH154">
        <v>1</v>
      </c>
      <c r="AI154" t="str">
        <f>IF(Table1[[#This Row],[Weight gain(Y/N)]]=0,"NO","YES")</f>
        <v>YES</v>
      </c>
      <c r="AJ154">
        <v>1</v>
      </c>
      <c r="AK154" t="str">
        <f>IF(Table1[[#This Row],[hair growth(Y/N)]]=1,"YES","NO")</f>
        <v>YES</v>
      </c>
      <c r="AL154">
        <v>1</v>
      </c>
      <c r="AM154" t="str">
        <f>IF(Table1[[#This Row],[Skin darkening (Y/N)]]=1,"YES","NO")</f>
        <v>YES</v>
      </c>
      <c r="AN154">
        <v>1</v>
      </c>
      <c r="AO154" t="str">
        <f>IF(Table1[[#This Row],[Hair loss(Y/N)]]=1,"YES","NO")</f>
        <v>YES</v>
      </c>
      <c r="AP154">
        <v>1</v>
      </c>
      <c r="AQ154" t="str">
        <f>IF(Table1[[#This Row],[Pimples(Y/N)]]=1,"YES","NO")</f>
        <v>YES</v>
      </c>
      <c r="AR154">
        <v>1</v>
      </c>
      <c r="AS154" t="str">
        <f>IF(Table1[[#This Row],[Fast food (Y/N)]]=1,"YES","NO")</f>
        <v>YES</v>
      </c>
      <c r="AT154">
        <v>0</v>
      </c>
      <c r="AU154" t="str">
        <f>IF(Table1[[#This Row],[Reg.Exercise(Y/N)]]=1,"YES","NO")</f>
        <v>NO</v>
      </c>
      <c r="AV154">
        <v>110</v>
      </c>
      <c r="AW154">
        <v>80</v>
      </c>
      <c r="AX154">
        <v>7</v>
      </c>
      <c r="AY154">
        <v>5</v>
      </c>
      <c r="AZ154">
        <v>15</v>
      </c>
      <c r="BA154">
        <v>16</v>
      </c>
      <c r="BB154">
        <v>8.5</v>
      </c>
      <c r="BC154" t="str" cm="1">
        <f t="array" ref="BC154">_xlfn.IFS((F154/(G154*G154)*10000)&lt; 18.5,"Underweight",(F154/(G154*G154)*10000)&lt;24.9,"Normal",(F154/(G154*G154)*10000)&lt;29.9,"Overweight",(F154/(G154*G154)*10000)&gt;=30,"obesity")</f>
        <v>Normal</v>
      </c>
      <c r="BD154">
        <f>Table1[[#This Row],[Follicle No. (L)]]+Table1[[#This Row],[Follicle No. (R)]]</f>
        <v>12</v>
      </c>
      <c r="BE154">
        <f>Table1[[#This Row],[Avg. F size (L) (mm)]]+Table1[[#This Row],[Avg. F size (R) (mm)]]</f>
        <v>31</v>
      </c>
      <c r="BF154">
        <f>Table1[[#This Row],[BP _Diastolic (mmHg)]]+(Table1[[#This Row],[BP _Diastolic (mmHg)]]+Table1[[#This Row],[Follicle No. (L)]])/3</f>
        <v>109</v>
      </c>
      <c r="BG154" s="4" t="str" cm="1">
        <f t="array" ref="BG15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54" s="4">
        <f>SUM(Table1[[#This Row],[Pimples(Y/N)]],Table1[[#This Row],[hair growth(Y/N)]],Table1[[#This Row],[Skin darkening (Y/N)]],Table1[[#This Row],[Hair loss(Y/N)]])</f>
        <v>4</v>
      </c>
      <c r="BI154" s="4" t="str">
        <f>IF(AND(Table1[[#This Row],[Pregnant(Y/N)]]=0, Table1[[#This Row],[  I   beta-HCG(mIU/mL)]]&gt;5), "Investigation Required", "Clear")</f>
        <v>Clear</v>
      </c>
    </row>
    <row r="155" spans="1:61" ht="15.75" customHeight="1" x14ac:dyDescent="0.25">
      <c r="A155">
        <v>154</v>
      </c>
      <c r="B155">
        <v>154</v>
      </c>
      <c r="C155">
        <v>1</v>
      </c>
      <c r="D155" t="str">
        <f>IF(Table1[[#This Row],[PCOS (Y/N)]]=0,"NO","YES")</f>
        <v>YES</v>
      </c>
      <c r="E155">
        <v>29</v>
      </c>
      <c r="F155">
        <v>52</v>
      </c>
      <c r="G155">
        <v>147</v>
      </c>
      <c r="H155">
        <v>11</v>
      </c>
      <c r="I155">
        <v>74</v>
      </c>
      <c r="J155">
        <v>18</v>
      </c>
      <c r="K155">
        <v>11.5</v>
      </c>
      <c r="L155">
        <v>4</v>
      </c>
      <c r="M155">
        <v>4</v>
      </c>
      <c r="N155">
        <v>8</v>
      </c>
      <c r="O155">
        <v>0</v>
      </c>
      <c r="P155" t="str">
        <f>IF(Table1[[#This Row],[Pregnant(Y/N)]]=1,"YES","NO")</f>
        <v>NO</v>
      </c>
      <c r="Q155">
        <v>0</v>
      </c>
      <c r="R155">
        <v>1.99</v>
      </c>
      <c r="S155">
        <v>1.99</v>
      </c>
      <c r="T155">
        <v>6.65</v>
      </c>
      <c r="U155">
        <v>12.95</v>
      </c>
      <c r="V155">
        <f>Table1[[#This Row],[FSH(mIU/mL)]]/Table1[[#This Row],[LH(mIU/mL)]]</f>
        <v>0.5135135135135136</v>
      </c>
      <c r="W155" t="str">
        <f>IF(Table1[[#This Row],[FSH/LH]]&gt;=2,"Abnormal","Normal")</f>
        <v>Normal</v>
      </c>
      <c r="X155">
        <v>40</v>
      </c>
      <c r="Y155">
        <v>35</v>
      </c>
      <c r="Z155">
        <f>ROUND(Table1[[#This Row],[Waist(inch)]]/Table1[[#This Row],[Hip(inch)]],2)</f>
        <v>0.88</v>
      </c>
      <c r="AA155">
        <v>1.89</v>
      </c>
      <c r="AB155">
        <v>6.86</v>
      </c>
      <c r="AC155">
        <v>27.58</v>
      </c>
      <c r="AD155">
        <v>21.22</v>
      </c>
      <c r="AE155" t="str">
        <f>IF(Table1[[#This Row],[Vit D3 (ng/mL)]]&lt;20,"Deficiency","Normal")</f>
        <v>Normal</v>
      </c>
      <c r="AF155">
        <v>0.44</v>
      </c>
      <c r="AG155">
        <v>116</v>
      </c>
      <c r="AH155">
        <v>1</v>
      </c>
      <c r="AI155" t="str">
        <f>IF(Table1[[#This Row],[Weight gain(Y/N)]]=0,"NO","YES")</f>
        <v>YES</v>
      </c>
      <c r="AJ155">
        <v>0</v>
      </c>
      <c r="AK155" t="str">
        <f>IF(Table1[[#This Row],[hair growth(Y/N)]]=1,"YES","NO")</f>
        <v>NO</v>
      </c>
      <c r="AL155">
        <v>0</v>
      </c>
      <c r="AM155" t="str">
        <f>IF(Table1[[#This Row],[Skin darkening (Y/N)]]=1,"YES","NO")</f>
        <v>NO</v>
      </c>
      <c r="AN155">
        <v>1</v>
      </c>
      <c r="AO155" t="str">
        <f>IF(Table1[[#This Row],[Hair loss(Y/N)]]=1,"YES","NO")</f>
        <v>YES</v>
      </c>
      <c r="AP155">
        <v>0</v>
      </c>
      <c r="AQ155" t="str">
        <f>IF(Table1[[#This Row],[Pimples(Y/N)]]=1,"YES","NO")</f>
        <v>NO</v>
      </c>
      <c r="AR155">
        <v>0</v>
      </c>
      <c r="AS155" t="str">
        <f>IF(Table1[[#This Row],[Fast food (Y/N)]]=1,"YES","NO")</f>
        <v>NO</v>
      </c>
      <c r="AT155">
        <v>0</v>
      </c>
      <c r="AU155" t="str">
        <f>IF(Table1[[#This Row],[Reg.Exercise(Y/N)]]=1,"YES","NO")</f>
        <v>NO</v>
      </c>
      <c r="AV155">
        <v>110</v>
      </c>
      <c r="AW155">
        <v>80</v>
      </c>
      <c r="AX155">
        <v>3</v>
      </c>
      <c r="AY155">
        <v>5</v>
      </c>
      <c r="AZ155">
        <v>16</v>
      </c>
      <c r="BA155">
        <v>19</v>
      </c>
      <c r="BB155">
        <v>8</v>
      </c>
      <c r="BC155" t="str" cm="1">
        <f t="array" ref="BC155">_xlfn.IFS((F155/(G155*G155)*10000)&lt; 18.5,"Underweight",(F155/(G155*G155)*10000)&lt;24.9,"Normal",(F155/(G155*G155)*10000)&lt;29.9,"Overweight",(F155/(G155*G155)*10000)&gt;=30,"obesity")</f>
        <v>Normal</v>
      </c>
      <c r="BD155">
        <f>Table1[[#This Row],[Follicle No. (L)]]+Table1[[#This Row],[Follicle No. (R)]]</f>
        <v>8</v>
      </c>
      <c r="BE155">
        <f>Table1[[#This Row],[Avg. F size (L) (mm)]]+Table1[[#This Row],[Avg. F size (R) (mm)]]</f>
        <v>35</v>
      </c>
      <c r="BF155">
        <f>Table1[[#This Row],[BP _Diastolic (mmHg)]]+(Table1[[#This Row],[BP _Diastolic (mmHg)]]+Table1[[#This Row],[Follicle No. (L)]])/3</f>
        <v>107.66666666666667</v>
      </c>
      <c r="BG155" s="4" t="str" cm="1">
        <f t="array" ref="BG15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55" s="4">
        <f>SUM(Table1[[#This Row],[Pimples(Y/N)]],Table1[[#This Row],[hair growth(Y/N)]],Table1[[#This Row],[Skin darkening (Y/N)]],Table1[[#This Row],[Hair loss(Y/N)]])</f>
        <v>1</v>
      </c>
      <c r="BI155" s="4" t="str">
        <f>IF(AND(Table1[[#This Row],[Pregnant(Y/N)]]=0, Table1[[#This Row],[  I   beta-HCG(mIU/mL)]]&gt;5), "Investigation Required", "Clear")</f>
        <v>Clear</v>
      </c>
    </row>
    <row r="156" spans="1:61" ht="15.75" customHeight="1" x14ac:dyDescent="0.25">
      <c r="A156">
        <v>155</v>
      </c>
      <c r="B156">
        <v>155</v>
      </c>
      <c r="C156">
        <v>0</v>
      </c>
      <c r="D156" t="str">
        <f>IF(Table1[[#This Row],[PCOS (Y/N)]]=0,"NO","YES")</f>
        <v>NO</v>
      </c>
      <c r="E156">
        <v>26</v>
      </c>
      <c r="F156">
        <v>40</v>
      </c>
      <c r="G156">
        <v>152.4</v>
      </c>
      <c r="H156">
        <v>11</v>
      </c>
      <c r="I156">
        <v>72</v>
      </c>
      <c r="J156">
        <v>20</v>
      </c>
      <c r="K156">
        <v>10.8</v>
      </c>
      <c r="L156">
        <v>2</v>
      </c>
      <c r="M156">
        <v>5</v>
      </c>
      <c r="N156">
        <v>3</v>
      </c>
      <c r="O156">
        <v>1</v>
      </c>
      <c r="P156" t="str">
        <f>IF(Table1[[#This Row],[Pregnant(Y/N)]]=1,"YES","NO")</f>
        <v>YES</v>
      </c>
      <c r="Q156">
        <v>0</v>
      </c>
      <c r="R156">
        <v>60.8</v>
      </c>
      <c r="S156">
        <v>23.5</v>
      </c>
      <c r="T156">
        <v>6.56</v>
      </c>
      <c r="U156">
        <v>5.22</v>
      </c>
      <c r="V156">
        <f>Table1[[#This Row],[FSH(mIU/mL)]]/Table1[[#This Row],[LH(mIU/mL)]]</f>
        <v>1.2567049808429118</v>
      </c>
      <c r="W156" t="str">
        <f>IF(Table1[[#This Row],[FSH/LH]]&gt;=2,"Abnormal","Normal")</f>
        <v>Normal</v>
      </c>
      <c r="X156">
        <v>38</v>
      </c>
      <c r="Y156">
        <v>32</v>
      </c>
      <c r="Z156">
        <f>ROUND(Table1[[#This Row],[Waist(inch)]]/Table1[[#This Row],[Hip(inch)]],2)</f>
        <v>0.84</v>
      </c>
      <c r="AA156">
        <v>1.66</v>
      </c>
      <c r="AB156">
        <v>7.02</v>
      </c>
      <c r="AC156">
        <v>23.69</v>
      </c>
      <c r="AD156">
        <v>14.5</v>
      </c>
      <c r="AE156" t="str">
        <f>IF(Table1[[#This Row],[Vit D3 (ng/mL)]]&lt;20,"Deficiency","Normal")</f>
        <v>Deficiency</v>
      </c>
      <c r="AF156">
        <v>0.25</v>
      </c>
      <c r="AG156">
        <v>100</v>
      </c>
      <c r="AH156">
        <v>0</v>
      </c>
      <c r="AI156" t="str">
        <f>IF(Table1[[#This Row],[Weight gain(Y/N)]]=0,"NO","YES")</f>
        <v>NO</v>
      </c>
      <c r="AJ156">
        <v>0</v>
      </c>
      <c r="AK156" t="str">
        <f>IF(Table1[[#This Row],[hair growth(Y/N)]]=1,"YES","NO")</f>
        <v>NO</v>
      </c>
      <c r="AL156">
        <v>0</v>
      </c>
      <c r="AM156" t="str">
        <f>IF(Table1[[#This Row],[Skin darkening (Y/N)]]=1,"YES","NO")</f>
        <v>NO</v>
      </c>
      <c r="AN156">
        <v>1</v>
      </c>
      <c r="AO156" t="str">
        <f>IF(Table1[[#This Row],[Hair loss(Y/N)]]=1,"YES","NO")</f>
        <v>YES</v>
      </c>
      <c r="AP156">
        <v>0</v>
      </c>
      <c r="AQ156" t="str">
        <f>IF(Table1[[#This Row],[Pimples(Y/N)]]=1,"YES","NO")</f>
        <v>NO</v>
      </c>
      <c r="AR156">
        <v>0</v>
      </c>
      <c r="AS156" t="str">
        <f>IF(Table1[[#This Row],[Fast food (Y/N)]]=1,"YES","NO")</f>
        <v>NO</v>
      </c>
      <c r="AT156">
        <v>0</v>
      </c>
      <c r="AU156" t="str">
        <f>IF(Table1[[#This Row],[Reg.Exercise(Y/N)]]=1,"YES","NO")</f>
        <v>NO</v>
      </c>
      <c r="AV156">
        <v>120</v>
      </c>
      <c r="AW156">
        <v>80</v>
      </c>
      <c r="AX156">
        <v>6</v>
      </c>
      <c r="AY156">
        <v>5</v>
      </c>
      <c r="AZ156">
        <v>12</v>
      </c>
      <c r="BA156">
        <v>14</v>
      </c>
      <c r="BB156">
        <v>14</v>
      </c>
      <c r="BC156" t="str" cm="1">
        <f t="array" ref="BC156">_xlfn.IFS((F156/(G156*G156)*10000)&lt; 18.5,"Underweight",(F156/(G156*G156)*10000)&lt;24.9,"Normal",(F156/(G156*G156)*10000)&lt;29.9,"Overweight",(F156/(G156*G156)*10000)&gt;=30,"obesity")</f>
        <v>Underweight</v>
      </c>
      <c r="BD156">
        <f>Table1[[#This Row],[Follicle No. (L)]]+Table1[[#This Row],[Follicle No. (R)]]</f>
        <v>11</v>
      </c>
      <c r="BE156">
        <f>Table1[[#This Row],[Avg. F size (L) (mm)]]+Table1[[#This Row],[Avg. F size (R) (mm)]]</f>
        <v>26</v>
      </c>
      <c r="BF156">
        <f>Table1[[#This Row],[BP _Diastolic (mmHg)]]+(Table1[[#This Row],[BP _Diastolic (mmHg)]]+Table1[[#This Row],[Follicle No. (L)]])/3</f>
        <v>108.66666666666667</v>
      </c>
      <c r="BG156" s="4" t="str" cm="1">
        <f t="array" ref="BG15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56" s="4">
        <f>SUM(Table1[[#This Row],[Pimples(Y/N)]],Table1[[#This Row],[hair growth(Y/N)]],Table1[[#This Row],[Skin darkening (Y/N)]],Table1[[#This Row],[Hair loss(Y/N)]])</f>
        <v>1</v>
      </c>
      <c r="BI156" s="4" t="str">
        <f>IF(AND(Table1[[#This Row],[Pregnant(Y/N)]]=0, Table1[[#This Row],[  I   beta-HCG(mIU/mL)]]&gt;5), "Investigation Required", "Clear")</f>
        <v>Clear</v>
      </c>
    </row>
    <row r="157" spans="1:61" ht="15.75" customHeight="1" x14ac:dyDescent="0.25">
      <c r="A157">
        <v>156</v>
      </c>
      <c r="B157">
        <v>156</v>
      </c>
      <c r="C157">
        <v>0</v>
      </c>
      <c r="D157" t="str">
        <f>IF(Table1[[#This Row],[PCOS (Y/N)]]=0,"NO","YES")</f>
        <v>NO</v>
      </c>
      <c r="E157">
        <v>26</v>
      </c>
      <c r="F157">
        <v>49.3</v>
      </c>
      <c r="G157">
        <v>158</v>
      </c>
      <c r="H157">
        <v>15</v>
      </c>
      <c r="I157">
        <v>76</v>
      </c>
      <c r="J157">
        <v>18</v>
      </c>
      <c r="K157">
        <v>12.5</v>
      </c>
      <c r="L157">
        <v>4</v>
      </c>
      <c r="M157">
        <v>4</v>
      </c>
      <c r="N157">
        <v>4</v>
      </c>
      <c r="O157">
        <v>0</v>
      </c>
      <c r="P157" t="str">
        <f>IF(Table1[[#This Row],[Pregnant(Y/N)]]=1,"YES","NO")</f>
        <v>NO</v>
      </c>
      <c r="Q157">
        <v>0</v>
      </c>
      <c r="R157">
        <v>1.99</v>
      </c>
      <c r="S157">
        <v>1.99</v>
      </c>
      <c r="T157">
        <v>5.09</v>
      </c>
      <c r="U157">
        <v>3.13</v>
      </c>
      <c r="V157">
        <f>Table1[[#This Row],[FSH(mIU/mL)]]/Table1[[#This Row],[LH(mIU/mL)]]</f>
        <v>1.6261980830670926</v>
      </c>
      <c r="W157" t="str">
        <f>IF(Table1[[#This Row],[FSH/LH]]&gt;=2,"Abnormal","Normal")</f>
        <v>Normal</v>
      </c>
      <c r="X157">
        <v>45</v>
      </c>
      <c r="Y157">
        <v>35</v>
      </c>
      <c r="Z157">
        <f>ROUND(Table1[[#This Row],[Waist(inch)]]/Table1[[#This Row],[Hip(inch)]],2)</f>
        <v>0.78</v>
      </c>
      <c r="AA157">
        <v>2.56</v>
      </c>
      <c r="AB157">
        <v>8.75</v>
      </c>
      <c r="AC157">
        <v>44.27</v>
      </c>
      <c r="AD157">
        <v>9.6</v>
      </c>
      <c r="AE157" t="str">
        <f>IF(Table1[[#This Row],[Vit D3 (ng/mL)]]&lt;20,"Deficiency","Normal")</f>
        <v>Deficiency</v>
      </c>
      <c r="AF157">
        <v>0.25</v>
      </c>
      <c r="AG157">
        <v>73</v>
      </c>
      <c r="AH157">
        <v>0</v>
      </c>
      <c r="AI157" t="str">
        <f>IF(Table1[[#This Row],[Weight gain(Y/N)]]=0,"NO","YES")</f>
        <v>NO</v>
      </c>
      <c r="AJ157">
        <v>1</v>
      </c>
      <c r="AK157" t="str">
        <f>IF(Table1[[#This Row],[hair growth(Y/N)]]=1,"YES","NO")</f>
        <v>YES</v>
      </c>
      <c r="AL157">
        <v>0</v>
      </c>
      <c r="AM157" t="str">
        <f>IF(Table1[[#This Row],[Skin darkening (Y/N)]]=1,"YES","NO")</f>
        <v>NO</v>
      </c>
      <c r="AN157">
        <v>0</v>
      </c>
      <c r="AO157" t="str">
        <f>IF(Table1[[#This Row],[Hair loss(Y/N)]]=1,"YES","NO")</f>
        <v>NO</v>
      </c>
      <c r="AP157">
        <v>0</v>
      </c>
      <c r="AQ157" t="str">
        <f>IF(Table1[[#This Row],[Pimples(Y/N)]]=1,"YES","NO")</f>
        <v>NO</v>
      </c>
      <c r="AR157">
        <v>0</v>
      </c>
      <c r="AS157" t="str">
        <f>IF(Table1[[#This Row],[Fast food (Y/N)]]=1,"YES","NO")</f>
        <v>NO</v>
      </c>
      <c r="AT157">
        <v>0</v>
      </c>
      <c r="AU157" t="str">
        <f>IF(Table1[[#This Row],[Reg.Exercise(Y/N)]]=1,"YES","NO")</f>
        <v>NO</v>
      </c>
      <c r="AV157">
        <v>120</v>
      </c>
      <c r="AW157">
        <v>80</v>
      </c>
      <c r="AX157">
        <v>7</v>
      </c>
      <c r="AY157">
        <v>7</v>
      </c>
      <c r="AZ157">
        <v>14</v>
      </c>
      <c r="BA157">
        <v>16</v>
      </c>
      <c r="BB157">
        <v>7.5</v>
      </c>
      <c r="BC157" t="str" cm="1">
        <f t="array" ref="BC157">_xlfn.IFS((F157/(G157*G157)*10000)&lt; 18.5,"Underweight",(F157/(G157*G157)*10000)&lt;24.9,"Normal",(F157/(G157*G157)*10000)&lt;29.9,"Overweight",(F157/(G157*G157)*10000)&gt;=30,"obesity")</f>
        <v>Normal</v>
      </c>
      <c r="BD157">
        <f>Table1[[#This Row],[Follicle No. (L)]]+Table1[[#This Row],[Follicle No. (R)]]</f>
        <v>14</v>
      </c>
      <c r="BE157">
        <f>Table1[[#This Row],[Avg. F size (L) (mm)]]+Table1[[#This Row],[Avg. F size (R) (mm)]]</f>
        <v>30</v>
      </c>
      <c r="BF157">
        <f>Table1[[#This Row],[BP _Diastolic (mmHg)]]+(Table1[[#This Row],[BP _Diastolic (mmHg)]]+Table1[[#This Row],[Follicle No. (L)]])/3</f>
        <v>109</v>
      </c>
      <c r="BG157" s="4" t="str" cm="1">
        <f t="array" ref="BG15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57" s="4">
        <f>SUM(Table1[[#This Row],[Pimples(Y/N)]],Table1[[#This Row],[hair growth(Y/N)]],Table1[[#This Row],[Skin darkening (Y/N)]],Table1[[#This Row],[Hair loss(Y/N)]])</f>
        <v>1</v>
      </c>
      <c r="BI157" s="4" t="str">
        <f>IF(AND(Table1[[#This Row],[Pregnant(Y/N)]]=0, Table1[[#This Row],[  I   beta-HCG(mIU/mL)]]&gt;5), "Investigation Required", "Clear")</f>
        <v>Clear</v>
      </c>
    </row>
    <row r="158" spans="1:61" ht="15.75" customHeight="1" x14ac:dyDescent="0.25">
      <c r="A158">
        <v>157</v>
      </c>
      <c r="B158">
        <v>157</v>
      </c>
      <c r="C158">
        <v>0</v>
      </c>
      <c r="D158" t="str">
        <f>IF(Table1[[#This Row],[PCOS (Y/N)]]=0,"NO","YES")</f>
        <v>NO</v>
      </c>
      <c r="E158">
        <v>27</v>
      </c>
      <c r="F158">
        <v>53.2</v>
      </c>
      <c r="G158">
        <v>158</v>
      </c>
      <c r="H158">
        <v>13</v>
      </c>
      <c r="I158">
        <v>72</v>
      </c>
      <c r="J158">
        <v>22</v>
      </c>
      <c r="K158">
        <v>10.5</v>
      </c>
      <c r="L158">
        <v>4</v>
      </c>
      <c r="M158">
        <v>4</v>
      </c>
      <c r="N158">
        <v>5</v>
      </c>
      <c r="O158">
        <v>0</v>
      </c>
      <c r="P158" t="str">
        <f>IF(Table1[[#This Row],[Pregnant(Y/N)]]=1,"YES","NO")</f>
        <v>NO</v>
      </c>
      <c r="Q158">
        <v>0</v>
      </c>
      <c r="R158">
        <v>1.99</v>
      </c>
      <c r="S158">
        <v>1.99</v>
      </c>
      <c r="T158">
        <v>3.09</v>
      </c>
      <c r="U158">
        <v>0.59</v>
      </c>
      <c r="V158">
        <f>Table1[[#This Row],[FSH(mIU/mL)]]/Table1[[#This Row],[LH(mIU/mL)]]</f>
        <v>5.2372881355932206</v>
      </c>
      <c r="W158" t="str">
        <f>IF(Table1[[#This Row],[FSH/LH]]&gt;=2,"Abnormal","Normal")</f>
        <v>Abnormal</v>
      </c>
      <c r="X158">
        <v>37</v>
      </c>
      <c r="Y158">
        <v>32</v>
      </c>
      <c r="Z158">
        <f>ROUND(Table1[[#This Row],[Waist(inch)]]/Table1[[#This Row],[Hip(inch)]],2)</f>
        <v>0.86</v>
      </c>
      <c r="AA158">
        <v>2.0299999999999998</v>
      </c>
      <c r="AB158">
        <v>5.27</v>
      </c>
      <c r="AC158">
        <v>7.16</v>
      </c>
      <c r="AD158">
        <v>25.3</v>
      </c>
      <c r="AE158" t="str">
        <f>IF(Table1[[#This Row],[Vit D3 (ng/mL)]]&lt;20,"Deficiency","Normal")</f>
        <v>Normal</v>
      </c>
      <c r="AF158">
        <v>0.36</v>
      </c>
      <c r="AG158">
        <v>91</v>
      </c>
      <c r="AH158">
        <v>0</v>
      </c>
      <c r="AI158" t="str">
        <f>IF(Table1[[#This Row],[Weight gain(Y/N)]]=0,"NO","YES")</f>
        <v>NO</v>
      </c>
      <c r="AJ158">
        <v>0</v>
      </c>
      <c r="AK158" t="str">
        <f>IF(Table1[[#This Row],[hair growth(Y/N)]]=1,"YES","NO")</f>
        <v>NO</v>
      </c>
      <c r="AL158">
        <v>1</v>
      </c>
      <c r="AM158" t="str">
        <f>IF(Table1[[#This Row],[Skin darkening (Y/N)]]=1,"YES","NO")</f>
        <v>YES</v>
      </c>
      <c r="AN158">
        <v>1</v>
      </c>
      <c r="AO158" t="str">
        <f>IF(Table1[[#This Row],[Hair loss(Y/N)]]=1,"YES","NO")</f>
        <v>YES</v>
      </c>
      <c r="AP158">
        <v>0</v>
      </c>
      <c r="AQ158" t="str">
        <f>IF(Table1[[#This Row],[Pimples(Y/N)]]=1,"YES","NO")</f>
        <v>NO</v>
      </c>
      <c r="AS158" t="str">
        <f>IF(Table1[[#This Row],[Fast food (Y/N)]]=1,"YES","NO")</f>
        <v>NO</v>
      </c>
      <c r="AT158">
        <v>1</v>
      </c>
      <c r="AU158" t="str">
        <f>IF(Table1[[#This Row],[Reg.Exercise(Y/N)]]=1,"YES","NO")</f>
        <v>YES</v>
      </c>
      <c r="AV158">
        <v>120</v>
      </c>
      <c r="AW158">
        <v>70</v>
      </c>
      <c r="AX158">
        <v>5</v>
      </c>
      <c r="AY158">
        <v>7</v>
      </c>
      <c r="AZ158">
        <v>11</v>
      </c>
      <c r="BA158">
        <v>13</v>
      </c>
      <c r="BB158">
        <v>11</v>
      </c>
      <c r="BC158" t="str" cm="1">
        <f t="array" ref="BC158">_xlfn.IFS((F158/(G158*G158)*10000)&lt; 18.5,"Underweight",(F158/(G158*G158)*10000)&lt;24.9,"Normal",(F158/(G158*G158)*10000)&lt;29.9,"Overweight",(F158/(G158*G158)*10000)&gt;=30,"obesity")</f>
        <v>Normal</v>
      </c>
      <c r="BD158">
        <f>Table1[[#This Row],[Follicle No. (L)]]+Table1[[#This Row],[Follicle No. (R)]]</f>
        <v>12</v>
      </c>
      <c r="BE158">
        <f>Table1[[#This Row],[Avg. F size (L) (mm)]]+Table1[[#This Row],[Avg. F size (R) (mm)]]</f>
        <v>24</v>
      </c>
      <c r="BF158">
        <f>Table1[[#This Row],[BP _Diastolic (mmHg)]]+(Table1[[#This Row],[BP _Diastolic (mmHg)]]+Table1[[#This Row],[Follicle No. (L)]])/3</f>
        <v>95</v>
      </c>
      <c r="BG158" s="4" t="str" cm="1">
        <f t="array" ref="BG15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58" s="4">
        <f>SUM(Table1[[#This Row],[Pimples(Y/N)]],Table1[[#This Row],[hair growth(Y/N)]],Table1[[#This Row],[Skin darkening (Y/N)]],Table1[[#This Row],[Hair loss(Y/N)]])</f>
        <v>2</v>
      </c>
      <c r="BI158" s="4" t="str">
        <f>IF(AND(Table1[[#This Row],[Pregnant(Y/N)]]=0, Table1[[#This Row],[  I   beta-HCG(mIU/mL)]]&gt;5), "Investigation Required", "Clear")</f>
        <v>Clear</v>
      </c>
    </row>
    <row r="159" spans="1:61" ht="15.75" customHeight="1" x14ac:dyDescent="0.25">
      <c r="A159">
        <v>158</v>
      </c>
      <c r="B159">
        <v>158</v>
      </c>
      <c r="C159">
        <v>0</v>
      </c>
      <c r="D159" t="str">
        <f>IF(Table1[[#This Row],[PCOS (Y/N)]]=0,"NO","YES")</f>
        <v>NO</v>
      </c>
      <c r="E159">
        <v>34</v>
      </c>
      <c r="F159">
        <v>64</v>
      </c>
      <c r="G159">
        <v>158</v>
      </c>
      <c r="H159">
        <v>15</v>
      </c>
      <c r="I159">
        <v>73</v>
      </c>
      <c r="J159">
        <v>20</v>
      </c>
      <c r="K159">
        <v>11.8</v>
      </c>
      <c r="L159">
        <v>2</v>
      </c>
      <c r="M159">
        <v>6</v>
      </c>
      <c r="N159">
        <v>12</v>
      </c>
      <c r="O159">
        <v>1</v>
      </c>
      <c r="P159" t="str">
        <f>IF(Table1[[#This Row],[Pregnant(Y/N)]]=1,"YES","NO")</f>
        <v>YES</v>
      </c>
      <c r="Q159">
        <v>1</v>
      </c>
      <c r="R159">
        <v>289.36</v>
      </c>
      <c r="S159">
        <v>180.3</v>
      </c>
      <c r="T159">
        <v>6.98</v>
      </c>
      <c r="U159">
        <v>1.83</v>
      </c>
      <c r="V159">
        <f>Table1[[#This Row],[FSH(mIU/mL)]]/Table1[[#This Row],[LH(mIU/mL)]]</f>
        <v>3.8142076502732243</v>
      </c>
      <c r="W159" t="str">
        <f>IF(Table1[[#This Row],[FSH/LH]]&gt;=2,"Abnormal","Normal")</f>
        <v>Abnormal</v>
      </c>
      <c r="X159">
        <v>42</v>
      </c>
      <c r="Y159">
        <v>34</v>
      </c>
      <c r="Z159">
        <f>ROUND(Table1[[#This Row],[Waist(inch)]]/Table1[[#This Row],[Hip(inch)]],2)</f>
        <v>0.81</v>
      </c>
      <c r="AA159">
        <v>2.96</v>
      </c>
      <c r="AB159">
        <v>1.4</v>
      </c>
      <c r="AC159">
        <v>24.89</v>
      </c>
      <c r="AD159">
        <v>56.9</v>
      </c>
      <c r="AE159" t="str">
        <f>IF(Table1[[#This Row],[Vit D3 (ng/mL)]]&lt;20,"Deficiency","Normal")</f>
        <v>Normal</v>
      </c>
      <c r="AF159">
        <v>0.4</v>
      </c>
      <c r="AG159">
        <v>110</v>
      </c>
      <c r="AH159">
        <v>1</v>
      </c>
      <c r="AI159" t="str">
        <f>IF(Table1[[#This Row],[Weight gain(Y/N)]]=0,"NO","YES")</f>
        <v>YES</v>
      </c>
      <c r="AJ159">
        <v>0</v>
      </c>
      <c r="AK159" t="str">
        <f>IF(Table1[[#This Row],[hair growth(Y/N)]]=1,"YES","NO")</f>
        <v>NO</v>
      </c>
      <c r="AL159">
        <v>1</v>
      </c>
      <c r="AM159" t="str">
        <f>IF(Table1[[#This Row],[Skin darkening (Y/N)]]=1,"YES","NO")</f>
        <v>YES</v>
      </c>
      <c r="AN159">
        <v>1</v>
      </c>
      <c r="AO159" t="str">
        <f>IF(Table1[[#This Row],[Hair loss(Y/N)]]=1,"YES","NO")</f>
        <v>YES</v>
      </c>
      <c r="AP159">
        <v>1</v>
      </c>
      <c r="AQ159" t="str">
        <f>IF(Table1[[#This Row],[Pimples(Y/N)]]=1,"YES","NO")</f>
        <v>YES</v>
      </c>
      <c r="AR159">
        <v>1</v>
      </c>
      <c r="AS159" t="str">
        <f>IF(Table1[[#This Row],[Fast food (Y/N)]]=1,"YES","NO")</f>
        <v>YES</v>
      </c>
      <c r="AT159">
        <v>0</v>
      </c>
      <c r="AU159" t="str">
        <f>IF(Table1[[#This Row],[Reg.Exercise(Y/N)]]=1,"YES","NO")</f>
        <v>NO</v>
      </c>
      <c r="AV159">
        <v>120</v>
      </c>
      <c r="AW159">
        <v>80</v>
      </c>
      <c r="AX159">
        <v>3</v>
      </c>
      <c r="AY159">
        <v>5</v>
      </c>
      <c r="AZ159">
        <v>12</v>
      </c>
      <c r="BA159">
        <v>12</v>
      </c>
      <c r="BB159">
        <v>10</v>
      </c>
      <c r="BC159" t="str" cm="1">
        <f t="array" ref="BC159">_xlfn.IFS((F159/(G159*G159)*10000)&lt; 18.5,"Underweight",(F159/(G159*G159)*10000)&lt;24.9,"Normal",(F159/(G159*G159)*10000)&lt;29.9,"Overweight",(F159/(G159*G159)*10000)&gt;=30,"obesity")</f>
        <v>Overweight</v>
      </c>
      <c r="BD159">
        <f>Table1[[#This Row],[Follicle No. (L)]]+Table1[[#This Row],[Follicle No. (R)]]</f>
        <v>8</v>
      </c>
      <c r="BE159">
        <f>Table1[[#This Row],[Avg. F size (L) (mm)]]+Table1[[#This Row],[Avg. F size (R) (mm)]]</f>
        <v>24</v>
      </c>
      <c r="BF159">
        <f>Table1[[#This Row],[BP _Diastolic (mmHg)]]+(Table1[[#This Row],[BP _Diastolic (mmHg)]]+Table1[[#This Row],[Follicle No. (L)]])/3</f>
        <v>107.66666666666667</v>
      </c>
      <c r="BG159" s="4" t="str" cm="1">
        <f t="array" ref="BG15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59" s="4">
        <f>SUM(Table1[[#This Row],[Pimples(Y/N)]],Table1[[#This Row],[hair growth(Y/N)]],Table1[[#This Row],[Skin darkening (Y/N)]],Table1[[#This Row],[Hair loss(Y/N)]])</f>
        <v>3</v>
      </c>
      <c r="BI159" s="4" t="str">
        <f>IF(AND(Table1[[#This Row],[Pregnant(Y/N)]]=0, Table1[[#This Row],[  I   beta-HCG(mIU/mL)]]&gt;5), "Investigation Required", "Clear")</f>
        <v>Clear</v>
      </c>
    </row>
    <row r="160" spans="1:61" ht="15.75" customHeight="1" x14ac:dyDescent="0.25">
      <c r="A160">
        <v>159</v>
      </c>
      <c r="B160">
        <v>159</v>
      </c>
      <c r="C160">
        <v>1</v>
      </c>
      <c r="D160" t="str">
        <f>IF(Table1[[#This Row],[PCOS (Y/N)]]=0,"NO","YES")</f>
        <v>YES</v>
      </c>
      <c r="E160">
        <v>25</v>
      </c>
      <c r="F160">
        <v>60</v>
      </c>
      <c r="G160">
        <v>151</v>
      </c>
      <c r="H160">
        <v>15</v>
      </c>
      <c r="I160">
        <v>74</v>
      </c>
      <c r="J160">
        <v>18</v>
      </c>
      <c r="K160">
        <v>11.7</v>
      </c>
      <c r="L160">
        <v>2</v>
      </c>
      <c r="M160">
        <v>4</v>
      </c>
      <c r="N160">
        <v>3</v>
      </c>
      <c r="O160">
        <v>0</v>
      </c>
      <c r="P160" t="str">
        <f>IF(Table1[[#This Row],[Pregnant(Y/N)]]=1,"YES","NO")</f>
        <v>NO</v>
      </c>
      <c r="Q160">
        <v>0</v>
      </c>
      <c r="R160">
        <v>1.99</v>
      </c>
      <c r="S160">
        <v>1.99</v>
      </c>
      <c r="T160">
        <v>6.96</v>
      </c>
      <c r="U160">
        <v>5.1100000000000003</v>
      </c>
      <c r="V160">
        <f>Table1[[#This Row],[FSH(mIU/mL)]]/Table1[[#This Row],[LH(mIU/mL)]]</f>
        <v>1.3620352250489236</v>
      </c>
      <c r="W160" t="str">
        <f>IF(Table1[[#This Row],[FSH/LH]]&gt;=2,"Abnormal","Normal")</f>
        <v>Normal</v>
      </c>
      <c r="X160">
        <v>40</v>
      </c>
      <c r="Y160">
        <v>34</v>
      </c>
      <c r="Z160">
        <f>ROUND(Table1[[#This Row],[Waist(inch)]]/Table1[[#This Row],[Hip(inch)]],2)</f>
        <v>0.85</v>
      </c>
      <c r="AA160">
        <v>3.06</v>
      </c>
      <c r="AB160">
        <v>9</v>
      </c>
      <c r="AC160">
        <v>25.04</v>
      </c>
      <c r="AD160">
        <v>33.6</v>
      </c>
      <c r="AE160" t="str">
        <f>IF(Table1[[#This Row],[Vit D3 (ng/mL)]]&lt;20,"Deficiency","Normal")</f>
        <v>Normal</v>
      </c>
      <c r="AF160">
        <v>0.25</v>
      </c>
      <c r="AG160">
        <v>100</v>
      </c>
      <c r="AH160">
        <v>1</v>
      </c>
      <c r="AI160" t="str">
        <f>IF(Table1[[#This Row],[Weight gain(Y/N)]]=0,"NO","YES")</f>
        <v>YES</v>
      </c>
      <c r="AJ160">
        <v>1</v>
      </c>
      <c r="AK160" t="str">
        <f>IF(Table1[[#This Row],[hair growth(Y/N)]]=1,"YES","NO")</f>
        <v>YES</v>
      </c>
      <c r="AL160">
        <v>0</v>
      </c>
      <c r="AM160" t="str">
        <f>IF(Table1[[#This Row],[Skin darkening (Y/N)]]=1,"YES","NO")</f>
        <v>NO</v>
      </c>
      <c r="AN160">
        <v>1</v>
      </c>
      <c r="AO160" t="str">
        <f>IF(Table1[[#This Row],[Hair loss(Y/N)]]=1,"YES","NO")</f>
        <v>YES</v>
      </c>
      <c r="AP160">
        <v>1</v>
      </c>
      <c r="AQ160" t="str">
        <f>IF(Table1[[#This Row],[Pimples(Y/N)]]=1,"YES","NO")</f>
        <v>YES</v>
      </c>
      <c r="AR160">
        <v>1</v>
      </c>
      <c r="AS160" t="str">
        <f>IF(Table1[[#This Row],[Fast food (Y/N)]]=1,"YES","NO")</f>
        <v>YES</v>
      </c>
      <c r="AT160">
        <v>0</v>
      </c>
      <c r="AU160" t="str">
        <f>IF(Table1[[#This Row],[Reg.Exercise(Y/N)]]=1,"YES","NO")</f>
        <v>NO</v>
      </c>
      <c r="AV160">
        <v>110</v>
      </c>
      <c r="AW160">
        <v>70</v>
      </c>
      <c r="AX160">
        <v>9</v>
      </c>
      <c r="AY160">
        <v>7</v>
      </c>
      <c r="AZ160">
        <v>13</v>
      </c>
      <c r="BA160">
        <v>16</v>
      </c>
      <c r="BB160">
        <v>9</v>
      </c>
      <c r="BC160" t="str" cm="1">
        <f t="array" ref="BC160">_xlfn.IFS((F160/(G160*G160)*10000)&lt; 18.5,"Underweight",(F160/(G160*G160)*10000)&lt;24.9,"Normal",(F160/(G160*G160)*10000)&lt;29.9,"Overweight",(F160/(G160*G160)*10000)&gt;=30,"obesity")</f>
        <v>Overweight</v>
      </c>
      <c r="BD160">
        <f>Table1[[#This Row],[Follicle No. (L)]]+Table1[[#This Row],[Follicle No. (R)]]</f>
        <v>16</v>
      </c>
      <c r="BE160">
        <f>Table1[[#This Row],[Avg. F size (L) (mm)]]+Table1[[#This Row],[Avg. F size (R) (mm)]]</f>
        <v>29</v>
      </c>
      <c r="BF160">
        <f>Table1[[#This Row],[BP _Diastolic (mmHg)]]+(Table1[[#This Row],[BP _Diastolic (mmHg)]]+Table1[[#This Row],[Follicle No. (L)]])/3</f>
        <v>96.333333333333329</v>
      </c>
      <c r="BG160" s="4" t="str" cm="1">
        <f t="array" ref="BG16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60" s="4">
        <f>SUM(Table1[[#This Row],[Pimples(Y/N)]],Table1[[#This Row],[hair growth(Y/N)]],Table1[[#This Row],[Skin darkening (Y/N)]],Table1[[#This Row],[Hair loss(Y/N)]])</f>
        <v>3</v>
      </c>
      <c r="BI160" s="4" t="str">
        <f>IF(AND(Table1[[#This Row],[Pregnant(Y/N)]]=0, Table1[[#This Row],[  I   beta-HCG(mIU/mL)]]&gt;5), "Investigation Required", "Clear")</f>
        <v>Clear</v>
      </c>
    </row>
    <row r="161" spans="1:61" ht="15.75" customHeight="1" x14ac:dyDescent="0.25">
      <c r="A161">
        <v>160</v>
      </c>
      <c r="B161">
        <v>160</v>
      </c>
      <c r="C161">
        <v>0</v>
      </c>
      <c r="D161" t="str">
        <f>IF(Table1[[#This Row],[PCOS (Y/N)]]=0,"NO","YES")</f>
        <v>NO</v>
      </c>
      <c r="E161">
        <v>32</v>
      </c>
      <c r="F161">
        <v>64</v>
      </c>
      <c r="G161">
        <v>158</v>
      </c>
      <c r="H161">
        <v>15</v>
      </c>
      <c r="I161">
        <v>73</v>
      </c>
      <c r="J161">
        <v>18</v>
      </c>
      <c r="K161">
        <v>11.2</v>
      </c>
      <c r="L161">
        <v>2</v>
      </c>
      <c r="M161">
        <v>5</v>
      </c>
      <c r="N161">
        <v>10</v>
      </c>
      <c r="O161">
        <v>1</v>
      </c>
      <c r="P161" t="str">
        <f>IF(Table1[[#This Row],[Pregnant(Y/N)]]=1,"YES","NO")</f>
        <v>YES</v>
      </c>
      <c r="Q161">
        <v>2</v>
      </c>
      <c r="R161">
        <v>366.8</v>
      </c>
      <c r="S161">
        <v>102.3</v>
      </c>
      <c r="T161">
        <v>4.33</v>
      </c>
      <c r="U161">
        <v>2.48</v>
      </c>
      <c r="V161">
        <f>Table1[[#This Row],[FSH(mIU/mL)]]/Table1[[#This Row],[LH(mIU/mL)]]</f>
        <v>1.745967741935484</v>
      </c>
      <c r="W161" t="str">
        <f>IF(Table1[[#This Row],[FSH/LH]]&gt;=2,"Abnormal","Normal")</f>
        <v>Normal</v>
      </c>
      <c r="X161">
        <v>38</v>
      </c>
      <c r="Y161">
        <v>32</v>
      </c>
      <c r="Z161">
        <f>ROUND(Table1[[#This Row],[Waist(inch)]]/Table1[[#This Row],[Hip(inch)]],2)</f>
        <v>0.84</v>
      </c>
      <c r="AA161">
        <v>1.51</v>
      </c>
      <c r="AB161">
        <v>3.56</v>
      </c>
      <c r="AC161">
        <v>8.2100000000000009</v>
      </c>
      <c r="AD161">
        <v>31.5</v>
      </c>
      <c r="AE161" t="str">
        <f>IF(Table1[[#This Row],[Vit D3 (ng/mL)]]&lt;20,"Deficiency","Normal")</f>
        <v>Normal</v>
      </c>
      <c r="AF161">
        <v>0.21</v>
      </c>
      <c r="AG161">
        <v>91</v>
      </c>
      <c r="AH161">
        <v>0</v>
      </c>
      <c r="AI161" t="str">
        <f>IF(Table1[[#This Row],[Weight gain(Y/N)]]=0,"NO","YES")</f>
        <v>NO</v>
      </c>
      <c r="AJ161">
        <v>0</v>
      </c>
      <c r="AK161" t="str">
        <f>IF(Table1[[#This Row],[hair growth(Y/N)]]=1,"YES","NO")</f>
        <v>NO</v>
      </c>
      <c r="AL161">
        <v>1</v>
      </c>
      <c r="AM161" t="str">
        <f>IF(Table1[[#This Row],[Skin darkening (Y/N)]]=1,"YES","NO")</f>
        <v>YES</v>
      </c>
      <c r="AN161">
        <v>1</v>
      </c>
      <c r="AO161" t="str">
        <f>IF(Table1[[#This Row],[Hair loss(Y/N)]]=1,"YES","NO")</f>
        <v>YES</v>
      </c>
      <c r="AP161">
        <v>0</v>
      </c>
      <c r="AQ161" t="str">
        <f>IF(Table1[[#This Row],[Pimples(Y/N)]]=1,"YES","NO")</f>
        <v>NO</v>
      </c>
      <c r="AR161">
        <v>0</v>
      </c>
      <c r="AS161" t="str">
        <f>IF(Table1[[#This Row],[Fast food (Y/N)]]=1,"YES","NO")</f>
        <v>NO</v>
      </c>
      <c r="AT161">
        <v>0</v>
      </c>
      <c r="AU161" t="str">
        <f>IF(Table1[[#This Row],[Reg.Exercise(Y/N)]]=1,"YES","NO")</f>
        <v>NO</v>
      </c>
      <c r="AV161">
        <v>110</v>
      </c>
      <c r="AW161">
        <v>80</v>
      </c>
      <c r="AX161">
        <v>5</v>
      </c>
      <c r="AY161">
        <v>7</v>
      </c>
      <c r="AZ161">
        <v>11</v>
      </c>
      <c r="BA161">
        <v>12</v>
      </c>
      <c r="BB161">
        <v>9.5</v>
      </c>
      <c r="BC161" t="str" cm="1">
        <f t="array" ref="BC161">_xlfn.IFS((F161/(G161*G161)*10000)&lt; 18.5,"Underweight",(F161/(G161*G161)*10000)&lt;24.9,"Normal",(F161/(G161*G161)*10000)&lt;29.9,"Overweight",(F161/(G161*G161)*10000)&gt;=30,"obesity")</f>
        <v>Overweight</v>
      </c>
      <c r="BD161">
        <f>Table1[[#This Row],[Follicle No. (L)]]+Table1[[#This Row],[Follicle No. (R)]]</f>
        <v>12</v>
      </c>
      <c r="BE161">
        <f>Table1[[#This Row],[Avg. F size (L) (mm)]]+Table1[[#This Row],[Avg. F size (R) (mm)]]</f>
        <v>23</v>
      </c>
      <c r="BF161">
        <f>Table1[[#This Row],[BP _Diastolic (mmHg)]]+(Table1[[#This Row],[BP _Diastolic (mmHg)]]+Table1[[#This Row],[Follicle No. (L)]])/3</f>
        <v>108.33333333333333</v>
      </c>
      <c r="BG161" s="4" t="str" cm="1">
        <f t="array" ref="BG16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61" s="4">
        <f>SUM(Table1[[#This Row],[Pimples(Y/N)]],Table1[[#This Row],[hair growth(Y/N)]],Table1[[#This Row],[Skin darkening (Y/N)]],Table1[[#This Row],[Hair loss(Y/N)]])</f>
        <v>2</v>
      </c>
      <c r="BI161" s="4" t="str">
        <f>IF(AND(Table1[[#This Row],[Pregnant(Y/N)]]=0, Table1[[#This Row],[  I   beta-HCG(mIU/mL)]]&gt;5), "Investigation Required", "Clear")</f>
        <v>Clear</v>
      </c>
    </row>
    <row r="162" spans="1:61" ht="15.75" customHeight="1" x14ac:dyDescent="0.25">
      <c r="A162">
        <v>161</v>
      </c>
      <c r="B162">
        <v>161</v>
      </c>
      <c r="C162">
        <v>0</v>
      </c>
      <c r="D162" t="str">
        <f>IF(Table1[[#This Row],[PCOS (Y/N)]]=0,"NO","YES")</f>
        <v>NO</v>
      </c>
      <c r="E162">
        <v>36</v>
      </c>
      <c r="F162">
        <v>50</v>
      </c>
      <c r="G162">
        <v>143</v>
      </c>
      <c r="H162">
        <v>13</v>
      </c>
      <c r="I162">
        <v>72</v>
      </c>
      <c r="J162">
        <v>20</v>
      </c>
      <c r="K162">
        <v>10.5</v>
      </c>
      <c r="L162">
        <v>2</v>
      </c>
      <c r="M162">
        <v>6</v>
      </c>
      <c r="N162">
        <v>15</v>
      </c>
      <c r="O162">
        <v>1</v>
      </c>
      <c r="P162" t="str">
        <f>IF(Table1[[#This Row],[Pregnant(Y/N)]]=1,"YES","NO")</f>
        <v>YES</v>
      </c>
      <c r="Q162">
        <v>1</v>
      </c>
      <c r="R162">
        <v>96.2</v>
      </c>
      <c r="S162">
        <v>1.99</v>
      </c>
      <c r="T162">
        <v>1.63</v>
      </c>
      <c r="U162">
        <v>0.25</v>
      </c>
      <c r="V162">
        <f>Table1[[#This Row],[FSH(mIU/mL)]]/Table1[[#This Row],[LH(mIU/mL)]]</f>
        <v>6.52</v>
      </c>
      <c r="W162" t="str">
        <f>IF(Table1[[#This Row],[FSH/LH]]&gt;=2,"Abnormal","Normal")</f>
        <v>Abnormal</v>
      </c>
      <c r="X162">
        <v>36</v>
      </c>
      <c r="Y162">
        <v>32</v>
      </c>
      <c r="Z162">
        <f>ROUND(Table1[[#This Row],[Waist(inch)]]/Table1[[#This Row],[Hip(inch)]],2)</f>
        <v>0.89</v>
      </c>
      <c r="AA162">
        <v>0.81</v>
      </c>
      <c r="AB162">
        <v>3.41</v>
      </c>
      <c r="AC162">
        <v>18.059999999999999</v>
      </c>
      <c r="AD162">
        <v>18.5</v>
      </c>
      <c r="AE162" t="str">
        <f>IF(Table1[[#This Row],[Vit D3 (ng/mL)]]&lt;20,"Deficiency","Normal")</f>
        <v>Deficiency</v>
      </c>
      <c r="AF162">
        <v>0.45</v>
      </c>
      <c r="AG162">
        <v>116</v>
      </c>
      <c r="AH162">
        <v>0</v>
      </c>
      <c r="AI162" t="str">
        <f>IF(Table1[[#This Row],[Weight gain(Y/N)]]=0,"NO","YES")</f>
        <v>NO</v>
      </c>
      <c r="AJ162">
        <v>0</v>
      </c>
      <c r="AK162" t="str">
        <f>IF(Table1[[#This Row],[hair growth(Y/N)]]=1,"YES","NO")</f>
        <v>NO</v>
      </c>
      <c r="AL162">
        <v>0</v>
      </c>
      <c r="AM162" t="str">
        <f>IF(Table1[[#This Row],[Skin darkening (Y/N)]]=1,"YES","NO")</f>
        <v>NO</v>
      </c>
      <c r="AN162">
        <v>1</v>
      </c>
      <c r="AO162" t="str">
        <f>IF(Table1[[#This Row],[Hair loss(Y/N)]]=1,"YES","NO")</f>
        <v>YES</v>
      </c>
      <c r="AP162">
        <v>1</v>
      </c>
      <c r="AQ162" t="str">
        <f>IF(Table1[[#This Row],[Pimples(Y/N)]]=1,"YES","NO")</f>
        <v>YES</v>
      </c>
      <c r="AR162">
        <v>0</v>
      </c>
      <c r="AS162" t="str">
        <f>IF(Table1[[#This Row],[Fast food (Y/N)]]=1,"YES","NO")</f>
        <v>NO</v>
      </c>
      <c r="AT162">
        <v>0</v>
      </c>
      <c r="AU162" t="str">
        <f>IF(Table1[[#This Row],[Reg.Exercise(Y/N)]]=1,"YES","NO")</f>
        <v>NO</v>
      </c>
      <c r="AV162">
        <v>120</v>
      </c>
      <c r="AW162">
        <v>80</v>
      </c>
      <c r="AX162">
        <v>3</v>
      </c>
      <c r="AY162">
        <v>5</v>
      </c>
      <c r="AZ162">
        <v>11</v>
      </c>
      <c r="BA162">
        <v>13</v>
      </c>
      <c r="BB162">
        <v>6</v>
      </c>
      <c r="BC162" t="str" cm="1">
        <f t="array" ref="BC162">_xlfn.IFS((F162/(G162*G162)*10000)&lt; 18.5,"Underweight",(F162/(G162*G162)*10000)&lt;24.9,"Normal",(F162/(G162*G162)*10000)&lt;29.9,"Overweight",(F162/(G162*G162)*10000)&gt;=30,"obesity")</f>
        <v>Normal</v>
      </c>
      <c r="BD162">
        <f>Table1[[#This Row],[Follicle No. (L)]]+Table1[[#This Row],[Follicle No. (R)]]</f>
        <v>8</v>
      </c>
      <c r="BE162">
        <f>Table1[[#This Row],[Avg. F size (L) (mm)]]+Table1[[#This Row],[Avg. F size (R) (mm)]]</f>
        <v>24</v>
      </c>
      <c r="BF162">
        <f>Table1[[#This Row],[BP _Diastolic (mmHg)]]+(Table1[[#This Row],[BP _Diastolic (mmHg)]]+Table1[[#This Row],[Follicle No. (L)]])/3</f>
        <v>107.66666666666667</v>
      </c>
      <c r="BG162" s="4" t="str" cm="1">
        <f t="array" ref="BG16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62" s="4">
        <f>SUM(Table1[[#This Row],[Pimples(Y/N)]],Table1[[#This Row],[hair growth(Y/N)]],Table1[[#This Row],[Skin darkening (Y/N)]],Table1[[#This Row],[Hair loss(Y/N)]])</f>
        <v>2</v>
      </c>
      <c r="BI162" s="4" t="str">
        <f>IF(AND(Table1[[#This Row],[Pregnant(Y/N)]]=0, Table1[[#This Row],[  I   beta-HCG(mIU/mL)]]&gt;5), "Investigation Required", "Clear")</f>
        <v>Clear</v>
      </c>
    </row>
    <row r="163" spans="1:61" ht="15.75" customHeight="1" x14ac:dyDescent="0.25">
      <c r="A163">
        <v>162</v>
      </c>
      <c r="B163">
        <v>162</v>
      </c>
      <c r="C163">
        <v>0</v>
      </c>
      <c r="D163" t="str">
        <f>IF(Table1[[#This Row],[PCOS (Y/N)]]=0,"NO","YES")</f>
        <v>NO</v>
      </c>
      <c r="E163">
        <v>38</v>
      </c>
      <c r="F163">
        <v>70</v>
      </c>
      <c r="G163">
        <v>170</v>
      </c>
      <c r="H163">
        <v>13</v>
      </c>
      <c r="I163">
        <v>75</v>
      </c>
      <c r="J163">
        <v>20</v>
      </c>
      <c r="K163">
        <v>12.5</v>
      </c>
      <c r="L163">
        <v>2</v>
      </c>
      <c r="M163">
        <v>5</v>
      </c>
      <c r="N163">
        <v>18</v>
      </c>
      <c r="O163">
        <v>0</v>
      </c>
      <c r="P163" t="str">
        <f>IF(Table1[[#This Row],[Pregnant(Y/N)]]=1,"YES","NO")</f>
        <v>NO</v>
      </c>
      <c r="Q163">
        <v>3</v>
      </c>
      <c r="R163">
        <v>1.99</v>
      </c>
      <c r="S163">
        <v>1.99</v>
      </c>
      <c r="T163">
        <v>2.5</v>
      </c>
      <c r="U163">
        <v>2.5299999999999998</v>
      </c>
      <c r="V163">
        <f>Table1[[#This Row],[FSH(mIU/mL)]]/Table1[[#This Row],[LH(mIU/mL)]]</f>
        <v>0.98814229249011865</v>
      </c>
      <c r="W163" t="str">
        <f>IF(Table1[[#This Row],[FSH/LH]]&gt;=2,"Abnormal","Normal")</f>
        <v>Normal</v>
      </c>
      <c r="X163">
        <v>40</v>
      </c>
      <c r="Y163">
        <v>34</v>
      </c>
      <c r="Z163">
        <f>ROUND(Table1[[#This Row],[Waist(inch)]]/Table1[[#This Row],[Hip(inch)]],2)</f>
        <v>0.85</v>
      </c>
      <c r="AA163">
        <v>1.52</v>
      </c>
      <c r="AB163">
        <v>0.45</v>
      </c>
      <c r="AC163">
        <v>13.56</v>
      </c>
      <c r="AD163">
        <v>24</v>
      </c>
      <c r="AE163" t="str">
        <f>IF(Table1[[#This Row],[Vit D3 (ng/mL)]]&lt;20,"Deficiency","Normal")</f>
        <v>Normal</v>
      </c>
      <c r="AF163">
        <v>0.32</v>
      </c>
      <c r="AG163">
        <v>92</v>
      </c>
      <c r="AH163">
        <v>1</v>
      </c>
      <c r="AI163" t="str">
        <f>IF(Table1[[#This Row],[Weight gain(Y/N)]]=0,"NO","YES")</f>
        <v>YES</v>
      </c>
      <c r="AJ163">
        <v>1</v>
      </c>
      <c r="AK163" t="str">
        <f>IF(Table1[[#This Row],[hair growth(Y/N)]]=1,"YES","NO")</f>
        <v>YES</v>
      </c>
      <c r="AL163">
        <v>1</v>
      </c>
      <c r="AM163" t="str">
        <f>IF(Table1[[#This Row],[Skin darkening (Y/N)]]=1,"YES","NO")</f>
        <v>YES</v>
      </c>
      <c r="AN163">
        <v>0</v>
      </c>
      <c r="AO163" t="str">
        <f>IF(Table1[[#This Row],[Hair loss(Y/N)]]=1,"YES","NO")</f>
        <v>NO</v>
      </c>
      <c r="AP163">
        <v>0</v>
      </c>
      <c r="AQ163" t="str">
        <f>IF(Table1[[#This Row],[Pimples(Y/N)]]=1,"YES","NO")</f>
        <v>NO</v>
      </c>
      <c r="AR163">
        <v>0</v>
      </c>
      <c r="AS163" t="str">
        <f>IF(Table1[[#This Row],[Fast food (Y/N)]]=1,"YES","NO")</f>
        <v>NO</v>
      </c>
      <c r="AT163">
        <v>0</v>
      </c>
      <c r="AU163" t="str">
        <f>IF(Table1[[#This Row],[Reg.Exercise(Y/N)]]=1,"YES","NO")</f>
        <v>NO</v>
      </c>
      <c r="AV163">
        <v>12</v>
      </c>
      <c r="AW163">
        <v>80</v>
      </c>
      <c r="AX163">
        <v>1</v>
      </c>
      <c r="AY163">
        <v>1</v>
      </c>
      <c r="AZ163">
        <v>11</v>
      </c>
      <c r="BA163">
        <v>12</v>
      </c>
      <c r="BB163">
        <v>5</v>
      </c>
      <c r="BC163" t="str" cm="1">
        <f t="array" ref="BC163">_xlfn.IFS((F163/(G163*G163)*10000)&lt; 18.5,"Underweight",(F163/(G163*G163)*10000)&lt;24.9,"Normal",(F163/(G163*G163)*10000)&lt;29.9,"Overweight",(F163/(G163*G163)*10000)&gt;=30,"obesity")</f>
        <v>Normal</v>
      </c>
      <c r="BD163">
        <f>Table1[[#This Row],[Follicle No. (L)]]+Table1[[#This Row],[Follicle No. (R)]]</f>
        <v>2</v>
      </c>
      <c r="BE163">
        <f>Table1[[#This Row],[Avg. F size (L) (mm)]]+Table1[[#This Row],[Avg. F size (R) (mm)]]</f>
        <v>23</v>
      </c>
      <c r="BF163">
        <f>Table1[[#This Row],[BP _Diastolic (mmHg)]]+(Table1[[#This Row],[BP _Diastolic (mmHg)]]+Table1[[#This Row],[Follicle No. (L)]])/3</f>
        <v>107</v>
      </c>
      <c r="BG163" s="4" t="str" cm="1">
        <f t="array" ref="BG16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63" s="4">
        <f>SUM(Table1[[#This Row],[Pimples(Y/N)]],Table1[[#This Row],[hair growth(Y/N)]],Table1[[#This Row],[Skin darkening (Y/N)]],Table1[[#This Row],[Hair loss(Y/N)]])</f>
        <v>2</v>
      </c>
      <c r="BI163" s="4" t="str">
        <f>IF(AND(Table1[[#This Row],[Pregnant(Y/N)]]=0, Table1[[#This Row],[  I   beta-HCG(mIU/mL)]]&gt;5), "Investigation Required", "Clear")</f>
        <v>Clear</v>
      </c>
    </row>
    <row r="164" spans="1:61" ht="15.75" customHeight="1" x14ac:dyDescent="0.25">
      <c r="A164">
        <v>163</v>
      </c>
      <c r="B164">
        <v>163</v>
      </c>
      <c r="C164">
        <v>1</v>
      </c>
      <c r="D164" t="str">
        <f>IF(Table1[[#This Row],[PCOS (Y/N)]]=0,"NO","YES")</f>
        <v>YES</v>
      </c>
      <c r="E164">
        <v>23</v>
      </c>
      <c r="F164">
        <v>65</v>
      </c>
      <c r="G164">
        <v>158</v>
      </c>
      <c r="H164">
        <v>15</v>
      </c>
      <c r="I164">
        <v>73</v>
      </c>
      <c r="J164">
        <v>20</v>
      </c>
      <c r="K164">
        <v>11.2</v>
      </c>
      <c r="L164">
        <v>2</v>
      </c>
      <c r="M164">
        <v>4</v>
      </c>
      <c r="N164">
        <v>3</v>
      </c>
      <c r="O164">
        <v>0</v>
      </c>
      <c r="P164" t="str">
        <f>IF(Table1[[#This Row],[Pregnant(Y/N)]]=1,"YES","NO")</f>
        <v>NO</v>
      </c>
      <c r="Q164">
        <v>0</v>
      </c>
      <c r="R164">
        <v>1.99</v>
      </c>
      <c r="S164">
        <v>1.99</v>
      </c>
      <c r="T164">
        <v>4.42</v>
      </c>
      <c r="U164">
        <v>5.5</v>
      </c>
      <c r="V164">
        <f>Table1[[#This Row],[FSH(mIU/mL)]]/Table1[[#This Row],[LH(mIU/mL)]]</f>
        <v>0.80363636363636359</v>
      </c>
      <c r="W164" t="str">
        <f>IF(Table1[[#This Row],[FSH/LH]]&gt;=2,"Abnormal","Normal")</f>
        <v>Normal</v>
      </c>
      <c r="X164">
        <v>42</v>
      </c>
      <c r="Y164">
        <v>35</v>
      </c>
      <c r="Z164">
        <f>ROUND(Table1[[#This Row],[Waist(inch)]]/Table1[[#This Row],[Hip(inch)]],2)</f>
        <v>0.83</v>
      </c>
      <c r="AA164">
        <v>1.79</v>
      </c>
      <c r="AB164">
        <v>2.5299999999999998</v>
      </c>
      <c r="AC164">
        <v>26.64</v>
      </c>
      <c r="AD164">
        <v>54.6</v>
      </c>
      <c r="AE164" t="str">
        <f>IF(Table1[[#This Row],[Vit D3 (ng/mL)]]&lt;20,"Deficiency","Normal")</f>
        <v>Normal</v>
      </c>
      <c r="AF164">
        <v>0.25</v>
      </c>
      <c r="AG164">
        <v>100</v>
      </c>
      <c r="AH164">
        <v>1</v>
      </c>
      <c r="AI164" t="str">
        <f>IF(Table1[[#This Row],[Weight gain(Y/N)]]=0,"NO","YES")</f>
        <v>YES</v>
      </c>
      <c r="AJ164">
        <v>0</v>
      </c>
      <c r="AK164" t="str">
        <f>IF(Table1[[#This Row],[hair growth(Y/N)]]=1,"YES","NO")</f>
        <v>NO</v>
      </c>
      <c r="AL164">
        <v>1</v>
      </c>
      <c r="AM164" t="str">
        <f>IF(Table1[[#This Row],[Skin darkening (Y/N)]]=1,"YES","NO")</f>
        <v>YES</v>
      </c>
      <c r="AN164">
        <v>0</v>
      </c>
      <c r="AO164" t="str">
        <f>IF(Table1[[#This Row],[Hair loss(Y/N)]]=1,"YES","NO")</f>
        <v>NO</v>
      </c>
      <c r="AP164">
        <v>0</v>
      </c>
      <c r="AQ164" t="str">
        <f>IF(Table1[[#This Row],[Pimples(Y/N)]]=1,"YES","NO")</f>
        <v>NO</v>
      </c>
      <c r="AR164">
        <v>1</v>
      </c>
      <c r="AS164" t="str">
        <f>IF(Table1[[#This Row],[Fast food (Y/N)]]=1,"YES","NO")</f>
        <v>YES</v>
      </c>
      <c r="AT164">
        <v>1</v>
      </c>
      <c r="AU164" t="str">
        <f>IF(Table1[[#This Row],[Reg.Exercise(Y/N)]]=1,"YES","NO")</f>
        <v>YES</v>
      </c>
      <c r="AV164">
        <v>120</v>
      </c>
      <c r="AW164">
        <v>70</v>
      </c>
      <c r="AX164">
        <v>10</v>
      </c>
      <c r="AY164">
        <v>11</v>
      </c>
      <c r="AZ164">
        <v>14</v>
      </c>
      <c r="BA164">
        <v>16</v>
      </c>
      <c r="BB164">
        <v>9.4</v>
      </c>
      <c r="BC164" t="str" cm="1">
        <f t="array" ref="BC164">_xlfn.IFS((F164/(G164*G164)*10000)&lt; 18.5,"Underweight",(F164/(G164*G164)*10000)&lt;24.9,"Normal",(F164/(G164*G164)*10000)&lt;29.9,"Overweight",(F164/(G164*G164)*10000)&gt;=30,"obesity")</f>
        <v>Overweight</v>
      </c>
      <c r="BD164">
        <f>Table1[[#This Row],[Follicle No. (L)]]+Table1[[#This Row],[Follicle No. (R)]]</f>
        <v>21</v>
      </c>
      <c r="BE164">
        <f>Table1[[#This Row],[Avg. F size (L) (mm)]]+Table1[[#This Row],[Avg. F size (R) (mm)]]</f>
        <v>30</v>
      </c>
      <c r="BF164">
        <f>Table1[[#This Row],[BP _Diastolic (mmHg)]]+(Table1[[#This Row],[BP _Diastolic (mmHg)]]+Table1[[#This Row],[Follicle No. (L)]])/3</f>
        <v>96.666666666666671</v>
      </c>
      <c r="BG164" s="4" t="str" cm="1">
        <f t="array" ref="BG16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64" s="4">
        <f>SUM(Table1[[#This Row],[Pimples(Y/N)]],Table1[[#This Row],[hair growth(Y/N)]],Table1[[#This Row],[Skin darkening (Y/N)]],Table1[[#This Row],[Hair loss(Y/N)]])</f>
        <v>1</v>
      </c>
      <c r="BI164" s="4" t="str">
        <f>IF(AND(Table1[[#This Row],[Pregnant(Y/N)]]=0, Table1[[#This Row],[  I   beta-HCG(mIU/mL)]]&gt;5), "Investigation Required", "Clear")</f>
        <v>Clear</v>
      </c>
    </row>
    <row r="165" spans="1:61" ht="15.75" customHeight="1" x14ac:dyDescent="0.25">
      <c r="A165">
        <v>164</v>
      </c>
      <c r="B165">
        <v>164</v>
      </c>
      <c r="C165">
        <v>0</v>
      </c>
      <c r="D165" t="str">
        <f>IF(Table1[[#This Row],[PCOS (Y/N)]]=0,"NO","YES")</f>
        <v>NO</v>
      </c>
      <c r="E165">
        <v>32</v>
      </c>
      <c r="F165">
        <v>60.8</v>
      </c>
      <c r="G165">
        <v>156</v>
      </c>
      <c r="H165">
        <v>13</v>
      </c>
      <c r="I165">
        <v>72</v>
      </c>
      <c r="J165">
        <v>18</v>
      </c>
      <c r="K165">
        <v>11.5</v>
      </c>
      <c r="L165">
        <v>2</v>
      </c>
      <c r="M165">
        <v>5</v>
      </c>
      <c r="N165">
        <v>10</v>
      </c>
      <c r="O165">
        <v>0</v>
      </c>
      <c r="P165" t="str">
        <f>IF(Table1[[#This Row],[Pregnant(Y/N)]]=1,"YES","NO")</f>
        <v>NO</v>
      </c>
      <c r="Q165">
        <v>0</v>
      </c>
      <c r="R165">
        <v>1.99</v>
      </c>
      <c r="S165">
        <v>1.99</v>
      </c>
      <c r="T165">
        <v>5.01</v>
      </c>
      <c r="U165">
        <v>2.62</v>
      </c>
      <c r="V165">
        <f>Table1[[#This Row],[FSH(mIU/mL)]]/Table1[[#This Row],[LH(mIU/mL)]]</f>
        <v>1.9122137404580151</v>
      </c>
      <c r="W165" t="str">
        <f>IF(Table1[[#This Row],[FSH/LH]]&gt;=2,"Abnormal","Normal")</f>
        <v>Normal</v>
      </c>
      <c r="X165">
        <v>38</v>
      </c>
      <c r="Y165">
        <v>32</v>
      </c>
      <c r="Z165">
        <f>ROUND(Table1[[#This Row],[Waist(inch)]]/Table1[[#This Row],[Hip(inch)]],2)</f>
        <v>0.84</v>
      </c>
      <c r="AA165">
        <v>1.93</v>
      </c>
      <c r="AB165">
        <v>0.28999999999999998</v>
      </c>
      <c r="AC165">
        <v>17.7</v>
      </c>
      <c r="AD165">
        <v>9.4</v>
      </c>
      <c r="AE165" t="str">
        <f>IF(Table1[[#This Row],[Vit D3 (ng/mL)]]&lt;20,"Deficiency","Normal")</f>
        <v>Deficiency</v>
      </c>
      <c r="AF165">
        <v>0.25</v>
      </c>
      <c r="AG165">
        <v>92</v>
      </c>
      <c r="AH165">
        <v>1</v>
      </c>
      <c r="AI165" t="str">
        <f>IF(Table1[[#This Row],[Weight gain(Y/N)]]=0,"NO","YES")</f>
        <v>YES</v>
      </c>
      <c r="AJ165">
        <v>0</v>
      </c>
      <c r="AK165" t="str">
        <f>IF(Table1[[#This Row],[hair growth(Y/N)]]=1,"YES","NO")</f>
        <v>NO</v>
      </c>
      <c r="AL165">
        <v>0</v>
      </c>
      <c r="AM165" t="str">
        <f>IF(Table1[[#This Row],[Skin darkening (Y/N)]]=1,"YES","NO")</f>
        <v>NO</v>
      </c>
      <c r="AN165">
        <v>1</v>
      </c>
      <c r="AO165" t="str">
        <f>IF(Table1[[#This Row],[Hair loss(Y/N)]]=1,"YES","NO")</f>
        <v>YES</v>
      </c>
      <c r="AP165">
        <v>0</v>
      </c>
      <c r="AQ165" t="str">
        <f>IF(Table1[[#This Row],[Pimples(Y/N)]]=1,"YES","NO")</f>
        <v>NO</v>
      </c>
      <c r="AR165">
        <v>1</v>
      </c>
      <c r="AS165" t="str">
        <f>IF(Table1[[#This Row],[Fast food (Y/N)]]=1,"YES","NO")</f>
        <v>YES</v>
      </c>
      <c r="AT165">
        <v>1</v>
      </c>
      <c r="AU165" t="str">
        <f>IF(Table1[[#This Row],[Reg.Exercise(Y/N)]]=1,"YES","NO")</f>
        <v>YES</v>
      </c>
      <c r="AV165">
        <v>120</v>
      </c>
      <c r="AW165">
        <v>80</v>
      </c>
      <c r="AX165">
        <v>3</v>
      </c>
      <c r="AY165">
        <v>2</v>
      </c>
      <c r="AZ165">
        <v>10</v>
      </c>
      <c r="BA165">
        <v>11</v>
      </c>
      <c r="BB165">
        <v>8.5</v>
      </c>
      <c r="BC165" t="str" cm="1">
        <f t="array" ref="BC165">_xlfn.IFS((F165/(G165*G165)*10000)&lt; 18.5,"Underweight",(F165/(G165*G165)*10000)&lt;24.9,"Normal",(F165/(G165*G165)*10000)&lt;29.9,"Overweight",(F165/(G165*G165)*10000)&gt;=30,"obesity")</f>
        <v>Overweight</v>
      </c>
      <c r="BD165">
        <f>Table1[[#This Row],[Follicle No. (L)]]+Table1[[#This Row],[Follicle No. (R)]]</f>
        <v>5</v>
      </c>
      <c r="BE165">
        <f>Table1[[#This Row],[Avg. F size (L) (mm)]]+Table1[[#This Row],[Avg. F size (R) (mm)]]</f>
        <v>21</v>
      </c>
      <c r="BF165">
        <f>Table1[[#This Row],[BP _Diastolic (mmHg)]]+(Table1[[#This Row],[BP _Diastolic (mmHg)]]+Table1[[#This Row],[Follicle No. (L)]])/3</f>
        <v>107.66666666666667</v>
      </c>
      <c r="BG165" s="4" t="str" cm="1">
        <f t="array" ref="BG16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65" s="4">
        <f>SUM(Table1[[#This Row],[Pimples(Y/N)]],Table1[[#This Row],[hair growth(Y/N)]],Table1[[#This Row],[Skin darkening (Y/N)]],Table1[[#This Row],[Hair loss(Y/N)]])</f>
        <v>1</v>
      </c>
      <c r="BI165" s="4" t="str">
        <f>IF(AND(Table1[[#This Row],[Pregnant(Y/N)]]=0, Table1[[#This Row],[  I   beta-HCG(mIU/mL)]]&gt;5), "Investigation Required", "Clear")</f>
        <v>Clear</v>
      </c>
    </row>
    <row r="166" spans="1:61" ht="15.75" customHeight="1" x14ac:dyDescent="0.25">
      <c r="A166">
        <v>165</v>
      </c>
      <c r="B166">
        <v>165</v>
      </c>
      <c r="C166">
        <v>0</v>
      </c>
      <c r="D166" t="str">
        <f>IF(Table1[[#This Row],[PCOS (Y/N)]]=0,"NO","YES")</f>
        <v>NO</v>
      </c>
      <c r="E166">
        <v>35</v>
      </c>
      <c r="F166">
        <v>56</v>
      </c>
      <c r="G166">
        <v>145</v>
      </c>
      <c r="H166">
        <v>17</v>
      </c>
      <c r="I166">
        <v>74</v>
      </c>
      <c r="J166">
        <v>18</v>
      </c>
      <c r="K166">
        <v>11.5</v>
      </c>
      <c r="L166">
        <v>4</v>
      </c>
      <c r="M166">
        <v>5</v>
      </c>
      <c r="N166">
        <v>15</v>
      </c>
      <c r="O166">
        <v>1</v>
      </c>
      <c r="P166" t="str">
        <f>IF(Table1[[#This Row],[Pregnant(Y/N)]]=1,"YES","NO")</f>
        <v>YES</v>
      </c>
      <c r="Q166">
        <v>1</v>
      </c>
      <c r="R166">
        <v>481.3</v>
      </c>
      <c r="S166">
        <v>481.3</v>
      </c>
      <c r="T166">
        <v>7.72</v>
      </c>
      <c r="U166">
        <v>3.35</v>
      </c>
      <c r="V166">
        <f>Table1[[#This Row],[FSH(mIU/mL)]]/Table1[[#This Row],[LH(mIU/mL)]]</f>
        <v>2.3044776119402983</v>
      </c>
      <c r="W166" t="str">
        <f>IF(Table1[[#This Row],[FSH/LH]]&gt;=2,"Abnormal","Normal")</f>
        <v>Abnormal</v>
      </c>
      <c r="X166">
        <v>40</v>
      </c>
      <c r="Y166">
        <v>33</v>
      </c>
      <c r="Z166">
        <f>ROUND(Table1[[#This Row],[Waist(inch)]]/Table1[[#This Row],[Hip(inch)]],2)</f>
        <v>0.83</v>
      </c>
      <c r="AA166">
        <v>5.51</v>
      </c>
      <c r="AB166">
        <v>2.6</v>
      </c>
      <c r="AC166">
        <v>38.93</v>
      </c>
      <c r="AD166">
        <v>21.5</v>
      </c>
      <c r="AE166" t="str">
        <f>IF(Table1[[#This Row],[Vit D3 (ng/mL)]]&lt;20,"Deficiency","Normal")</f>
        <v>Normal</v>
      </c>
      <c r="AF166">
        <v>1.26</v>
      </c>
      <c r="AG166">
        <v>108</v>
      </c>
      <c r="AH166">
        <v>1</v>
      </c>
      <c r="AI166" t="str">
        <f>IF(Table1[[#This Row],[Weight gain(Y/N)]]=0,"NO","YES")</f>
        <v>YES</v>
      </c>
      <c r="AJ166">
        <v>0</v>
      </c>
      <c r="AK166" t="str">
        <f>IF(Table1[[#This Row],[hair growth(Y/N)]]=1,"YES","NO")</f>
        <v>NO</v>
      </c>
      <c r="AL166">
        <v>1</v>
      </c>
      <c r="AM166" t="str">
        <f>IF(Table1[[#This Row],[Skin darkening (Y/N)]]=1,"YES","NO")</f>
        <v>YES</v>
      </c>
      <c r="AN166">
        <v>0</v>
      </c>
      <c r="AO166" t="str">
        <f>IF(Table1[[#This Row],[Hair loss(Y/N)]]=1,"YES","NO")</f>
        <v>NO</v>
      </c>
      <c r="AP166">
        <v>1</v>
      </c>
      <c r="AQ166" t="str">
        <f>IF(Table1[[#This Row],[Pimples(Y/N)]]=1,"YES","NO")</f>
        <v>YES</v>
      </c>
      <c r="AR166">
        <v>0</v>
      </c>
      <c r="AS166" t="str">
        <f>IF(Table1[[#This Row],[Fast food (Y/N)]]=1,"YES","NO")</f>
        <v>NO</v>
      </c>
      <c r="AT166">
        <v>1</v>
      </c>
      <c r="AU166" t="str">
        <f>IF(Table1[[#This Row],[Reg.Exercise(Y/N)]]=1,"YES","NO")</f>
        <v>YES</v>
      </c>
      <c r="AV166">
        <v>120</v>
      </c>
      <c r="AW166">
        <v>80</v>
      </c>
      <c r="AX166">
        <v>2</v>
      </c>
      <c r="AY166">
        <v>3</v>
      </c>
      <c r="AZ166">
        <v>13</v>
      </c>
      <c r="BA166">
        <v>14</v>
      </c>
      <c r="BB166">
        <v>4.5999999999999996</v>
      </c>
      <c r="BC166" t="str" cm="1">
        <f t="array" ref="BC166">_xlfn.IFS((F166/(G166*G166)*10000)&lt; 18.5,"Underweight",(F166/(G166*G166)*10000)&lt;24.9,"Normal",(F166/(G166*G166)*10000)&lt;29.9,"Overweight",(F166/(G166*G166)*10000)&gt;=30,"obesity")</f>
        <v>Overweight</v>
      </c>
      <c r="BD166">
        <f>Table1[[#This Row],[Follicle No. (L)]]+Table1[[#This Row],[Follicle No. (R)]]</f>
        <v>5</v>
      </c>
      <c r="BE166">
        <f>Table1[[#This Row],[Avg. F size (L) (mm)]]+Table1[[#This Row],[Avg. F size (R) (mm)]]</f>
        <v>27</v>
      </c>
      <c r="BF166">
        <f>Table1[[#This Row],[BP _Diastolic (mmHg)]]+(Table1[[#This Row],[BP _Diastolic (mmHg)]]+Table1[[#This Row],[Follicle No. (L)]])/3</f>
        <v>107.33333333333333</v>
      </c>
      <c r="BG166" s="4" t="str" cm="1">
        <f t="array" ref="BG16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66" s="4">
        <f>SUM(Table1[[#This Row],[Pimples(Y/N)]],Table1[[#This Row],[hair growth(Y/N)]],Table1[[#This Row],[Skin darkening (Y/N)]],Table1[[#This Row],[Hair loss(Y/N)]])</f>
        <v>2</v>
      </c>
      <c r="BI166" s="4" t="str">
        <f>IF(AND(Table1[[#This Row],[Pregnant(Y/N)]]=0, Table1[[#This Row],[  I   beta-HCG(mIU/mL)]]&gt;5), "Investigation Required", "Clear")</f>
        <v>Clear</v>
      </c>
    </row>
    <row r="167" spans="1:61" ht="15.75" customHeight="1" x14ac:dyDescent="0.25">
      <c r="A167">
        <v>166</v>
      </c>
      <c r="B167">
        <v>166</v>
      </c>
      <c r="C167">
        <v>0</v>
      </c>
      <c r="D167" t="str">
        <f>IF(Table1[[#This Row],[PCOS (Y/N)]]=0,"NO","YES")</f>
        <v>NO</v>
      </c>
      <c r="E167">
        <v>32</v>
      </c>
      <c r="F167">
        <v>46</v>
      </c>
      <c r="G167">
        <v>150</v>
      </c>
      <c r="H167">
        <v>11</v>
      </c>
      <c r="I167">
        <v>73</v>
      </c>
      <c r="J167">
        <v>26</v>
      </c>
      <c r="K167">
        <v>11.9</v>
      </c>
      <c r="L167">
        <v>2</v>
      </c>
      <c r="M167">
        <v>6</v>
      </c>
      <c r="N167">
        <v>10</v>
      </c>
      <c r="O167">
        <v>0</v>
      </c>
      <c r="P167" t="str">
        <f>IF(Table1[[#This Row],[Pregnant(Y/N)]]=1,"YES","NO")</f>
        <v>NO</v>
      </c>
      <c r="Q167">
        <v>0</v>
      </c>
      <c r="R167">
        <v>1.99</v>
      </c>
      <c r="S167">
        <v>1.99</v>
      </c>
      <c r="T167">
        <v>3.99</v>
      </c>
      <c r="U167">
        <v>0.51</v>
      </c>
      <c r="V167">
        <f>Table1[[#This Row],[FSH(mIU/mL)]]/Table1[[#This Row],[LH(mIU/mL)]]</f>
        <v>7.8235294117647065</v>
      </c>
      <c r="W167" t="str">
        <f>IF(Table1[[#This Row],[FSH/LH]]&gt;=2,"Abnormal","Normal")</f>
        <v>Abnormal</v>
      </c>
      <c r="X167">
        <v>36</v>
      </c>
      <c r="Y167">
        <v>30</v>
      </c>
      <c r="Z167">
        <f>ROUND(Table1[[#This Row],[Waist(inch)]]/Table1[[#This Row],[Hip(inch)]],2)</f>
        <v>0.83</v>
      </c>
      <c r="AA167">
        <v>2.04</v>
      </c>
      <c r="AB167">
        <v>2.83</v>
      </c>
      <c r="AC167">
        <v>28.71</v>
      </c>
      <c r="AD167">
        <v>60.2</v>
      </c>
      <c r="AE167" t="str">
        <f>IF(Table1[[#This Row],[Vit D3 (ng/mL)]]&lt;20,"Deficiency","Normal")</f>
        <v>Normal</v>
      </c>
      <c r="AF167">
        <v>0.15</v>
      </c>
      <c r="AG167">
        <v>84</v>
      </c>
      <c r="AH167">
        <v>0</v>
      </c>
      <c r="AI167" t="str">
        <f>IF(Table1[[#This Row],[Weight gain(Y/N)]]=0,"NO","YES")</f>
        <v>NO</v>
      </c>
      <c r="AJ167">
        <v>0</v>
      </c>
      <c r="AK167" t="str">
        <f>IF(Table1[[#This Row],[hair growth(Y/N)]]=1,"YES","NO")</f>
        <v>NO</v>
      </c>
      <c r="AL167">
        <v>0</v>
      </c>
      <c r="AM167" t="str">
        <f>IF(Table1[[#This Row],[Skin darkening (Y/N)]]=1,"YES","NO")</f>
        <v>NO</v>
      </c>
      <c r="AN167">
        <v>1</v>
      </c>
      <c r="AO167" t="str">
        <f>IF(Table1[[#This Row],[Hair loss(Y/N)]]=1,"YES","NO")</f>
        <v>YES</v>
      </c>
      <c r="AP167">
        <v>1</v>
      </c>
      <c r="AQ167" t="str">
        <f>IF(Table1[[#This Row],[Pimples(Y/N)]]=1,"YES","NO")</f>
        <v>YES</v>
      </c>
      <c r="AR167">
        <v>1</v>
      </c>
      <c r="AS167" t="str">
        <f>IF(Table1[[#This Row],[Fast food (Y/N)]]=1,"YES","NO")</f>
        <v>YES</v>
      </c>
      <c r="AT167">
        <v>0</v>
      </c>
      <c r="AU167" t="str">
        <f>IF(Table1[[#This Row],[Reg.Exercise(Y/N)]]=1,"YES","NO")</f>
        <v>NO</v>
      </c>
      <c r="AV167">
        <v>110</v>
      </c>
      <c r="AW167">
        <v>60</v>
      </c>
      <c r="AX167">
        <v>5</v>
      </c>
      <c r="AY167">
        <v>5</v>
      </c>
      <c r="AZ167">
        <v>14</v>
      </c>
      <c r="BA167">
        <v>13</v>
      </c>
      <c r="BB167">
        <v>6.5</v>
      </c>
      <c r="BC167" t="str" cm="1">
        <f t="array" ref="BC167">_xlfn.IFS((F167/(G167*G167)*10000)&lt; 18.5,"Underweight",(F167/(G167*G167)*10000)&lt;24.9,"Normal",(F167/(G167*G167)*10000)&lt;29.9,"Overweight",(F167/(G167*G167)*10000)&gt;=30,"obesity")</f>
        <v>Normal</v>
      </c>
      <c r="BD167">
        <f>Table1[[#This Row],[Follicle No. (L)]]+Table1[[#This Row],[Follicle No. (R)]]</f>
        <v>10</v>
      </c>
      <c r="BE167">
        <f>Table1[[#This Row],[Avg. F size (L) (mm)]]+Table1[[#This Row],[Avg. F size (R) (mm)]]</f>
        <v>27</v>
      </c>
      <c r="BF167">
        <f>Table1[[#This Row],[BP _Diastolic (mmHg)]]+(Table1[[#This Row],[BP _Diastolic (mmHg)]]+Table1[[#This Row],[Follicle No. (L)]])/3</f>
        <v>81.666666666666671</v>
      </c>
      <c r="BG167" s="4" t="str" cm="1">
        <f t="array" ref="BG16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67" s="4">
        <f>SUM(Table1[[#This Row],[Pimples(Y/N)]],Table1[[#This Row],[hair growth(Y/N)]],Table1[[#This Row],[Skin darkening (Y/N)]],Table1[[#This Row],[Hair loss(Y/N)]])</f>
        <v>2</v>
      </c>
      <c r="BI167" s="4" t="str">
        <f>IF(AND(Table1[[#This Row],[Pregnant(Y/N)]]=0, Table1[[#This Row],[  I   beta-HCG(mIU/mL)]]&gt;5), "Investigation Required", "Clear")</f>
        <v>Clear</v>
      </c>
    </row>
    <row r="168" spans="1:61" ht="15.75" customHeight="1" x14ac:dyDescent="0.25">
      <c r="A168">
        <v>167</v>
      </c>
      <c r="B168">
        <v>167</v>
      </c>
      <c r="C168">
        <v>0</v>
      </c>
      <c r="D168" t="str">
        <f>IF(Table1[[#This Row],[PCOS (Y/N)]]=0,"NO","YES")</f>
        <v>NO</v>
      </c>
      <c r="E168">
        <v>29</v>
      </c>
      <c r="F168">
        <v>62</v>
      </c>
      <c r="G168">
        <v>154</v>
      </c>
      <c r="H168">
        <v>11</v>
      </c>
      <c r="I168">
        <v>74</v>
      </c>
      <c r="J168">
        <v>18</v>
      </c>
      <c r="K168">
        <v>13.4</v>
      </c>
      <c r="L168">
        <v>2</v>
      </c>
      <c r="M168">
        <v>5</v>
      </c>
      <c r="N168">
        <v>6</v>
      </c>
      <c r="O168">
        <v>1</v>
      </c>
      <c r="P168" t="str">
        <f>IF(Table1[[#This Row],[Pregnant(Y/N)]]=1,"YES","NO")</f>
        <v>YES</v>
      </c>
      <c r="Q168">
        <v>1</v>
      </c>
      <c r="R168">
        <v>563.79999999999995</v>
      </c>
      <c r="S168">
        <v>563.79999999999995</v>
      </c>
      <c r="T168">
        <v>6.11</v>
      </c>
      <c r="U168">
        <v>4.1900000000000004</v>
      </c>
      <c r="V168">
        <f>Table1[[#This Row],[FSH(mIU/mL)]]/Table1[[#This Row],[LH(mIU/mL)]]</f>
        <v>1.4582338902147971</v>
      </c>
      <c r="W168" t="str">
        <f>IF(Table1[[#This Row],[FSH/LH]]&gt;=2,"Abnormal","Normal")</f>
        <v>Normal</v>
      </c>
      <c r="X168">
        <v>38</v>
      </c>
      <c r="Y168">
        <v>32</v>
      </c>
      <c r="Z168">
        <f>ROUND(Table1[[#This Row],[Waist(inch)]]/Table1[[#This Row],[Hip(inch)]],2)</f>
        <v>0.84</v>
      </c>
      <c r="AA168">
        <v>3.27</v>
      </c>
      <c r="AB168">
        <v>1.89</v>
      </c>
      <c r="AC168">
        <v>26</v>
      </c>
      <c r="AD168">
        <v>15</v>
      </c>
      <c r="AE168" t="str">
        <f>IF(Table1[[#This Row],[Vit D3 (ng/mL)]]&lt;20,"Deficiency","Normal")</f>
        <v>Deficiency</v>
      </c>
      <c r="AF168">
        <v>0.38</v>
      </c>
      <c r="AG168">
        <v>91</v>
      </c>
      <c r="AH168">
        <v>1</v>
      </c>
      <c r="AI168" t="str">
        <f>IF(Table1[[#This Row],[Weight gain(Y/N)]]=0,"NO","YES")</f>
        <v>YES</v>
      </c>
      <c r="AJ168">
        <v>0</v>
      </c>
      <c r="AK168" t="str">
        <f>IF(Table1[[#This Row],[hair growth(Y/N)]]=1,"YES","NO")</f>
        <v>NO</v>
      </c>
      <c r="AL168">
        <v>0</v>
      </c>
      <c r="AM168" t="str">
        <f>IF(Table1[[#This Row],[Skin darkening (Y/N)]]=1,"YES","NO")</f>
        <v>NO</v>
      </c>
      <c r="AN168">
        <v>0</v>
      </c>
      <c r="AO168" t="str">
        <f>IF(Table1[[#This Row],[Hair loss(Y/N)]]=1,"YES","NO")</f>
        <v>NO</v>
      </c>
      <c r="AP168">
        <v>1</v>
      </c>
      <c r="AQ168" t="str">
        <f>IF(Table1[[#This Row],[Pimples(Y/N)]]=1,"YES","NO")</f>
        <v>YES</v>
      </c>
      <c r="AR168">
        <v>1</v>
      </c>
      <c r="AS168" t="str">
        <f>IF(Table1[[#This Row],[Fast food (Y/N)]]=1,"YES","NO")</f>
        <v>YES</v>
      </c>
      <c r="AT168">
        <v>0</v>
      </c>
      <c r="AU168" t="str">
        <f>IF(Table1[[#This Row],[Reg.Exercise(Y/N)]]=1,"YES","NO")</f>
        <v>NO</v>
      </c>
      <c r="AV168">
        <v>120</v>
      </c>
      <c r="AW168">
        <v>80</v>
      </c>
      <c r="AX168">
        <v>4</v>
      </c>
      <c r="AY168">
        <v>6</v>
      </c>
      <c r="AZ168">
        <v>12</v>
      </c>
      <c r="BA168">
        <v>12</v>
      </c>
      <c r="BB168">
        <v>4</v>
      </c>
      <c r="BC168" t="str" cm="1">
        <f t="array" ref="BC168">_xlfn.IFS((F168/(G168*G168)*10000)&lt; 18.5,"Underweight",(F168/(G168*G168)*10000)&lt;24.9,"Normal",(F168/(G168*G168)*10000)&lt;29.9,"Overweight",(F168/(G168*G168)*10000)&gt;=30,"obesity")</f>
        <v>Overweight</v>
      </c>
      <c r="BD168">
        <f>Table1[[#This Row],[Follicle No. (L)]]+Table1[[#This Row],[Follicle No. (R)]]</f>
        <v>10</v>
      </c>
      <c r="BE168">
        <f>Table1[[#This Row],[Avg. F size (L) (mm)]]+Table1[[#This Row],[Avg. F size (R) (mm)]]</f>
        <v>24</v>
      </c>
      <c r="BF168">
        <f>Table1[[#This Row],[BP _Diastolic (mmHg)]]+(Table1[[#This Row],[BP _Diastolic (mmHg)]]+Table1[[#This Row],[Follicle No. (L)]])/3</f>
        <v>108</v>
      </c>
      <c r="BG168" s="4" t="str" cm="1">
        <f t="array" ref="BG16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68" s="4">
        <f>SUM(Table1[[#This Row],[Pimples(Y/N)]],Table1[[#This Row],[hair growth(Y/N)]],Table1[[#This Row],[Skin darkening (Y/N)]],Table1[[#This Row],[Hair loss(Y/N)]])</f>
        <v>1</v>
      </c>
      <c r="BI168" s="4" t="str">
        <f>IF(AND(Table1[[#This Row],[Pregnant(Y/N)]]=0, Table1[[#This Row],[  I   beta-HCG(mIU/mL)]]&gt;5), "Investigation Required", "Clear")</f>
        <v>Clear</v>
      </c>
    </row>
    <row r="169" spans="1:61" ht="15.75" customHeight="1" x14ac:dyDescent="0.25">
      <c r="A169">
        <v>168</v>
      </c>
      <c r="B169">
        <v>168</v>
      </c>
      <c r="C169">
        <v>1</v>
      </c>
      <c r="D169" t="str">
        <f>IF(Table1[[#This Row],[PCOS (Y/N)]]=0,"NO","YES")</f>
        <v>YES</v>
      </c>
      <c r="E169">
        <v>29</v>
      </c>
      <c r="F169">
        <v>60</v>
      </c>
      <c r="G169">
        <v>150</v>
      </c>
      <c r="H169">
        <v>15</v>
      </c>
      <c r="I169">
        <v>73</v>
      </c>
      <c r="J169">
        <v>20</v>
      </c>
      <c r="K169">
        <v>10.7</v>
      </c>
      <c r="L169">
        <v>2</v>
      </c>
      <c r="M169">
        <v>6</v>
      </c>
      <c r="N169">
        <v>10</v>
      </c>
      <c r="O169">
        <v>0</v>
      </c>
      <c r="P169" t="str">
        <f>IF(Table1[[#This Row],[Pregnant(Y/N)]]=1,"YES","NO")</f>
        <v>NO</v>
      </c>
      <c r="Q169">
        <v>0</v>
      </c>
      <c r="R169">
        <v>2.59</v>
      </c>
      <c r="S169">
        <v>1.99</v>
      </c>
      <c r="T169">
        <v>10.206</v>
      </c>
      <c r="U169">
        <v>2.0099999999999998</v>
      </c>
      <c r="V169">
        <f>Table1[[#This Row],[FSH(mIU/mL)]]/Table1[[#This Row],[LH(mIU/mL)]]</f>
        <v>5.0776119402985076</v>
      </c>
      <c r="W169" t="str">
        <f>IF(Table1[[#This Row],[FSH/LH]]&gt;=2,"Abnormal","Normal")</f>
        <v>Abnormal</v>
      </c>
      <c r="X169">
        <v>38</v>
      </c>
      <c r="Y169">
        <v>30</v>
      </c>
      <c r="Z169">
        <f>ROUND(Table1[[#This Row],[Waist(inch)]]/Table1[[#This Row],[Hip(inch)]],2)</f>
        <v>0.79</v>
      </c>
      <c r="AA169">
        <v>10.89</v>
      </c>
      <c r="AB169">
        <v>2.0099999999999998</v>
      </c>
      <c r="AC169">
        <v>8.4499999999999993</v>
      </c>
      <c r="AD169">
        <v>13.6</v>
      </c>
      <c r="AE169" t="str">
        <f>IF(Table1[[#This Row],[Vit D3 (ng/mL)]]&lt;20,"Deficiency","Normal")</f>
        <v>Deficiency</v>
      </c>
      <c r="AF169">
        <v>0.41</v>
      </c>
      <c r="AG169">
        <v>106</v>
      </c>
      <c r="AH169">
        <v>1</v>
      </c>
      <c r="AI169" t="str">
        <f>IF(Table1[[#This Row],[Weight gain(Y/N)]]=0,"NO","YES")</f>
        <v>YES</v>
      </c>
      <c r="AJ169">
        <v>1</v>
      </c>
      <c r="AK169" t="str">
        <f>IF(Table1[[#This Row],[hair growth(Y/N)]]=1,"YES","NO")</f>
        <v>YES</v>
      </c>
      <c r="AL169">
        <v>0</v>
      </c>
      <c r="AM169" t="str">
        <f>IF(Table1[[#This Row],[Skin darkening (Y/N)]]=1,"YES","NO")</f>
        <v>NO</v>
      </c>
      <c r="AN169">
        <v>1</v>
      </c>
      <c r="AO169" t="str">
        <f>IF(Table1[[#This Row],[Hair loss(Y/N)]]=1,"YES","NO")</f>
        <v>YES</v>
      </c>
      <c r="AP169">
        <v>1</v>
      </c>
      <c r="AQ169" t="str">
        <f>IF(Table1[[#This Row],[Pimples(Y/N)]]=1,"YES","NO")</f>
        <v>YES</v>
      </c>
      <c r="AR169">
        <v>1</v>
      </c>
      <c r="AS169" t="str">
        <f>IF(Table1[[#This Row],[Fast food (Y/N)]]=1,"YES","NO")</f>
        <v>YES</v>
      </c>
      <c r="AT169">
        <v>0</v>
      </c>
      <c r="AU169" t="str">
        <f>IF(Table1[[#This Row],[Reg.Exercise(Y/N)]]=1,"YES","NO")</f>
        <v>NO</v>
      </c>
      <c r="AV169">
        <v>120</v>
      </c>
      <c r="AW169">
        <v>80</v>
      </c>
      <c r="AX169">
        <v>11</v>
      </c>
      <c r="AY169">
        <v>12</v>
      </c>
      <c r="AZ169">
        <v>14</v>
      </c>
      <c r="BA169">
        <v>15</v>
      </c>
      <c r="BB169">
        <v>10</v>
      </c>
      <c r="BC169" t="str" cm="1">
        <f t="array" ref="BC169">_xlfn.IFS((F169/(G169*G169)*10000)&lt; 18.5,"Underweight",(F169/(G169*G169)*10000)&lt;24.9,"Normal",(F169/(G169*G169)*10000)&lt;29.9,"Overweight",(F169/(G169*G169)*10000)&gt;=30,"obesity")</f>
        <v>Overweight</v>
      </c>
      <c r="BD169">
        <f>Table1[[#This Row],[Follicle No. (L)]]+Table1[[#This Row],[Follicle No. (R)]]</f>
        <v>23</v>
      </c>
      <c r="BE169">
        <f>Table1[[#This Row],[Avg. F size (L) (mm)]]+Table1[[#This Row],[Avg. F size (R) (mm)]]</f>
        <v>29</v>
      </c>
      <c r="BF169">
        <f>Table1[[#This Row],[BP _Diastolic (mmHg)]]+(Table1[[#This Row],[BP _Diastolic (mmHg)]]+Table1[[#This Row],[Follicle No. (L)]])/3</f>
        <v>110.33333333333333</v>
      </c>
      <c r="BG169" s="4" t="str" cm="1">
        <f t="array" ref="BG16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69" s="4">
        <f>SUM(Table1[[#This Row],[Pimples(Y/N)]],Table1[[#This Row],[hair growth(Y/N)]],Table1[[#This Row],[Skin darkening (Y/N)]],Table1[[#This Row],[Hair loss(Y/N)]])</f>
        <v>3</v>
      </c>
      <c r="BI169" s="4" t="str">
        <f>IF(AND(Table1[[#This Row],[Pregnant(Y/N)]]=0, Table1[[#This Row],[  I   beta-HCG(mIU/mL)]]&gt;5), "Investigation Required", "Clear")</f>
        <v>Clear</v>
      </c>
    </row>
    <row r="170" spans="1:61" ht="15.75" customHeight="1" x14ac:dyDescent="0.25">
      <c r="A170">
        <v>169</v>
      </c>
      <c r="B170">
        <v>169</v>
      </c>
      <c r="C170">
        <v>1</v>
      </c>
      <c r="D170" t="str">
        <f>IF(Table1[[#This Row],[PCOS (Y/N)]]=0,"NO","YES")</f>
        <v>YES</v>
      </c>
      <c r="E170">
        <v>30</v>
      </c>
      <c r="F170">
        <v>72.3</v>
      </c>
      <c r="G170">
        <v>158</v>
      </c>
      <c r="H170">
        <v>15</v>
      </c>
      <c r="I170">
        <v>74</v>
      </c>
      <c r="J170">
        <v>20</v>
      </c>
      <c r="K170">
        <v>10.8</v>
      </c>
      <c r="L170">
        <v>4</v>
      </c>
      <c r="M170">
        <v>4</v>
      </c>
      <c r="N170">
        <v>8</v>
      </c>
      <c r="O170">
        <v>0</v>
      </c>
      <c r="P170" t="str">
        <f>IF(Table1[[#This Row],[Pregnant(Y/N)]]=1,"YES","NO")</f>
        <v>NO</v>
      </c>
      <c r="Q170">
        <v>0</v>
      </c>
      <c r="R170">
        <v>1.99</v>
      </c>
      <c r="S170">
        <v>1.99</v>
      </c>
      <c r="T170">
        <v>1</v>
      </c>
      <c r="U170">
        <v>0.98</v>
      </c>
      <c r="V170">
        <f>Table1[[#This Row],[FSH(mIU/mL)]]/Table1[[#This Row],[LH(mIU/mL)]]</f>
        <v>1.0204081632653061</v>
      </c>
      <c r="W170" t="str">
        <f>IF(Table1[[#This Row],[FSH/LH]]&gt;=2,"Abnormal","Normal")</f>
        <v>Normal</v>
      </c>
      <c r="X170">
        <v>40</v>
      </c>
      <c r="Y170">
        <v>34</v>
      </c>
      <c r="Z170">
        <f>ROUND(Table1[[#This Row],[Waist(inch)]]/Table1[[#This Row],[Hip(inch)]],2)</f>
        <v>0.85</v>
      </c>
      <c r="AA170">
        <v>16.989999999999998</v>
      </c>
      <c r="AB170">
        <v>2.83</v>
      </c>
      <c r="AC170">
        <v>15.77</v>
      </c>
      <c r="AD170">
        <v>22.8</v>
      </c>
      <c r="AE170" t="str">
        <f>IF(Table1[[#This Row],[Vit D3 (ng/mL)]]&lt;20,"Deficiency","Normal")</f>
        <v>Normal</v>
      </c>
      <c r="AF170">
        <v>0.25</v>
      </c>
      <c r="AG170">
        <v>95</v>
      </c>
      <c r="AH170">
        <v>1</v>
      </c>
      <c r="AI170" t="str">
        <f>IF(Table1[[#This Row],[Weight gain(Y/N)]]=0,"NO","YES")</f>
        <v>YES</v>
      </c>
      <c r="AJ170">
        <v>1</v>
      </c>
      <c r="AK170" t="str">
        <f>IF(Table1[[#This Row],[hair growth(Y/N)]]=1,"YES","NO")</f>
        <v>YES</v>
      </c>
      <c r="AL170">
        <v>1</v>
      </c>
      <c r="AM170" t="str">
        <f>IF(Table1[[#This Row],[Skin darkening (Y/N)]]=1,"YES","NO")</f>
        <v>YES</v>
      </c>
      <c r="AN170">
        <v>1</v>
      </c>
      <c r="AO170" t="str">
        <f>IF(Table1[[#This Row],[Hair loss(Y/N)]]=1,"YES","NO")</f>
        <v>YES</v>
      </c>
      <c r="AP170">
        <v>1</v>
      </c>
      <c r="AQ170" t="str">
        <f>IF(Table1[[#This Row],[Pimples(Y/N)]]=1,"YES","NO")</f>
        <v>YES</v>
      </c>
      <c r="AR170">
        <v>1</v>
      </c>
      <c r="AS170" t="str">
        <f>IF(Table1[[#This Row],[Fast food (Y/N)]]=1,"YES","NO")</f>
        <v>YES</v>
      </c>
      <c r="AT170">
        <v>0</v>
      </c>
      <c r="AU170" t="str">
        <f>IF(Table1[[#This Row],[Reg.Exercise(Y/N)]]=1,"YES","NO")</f>
        <v>NO</v>
      </c>
      <c r="AV170">
        <v>120</v>
      </c>
      <c r="AW170">
        <v>80</v>
      </c>
      <c r="AX170">
        <v>9</v>
      </c>
      <c r="AY170">
        <v>12</v>
      </c>
      <c r="AZ170">
        <v>14</v>
      </c>
      <c r="BA170">
        <v>16</v>
      </c>
      <c r="BB170">
        <v>9</v>
      </c>
      <c r="BC170" t="str" cm="1">
        <f t="array" ref="BC170">_xlfn.IFS((F170/(G170*G170)*10000)&lt; 18.5,"Underweight",(F170/(G170*G170)*10000)&lt;24.9,"Normal",(F170/(G170*G170)*10000)&lt;29.9,"Overweight",(F170/(G170*G170)*10000)&gt;=30,"obesity")</f>
        <v>Overweight</v>
      </c>
      <c r="BD170">
        <f>Table1[[#This Row],[Follicle No. (L)]]+Table1[[#This Row],[Follicle No. (R)]]</f>
        <v>21</v>
      </c>
      <c r="BE170">
        <f>Table1[[#This Row],[Avg. F size (L) (mm)]]+Table1[[#This Row],[Avg. F size (R) (mm)]]</f>
        <v>30</v>
      </c>
      <c r="BF170">
        <f>Table1[[#This Row],[BP _Diastolic (mmHg)]]+(Table1[[#This Row],[BP _Diastolic (mmHg)]]+Table1[[#This Row],[Follicle No. (L)]])/3</f>
        <v>109.66666666666667</v>
      </c>
      <c r="BG170" s="4" t="str" cm="1">
        <f t="array" ref="BG17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70" s="4">
        <f>SUM(Table1[[#This Row],[Pimples(Y/N)]],Table1[[#This Row],[hair growth(Y/N)]],Table1[[#This Row],[Skin darkening (Y/N)]],Table1[[#This Row],[Hair loss(Y/N)]])</f>
        <v>4</v>
      </c>
      <c r="BI170" s="4" t="str">
        <f>IF(AND(Table1[[#This Row],[Pregnant(Y/N)]]=0, Table1[[#This Row],[  I   beta-HCG(mIU/mL)]]&gt;5), "Investigation Required", "Clear")</f>
        <v>Clear</v>
      </c>
    </row>
    <row r="171" spans="1:61" ht="15.75" customHeight="1" x14ac:dyDescent="0.25">
      <c r="A171">
        <v>170</v>
      </c>
      <c r="B171">
        <v>170</v>
      </c>
      <c r="C171">
        <v>1</v>
      </c>
      <c r="D171" t="str">
        <f>IF(Table1[[#This Row],[PCOS (Y/N)]]=0,"NO","YES")</f>
        <v>YES</v>
      </c>
      <c r="E171">
        <v>33</v>
      </c>
      <c r="F171">
        <v>59.6</v>
      </c>
      <c r="G171">
        <v>163</v>
      </c>
      <c r="H171">
        <v>11</v>
      </c>
      <c r="I171">
        <v>72</v>
      </c>
      <c r="J171">
        <v>20</v>
      </c>
      <c r="K171">
        <v>11.5</v>
      </c>
      <c r="L171">
        <v>4</v>
      </c>
      <c r="M171">
        <v>5</v>
      </c>
      <c r="N171">
        <v>10</v>
      </c>
      <c r="O171">
        <v>0</v>
      </c>
      <c r="P171" t="str">
        <f>IF(Table1[[#This Row],[Pregnant(Y/N)]]=1,"YES","NO")</f>
        <v>NO</v>
      </c>
      <c r="Q171">
        <v>1</v>
      </c>
      <c r="R171">
        <v>4.3600000000000003</v>
      </c>
      <c r="S171">
        <v>4.32</v>
      </c>
      <c r="T171">
        <v>3.84</v>
      </c>
      <c r="U171">
        <v>1.22</v>
      </c>
      <c r="V171">
        <f>Table1[[#This Row],[FSH(mIU/mL)]]/Table1[[#This Row],[LH(mIU/mL)]]</f>
        <v>3.1475409836065573</v>
      </c>
      <c r="W171" t="str">
        <f>IF(Table1[[#This Row],[FSH/LH]]&gt;=2,"Abnormal","Normal")</f>
        <v>Abnormal</v>
      </c>
      <c r="X171">
        <v>40</v>
      </c>
      <c r="Y171">
        <v>32</v>
      </c>
      <c r="Z171">
        <f>ROUND(Table1[[#This Row],[Waist(inch)]]/Table1[[#This Row],[Hip(inch)]],2)</f>
        <v>0.8</v>
      </c>
      <c r="AA171">
        <v>2.48</v>
      </c>
      <c r="AB171">
        <v>5.67</v>
      </c>
      <c r="AC171">
        <v>6.06</v>
      </c>
      <c r="AD171">
        <v>54.7</v>
      </c>
      <c r="AE171" t="str">
        <f>IF(Table1[[#This Row],[Vit D3 (ng/mL)]]&lt;20,"Deficiency","Normal")</f>
        <v>Normal</v>
      </c>
      <c r="AF171">
        <v>0.25</v>
      </c>
      <c r="AG171">
        <v>100</v>
      </c>
      <c r="AH171">
        <v>1</v>
      </c>
      <c r="AI171" t="str">
        <f>IF(Table1[[#This Row],[Weight gain(Y/N)]]=0,"NO","YES")</f>
        <v>YES</v>
      </c>
      <c r="AJ171">
        <v>1</v>
      </c>
      <c r="AK171" t="str">
        <f>IF(Table1[[#This Row],[hair growth(Y/N)]]=1,"YES","NO")</f>
        <v>YES</v>
      </c>
      <c r="AL171">
        <v>0</v>
      </c>
      <c r="AM171" t="str">
        <f>IF(Table1[[#This Row],[Skin darkening (Y/N)]]=1,"YES","NO")</f>
        <v>NO</v>
      </c>
      <c r="AN171">
        <v>1</v>
      </c>
      <c r="AO171" t="str">
        <f>IF(Table1[[#This Row],[Hair loss(Y/N)]]=1,"YES","NO")</f>
        <v>YES</v>
      </c>
      <c r="AP171">
        <v>1</v>
      </c>
      <c r="AQ171" t="str">
        <f>IF(Table1[[#This Row],[Pimples(Y/N)]]=1,"YES","NO")</f>
        <v>YES</v>
      </c>
      <c r="AR171">
        <v>1</v>
      </c>
      <c r="AS171" t="str">
        <f>IF(Table1[[#This Row],[Fast food (Y/N)]]=1,"YES","NO")</f>
        <v>YES</v>
      </c>
      <c r="AT171">
        <v>1</v>
      </c>
      <c r="AU171" t="str">
        <f>IF(Table1[[#This Row],[Reg.Exercise(Y/N)]]=1,"YES","NO")</f>
        <v>YES</v>
      </c>
      <c r="AV171">
        <v>120</v>
      </c>
      <c r="AW171">
        <v>80</v>
      </c>
      <c r="AX171">
        <v>18</v>
      </c>
      <c r="AY171">
        <v>20</v>
      </c>
      <c r="AZ171">
        <v>16</v>
      </c>
      <c r="BA171">
        <v>15</v>
      </c>
      <c r="BB171">
        <v>10.7</v>
      </c>
      <c r="BC171" t="str" cm="1">
        <f t="array" ref="BC171">_xlfn.IFS((F171/(G171*G171)*10000)&lt; 18.5,"Underweight",(F171/(G171*G171)*10000)&lt;24.9,"Normal",(F171/(G171*G171)*10000)&lt;29.9,"Overweight",(F171/(G171*G171)*10000)&gt;=30,"obesity")</f>
        <v>Normal</v>
      </c>
      <c r="BD171">
        <f>Table1[[#This Row],[Follicle No. (L)]]+Table1[[#This Row],[Follicle No. (R)]]</f>
        <v>38</v>
      </c>
      <c r="BE171">
        <f>Table1[[#This Row],[Avg. F size (L) (mm)]]+Table1[[#This Row],[Avg. F size (R) (mm)]]</f>
        <v>31</v>
      </c>
      <c r="BF171">
        <f>Table1[[#This Row],[BP _Diastolic (mmHg)]]+(Table1[[#This Row],[BP _Diastolic (mmHg)]]+Table1[[#This Row],[Follicle No. (L)]])/3</f>
        <v>112.66666666666666</v>
      </c>
      <c r="BG171" s="4" t="str" cm="1">
        <f t="array" ref="BG17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71" s="4">
        <f>SUM(Table1[[#This Row],[Pimples(Y/N)]],Table1[[#This Row],[hair growth(Y/N)]],Table1[[#This Row],[Skin darkening (Y/N)]],Table1[[#This Row],[Hair loss(Y/N)]])</f>
        <v>3</v>
      </c>
      <c r="BI171" s="4" t="str">
        <f>IF(AND(Table1[[#This Row],[Pregnant(Y/N)]]=0, Table1[[#This Row],[  I   beta-HCG(mIU/mL)]]&gt;5), "Investigation Required", "Clear")</f>
        <v>Clear</v>
      </c>
    </row>
    <row r="172" spans="1:61" ht="15.75" customHeight="1" x14ac:dyDescent="0.25">
      <c r="A172">
        <v>171</v>
      </c>
      <c r="B172">
        <v>171</v>
      </c>
      <c r="C172">
        <v>0</v>
      </c>
      <c r="D172" t="str">
        <f>IF(Table1[[#This Row],[PCOS (Y/N)]]=0,"NO","YES")</f>
        <v>NO</v>
      </c>
      <c r="E172">
        <v>28</v>
      </c>
      <c r="F172">
        <v>54</v>
      </c>
      <c r="G172">
        <v>157</v>
      </c>
      <c r="H172">
        <v>15</v>
      </c>
      <c r="I172">
        <v>73</v>
      </c>
      <c r="J172">
        <v>19</v>
      </c>
      <c r="K172">
        <v>11</v>
      </c>
      <c r="L172">
        <v>2</v>
      </c>
      <c r="M172">
        <v>6</v>
      </c>
      <c r="N172">
        <v>6</v>
      </c>
      <c r="O172">
        <v>1</v>
      </c>
      <c r="P172" t="str">
        <f>IF(Table1[[#This Row],[Pregnant(Y/N)]]=1,"YES","NO")</f>
        <v>YES</v>
      </c>
      <c r="Q172">
        <v>0</v>
      </c>
      <c r="R172">
        <v>833.5</v>
      </c>
      <c r="S172">
        <v>230.5</v>
      </c>
      <c r="T172">
        <v>4.7300000000000004</v>
      </c>
      <c r="U172">
        <v>3.23</v>
      </c>
      <c r="V172">
        <f>Table1[[#This Row],[FSH(mIU/mL)]]/Table1[[#This Row],[LH(mIU/mL)]]</f>
        <v>1.4643962848297214</v>
      </c>
      <c r="W172" t="str">
        <f>IF(Table1[[#This Row],[FSH/LH]]&gt;=2,"Abnormal","Normal")</f>
        <v>Normal</v>
      </c>
      <c r="X172">
        <v>36</v>
      </c>
      <c r="Y172">
        <v>34</v>
      </c>
      <c r="Z172">
        <f>ROUND(Table1[[#This Row],[Waist(inch)]]/Table1[[#This Row],[Hip(inch)]],2)</f>
        <v>0.94</v>
      </c>
      <c r="AA172">
        <v>1.22</v>
      </c>
      <c r="AB172">
        <v>1.68</v>
      </c>
      <c r="AC172">
        <v>23.54</v>
      </c>
      <c r="AD172">
        <v>33.549999999999997</v>
      </c>
      <c r="AE172" t="str">
        <f>IF(Table1[[#This Row],[Vit D3 (ng/mL)]]&lt;20,"Deficiency","Normal")</f>
        <v>Normal</v>
      </c>
      <c r="AF172">
        <v>0.25</v>
      </c>
      <c r="AG172">
        <v>115</v>
      </c>
      <c r="AH172">
        <v>0</v>
      </c>
      <c r="AI172" t="str">
        <f>IF(Table1[[#This Row],[Weight gain(Y/N)]]=0,"NO","YES")</f>
        <v>NO</v>
      </c>
      <c r="AJ172">
        <v>0</v>
      </c>
      <c r="AK172" t="str">
        <f>IF(Table1[[#This Row],[hair growth(Y/N)]]=1,"YES","NO")</f>
        <v>NO</v>
      </c>
      <c r="AL172">
        <v>0</v>
      </c>
      <c r="AM172" t="str">
        <f>IF(Table1[[#This Row],[Skin darkening (Y/N)]]=1,"YES","NO")</f>
        <v>NO</v>
      </c>
      <c r="AN172">
        <v>1</v>
      </c>
      <c r="AO172" t="str">
        <f>IF(Table1[[#This Row],[Hair loss(Y/N)]]=1,"YES","NO")</f>
        <v>YES</v>
      </c>
      <c r="AP172">
        <v>1</v>
      </c>
      <c r="AQ172" t="str">
        <f>IF(Table1[[#This Row],[Pimples(Y/N)]]=1,"YES","NO")</f>
        <v>YES</v>
      </c>
      <c r="AR172">
        <v>0</v>
      </c>
      <c r="AS172" t="str">
        <f>IF(Table1[[#This Row],[Fast food (Y/N)]]=1,"YES","NO")</f>
        <v>NO</v>
      </c>
      <c r="AT172">
        <v>0</v>
      </c>
      <c r="AU172" t="str">
        <f>IF(Table1[[#This Row],[Reg.Exercise(Y/N)]]=1,"YES","NO")</f>
        <v>NO</v>
      </c>
      <c r="AV172">
        <v>120</v>
      </c>
      <c r="AW172">
        <v>80</v>
      </c>
      <c r="AX172">
        <v>12</v>
      </c>
      <c r="AY172">
        <v>14</v>
      </c>
      <c r="AZ172">
        <v>13</v>
      </c>
      <c r="BA172">
        <v>15</v>
      </c>
      <c r="BB172">
        <v>9.6</v>
      </c>
      <c r="BC172" t="str" cm="1">
        <f t="array" ref="BC172">_xlfn.IFS((F172/(G172*G172)*10000)&lt; 18.5,"Underweight",(F172/(G172*G172)*10000)&lt;24.9,"Normal",(F172/(G172*G172)*10000)&lt;29.9,"Overweight",(F172/(G172*G172)*10000)&gt;=30,"obesity")</f>
        <v>Normal</v>
      </c>
      <c r="BD172">
        <f>Table1[[#This Row],[Follicle No. (L)]]+Table1[[#This Row],[Follicle No. (R)]]</f>
        <v>26</v>
      </c>
      <c r="BE172">
        <f>Table1[[#This Row],[Avg. F size (L) (mm)]]+Table1[[#This Row],[Avg. F size (R) (mm)]]</f>
        <v>28</v>
      </c>
      <c r="BF172">
        <f>Table1[[#This Row],[BP _Diastolic (mmHg)]]+(Table1[[#This Row],[BP _Diastolic (mmHg)]]+Table1[[#This Row],[Follicle No. (L)]])/3</f>
        <v>110.66666666666667</v>
      </c>
      <c r="BG172" s="4" t="str" cm="1">
        <f t="array" ref="BG17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72" s="4">
        <f>SUM(Table1[[#This Row],[Pimples(Y/N)]],Table1[[#This Row],[hair growth(Y/N)]],Table1[[#This Row],[Skin darkening (Y/N)]],Table1[[#This Row],[Hair loss(Y/N)]])</f>
        <v>2</v>
      </c>
      <c r="BI172" s="4" t="str">
        <f>IF(AND(Table1[[#This Row],[Pregnant(Y/N)]]=0, Table1[[#This Row],[  I   beta-HCG(mIU/mL)]]&gt;5), "Investigation Required", "Clear")</f>
        <v>Clear</v>
      </c>
    </row>
    <row r="173" spans="1:61" ht="15.75" customHeight="1" x14ac:dyDescent="0.25">
      <c r="A173">
        <v>172</v>
      </c>
      <c r="B173">
        <v>172</v>
      </c>
      <c r="C173">
        <v>1</v>
      </c>
      <c r="D173" t="str">
        <f>IF(Table1[[#This Row],[PCOS (Y/N)]]=0,"NO","YES")</f>
        <v>YES</v>
      </c>
      <c r="E173">
        <v>29</v>
      </c>
      <c r="F173">
        <v>60</v>
      </c>
      <c r="G173">
        <v>156</v>
      </c>
      <c r="H173">
        <v>13</v>
      </c>
      <c r="I173">
        <v>74</v>
      </c>
      <c r="J173">
        <v>18</v>
      </c>
      <c r="K173">
        <v>11.2</v>
      </c>
      <c r="L173">
        <v>4</v>
      </c>
      <c r="M173">
        <v>4</v>
      </c>
      <c r="N173">
        <v>8</v>
      </c>
      <c r="O173">
        <v>0</v>
      </c>
      <c r="P173" t="str">
        <f>IF(Table1[[#This Row],[Pregnant(Y/N)]]=1,"YES","NO")</f>
        <v>NO</v>
      </c>
      <c r="Q173">
        <v>0</v>
      </c>
      <c r="R173">
        <v>1.99</v>
      </c>
      <c r="S173">
        <v>1.99</v>
      </c>
      <c r="T173">
        <v>5.43</v>
      </c>
      <c r="U173">
        <v>6.82</v>
      </c>
      <c r="V173">
        <f>Table1[[#This Row],[FSH(mIU/mL)]]/Table1[[#This Row],[LH(mIU/mL)]]</f>
        <v>0.79618768328445744</v>
      </c>
      <c r="W173" t="str">
        <f>IF(Table1[[#This Row],[FSH/LH]]&gt;=2,"Abnormal","Normal")</f>
        <v>Normal</v>
      </c>
      <c r="X173">
        <v>42</v>
      </c>
      <c r="Y173">
        <v>36</v>
      </c>
      <c r="Z173">
        <f>ROUND(Table1[[#This Row],[Waist(inch)]]/Table1[[#This Row],[Hip(inch)]],2)</f>
        <v>0.86</v>
      </c>
      <c r="AA173">
        <v>3.55</v>
      </c>
      <c r="AB173">
        <v>3.65</v>
      </c>
      <c r="AC173">
        <v>16.41</v>
      </c>
      <c r="AD173">
        <v>26.6</v>
      </c>
      <c r="AE173" t="str">
        <f>IF(Table1[[#This Row],[Vit D3 (ng/mL)]]&lt;20,"Deficiency","Normal")</f>
        <v>Normal</v>
      </c>
      <c r="AF173">
        <v>0.12</v>
      </c>
      <c r="AG173">
        <v>91</v>
      </c>
      <c r="AH173">
        <v>1</v>
      </c>
      <c r="AI173" t="str">
        <f>IF(Table1[[#This Row],[Weight gain(Y/N)]]=0,"NO","YES")</f>
        <v>YES</v>
      </c>
      <c r="AJ173">
        <v>1</v>
      </c>
      <c r="AK173" t="str">
        <f>IF(Table1[[#This Row],[hair growth(Y/N)]]=1,"YES","NO")</f>
        <v>YES</v>
      </c>
      <c r="AL173">
        <v>0</v>
      </c>
      <c r="AM173" t="str">
        <f>IF(Table1[[#This Row],[Skin darkening (Y/N)]]=1,"YES","NO")</f>
        <v>NO</v>
      </c>
      <c r="AN173">
        <v>1</v>
      </c>
      <c r="AO173" t="str">
        <f>IF(Table1[[#This Row],[Hair loss(Y/N)]]=1,"YES","NO")</f>
        <v>YES</v>
      </c>
      <c r="AP173">
        <v>1</v>
      </c>
      <c r="AQ173" t="str">
        <f>IF(Table1[[#This Row],[Pimples(Y/N)]]=1,"YES","NO")</f>
        <v>YES</v>
      </c>
      <c r="AR173">
        <v>1</v>
      </c>
      <c r="AS173" t="str">
        <f>IF(Table1[[#This Row],[Fast food (Y/N)]]=1,"YES","NO")</f>
        <v>YES</v>
      </c>
      <c r="AT173">
        <v>0</v>
      </c>
      <c r="AU173" t="str">
        <f>IF(Table1[[#This Row],[Reg.Exercise(Y/N)]]=1,"YES","NO")</f>
        <v>NO</v>
      </c>
      <c r="AV173">
        <v>120</v>
      </c>
      <c r="AW173">
        <v>80</v>
      </c>
      <c r="AX173">
        <v>13</v>
      </c>
      <c r="AY173">
        <v>12</v>
      </c>
      <c r="AZ173">
        <v>15</v>
      </c>
      <c r="BA173">
        <v>16</v>
      </c>
      <c r="BB173">
        <v>8.5</v>
      </c>
      <c r="BC173" t="str" cm="1">
        <f t="array" ref="BC173">_xlfn.IFS((F173/(G173*G173)*10000)&lt; 18.5,"Underweight",(F173/(G173*G173)*10000)&lt;24.9,"Normal",(F173/(G173*G173)*10000)&lt;29.9,"Overweight",(F173/(G173*G173)*10000)&gt;=30,"obesity")</f>
        <v>Normal</v>
      </c>
      <c r="BD173">
        <f>Table1[[#This Row],[Follicle No. (L)]]+Table1[[#This Row],[Follicle No. (R)]]</f>
        <v>25</v>
      </c>
      <c r="BE173">
        <f>Table1[[#This Row],[Avg. F size (L) (mm)]]+Table1[[#This Row],[Avg. F size (R) (mm)]]</f>
        <v>31</v>
      </c>
      <c r="BF173">
        <f>Table1[[#This Row],[BP _Diastolic (mmHg)]]+(Table1[[#This Row],[BP _Diastolic (mmHg)]]+Table1[[#This Row],[Follicle No. (L)]])/3</f>
        <v>111</v>
      </c>
      <c r="BG173" s="4" t="str" cm="1">
        <f t="array" ref="BG17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73" s="4">
        <f>SUM(Table1[[#This Row],[Pimples(Y/N)]],Table1[[#This Row],[hair growth(Y/N)]],Table1[[#This Row],[Skin darkening (Y/N)]],Table1[[#This Row],[Hair loss(Y/N)]])</f>
        <v>3</v>
      </c>
      <c r="BI173" s="4" t="str">
        <f>IF(AND(Table1[[#This Row],[Pregnant(Y/N)]]=0, Table1[[#This Row],[  I   beta-HCG(mIU/mL)]]&gt;5), "Investigation Required", "Clear")</f>
        <v>Clear</v>
      </c>
    </row>
    <row r="174" spans="1:61" ht="15.75" customHeight="1" x14ac:dyDescent="0.25">
      <c r="A174">
        <v>173</v>
      </c>
      <c r="B174">
        <v>173</v>
      </c>
      <c r="C174">
        <v>0</v>
      </c>
      <c r="D174" t="str">
        <f>IF(Table1[[#This Row],[PCOS (Y/N)]]=0,"NO","YES")</f>
        <v>NO</v>
      </c>
      <c r="E174">
        <v>31</v>
      </c>
      <c r="F174">
        <v>50</v>
      </c>
      <c r="G174">
        <v>149</v>
      </c>
      <c r="H174">
        <v>13</v>
      </c>
      <c r="I174">
        <v>75</v>
      </c>
      <c r="J174">
        <v>18</v>
      </c>
      <c r="K174">
        <v>10.4</v>
      </c>
      <c r="L174">
        <v>2</v>
      </c>
      <c r="M174">
        <v>6</v>
      </c>
      <c r="N174">
        <v>12</v>
      </c>
      <c r="O174">
        <v>1</v>
      </c>
      <c r="P174" t="str">
        <f>IF(Table1[[#This Row],[Pregnant(Y/N)]]=1,"YES","NO")</f>
        <v>YES</v>
      </c>
      <c r="Q174">
        <v>1</v>
      </c>
      <c r="R174">
        <v>2036.2</v>
      </c>
      <c r="S174">
        <v>155.30000000000001</v>
      </c>
      <c r="T174">
        <v>1.92</v>
      </c>
      <c r="U174">
        <v>0.34</v>
      </c>
      <c r="V174">
        <f>Table1[[#This Row],[FSH(mIU/mL)]]/Table1[[#This Row],[LH(mIU/mL)]]</f>
        <v>5.6470588235294112</v>
      </c>
      <c r="W174" t="str">
        <f>IF(Table1[[#This Row],[FSH/LH]]&gt;=2,"Abnormal","Normal")</f>
        <v>Abnormal</v>
      </c>
      <c r="X174">
        <v>36</v>
      </c>
      <c r="Y174">
        <v>30</v>
      </c>
      <c r="Z174">
        <f>ROUND(Table1[[#This Row],[Waist(inch)]]/Table1[[#This Row],[Hip(inch)]],2)</f>
        <v>0.83</v>
      </c>
      <c r="AA174">
        <v>2.73</v>
      </c>
      <c r="AB174">
        <v>3.63</v>
      </c>
      <c r="AC174">
        <v>14.98</v>
      </c>
      <c r="AD174">
        <v>48</v>
      </c>
      <c r="AE174" t="str">
        <f>IF(Table1[[#This Row],[Vit D3 (ng/mL)]]&lt;20,"Deficiency","Normal")</f>
        <v>Normal</v>
      </c>
      <c r="AF174">
        <v>0.9</v>
      </c>
      <c r="AG174">
        <v>91</v>
      </c>
      <c r="AH174">
        <v>0</v>
      </c>
      <c r="AI174" t="str">
        <f>IF(Table1[[#This Row],[Weight gain(Y/N)]]=0,"NO","YES")</f>
        <v>NO</v>
      </c>
      <c r="AJ174">
        <v>0</v>
      </c>
      <c r="AK174" t="str">
        <f>IF(Table1[[#This Row],[hair growth(Y/N)]]=1,"YES","NO")</f>
        <v>NO</v>
      </c>
      <c r="AL174">
        <v>1</v>
      </c>
      <c r="AM174" t="str">
        <f>IF(Table1[[#This Row],[Skin darkening (Y/N)]]=1,"YES","NO")</f>
        <v>YES</v>
      </c>
      <c r="AN174">
        <v>0</v>
      </c>
      <c r="AO174" t="str">
        <f>IF(Table1[[#This Row],[Hair loss(Y/N)]]=1,"YES","NO")</f>
        <v>NO</v>
      </c>
      <c r="AP174">
        <v>1</v>
      </c>
      <c r="AQ174" t="str">
        <f>IF(Table1[[#This Row],[Pimples(Y/N)]]=1,"YES","NO")</f>
        <v>YES</v>
      </c>
      <c r="AR174">
        <v>0</v>
      </c>
      <c r="AS174" t="str">
        <f>IF(Table1[[#This Row],[Fast food (Y/N)]]=1,"YES","NO")</f>
        <v>NO</v>
      </c>
      <c r="AT174">
        <v>1</v>
      </c>
      <c r="AU174" t="str">
        <f>IF(Table1[[#This Row],[Reg.Exercise(Y/N)]]=1,"YES","NO")</f>
        <v>YES</v>
      </c>
      <c r="AV174">
        <v>120</v>
      </c>
      <c r="AW174">
        <v>80</v>
      </c>
      <c r="AX174">
        <v>3</v>
      </c>
      <c r="AY174">
        <v>2</v>
      </c>
      <c r="AZ174">
        <v>14</v>
      </c>
      <c r="BA174">
        <v>12</v>
      </c>
      <c r="BB174">
        <v>5.5</v>
      </c>
      <c r="BC174" t="str" cm="1">
        <f t="array" ref="BC174">_xlfn.IFS((F174/(G174*G174)*10000)&lt; 18.5,"Underweight",(F174/(G174*G174)*10000)&lt;24.9,"Normal",(F174/(G174*G174)*10000)&lt;29.9,"Overweight",(F174/(G174*G174)*10000)&gt;=30,"obesity")</f>
        <v>Normal</v>
      </c>
      <c r="BD174">
        <f>Table1[[#This Row],[Follicle No. (L)]]+Table1[[#This Row],[Follicle No. (R)]]</f>
        <v>5</v>
      </c>
      <c r="BE174">
        <f>Table1[[#This Row],[Avg. F size (L) (mm)]]+Table1[[#This Row],[Avg. F size (R) (mm)]]</f>
        <v>26</v>
      </c>
      <c r="BF174">
        <f>Table1[[#This Row],[BP _Diastolic (mmHg)]]+(Table1[[#This Row],[BP _Diastolic (mmHg)]]+Table1[[#This Row],[Follicle No. (L)]])/3</f>
        <v>107.66666666666667</v>
      </c>
      <c r="BG174" s="4" t="str" cm="1">
        <f t="array" ref="BG17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74" s="4">
        <f>SUM(Table1[[#This Row],[Pimples(Y/N)]],Table1[[#This Row],[hair growth(Y/N)]],Table1[[#This Row],[Skin darkening (Y/N)]],Table1[[#This Row],[Hair loss(Y/N)]])</f>
        <v>2</v>
      </c>
      <c r="BI174" s="4" t="str">
        <f>IF(AND(Table1[[#This Row],[Pregnant(Y/N)]]=0, Table1[[#This Row],[  I   beta-HCG(mIU/mL)]]&gt;5), "Investigation Required", "Clear")</f>
        <v>Clear</v>
      </c>
    </row>
    <row r="175" spans="1:61" ht="15.75" customHeight="1" x14ac:dyDescent="0.25">
      <c r="A175">
        <v>174</v>
      </c>
      <c r="B175">
        <v>174</v>
      </c>
      <c r="C175">
        <v>1</v>
      </c>
      <c r="D175" t="str">
        <f>IF(Table1[[#This Row],[PCOS (Y/N)]]=0,"NO","YES")</f>
        <v>YES</v>
      </c>
      <c r="E175">
        <v>35</v>
      </c>
      <c r="F175">
        <v>73.5</v>
      </c>
      <c r="G175">
        <v>155</v>
      </c>
      <c r="H175">
        <v>15</v>
      </c>
      <c r="I175">
        <v>72</v>
      </c>
      <c r="J175">
        <v>20</v>
      </c>
      <c r="K175">
        <v>10.09</v>
      </c>
      <c r="L175">
        <v>4</v>
      </c>
      <c r="M175">
        <v>5</v>
      </c>
      <c r="N175">
        <v>10</v>
      </c>
      <c r="O175">
        <v>0</v>
      </c>
      <c r="P175" t="str">
        <f>IF(Table1[[#This Row],[Pregnant(Y/N)]]=1,"YES","NO")</f>
        <v>NO</v>
      </c>
      <c r="Q175">
        <v>2</v>
      </c>
      <c r="R175">
        <v>3.8879999999999999</v>
      </c>
      <c r="S175">
        <v>3.8879999999999999</v>
      </c>
      <c r="T175">
        <v>3.13</v>
      </c>
      <c r="U175">
        <v>0.44</v>
      </c>
      <c r="V175">
        <f>Table1[[#This Row],[FSH(mIU/mL)]]/Table1[[#This Row],[LH(mIU/mL)]]</f>
        <v>7.1136363636363633</v>
      </c>
      <c r="W175" t="str">
        <f>IF(Table1[[#This Row],[FSH/LH]]&gt;=2,"Abnormal","Normal")</f>
        <v>Abnormal</v>
      </c>
      <c r="X175">
        <v>42</v>
      </c>
      <c r="Y175">
        <v>34</v>
      </c>
      <c r="Z175">
        <f>ROUND(Table1[[#This Row],[Waist(inch)]]/Table1[[#This Row],[Hip(inch)]],2)</f>
        <v>0.81</v>
      </c>
      <c r="AA175">
        <v>0.76</v>
      </c>
      <c r="AB175">
        <v>3.49</v>
      </c>
      <c r="AC175">
        <v>16.649999999999999</v>
      </c>
      <c r="AD175">
        <v>31.2</v>
      </c>
      <c r="AE175" t="str">
        <f>IF(Table1[[#This Row],[Vit D3 (ng/mL)]]&lt;20,"Deficiency","Normal")</f>
        <v>Normal</v>
      </c>
      <c r="AF175">
        <v>0.41</v>
      </c>
      <c r="AG175">
        <v>108</v>
      </c>
      <c r="AH175">
        <v>1</v>
      </c>
      <c r="AI175" t="str">
        <f>IF(Table1[[#This Row],[Weight gain(Y/N)]]=0,"NO","YES")</f>
        <v>YES</v>
      </c>
      <c r="AJ175">
        <v>1</v>
      </c>
      <c r="AK175" t="str">
        <f>IF(Table1[[#This Row],[hair growth(Y/N)]]=1,"YES","NO")</f>
        <v>YES</v>
      </c>
      <c r="AL175">
        <v>1</v>
      </c>
      <c r="AM175" t="str">
        <f>IF(Table1[[#This Row],[Skin darkening (Y/N)]]=1,"YES","NO")</f>
        <v>YES</v>
      </c>
      <c r="AN175">
        <v>1</v>
      </c>
      <c r="AO175" t="str">
        <f>IF(Table1[[#This Row],[Hair loss(Y/N)]]=1,"YES","NO")</f>
        <v>YES</v>
      </c>
      <c r="AP175">
        <v>0</v>
      </c>
      <c r="AQ175" t="str">
        <f>IF(Table1[[#This Row],[Pimples(Y/N)]]=1,"YES","NO")</f>
        <v>NO</v>
      </c>
      <c r="AR175">
        <v>1</v>
      </c>
      <c r="AS175" t="str">
        <f>IF(Table1[[#This Row],[Fast food (Y/N)]]=1,"YES","NO")</f>
        <v>YES</v>
      </c>
      <c r="AT175">
        <v>0</v>
      </c>
      <c r="AU175" t="str">
        <f>IF(Table1[[#This Row],[Reg.Exercise(Y/N)]]=1,"YES","NO")</f>
        <v>NO</v>
      </c>
      <c r="AV175">
        <v>120</v>
      </c>
      <c r="AW175">
        <v>80</v>
      </c>
      <c r="AX175">
        <v>15</v>
      </c>
      <c r="AY175">
        <v>16</v>
      </c>
      <c r="AZ175">
        <v>13</v>
      </c>
      <c r="BA175">
        <v>14</v>
      </c>
      <c r="BB175">
        <v>9.5</v>
      </c>
      <c r="BC175" t="str" cm="1">
        <f t="array" ref="BC175">_xlfn.IFS((F175/(G175*G175)*10000)&lt; 18.5,"Underweight",(F175/(G175*G175)*10000)&lt;24.9,"Normal",(F175/(G175*G175)*10000)&lt;29.9,"Overweight",(F175/(G175*G175)*10000)&gt;=30,"obesity")</f>
        <v>obesity</v>
      </c>
      <c r="BD175">
        <f>Table1[[#This Row],[Follicle No. (L)]]+Table1[[#This Row],[Follicle No. (R)]]</f>
        <v>31</v>
      </c>
      <c r="BE175">
        <f>Table1[[#This Row],[Avg. F size (L) (mm)]]+Table1[[#This Row],[Avg. F size (R) (mm)]]</f>
        <v>27</v>
      </c>
      <c r="BF175">
        <f>Table1[[#This Row],[BP _Diastolic (mmHg)]]+(Table1[[#This Row],[BP _Diastolic (mmHg)]]+Table1[[#This Row],[Follicle No. (L)]])/3</f>
        <v>111.66666666666667</v>
      </c>
      <c r="BG175" s="4" t="str" cm="1">
        <f t="array" ref="BG17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75" s="4">
        <f>SUM(Table1[[#This Row],[Pimples(Y/N)]],Table1[[#This Row],[hair growth(Y/N)]],Table1[[#This Row],[Skin darkening (Y/N)]],Table1[[#This Row],[Hair loss(Y/N)]])</f>
        <v>3</v>
      </c>
      <c r="BI175" s="4" t="str">
        <f>IF(AND(Table1[[#This Row],[Pregnant(Y/N)]]=0, Table1[[#This Row],[  I   beta-HCG(mIU/mL)]]&gt;5), "Investigation Required", "Clear")</f>
        <v>Clear</v>
      </c>
    </row>
    <row r="176" spans="1:61" ht="15.75" customHeight="1" x14ac:dyDescent="0.25">
      <c r="A176">
        <v>175</v>
      </c>
      <c r="B176">
        <v>175</v>
      </c>
      <c r="C176">
        <v>0</v>
      </c>
      <c r="D176" t="str">
        <f>IF(Table1[[#This Row],[PCOS (Y/N)]]=0,"NO","YES")</f>
        <v>NO</v>
      </c>
      <c r="E176">
        <v>37</v>
      </c>
      <c r="F176">
        <v>60</v>
      </c>
      <c r="G176">
        <v>152</v>
      </c>
      <c r="H176">
        <v>11</v>
      </c>
      <c r="I176">
        <v>72</v>
      </c>
      <c r="J176">
        <v>18</v>
      </c>
      <c r="K176">
        <v>11.7</v>
      </c>
      <c r="L176">
        <v>2</v>
      </c>
      <c r="M176">
        <v>6</v>
      </c>
      <c r="N176">
        <v>15</v>
      </c>
      <c r="O176">
        <v>1</v>
      </c>
      <c r="P176" t="str">
        <f>IF(Table1[[#This Row],[Pregnant(Y/N)]]=1,"YES","NO")</f>
        <v>YES</v>
      </c>
      <c r="Q176">
        <v>1</v>
      </c>
      <c r="R176">
        <v>698.2</v>
      </c>
      <c r="S176">
        <v>523.6</v>
      </c>
      <c r="T176">
        <v>9.1</v>
      </c>
      <c r="U176">
        <v>5.0999999999999996</v>
      </c>
      <c r="V176">
        <f>Table1[[#This Row],[FSH(mIU/mL)]]/Table1[[#This Row],[LH(mIU/mL)]]</f>
        <v>1.7843137254901962</v>
      </c>
      <c r="W176" t="str">
        <f>IF(Table1[[#This Row],[FSH/LH]]&gt;=2,"Abnormal","Normal")</f>
        <v>Normal</v>
      </c>
      <c r="X176">
        <v>38</v>
      </c>
      <c r="Y176">
        <v>32</v>
      </c>
      <c r="Z176">
        <f>ROUND(Table1[[#This Row],[Waist(inch)]]/Table1[[#This Row],[Hip(inch)]],2)</f>
        <v>0.84</v>
      </c>
      <c r="AA176">
        <v>2.85</v>
      </c>
      <c r="AB176">
        <v>2.0099999999999998</v>
      </c>
      <c r="AC176">
        <v>10.78</v>
      </c>
      <c r="AD176">
        <v>17.100000000000001</v>
      </c>
      <c r="AE176" t="str">
        <f>IF(Table1[[#This Row],[Vit D3 (ng/mL)]]&lt;20,"Deficiency","Normal")</f>
        <v>Deficiency</v>
      </c>
      <c r="AF176">
        <v>1</v>
      </c>
      <c r="AG176">
        <v>91</v>
      </c>
      <c r="AH176">
        <v>1</v>
      </c>
      <c r="AI176" t="str">
        <f>IF(Table1[[#This Row],[Weight gain(Y/N)]]=0,"NO","YES")</f>
        <v>YES</v>
      </c>
      <c r="AJ176">
        <v>0</v>
      </c>
      <c r="AK176" t="str">
        <f>IF(Table1[[#This Row],[hair growth(Y/N)]]=1,"YES","NO")</f>
        <v>NO</v>
      </c>
      <c r="AL176">
        <v>1</v>
      </c>
      <c r="AM176" t="str">
        <f>IF(Table1[[#This Row],[Skin darkening (Y/N)]]=1,"YES","NO")</f>
        <v>YES</v>
      </c>
      <c r="AN176">
        <v>0</v>
      </c>
      <c r="AO176" t="str">
        <f>IF(Table1[[#This Row],[Hair loss(Y/N)]]=1,"YES","NO")</f>
        <v>NO</v>
      </c>
      <c r="AP176">
        <v>0</v>
      </c>
      <c r="AQ176" t="str">
        <f>IF(Table1[[#This Row],[Pimples(Y/N)]]=1,"YES","NO")</f>
        <v>NO</v>
      </c>
      <c r="AR176">
        <v>1</v>
      </c>
      <c r="AS176" t="str">
        <f>IF(Table1[[#This Row],[Fast food (Y/N)]]=1,"YES","NO")</f>
        <v>YES</v>
      </c>
      <c r="AT176">
        <v>0</v>
      </c>
      <c r="AU176" t="str">
        <f>IF(Table1[[#This Row],[Reg.Exercise(Y/N)]]=1,"YES","NO")</f>
        <v>NO</v>
      </c>
      <c r="AV176">
        <v>120</v>
      </c>
      <c r="AW176">
        <v>80</v>
      </c>
      <c r="AX176">
        <v>1</v>
      </c>
      <c r="AY176">
        <v>1</v>
      </c>
      <c r="AZ176">
        <v>10</v>
      </c>
      <c r="BA176">
        <v>11</v>
      </c>
      <c r="BB176">
        <v>5</v>
      </c>
      <c r="BC176" t="str" cm="1">
        <f t="array" ref="BC176">_xlfn.IFS((F176/(G176*G176)*10000)&lt; 18.5,"Underweight",(F176/(G176*G176)*10000)&lt;24.9,"Normal",(F176/(G176*G176)*10000)&lt;29.9,"Overweight",(F176/(G176*G176)*10000)&gt;=30,"obesity")</f>
        <v>Overweight</v>
      </c>
      <c r="BD176">
        <f>Table1[[#This Row],[Follicle No. (L)]]+Table1[[#This Row],[Follicle No. (R)]]</f>
        <v>2</v>
      </c>
      <c r="BE176">
        <f>Table1[[#This Row],[Avg. F size (L) (mm)]]+Table1[[#This Row],[Avg. F size (R) (mm)]]</f>
        <v>21</v>
      </c>
      <c r="BF176">
        <f>Table1[[#This Row],[BP _Diastolic (mmHg)]]+(Table1[[#This Row],[BP _Diastolic (mmHg)]]+Table1[[#This Row],[Follicle No. (L)]])/3</f>
        <v>107</v>
      </c>
      <c r="BG176" s="4" t="str" cm="1">
        <f t="array" ref="BG17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76" s="4">
        <f>SUM(Table1[[#This Row],[Pimples(Y/N)]],Table1[[#This Row],[hair growth(Y/N)]],Table1[[#This Row],[Skin darkening (Y/N)]],Table1[[#This Row],[Hair loss(Y/N)]])</f>
        <v>1</v>
      </c>
      <c r="BI176" s="4" t="str">
        <f>IF(AND(Table1[[#This Row],[Pregnant(Y/N)]]=0, Table1[[#This Row],[  I   beta-HCG(mIU/mL)]]&gt;5), "Investigation Required", "Clear")</f>
        <v>Clear</v>
      </c>
    </row>
    <row r="177" spans="1:61" ht="15.75" customHeight="1" x14ac:dyDescent="0.25">
      <c r="A177">
        <v>176</v>
      </c>
      <c r="B177">
        <v>176</v>
      </c>
      <c r="C177">
        <v>1</v>
      </c>
      <c r="D177" t="str">
        <f>IF(Table1[[#This Row],[PCOS (Y/N)]]=0,"NO","YES")</f>
        <v>YES</v>
      </c>
      <c r="E177">
        <v>27</v>
      </c>
      <c r="F177">
        <v>58</v>
      </c>
      <c r="G177">
        <v>152</v>
      </c>
      <c r="H177">
        <v>15</v>
      </c>
      <c r="I177">
        <v>74</v>
      </c>
      <c r="J177">
        <v>18</v>
      </c>
      <c r="K177">
        <v>11.1</v>
      </c>
      <c r="L177">
        <v>4</v>
      </c>
      <c r="M177">
        <v>4</v>
      </c>
      <c r="N177">
        <v>5</v>
      </c>
      <c r="O177">
        <v>0</v>
      </c>
      <c r="P177" t="str">
        <f>IF(Table1[[#This Row],[Pregnant(Y/N)]]=1,"YES","NO")</f>
        <v>NO</v>
      </c>
      <c r="Q177">
        <v>0</v>
      </c>
      <c r="R177">
        <v>1.99</v>
      </c>
      <c r="S177">
        <v>1.99</v>
      </c>
      <c r="T177">
        <v>6.25</v>
      </c>
      <c r="U177">
        <v>7.35</v>
      </c>
      <c r="V177">
        <f>Table1[[#This Row],[FSH(mIU/mL)]]/Table1[[#This Row],[LH(mIU/mL)]]</f>
        <v>0.85034013605442182</v>
      </c>
      <c r="W177" t="str">
        <f>IF(Table1[[#This Row],[FSH/LH]]&gt;=2,"Abnormal","Normal")</f>
        <v>Normal</v>
      </c>
      <c r="X177">
        <v>36</v>
      </c>
      <c r="Y177">
        <v>30</v>
      </c>
      <c r="Z177">
        <f>ROUND(Table1[[#This Row],[Waist(inch)]]/Table1[[#This Row],[Hip(inch)]],2)</f>
        <v>0.83</v>
      </c>
      <c r="AA177">
        <v>2.61</v>
      </c>
      <c r="AB177">
        <v>8</v>
      </c>
      <c r="AC177">
        <v>30</v>
      </c>
      <c r="AD177">
        <v>6.5</v>
      </c>
      <c r="AE177" t="str">
        <f>IF(Table1[[#This Row],[Vit D3 (ng/mL)]]&lt;20,"Deficiency","Normal")</f>
        <v>Deficiency</v>
      </c>
      <c r="AF177">
        <v>0.251</v>
      </c>
      <c r="AG177">
        <v>84</v>
      </c>
      <c r="AH177">
        <v>1</v>
      </c>
      <c r="AI177" t="str">
        <f>IF(Table1[[#This Row],[Weight gain(Y/N)]]=0,"NO","YES")</f>
        <v>YES</v>
      </c>
      <c r="AJ177">
        <v>0</v>
      </c>
      <c r="AK177" t="str">
        <f>IF(Table1[[#This Row],[hair growth(Y/N)]]=1,"YES","NO")</f>
        <v>NO</v>
      </c>
      <c r="AL177">
        <v>1</v>
      </c>
      <c r="AM177" t="str">
        <f>IF(Table1[[#This Row],[Skin darkening (Y/N)]]=1,"YES","NO")</f>
        <v>YES</v>
      </c>
      <c r="AN177">
        <v>1</v>
      </c>
      <c r="AO177" t="str">
        <f>IF(Table1[[#This Row],[Hair loss(Y/N)]]=1,"YES","NO")</f>
        <v>YES</v>
      </c>
      <c r="AP177">
        <v>1</v>
      </c>
      <c r="AQ177" t="str">
        <f>IF(Table1[[#This Row],[Pimples(Y/N)]]=1,"YES","NO")</f>
        <v>YES</v>
      </c>
      <c r="AR177">
        <v>1</v>
      </c>
      <c r="AS177" t="str">
        <f>IF(Table1[[#This Row],[Fast food (Y/N)]]=1,"YES","NO")</f>
        <v>YES</v>
      </c>
      <c r="AT177">
        <v>0</v>
      </c>
      <c r="AU177" t="str">
        <f>IF(Table1[[#This Row],[Reg.Exercise(Y/N)]]=1,"YES","NO")</f>
        <v>NO</v>
      </c>
      <c r="AV177">
        <v>120</v>
      </c>
      <c r="AW177">
        <v>80</v>
      </c>
      <c r="AX177">
        <v>12</v>
      </c>
      <c r="AY177">
        <v>13</v>
      </c>
      <c r="AZ177">
        <v>15</v>
      </c>
      <c r="BA177">
        <v>16</v>
      </c>
      <c r="BB177">
        <v>9</v>
      </c>
      <c r="BC177" t="str" cm="1">
        <f t="array" ref="BC177">_xlfn.IFS((F177/(G177*G177)*10000)&lt; 18.5,"Underweight",(F177/(G177*G177)*10000)&lt;24.9,"Normal",(F177/(G177*G177)*10000)&lt;29.9,"Overweight",(F177/(G177*G177)*10000)&gt;=30,"obesity")</f>
        <v>Overweight</v>
      </c>
      <c r="BD177">
        <f>Table1[[#This Row],[Follicle No. (L)]]+Table1[[#This Row],[Follicle No. (R)]]</f>
        <v>25</v>
      </c>
      <c r="BE177">
        <f>Table1[[#This Row],[Avg. F size (L) (mm)]]+Table1[[#This Row],[Avg. F size (R) (mm)]]</f>
        <v>31</v>
      </c>
      <c r="BF177">
        <f>Table1[[#This Row],[BP _Diastolic (mmHg)]]+(Table1[[#This Row],[BP _Diastolic (mmHg)]]+Table1[[#This Row],[Follicle No. (L)]])/3</f>
        <v>110.66666666666667</v>
      </c>
      <c r="BG177" s="4" t="str" cm="1">
        <f t="array" ref="BG17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77" s="4">
        <f>SUM(Table1[[#This Row],[Pimples(Y/N)]],Table1[[#This Row],[hair growth(Y/N)]],Table1[[#This Row],[Skin darkening (Y/N)]],Table1[[#This Row],[Hair loss(Y/N)]])</f>
        <v>3</v>
      </c>
      <c r="BI177" s="4" t="str">
        <f>IF(AND(Table1[[#This Row],[Pregnant(Y/N)]]=0, Table1[[#This Row],[  I   beta-HCG(mIU/mL)]]&gt;5), "Investigation Required", "Clear")</f>
        <v>Clear</v>
      </c>
    </row>
    <row r="178" spans="1:61" ht="15.75" customHeight="1" x14ac:dyDescent="0.25">
      <c r="A178">
        <v>177</v>
      </c>
      <c r="B178">
        <v>177</v>
      </c>
      <c r="C178">
        <v>1</v>
      </c>
      <c r="D178" t="str">
        <f>IF(Table1[[#This Row],[PCOS (Y/N)]]=0,"NO","YES")</f>
        <v>YES</v>
      </c>
      <c r="E178">
        <v>28</v>
      </c>
      <c r="F178">
        <v>78</v>
      </c>
      <c r="G178">
        <v>158</v>
      </c>
      <c r="H178">
        <v>16</v>
      </c>
      <c r="I178">
        <v>73</v>
      </c>
      <c r="J178">
        <v>18</v>
      </c>
      <c r="K178">
        <v>10.5</v>
      </c>
      <c r="L178">
        <v>2</v>
      </c>
      <c r="M178">
        <v>4</v>
      </c>
      <c r="N178">
        <v>8</v>
      </c>
      <c r="O178">
        <v>0</v>
      </c>
      <c r="P178" t="str">
        <f>IF(Table1[[#This Row],[Pregnant(Y/N)]]=1,"YES","NO")</f>
        <v>NO</v>
      </c>
      <c r="Q178">
        <v>0</v>
      </c>
      <c r="R178">
        <v>3.66</v>
      </c>
      <c r="S178">
        <v>1.65</v>
      </c>
      <c r="T178">
        <v>4.5</v>
      </c>
      <c r="U178">
        <v>2.77</v>
      </c>
      <c r="V178">
        <f>Table1[[#This Row],[FSH(mIU/mL)]]/Table1[[#This Row],[LH(mIU/mL)]]</f>
        <v>1.6245487364620939</v>
      </c>
      <c r="W178" t="str">
        <f>IF(Table1[[#This Row],[FSH/LH]]&gt;=2,"Abnormal","Normal")</f>
        <v>Normal</v>
      </c>
      <c r="X178">
        <v>42</v>
      </c>
      <c r="Y178">
        <v>38</v>
      </c>
      <c r="Z178">
        <f>ROUND(Table1[[#This Row],[Waist(inch)]]/Table1[[#This Row],[Hip(inch)]],2)</f>
        <v>0.9</v>
      </c>
      <c r="AA178">
        <v>4.04</v>
      </c>
      <c r="AB178">
        <v>9</v>
      </c>
      <c r="AC178">
        <v>20.76</v>
      </c>
      <c r="AD178">
        <v>10.220000000000001</v>
      </c>
      <c r="AE178" t="str">
        <f>IF(Table1[[#This Row],[Vit D3 (ng/mL)]]&lt;20,"Deficiency","Normal")</f>
        <v>Deficiency</v>
      </c>
      <c r="AF178">
        <v>0.26</v>
      </c>
      <c r="AG178">
        <v>108</v>
      </c>
      <c r="AH178">
        <v>1</v>
      </c>
      <c r="AI178" t="str">
        <f>IF(Table1[[#This Row],[Weight gain(Y/N)]]=0,"NO","YES")</f>
        <v>YES</v>
      </c>
      <c r="AJ178">
        <v>1</v>
      </c>
      <c r="AK178" t="str">
        <f>IF(Table1[[#This Row],[hair growth(Y/N)]]=1,"YES","NO")</f>
        <v>YES</v>
      </c>
      <c r="AL178">
        <v>1</v>
      </c>
      <c r="AM178" t="str">
        <f>IF(Table1[[#This Row],[Skin darkening (Y/N)]]=1,"YES","NO")</f>
        <v>YES</v>
      </c>
      <c r="AN178">
        <v>1</v>
      </c>
      <c r="AO178" t="str">
        <f>IF(Table1[[#This Row],[Hair loss(Y/N)]]=1,"YES","NO")</f>
        <v>YES</v>
      </c>
      <c r="AP178">
        <v>0</v>
      </c>
      <c r="AQ178" t="str">
        <f>IF(Table1[[#This Row],[Pimples(Y/N)]]=1,"YES","NO")</f>
        <v>NO</v>
      </c>
      <c r="AR178">
        <v>1</v>
      </c>
      <c r="AS178" t="str">
        <f>IF(Table1[[#This Row],[Fast food (Y/N)]]=1,"YES","NO")</f>
        <v>YES</v>
      </c>
      <c r="AT178">
        <v>0</v>
      </c>
      <c r="AU178" t="str">
        <f>IF(Table1[[#This Row],[Reg.Exercise(Y/N)]]=1,"YES","NO")</f>
        <v>NO</v>
      </c>
      <c r="AV178">
        <v>110</v>
      </c>
      <c r="AW178">
        <v>70</v>
      </c>
      <c r="AX178">
        <v>15</v>
      </c>
      <c r="AY178">
        <v>14</v>
      </c>
      <c r="AZ178">
        <v>14</v>
      </c>
      <c r="BA178">
        <v>12</v>
      </c>
      <c r="BB178">
        <v>8</v>
      </c>
      <c r="BC178" t="str" cm="1">
        <f t="array" ref="BC178">_xlfn.IFS((F178/(G178*G178)*10000)&lt; 18.5,"Underweight",(F178/(G178*G178)*10000)&lt;24.9,"Normal",(F178/(G178*G178)*10000)&lt;29.9,"Overweight",(F178/(G178*G178)*10000)&gt;=30,"obesity")</f>
        <v>obesity</v>
      </c>
      <c r="BD178">
        <f>Table1[[#This Row],[Follicle No. (L)]]+Table1[[#This Row],[Follicle No. (R)]]</f>
        <v>29</v>
      </c>
      <c r="BE178">
        <f>Table1[[#This Row],[Avg. F size (L) (mm)]]+Table1[[#This Row],[Avg. F size (R) (mm)]]</f>
        <v>26</v>
      </c>
      <c r="BF178">
        <f>Table1[[#This Row],[BP _Diastolic (mmHg)]]+(Table1[[#This Row],[BP _Diastolic (mmHg)]]+Table1[[#This Row],[Follicle No. (L)]])/3</f>
        <v>98.333333333333329</v>
      </c>
      <c r="BG178" s="4" t="str" cm="1">
        <f t="array" ref="BG17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78" s="4">
        <f>SUM(Table1[[#This Row],[Pimples(Y/N)]],Table1[[#This Row],[hair growth(Y/N)]],Table1[[#This Row],[Skin darkening (Y/N)]],Table1[[#This Row],[Hair loss(Y/N)]])</f>
        <v>3</v>
      </c>
      <c r="BI178" s="4" t="str">
        <f>IF(AND(Table1[[#This Row],[Pregnant(Y/N)]]=0, Table1[[#This Row],[  I   beta-HCG(mIU/mL)]]&gt;5), "Investigation Required", "Clear")</f>
        <v>Clear</v>
      </c>
    </row>
    <row r="179" spans="1:61" ht="15.75" customHeight="1" x14ac:dyDescent="0.25">
      <c r="A179">
        <v>178</v>
      </c>
      <c r="B179">
        <v>178</v>
      </c>
      <c r="C179">
        <v>1</v>
      </c>
      <c r="D179" t="str">
        <f>IF(Table1[[#This Row],[PCOS (Y/N)]]=0,"NO","YES")</f>
        <v>YES</v>
      </c>
      <c r="E179">
        <v>24</v>
      </c>
      <c r="F179">
        <v>89</v>
      </c>
      <c r="G179">
        <v>173</v>
      </c>
      <c r="H179">
        <v>17</v>
      </c>
      <c r="I179">
        <v>74</v>
      </c>
      <c r="J179">
        <v>18</v>
      </c>
      <c r="K179">
        <v>11.2</v>
      </c>
      <c r="L179">
        <v>4</v>
      </c>
      <c r="M179">
        <v>4</v>
      </c>
      <c r="N179">
        <v>2.5</v>
      </c>
      <c r="O179">
        <v>0</v>
      </c>
      <c r="P179" t="str">
        <f>IF(Table1[[#This Row],[Pregnant(Y/N)]]=1,"YES","NO")</f>
        <v>NO</v>
      </c>
      <c r="Q179">
        <v>0</v>
      </c>
      <c r="R179">
        <v>1.99</v>
      </c>
      <c r="S179">
        <v>1.99</v>
      </c>
      <c r="T179">
        <v>5.9</v>
      </c>
      <c r="U179">
        <v>9.9</v>
      </c>
      <c r="V179">
        <f>Table1[[#This Row],[FSH(mIU/mL)]]/Table1[[#This Row],[LH(mIU/mL)]]</f>
        <v>0.59595959595959602</v>
      </c>
      <c r="W179" t="str">
        <f>IF(Table1[[#This Row],[FSH/LH]]&gt;=2,"Abnormal","Normal")</f>
        <v>Normal</v>
      </c>
      <c r="X179">
        <v>40</v>
      </c>
      <c r="Y179">
        <v>35</v>
      </c>
      <c r="Z179">
        <f>ROUND(Table1[[#This Row],[Waist(inch)]]/Table1[[#This Row],[Hip(inch)]],2)</f>
        <v>0.88</v>
      </c>
      <c r="AA179">
        <v>1.73</v>
      </c>
      <c r="AB179">
        <v>11.48</v>
      </c>
      <c r="AC179">
        <v>42.43</v>
      </c>
      <c r="AD179">
        <v>25.69</v>
      </c>
      <c r="AE179" t="str">
        <f>IF(Table1[[#This Row],[Vit D3 (ng/mL)]]&lt;20,"Deficiency","Normal")</f>
        <v>Normal</v>
      </c>
      <c r="AF179">
        <v>0.35</v>
      </c>
      <c r="AG179">
        <v>91</v>
      </c>
      <c r="AH179">
        <v>1</v>
      </c>
      <c r="AI179" t="str">
        <f>IF(Table1[[#This Row],[Weight gain(Y/N)]]=0,"NO","YES")</f>
        <v>YES</v>
      </c>
      <c r="AJ179">
        <v>1</v>
      </c>
      <c r="AK179" t="str">
        <f>IF(Table1[[#This Row],[hair growth(Y/N)]]=1,"YES","NO")</f>
        <v>YES</v>
      </c>
      <c r="AL179">
        <v>0</v>
      </c>
      <c r="AM179" t="str">
        <f>IF(Table1[[#This Row],[Skin darkening (Y/N)]]=1,"YES","NO")</f>
        <v>NO</v>
      </c>
      <c r="AN179">
        <v>1</v>
      </c>
      <c r="AO179" t="str">
        <f>IF(Table1[[#This Row],[Hair loss(Y/N)]]=1,"YES","NO")</f>
        <v>YES</v>
      </c>
      <c r="AP179">
        <v>1</v>
      </c>
      <c r="AQ179" t="str">
        <f>IF(Table1[[#This Row],[Pimples(Y/N)]]=1,"YES","NO")</f>
        <v>YES</v>
      </c>
      <c r="AR179">
        <v>1</v>
      </c>
      <c r="AS179" t="str">
        <f>IF(Table1[[#This Row],[Fast food (Y/N)]]=1,"YES","NO")</f>
        <v>YES</v>
      </c>
      <c r="AT179">
        <v>0</v>
      </c>
      <c r="AU179" t="str">
        <f>IF(Table1[[#This Row],[Reg.Exercise(Y/N)]]=1,"YES","NO")</f>
        <v>NO</v>
      </c>
      <c r="AV179">
        <v>120</v>
      </c>
      <c r="AW179">
        <v>80</v>
      </c>
      <c r="AX179">
        <v>11</v>
      </c>
      <c r="AY179">
        <v>8</v>
      </c>
      <c r="AZ179">
        <v>15</v>
      </c>
      <c r="BA179">
        <v>14</v>
      </c>
      <c r="BB179">
        <v>8</v>
      </c>
      <c r="BC179" t="str" cm="1">
        <f t="array" ref="BC179">_xlfn.IFS((F179/(G179*G179)*10000)&lt; 18.5,"Underweight",(F179/(G179*G179)*10000)&lt;24.9,"Normal",(F179/(G179*G179)*10000)&lt;29.9,"Overweight",(F179/(G179*G179)*10000)&gt;=30,"obesity")</f>
        <v>Overweight</v>
      </c>
      <c r="BD179">
        <f>Table1[[#This Row],[Follicle No. (L)]]+Table1[[#This Row],[Follicle No. (R)]]</f>
        <v>19</v>
      </c>
      <c r="BE179">
        <f>Table1[[#This Row],[Avg. F size (L) (mm)]]+Table1[[#This Row],[Avg. F size (R) (mm)]]</f>
        <v>29</v>
      </c>
      <c r="BF179">
        <f>Table1[[#This Row],[BP _Diastolic (mmHg)]]+(Table1[[#This Row],[BP _Diastolic (mmHg)]]+Table1[[#This Row],[Follicle No. (L)]])/3</f>
        <v>110.33333333333333</v>
      </c>
      <c r="BG179" s="4" t="str" cm="1">
        <f t="array" ref="BG17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79" s="4">
        <f>SUM(Table1[[#This Row],[Pimples(Y/N)]],Table1[[#This Row],[hair growth(Y/N)]],Table1[[#This Row],[Skin darkening (Y/N)]],Table1[[#This Row],[Hair loss(Y/N)]])</f>
        <v>3</v>
      </c>
      <c r="BI179" s="4" t="str">
        <f>IF(AND(Table1[[#This Row],[Pregnant(Y/N)]]=0, Table1[[#This Row],[  I   beta-HCG(mIU/mL)]]&gt;5), "Investigation Required", "Clear")</f>
        <v>Clear</v>
      </c>
    </row>
    <row r="180" spans="1:61" ht="15.75" customHeight="1" x14ac:dyDescent="0.25">
      <c r="A180">
        <v>179</v>
      </c>
      <c r="B180">
        <v>179</v>
      </c>
      <c r="C180">
        <v>1</v>
      </c>
      <c r="D180" t="str">
        <f>IF(Table1[[#This Row],[PCOS (Y/N)]]=0,"NO","YES")</f>
        <v>YES</v>
      </c>
      <c r="E180">
        <v>37</v>
      </c>
      <c r="F180">
        <v>88</v>
      </c>
      <c r="G180">
        <v>168</v>
      </c>
      <c r="H180">
        <v>12</v>
      </c>
      <c r="I180">
        <v>74</v>
      </c>
      <c r="J180">
        <v>18</v>
      </c>
      <c r="K180">
        <v>11.9</v>
      </c>
      <c r="L180">
        <v>2</v>
      </c>
      <c r="M180">
        <v>5</v>
      </c>
      <c r="N180">
        <v>15</v>
      </c>
      <c r="O180">
        <v>0</v>
      </c>
      <c r="P180" t="str">
        <f>IF(Table1[[#This Row],[Pregnant(Y/N)]]=1,"YES","NO")</f>
        <v>NO</v>
      </c>
      <c r="Q180">
        <v>1</v>
      </c>
      <c r="R180">
        <v>3.83</v>
      </c>
      <c r="S180">
        <v>3.83</v>
      </c>
      <c r="T180">
        <v>9.2200000000000006</v>
      </c>
      <c r="U180">
        <v>3.22</v>
      </c>
      <c r="V180">
        <f>Table1[[#This Row],[FSH(mIU/mL)]]/Table1[[#This Row],[LH(mIU/mL)]]</f>
        <v>2.8633540372670807</v>
      </c>
      <c r="W180" t="str">
        <f>IF(Table1[[#This Row],[FSH/LH]]&gt;=2,"Abnormal","Normal")</f>
        <v>Abnormal</v>
      </c>
      <c r="X180">
        <v>41</v>
      </c>
      <c r="Y180">
        <v>38</v>
      </c>
      <c r="Z180">
        <f>ROUND(Table1[[#This Row],[Waist(inch)]]/Table1[[#This Row],[Hip(inch)]],2)</f>
        <v>0.93</v>
      </c>
      <c r="AA180">
        <v>1.68</v>
      </c>
      <c r="AB180">
        <v>10.25</v>
      </c>
      <c r="AC180">
        <v>3.64</v>
      </c>
      <c r="AD180">
        <v>48.96</v>
      </c>
      <c r="AE180" t="str">
        <f>IF(Table1[[#This Row],[Vit D3 (ng/mL)]]&lt;20,"Deficiency","Normal")</f>
        <v>Normal</v>
      </c>
      <c r="AF180">
        <v>0.57999999999999996</v>
      </c>
      <c r="AG180">
        <v>350</v>
      </c>
      <c r="AH180">
        <v>1</v>
      </c>
      <c r="AI180" t="str">
        <f>IF(Table1[[#This Row],[Weight gain(Y/N)]]=0,"NO","YES")</f>
        <v>YES</v>
      </c>
      <c r="AJ180">
        <v>1</v>
      </c>
      <c r="AK180" t="str">
        <f>IF(Table1[[#This Row],[hair growth(Y/N)]]=1,"YES","NO")</f>
        <v>YES</v>
      </c>
      <c r="AL180">
        <v>1</v>
      </c>
      <c r="AM180" t="str">
        <f>IF(Table1[[#This Row],[Skin darkening (Y/N)]]=1,"YES","NO")</f>
        <v>YES</v>
      </c>
      <c r="AN180">
        <v>1</v>
      </c>
      <c r="AO180" t="str">
        <f>IF(Table1[[#This Row],[Hair loss(Y/N)]]=1,"YES","NO")</f>
        <v>YES</v>
      </c>
      <c r="AP180">
        <v>0</v>
      </c>
      <c r="AQ180" t="str">
        <f>IF(Table1[[#This Row],[Pimples(Y/N)]]=1,"YES","NO")</f>
        <v>NO</v>
      </c>
      <c r="AR180">
        <v>1</v>
      </c>
      <c r="AS180" t="str">
        <f>IF(Table1[[#This Row],[Fast food (Y/N)]]=1,"YES","NO")</f>
        <v>YES</v>
      </c>
      <c r="AT180">
        <v>0</v>
      </c>
      <c r="AU180" t="str">
        <f>IF(Table1[[#This Row],[Reg.Exercise(Y/N)]]=1,"YES","NO")</f>
        <v>NO</v>
      </c>
      <c r="AV180">
        <v>110</v>
      </c>
      <c r="AW180">
        <v>80</v>
      </c>
      <c r="AX180">
        <v>12</v>
      </c>
      <c r="AY180">
        <v>14</v>
      </c>
      <c r="AZ180">
        <v>14</v>
      </c>
      <c r="BA180">
        <v>16</v>
      </c>
      <c r="BB180">
        <v>11</v>
      </c>
      <c r="BC180" t="str" cm="1">
        <f t="array" ref="BC180">_xlfn.IFS((F180/(G180*G180)*10000)&lt; 18.5,"Underweight",(F180/(G180*G180)*10000)&lt;24.9,"Normal",(F180/(G180*G180)*10000)&lt;29.9,"Overweight",(F180/(G180*G180)*10000)&gt;=30,"obesity")</f>
        <v>obesity</v>
      </c>
      <c r="BD180">
        <f>Table1[[#This Row],[Follicle No. (L)]]+Table1[[#This Row],[Follicle No. (R)]]</f>
        <v>26</v>
      </c>
      <c r="BE180">
        <f>Table1[[#This Row],[Avg. F size (L) (mm)]]+Table1[[#This Row],[Avg. F size (R) (mm)]]</f>
        <v>30</v>
      </c>
      <c r="BF180">
        <f>Table1[[#This Row],[BP _Diastolic (mmHg)]]+(Table1[[#This Row],[BP _Diastolic (mmHg)]]+Table1[[#This Row],[Follicle No. (L)]])/3</f>
        <v>110.66666666666667</v>
      </c>
      <c r="BG180" s="4" t="str" cm="1">
        <f t="array" ref="BG18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80" s="4">
        <f>SUM(Table1[[#This Row],[Pimples(Y/N)]],Table1[[#This Row],[hair growth(Y/N)]],Table1[[#This Row],[Skin darkening (Y/N)]],Table1[[#This Row],[Hair loss(Y/N)]])</f>
        <v>3</v>
      </c>
      <c r="BI180" s="4" t="str">
        <f>IF(AND(Table1[[#This Row],[Pregnant(Y/N)]]=0, Table1[[#This Row],[  I   beta-HCG(mIU/mL)]]&gt;5), "Investigation Required", "Clear")</f>
        <v>Clear</v>
      </c>
    </row>
    <row r="181" spans="1:61" ht="15.75" customHeight="1" x14ac:dyDescent="0.25">
      <c r="A181">
        <v>180</v>
      </c>
      <c r="B181">
        <v>180</v>
      </c>
      <c r="C181">
        <v>0</v>
      </c>
      <c r="D181" t="str">
        <f>IF(Table1[[#This Row],[PCOS (Y/N)]]=0,"NO","YES")</f>
        <v>NO</v>
      </c>
      <c r="E181">
        <v>35</v>
      </c>
      <c r="F181">
        <v>58</v>
      </c>
      <c r="G181">
        <v>164.5</v>
      </c>
      <c r="H181">
        <v>11</v>
      </c>
      <c r="I181">
        <v>72</v>
      </c>
      <c r="J181">
        <v>20</v>
      </c>
      <c r="K181">
        <v>12</v>
      </c>
      <c r="L181">
        <v>2</v>
      </c>
      <c r="M181">
        <v>6</v>
      </c>
      <c r="N181">
        <v>13</v>
      </c>
      <c r="O181">
        <v>1</v>
      </c>
      <c r="P181" t="str">
        <f>IF(Table1[[#This Row],[Pregnant(Y/N)]]=1,"YES","NO")</f>
        <v>YES</v>
      </c>
      <c r="Q181">
        <v>0</v>
      </c>
      <c r="R181">
        <v>2045.3</v>
      </c>
      <c r="S181">
        <v>569.1</v>
      </c>
      <c r="T181">
        <v>6.27</v>
      </c>
      <c r="U181">
        <v>5.28</v>
      </c>
      <c r="V181">
        <f>Table1[[#This Row],[FSH(mIU/mL)]]/Table1[[#This Row],[LH(mIU/mL)]]</f>
        <v>1.1874999999999998</v>
      </c>
      <c r="W181" t="str">
        <f>IF(Table1[[#This Row],[FSH/LH]]&gt;=2,"Abnormal","Normal")</f>
        <v>Normal</v>
      </c>
      <c r="X181">
        <v>36</v>
      </c>
      <c r="Y181">
        <v>32</v>
      </c>
      <c r="Z181">
        <f>ROUND(Table1[[#This Row],[Waist(inch)]]/Table1[[#This Row],[Hip(inch)]],2)</f>
        <v>0.89</v>
      </c>
      <c r="AA181">
        <v>6.95</v>
      </c>
      <c r="AB181">
        <v>2.36</v>
      </c>
      <c r="AC181">
        <v>23.98</v>
      </c>
      <c r="AD181">
        <v>27.2</v>
      </c>
      <c r="AE181" t="str">
        <f>IF(Table1[[#This Row],[Vit D3 (ng/mL)]]&lt;20,"Deficiency","Normal")</f>
        <v>Normal</v>
      </c>
      <c r="AF181">
        <v>0.25</v>
      </c>
      <c r="AG181">
        <v>100</v>
      </c>
      <c r="AH181">
        <v>0</v>
      </c>
      <c r="AI181" t="str">
        <f>IF(Table1[[#This Row],[Weight gain(Y/N)]]=0,"NO","YES")</f>
        <v>NO</v>
      </c>
      <c r="AJ181">
        <v>0</v>
      </c>
      <c r="AK181" t="str">
        <f>IF(Table1[[#This Row],[hair growth(Y/N)]]=1,"YES","NO")</f>
        <v>NO</v>
      </c>
      <c r="AL181">
        <v>0</v>
      </c>
      <c r="AM181" t="str">
        <f>IF(Table1[[#This Row],[Skin darkening (Y/N)]]=1,"YES","NO")</f>
        <v>NO</v>
      </c>
      <c r="AN181">
        <v>1</v>
      </c>
      <c r="AO181" t="str">
        <f>IF(Table1[[#This Row],[Hair loss(Y/N)]]=1,"YES","NO")</f>
        <v>YES</v>
      </c>
      <c r="AP181">
        <v>1</v>
      </c>
      <c r="AQ181" t="str">
        <f>IF(Table1[[#This Row],[Pimples(Y/N)]]=1,"YES","NO")</f>
        <v>YES</v>
      </c>
      <c r="AR181">
        <v>0</v>
      </c>
      <c r="AS181" t="str">
        <f>IF(Table1[[#This Row],[Fast food (Y/N)]]=1,"YES","NO")</f>
        <v>NO</v>
      </c>
      <c r="AT181">
        <v>0</v>
      </c>
      <c r="AU181" t="str">
        <f>IF(Table1[[#This Row],[Reg.Exercise(Y/N)]]=1,"YES","NO")</f>
        <v>NO</v>
      </c>
      <c r="AV181">
        <v>140</v>
      </c>
      <c r="AW181">
        <v>70</v>
      </c>
      <c r="AX181">
        <v>3</v>
      </c>
      <c r="AY181">
        <v>5</v>
      </c>
      <c r="AZ181">
        <v>10</v>
      </c>
      <c r="BA181">
        <v>11</v>
      </c>
      <c r="BB181">
        <v>5</v>
      </c>
      <c r="BC181" t="str" cm="1">
        <f t="array" ref="BC181">_xlfn.IFS((F181/(G181*G181)*10000)&lt; 18.5,"Underweight",(F181/(G181*G181)*10000)&lt;24.9,"Normal",(F181/(G181*G181)*10000)&lt;29.9,"Overweight",(F181/(G181*G181)*10000)&gt;=30,"obesity")</f>
        <v>Normal</v>
      </c>
      <c r="BD181">
        <f>Table1[[#This Row],[Follicle No. (L)]]+Table1[[#This Row],[Follicle No. (R)]]</f>
        <v>8</v>
      </c>
      <c r="BE181">
        <f>Table1[[#This Row],[Avg. F size (L) (mm)]]+Table1[[#This Row],[Avg. F size (R) (mm)]]</f>
        <v>21</v>
      </c>
      <c r="BF181">
        <f>Table1[[#This Row],[BP _Diastolic (mmHg)]]+(Table1[[#This Row],[BP _Diastolic (mmHg)]]+Table1[[#This Row],[Follicle No. (L)]])/3</f>
        <v>94.333333333333329</v>
      </c>
      <c r="BG181" s="4" t="str" cm="1">
        <f t="array" ref="BG18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81" s="4">
        <f>SUM(Table1[[#This Row],[Pimples(Y/N)]],Table1[[#This Row],[hair growth(Y/N)]],Table1[[#This Row],[Skin darkening (Y/N)]],Table1[[#This Row],[Hair loss(Y/N)]])</f>
        <v>2</v>
      </c>
      <c r="BI181" s="4" t="str">
        <f>IF(AND(Table1[[#This Row],[Pregnant(Y/N)]]=0, Table1[[#This Row],[  I   beta-HCG(mIU/mL)]]&gt;5), "Investigation Required", "Clear")</f>
        <v>Clear</v>
      </c>
    </row>
    <row r="182" spans="1:61" ht="15.75" customHeight="1" x14ac:dyDescent="0.25">
      <c r="A182">
        <v>181</v>
      </c>
      <c r="B182">
        <v>181</v>
      </c>
      <c r="C182">
        <v>1</v>
      </c>
      <c r="D182" t="str">
        <f>IF(Table1[[#This Row],[PCOS (Y/N)]]=0,"NO","YES")</f>
        <v>YES</v>
      </c>
      <c r="E182">
        <v>30</v>
      </c>
      <c r="F182">
        <v>70</v>
      </c>
      <c r="G182">
        <v>150</v>
      </c>
      <c r="H182">
        <v>16</v>
      </c>
      <c r="I182">
        <v>74</v>
      </c>
      <c r="J182">
        <v>18</v>
      </c>
      <c r="K182">
        <v>11.7</v>
      </c>
      <c r="L182">
        <v>4</v>
      </c>
      <c r="M182">
        <v>4</v>
      </c>
      <c r="N182">
        <v>8</v>
      </c>
      <c r="O182">
        <v>0</v>
      </c>
      <c r="P182" t="str">
        <f>IF(Table1[[#This Row],[Pregnant(Y/N)]]=1,"YES","NO")</f>
        <v>NO</v>
      </c>
      <c r="Q182">
        <v>0</v>
      </c>
      <c r="R182">
        <v>1.99</v>
      </c>
      <c r="S182">
        <v>1.99</v>
      </c>
      <c r="T182">
        <v>1.98</v>
      </c>
      <c r="U182">
        <v>3.2000000000000001E-2</v>
      </c>
      <c r="V182">
        <f>Table1[[#This Row],[FSH(mIU/mL)]]/Table1[[#This Row],[LH(mIU/mL)]]</f>
        <v>61.875</v>
      </c>
      <c r="W182" t="str">
        <f>IF(Table1[[#This Row],[FSH/LH]]&gt;=2,"Abnormal","Normal")</f>
        <v>Abnormal</v>
      </c>
      <c r="X182">
        <v>38</v>
      </c>
      <c r="Y182">
        <v>32</v>
      </c>
      <c r="Z182">
        <f>ROUND(Table1[[#This Row],[Waist(inch)]]/Table1[[#This Row],[Hip(inch)]],2)</f>
        <v>0.84</v>
      </c>
      <c r="AA182">
        <v>1.98</v>
      </c>
      <c r="AB182">
        <v>32</v>
      </c>
      <c r="AC182">
        <v>14.13</v>
      </c>
      <c r="AD182">
        <v>74.5</v>
      </c>
      <c r="AE182" t="str">
        <f>IF(Table1[[#This Row],[Vit D3 (ng/mL)]]&lt;20,"Deficiency","Normal")</f>
        <v>Normal</v>
      </c>
      <c r="AF182">
        <v>4.7E-2</v>
      </c>
      <c r="AG182">
        <v>100</v>
      </c>
      <c r="AH182">
        <v>1</v>
      </c>
      <c r="AI182" t="str">
        <f>IF(Table1[[#This Row],[Weight gain(Y/N)]]=0,"NO","YES")</f>
        <v>YES</v>
      </c>
      <c r="AJ182">
        <v>1</v>
      </c>
      <c r="AK182" t="str">
        <f>IF(Table1[[#This Row],[hair growth(Y/N)]]=1,"YES","NO")</f>
        <v>YES</v>
      </c>
      <c r="AL182">
        <v>0</v>
      </c>
      <c r="AM182" t="str">
        <f>IF(Table1[[#This Row],[Skin darkening (Y/N)]]=1,"YES","NO")</f>
        <v>NO</v>
      </c>
      <c r="AN182">
        <v>1</v>
      </c>
      <c r="AO182" t="str">
        <f>IF(Table1[[#This Row],[Hair loss(Y/N)]]=1,"YES","NO")</f>
        <v>YES</v>
      </c>
      <c r="AP182">
        <v>0</v>
      </c>
      <c r="AQ182" t="str">
        <f>IF(Table1[[#This Row],[Pimples(Y/N)]]=1,"YES","NO")</f>
        <v>NO</v>
      </c>
      <c r="AR182">
        <v>1</v>
      </c>
      <c r="AS182" t="str">
        <f>IF(Table1[[#This Row],[Fast food (Y/N)]]=1,"YES","NO")</f>
        <v>YES</v>
      </c>
      <c r="AT182">
        <v>0</v>
      </c>
      <c r="AU182" t="str">
        <f>IF(Table1[[#This Row],[Reg.Exercise(Y/N)]]=1,"YES","NO")</f>
        <v>NO</v>
      </c>
      <c r="AV182">
        <v>120</v>
      </c>
      <c r="AW182">
        <v>80</v>
      </c>
      <c r="AX182">
        <v>8</v>
      </c>
      <c r="AY182">
        <v>6</v>
      </c>
      <c r="AZ182">
        <v>12</v>
      </c>
      <c r="BA182">
        <v>11</v>
      </c>
      <c r="BB182">
        <v>4.5</v>
      </c>
      <c r="BC182" t="str" cm="1">
        <f t="array" ref="BC182">_xlfn.IFS((F182/(G182*G182)*10000)&lt; 18.5,"Underweight",(F182/(G182*G182)*10000)&lt;24.9,"Normal",(F182/(G182*G182)*10000)&lt;29.9,"Overweight",(F182/(G182*G182)*10000)&gt;=30,"obesity")</f>
        <v>obesity</v>
      </c>
      <c r="BD182">
        <f>Table1[[#This Row],[Follicle No. (L)]]+Table1[[#This Row],[Follicle No. (R)]]</f>
        <v>14</v>
      </c>
      <c r="BE182">
        <f>Table1[[#This Row],[Avg. F size (L) (mm)]]+Table1[[#This Row],[Avg. F size (R) (mm)]]</f>
        <v>23</v>
      </c>
      <c r="BF182">
        <f>Table1[[#This Row],[BP _Diastolic (mmHg)]]+(Table1[[#This Row],[BP _Diastolic (mmHg)]]+Table1[[#This Row],[Follicle No. (L)]])/3</f>
        <v>109.33333333333333</v>
      </c>
      <c r="BG182" s="4" t="str" cm="1">
        <f t="array" ref="BG18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82" s="4">
        <f>SUM(Table1[[#This Row],[Pimples(Y/N)]],Table1[[#This Row],[hair growth(Y/N)]],Table1[[#This Row],[Skin darkening (Y/N)]],Table1[[#This Row],[Hair loss(Y/N)]])</f>
        <v>2</v>
      </c>
      <c r="BI182" s="4" t="str">
        <f>IF(AND(Table1[[#This Row],[Pregnant(Y/N)]]=0, Table1[[#This Row],[  I   beta-HCG(mIU/mL)]]&gt;5), "Investigation Required", "Clear")</f>
        <v>Clear</v>
      </c>
    </row>
    <row r="183" spans="1:61" ht="15.75" customHeight="1" x14ac:dyDescent="0.25">
      <c r="A183">
        <v>182</v>
      </c>
      <c r="B183">
        <v>182</v>
      </c>
      <c r="C183">
        <v>0</v>
      </c>
      <c r="D183" t="str">
        <f>IF(Table1[[#This Row],[PCOS (Y/N)]]=0,"NO","YES")</f>
        <v>NO</v>
      </c>
      <c r="E183">
        <v>30</v>
      </c>
      <c r="F183">
        <v>59</v>
      </c>
      <c r="G183">
        <v>167.7</v>
      </c>
      <c r="H183">
        <v>13</v>
      </c>
      <c r="I183">
        <v>73</v>
      </c>
      <c r="J183">
        <v>20</v>
      </c>
      <c r="K183">
        <v>13.8</v>
      </c>
      <c r="L183">
        <v>2</v>
      </c>
      <c r="M183">
        <v>5</v>
      </c>
      <c r="N183">
        <v>8</v>
      </c>
      <c r="O183">
        <v>0</v>
      </c>
      <c r="P183" t="str">
        <f>IF(Table1[[#This Row],[Pregnant(Y/N)]]=1,"YES","NO")</f>
        <v>NO</v>
      </c>
      <c r="Q183">
        <v>0</v>
      </c>
      <c r="R183">
        <v>1.3</v>
      </c>
      <c r="S183">
        <v>1.99</v>
      </c>
      <c r="T183">
        <v>2.0499999999999998</v>
      </c>
      <c r="U183">
        <v>1.02</v>
      </c>
      <c r="V183">
        <f>Table1[[#This Row],[FSH(mIU/mL)]]/Table1[[#This Row],[LH(mIU/mL)]]</f>
        <v>2.0098039215686274</v>
      </c>
      <c r="W183" t="str">
        <f>IF(Table1[[#This Row],[FSH/LH]]&gt;=2,"Abnormal","Normal")</f>
        <v>Abnormal</v>
      </c>
      <c r="X183">
        <v>38</v>
      </c>
      <c r="Y183">
        <v>34</v>
      </c>
      <c r="Z183">
        <f>ROUND(Table1[[#This Row],[Waist(inch)]]/Table1[[#This Row],[Hip(inch)]],2)</f>
        <v>0.89</v>
      </c>
      <c r="AA183">
        <v>1.84</v>
      </c>
      <c r="AB183">
        <v>3.38</v>
      </c>
      <c r="AC183">
        <v>35.68</v>
      </c>
      <c r="AD183">
        <v>39.81</v>
      </c>
      <c r="AE183" t="str">
        <f>IF(Table1[[#This Row],[Vit D3 (ng/mL)]]&lt;20,"Deficiency","Normal")</f>
        <v>Normal</v>
      </c>
      <c r="AF183">
        <v>0.38</v>
      </c>
      <c r="AG183">
        <v>116</v>
      </c>
      <c r="AH183">
        <v>0</v>
      </c>
      <c r="AI183" t="str">
        <f>IF(Table1[[#This Row],[Weight gain(Y/N)]]=0,"NO","YES")</f>
        <v>NO</v>
      </c>
      <c r="AJ183">
        <v>1</v>
      </c>
      <c r="AK183" t="str">
        <f>IF(Table1[[#This Row],[hair growth(Y/N)]]=1,"YES","NO")</f>
        <v>YES</v>
      </c>
      <c r="AL183">
        <v>1</v>
      </c>
      <c r="AM183" t="str">
        <f>IF(Table1[[#This Row],[Skin darkening (Y/N)]]=1,"YES","NO")</f>
        <v>YES</v>
      </c>
      <c r="AN183">
        <v>0</v>
      </c>
      <c r="AO183" t="str">
        <f>IF(Table1[[#This Row],[Hair loss(Y/N)]]=1,"YES","NO")</f>
        <v>NO</v>
      </c>
      <c r="AP183">
        <v>0</v>
      </c>
      <c r="AQ183" t="str">
        <f>IF(Table1[[#This Row],[Pimples(Y/N)]]=1,"YES","NO")</f>
        <v>NO</v>
      </c>
      <c r="AR183">
        <v>1</v>
      </c>
      <c r="AS183" t="str">
        <f>IF(Table1[[#This Row],[Fast food (Y/N)]]=1,"YES","NO")</f>
        <v>YES</v>
      </c>
      <c r="AT183">
        <v>1</v>
      </c>
      <c r="AU183" t="str">
        <f>IF(Table1[[#This Row],[Reg.Exercise(Y/N)]]=1,"YES","NO")</f>
        <v>YES</v>
      </c>
      <c r="AV183">
        <v>130</v>
      </c>
      <c r="AW183">
        <v>80</v>
      </c>
      <c r="AX183">
        <v>15</v>
      </c>
      <c r="AY183">
        <v>16</v>
      </c>
      <c r="AZ183">
        <v>13</v>
      </c>
      <c r="BA183">
        <v>14</v>
      </c>
      <c r="BB183">
        <v>9.3000000000000007</v>
      </c>
      <c r="BC183" t="str" cm="1">
        <f t="array" ref="BC183">_xlfn.IFS((F183/(G183*G183)*10000)&lt; 18.5,"Underweight",(F183/(G183*G183)*10000)&lt;24.9,"Normal",(F183/(G183*G183)*10000)&lt;29.9,"Overweight",(F183/(G183*G183)*10000)&gt;=30,"obesity")</f>
        <v>Normal</v>
      </c>
      <c r="BD183">
        <f>Table1[[#This Row],[Follicle No. (L)]]+Table1[[#This Row],[Follicle No. (R)]]</f>
        <v>31</v>
      </c>
      <c r="BE183">
        <f>Table1[[#This Row],[Avg. F size (L) (mm)]]+Table1[[#This Row],[Avg. F size (R) (mm)]]</f>
        <v>27</v>
      </c>
      <c r="BF183">
        <f>Table1[[#This Row],[BP _Diastolic (mmHg)]]+(Table1[[#This Row],[BP _Diastolic (mmHg)]]+Table1[[#This Row],[Follicle No. (L)]])/3</f>
        <v>111.66666666666667</v>
      </c>
      <c r="BG183" s="4" t="str" cm="1">
        <f t="array" ref="BG18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83" s="4">
        <f>SUM(Table1[[#This Row],[Pimples(Y/N)]],Table1[[#This Row],[hair growth(Y/N)]],Table1[[#This Row],[Skin darkening (Y/N)]],Table1[[#This Row],[Hair loss(Y/N)]])</f>
        <v>2</v>
      </c>
      <c r="BI183" s="4" t="str">
        <f>IF(AND(Table1[[#This Row],[Pregnant(Y/N)]]=0, Table1[[#This Row],[  I   beta-HCG(mIU/mL)]]&gt;5), "Investigation Required", "Clear")</f>
        <v>Clear</v>
      </c>
    </row>
    <row r="184" spans="1:61" ht="15.75" customHeight="1" x14ac:dyDescent="0.25">
      <c r="A184">
        <v>183</v>
      </c>
      <c r="B184">
        <v>183</v>
      </c>
      <c r="C184">
        <v>0</v>
      </c>
      <c r="D184" t="str">
        <f>IF(Table1[[#This Row],[PCOS (Y/N)]]=0,"NO","YES")</f>
        <v>NO</v>
      </c>
      <c r="E184">
        <v>42</v>
      </c>
      <c r="F184">
        <v>50</v>
      </c>
      <c r="G184">
        <v>152</v>
      </c>
      <c r="H184">
        <v>11</v>
      </c>
      <c r="I184">
        <v>73</v>
      </c>
      <c r="J184">
        <v>18</v>
      </c>
      <c r="K184">
        <v>10.8</v>
      </c>
      <c r="L184">
        <v>2</v>
      </c>
      <c r="M184">
        <v>5</v>
      </c>
      <c r="N184">
        <v>18</v>
      </c>
      <c r="O184">
        <v>0</v>
      </c>
      <c r="P184" t="str">
        <f>IF(Table1[[#This Row],[Pregnant(Y/N)]]=1,"YES","NO")</f>
        <v>NO</v>
      </c>
      <c r="Q184">
        <v>3</v>
      </c>
      <c r="R184">
        <v>1.99</v>
      </c>
      <c r="S184">
        <v>1.99</v>
      </c>
      <c r="T184">
        <v>8.01</v>
      </c>
      <c r="U184">
        <v>4.3899999999999997</v>
      </c>
      <c r="V184">
        <f>Table1[[#This Row],[FSH(mIU/mL)]]/Table1[[#This Row],[LH(mIU/mL)]]</f>
        <v>1.8246013667425969</v>
      </c>
      <c r="W184" t="str">
        <f>IF(Table1[[#This Row],[FSH/LH]]&gt;=2,"Abnormal","Normal")</f>
        <v>Normal</v>
      </c>
      <c r="X184">
        <v>36</v>
      </c>
      <c r="Y184">
        <v>34</v>
      </c>
      <c r="Z184">
        <f>ROUND(Table1[[#This Row],[Waist(inch)]]/Table1[[#This Row],[Hip(inch)]],2)</f>
        <v>0.94</v>
      </c>
      <c r="AA184">
        <v>1.89</v>
      </c>
      <c r="AB184">
        <v>1.35</v>
      </c>
      <c r="AC184">
        <v>4.2699999999999996</v>
      </c>
      <c r="AD184">
        <v>14.5</v>
      </c>
      <c r="AE184" t="str">
        <f>IF(Table1[[#This Row],[Vit D3 (ng/mL)]]&lt;20,"Deficiency","Normal")</f>
        <v>Deficiency</v>
      </c>
      <c r="AF184">
        <v>0.32</v>
      </c>
      <c r="AG184">
        <v>91</v>
      </c>
      <c r="AH184">
        <v>0</v>
      </c>
      <c r="AI184" t="str">
        <f>IF(Table1[[#This Row],[Weight gain(Y/N)]]=0,"NO","YES")</f>
        <v>NO</v>
      </c>
      <c r="AJ184">
        <v>1</v>
      </c>
      <c r="AK184" t="str">
        <f>IF(Table1[[#This Row],[hair growth(Y/N)]]=1,"YES","NO")</f>
        <v>YES</v>
      </c>
      <c r="AL184">
        <v>0</v>
      </c>
      <c r="AM184" t="str">
        <f>IF(Table1[[#This Row],[Skin darkening (Y/N)]]=1,"YES","NO")</f>
        <v>NO</v>
      </c>
      <c r="AN184">
        <v>0</v>
      </c>
      <c r="AO184" t="str">
        <f>IF(Table1[[#This Row],[Hair loss(Y/N)]]=1,"YES","NO")</f>
        <v>NO</v>
      </c>
      <c r="AP184">
        <v>1</v>
      </c>
      <c r="AQ184" t="str">
        <f>IF(Table1[[#This Row],[Pimples(Y/N)]]=1,"YES","NO")</f>
        <v>YES</v>
      </c>
      <c r="AR184">
        <v>0</v>
      </c>
      <c r="AS184" t="str">
        <f>IF(Table1[[#This Row],[Fast food (Y/N)]]=1,"YES","NO")</f>
        <v>NO</v>
      </c>
      <c r="AT184">
        <v>0</v>
      </c>
      <c r="AU184" t="str">
        <f>IF(Table1[[#This Row],[Reg.Exercise(Y/N)]]=1,"YES","NO")</f>
        <v>NO</v>
      </c>
      <c r="AV184">
        <v>110</v>
      </c>
      <c r="AW184">
        <v>80</v>
      </c>
      <c r="AX184">
        <v>1</v>
      </c>
      <c r="AY184">
        <v>1</v>
      </c>
      <c r="AZ184">
        <v>11</v>
      </c>
      <c r="BA184">
        <v>12</v>
      </c>
      <c r="BB184">
        <v>5.5</v>
      </c>
      <c r="BC184" t="str" cm="1">
        <f t="array" ref="BC184">_xlfn.IFS((F184/(G184*G184)*10000)&lt; 18.5,"Underweight",(F184/(G184*G184)*10000)&lt;24.9,"Normal",(F184/(G184*G184)*10000)&lt;29.9,"Overweight",(F184/(G184*G184)*10000)&gt;=30,"obesity")</f>
        <v>Normal</v>
      </c>
      <c r="BD184">
        <f>Table1[[#This Row],[Follicle No. (L)]]+Table1[[#This Row],[Follicle No. (R)]]</f>
        <v>2</v>
      </c>
      <c r="BE184">
        <f>Table1[[#This Row],[Avg. F size (L) (mm)]]+Table1[[#This Row],[Avg. F size (R) (mm)]]</f>
        <v>23</v>
      </c>
      <c r="BF184">
        <f>Table1[[#This Row],[BP _Diastolic (mmHg)]]+(Table1[[#This Row],[BP _Diastolic (mmHg)]]+Table1[[#This Row],[Follicle No. (L)]])/3</f>
        <v>107</v>
      </c>
      <c r="BG184" s="4" t="str" cm="1">
        <f t="array" ref="BG18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84" s="4">
        <f>SUM(Table1[[#This Row],[Pimples(Y/N)]],Table1[[#This Row],[hair growth(Y/N)]],Table1[[#This Row],[Skin darkening (Y/N)]],Table1[[#This Row],[Hair loss(Y/N)]])</f>
        <v>2</v>
      </c>
      <c r="BI184" s="4" t="str">
        <f>IF(AND(Table1[[#This Row],[Pregnant(Y/N)]]=0, Table1[[#This Row],[  I   beta-HCG(mIU/mL)]]&gt;5), "Investigation Required", "Clear")</f>
        <v>Clear</v>
      </c>
    </row>
    <row r="185" spans="1:61" ht="15.75" customHeight="1" x14ac:dyDescent="0.25">
      <c r="A185">
        <v>184</v>
      </c>
      <c r="B185">
        <v>184</v>
      </c>
      <c r="C185">
        <v>0</v>
      </c>
      <c r="D185" t="str">
        <f>IF(Table1[[#This Row],[PCOS (Y/N)]]=0,"NO","YES")</f>
        <v>NO</v>
      </c>
      <c r="E185">
        <v>36</v>
      </c>
      <c r="F185">
        <v>64</v>
      </c>
      <c r="G185">
        <v>150</v>
      </c>
      <c r="H185">
        <v>13</v>
      </c>
      <c r="I185">
        <v>72</v>
      </c>
      <c r="J185">
        <v>18</v>
      </c>
      <c r="K185">
        <v>12.5</v>
      </c>
      <c r="L185">
        <v>2</v>
      </c>
      <c r="M185">
        <v>5</v>
      </c>
      <c r="N185">
        <v>13</v>
      </c>
      <c r="O185">
        <v>1</v>
      </c>
      <c r="P185" t="str">
        <f>IF(Table1[[#This Row],[Pregnant(Y/N)]]=1,"YES","NO")</f>
        <v>YES</v>
      </c>
      <c r="Q185">
        <v>0</v>
      </c>
      <c r="R185">
        <v>323</v>
      </c>
      <c r="S185">
        <v>236.5</v>
      </c>
      <c r="T185">
        <v>4.32</v>
      </c>
      <c r="U185">
        <v>1.6</v>
      </c>
      <c r="V185">
        <f>Table1[[#This Row],[FSH(mIU/mL)]]/Table1[[#This Row],[LH(mIU/mL)]]</f>
        <v>2.7</v>
      </c>
      <c r="W185" t="str">
        <f>IF(Table1[[#This Row],[FSH/LH]]&gt;=2,"Abnormal","Normal")</f>
        <v>Abnormal</v>
      </c>
      <c r="X185">
        <v>38</v>
      </c>
      <c r="Y185">
        <v>35</v>
      </c>
      <c r="Z185">
        <f>ROUND(Table1[[#This Row],[Waist(inch)]]/Table1[[#This Row],[Hip(inch)]],2)</f>
        <v>0.92</v>
      </c>
      <c r="AA185">
        <v>2.2599999999999998</v>
      </c>
      <c r="AB185">
        <v>2.38</v>
      </c>
      <c r="AC185">
        <v>14.18</v>
      </c>
      <c r="AD185">
        <v>63.3</v>
      </c>
      <c r="AE185" t="str">
        <f>IF(Table1[[#This Row],[Vit D3 (ng/mL)]]&lt;20,"Deficiency","Normal")</f>
        <v>Normal</v>
      </c>
      <c r="AF185">
        <v>0.28999999999999998</v>
      </c>
      <c r="AG185">
        <v>100</v>
      </c>
      <c r="AH185">
        <v>1</v>
      </c>
      <c r="AI185" t="str">
        <f>IF(Table1[[#This Row],[Weight gain(Y/N)]]=0,"NO","YES")</f>
        <v>YES</v>
      </c>
      <c r="AJ185">
        <v>1</v>
      </c>
      <c r="AK185" t="str">
        <f>IF(Table1[[#This Row],[hair growth(Y/N)]]=1,"YES","NO")</f>
        <v>YES</v>
      </c>
      <c r="AL185">
        <v>0</v>
      </c>
      <c r="AM185" t="str">
        <f>IF(Table1[[#This Row],[Skin darkening (Y/N)]]=1,"YES","NO")</f>
        <v>NO</v>
      </c>
      <c r="AN185">
        <v>1</v>
      </c>
      <c r="AO185" t="str">
        <f>IF(Table1[[#This Row],[Hair loss(Y/N)]]=1,"YES","NO")</f>
        <v>YES</v>
      </c>
      <c r="AP185">
        <v>1</v>
      </c>
      <c r="AQ185" t="str">
        <f>IF(Table1[[#This Row],[Pimples(Y/N)]]=1,"YES","NO")</f>
        <v>YES</v>
      </c>
      <c r="AR185">
        <v>0</v>
      </c>
      <c r="AS185" t="str">
        <f>IF(Table1[[#This Row],[Fast food (Y/N)]]=1,"YES","NO")</f>
        <v>NO</v>
      </c>
      <c r="AT185">
        <v>0</v>
      </c>
      <c r="AU185" t="str">
        <f>IF(Table1[[#This Row],[Reg.Exercise(Y/N)]]=1,"YES","NO")</f>
        <v>NO</v>
      </c>
      <c r="AV185">
        <v>120</v>
      </c>
      <c r="AW185">
        <v>80</v>
      </c>
      <c r="AX185">
        <v>3</v>
      </c>
      <c r="AY185">
        <v>4</v>
      </c>
      <c r="AZ185">
        <v>13</v>
      </c>
      <c r="BA185">
        <v>12</v>
      </c>
      <c r="BB185">
        <v>9</v>
      </c>
      <c r="BC185" t="str" cm="1">
        <f t="array" ref="BC185">_xlfn.IFS((F185/(G185*G185)*10000)&lt; 18.5,"Underweight",(F185/(G185*G185)*10000)&lt;24.9,"Normal",(F185/(G185*G185)*10000)&lt;29.9,"Overweight",(F185/(G185*G185)*10000)&gt;=30,"obesity")</f>
        <v>Overweight</v>
      </c>
      <c r="BD185">
        <f>Table1[[#This Row],[Follicle No. (L)]]+Table1[[#This Row],[Follicle No. (R)]]</f>
        <v>7</v>
      </c>
      <c r="BE185">
        <f>Table1[[#This Row],[Avg. F size (L) (mm)]]+Table1[[#This Row],[Avg. F size (R) (mm)]]</f>
        <v>25</v>
      </c>
      <c r="BF185">
        <f>Table1[[#This Row],[BP _Diastolic (mmHg)]]+(Table1[[#This Row],[BP _Diastolic (mmHg)]]+Table1[[#This Row],[Follicle No. (L)]])/3</f>
        <v>107.66666666666667</v>
      </c>
      <c r="BG185" s="4" t="str" cm="1">
        <f t="array" ref="BG18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85" s="4">
        <f>SUM(Table1[[#This Row],[Pimples(Y/N)]],Table1[[#This Row],[hair growth(Y/N)]],Table1[[#This Row],[Skin darkening (Y/N)]],Table1[[#This Row],[Hair loss(Y/N)]])</f>
        <v>3</v>
      </c>
      <c r="BI185" s="4" t="str">
        <f>IF(AND(Table1[[#This Row],[Pregnant(Y/N)]]=0, Table1[[#This Row],[  I   beta-HCG(mIU/mL)]]&gt;5), "Investigation Required", "Clear")</f>
        <v>Clear</v>
      </c>
    </row>
    <row r="186" spans="1:61" ht="15.75" customHeight="1" x14ac:dyDescent="0.25">
      <c r="A186">
        <v>185</v>
      </c>
      <c r="B186">
        <v>185</v>
      </c>
      <c r="C186">
        <v>0</v>
      </c>
      <c r="D186" t="str">
        <f>IF(Table1[[#This Row],[PCOS (Y/N)]]=0,"NO","YES")</f>
        <v>NO</v>
      </c>
      <c r="E186">
        <v>26</v>
      </c>
      <c r="F186">
        <v>60</v>
      </c>
      <c r="G186">
        <v>164.5</v>
      </c>
      <c r="H186">
        <v>14</v>
      </c>
      <c r="I186">
        <v>73</v>
      </c>
      <c r="J186">
        <v>18</v>
      </c>
      <c r="K186">
        <v>12.1</v>
      </c>
      <c r="L186">
        <v>2</v>
      </c>
      <c r="M186">
        <v>6</v>
      </c>
      <c r="N186">
        <v>4</v>
      </c>
      <c r="O186">
        <v>1</v>
      </c>
      <c r="P186" t="str">
        <f>IF(Table1[[#This Row],[Pregnant(Y/N)]]=1,"YES","NO")</f>
        <v>YES</v>
      </c>
      <c r="Q186">
        <v>0</v>
      </c>
      <c r="R186">
        <v>896.6</v>
      </c>
      <c r="S186">
        <v>896.6</v>
      </c>
      <c r="T186">
        <v>5.38</v>
      </c>
      <c r="U186">
        <v>4.3499999999999996</v>
      </c>
      <c r="V186">
        <f>Table1[[#This Row],[FSH(mIU/mL)]]/Table1[[#This Row],[LH(mIU/mL)]]</f>
        <v>1.2367816091954025</v>
      </c>
      <c r="W186" t="str">
        <f>IF(Table1[[#This Row],[FSH/LH]]&gt;=2,"Abnormal","Normal")</f>
        <v>Normal</v>
      </c>
      <c r="X186">
        <v>38</v>
      </c>
      <c r="Y186">
        <v>32</v>
      </c>
      <c r="Z186">
        <f>ROUND(Table1[[#This Row],[Waist(inch)]]/Table1[[#This Row],[Hip(inch)]],2)</f>
        <v>0.84</v>
      </c>
      <c r="AA186">
        <v>2.56</v>
      </c>
      <c r="AB186">
        <v>5.78</v>
      </c>
      <c r="AC186">
        <v>12.56</v>
      </c>
      <c r="AD186">
        <v>15.2</v>
      </c>
      <c r="AE186" t="str">
        <f>IF(Table1[[#This Row],[Vit D3 (ng/mL)]]&lt;20,"Deficiency","Normal")</f>
        <v>Deficiency</v>
      </c>
      <c r="AF186">
        <v>0.17</v>
      </c>
      <c r="AG186">
        <v>108</v>
      </c>
      <c r="AH186">
        <v>0</v>
      </c>
      <c r="AI186" t="str">
        <f>IF(Table1[[#This Row],[Weight gain(Y/N)]]=0,"NO","YES")</f>
        <v>NO</v>
      </c>
      <c r="AJ186">
        <v>0</v>
      </c>
      <c r="AK186" t="str">
        <f>IF(Table1[[#This Row],[hair growth(Y/N)]]=1,"YES","NO")</f>
        <v>NO</v>
      </c>
      <c r="AL186">
        <v>0</v>
      </c>
      <c r="AM186" t="str">
        <f>IF(Table1[[#This Row],[Skin darkening (Y/N)]]=1,"YES","NO")</f>
        <v>NO</v>
      </c>
      <c r="AN186">
        <v>1</v>
      </c>
      <c r="AO186" t="str">
        <f>IF(Table1[[#This Row],[Hair loss(Y/N)]]=1,"YES","NO")</f>
        <v>YES</v>
      </c>
      <c r="AP186">
        <v>1</v>
      </c>
      <c r="AQ186" t="str">
        <f>IF(Table1[[#This Row],[Pimples(Y/N)]]=1,"YES","NO")</f>
        <v>YES</v>
      </c>
      <c r="AR186">
        <v>1</v>
      </c>
      <c r="AS186" t="str">
        <f>IF(Table1[[#This Row],[Fast food (Y/N)]]=1,"YES","NO")</f>
        <v>YES</v>
      </c>
      <c r="AT186">
        <v>0</v>
      </c>
      <c r="AU186" t="str">
        <f>IF(Table1[[#This Row],[Reg.Exercise(Y/N)]]=1,"YES","NO")</f>
        <v>NO</v>
      </c>
      <c r="AV186">
        <v>120</v>
      </c>
      <c r="AW186">
        <v>80</v>
      </c>
      <c r="AX186">
        <v>4</v>
      </c>
      <c r="AY186">
        <v>5</v>
      </c>
      <c r="AZ186">
        <v>10</v>
      </c>
      <c r="BA186">
        <v>13</v>
      </c>
      <c r="BB186">
        <v>9</v>
      </c>
      <c r="BC186" t="str" cm="1">
        <f t="array" ref="BC186">_xlfn.IFS((F186/(G186*G186)*10000)&lt; 18.5,"Underweight",(F186/(G186*G186)*10000)&lt;24.9,"Normal",(F186/(G186*G186)*10000)&lt;29.9,"Overweight",(F186/(G186*G186)*10000)&gt;=30,"obesity")</f>
        <v>Normal</v>
      </c>
      <c r="BD186">
        <f>Table1[[#This Row],[Follicle No. (L)]]+Table1[[#This Row],[Follicle No. (R)]]</f>
        <v>9</v>
      </c>
      <c r="BE186">
        <f>Table1[[#This Row],[Avg. F size (L) (mm)]]+Table1[[#This Row],[Avg. F size (R) (mm)]]</f>
        <v>23</v>
      </c>
      <c r="BF186">
        <f>Table1[[#This Row],[BP _Diastolic (mmHg)]]+(Table1[[#This Row],[BP _Diastolic (mmHg)]]+Table1[[#This Row],[Follicle No. (L)]])/3</f>
        <v>108</v>
      </c>
      <c r="BG186" s="4" t="str" cm="1">
        <f t="array" ref="BG18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86" s="4">
        <f>SUM(Table1[[#This Row],[Pimples(Y/N)]],Table1[[#This Row],[hair growth(Y/N)]],Table1[[#This Row],[Skin darkening (Y/N)]],Table1[[#This Row],[Hair loss(Y/N)]])</f>
        <v>2</v>
      </c>
      <c r="BI186" s="4" t="str">
        <f>IF(AND(Table1[[#This Row],[Pregnant(Y/N)]]=0, Table1[[#This Row],[  I   beta-HCG(mIU/mL)]]&gt;5), "Investigation Required", "Clear")</f>
        <v>Clear</v>
      </c>
    </row>
    <row r="187" spans="1:61" ht="15.75" customHeight="1" x14ac:dyDescent="0.25">
      <c r="A187">
        <v>186</v>
      </c>
      <c r="B187">
        <v>186</v>
      </c>
      <c r="C187">
        <v>0</v>
      </c>
      <c r="D187" t="str">
        <f>IF(Table1[[#This Row],[PCOS (Y/N)]]=0,"NO","YES")</f>
        <v>NO</v>
      </c>
      <c r="E187">
        <v>27</v>
      </c>
      <c r="F187">
        <v>54</v>
      </c>
      <c r="G187">
        <v>158.4</v>
      </c>
      <c r="H187">
        <v>15</v>
      </c>
      <c r="I187">
        <v>72</v>
      </c>
      <c r="J187">
        <v>18</v>
      </c>
      <c r="K187">
        <v>11.5</v>
      </c>
      <c r="L187">
        <v>2</v>
      </c>
      <c r="M187">
        <v>5</v>
      </c>
      <c r="N187">
        <v>5</v>
      </c>
      <c r="O187">
        <v>0</v>
      </c>
      <c r="P187" t="str">
        <f>IF(Table1[[#This Row],[Pregnant(Y/N)]]=1,"YES","NO")</f>
        <v>NO</v>
      </c>
      <c r="Q187">
        <v>0</v>
      </c>
      <c r="R187">
        <v>1.99</v>
      </c>
      <c r="S187">
        <v>1.99</v>
      </c>
      <c r="T187">
        <v>2.63</v>
      </c>
      <c r="U187">
        <v>1.1200000000000001</v>
      </c>
      <c r="V187">
        <f>Table1[[#This Row],[FSH(mIU/mL)]]/Table1[[#This Row],[LH(mIU/mL)]]</f>
        <v>2.3482142857142856</v>
      </c>
      <c r="W187" t="str">
        <f>IF(Table1[[#This Row],[FSH/LH]]&gt;=2,"Abnormal","Normal")</f>
        <v>Abnormal</v>
      </c>
      <c r="X187">
        <v>36</v>
      </c>
      <c r="Y187">
        <v>30</v>
      </c>
      <c r="Z187">
        <f>ROUND(Table1[[#This Row],[Waist(inch)]]/Table1[[#This Row],[Hip(inch)]],2)</f>
        <v>0.83</v>
      </c>
      <c r="AA187">
        <v>1</v>
      </c>
      <c r="AB187">
        <v>4.66</v>
      </c>
      <c r="AC187">
        <v>23.95</v>
      </c>
      <c r="AD187">
        <v>41</v>
      </c>
      <c r="AE187" t="str">
        <f>IF(Table1[[#This Row],[Vit D3 (ng/mL)]]&lt;20,"Deficiency","Normal")</f>
        <v>Normal</v>
      </c>
      <c r="AF187">
        <v>0.25</v>
      </c>
      <c r="AG187">
        <v>100</v>
      </c>
      <c r="AH187">
        <v>0</v>
      </c>
      <c r="AI187" t="str">
        <f>IF(Table1[[#This Row],[Weight gain(Y/N)]]=0,"NO","YES")</f>
        <v>NO</v>
      </c>
      <c r="AJ187">
        <v>0</v>
      </c>
      <c r="AK187" t="str">
        <f>IF(Table1[[#This Row],[hair growth(Y/N)]]=1,"YES","NO")</f>
        <v>NO</v>
      </c>
      <c r="AL187">
        <v>1</v>
      </c>
      <c r="AM187" t="str">
        <f>IF(Table1[[#This Row],[Skin darkening (Y/N)]]=1,"YES","NO")</f>
        <v>YES</v>
      </c>
      <c r="AN187">
        <v>1</v>
      </c>
      <c r="AO187" t="str">
        <f>IF(Table1[[#This Row],[Hair loss(Y/N)]]=1,"YES","NO")</f>
        <v>YES</v>
      </c>
      <c r="AP187">
        <v>0</v>
      </c>
      <c r="AQ187" t="str">
        <f>IF(Table1[[#This Row],[Pimples(Y/N)]]=1,"YES","NO")</f>
        <v>NO</v>
      </c>
      <c r="AR187">
        <v>1</v>
      </c>
      <c r="AS187" t="str">
        <f>IF(Table1[[#This Row],[Fast food (Y/N)]]=1,"YES","NO")</f>
        <v>YES</v>
      </c>
      <c r="AT187">
        <v>1</v>
      </c>
      <c r="AU187" t="str">
        <f>IF(Table1[[#This Row],[Reg.Exercise(Y/N)]]=1,"YES","NO")</f>
        <v>YES</v>
      </c>
      <c r="AV187">
        <v>110</v>
      </c>
      <c r="AW187">
        <v>80</v>
      </c>
      <c r="AX187">
        <v>5</v>
      </c>
      <c r="AY187">
        <v>7</v>
      </c>
      <c r="AZ187">
        <v>13</v>
      </c>
      <c r="BA187">
        <v>14</v>
      </c>
      <c r="BB187">
        <v>6.5</v>
      </c>
      <c r="BC187" t="str" cm="1">
        <f t="array" ref="BC187">_xlfn.IFS((F187/(G187*G187)*10000)&lt; 18.5,"Underweight",(F187/(G187*G187)*10000)&lt;24.9,"Normal",(F187/(G187*G187)*10000)&lt;29.9,"Overweight",(F187/(G187*G187)*10000)&gt;=30,"obesity")</f>
        <v>Normal</v>
      </c>
      <c r="BD187">
        <f>Table1[[#This Row],[Follicle No. (L)]]+Table1[[#This Row],[Follicle No. (R)]]</f>
        <v>12</v>
      </c>
      <c r="BE187">
        <f>Table1[[#This Row],[Avg. F size (L) (mm)]]+Table1[[#This Row],[Avg. F size (R) (mm)]]</f>
        <v>27</v>
      </c>
      <c r="BF187">
        <f>Table1[[#This Row],[BP _Diastolic (mmHg)]]+(Table1[[#This Row],[BP _Diastolic (mmHg)]]+Table1[[#This Row],[Follicle No. (L)]])/3</f>
        <v>108.33333333333333</v>
      </c>
      <c r="BG187" s="4" t="str" cm="1">
        <f t="array" ref="BG18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87" s="4">
        <f>SUM(Table1[[#This Row],[Pimples(Y/N)]],Table1[[#This Row],[hair growth(Y/N)]],Table1[[#This Row],[Skin darkening (Y/N)]],Table1[[#This Row],[Hair loss(Y/N)]])</f>
        <v>2</v>
      </c>
      <c r="BI187" s="4" t="str">
        <f>IF(AND(Table1[[#This Row],[Pregnant(Y/N)]]=0, Table1[[#This Row],[  I   beta-HCG(mIU/mL)]]&gt;5), "Investigation Required", "Clear")</f>
        <v>Clear</v>
      </c>
    </row>
    <row r="188" spans="1:61" ht="15.75" customHeight="1" x14ac:dyDescent="0.25">
      <c r="A188">
        <v>187</v>
      </c>
      <c r="B188">
        <v>187</v>
      </c>
      <c r="C188">
        <v>1</v>
      </c>
      <c r="D188" t="str">
        <f>IF(Table1[[#This Row],[PCOS (Y/N)]]=0,"NO","YES")</f>
        <v>YES</v>
      </c>
      <c r="E188">
        <v>32</v>
      </c>
      <c r="F188">
        <v>66</v>
      </c>
      <c r="G188">
        <v>155</v>
      </c>
      <c r="H188">
        <v>17</v>
      </c>
      <c r="I188">
        <v>74</v>
      </c>
      <c r="J188">
        <v>18</v>
      </c>
      <c r="K188">
        <v>12.5</v>
      </c>
      <c r="L188">
        <v>4</v>
      </c>
      <c r="M188">
        <v>5</v>
      </c>
      <c r="N188">
        <v>10</v>
      </c>
      <c r="O188">
        <v>0</v>
      </c>
      <c r="P188" t="str">
        <f>IF(Table1[[#This Row],[Pregnant(Y/N)]]=1,"YES","NO")</f>
        <v>NO</v>
      </c>
      <c r="Q188">
        <v>1</v>
      </c>
      <c r="R188">
        <v>2.58</v>
      </c>
      <c r="S188">
        <v>2.58</v>
      </c>
      <c r="T188">
        <v>2</v>
      </c>
      <c r="U188">
        <v>1.24</v>
      </c>
      <c r="V188">
        <f>Table1[[#This Row],[FSH(mIU/mL)]]/Table1[[#This Row],[LH(mIU/mL)]]</f>
        <v>1.6129032258064517</v>
      </c>
      <c r="W188" t="str">
        <f>IF(Table1[[#This Row],[FSH/LH]]&gt;=2,"Abnormal","Normal")</f>
        <v>Normal</v>
      </c>
      <c r="X188">
        <v>39</v>
      </c>
      <c r="Y188">
        <v>35</v>
      </c>
      <c r="Z188">
        <f>ROUND(Table1[[#This Row],[Waist(inch)]]/Table1[[#This Row],[Hip(inch)]],2)</f>
        <v>0.9</v>
      </c>
      <c r="AA188">
        <v>1.68</v>
      </c>
      <c r="AB188">
        <v>1.99</v>
      </c>
      <c r="AC188">
        <v>60.2</v>
      </c>
      <c r="AD188">
        <v>18.3</v>
      </c>
      <c r="AE188" t="str">
        <f>IF(Table1[[#This Row],[Vit D3 (ng/mL)]]&lt;20,"Deficiency","Normal")</f>
        <v>Deficiency</v>
      </c>
      <c r="AF188">
        <v>0.25</v>
      </c>
      <c r="AG188">
        <v>93</v>
      </c>
      <c r="AH188">
        <v>1</v>
      </c>
      <c r="AI188" t="str">
        <f>IF(Table1[[#This Row],[Weight gain(Y/N)]]=0,"NO","YES")</f>
        <v>YES</v>
      </c>
      <c r="AJ188">
        <v>1</v>
      </c>
      <c r="AK188" t="str">
        <f>IF(Table1[[#This Row],[hair growth(Y/N)]]=1,"YES","NO")</f>
        <v>YES</v>
      </c>
      <c r="AL188">
        <v>0</v>
      </c>
      <c r="AM188" t="str">
        <f>IF(Table1[[#This Row],[Skin darkening (Y/N)]]=1,"YES","NO")</f>
        <v>NO</v>
      </c>
      <c r="AN188">
        <v>1</v>
      </c>
      <c r="AO188" t="str">
        <f>IF(Table1[[#This Row],[Hair loss(Y/N)]]=1,"YES","NO")</f>
        <v>YES</v>
      </c>
      <c r="AP188">
        <v>0</v>
      </c>
      <c r="AQ188" t="str">
        <f>IF(Table1[[#This Row],[Pimples(Y/N)]]=1,"YES","NO")</f>
        <v>NO</v>
      </c>
      <c r="AR188">
        <v>1</v>
      </c>
      <c r="AS188" t="str">
        <f>IF(Table1[[#This Row],[Fast food (Y/N)]]=1,"YES","NO")</f>
        <v>YES</v>
      </c>
      <c r="AT188">
        <v>0</v>
      </c>
      <c r="AU188" t="str">
        <f>IF(Table1[[#This Row],[Reg.Exercise(Y/N)]]=1,"YES","NO")</f>
        <v>NO</v>
      </c>
      <c r="AV188">
        <v>120</v>
      </c>
      <c r="AW188">
        <v>80</v>
      </c>
      <c r="AX188">
        <v>7</v>
      </c>
      <c r="AY188">
        <v>8</v>
      </c>
      <c r="AZ188">
        <v>13</v>
      </c>
      <c r="BA188">
        <v>12</v>
      </c>
      <c r="BB188">
        <v>5.9</v>
      </c>
      <c r="BC188" t="str" cm="1">
        <f t="array" ref="BC188">_xlfn.IFS((F188/(G188*G188)*10000)&lt; 18.5,"Underweight",(F188/(G188*G188)*10000)&lt;24.9,"Normal",(F188/(G188*G188)*10000)&lt;29.9,"Overweight",(F188/(G188*G188)*10000)&gt;=30,"obesity")</f>
        <v>Overweight</v>
      </c>
      <c r="BD188">
        <f>Table1[[#This Row],[Follicle No. (L)]]+Table1[[#This Row],[Follicle No. (R)]]</f>
        <v>15</v>
      </c>
      <c r="BE188">
        <f>Table1[[#This Row],[Avg. F size (L) (mm)]]+Table1[[#This Row],[Avg. F size (R) (mm)]]</f>
        <v>25</v>
      </c>
      <c r="BF188">
        <f>Table1[[#This Row],[BP _Diastolic (mmHg)]]+(Table1[[#This Row],[BP _Diastolic (mmHg)]]+Table1[[#This Row],[Follicle No. (L)]])/3</f>
        <v>109</v>
      </c>
      <c r="BG188" s="4" t="str" cm="1">
        <f t="array" ref="BG18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88" s="4">
        <f>SUM(Table1[[#This Row],[Pimples(Y/N)]],Table1[[#This Row],[hair growth(Y/N)]],Table1[[#This Row],[Skin darkening (Y/N)]],Table1[[#This Row],[Hair loss(Y/N)]])</f>
        <v>2</v>
      </c>
      <c r="BI188" s="4" t="str">
        <f>IF(AND(Table1[[#This Row],[Pregnant(Y/N)]]=0, Table1[[#This Row],[  I   beta-HCG(mIU/mL)]]&gt;5), "Investigation Required", "Clear")</f>
        <v>Clear</v>
      </c>
    </row>
    <row r="189" spans="1:61" ht="15.75" customHeight="1" x14ac:dyDescent="0.25">
      <c r="A189">
        <v>188</v>
      </c>
      <c r="B189">
        <v>188</v>
      </c>
      <c r="C189">
        <v>0</v>
      </c>
      <c r="D189" t="str">
        <f>IF(Table1[[#This Row],[PCOS (Y/N)]]=0,"NO","YES")</f>
        <v>NO</v>
      </c>
      <c r="E189">
        <v>43</v>
      </c>
      <c r="F189">
        <v>66.3</v>
      </c>
      <c r="G189">
        <v>157</v>
      </c>
      <c r="H189">
        <v>14</v>
      </c>
      <c r="I189">
        <v>75</v>
      </c>
      <c r="J189">
        <v>18</v>
      </c>
      <c r="K189">
        <v>11.7</v>
      </c>
      <c r="L189">
        <v>2</v>
      </c>
      <c r="M189">
        <v>5</v>
      </c>
      <c r="N189">
        <v>19</v>
      </c>
      <c r="O189">
        <v>1</v>
      </c>
      <c r="P189" t="str">
        <f>IF(Table1[[#This Row],[Pregnant(Y/N)]]=1,"YES","NO")</f>
        <v>YES</v>
      </c>
      <c r="Q189">
        <v>2</v>
      </c>
      <c r="R189">
        <v>569.29999999999995</v>
      </c>
      <c r="S189">
        <v>569.29999999999995</v>
      </c>
      <c r="T189">
        <v>3.76</v>
      </c>
      <c r="U189">
        <v>3.18</v>
      </c>
      <c r="V189">
        <f>Table1[[#This Row],[FSH(mIU/mL)]]/Table1[[#This Row],[LH(mIU/mL)]]</f>
        <v>1.1823899371069182</v>
      </c>
      <c r="W189" t="str">
        <f>IF(Table1[[#This Row],[FSH/LH]]&gt;=2,"Abnormal","Normal")</f>
        <v>Normal</v>
      </c>
      <c r="X189">
        <v>38</v>
      </c>
      <c r="Y189">
        <v>34</v>
      </c>
      <c r="Z189">
        <f>ROUND(Table1[[#This Row],[Waist(inch)]]/Table1[[#This Row],[Hip(inch)]],2)</f>
        <v>0.89</v>
      </c>
      <c r="AA189">
        <v>1.72</v>
      </c>
      <c r="AB189">
        <v>1.28</v>
      </c>
      <c r="AC189">
        <v>2.5099999999999998</v>
      </c>
      <c r="AD189">
        <v>46.9</v>
      </c>
      <c r="AE189" t="str">
        <f>IF(Table1[[#This Row],[Vit D3 (ng/mL)]]&lt;20,"Deficiency","Normal")</f>
        <v>Normal</v>
      </c>
      <c r="AF189">
        <v>0.63</v>
      </c>
      <c r="AG189">
        <v>91</v>
      </c>
      <c r="AH189">
        <v>1</v>
      </c>
      <c r="AI189" t="str">
        <f>IF(Table1[[#This Row],[Weight gain(Y/N)]]=0,"NO","YES")</f>
        <v>YES</v>
      </c>
      <c r="AJ189">
        <v>0</v>
      </c>
      <c r="AK189" t="str">
        <f>IF(Table1[[#This Row],[hair growth(Y/N)]]=1,"YES","NO")</f>
        <v>NO</v>
      </c>
      <c r="AL189">
        <v>0</v>
      </c>
      <c r="AM189" t="str">
        <f>IF(Table1[[#This Row],[Skin darkening (Y/N)]]=1,"YES","NO")</f>
        <v>NO</v>
      </c>
      <c r="AN189">
        <v>1</v>
      </c>
      <c r="AO189" t="str">
        <f>IF(Table1[[#This Row],[Hair loss(Y/N)]]=1,"YES","NO")</f>
        <v>YES</v>
      </c>
      <c r="AP189">
        <v>0</v>
      </c>
      <c r="AQ189" t="str">
        <f>IF(Table1[[#This Row],[Pimples(Y/N)]]=1,"YES","NO")</f>
        <v>NO</v>
      </c>
      <c r="AR189">
        <v>0</v>
      </c>
      <c r="AS189" t="str">
        <f>IF(Table1[[#This Row],[Fast food (Y/N)]]=1,"YES","NO")</f>
        <v>NO</v>
      </c>
      <c r="AT189">
        <v>0</v>
      </c>
      <c r="AU189" t="str">
        <f>IF(Table1[[#This Row],[Reg.Exercise(Y/N)]]=1,"YES","NO")</f>
        <v>NO</v>
      </c>
      <c r="AV189">
        <v>110</v>
      </c>
      <c r="AW189">
        <v>80</v>
      </c>
      <c r="AX189">
        <v>2</v>
      </c>
      <c r="AY189">
        <v>3</v>
      </c>
      <c r="AZ189">
        <v>11</v>
      </c>
      <c r="BA189">
        <v>12</v>
      </c>
      <c r="BB189">
        <v>9.6999999999999993</v>
      </c>
      <c r="BC189" t="str" cm="1">
        <f t="array" ref="BC189">_xlfn.IFS((F189/(G189*G189)*10000)&lt; 18.5,"Underweight",(F189/(G189*G189)*10000)&lt;24.9,"Normal",(F189/(G189*G189)*10000)&lt;29.9,"Overweight",(F189/(G189*G189)*10000)&gt;=30,"obesity")</f>
        <v>Overweight</v>
      </c>
      <c r="BD189">
        <f>Table1[[#This Row],[Follicle No. (L)]]+Table1[[#This Row],[Follicle No. (R)]]</f>
        <v>5</v>
      </c>
      <c r="BE189">
        <f>Table1[[#This Row],[Avg. F size (L) (mm)]]+Table1[[#This Row],[Avg. F size (R) (mm)]]</f>
        <v>23</v>
      </c>
      <c r="BF189">
        <f>Table1[[#This Row],[BP _Diastolic (mmHg)]]+(Table1[[#This Row],[BP _Diastolic (mmHg)]]+Table1[[#This Row],[Follicle No. (L)]])/3</f>
        <v>107.33333333333333</v>
      </c>
      <c r="BG189" s="4" t="str" cm="1">
        <f t="array" ref="BG18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89" s="4">
        <f>SUM(Table1[[#This Row],[Pimples(Y/N)]],Table1[[#This Row],[hair growth(Y/N)]],Table1[[#This Row],[Skin darkening (Y/N)]],Table1[[#This Row],[Hair loss(Y/N)]])</f>
        <v>1</v>
      </c>
      <c r="BI189" s="4" t="str">
        <f>IF(AND(Table1[[#This Row],[Pregnant(Y/N)]]=0, Table1[[#This Row],[  I   beta-HCG(mIU/mL)]]&gt;5), "Investigation Required", "Clear")</f>
        <v>Clear</v>
      </c>
    </row>
    <row r="190" spans="1:61" ht="15.75" customHeight="1" x14ac:dyDescent="0.25">
      <c r="A190">
        <v>189</v>
      </c>
      <c r="B190">
        <v>189</v>
      </c>
      <c r="C190">
        <v>0</v>
      </c>
      <c r="D190" t="str">
        <f>IF(Table1[[#This Row],[PCOS (Y/N)]]=0,"NO","YES")</f>
        <v>NO</v>
      </c>
      <c r="E190">
        <v>28</v>
      </c>
      <c r="F190">
        <v>76</v>
      </c>
      <c r="G190">
        <v>154</v>
      </c>
      <c r="H190">
        <v>16</v>
      </c>
      <c r="I190">
        <v>72</v>
      </c>
      <c r="J190">
        <v>20</v>
      </c>
      <c r="K190">
        <v>12.5</v>
      </c>
      <c r="L190">
        <v>2</v>
      </c>
      <c r="M190">
        <v>6</v>
      </c>
      <c r="N190">
        <v>8</v>
      </c>
      <c r="O190">
        <v>1</v>
      </c>
      <c r="P190" t="str">
        <f>IF(Table1[[#This Row],[Pregnant(Y/N)]]=1,"YES","NO")</f>
        <v>YES</v>
      </c>
      <c r="Q190">
        <v>0</v>
      </c>
      <c r="R190">
        <v>108.66</v>
      </c>
      <c r="S190">
        <v>108.66</v>
      </c>
      <c r="T190">
        <v>6.53</v>
      </c>
      <c r="U190">
        <v>3.62</v>
      </c>
      <c r="V190">
        <f>Table1[[#This Row],[FSH(mIU/mL)]]/Table1[[#This Row],[LH(mIU/mL)]]</f>
        <v>1.8038674033149171</v>
      </c>
      <c r="W190" t="str">
        <f>IF(Table1[[#This Row],[FSH/LH]]&gt;=2,"Abnormal","Normal")</f>
        <v>Normal</v>
      </c>
      <c r="X190">
        <v>40</v>
      </c>
      <c r="Y190">
        <v>34</v>
      </c>
      <c r="Z190">
        <f>ROUND(Table1[[#This Row],[Waist(inch)]]/Table1[[#This Row],[Hip(inch)]],2)</f>
        <v>0.85</v>
      </c>
      <c r="AA190">
        <v>2.92</v>
      </c>
      <c r="AB190">
        <v>3.99</v>
      </c>
      <c r="AC190">
        <v>6.72</v>
      </c>
      <c r="AD190">
        <v>21</v>
      </c>
      <c r="AE190" t="str">
        <f>IF(Table1[[#This Row],[Vit D3 (ng/mL)]]&lt;20,"Deficiency","Normal")</f>
        <v>Normal</v>
      </c>
      <c r="AF190">
        <v>0.56999999999999995</v>
      </c>
      <c r="AG190">
        <v>116</v>
      </c>
      <c r="AH190">
        <v>0</v>
      </c>
      <c r="AI190" t="str">
        <f>IF(Table1[[#This Row],[Weight gain(Y/N)]]=0,"NO","YES")</f>
        <v>NO</v>
      </c>
      <c r="AJ190">
        <v>1</v>
      </c>
      <c r="AK190" t="str">
        <f>IF(Table1[[#This Row],[hair growth(Y/N)]]=1,"YES","NO")</f>
        <v>YES</v>
      </c>
      <c r="AL190">
        <v>0</v>
      </c>
      <c r="AM190" t="str">
        <f>IF(Table1[[#This Row],[Skin darkening (Y/N)]]=1,"YES","NO")</f>
        <v>NO</v>
      </c>
      <c r="AN190">
        <v>1</v>
      </c>
      <c r="AO190" t="str">
        <f>IF(Table1[[#This Row],[Hair loss(Y/N)]]=1,"YES","NO")</f>
        <v>YES</v>
      </c>
      <c r="AP190">
        <v>0</v>
      </c>
      <c r="AQ190" t="str">
        <f>IF(Table1[[#This Row],[Pimples(Y/N)]]=1,"YES","NO")</f>
        <v>NO</v>
      </c>
      <c r="AR190">
        <v>1</v>
      </c>
      <c r="AS190" t="str">
        <f>IF(Table1[[#This Row],[Fast food (Y/N)]]=1,"YES","NO")</f>
        <v>YES</v>
      </c>
      <c r="AT190">
        <v>0</v>
      </c>
      <c r="AU190" t="str">
        <f>IF(Table1[[#This Row],[Reg.Exercise(Y/N)]]=1,"YES","NO")</f>
        <v>NO</v>
      </c>
      <c r="AV190">
        <v>120</v>
      </c>
      <c r="AW190">
        <v>80</v>
      </c>
      <c r="AX190">
        <v>1</v>
      </c>
      <c r="AY190">
        <v>2</v>
      </c>
      <c r="AZ190">
        <v>13</v>
      </c>
      <c r="BA190">
        <v>13</v>
      </c>
      <c r="BB190">
        <v>6.3</v>
      </c>
      <c r="BC190" t="str" cm="1">
        <f t="array" ref="BC190">_xlfn.IFS((F190/(G190*G190)*10000)&lt; 18.5,"Underweight",(F190/(G190*G190)*10000)&lt;24.9,"Normal",(F190/(G190*G190)*10000)&lt;29.9,"Overweight",(F190/(G190*G190)*10000)&gt;=30,"obesity")</f>
        <v>obesity</v>
      </c>
      <c r="BD190">
        <f>Table1[[#This Row],[Follicle No. (L)]]+Table1[[#This Row],[Follicle No. (R)]]</f>
        <v>3</v>
      </c>
      <c r="BE190">
        <f>Table1[[#This Row],[Avg. F size (L) (mm)]]+Table1[[#This Row],[Avg. F size (R) (mm)]]</f>
        <v>26</v>
      </c>
      <c r="BF190">
        <f>Table1[[#This Row],[BP _Diastolic (mmHg)]]+(Table1[[#This Row],[BP _Diastolic (mmHg)]]+Table1[[#This Row],[Follicle No. (L)]])/3</f>
        <v>107</v>
      </c>
      <c r="BG190" s="4" t="str" cm="1">
        <f t="array" ref="BG19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90" s="4">
        <f>SUM(Table1[[#This Row],[Pimples(Y/N)]],Table1[[#This Row],[hair growth(Y/N)]],Table1[[#This Row],[Skin darkening (Y/N)]],Table1[[#This Row],[Hair loss(Y/N)]])</f>
        <v>2</v>
      </c>
      <c r="BI190" s="4" t="str">
        <f>IF(AND(Table1[[#This Row],[Pregnant(Y/N)]]=0, Table1[[#This Row],[  I   beta-HCG(mIU/mL)]]&gt;5), "Investigation Required", "Clear")</f>
        <v>Clear</v>
      </c>
    </row>
    <row r="191" spans="1:61" ht="15.75" customHeight="1" x14ac:dyDescent="0.25">
      <c r="A191">
        <v>190</v>
      </c>
      <c r="B191">
        <v>190</v>
      </c>
      <c r="C191">
        <v>1</v>
      </c>
      <c r="D191" t="str">
        <f>IF(Table1[[#This Row],[PCOS (Y/N)]]=0,"NO","YES")</f>
        <v>YES</v>
      </c>
      <c r="E191">
        <v>23</v>
      </c>
      <c r="F191">
        <v>58</v>
      </c>
      <c r="G191">
        <v>159</v>
      </c>
      <c r="H191">
        <v>15</v>
      </c>
      <c r="I191">
        <v>74</v>
      </c>
      <c r="J191">
        <v>18</v>
      </c>
      <c r="K191">
        <v>10.8</v>
      </c>
      <c r="L191">
        <v>4</v>
      </c>
      <c r="M191">
        <v>4</v>
      </c>
      <c r="N191">
        <v>2.5</v>
      </c>
      <c r="O191">
        <v>0</v>
      </c>
      <c r="P191" t="str">
        <f>IF(Table1[[#This Row],[Pregnant(Y/N)]]=1,"YES","NO")</f>
        <v>NO</v>
      </c>
      <c r="Q191">
        <v>0</v>
      </c>
      <c r="R191">
        <v>1.99</v>
      </c>
      <c r="S191">
        <v>1.99</v>
      </c>
      <c r="T191">
        <v>3.26</v>
      </c>
      <c r="U191">
        <v>2.19</v>
      </c>
      <c r="V191">
        <f>Table1[[#This Row],[FSH(mIU/mL)]]/Table1[[#This Row],[LH(mIU/mL)]]</f>
        <v>1.4885844748858448</v>
      </c>
      <c r="W191" t="str">
        <f>IF(Table1[[#This Row],[FSH/LH]]&gt;=2,"Abnormal","Normal")</f>
        <v>Normal</v>
      </c>
      <c r="X191">
        <v>37</v>
      </c>
      <c r="Y191">
        <v>34</v>
      </c>
      <c r="Z191">
        <f>ROUND(Table1[[#This Row],[Waist(inch)]]/Table1[[#This Row],[Hip(inch)]],2)</f>
        <v>0.92</v>
      </c>
      <c r="AA191">
        <v>0.55000000000000004</v>
      </c>
      <c r="AB191">
        <v>5.69</v>
      </c>
      <c r="AC191">
        <v>25.35</v>
      </c>
      <c r="AD191">
        <v>8.6</v>
      </c>
      <c r="AE191" t="str">
        <f>IF(Table1[[#This Row],[Vit D3 (ng/mL)]]&lt;20,"Deficiency","Normal")</f>
        <v>Deficiency</v>
      </c>
      <c r="AF191">
        <v>0.19</v>
      </c>
      <c r="AG191">
        <v>133</v>
      </c>
      <c r="AH191">
        <v>1</v>
      </c>
      <c r="AI191" t="str">
        <f>IF(Table1[[#This Row],[Weight gain(Y/N)]]=0,"NO","YES")</f>
        <v>YES</v>
      </c>
      <c r="AJ191">
        <v>1</v>
      </c>
      <c r="AK191" t="str">
        <f>IF(Table1[[#This Row],[hair growth(Y/N)]]=1,"YES","NO")</f>
        <v>YES</v>
      </c>
      <c r="AL191">
        <v>0</v>
      </c>
      <c r="AM191" t="str">
        <f>IF(Table1[[#This Row],[Skin darkening (Y/N)]]=1,"YES","NO")</f>
        <v>NO</v>
      </c>
      <c r="AN191">
        <v>1</v>
      </c>
      <c r="AO191" t="str">
        <f>IF(Table1[[#This Row],[Hair loss(Y/N)]]=1,"YES","NO")</f>
        <v>YES</v>
      </c>
      <c r="AP191">
        <v>1</v>
      </c>
      <c r="AQ191" t="str">
        <f>IF(Table1[[#This Row],[Pimples(Y/N)]]=1,"YES","NO")</f>
        <v>YES</v>
      </c>
      <c r="AR191">
        <v>1</v>
      </c>
      <c r="AS191" t="str">
        <f>IF(Table1[[#This Row],[Fast food (Y/N)]]=1,"YES","NO")</f>
        <v>YES</v>
      </c>
      <c r="AT191">
        <v>1</v>
      </c>
      <c r="AU191" t="str">
        <f>IF(Table1[[#This Row],[Reg.Exercise(Y/N)]]=1,"YES","NO")</f>
        <v>YES</v>
      </c>
      <c r="AV191">
        <v>110</v>
      </c>
      <c r="AW191">
        <v>80</v>
      </c>
      <c r="AX191">
        <v>7</v>
      </c>
      <c r="AY191">
        <v>9</v>
      </c>
      <c r="AZ191">
        <v>16</v>
      </c>
      <c r="BA191">
        <v>15</v>
      </c>
      <c r="BB191">
        <v>13</v>
      </c>
      <c r="BC191" t="str" cm="1">
        <f t="array" ref="BC191">_xlfn.IFS((F191/(G191*G191)*10000)&lt; 18.5,"Underweight",(F191/(G191*G191)*10000)&lt;24.9,"Normal",(F191/(G191*G191)*10000)&lt;29.9,"Overweight",(F191/(G191*G191)*10000)&gt;=30,"obesity")</f>
        <v>Normal</v>
      </c>
      <c r="BD191">
        <f>Table1[[#This Row],[Follicle No. (L)]]+Table1[[#This Row],[Follicle No. (R)]]</f>
        <v>16</v>
      </c>
      <c r="BE191">
        <f>Table1[[#This Row],[Avg. F size (L) (mm)]]+Table1[[#This Row],[Avg. F size (R) (mm)]]</f>
        <v>31</v>
      </c>
      <c r="BF191">
        <f>Table1[[#This Row],[BP _Diastolic (mmHg)]]+(Table1[[#This Row],[BP _Diastolic (mmHg)]]+Table1[[#This Row],[Follicle No. (L)]])/3</f>
        <v>109</v>
      </c>
      <c r="BG191" s="4" t="str" cm="1">
        <f t="array" ref="BG19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91" s="4">
        <f>SUM(Table1[[#This Row],[Pimples(Y/N)]],Table1[[#This Row],[hair growth(Y/N)]],Table1[[#This Row],[Skin darkening (Y/N)]],Table1[[#This Row],[Hair loss(Y/N)]])</f>
        <v>3</v>
      </c>
      <c r="BI191" s="4" t="str">
        <f>IF(AND(Table1[[#This Row],[Pregnant(Y/N)]]=0, Table1[[#This Row],[  I   beta-HCG(mIU/mL)]]&gt;5), "Investigation Required", "Clear")</f>
        <v>Clear</v>
      </c>
    </row>
    <row r="192" spans="1:61" ht="15.75" customHeight="1" x14ac:dyDescent="0.25">
      <c r="A192">
        <v>191</v>
      </c>
      <c r="B192">
        <v>191</v>
      </c>
      <c r="C192">
        <v>0</v>
      </c>
      <c r="D192" t="str">
        <f>IF(Table1[[#This Row],[PCOS (Y/N)]]=0,"NO","YES")</f>
        <v>NO</v>
      </c>
      <c r="E192">
        <v>34</v>
      </c>
      <c r="F192">
        <v>54</v>
      </c>
      <c r="G192">
        <v>153</v>
      </c>
      <c r="H192">
        <v>13</v>
      </c>
      <c r="I192">
        <v>73</v>
      </c>
      <c r="J192">
        <v>18</v>
      </c>
      <c r="K192">
        <v>12.8</v>
      </c>
      <c r="L192">
        <v>4</v>
      </c>
      <c r="M192">
        <v>4</v>
      </c>
      <c r="N192">
        <v>12</v>
      </c>
      <c r="O192">
        <v>0</v>
      </c>
      <c r="P192" t="str">
        <f>IF(Table1[[#This Row],[Pregnant(Y/N)]]=1,"YES","NO")</f>
        <v>NO</v>
      </c>
      <c r="Q192">
        <v>0</v>
      </c>
      <c r="R192">
        <v>1.99</v>
      </c>
      <c r="S192">
        <v>1.99</v>
      </c>
      <c r="T192">
        <v>6.89</v>
      </c>
      <c r="U192">
        <v>4.75</v>
      </c>
      <c r="V192">
        <f>Table1[[#This Row],[FSH(mIU/mL)]]/Table1[[#This Row],[LH(mIU/mL)]]</f>
        <v>1.4505263157894737</v>
      </c>
      <c r="W192" t="str">
        <f>IF(Table1[[#This Row],[FSH/LH]]&gt;=2,"Abnormal","Normal")</f>
        <v>Normal</v>
      </c>
      <c r="X192">
        <v>36</v>
      </c>
      <c r="Y192">
        <v>30</v>
      </c>
      <c r="Z192">
        <f>ROUND(Table1[[#This Row],[Waist(inch)]]/Table1[[#This Row],[Hip(inch)]],2)</f>
        <v>0.83</v>
      </c>
      <c r="AA192">
        <v>1.61</v>
      </c>
      <c r="AB192">
        <v>7.81</v>
      </c>
      <c r="AC192">
        <v>14.76</v>
      </c>
      <c r="AD192">
        <v>54.01</v>
      </c>
      <c r="AE192" t="str">
        <f>IF(Table1[[#This Row],[Vit D3 (ng/mL)]]&lt;20,"Deficiency","Normal")</f>
        <v>Normal</v>
      </c>
      <c r="AF192">
        <v>0.11</v>
      </c>
      <c r="AG192">
        <v>98</v>
      </c>
      <c r="AH192">
        <v>0</v>
      </c>
      <c r="AI192" t="str">
        <f>IF(Table1[[#This Row],[Weight gain(Y/N)]]=0,"NO","YES")</f>
        <v>NO</v>
      </c>
      <c r="AJ192">
        <v>1</v>
      </c>
      <c r="AK192" t="str">
        <f>IF(Table1[[#This Row],[hair growth(Y/N)]]=1,"YES","NO")</f>
        <v>YES</v>
      </c>
      <c r="AL192">
        <v>0</v>
      </c>
      <c r="AM192" t="str">
        <f>IF(Table1[[#This Row],[Skin darkening (Y/N)]]=1,"YES","NO")</f>
        <v>NO</v>
      </c>
      <c r="AN192">
        <v>0</v>
      </c>
      <c r="AO192" t="str">
        <f>IF(Table1[[#This Row],[Hair loss(Y/N)]]=1,"YES","NO")</f>
        <v>NO</v>
      </c>
      <c r="AP192">
        <v>1</v>
      </c>
      <c r="AQ192" t="str">
        <f>IF(Table1[[#This Row],[Pimples(Y/N)]]=1,"YES","NO")</f>
        <v>YES</v>
      </c>
      <c r="AR192">
        <v>0</v>
      </c>
      <c r="AS192" t="str">
        <f>IF(Table1[[#This Row],[Fast food (Y/N)]]=1,"YES","NO")</f>
        <v>NO</v>
      </c>
      <c r="AT192">
        <v>1</v>
      </c>
      <c r="AU192" t="str">
        <f>IF(Table1[[#This Row],[Reg.Exercise(Y/N)]]=1,"YES","NO")</f>
        <v>YES</v>
      </c>
      <c r="AV192">
        <v>120</v>
      </c>
      <c r="AW192">
        <v>80</v>
      </c>
      <c r="AX192">
        <v>6</v>
      </c>
      <c r="AY192">
        <v>6</v>
      </c>
      <c r="AZ192">
        <v>11</v>
      </c>
      <c r="BA192">
        <v>12</v>
      </c>
      <c r="BB192">
        <v>6</v>
      </c>
      <c r="BC192" t="str" cm="1">
        <f t="array" ref="BC192">_xlfn.IFS((F192/(G192*G192)*10000)&lt; 18.5,"Underweight",(F192/(G192*G192)*10000)&lt;24.9,"Normal",(F192/(G192*G192)*10000)&lt;29.9,"Overweight",(F192/(G192*G192)*10000)&gt;=30,"obesity")</f>
        <v>Normal</v>
      </c>
      <c r="BD192">
        <f>Table1[[#This Row],[Follicle No. (L)]]+Table1[[#This Row],[Follicle No. (R)]]</f>
        <v>12</v>
      </c>
      <c r="BE192">
        <f>Table1[[#This Row],[Avg. F size (L) (mm)]]+Table1[[#This Row],[Avg. F size (R) (mm)]]</f>
        <v>23</v>
      </c>
      <c r="BF192">
        <f>Table1[[#This Row],[BP _Diastolic (mmHg)]]+(Table1[[#This Row],[BP _Diastolic (mmHg)]]+Table1[[#This Row],[Follicle No. (L)]])/3</f>
        <v>108.66666666666667</v>
      </c>
      <c r="BG192" s="4" t="str" cm="1">
        <f t="array" ref="BG19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92" s="4">
        <f>SUM(Table1[[#This Row],[Pimples(Y/N)]],Table1[[#This Row],[hair growth(Y/N)]],Table1[[#This Row],[Skin darkening (Y/N)]],Table1[[#This Row],[Hair loss(Y/N)]])</f>
        <v>2</v>
      </c>
      <c r="BI192" s="4" t="str">
        <f>IF(AND(Table1[[#This Row],[Pregnant(Y/N)]]=0, Table1[[#This Row],[  I   beta-HCG(mIU/mL)]]&gt;5), "Investigation Required", "Clear")</f>
        <v>Clear</v>
      </c>
    </row>
    <row r="193" spans="1:61" ht="15.75" customHeight="1" x14ac:dyDescent="0.25">
      <c r="A193">
        <v>192</v>
      </c>
      <c r="B193">
        <v>192</v>
      </c>
      <c r="C193">
        <v>1</v>
      </c>
      <c r="D193" t="str">
        <f>IF(Table1[[#This Row],[PCOS (Y/N)]]=0,"NO","YES")</f>
        <v>YES</v>
      </c>
      <c r="E193">
        <v>29</v>
      </c>
      <c r="F193">
        <v>63</v>
      </c>
      <c r="G193">
        <v>153</v>
      </c>
      <c r="H193">
        <v>17</v>
      </c>
      <c r="I193">
        <v>74</v>
      </c>
      <c r="J193">
        <v>18</v>
      </c>
      <c r="K193">
        <v>11</v>
      </c>
      <c r="L193">
        <v>4</v>
      </c>
      <c r="M193">
        <v>3</v>
      </c>
      <c r="N193">
        <v>8</v>
      </c>
      <c r="O193">
        <v>0</v>
      </c>
      <c r="P193" t="str">
        <f>IF(Table1[[#This Row],[Pregnant(Y/N)]]=1,"YES","NO")</f>
        <v>NO</v>
      </c>
      <c r="Q193">
        <v>0</v>
      </c>
      <c r="R193">
        <v>3.99</v>
      </c>
      <c r="S193">
        <v>3.99</v>
      </c>
      <c r="T193">
        <v>3.63</v>
      </c>
      <c r="U193">
        <v>1.02</v>
      </c>
      <c r="V193">
        <f>Table1[[#This Row],[FSH(mIU/mL)]]/Table1[[#This Row],[LH(mIU/mL)]]</f>
        <v>3.5588235294117645</v>
      </c>
      <c r="W193" t="str">
        <f>IF(Table1[[#This Row],[FSH/LH]]&gt;=2,"Abnormal","Normal")</f>
        <v>Abnormal</v>
      </c>
      <c r="X193">
        <v>39</v>
      </c>
      <c r="Y193">
        <v>35</v>
      </c>
      <c r="Z193">
        <f>ROUND(Table1[[#This Row],[Waist(inch)]]/Table1[[#This Row],[Hip(inch)]],2)</f>
        <v>0.9</v>
      </c>
      <c r="AA193">
        <v>2.66</v>
      </c>
      <c r="AB193">
        <v>6.41</v>
      </c>
      <c r="AC193">
        <v>29.08</v>
      </c>
      <c r="AD193">
        <v>6014.66</v>
      </c>
      <c r="AE193" t="str">
        <f>IF(Table1[[#This Row],[Vit D3 (ng/mL)]]&lt;20,"Deficiency","Normal")</f>
        <v>Normal</v>
      </c>
      <c r="AF193">
        <v>0.25</v>
      </c>
      <c r="AG193">
        <v>123</v>
      </c>
      <c r="AH193">
        <v>1</v>
      </c>
      <c r="AI193" t="str">
        <f>IF(Table1[[#This Row],[Weight gain(Y/N)]]=0,"NO","YES")</f>
        <v>YES</v>
      </c>
      <c r="AJ193">
        <v>1</v>
      </c>
      <c r="AK193" t="str">
        <f>IF(Table1[[#This Row],[hair growth(Y/N)]]=1,"YES","NO")</f>
        <v>YES</v>
      </c>
      <c r="AL193">
        <v>1</v>
      </c>
      <c r="AM193" t="str">
        <f>IF(Table1[[#This Row],[Skin darkening (Y/N)]]=1,"YES","NO")</f>
        <v>YES</v>
      </c>
      <c r="AN193">
        <v>1</v>
      </c>
      <c r="AO193" t="str">
        <f>IF(Table1[[#This Row],[Hair loss(Y/N)]]=1,"YES","NO")</f>
        <v>YES</v>
      </c>
      <c r="AP193">
        <v>1</v>
      </c>
      <c r="AQ193" t="str">
        <f>IF(Table1[[#This Row],[Pimples(Y/N)]]=1,"YES","NO")</f>
        <v>YES</v>
      </c>
      <c r="AR193">
        <v>1</v>
      </c>
      <c r="AS193" t="str">
        <f>IF(Table1[[#This Row],[Fast food (Y/N)]]=1,"YES","NO")</f>
        <v>YES</v>
      </c>
      <c r="AT193">
        <v>0</v>
      </c>
      <c r="AU193" t="str">
        <f>IF(Table1[[#This Row],[Reg.Exercise(Y/N)]]=1,"YES","NO")</f>
        <v>NO</v>
      </c>
      <c r="AV193">
        <v>120</v>
      </c>
      <c r="AW193">
        <v>70</v>
      </c>
      <c r="AX193">
        <v>14</v>
      </c>
      <c r="AY193">
        <v>16</v>
      </c>
      <c r="AZ193">
        <v>16</v>
      </c>
      <c r="BA193">
        <v>17</v>
      </c>
      <c r="BB193">
        <v>9</v>
      </c>
      <c r="BC193" t="str" cm="1">
        <f t="array" ref="BC193">_xlfn.IFS((F193/(G193*G193)*10000)&lt; 18.5,"Underweight",(F193/(G193*G193)*10000)&lt;24.9,"Normal",(F193/(G193*G193)*10000)&lt;29.9,"Overweight",(F193/(G193*G193)*10000)&gt;=30,"obesity")</f>
        <v>Overweight</v>
      </c>
      <c r="BD193">
        <f>Table1[[#This Row],[Follicle No. (L)]]+Table1[[#This Row],[Follicle No. (R)]]</f>
        <v>30</v>
      </c>
      <c r="BE193">
        <f>Table1[[#This Row],[Avg. F size (L) (mm)]]+Table1[[#This Row],[Avg. F size (R) (mm)]]</f>
        <v>33</v>
      </c>
      <c r="BF193">
        <f>Table1[[#This Row],[BP _Diastolic (mmHg)]]+(Table1[[#This Row],[BP _Diastolic (mmHg)]]+Table1[[#This Row],[Follicle No. (L)]])/3</f>
        <v>98</v>
      </c>
      <c r="BG193" s="4" t="str" cm="1">
        <f t="array" ref="BG19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93" s="4">
        <f>SUM(Table1[[#This Row],[Pimples(Y/N)]],Table1[[#This Row],[hair growth(Y/N)]],Table1[[#This Row],[Skin darkening (Y/N)]],Table1[[#This Row],[Hair loss(Y/N)]])</f>
        <v>4</v>
      </c>
      <c r="BI193" s="4" t="str">
        <f>IF(AND(Table1[[#This Row],[Pregnant(Y/N)]]=0, Table1[[#This Row],[  I   beta-HCG(mIU/mL)]]&gt;5), "Investigation Required", "Clear")</f>
        <v>Clear</v>
      </c>
    </row>
    <row r="194" spans="1:61" ht="15.75" customHeight="1" x14ac:dyDescent="0.25">
      <c r="A194">
        <v>193</v>
      </c>
      <c r="B194">
        <v>193</v>
      </c>
      <c r="C194">
        <v>0</v>
      </c>
      <c r="D194" t="str">
        <f>IF(Table1[[#This Row],[PCOS (Y/N)]]=0,"NO","YES")</f>
        <v>NO</v>
      </c>
      <c r="E194">
        <v>30</v>
      </c>
      <c r="F194">
        <v>67</v>
      </c>
      <c r="G194">
        <v>167</v>
      </c>
      <c r="H194">
        <v>12</v>
      </c>
      <c r="I194">
        <v>72</v>
      </c>
      <c r="J194">
        <v>22</v>
      </c>
      <c r="K194">
        <v>12</v>
      </c>
      <c r="L194">
        <v>4</v>
      </c>
      <c r="M194">
        <v>5</v>
      </c>
      <c r="N194">
        <v>10</v>
      </c>
      <c r="O194">
        <v>1</v>
      </c>
      <c r="P194" t="str">
        <f>IF(Table1[[#This Row],[Pregnant(Y/N)]]=1,"YES","NO")</f>
        <v>YES</v>
      </c>
      <c r="Q194">
        <v>1</v>
      </c>
      <c r="R194">
        <v>455.8</v>
      </c>
      <c r="S194">
        <v>121.8</v>
      </c>
      <c r="T194">
        <v>5.7</v>
      </c>
      <c r="U194">
        <v>2.37</v>
      </c>
      <c r="V194">
        <f>Table1[[#This Row],[FSH(mIU/mL)]]/Table1[[#This Row],[LH(mIU/mL)]]</f>
        <v>2.4050632911392404</v>
      </c>
      <c r="W194" t="str">
        <f>IF(Table1[[#This Row],[FSH/LH]]&gt;=2,"Abnormal","Normal")</f>
        <v>Abnormal</v>
      </c>
      <c r="X194">
        <v>37</v>
      </c>
      <c r="Y194">
        <v>32</v>
      </c>
      <c r="Z194">
        <f>ROUND(Table1[[#This Row],[Waist(inch)]]/Table1[[#This Row],[Hip(inch)]],2)</f>
        <v>0.86</v>
      </c>
      <c r="AA194">
        <v>2.36</v>
      </c>
      <c r="AB194">
        <v>5.76</v>
      </c>
      <c r="AC194">
        <v>10.79</v>
      </c>
      <c r="AD194">
        <v>28.7</v>
      </c>
      <c r="AE194" t="str">
        <f>IF(Table1[[#This Row],[Vit D3 (ng/mL)]]&lt;20,"Deficiency","Normal")</f>
        <v>Normal</v>
      </c>
      <c r="AF194">
        <v>0.25</v>
      </c>
      <c r="AG194">
        <v>108</v>
      </c>
      <c r="AH194">
        <v>0</v>
      </c>
      <c r="AI194" t="str">
        <f>IF(Table1[[#This Row],[Weight gain(Y/N)]]=0,"NO","YES")</f>
        <v>NO</v>
      </c>
      <c r="AJ194">
        <v>1</v>
      </c>
      <c r="AK194" t="str">
        <f>IF(Table1[[#This Row],[hair growth(Y/N)]]=1,"YES","NO")</f>
        <v>YES</v>
      </c>
      <c r="AL194">
        <v>0</v>
      </c>
      <c r="AM194" t="str">
        <f>IF(Table1[[#This Row],[Skin darkening (Y/N)]]=1,"YES","NO")</f>
        <v>NO</v>
      </c>
      <c r="AN194">
        <v>0</v>
      </c>
      <c r="AO194" t="str">
        <f>IF(Table1[[#This Row],[Hair loss(Y/N)]]=1,"YES","NO")</f>
        <v>NO</v>
      </c>
      <c r="AP194">
        <v>1</v>
      </c>
      <c r="AQ194" t="str">
        <f>IF(Table1[[#This Row],[Pimples(Y/N)]]=1,"YES","NO")</f>
        <v>YES</v>
      </c>
      <c r="AR194">
        <v>0</v>
      </c>
      <c r="AS194" t="str">
        <f>IF(Table1[[#This Row],[Fast food (Y/N)]]=1,"YES","NO")</f>
        <v>NO</v>
      </c>
      <c r="AT194">
        <v>1</v>
      </c>
      <c r="AU194" t="str">
        <f>IF(Table1[[#This Row],[Reg.Exercise(Y/N)]]=1,"YES","NO")</f>
        <v>YES</v>
      </c>
      <c r="AV194">
        <v>110</v>
      </c>
      <c r="AW194">
        <v>80</v>
      </c>
      <c r="AX194">
        <v>2</v>
      </c>
      <c r="AY194">
        <v>4</v>
      </c>
      <c r="AZ194">
        <v>10</v>
      </c>
      <c r="BA194">
        <v>13</v>
      </c>
      <c r="BB194">
        <v>6</v>
      </c>
      <c r="BC194" t="str" cm="1">
        <f t="array" ref="BC194">_xlfn.IFS((F194/(G194*G194)*10000)&lt; 18.5,"Underweight",(F194/(G194*G194)*10000)&lt;24.9,"Normal",(F194/(G194*G194)*10000)&lt;29.9,"Overweight",(F194/(G194*G194)*10000)&gt;=30,"obesity")</f>
        <v>Normal</v>
      </c>
      <c r="BD194">
        <f>Table1[[#This Row],[Follicle No. (L)]]+Table1[[#This Row],[Follicle No. (R)]]</f>
        <v>6</v>
      </c>
      <c r="BE194">
        <f>Table1[[#This Row],[Avg. F size (L) (mm)]]+Table1[[#This Row],[Avg. F size (R) (mm)]]</f>
        <v>23</v>
      </c>
      <c r="BF194">
        <f>Table1[[#This Row],[BP _Diastolic (mmHg)]]+(Table1[[#This Row],[BP _Diastolic (mmHg)]]+Table1[[#This Row],[Follicle No. (L)]])/3</f>
        <v>107.33333333333333</v>
      </c>
      <c r="BG194" s="4" t="str" cm="1">
        <f t="array" ref="BG19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94" s="4">
        <f>SUM(Table1[[#This Row],[Pimples(Y/N)]],Table1[[#This Row],[hair growth(Y/N)]],Table1[[#This Row],[Skin darkening (Y/N)]],Table1[[#This Row],[Hair loss(Y/N)]])</f>
        <v>2</v>
      </c>
      <c r="BI194" s="4" t="str">
        <f>IF(AND(Table1[[#This Row],[Pregnant(Y/N)]]=0, Table1[[#This Row],[  I   beta-HCG(mIU/mL)]]&gt;5), "Investigation Required", "Clear")</f>
        <v>Clear</v>
      </c>
    </row>
    <row r="195" spans="1:61" ht="15.75" customHeight="1" x14ac:dyDescent="0.25">
      <c r="A195">
        <v>194</v>
      </c>
      <c r="B195">
        <v>194</v>
      </c>
      <c r="C195">
        <v>0</v>
      </c>
      <c r="D195" t="str">
        <f>IF(Table1[[#This Row],[PCOS (Y/N)]]=0,"NO","YES")</f>
        <v>NO</v>
      </c>
      <c r="E195">
        <v>30</v>
      </c>
      <c r="F195">
        <v>55</v>
      </c>
      <c r="G195">
        <v>173.7</v>
      </c>
      <c r="H195">
        <v>11</v>
      </c>
      <c r="I195">
        <v>72</v>
      </c>
      <c r="J195">
        <v>20</v>
      </c>
      <c r="K195">
        <v>13.8</v>
      </c>
      <c r="L195">
        <v>2</v>
      </c>
      <c r="M195">
        <v>5</v>
      </c>
      <c r="N195">
        <v>8</v>
      </c>
      <c r="O195">
        <v>0</v>
      </c>
      <c r="P195" t="str">
        <f>IF(Table1[[#This Row],[Pregnant(Y/N)]]=1,"YES","NO")</f>
        <v>NO</v>
      </c>
      <c r="Q195">
        <v>0</v>
      </c>
      <c r="R195">
        <v>2.0099999999999998</v>
      </c>
      <c r="S195">
        <v>1.99</v>
      </c>
      <c r="T195">
        <v>5.64</v>
      </c>
      <c r="U195">
        <v>4.45</v>
      </c>
      <c r="V195">
        <f>Table1[[#This Row],[FSH(mIU/mL)]]/Table1[[#This Row],[LH(mIU/mL)]]</f>
        <v>1.2674157303370785</v>
      </c>
      <c r="W195" t="str">
        <f>IF(Table1[[#This Row],[FSH/LH]]&gt;=2,"Abnormal","Normal")</f>
        <v>Normal</v>
      </c>
      <c r="X195">
        <v>34</v>
      </c>
      <c r="Y195">
        <v>32</v>
      </c>
      <c r="Z195">
        <f>ROUND(Table1[[#This Row],[Waist(inch)]]/Table1[[#This Row],[Hip(inch)]],2)</f>
        <v>0.94</v>
      </c>
      <c r="AA195">
        <v>10.220000000000001</v>
      </c>
      <c r="AB195">
        <v>1.68</v>
      </c>
      <c r="AC195">
        <v>20.63</v>
      </c>
      <c r="AD195">
        <v>29.1</v>
      </c>
      <c r="AE195" t="str">
        <f>IF(Table1[[#This Row],[Vit D3 (ng/mL)]]&lt;20,"Deficiency","Normal")</f>
        <v>Normal</v>
      </c>
      <c r="AF195">
        <v>0.89</v>
      </c>
      <c r="AG195">
        <v>91</v>
      </c>
      <c r="AH195">
        <v>0</v>
      </c>
      <c r="AI195" t="str">
        <f>IF(Table1[[#This Row],[Weight gain(Y/N)]]=0,"NO","YES")</f>
        <v>NO</v>
      </c>
      <c r="AJ195">
        <v>0</v>
      </c>
      <c r="AK195" t="str">
        <f>IF(Table1[[#This Row],[hair growth(Y/N)]]=1,"YES","NO")</f>
        <v>NO</v>
      </c>
      <c r="AL195">
        <v>0</v>
      </c>
      <c r="AM195" t="str">
        <f>IF(Table1[[#This Row],[Skin darkening (Y/N)]]=1,"YES","NO")</f>
        <v>NO</v>
      </c>
      <c r="AN195">
        <v>1</v>
      </c>
      <c r="AO195" t="str">
        <f>IF(Table1[[#This Row],[Hair loss(Y/N)]]=1,"YES","NO")</f>
        <v>YES</v>
      </c>
      <c r="AP195">
        <v>1</v>
      </c>
      <c r="AQ195" t="str">
        <f>IF(Table1[[#This Row],[Pimples(Y/N)]]=1,"YES","NO")</f>
        <v>YES</v>
      </c>
      <c r="AR195">
        <v>0</v>
      </c>
      <c r="AS195" t="str">
        <f>IF(Table1[[#This Row],[Fast food (Y/N)]]=1,"YES","NO")</f>
        <v>NO</v>
      </c>
      <c r="AT195">
        <v>0</v>
      </c>
      <c r="AU195" t="str">
        <f>IF(Table1[[#This Row],[Reg.Exercise(Y/N)]]=1,"YES","NO")</f>
        <v>NO</v>
      </c>
      <c r="AV195">
        <v>120</v>
      </c>
      <c r="AW195">
        <v>80</v>
      </c>
      <c r="AX195">
        <v>2</v>
      </c>
      <c r="AY195">
        <v>2</v>
      </c>
      <c r="AZ195">
        <v>10</v>
      </c>
      <c r="BA195">
        <v>11</v>
      </c>
      <c r="BB195">
        <v>7</v>
      </c>
      <c r="BC195" t="str" cm="1">
        <f t="array" ref="BC195">_xlfn.IFS((F195/(G195*G195)*10000)&lt; 18.5,"Underweight",(F195/(G195*G195)*10000)&lt;24.9,"Normal",(F195/(G195*G195)*10000)&lt;29.9,"Overweight",(F195/(G195*G195)*10000)&gt;=30,"obesity")</f>
        <v>Underweight</v>
      </c>
      <c r="BD195">
        <f>Table1[[#This Row],[Follicle No. (L)]]+Table1[[#This Row],[Follicle No. (R)]]</f>
        <v>4</v>
      </c>
      <c r="BE195">
        <f>Table1[[#This Row],[Avg. F size (L) (mm)]]+Table1[[#This Row],[Avg. F size (R) (mm)]]</f>
        <v>21</v>
      </c>
      <c r="BF195">
        <f>Table1[[#This Row],[BP _Diastolic (mmHg)]]+(Table1[[#This Row],[BP _Diastolic (mmHg)]]+Table1[[#This Row],[Follicle No. (L)]])/3</f>
        <v>107.33333333333333</v>
      </c>
      <c r="BG195" s="4" t="str" cm="1">
        <f t="array" ref="BG19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195" s="4">
        <f>SUM(Table1[[#This Row],[Pimples(Y/N)]],Table1[[#This Row],[hair growth(Y/N)]],Table1[[#This Row],[Skin darkening (Y/N)]],Table1[[#This Row],[Hair loss(Y/N)]])</f>
        <v>2</v>
      </c>
      <c r="BI195" s="4" t="str">
        <f>IF(AND(Table1[[#This Row],[Pregnant(Y/N)]]=0, Table1[[#This Row],[  I   beta-HCG(mIU/mL)]]&gt;5), "Investigation Required", "Clear")</f>
        <v>Clear</v>
      </c>
    </row>
    <row r="196" spans="1:61" ht="15.75" customHeight="1" x14ac:dyDescent="0.25">
      <c r="A196">
        <v>195</v>
      </c>
      <c r="B196">
        <v>195</v>
      </c>
      <c r="C196">
        <v>0</v>
      </c>
      <c r="D196" t="str">
        <f>IF(Table1[[#This Row],[PCOS (Y/N)]]=0,"NO","YES")</f>
        <v>NO</v>
      </c>
      <c r="E196">
        <v>29</v>
      </c>
      <c r="F196">
        <v>50</v>
      </c>
      <c r="G196">
        <v>152</v>
      </c>
      <c r="H196">
        <v>13</v>
      </c>
      <c r="I196">
        <v>74</v>
      </c>
      <c r="J196">
        <v>18</v>
      </c>
      <c r="K196">
        <v>10.8</v>
      </c>
      <c r="L196">
        <v>4</v>
      </c>
      <c r="M196">
        <v>3</v>
      </c>
      <c r="N196">
        <v>6</v>
      </c>
      <c r="O196">
        <v>1</v>
      </c>
      <c r="P196" t="str">
        <f>IF(Table1[[#This Row],[Pregnant(Y/N)]]=1,"YES","NO")</f>
        <v>YES</v>
      </c>
      <c r="Q196">
        <v>0</v>
      </c>
      <c r="R196">
        <v>122.58</v>
      </c>
      <c r="S196">
        <v>122.58</v>
      </c>
      <c r="T196">
        <v>5.49</v>
      </c>
      <c r="U196">
        <v>7.06</v>
      </c>
      <c r="V196">
        <f>Table1[[#This Row],[FSH(mIU/mL)]]/Table1[[#This Row],[LH(mIU/mL)]]</f>
        <v>0.7776203966005667</v>
      </c>
      <c r="W196" t="str">
        <f>IF(Table1[[#This Row],[FSH/LH]]&gt;=2,"Abnormal","Normal")</f>
        <v>Normal</v>
      </c>
      <c r="X196">
        <v>36</v>
      </c>
      <c r="Y196">
        <v>34</v>
      </c>
      <c r="Z196">
        <f>ROUND(Table1[[#This Row],[Waist(inch)]]/Table1[[#This Row],[Hip(inch)]],2)</f>
        <v>0.94</v>
      </c>
      <c r="AA196">
        <v>2.8</v>
      </c>
      <c r="AB196">
        <v>8.75</v>
      </c>
      <c r="AC196">
        <v>25.73</v>
      </c>
      <c r="AD196">
        <v>57.08</v>
      </c>
      <c r="AE196" t="str">
        <f>IF(Table1[[#This Row],[Vit D3 (ng/mL)]]&lt;20,"Deficiency","Normal")</f>
        <v>Normal</v>
      </c>
      <c r="AF196">
        <v>0.4</v>
      </c>
      <c r="AG196">
        <v>102</v>
      </c>
      <c r="AH196">
        <v>0</v>
      </c>
      <c r="AI196" t="str">
        <f>IF(Table1[[#This Row],[Weight gain(Y/N)]]=0,"NO","YES")</f>
        <v>NO</v>
      </c>
      <c r="AJ196">
        <v>1</v>
      </c>
      <c r="AK196" t="str">
        <f>IF(Table1[[#This Row],[hair growth(Y/N)]]=1,"YES","NO")</f>
        <v>YES</v>
      </c>
      <c r="AL196">
        <v>0</v>
      </c>
      <c r="AM196" t="str">
        <f>IF(Table1[[#This Row],[Skin darkening (Y/N)]]=1,"YES","NO")</f>
        <v>NO</v>
      </c>
      <c r="AN196">
        <v>0</v>
      </c>
      <c r="AO196" t="str">
        <f>IF(Table1[[#This Row],[Hair loss(Y/N)]]=1,"YES","NO")</f>
        <v>NO</v>
      </c>
      <c r="AP196">
        <v>1</v>
      </c>
      <c r="AQ196" t="str">
        <f>IF(Table1[[#This Row],[Pimples(Y/N)]]=1,"YES","NO")</f>
        <v>YES</v>
      </c>
      <c r="AR196">
        <v>1</v>
      </c>
      <c r="AS196" t="str">
        <f>IF(Table1[[#This Row],[Fast food (Y/N)]]=1,"YES","NO")</f>
        <v>YES</v>
      </c>
      <c r="AT196">
        <v>0</v>
      </c>
      <c r="AU196" t="str">
        <f>IF(Table1[[#This Row],[Reg.Exercise(Y/N)]]=1,"YES","NO")</f>
        <v>NO</v>
      </c>
      <c r="AV196">
        <v>120</v>
      </c>
      <c r="AW196">
        <v>80</v>
      </c>
      <c r="AX196">
        <v>5</v>
      </c>
      <c r="AY196">
        <v>6</v>
      </c>
      <c r="AZ196">
        <v>13</v>
      </c>
      <c r="BA196">
        <v>12</v>
      </c>
      <c r="BB196">
        <v>7</v>
      </c>
      <c r="BC196" t="str" cm="1">
        <f t="array" ref="BC196">_xlfn.IFS((F196/(G196*G196)*10000)&lt; 18.5,"Underweight",(F196/(G196*G196)*10000)&lt;24.9,"Normal",(F196/(G196*G196)*10000)&lt;29.9,"Overweight",(F196/(G196*G196)*10000)&gt;=30,"obesity")</f>
        <v>Normal</v>
      </c>
      <c r="BD196">
        <f>Table1[[#This Row],[Follicle No. (L)]]+Table1[[#This Row],[Follicle No. (R)]]</f>
        <v>11</v>
      </c>
      <c r="BE196">
        <f>Table1[[#This Row],[Avg. F size (L) (mm)]]+Table1[[#This Row],[Avg. F size (R) (mm)]]</f>
        <v>25</v>
      </c>
      <c r="BF196">
        <f>Table1[[#This Row],[BP _Diastolic (mmHg)]]+(Table1[[#This Row],[BP _Diastolic (mmHg)]]+Table1[[#This Row],[Follicle No. (L)]])/3</f>
        <v>108.33333333333333</v>
      </c>
      <c r="BG196" s="4" t="str" cm="1">
        <f t="array" ref="BG19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96" s="4">
        <f>SUM(Table1[[#This Row],[Pimples(Y/N)]],Table1[[#This Row],[hair growth(Y/N)]],Table1[[#This Row],[Skin darkening (Y/N)]],Table1[[#This Row],[Hair loss(Y/N)]])</f>
        <v>2</v>
      </c>
      <c r="BI196" s="4" t="str">
        <f>IF(AND(Table1[[#This Row],[Pregnant(Y/N)]]=0, Table1[[#This Row],[  I   beta-HCG(mIU/mL)]]&gt;5), "Investigation Required", "Clear")</f>
        <v>Clear</v>
      </c>
    </row>
    <row r="197" spans="1:61" ht="15.75" customHeight="1" x14ac:dyDescent="0.25">
      <c r="A197">
        <v>196</v>
      </c>
      <c r="B197">
        <v>196</v>
      </c>
      <c r="C197">
        <v>1</v>
      </c>
      <c r="D197" t="str">
        <f>IF(Table1[[#This Row],[PCOS (Y/N)]]=0,"NO","YES")</f>
        <v>YES</v>
      </c>
      <c r="E197">
        <v>35</v>
      </c>
      <c r="F197">
        <v>60</v>
      </c>
      <c r="G197">
        <v>153.4</v>
      </c>
      <c r="H197">
        <v>13</v>
      </c>
      <c r="I197">
        <v>72</v>
      </c>
      <c r="J197">
        <v>20</v>
      </c>
      <c r="K197">
        <v>13.2</v>
      </c>
      <c r="L197">
        <v>4</v>
      </c>
      <c r="M197">
        <v>4</v>
      </c>
      <c r="N197">
        <v>14</v>
      </c>
      <c r="O197">
        <v>0</v>
      </c>
      <c r="P197" t="str">
        <f>IF(Table1[[#This Row],[Pregnant(Y/N)]]=1,"YES","NO")</f>
        <v>NO</v>
      </c>
      <c r="Q197">
        <v>1</v>
      </c>
      <c r="R197">
        <v>1.99</v>
      </c>
      <c r="S197">
        <v>1.99</v>
      </c>
      <c r="T197">
        <v>22</v>
      </c>
      <c r="U197">
        <v>3.39</v>
      </c>
      <c r="V197">
        <f>Table1[[#This Row],[FSH(mIU/mL)]]/Table1[[#This Row],[LH(mIU/mL)]]</f>
        <v>6.4896755162241888</v>
      </c>
      <c r="W197" t="str">
        <f>IF(Table1[[#This Row],[FSH/LH]]&gt;=2,"Abnormal","Normal")</f>
        <v>Abnormal</v>
      </c>
      <c r="X197">
        <v>38</v>
      </c>
      <c r="Y197">
        <v>35</v>
      </c>
      <c r="Z197">
        <f>ROUND(Table1[[#This Row],[Waist(inch)]]/Table1[[#This Row],[Hip(inch)]],2)</f>
        <v>0.92</v>
      </c>
      <c r="AA197">
        <v>2.42</v>
      </c>
      <c r="AB197">
        <v>6.65</v>
      </c>
      <c r="AC197">
        <v>16.34</v>
      </c>
      <c r="AD197">
        <v>5418.6</v>
      </c>
      <c r="AE197" t="str">
        <f>IF(Table1[[#This Row],[Vit D3 (ng/mL)]]&lt;20,"Deficiency","Normal")</f>
        <v>Normal</v>
      </c>
      <c r="AF197">
        <v>0.31</v>
      </c>
      <c r="AG197">
        <v>100</v>
      </c>
      <c r="AH197">
        <v>1</v>
      </c>
      <c r="AI197" t="str">
        <f>IF(Table1[[#This Row],[Weight gain(Y/N)]]=0,"NO","YES")</f>
        <v>YES</v>
      </c>
      <c r="AJ197">
        <v>0</v>
      </c>
      <c r="AK197" t="str">
        <f>IF(Table1[[#This Row],[hair growth(Y/N)]]=1,"YES","NO")</f>
        <v>NO</v>
      </c>
      <c r="AL197">
        <v>1</v>
      </c>
      <c r="AM197" t="str">
        <f>IF(Table1[[#This Row],[Skin darkening (Y/N)]]=1,"YES","NO")</f>
        <v>YES</v>
      </c>
      <c r="AN197">
        <v>1</v>
      </c>
      <c r="AO197" t="str">
        <f>IF(Table1[[#This Row],[Hair loss(Y/N)]]=1,"YES","NO")</f>
        <v>YES</v>
      </c>
      <c r="AP197">
        <v>1</v>
      </c>
      <c r="AQ197" t="str">
        <f>IF(Table1[[#This Row],[Pimples(Y/N)]]=1,"YES","NO")</f>
        <v>YES</v>
      </c>
      <c r="AR197">
        <v>1</v>
      </c>
      <c r="AS197" t="str">
        <f>IF(Table1[[#This Row],[Fast food (Y/N)]]=1,"YES","NO")</f>
        <v>YES</v>
      </c>
      <c r="AT197">
        <v>0</v>
      </c>
      <c r="AU197" t="str">
        <f>IF(Table1[[#This Row],[Reg.Exercise(Y/N)]]=1,"YES","NO")</f>
        <v>NO</v>
      </c>
      <c r="AV197">
        <v>120</v>
      </c>
      <c r="AW197">
        <v>80</v>
      </c>
      <c r="AX197">
        <v>8</v>
      </c>
      <c r="AY197">
        <v>10</v>
      </c>
      <c r="AZ197">
        <v>15</v>
      </c>
      <c r="BA197">
        <v>13</v>
      </c>
      <c r="BB197">
        <v>5.5</v>
      </c>
      <c r="BC197" t="str" cm="1">
        <f t="array" ref="BC197">_xlfn.IFS((F197/(G197*G197)*10000)&lt; 18.5,"Underweight",(F197/(G197*G197)*10000)&lt;24.9,"Normal",(F197/(G197*G197)*10000)&lt;29.9,"Overweight",(F197/(G197*G197)*10000)&gt;=30,"obesity")</f>
        <v>Overweight</v>
      </c>
      <c r="BD197">
        <f>Table1[[#This Row],[Follicle No. (L)]]+Table1[[#This Row],[Follicle No. (R)]]</f>
        <v>18</v>
      </c>
      <c r="BE197">
        <f>Table1[[#This Row],[Avg. F size (L) (mm)]]+Table1[[#This Row],[Avg. F size (R) (mm)]]</f>
        <v>28</v>
      </c>
      <c r="BF197">
        <f>Table1[[#This Row],[BP _Diastolic (mmHg)]]+(Table1[[#This Row],[BP _Diastolic (mmHg)]]+Table1[[#This Row],[Follicle No. (L)]])/3</f>
        <v>109.33333333333333</v>
      </c>
      <c r="BG197" s="4" t="str" cm="1">
        <f t="array" ref="BG19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197" s="4">
        <f>SUM(Table1[[#This Row],[Pimples(Y/N)]],Table1[[#This Row],[hair growth(Y/N)]],Table1[[#This Row],[Skin darkening (Y/N)]],Table1[[#This Row],[Hair loss(Y/N)]])</f>
        <v>3</v>
      </c>
      <c r="BI197" s="4" t="str">
        <f>IF(AND(Table1[[#This Row],[Pregnant(Y/N)]]=0, Table1[[#This Row],[  I   beta-HCG(mIU/mL)]]&gt;5), "Investigation Required", "Clear")</f>
        <v>Clear</v>
      </c>
    </row>
    <row r="198" spans="1:61" ht="15.75" customHeight="1" x14ac:dyDescent="0.25">
      <c r="A198">
        <v>197</v>
      </c>
      <c r="B198">
        <v>197</v>
      </c>
      <c r="C198">
        <v>1</v>
      </c>
      <c r="D198" t="str">
        <f>IF(Table1[[#This Row],[PCOS (Y/N)]]=0,"NO","YES")</f>
        <v>YES</v>
      </c>
      <c r="E198">
        <v>35</v>
      </c>
      <c r="F198">
        <v>56</v>
      </c>
      <c r="G198">
        <v>156</v>
      </c>
      <c r="H198">
        <v>14</v>
      </c>
      <c r="I198">
        <v>73</v>
      </c>
      <c r="J198">
        <v>18</v>
      </c>
      <c r="K198">
        <v>12.1</v>
      </c>
      <c r="L198">
        <v>2</v>
      </c>
      <c r="M198">
        <v>4</v>
      </c>
      <c r="N198">
        <v>15</v>
      </c>
      <c r="O198">
        <v>0</v>
      </c>
      <c r="P198" t="str">
        <f>IF(Table1[[#This Row],[Pregnant(Y/N)]]=1,"YES","NO")</f>
        <v>NO</v>
      </c>
      <c r="Q198">
        <v>0</v>
      </c>
      <c r="R198">
        <v>2.1</v>
      </c>
      <c r="S198">
        <v>1.99</v>
      </c>
      <c r="T198">
        <v>2.5569999999999999</v>
      </c>
      <c r="U198">
        <v>1.17</v>
      </c>
      <c r="V198">
        <f>Table1[[#This Row],[FSH(mIU/mL)]]/Table1[[#This Row],[LH(mIU/mL)]]</f>
        <v>2.1854700854700857</v>
      </c>
      <c r="W198" t="str">
        <f>IF(Table1[[#This Row],[FSH/LH]]&gt;=2,"Abnormal","Normal")</f>
        <v>Abnormal</v>
      </c>
      <c r="X198">
        <v>38</v>
      </c>
      <c r="Y198">
        <v>34</v>
      </c>
      <c r="Z198">
        <f>ROUND(Table1[[#This Row],[Waist(inch)]]/Table1[[#This Row],[Hip(inch)]],2)</f>
        <v>0.89</v>
      </c>
      <c r="AA198">
        <v>3.03</v>
      </c>
      <c r="AB198">
        <v>4.1500000000000004</v>
      </c>
      <c r="AC198">
        <v>26.18</v>
      </c>
      <c r="AD198">
        <v>6.077</v>
      </c>
      <c r="AE198" t="str">
        <f>IF(Table1[[#This Row],[Vit D3 (ng/mL)]]&lt;20,"Deficiency","Normal")</f>
        <v>Deficiency</v>
      </c>
      <c r="AF198">
        <v>0.47</v>
      </c>
      <c r="AG198">
        <v>138</v>
      </c>
      <c r="AH198">
        <v>1</v>
      </c>
      <c r="AI198" t="str">
        <f>IF(Table1[[#This Row],[Weight gain(Y/N)]]=0,"NO","YES")</f>
        <v>YES</v>
      </c>
      <c r="AJ198">
        <v>1</v>
      </c>
      <c r="AK198" t="str">
        <f>IF(Table1[[#This Row],[hair growth(Y/N)]]=1,"YES","NO")</f>
        <v>YES</v>
      </c>
      <c r="AL198">
        <v>0</v>
      </c>
      <c r="AM198" t="str">
        <f>IF(Table1[[#This Row],[Skin darkening (Y/N)]]=1,"YES","NO")</f>
        <v>NO</v>
      </c>
      <c r="AN198">
        <v>1</v>
      </c>
      <c r="AO198" t="str">
        <f>IF(Table1[[#This Row],[Hair loss(Y/N)]]=1,"YES","NO")</f>
        <v>YES</v>
      </c>
      <c r="AP198">
        <v>1</v>
      </c>
      <c r="AQ198" t="str">
        <f>IF(Table1[[#This Row],[Pimples(Y/N)]]=1,"YES","NO")</f>
        <v>YES</v>
      </c>
      <c r="AR198">
        <v>1</v>
      </c>
      <c r="AS198" t="str">
        <f>IF(Table1[[#This Row],[Fast food (Y/N)]]=1,"YES","NO")</f>
        <v>YES</v>
      </c>
      <c r="AT198">
        <v>1</v>
      </c>
      <c r="AU198" t="str">
        <f>IF(Table1[[#This Row],[Reg.Exercise(Y/N)]]=1,"YES","NO")</f>
        <v>YES</v>
      </c>
      <c r="AV198">
        <v>120</v>
      </c>
      <c r="AW198">
        <v>80</v>
      </c>
      <c r="AX198">
        <v>12</v>
      </c>
      <c r="AY198">
        <v>11</v>
      </c>
      <c r="AZ198">
        <v>14</v>
      </c>
      <c r="BA198">
        <v>14</v>
      </c>
      <c r="BB198">
        <v>5.6</v>
      </c>
      <c r="BC198" t="str" cm="1">
        <f t="array" ref="BC198">_xlfn.IFS((F198/(G198*G198)*10000)&lt; 18.5,"Underweight",(F198/(G198*G198)*10000)&lt;24.9,"Normal",(F198/(G198*G198)*10000)&lt;29.9,"Overweight",(F198/(G198*G198)*10000)&gt;=30,"obesity")</f>
        <v>Normal</v>
      </c>
      <c r="BD198">
        <f>Table1[[#This Row],[Follicle No. (L)]]+Table1[[#This Row],[Follicle No. (R)]]</f>
        <v>23</v>
      </c>
      <c r="BE198">
        <f>Table1[[#This Row],[Avg. F size (L) (mm)]]+Table1[[#This Row],[Avg. F size (R) (mm)]]</f>
        <v>28</v>
      </c>
      <c r="BF198">
        <f>Table1[[#This Row],[BP _Diastolic (mmHg)]]+(Table1[[#This Row],[BP _Diastolic (mmHg)]]+Table1[[#This Row],[Follicle No. (L)]])/3</f>
        <v>110.66666666666667</v>
      </c>
      <c r="BG198" s="4" t="str" cm="1">
        <f t="array" ref="BG19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98" s="4">
        <f>SUM(Table1[[#This Row],[Pimples(Y/N)]],Table1[[#This Row],[hair growth(Y/N)]],Table1[[#This Row],[Skin darkening (Y/N)]],Table1[[#This Row],[Hair loss(Y/N)]])</f>
        <v>3</v>
      </c>
      <c r="BI198" s="4" t="str">
        <f>IF(AND(Table1[[#This Row],[Pregnant(Y/N)]]=0, Table1[[#This Row],[  I   beta-HCG(mIU/mL)]]&gt;5), "Investigation Required", "Clear")</f>
        <v>Clear</v>
      </c>
    </row>
    <row r="199" spans="1:61" ht="15.75" customHeight="1" x14ac:dyDescent="0.25">
      <c r="A199">
        <v>198</v>
      </c>
      <c r="B199">
        <v>198</v>
      </c>
      <c r="C199">
        <v>0</v>
      </c>
      <c r="D199" t="str">
        <f>IF(Table1[[#This Row],[PCOS (Y/N)]]=0,"NO","YES")</f>
        <v>NO</v>
      </c>
      <c r="E199">
        <v>28</v>
      </c>
      <c r="F199">
        <v>70</v>
      </c>
      <c r="G199">
        <v>158</v>
      </c>
      <c r="H199">
        <v>15</v>
      </c>
      <c r="I199">
        <v>72</v>
      </c>
      <c r="J199">
        <v>18</v>
      </c>
      <c r="K199">
        <v>12</v>
      </c>
      <c r="L199">
        <v>2</v>
      </c>
      <c r="M199">
        <v>5</v>
      </c>
      <c r="N199">
        <v>6</v>
      </c>
      <c r="O199">
        <v>0</v>
      </c>
      <c r="P199" t="str">
        <f>IF(Table1[[#This Row],[Pregnant(Y/N)]]=1,"YES","NO")</f>
        <v>NO</v>
      </c>
      <c r="Q199">
        <v>0</v>
      </c>
      <c r="R199">
        <v>1.99</v>
      </c>
      <c r="S199">
        <v>1.99</v>
      </c>
      <c r="T199">
        <v>5.3</v>
      </c>
      <c r="U199">
        <v>2.72</v>
      </c>
      <c r="V199">
        <f>Table1[[#This Row],[FSH(mIU/mL)]]/Table1[[#This Row],[LH(mIU/mL)]]</f>
        <v>1.9485294117647056</v>
      </c>
      <c r="W199" t="str">
        <f>IF(Table1[[#This Row],[FSH/LH]]&gt;=2,"Abnormal","Normal")</f>
        <v>Normal</v>
      </c>
      <c r="X199">
        <v>39</v>
      </c>
      <c r="Y199">
        <v>35</v>
      </c>
      <c r="Z199">
        <f>ROUND(Table1[[#This Row],[Waist(inch)]]/Table1[[#This Row],[Hip(inch)]],2)</f>
        <v>0.9</v>
      </c>
      <c r="AA199">
        <v>2.4900000000000002</v>
      </c>
      <c r="AB199">
        <v>1.86</v>
      </c>
      <c r="AC199">
        <v>10.87</v>
      </c>
      <c r="AD199">
        <v>61.58</v>
      </c>
      <c r="AE199" t="str">
        <f>IF(Table1[[#This Row],[Vit D3 (ng/mL)]]&lt;20,"Deficiency","Normal")</f>
        <v>Normal</v>
      </c>
      <c r="AF199">
        <v>0.79</v>
      </c>
      <c r="AG199">
        <v>90</v>
      </c>
      <c r="AH199">
        <v>1</v>
      </c>
      <c r="AI199" t="str">
        <f>IF(Table1[[#This Row],[Weight gain(Y/N)]]=0,"NO","YES")</f>
        <v>YES</v>
      </c>
      <c r="AJ199">
        <v>1</v>
      </c>
      <c r="AK199" t="str">
        <f>IF(Table1[[#This Row],[hair growth(Y/N)]]=1,"YES","NO")</f>
        <v>YES</v>
      </c>
      <c r="AL199">
        <v>0</v>
      </c>
      <c r="AM199" t="str">
        <f>IF(Table1[[#This Row],[Skin darkening (Y/N)]]=1,"YES","NO")</f>
        <v>NO</v>
      </c>
      <c r="AN199">
        <v>1</v>
      </c>
      <c r="AO199" t="str">
        <f>IF(Table1[[#This Row],[Hair loss(Y/N)]]=1,"YES","NO")</f>
        <v>YES</v>
      </c>
      <c r="AP199">
        <v>0</v>
      </c>
      <c r="AQ199" t="str">
        <f>IF(Table1[[#This Row],[Pimples(Y/N)]]=1,"YES","NO")</f>
        <v>NO</v>
      </c>
      <c r="AR199">
        <v>1</v>
      </c>
      <c r="AS199" t="str">
        <f>IF(Table1[[#This Row],[Fast food (Y/N)]]=1,"YES","NO")</f>
        <v>YES</v>
      </c>
      <c r="AT199">
        <v>0</v>
      </c>
      <c r="AU199" t="str">
        <f>IF(Table1[[#This Row],[Reg.Exercise(Y/N)]]=1,"YES","NO")</f>
        <v>NO</v>
      </c>
      <c r="AV199">
        <v>110</v>
      </c>
      <c r="AW199">
        <v>80</v>
      </c>
      <c r="AX199">
        <v>5</v>
      </c>
      <c r="AY199">
        <v>7</v>
      </c>
      <c r="AZ199">
        <v>12</v>
      </c>
      <c r="BA199">
        <v>14</v>
      </c>
      <c r="BB199">
        <v>9</v>
      </c>
      <c r="BC199" t="str" cm="1">
        <f t="array" ref="BC199">_xlfn.IFS((F199/(G199*G199)*10000)&lt; 18.5,"Underweight",(F199/(G199*G199)*10000)&lt;24.9,"Normal",(F199/(G199*G199)*10000)&lt;29.9,"Overweight",(F199/(G199*G199)*10000)&gt;=30,"obesity")</f>
        <v>Overweight</v>
      </c>
      <c r="BD199">
        <f>Table1[[#This Row],[Follicle No. (L)]]+Table1[[#This Row],[Follicle No. (R)]]</f>
        <v>12</v>
      </c>
      <c r="BE199">
        <f>Table1[[#This Row],[Avg. F size (L) (mm)]]+Table1[[#This Row],[Avg. F size (R) (mm)]]</f>
        <v>26</v>
      </c>
      <c r="BF199">
        <f>Table1[[#This Row],[BP _Diastolic (mmHg)]]+(Table1[[#This Row],[BP _Diastolic (mmHg)]]+Table1[[#This Row],[Follicle No. (L)]])/3</f>
        <v>108.33333333333333</v>
      </c>
      <c r="BG199" s="4" t="str" cm="1">
        <f t="array" ref="BG19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199" s="4">
        <f>SUM(Table1[[#This Row],[Pimples(Y/N)]],Table1[[#This Row],[hair growth(Y/N)]],Table1[[#This Row],[Skin darkening (Y/N)]],Table1[[#This Row],[Hair loss(Y/N)]])</f>
        <v>2</v>
      </c>
      <c r="BI199" s="4" t="str">
        <f>IF(AND(Table1[[#This Row],[Pregnant(Y/N)]]=0, Table1[[#This Row],[  I   beta-HCG(mIU/mL)]]&gt;5), "Investigation Required", "Clear")</f>
        <v>Clear</v>
      </c>
    </row>
    <row r="200" spans="1:61" ht="15.75" customHeight="1" x14ac:dyDescent="0.25">
      <c r="A200">
        <v>199</v>
      </c>
      <c r="B200">
        <v>199</v>
      </c>
      <c r="C200">
        <v>0</v>
      </c>
      <c r="D200" t="str">
        <f>IF(Table1[[#This Row],[PCOS (Y/N)]]=0,"NO","YES")</f>
        <v>NO</v>
      </c>
      <c r="E200">
        <v>32</v>
      </c>
      <c r="F200">
        <v>49</v>
      </c>
      <c r="G200">
        <v>154</v>
      </c>
      <c r="H200">
        <v>11</v>
      </c>
      <c r="I200">
        <v>72</v>
      </c>
      <c r="J200">
        <v>20</v>
      </c>
      <c r="K200">
        <v>11.2</v>
      </c>
      <c r="L200">
        <v>2</v>
      </c>
      <c r="M200">
        <v>5</v>
      </c>
      <c r="N200">
        <v>12</v>
      </c>
      <c r="O200">
        <v>1</v>
      </c>
      <c r="P200" t="str">
        <f>IF(Table1[[#This Row],[Pregnant(Y/N)]]=1,"YES","NO")</f>
        <v>YES</v>
      </c>
      <c r="Q200">
        <v>1</v>
      </c>
      <c r="R200">
        <v>689.1</v>
      </c>
      <c r="S200">
        <v>355.28</v>
      </c>
      <c r="T200">
        <v>7.09</v>
      </c>
      <c r="U200">
        <v>3.81</v>
      </c>
      <c r="V200">
        <f>Table1[[#This Row],[FSH(mIU/mL)]]/Table1[[#This Row],[LH(mIU/mL)]]</f>
        <v>1.8608923884514434</v>
      </c>
      <c r="W200" t="str">
        <f>IF(Table1[[#This Row],[FSH/LH]]&gt;=2,"Abnormal","Normal")</f>
        <v>Normal</v>
      </c>
      <c r="X200">
        <v>35</v>
      </c>
      <c r="Y200">
        <v>32</v>
      </c>
      <c r="Z200">
        <f>ROUND(Table1[[#This Row],[Waist(inch)]]/Table1[[#This Row],[Hip(inch)]],2)</f>
        <v>0.91</v>
      </c>
      <c r="AA200">
        <v>1.361</v>
      </c>
      <c r="AB200">
        <v>2.04</v>
      </c>
      <c r="AC200">
        <v>23.24</v>
      </c>
      <c r="AD200">
        <v>47.36</v>
      </c>
      <c r="AE200" t="str">
        <f>IF(Table1[[#This Row],[Vit D3 (ng/mL)]]&lt;20,"Deficiency","Normal")</f>
        <v>Normal</v>
      </c>
      <c r="AF200">
        <v>0.25</v>
      </c>
      <c r="AG200">
        <v>92</v>
      </c>
      <c r="AH200">
        <v>0</v>
      </c>
      <c r="AI200" t="str">
        <f>IF(Table1[[#This Row],[Weight gain(Y/N)]]=0,"NO","YES")</f>
        <v>NO</v>
      </c>
      <c r="AJ200">
        <v>0</v>
      </c>
      <c r="AK200" t="str">
        <f>IF(Table1[[#This Row],[hair growth(Y/N)]]=1,"YES","NO")</f>
        <v>NO</v>
      </c>
      <c r="AL200">
        <v>0</v>
      </c>
      <c r="AM200" t="str">
        <f>IF(Table1[[#This Row],[Skin darkening (Y/N)]]=1,"YES","NO")</f>
        <v>NO</v>
      </c>
      <c r="AN200">
        <v>1</v>
      </c>
      <c r="AO200" t="str">
        <f>IF(Table1[[#This Row],[Hair loss(Y/N)]]=1,"YES","NO")</f>
        <v>YES</v>
      </c>
      <c r="AP200">
        <v>1</v>
      </c>
      <c r="AQ200" t="str">
        <f>IF(Table1[[#This Row],[Pimples(Y/N)]]=1,"YES","NO")</f>
        <v>YES</v>
      </c>
      <c r="AR200">
        <v>1</v>
      </c>
      <c r="AS200" t="str">
        <f>IF(Table1[[#This Row],[Fast food (Y/N)]]=1,"YES","NO")</f>
        <v>YES</v>
      </c>
      <c r="AT200">
        <v>0</v>
      </c>
      <c r="AU200" t="str">
        <f>IF(Table1[[#This Row],[Reg.Exercise(Y/N)]]=1,"YES","NO")</f>
        <v>NO</v>
      </c>
      <c r="AV200">
        <v>110</v>
      </c>
      <c r="AW200">
        <v>70</v>
      </c>
      <c r="AX200">
        <v>6</v>
      </c>
      <c r="AY200">
        <v>4</v>
      </c>
      <c r="AZ200">
        <v>10</v>
      </c>
      <c r="BA200">
        <v>14</v>
      </c>
      <c r="BB200">
        <v>6</v>
      </c>
      <c r="BC200" t="str" cm="1">
        <f t="array" ref="BC200">_xlfn.IFS((F200/(G200*G200)*10000)&lt; 18.5,"Underweight",(F200/(G200*G200)*10000)&lt;24.9,"Normal",(F200/(G200*G200)*10000)&lt;29.9,"Overweight",(F200/(G200*G200)*10000)&gt;=30,"obesity")</f>
        <v>Normal</v>
      </c>
      <c r="BD200">
        <f>Table1[[#This Row],[Follicle No. (L)]]+Table1[[#This Row],[Follicle No. (R)]]</f>
        <v>10</v>
      </c>
      <c r="BE200">
        <f>Table1[[#This Row],[Avg. F size (L) (mm)]]+Table1[[#This Row],[Avg. F size (R) (mm)]]</f>
        <v>24</v>
      </c>
      <c r="BF200">
        <f>Table1[[#This Row],[BP _Diastolic (mmHg)]]+(Table1[[#This Row],[BP _Diastolic (mmHg)]]+Table1[[#This Row],[Follicle No. (L)]])/3</f>
        <v>95.333333333333329</v>
      </c>
      <c r="BG200" s="4" t="str" cm="1">
        <f t="array" ref="BG20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00" s="4">
        <f>SUM(Table1[[#This Row],[Pimples(Y/N)]],Table1[[#This Row],[hair growth(Y/N)]],Table1[[#This Row],[Skin darkening (Y/N)]],Table1[[#This Row],[Hair loss(Y/N)]])</f>
        <v>2</v>
      </c>
      <c r="BI200" s="4" t="str">
        <f>IF(AND(Table1[[#This Row],[Pregnant(Y/N)]]=0, Table1[[#This Row],[  I   beta-HCG(mIU/mL)]]&gt;5), "Investigation Required", "Clear")</f>
        <v>Clear</v>
      </c>
    </row>
    <row r="201" spans="1:61" ht="15.75" customHeight="1" x14ac:dyDescent="0.25">
      <c r="A201">
        <v>200</v>
      </c>
      <c r="B201">
        <v>200</v>
      </c>
      <c r="C201">
        <v>1</v>
      </c>
      <c r="D201" t="str">
        <f>IF(Table1[[#This Row],[PCOS (Y/N)]]=0,"NO","YES")</f>
        <v>YES</v>
      </c>
      <c r="E201">
        <v>25</v>
      </c>
      <c r="F201">
        <v>58</v>
      </c>
      <c r="G201">
        <v>160</v>
      </c>
      <c r="H201">
        <v>15</v>
      </c>
      <c r="I201">
        <v>74</v>
      </c>
      <c r="J201">
        <v>18</v>
      </c>
      <c r="K201">
        <v>11.9</v>
      </c>
      <c r="L201">
        <v>4</v>
      </c>
      <c r="M201">
        <v>3</v>
      </c>
      <c r="N201">
        <v>3</v>
      </c>
      <c r="O201">
        <v>0</v>
      </c>
      <c r="P201" t="str">
        <f>IF(Table1[[#This Row],[Pregnant(Y/N)]]=1,"YES","NO")</f>
        <v>NO</v>
      </c>
      <c r="Q201">
        <v>0</v>
      </c>
      <c r="R201">
        <v>1.99</v>
      </c>
      <c r="S201">
        <v>1.99</v>
      </c>
      <c r="T201">
        <v>3.8</v>
      </c>
      <c r="U201">
        <v>3.57</v>
      </c>
      <c r="V201">
        <f>Table1[[#This Row],[FSH(mIU/mL)]]/Table1[[#This Row],[LH(mIU/mL)]]</f>
        <v>1.0644257703081232</v>
      </c>
      <c r="W201" t="str">
        <f>IF(Table1[[#This Row],[FSH/LH]]&gt;=2,"Abnormal","Normal")</f>
        <v>Normal</v>
      </c>
      <c r="X201">
        <v>38</v>
      </c>
      <c r="Y201">
        <v>36</v>
      </c>
      <c r="Z201">
        <f>ROUND(Table1[[#This Row],[Waist(inch)]]/Table1[[#This Row],[Hip(inch)]],2)</f>
        <v>0.95</v>
      </c>
      <c r="AA201">
        <v>3.9</v>
      </c>
      <c r="AB201">
        <v>7.25</v>
      </c>
      <c r="AC201">
        <v>30.78</v>
      </c>
      <c r="AD201">
        <v>55.6</v>
      </c>
      <c r="AE201" t="str">
        <f>IF(Table1[[#This Row],[Vit D3 (ng/mL)]]&lt;20,"Deficiency","Normal")</f>
        <v>Normal</v>
      </c>
      <c r="AF201">
        <v>0.25</v>
      </c>
      <c r="AG201">
        <v>90</v>
      </c>
      <c r="AH201">
        <v>1</v>
      </c>
      <c r="AI201" t="str">
        <f>IF(Table1[[#This Row],[Weight gain(Y/N)]]=0,"NO","YES")</f>
        <v>YES</v>
      </c>
      <c r="AJ201">
        <v>1</v>
      </c>
      <c r="AK201" t="str">
        <f>IF(Table1[[#This Row],[hair growth(Y/N)]]=1,"YES","NO")</f>
        <v>YES</v>
      </c>
      <c r="AL201">
        <v>1</v>
      </c>
      <c r="AM201" t="str">
        <f>IF(Table1[[#This Row],[Skin darkening (Y/N)]]=1,"YES","NO")</f>
        <v>YES</v>
      </c>
      <c r="AN201">
        <v>1</v>
      </c>
      <c r="AO201" t="str">
        <f>IF(Table1[[#This Row],[Hair loss(Y/N)]]=1,"YES","NO")</f>
        <v>YES</v>
      </c>
      <c r="AP201">
        <v>0</v>
      </c>
      <c r="AQ201" t="str">
        <f>IF(Table1[[#This Row],[Pimples(Y/N)]]=1,"YES","NO")</f>
        <v>NO</v>
      </c>
      <c r="AR201">
        <v>1</v>
      </c>
      <c r="AS201" t="str">
        <f>IF(Table1[[#This Row],[Fast food (Y/N)]]=1,"YES","NO")</f>
        <v>YES</v>
      </c>
      <c r="AT201">
        <v>0</v>
      </c>
      <c r="AU201" t="str">
        <f>IF(Table1[[#This Row],[Reg.Exercise(Y/N)]]=1,"YES","NO")</f>
        <v>NO</v>
      </c>
      <c r="AV201">
        <v>110</v>
      </c>
      <c r="AW201">
        <v>80</v>
      </c>
      <c r="AX201">
        <v>12</v>
      </c>
      <c r="AY201">
        <v>12</v>
      </c>
      <c r="AZ201">
        <v>14</v>
      </c>
      <c r="BA201">
        <v>17</v>
      </c>
      <c r="BB201">
        <v>10.5</v>
      </c>
      <c r="BC201" t="str" cm="1">
        <f t="array" ref="BC201">_xlfn.IFS((F201/(G201*G201)*10000)&lt; 18.5,"Underweight",(F201/(G201*G201)*10000)&lt;24.9,"Normal",(F201/(G201*G201)*10000)&lt;29.9,"Overweight",(F201/(G201*G201)*10000)&gt;=30,"obesity")</f>
        <v>Normal</v>
      </c>
      <c r="BD201">
        <f>Table1[[#This Row],[Follicle No. (L)]]+Table1[[#This Row],[Follicle No. (R)]]</f>
        <v>24</v>
      </c>
      <c r="BE201">
        <f>Table1[[#This Row],[Avg. F size (L) (mm)]]+Table1[[#This Row],[Avg. F size (R) (mm)]]</f>
        <v>31</v>
      </c>
      <c r="BF201">
        <f>Table1[[#This Row],[BP _Diastolic (mmHg)]]+(Table1[[#This Row],[BP _Diastolic (mmHg)]]+Table1[[#This Row],[Follicle No. (L)]])/3</f>
        <v>110.66666666666667</v>
      </c>
      <c r="BG201" s="4" t="str" cm="1">
        <f t="array" ref="BG20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01" s="4">
        <f>SUM(Table1[[#This Row],[Pimples(Y/N)]],Table1[[#This Row],[hair growth(Y/N)]],Table1[[#This Row],[Skin darkening (Y/N)]],Table1[[#This Row],[Hair loss(Y/N)]])</f>
        <v>3</v>
      </c>
      <c r="BI201" s="4" t="str">
        <f>IF(AND(Table1[[#This Row],[Pregnant(Y/N)]]=0, Table1[[#This Row],[  I   beta-HCG(mIU/mL)]]&gt;5), "Investigation Required", "Clear")</f>
        <v>Clear</v>
      </c>
    </row>
    <row r="202" spans="1:61" ht="15.75" customHeight="1" x14ac:dyDescent="0.25">
      <c r="A202">
        <v>201</v>
      </c>
      <c r="B202">
        <v>201</v>
      </c>
      <c r="C202">
        <v>0</v>
      </c>
      <c r="D202" t="str">
        <f>IF(Table1[[#This Row],[PCOS (Y/N)]]=0,"NO","YES")</f>
        <v>NO</v>
      </c>
      <c r="E202">
        <v>30</v>
      </c>
      <c r="F202">
        <v>47</v>
      </c>
      <c r="G202">
        <v>158</v>
      </c>
      <c r="H202">
        <v>15</v>
      </c>
      <c r="I202">
        <v>73</v>
      </c>
      <c r="J202">
        <v>18</v>
      </c>
      <c r="K202">
        <v>11.2</v>
      </c>
      <c r="L202">
        <v>2</v>
      </c>
      <c r="M202">
        <v>6</v>
      </c>
      <c r="N202">
        <v>10</v>
      </c>
      <c r="O202">
        <v>0</v>
      </c>
      <c r="P202" t="str">
        <f>IF(Table1[[#This Row],[Pregnant(Y/N)]]=1,"YES","NO")</f>
        <v>NO</v>
      </c>
      <c r="Q202">
        <v>0</v>
      </c>
      <c r="R202">
        <v>3.44</v>
      </c>
      <c r="S202">
        <v>1.99</v>
      </c>
      <c r="T202">
        <v>8.99</v>
      </c>
      <c r="U202">
        <v>3.1</v>
      </c>
      <c r="V202">
        <f>Table1[[#This Row],[FSH(mIU/mL)]]/Table1[[#This Row],[LH(mIU/mL)]]</f>
        <v>2.9</v>
      </c>
      <c r="W202" t="str">
        <f>IF(Table1[[#This Row],[FSH/LH]]&gt;=2,"Abnormal","Normal")</f>
        <v>Abnormal</v>
      </c>
      <c r="X202">
        <v>36</v>
      </c>
      <c r="Y202">
        <v>32</v>
      </c>
      <c r="Z202">
        <f>ROUND(Table1[[#This Row],[Waist(inch)]]/Table1[[#This Row],[Hip(inch)]],2)</f>
        <v>0.89</v>
      </c>
      <c r="AA202">
        <v>1.71</v>
      </c>
      <c r="AB202">
        <v>1.04</v>
      </c>
      <c r="AC202">
        <v>28.67</v>
      </c>
      <c r="AD202">
        <v>22</v>
      </c>
      <c r="AE202" t="str">
        <f>IF(Table1[[#This Row],[Vit D3 (ng/mL)]]&lt;20,"Deficiency","Normal")</f>
        <v>Normal</v>
      </c>
      <c r="AF202">
        <v>0.24</v>
      </c>
      <c r="AG202">
        <v>91</v>
      </c>
      <c r="AH202">
        <v>0</v>
      </c>
      <c r="AI202" t="str">
        <f>IF(Table1[[#This Row],[Weight gain(Y/N)]]=0,"NO","YES")</f>
        <v>NO</v>
      </c>
      <c r="AJ202">
        <v>0</v>
      </c>
      <c r="AK202" t="str">
        <f>IF(Table1[[#This Row],[hair growth(Y/N)]]=1,"YES","NO")</f>
        <v>NO</v>
      </c>
      <c r="AL202">
        <v>0</v>
      </c>
      <c r="AM202" t="str">
        <f>IF(Table1[[#This Row],[Skin darkening (Y/N)]]=1,"YES","NO")</f>
        <v>NO</v>
      </c>
      <c r="AN202">
        <v>1</v>
      </c>
      <c r="AO202" t="str">
        <f>IF(Table1[[#This Row],[Hair loss(Y/N)]]=1,"YES","NO")</f>
        <v>YES</v>
      </c>
      <c r="AP202">
        <v>1</v>
      </c>
      <c r="AQ202" t="str">
        <f>IF(Table1[[#This Row],[Pimples(Y/N)]]=1,"YES","NO")</f>
        <v>YES</v>
      </c>
      <c r="AR202">
        <v>1</v>
      </c>
      <c r="AS202" t="str">
        <f>IF(Table1[[#This Row],[Fast food (Y/N)]]=1,"YES","NO")</f>
        <v>YES</v>
      </c>
      <c r="AT202">
        <v>1</v>
      </c>
      <c r="AU202" t="str">
        <f>IF(Table1[[#This Row],[Reg.Exercise(Y/N)]]=1,"YES","NO")</f>
        <v>YES</v>
      </c>
      <c r="AV202">
        <v>120</v>
      </c>
      <c r="AW202">
        <v>8</v>
      </c>
      <c r="AX202">
        <v>2</v>
      </c>
      <c r="AY202">
        <v>1</v>
      </c>
      <c r="AZ202">
        <v>11</v>
      </c>
      <c r="BA202">
        <v>14</v>
      </c>
      <c r="BB202">
        <v>6</v>
      </c>
      <c r="BC202" t="str" cm="1">
        <f t="array" ref="BC202">_xlfn.IFS((F202/(G202*G202)*10000)&lt; 18.5,"Underweight",(F202/(G202*G202)*10000)&lt;24.9,"Normal",(F202/(G202*G202)*10000)&lt;29.9,"Overweight",(F202/(G202*G202)*10000)&gt;=30,"obesity")</f>
        <v>Normal</v>
      </c>
      <c r="BD202">
        <f>Table1[[#This Row],[Follicle No. (L)]]+Table1[[#This Row],[Follicle No. (R)]]</f>
        <v>3</v>
      </c>
      <c r="BE202">
        <f>Table1[[#This Row],[Avg. F size (L) (mm)]]+Table1[[#This Row],[Avg. F size (R) (mm)]]</f>
        <v>25</v>
      </c>
      <c r="BF202">
        <f>Table1[[#This Row],[BP _Diastolic (mmHg)]]+(Table1[[#This Row],[BP _Diastolic (mmHg)]]+Table1[[#This Row],[Follicle No. (L)]])/3</f>
        <v>11.333333333333334</v>
      </c>
      <c r="BG202" s="4" t="str" cm="1">
        <f t="array" ref="BG20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02" s="4">
        <f>SUM(Table1[[#This Row],[Pimples(Y/N)]],Table1[[#This Row],[hair growth(Y/N)]],Table1[[#This Row],[Skin darkening (Y/N)]],Table1[[#This Row],[Hair loss(Y/N)]])</f>
        <v>2</v>
      </c>
      <c r="BI202" s="4" t="str">
        <f>IF(AND(Table1[[#This Row],[Pregnant(Y/N)]]=0, Table1[[#This Row],[  I   beta-HCG(mIU/mL)]]&gt;5), "Investigation Required", "Clear")</f>
        <v>Clear</v>
      </c>
    </row>
    <row r="203" spans="1:61" ht="15.75" customHeight="1" x14ac:dyDescent="0.25">
      <c r="A203">
        <v>202</v>
      </c>
      <c r="B203">
        <v>202</v>
      </c>
      <c r="C203">
        <v>0</v>
      </c>
      <c r="D203" t="str">
        <f>IF(Table1[[#This Row],[PCOS (Y/N)]]=0,"NO","YES")</f>
        <v>NO</v>
      </c>
      <c r="E203">
        <v>28</v>
      </c>
      <c r="F203">
        <v>56</v>
      </c>
      <c r="G203">
        <v>158</v>
      </c>
      <c r="H203">
        <v>13</v>
      </c>
      <c r="I203">
        <v>72</v>
      </c>
      <c r="J203">
        <v>20</v>
      </c>
      <c r="K203">
        <v>10.8</v>
      </c>
      <c r="L203">
        <v>2</v>
      </c>
      <c r="M203">
        <v>5</v>
      </c>
      <c r="N203">
        <v>8</v>
      </c>
      <c r="O203">
        <v>1</v>
      </c>
      <c r="P203" t="str">
        <f>IF(Table1[[#This Row],[Pregnant(Y/N)]]=1,"YES","NO")</f>
        <v>YES</v>
      </c>
      <c r="Q203">
        <v>0</v>
      </c>
      <c r="R203">
        <v>122.3</v>
      </c>
      <c r="S203">
        <v>122.3</v>
      </c>
      <c r="T203">
        <v>5.2</v>
      </c>
      <c r="U203">
        <v>4.97</v>
      </c>
      <c r="V203">
        <f>Table1[[#This Row],[FSH(mIU/mL)]]/Table1[[#This Row],[LH(mIU/mL)]]</f>
        <v>1.046277665995976</v>
      </c>
      <c r="W203" t="str">
        <f>IF(Table1[[#This Row],[FSH/LH]]&gt;=2,"Abnormal","Normal")</f>
        <v>Normal</v>
      </c>
      <c r="X203">
        <v>37</v>
      </c>
      <c r="Y203">
        <v>35</v>
      </c>
      <c r="Z203">
        <f>ROUND(Table1[[#This Row],[Waist(inch)]]/Table1[[#This Row],[Hip(inch)]],2)</f>
        <v>0.95</v>
      </c>
      <c r="AA203">
        <v>2.74</v>
      </c>
      <c r="AB203">
        <v>1.91</v>
      </c>
      <c r="AC203">
        <v>14</v>
      </c>
      <c r="AD203">
        <v>9.01</v>
      </c>
      <c r="AE203" t="str">
        <f>IF(Table1[[#This Row],[Vit D3 (ng/mL)]]&lt;20,"Deficiency","Normal")</f>
        <v>Deficiency</v>
      </c>
      <c r="AF203">
        <v>0.14000000000000001</v>
      </c>
      <c r="AG203">
        <v>100</v>
      </c>
      <c r="AH203">
        <v>1</v>
      </c>
      <c r="AI203" t="str">
        <f>IF(Table1[[#This Row],[Weight gain(Y/N)]]=0,"NO","YES")</f>
        <v>YES</v>
      </c>
      <c r="AJ203">
        <v>0</v>
      </c>
      <c r="AK203" t="str">
        <f>IF(Table1[[#This Row],[hair growth(Y/N)]]=1,"YES","NO")</f>
        <v>NO</v>
      </c>
      <c r="AL203">
        <v>0</v>
      </c>
      <c r="AM203" t="str">
        <f>IF(Table1[[#This Row],[Skin darkening (Y/N)]]=1,"YES","NO")</f>
        <v>NO</v>
      </c>
      <c r="AN203">
        <v>1</v>
      </c>
      <c r="AO203" t="str">
        <f>IF(Table1[[#This Row],[Hair loss(Y/N)]]=1,"YES","NO")</f>
        <v>YES</v>
      </c>
      <c r="AP203">
        <v>0</v>
      </c>
      <c r="AQ203" t="str">
        <f>IF(Table1[[#This Row],[Pimples(Y/N)]]=1,"YES","NO")</f>
        <v>NO</v>
      </c>
      <c r="AR203">
        <v>1</v>
      </c>
      <c r="AS203" t="str">
        <f>IF(Table1[[#This Row],[Fast food (Y/N)]]=1,"YES","NO")</f>
        <v>YES</v>
      </c>
      <c r="AT203">
        <v>0</v>
      </c>
      <c r="AU203" t="str">
        <f>IF(Table1[[#This Row],[Reg.Exercise(Y/N)]]=1,"YES","NO")</f>
        <v>NO</v>
      </c>
      <c r="AV203">
        <v>120</v>
      </c>
      <c r="AW203">
        <v>80</v>
      </c>
      <c r="AX203">
        <v>2</v>
      </c>
      <c r="AY203">
        <v>4</v>
      </c>
      <c r="AZ203">
        <v>12</v>
      </c>
      <c r="BA203">
        <v>12</v>
      </c>
      <c r="BB203">
        <v>9.8000000000000007</v>
      </c>
      <c r="BC203" t="str" cm="1">
        <f t="array" ref="BC203">_xlfn.IFS((F203/(G203*G203)*10000)&lt; 18.5,"Underweight",(F203/(G203*G203)*10000)&lt;24.9,"Normal",(F203/(G203*G203)*10000)&lt;29.9,"Overweight",(F203/(G203*G203)*10000)&gt;=30,"obesity")</f>
        <v>Normal</v>
      </c>
      <c r="BD203">
        <f>Table1[[#This Row],[Follicle No. (L)]]+Table1[[#This Row],[Follicle No. (R)]]</f>
        <v>6</v>
      </c>
      <c r="BE203">
        <f>Table1[[#This Row],[Avg. F size (L) (mm)]]+Table1[[#This Row],[Avg. F size (R) (mm)]]</f>
        <v>24</v>
      </c>
      <c r="BF203">
        <f>Table1[[#This Row],[BP _Diastolic (mmHg)]]+(Table1[[#This Row],[BP _Diastolic (mmHg)]]+Table1[[#This Row],[Follicle No. (L)]])/3</f>
        <v>107.33333333333333</v>
      </c>
      <c r="BG203" s="4" t="str" cm="1">
        <f t="array" ref="BG20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03" s="4">
        <f>SUM(Table1[[#This Row],[Pimples(Y/N)]],Table1[[#This Row],[hair growth(Y/N)]],Table1[[#This Row],[Skin darkening (Y/N)]],Table1[[#This Row],[Hair loss(Y/N)]])</f>
        <v>1</v>
      </c>
      <c r="BI203" s="4" t="str">
        <f>IF(AND(Table1[[#This Row],[Pregnant(Y/N)]]=0, Table1[[#This Row],[  I   beta-HCG(mIU/mL)]]&gt;5), "Investigation Required", "Clear")</f>
        <v>Clear</v>
      </c>
    </row>
    <row r="204" spans="1:61" ht="15.75" customHeight="1" x14ac:dyDescent="0.25">
      <c r="A204">
        <v>203</v>
      </c>
      <c r="B204">
        <v>203</v>
      </c>
      <c r="C204">
        <v>0</v>
      </c>
      <c r="D204" t="str">
        <f>IF(Table1[[#This Row],[PCOS (Y/N)]]=0,"NO","YES")</f>
        <v>NO</v>
      </c>
      <c r="E204">
        <v>28</v>
      </c>
      <c r="F204">
        <v>80</v>
      </c>
      <c r="G204">
        <v>163</v>
      </c>
      <c r="H204">
        <v>15</v>
      </c>
      <c r="I204">
        <v>74</v>
      </c>
      <c r="J204">
        <v>20</v>
      </c>
      <c r="K204">
        <v>11.8</v>
      </c>
      <c r="L204">
        <v>2</v>
      </c>
      <c r="M204">
        <v>6</v>
      </c>
      <c r="N204">
        <v>6</v>
      </c>
      <c r="O204">
        <v>1</v>
      </c>
      <c r="P204" t="str">
        <f>IF(Table1[[#This Row],[Pregnant(Y/N)]]=1,"YES","NO")</f>
        <v>YES</v>
      </c>
      <c r="Q204">
        <v>0</v>
      </c>
      <c r="R204">
        <v>596.20000000000005</v>
      </c>
      <c r="S204">
        <v>596.20000000000005</v>
      </c>
      <c r="T204">
        <v>3.08</v>
      </c>
      <c r="U204">
        <v>4.08</v>
      </c>
      <c r="V204">
        <f>Table1[[#This Row],[FSH(mIU/mL)]]/Table1[[#This Row],[LH(mIU/mL)]]</f>
        <v>0.75490196078431371</v>
      </c>
      <c r="W204" t="str">
        <f>IF(Table1[[#This Row],[FSH/LH]]&gt;=2,"Abnormal","Normal")</f>
        <v>Normal</v>
      </c>
      <c r="X204">
        <v>40</v>
      </c>
      <c r="Y204">
        <v>36</v>
      </c>
      <c r="Z204">
        <f>ROUND(Table1[[#This Row],[Waist(inch)]]/Table1[[#This Row],[Hip(inch)]],2)</f>
        <v>0.9</v>
      </c>
      <c r="AA204">
        <v>1.71</v>
      </c>
      <c r="AB204">
        <v>2.2999999999999998</v>
      </c>
      <c r="AC204">
        <v>10.3</v>
      </c>
      <c r="AD204">
        <v>62</v>
      </c>
      <c r="AE204" t="str">
        <f>IF(Table1[[#This Row],[Vit D3 (ng/mL)]]&lt;20,"Deficiency","Normal")</f>
        <v>Normal</v>
      </c>
      <c r="AF204">
        <v>0.9</v>
      </c>
      <c r="AG204">
        <v>116</v>
      </c>
      <c r="AH204">
        <v>1</v>
      </c>
      <c r="AI204" t="str">
        <f>IF(Table1[[#This Row],[Weight gain(Y/N)]]=0,"NO","YES")</f>
        <v>YES</v>
      </c>
      <c r="AJ204">
        <v>1</v>
      </c>
      <c r="AK204" t="str">
        <f>IF(Table1[[#This Row],[hair growth(Y/N)]]=1,"YES","NO")</f>
        <v>YES</v>
      </c>
      <c r="AL204">
        <v>1</v>
      </c>
      <c r="AM204" t="str">
        <f>IF(Table1[[#This Row],[Skin darkening (Y/N)]]=1,"YES","NO")</f>
        <v>YES</v>
      </c>
      <c r="AN204">
        <v>1</v>
      </c>
      <c r="AO204" t="str">
        <f>IF(Table1[[#This Row],[Hair loss(Y/N)]]=1,"YES","NO")</f>
        <v>YES</v>
      </c>
      <c r="AP204">
        <v>1</v>
      </c>
      <c r="AQ204" t="str">
        <f>IF(Table1[[#This Row],[Pimples(Y/N)]]=1,"YES","NO")</f>
        <v>YES</v>
      </c>
      <c r="AR204">
        <v>1</v>
      </c>
      <c r="AS204" t="str">
        <f>IF(Table1[[#This Row],[Fast food (Y/N)]]=1,"YES","NO")</f>
        <v>YES</v>
      </c>
      <c r="AT204">
        <v>0</v>
      </c>
      <c r="AU204" t="str">
        <f>IF(Table1[[#This Row],[Reg.Exercise(Y/N)]]=1,"YES","NO")</f>
        <v>NO</v>
      </c>
      <c r="AV204">
        <v>120</v>
      </c>
      <c r="AW204">
        <v>80</v>
      </c>
      <c r="AX204">
        <v>3</v>
      </c>
      <c r="AY204">
        <v>2</v>
      </c>
      <c r="AZ204">
        <v>12</v>
      </c>
      <c r="BA204">
        <v>14</v>
      </c>
      <c r="BB204">
        <v>9.9</v>
      </c>
      <c r="BC204" t="str" cm="1">
        <f t="array" ref="BC204">_xlfn.IFS((F204/(G204*G204)*10000)&lt; 18.5,"Underweight",(F204/(G204*G204)*10000)&lt;24.9,"Normal",(F204/(G204*G204)*10000)&lt;29.9,"Overweight",(F204/(G204*G204)*10000)&gt;=30,"obesity")</f>
        <v>obesity</v>
      </c>
      <c r="BD204">
        <f>Table1[[#This Row],[Follicle No. (L)]]+Table1[[#This Row],[Follicle No. (R)]]</f>
        <v>5</v>
      </c>
      <c r="BE204">
        <f>Table1[[#This Row],[Avg. F size (L) (mm)]]+Table1[[#This Row],[Avg. F size (R) (mm)]]</f>
        <v>26</v>
      </c>
      <c r="BF204">
        <f>Table1[[#This Row],[BP _Diastolic (mmHg)]]+(Table1[[#This Row],[BP _Diastolic (mmHg)]]+Table1[[#This Row],[Follicle No. (L)]])/3</f>
        <v>107.66666666666667</v>
      </c>
      <c r="BG204" s="4" t="str" cm="1">
        <f t="array" ref="BG20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04" s="4">
        <f>SUM(Table1[[#This Row],[Pimples(Y/N)]],Table1[[#This Row],[hair growth(Y/N)]],Table1[[#This Row],[Skin darkening (Y/N)]],Table1[[#This Row],[Hair loss(Y/N)]])</f>
        <v>4</v>
      </c>
      <c r="BI204" s="4" t="str">
        <f>IF(AND(Table1[[#This Row],[Pregnant(Y/N)]]=0, Table1[[#This Row],[  I   beta-HCG(mIU/mL)]]&gt;5), "Investigation Required", "Clear")</f>
        <v>Clear</v>
      </c>
    </row>
    <row r="205" spans="1:61" ht="15.75" customHeight="1" x14ac:dyDescent="0.25">
      <c r="A205">
        <v>204</v>
      </c>
      <c r="B205">
        <v>204</v>
      </c>
      <c r="C205">
        <v>1</v>
      </c>
      <c r="D205" t="str">
        <f>IF(Table1[[#This Row],[PCOS (Y/N)]]=0,"NO","YES")</f>
        <v>YES</v>
      </c>
      <c r="E205">
        <v>23</v>
      </c>
      <c r="F205">
        <v>49</v>
      </c>
      <c r="G205">
        <v>145</v>
      </c>
      <c r="H205">
        <v>14</v>
      </c>
      <c r="I205">
        <v>73</v>
      </c>
      <c r="J205">
        <v>18</v>
      </c>
      <c r="K205">
        <v>13.2</v>
      </c>
      <c r="L205">
        <v>4</v>
      </c>
      <c r="M205">
        <v>4</v>
      </c>
      <c r="N205">
        <v>4</v>
      </c>
      <c r="O205">
        <v>0</v>
      </c>
      <c r="P205" t="str">
        <f>IF(Table1[[#This Row],[Pregnant(Y/N)]]=1,"YES","NO")</f>
        <v>NO</v>
      </c>
      <c r="Q205">
        <v>0</v>
      </c>
      <c r="R205">
        <v>1.99</v>
      </c>
      <c r="S205">
        <v>1.99</v>
      </c>
      <c r="T205">
        <v>4.07</v>
      </c>
      <c r="U205">
        <v>2.59</v>
      </c>
      <c r="V205">
        <f>Table1[[#This Row],[FSH(mIU/mL)]]/Table1[[#This Row],[LH(mIU/mL)]]</f>
        <v>1.5714285714285716</v>
      </c>
      <c r="W205" t="str">
        <f>IF(Table1[[#This Row],[FSH/LH]]&gt;=2,"Abnormal","Normal")</f>
        <v>Normal</v>
      </c>
      <c r="X205">
        <v>36</v>
      </c>
      <c r="Y205">
        <v>34</v>
      </c>
      <c r="Z205">
        <f>ROUND(Table1[[#This Row],[Waist(inch)]]/Table1[[#This Row],[Hip(inch)]],2)</f>
        <v>0.94</v>
      </c>
      <c r="AA205">
        <v>2.04</v>
      </c>
      <c r="AB205">
        <v>5.61</v>
      </c>
      <c r="AC205">
        <v>10.220000000000001</v>
      </c>
      <c r="AD205">
        <v>15.36</v>
      </c>
      <c r="AE205" t="str">
        <f>IF(Table1[[#This Row],[Vit D3 (ng/mL)]]&lt;20,"Deficiency","Normal")</f>
        <v>Deficiency</v>
      </c>
      <c r="AF205">
        <v>0.79</v>
      </c>
      <c r="AG205">
        <v>108</v>
      </c>
      <c r="AH205">
        <v>1</v>
      </c>
      <c r="AI205" t="str">
        <f>IF(Table1[[#This Row],[Weight gain(Y/N)]]=0,"NO","YES")</f>
        <v>YES</v>
      </c>
      <c r="AJ205">
        <v>1</v>
      </c>
      <c r="AK205" t="str">
        <f>IF(Table1[[#This Row],[hair growth(Y/N)]]=1,"YES","NO")</f>
        <v>YES</v>
      </c>
      <c r="AL205">
        <v>0</v>
      </c>
      <c r="AM205" t="str">
        <f>IF(Table1[[#This Row],[Skin darkening (Y/N)]]=1,"YES","NO")</f>
        <v>NO</v>
      </c>
      <c r="AN205">
        <v>1</v>
      </c>
      <c r="AO205" t="str">
        <f>IF(Table1[[#This Row],[Hair loss(Y/N)]]=1,"YES","NO")</f>
        <v>YES</v>
      </c>
      <c r="AP205">
        <v>0</v>
      </c>
      <c r="AQ205" t="str">
        <f>IF(Table1[[#This Row],[Pimples(Y/N)]]=1,"YES","NO")</f>
        <v>NO</v>
      </c>
      <c r="AR205">
        <v>1</v>
      </c>
      <c r="AS205" t="str">
        <f>IF(Table1[[#This Row],[Fast food (Y/N)]]=1,"YES","NO")</f>
        <v>YES</v>
      </c>
      <c r="AT205">
        <v>0</v>
      </c>
      <c r="AU205" t="str">
        <f>IF(Table1[[#This Row],[Reg.Exercise(Y/N)]]=1,"YES","NO")</f>
        <v>NO</v>
      </c>
      <c r="AV205">
        <v>110</v>
      </c>
      <c r="AW205">
        <v>80</v>
      </c>
      <c r="AX205">
        <v>14</v>
      </c>
      <c r="AY205">
        <v>16</v>
      </c>
      <c r="AZ205">
        <v>17</v>
      </c>
      <c r="BA205">
        <v>15</v>
      </c>
      <c r="BB205">
        <v>10.6</v>
      </c>
      <c r="BC205" t="str" cm="1">
        <f t="array" ref="BC205">_xlfn.IFS((F205/(G205*G205)*10000)&lt; 18.5,"Underweight",(F205/(G205*G205)*10000)&lt;24.9,"Normal",(F205/(G205*G205)*10000)&lt;29.9,"Overweight",(F205/(G205*G205)*10000)&gt;=30,"obesity")</f>
        <v>Normal</v>
      </c>
      <c r="BD205">
        <f>Table1[[#This Row],[Follicle No. (L)]]+Table1[[#This Row],[Follicle No. (R)]]</f>
        <v>30</v>
      </c>
      <c r="BE205">
        <f>Table1[[#This Row],[Avg. F size (L) (mm)]]+Table1[[#This Row],[Avg. F size (R) (mm)]]</f>
        <v>32</v>
      </c>
      <c r="BF205">
        <f>Table1[[#This Row],[BP _Diastolic (mmHg)]]+(Table1[[#This Row],[BP _Diastolic (mmHg)]]+Table1[[#This Row],[Follicle No. (L)]])/3</f>
        <v>111.33333333333333</v>
      </c>
      <c r="BG205" s="4" t="str" cm="1">
        <f t="array" ref="BG20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05" s="4">
        <f>SUM(Table1[[#This Row],[Pimples(Y/N)]],Table1[[#This Row],[hair growth(Y/N)]],Table1[[#This Row],[Skin darkening (Y/N)]],Table1[[#This Row],[Hair loss(Y/N)]])</f>
        <v>2</v>
      </c>
      <c r="BI205" s="4" t="str">
        <f>IF(AND(Table1[[#This Row],[Pregnant(Y/N)]]=0, Table1[[#This Row],[  I   beta-HCG(mIU/mL)]]&gt;5), "Investigation Required", "Clear")</f>
        <v>Clear</v>
      </c>
    </row>
    <row r="206" spans="1:61" ht="15.75" customHeight="1" x14ac:dyDescent="0.25">
      <c r="A206">
        <v>205</v>
      </c>
      <c r="B206">
        <v>205</v>
      </c>
      <c r="C206">
        <v>0</v>
      </c>
      <c r="D206" t="str">
        <f>IF(Table1[[#This Row],[PCOS (Y/N)]]=0,"NO","YES")</f>
        <v>NO</v>
      </c>
      <c r="E206">
        <v>30</v>
      </c>
      <c r="F206">
        <v>55</v>
      </c>
      <c r="G206">
        <v>162</v>
      </c>
      <c r="H206">
        <v>12</v>
      </c>
      <c r="I206">
        <v>72</v>
      </c>
      <c r="J206">
        <v>18</v>
      </c>
      <c r="K206">
        <v>11.2</v>
      </c>
      <c r="L206">
        <v>2</v>
      </c>
      <c r="M206">
        <v>6</v>
      </c>
      <c r="N206">
        <v>10</v>
      </c>
      <c r="O206">
        <v>0</v>
      </c>
      <c r="P206" t="str">
        <f>IF(Table1[[#This Row],[Pregnant(Y/N)]]=1,"YES","NO")</f>
        <v>NO</v>
      </c>
      <c r="Q206">
        <v>0</v>
      </c>
      <c r="R206">
        <v>4.5999999999999996</v>
      </c>
      <c r="S206">
        <v>2.8</v>
      </c>
      <c r="T206">
        <v>6.06</v>
      </c>
      <c r="U206">
        <v>3.79</v>
      </c>
      <c r="V206">
        <f>Table1[[#This Row],[FSH(mIU/mL)]]/Table1[[#This Row],[LH(mIU/mL)]]</f>
        <v>1.5989445910290236</v>
      </c>
      <c r="W206" t="str">
        <f>IF(Table1[[#This Row],[FSH/LH]]&gt;=2,"Abnormal","Normal")</f>
        <v>Normal</v>
      </c>
      <c r="X206">
        <v>37</v>
      </c>
      <c r="Y206">
        <v>35</v>
      </c>
      <c r="Z206">
        <f>ROUND(Table1[[#This Row],[Waist(inch)]]/Table1[[#This Row],[Hip(inch)]],2)</f>
        <v>0.95</v>
      </c>
      <c r="AA206">
        <v>2.2599999999999998</v>
      </c>
      <c r="AB206">
        <v>3.02</v>
      </c>
      <c r="AC206">
        <v>30.71</v>
      </c>
      <c r="AD206">
        <v>48.63</v>
      </c>
      <c r="AE206" t="str">
        <f>IF(Table1[[#This Row],[Vit D3 (ng/mL)]]&lt;20,"Deficiency","Normal")</f>
        <v>Normal</v>
      </c>
      <c r="AF206">
        <v>0.41</v>
      </c>
      <c r="AG206">
        <v>91</v>
      </c>
      <c r="AH206">
        <v>0</v>
      </c>
      <c r="AI206" t="str">
        <f>IF(Table1[[#This Row],[Weight gain(Y/N)]]=0,"NO","YES")</f>
        <v>NO</v>
      </c>
      <c r="AJ206">
        <v>0</v>
      </c>
      <c r="AK206" t="str">
        <f>IF(Table1[[#This Row],[hair growth(Y/N)]]=1,"YES","NO")</f>
        <v>NO</v>
      </c>
      <c r="AL206">
        <v>0</v>
      </c>
      <c r="AM206" t="str">
        <f>IF(Table1[[#This Row],[Skin darkening (Y/N)]]=1,"YES","NO")</f>
        <v>NO</v>
      </c>
      <c r="AN206">
        <v>1</v>
      </c>
      <c r="AO206" t="str">
        <f>IF(Table1[[#This Row],[Hair loss(Y/N)]]=1,"YES","NO")</f>
        <v>YES</v>
      </c>
      <c r="AP206">
        <v>1</v>
      </c>
      <c r="AQ206" t="str">
        <f>IF(Table1[[#This Row],[Pimples(Y/N)]]=1,"YES","NO")</f>
        <v>YES</v>
      </c>
      <c r="AR206">
        <v>1</v>
      </c>
      <c r="AS206" t="str">
        <f>IF(Table1[[#This Row],[Fast food (Y/N)]]=1,"YES","NO")</f>
        <v>YES</v>
      </c>
      <c r="AT206">
        <v>1</v>
      </c>
      <c r="AU206" t="str">
        <f>IF(Table1[[#This Row],[Reg.Exercise(Y/N)]]=1,"YES","NO")</f>
        <v>YES</v>
      </c>
      <c r="AV206">
        <v>120</v>
      </c>
      <c r="AW206">
        <v>70</v>
      </c>
      <c r="AX206">
        <v>5</v>
      </c>
      <c r="AY206">
        <v>6</v>
      </c>
      <c r="AZ206">
        <v>12</v>
      </c>
      <c r="BA206">
        <v>15</v>
      </c>
      <c r="BB206">
        <v>8.5</v>
      </c>
      <c r="BC206" t="str" cm="1">
        <f t="array" ref="BC206">_xlfn.IFS((F206/(G206*G206)*10000)&lt; 18.5,"Underweight",(F206/(G206*G206)*10000)&lt;24.9,"Normal",(F206/(G206*G206)*10000)&lt;29.9,"Overweight",(F206/(G206*G206)*10000)&gt;=30,"obesity")</f>
        <v>Normal</v>
      </c>
      <c r="BD206">
        <f>Table1[[#This Row],[Follicle No. (L)]]+Table1[[#This Row],[Follicle No. (R)]]</f>
        <v>11</v>
      </c>
      <c r="BE206">
        <f>Table1[[#This Row],[Avg. F size (L) (mm)]]+Table1[[#This Row],[Avg. F size (R) (mm)]]</f>
        <v>27</v>
      </c>
      <c r="BF206">
        <f>Table1[[#This Row],[BP _Diastolic (mmHg)]]+(Table1[[#This Row],[BP _Diastolic (mmHg)]]+Table1[[#This Row],[Follicle No. (L)]])/3</f>
        <v>95</v>
      </c>
      <c r="BG206" s="4" t="str" cm="1">
        <f t="array" ref="BG20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06" s="4">
        <f>SUM(Table1[[#This Row],[Pimples(Y/N)]],Table1[[#This Row],[hair growth(Y/N)]],Table1[[#This Row],[Skin darkening (Y/N)]],Table1[[#This Row],[Hair loss(Y/N)]])</f>
        <v>2</v>
      </c>
      <c r="BI206" s="4" t="str">
        <f>IF(AND(Table1[[#This Row],[Pregnant(Y/N)]]=0, Table1[[#This Row],[  I   beta-HCG(mIU/mL)]]&gt;5), "Investigation Required", "Clear")</f>
        <v>Clear</v>
      </c>
    </row>
    <row r="207" spans="1:61" ht="15.75" customHeight="1" x14ac:dyDescent="0.25">
      <c r="A207">
        <v>206</v>
      </c>
      <c r="B207">
        <v>206</v>
      </c>
      <c r="C207">
        <v>1</v>
      </c>
      <c r="D207" t="str">
        <f>IF(Table1[[#This Row],[PCOS (Y/N)]]=0,"NO","YES")</f>
        <v>YES</v>
      </c>
      <c r="E207">
        <v>28</v>
      </c>
      <c r="F207">
        <v>62</v>
      </c>
      <c r="G207">
        <v>160</v>
      </c>
      <c r="H207">
        <v>15</v>
      </c>
      <c r="I207">
        <v>73</v>
      </c>
      <c r="J207">
        <v>18</v>
      </c>
      <c r="K207">
        <v>12</v>
      </c>
      <c r="L207">
        <v>4</v>
      </c>
      <c r="M207">
        <v>5</v>
      </c>
      <c r="N207">
        <v>7</v>
      </c>
      <c r="O207">
        <v>0</v>
      </c>
      <c r="P207" t="str">
        <f>IF(Table1[[#This Row],[Pregnant(Y/N)]]=1,"YES","NO")</f>
        <v>NO</v>
      </c>
      <c r="Q207">
        <v>0</v>
      </c>
      <c r="R207">
        <v>2.1</v>
      </c>
      <c r="S207">
        <v>1.99</v>
      </c>
      <c r="T207">
        <v>3.44</v>
      </c>
      <c r="U207">
        <v>0.77</v>
      </c>
      <c r="V207">
        <f>Table1[[#This Row],[FSH(mIU/mL)]]/Table1[[#This Row],[LH(mIU/mL)]]</f>
        <v>4.4675324675324672</v>
      </c>
      <c r="W207" t="str">
        <f>IF(Table1[[#This Row],[FSH/LH]]&gt;=2,"Abnormal","Normal")</f>
        <v>Abnormal</v>
      </c>
      <c r="X207">
        <v>39</v>
      </c>
      <c r="Y207">
        <v>35</v>
      </c>
      <c r="Z207">
        <f>ROUND(Table1[[#This Row],[Waist(inch)]]/Table1[[#This Row],[Hip(inch)]],2)</f>
        <v>0.9</v>
      </c>
      <c r="AA207">
        <v>0.75</v>
      </c>
      <c r="AB207">
        <v>5.25</v>
      </c>
      <c r="AC207">
        <v>23.12</v>
      </c>
      <c r="AD207">
        <v>43.68</v>
      </c>
      <c r="AE207" t="str">
        <f>IF(Table1[[#This Row],[Vit D3 (ng/mL)]]&lt;20,"Deficiency","Normal")</f>
        <v>Normal</v>
      </c>
      <c r="AF207">
        <v>0.32</v>
      </c>
      <c r="AG207">
        <v>140</v>
      </c>
      <c r="AH207">
        <v>1</v>
      </c>
      <c r="AI207" t="str">
        <f>IF(Table1[[#This Row],[Weight gain(Y/N)]]=0,"NO","YES")</f>
        <v>YES</v>
      </c>
      <c r="AJ207">
        <v>1</v>
      </c>
      <c r="AK207" t="str">
        <f>IF(Table1[[#This Row],[hair growth(Y/N)]]=1,"YES","NO")</f>
        <v>YES</v>
      </c>
      <c r="AL207">
        <v>1</v>
      </c>
      <c r="AM207" t="str">
        <f>IF(Table1[[#This Row],[Skin darkening (Y/N)]]=1,"YES","NO")</f>
        <v>YES</v>
      </c>
      <c r="AN207">
        <v>0</v>
      </c>
      <c r="AO207" t="str">
        <f>IF(Table1[[#This Row],[Hair loss(Y/N)]]=1,"YES","NO")</f>
        <v>NO</v>
      </c>
      <c r="AP207">
        <v>1</v>
      </c>
      <c r="AQ207" t="str">
        <f>IF(Table1[[#This Row],[Pimples(Y/N)]]=1,"YES","NO")</f>
        <v>YES</v>
      </c>
      <c r="AR207">
        <v>1</v>
      </c>
      <c r="AS207" t="str">
        <f>IF(Table1[[#This Row],[Fast food (Y/N)]]=1,"YES","NO")</f>
        <v>YES</v>
      </c>
      <c r="AT207">
        <v>1</v>
      </c>
      <c r="AU207" t="str">
        <f>IF(Table1[[#This Row],[Reg.Exercise(Y/N)]]=1,"YES","NO")</f>
        <v>YES</v>
      </c>
      <c r="AV207">
        <v>110</v>
      </c>
      <c r="AW207">
        <v>80</v>
      </c>
      <c r="AX207">
        <v>15</v>
      </c>
      <c r="AY207">
        <v>18</v>
      </c>
      <c r="AZ207">
        <v>15</v>
      </c>
      <c r="BA207">
        <v>19</v>
      </c>
      <c r="BB207">
        <v>8</v>
      </c>
      <c r="BC207" t="str" cm="1">
        <f t="array" ref="BC207">_xlfn.IFS((F207/(G207*G207)*10000)&lt; 18.5,"Underweight",(F207/(G207*G207)*10000)&lt;24.9,"Normal",(F207/(G207*G207)*10000)&lt;29.9,"Overweight",(F207/(G207*G207)*10000)&gt;=30,"obesity")</f>
        <v>Normal</v>
      </c>
      <c r="BD207">
        <f>Table1[[#This Row],[Follicle No. (L)]]+Table1[[#This Row],[Follicle No. (R)]]</f>
        <v>33</v>
      </c>
      <c r="BE207">
        <f>Table1[[#This Row],[Avg. F size (L) (mm)]]+Table1[[#This Row],[Avg. F size (R) (mm)]]</f>
        <v>34</v>
      </c>
      <c r="BF207">
        <f>Table1[[#This Row],[BP _Diastolic (mmHg)]]+(Table1[[#This Row],[BP _Diastolic (mmHg)]]+Table1[[#This Row],[Follicle No. (L)]])/3</f>
        <v>111.66666666666667</v>
      </c>
      <c r="BG207" s="4" t="str" cm="1">
        <f t="array" ref="BG20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07" s="4">
        <f>SUM(Table1[[#This Row],[Pimples(Y/N)]],Table1[[#This Row],[hair growth(Y/N)]],Table1[[#This Row],[Skin darkening (Y/N)]],Table1[[#This Row],[Hair loss(Y/N)]])</f>
        <v>3</v>
      </c>
      <c r="BI207" s="4" t="str">
        <f>IF(AND(Table1[[#This Row],[Pregnant(Y/N)]]=0, Table1[[#This Row],[  I   beta-HCG(mIU/mL)]]&gt;5), "Investigation Required", "Clear")</f>
        <v>Clear</v>
      </c>
    </row>
    <row r="208" spans="1:61" ht="15.75" customHeight="1" x14ac:dyDescent="0.25">
      <c r="A208">
        <v>207</v>
      </c>
      <c r="B208">
        <v>207</v>
      </c>
      <c r="C208">
        <v>1</v>
      </c>
      <c r="D208" t="str">
        <f>IF(Table1[[#This Row],[PCOS (Y/N)]]=0,"NO","YES")</f>
        <v>YES</v>
      </c>
      <c r="E208">
        <v>24</v>
      </c>
      <c r="F208">
        <v>83</v>
      </c>
      <c r="G208">
        <v>161</v>
      </c>
      <c r="H208">
        <v>15</v>
      </c>
      <c r="I208">
        <v>75</v>
      </c>
      <c r="J208">
        <v>18</v>
      </c>
      <c r="K208">
        <v>12.6</v>
      </c>
      <c r="L208">
        <v>4</v>
      </c>
      <c r="M208">
        <v>4</v>
      </c>
      <c r="N208">
        <v>2.5</v>
      </c>
      <c r="O208">
        <v>0</v>
      </c>
      <c r="P208" t="str">
        <f>IF(Table1[[#This Row],[Pregnant(Y/N)]]=1,"YES","NO")</f>
        <v>NO</v>
      </c>
      <c r="Q208">
        <v>0</v>
      </c>
      <c r="R208">
        <v>2.5</v>
      </c>
      <c r="S208">
        <v>1.99</v>
      </c>
      <c r="T208">
        <v>3.3</v>
      </c>
      <c r="U208">
        <v>0.79</v>
      </c>
      <c r="V208">
        <f>Table1[[#This Row],[FSH(mIU/mL)]]/Table1[[#This Row],[LH(mIU/mL)]]</f>
        <v>4.1772151898734169</v>
      </c>
      <c r="W208" t="str">
        <f>IF(Table1[[#This Row],[FSH/LH]]&gt;=2,"Abnormal","Normal")</f>
        <v>Abnormal</v>
      </c>
      <c r="X208">
        <v>42</v>
      </c>
      <c r="Y208">
        <v>38</v>
      </c>
      <c r="Z208">
        <f>ROUND(Table1[[#This Row],[Waist(inch)]]/Table1[[#This Row],[Hip(inch)]],2)</f>
        <v>0.9</v>
      </c>
      <c r="AA208">
        <v>2.59</v>
      </c>
      <c r="AB208">
        <v>2.38</v>
      </c>
      <c r="AC208">
        <v>30.33</v>
      </c>
      <c r="AD208">
        <v>63.1</v>
      </c>
      <c r="AE208" t="str">
        <f>IF(Table1[[#This Row],[Vit D3 (ng/mL)]]&lt;20,"Deficiency","Normal")</f>
        <v>Normal</v>
      </c>
      <c r="AF208">
        <v>0.32</v>
      </c>
      <c r="AG208">
        <v>110</v>
      </c>
      <c r="AH208">
        <v>1</v>
      </c>
      <c r="AI208" t="str">
        <f>IF(Table1[[#This Row],[Weight gain(Y/N)]]=0,"NO","YES")</f>
        <v>YES</v>
      </c>
      <c r="AJ208">
        <v>1</v>
      </c>
      <c r="AK208" t="str">
        <f>IF(Table1[[#This Row],[hair growth(Y/N)]]=1,"YES","NO")</f>
        <v>YES</v>
      </c>
      <c r="AL208">
        <v>1</v>
      </c>
      <c r="AM208" t="str">
        <f>IF(Table1[[#This Row],[Skin darkening (Y/N)]]=1,"YES","NO")</f>
        <v>YES</v>
      </c>
      <c r="AN208">
        <v>1</v>
      </c>
      <c r="AO208" t="str">
        <f>IF(Table1[[#This Row],[Hair loss(Y/N)]]=1,"YES","NO")</f>
        <v>YES</v>
      </c>
      <c r="AP208">
        <v>1</v>
      </c>
      <c r="AQ208" t="str">
        <f>IF(Table1[[#This Row],[Pimples(Y/N)]]=1,"YES","NO")</f>
        <v>YES</v>
      </c>
      <c r="AR208">
        <v>1</v>
      </c>
      <c r="AS208" t="str">
        <f>IF(Table1[[#This Row],[Fast food (Y/N)]]=1,"YES","NO")</f>
        <v>YES</v>
      </c>
      <c r="AT208">
        <v>0</v>
      </c>
      <c r="AU208" t="str">
        <f>IF(Table1[[#This Row],[Reg.Exercise(Y/N)]]=1,"YES","NO")</f>
        <v>NO</v>
      </c>
      <c r="AV208">
        <v>120</v>
      </c>
      <c r="AW208">
        <v>80</v>
      </c>
      <c r="AX208">
        <v>16</v>
      </c>
      <c r="AY208">
        <v>15</v>
      </c>
      <c r="AZ208">
        <v>12</v>
      </c>
      <c r="BA208">
        <v>14</v>
      </c>
      <c r="BB208">
        <v>5.5</v>
      </c>
      <c r="BC208" t="str" cm="1">
        <f t="array" ref="BC208">_xlfn.IFS((F208/(G208*G208)*10000)&lt; 18.5,"Underweight",(F208/(G208*G208)*10000)&lt;24.9,"Normal",(F208/(G208*G208)*10000)&lt;29.9,"Overweight",(F208/(G208*G208)*10000)&gt;=30,"obesity")</f>
        <v>obesity</v>
      </c>
      <c r="BD208">
        <f>Table1[[#This Row],[Follicle No. (L)]]+Table1[[#This Row],[Follicle No. (R)]]</f>
        <v>31</v>
      </c>
      <c r="BE208">
        <f>Table1[[#This Row],[Avg. F size (L) (mm)]]+Table1[[#This Row],[Avg. F size (R) (mm)]]</f>
        <v>26</v>
      </c>
      <c r="BF208">
        <f>Table1[[#This Row],[BP _Diastolic (mmHg)]]+(Table1[[#This Row],[BP _Diastolic (mmHg)]]+Table1[[#This Row],[Follicle No. (L)]])/3</f>
        <v>112</v>
      </c>
      <c r="BG208" s="4" t="str" cm="1">
        <f t="array" ref="BG20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08" s="4">
        <f>SUM(Table1[[#This Row],[Pimples(Y/N)]],Table1[[#This Row],[hair growth(Y/N)]],Table1[[#This Row],[Skin darkening (Y/N)]],Table1[[#This Row],[Hair loss(Y/N)]])</f>
        <v>4</v>
      </c>
      <c r="BI208" s="4" t="str">
        <f>IF(AND(Table1[[#This Row],[Pregnant(Y/N)]]=0, Table1[[#This Row],[  I   beta-HCG(mIU/mL)]]&gt;5), "Investigation Required", "Clear")</f>
        <v>Clear</v>
      </c>
    </row>
    <row r="209" spans="1:61" ht="15.75" customHeight="1" x14ac:dyDescent="0.25">
      <c r="A209">
        <v>208</v>
      </c>
      <c r="B209">
        <v>208</v>
      </c>
      <c r="C209">
        <v>0</v>
      </c>
      <c r="D209" t="str">
        <f>IF(Table1[[#This Row],[PCOS (Y/N)]]=0,"NO","YES")</f>
        <v>NO</v>
      </c>
      <c r="E209">
        <v>32</v>
      </c>
      <c r="F209">
        <v>60</v>
      </c>
      <c r="G209">
        <v>145</v>
      </c>
      <c r="H209">
        <v>15</v>
      </c>
      <c r="I209">
        <v>73</v>
      </c>
      <c r="J209">
        <v>18</v>
      </c>
      <c r="K209">
        <v>11.2</v>
      </c>
      <c r="L209">
        <v>4</v>
      </c>
      <c r="M209">
        <v>5</v>
      </c>
      <c r="N209">
        <v>12</v>
      </c>
      <c r="O209">
        <v>1</v>
      </c>
      <c r="P209" t="str">
        <f>IF(Table1[[#This Row],[Pregnant(Y/N)]]=1,"YES","NO")</f>
        <v>YES</v>
      </c>
      <c r="Q209">
        <v>2</v>
      </c>
      <c r="R209">
        <v>2054.3000000000002</v>
      </c>
      <c r="S209">
        <v>588.70000000000005</v>
      </c>
      <c r="T209">
        <v>2.4700000000000002</v>
      </c>
      <c r="U209">
        <v>1.43</v>
      </c>
      <c r="V209">
        <f>Table1[[#This Row],[FSH(mIU/mL)]]/Table1[[#This Row],[LH(mIU/mL)]]</f>
        <v>1.7272727272727275</v>
      </c>
      <c r="W209" t="str">
        <f>IF(Table1[[#This Row],[FSH/LH]]&gt;=2,"Abnormal","Normal")</f>
        <v>Normal</v>
      </c>
      <c r="X209">
        <v>37</v>
      </c>
      <c r="Y209">
        <v>34</v>
      </c>
      <c r="Z209">
        <f>ROUND(Table1[[#This Row],[Waist(inch)]]/Table1[[#This Row],[Hip(inch)]],2)</f>
        <v>0.92</v>
      </c>
      <c r="AA209">
        <v>3.64</v>
      </c>
      <c r="AB209">
        <v>7</v>
      </c>
      <c r="AC209">
        <v>11.76</v>
      </c>
      <c r="AD209">
        <v>87.2</v>
      </c>
      <c r="AE209" t="str">
        <f>IF(Table1[[#This Row],[Vit D3 (ng/mL)]]&lt;20,"Deficiency","Normal")</f>
        <v>Normal</v>
      </c>
      <c r="AF209">
        <v>0.25</v>
      </c>
      <c r="AG209">
        <v>108</v>
      </c>
      <c r="AH209">
        <v>1</v>
      </c>
      <c r="AI209" t="str">
        <f>IF(Table1[[#This Row],[Weight gain(Y/N)]]=0,"NO","YES")</f>
        <v>YES</v>
      </c>
      <c r="AJ209">
        <v>0</v>
      </c>
      <c r="AK209" t="str">
        <f>IF(Table1[[#This Row],[hair growth(Y/N)]]=1,"YES","NO")</f>
        <v>NO</v>
      </c>
      <c r="AL209">
        <v>0</v>
      </c>
      <c r="AM209" t="str">
        <f>IF(Table1[[#This Row],[Skin darkening (Y/N)]]=1,"YES","NO")</f>
        <v>NO</v>
      </c>
      <c r="AN209">
        <v>1</v>
      </c>
      <c r="AO209" t="str">
        <f>IF(Table1[[#This Row],[Hair loss(Y/N)]]=1,"YES","NO")</f>
        <v>YES</v>
      </c>
      <c r="AP209">
        <v>1</v>
      </c>
      <c r="AQ209" t="str">
        <f>IF(Table1[[#This Row],[Pimples(Y/N)]]=1,"YES","NO")</f>
        <v>YES</v>
      </c>
      <c r="AR209">
        <v>0</v>
      </c>
      <c r="AS209" t="str">
        <f>IF(Table1[[#This Row],[Fast food (Y/N)]]=1,"YES","NO")</f>
        <v>NO</v>
      </c>
      <c r="AT209">
        <v>0</v>
      </c>
      <c r="AU209" t="str">
        <f>IF(Table1[[#This Row],[Reg.Exercise(Y/N)]]=1,"YES","NO")</f>
        <v>NO</v>
      </c>
      <c r="AV209">
        <v>120</v>
      </c>
      <c r="AW209">
        <v>80</v>
      </c>
      <c r="AX209">
        <v>3</v>
      </c>
      <c r="AY209">
        <v>4</v>
      </c>
      <c r="AZ209">
        <v>14</v>
      </c>
      <c r="BA209">
        <v>12</v>
      </c>
      <c r="BB209">
        <v>7.5</v>
      </c>
      <c r="BC209" t="str" cm="1">
        <f t="array" ref="BC209">_xlfn.IFS((F209/(G209*G209)*10000)&lt; 18.5,"Underweight",(F209/(G209*G209)*10000)&lt;24.9,"Normal",(F209/(G209*G209)*10000)&lt;29.9,"Overweight",(F209/(G209*G209)*10000)&gt;=30,"obesity")</f>
        <v>Overweight</v>
      </c>
      <c r="BD209">
        <f>Table1[[#This Row],[Follicle No. (L)]]+Table1[[#This Row],[Follicle No. (R)]]</f>
        <v>7</v>
      </c>
      <c r="BE209">
        <f>Table1[[#This Row],[Avg. F size (L) (mm)]]+Table1[[#This Row],[Avg. F size (R) (mm)]]</f>
        <v>26</v>
      </c>
      <c r="BF209">
        <f>Table1[[#This Row],[BP _Diastolic (mmHg)]]+(Table1[[#This Row],[BP _Diastolic (mmHg)]]+Table1[[#This Row],[Follicle No. (L)]])/3</f>
        <v>107.66666666666667</v>
      </c>
      <c r="BG209" s="4" t="str" cm="1">
        <f t="array" ref="BG20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09" s="4">
        <f>SUM(Table1[[#This Row],[Pimples(Y/N)]],Table1[[#This Row],[hair growth(Y/N)]],Table1[[#This Row],[Skin darkening (Y/N)]],Table1[[#This Row],[Hair loss(Y/N)]])</f>
        <v>2</v>
      </c>
      <c r="BI209" s="4" t="str">
        <f>IF(AND(Table1[[#This Row],[Pregnant(Y/N)]]=0, Table1[[#This Row],[  I   beta-HCG(mIU/mL)]]&gt;5), "Investigation Required", "Clear")</f>
        <v>Clear</v>
      </c>
    </row>
    <row r="210" spans="1:61" ht="15.75" customHeight="1" x14ac:dyDescent="0.25">
      <c r="A210">
        <v>209</v>
      </c>
      <c r="B210">
        <v>209</v>
      </c>
      <c r="C210">
        <v>0</v>
      </c>
      <c r="D210" t="str">
        <f>IF(Table1[[#This Row],[PCOS (Y/N)]]=0,"NO","YES")</f>
        <v>NO</v>
      </c>
      <c r="E210">
        <v>27</v>
      </c>
      <c r="F210">
        <v>51</v>
      </c>
      <c r="G210">
        <v>150</v>
      </c>
      <c r="H210">
        <v>13</v>
      </c>
      <c r="I210">
        <v>72</v>
      </c>
      <c r="J210">
        <v>18</v>
      </c>
      <c r="K210">
        <v>12.01</v>
      </c>
      <c r="L210">
        <v>2</v>
      </c>
      <c r="M210">
        <v>6</v>
      </c>
      <c r="N210">
        <v>7</v>
      </c>
      <c r="O210">
        <v>1</v>
      </c>
      <c r="P210" t="str">
        <f>IF(Table1[[#This Row],[Pregnant(Y/N)]]=1,"YES","NO")</f>
        <v>YES</v>
      </c>
      <c r="Q210">
        <v>0</v>
      </c>
      <c r="R210">
        <v>147.6</v>
      </c>
      <c r="S210">
        <v>147.6</v>
      </c>
      <c r="T210">
        <v>5.79</v>
      </c>
      <c r="U210">
        <v>3.57</v>
      </c>
      <c r="V210">
        <f>Table1[[#This Row],[FSH(mIU/mL)]]/Table1[[#This Row],[LH(mIU/mL)]]</f>
        <v>1.6218487394957983</v>
      </c>
      <c r="W210" t="str">
        <f>IF(Table1[[#This Row],[FSH/LH]]&gt;=2,"Abnormal","Normal")</f>
        <v>Normal</v>
      </c>
      <c r="X210">
        <v>36</v>
      </c>
      <c r="Y210">
        <v>33</v>
      </c>
      <c r="Z210">
        <f>ROUND(Table1[[#This Row],[Waist(inch)]]/Table1[[#This Row],[Hip(inch)]],2)</f>
        <v>0.92</v>
      </c>
      <c r="AA210">
        <v>1.22</v>
      </c>
      <c r="AB210">
        <v>3.17</v>
      </c>
      <c r="AC210">
        <v>25.04</v>
      </c>
      <c r="AD210">
        <v>90</v>
      </c>
      <c r="AE210" t="str">
        <f>IF(Table1[[#This Row],[Vit D3 (ng/mL)]]&lt;20,"Deficiency","Normal")</f>
        <v>Normal</v>
      </c>
      <c r="AF210">
        <v>0.66</v>
      </c>
      <c r="AG210">
        <v>84</v>
      </c>
      <c r="AH210">
        <v>0</v>
      </c>
      <c r="AI210" t="str">
        <f>IF(Table1[[#This Row],[Weight gain(Y/N)]]=0,"NO","YES")</f>
        <v>NO</v>
      </c>
      <c r="AJ210">
        <v>0</v>
      </c>
      <c r="AK210" t="str">
        <f>IF(Table1[[#This Row],[hair growth(Y/N)]]=1,"YES","NO")</f>
        <v>NO</v>
      </c>
      <c r="AL210">
        <v>0</v>
      </c>
      <c r="AM210" t="str">
        <f>IF(Table1[[#This Row],[Skin darkening (Y/N)]]=1,"YES","NO")</f>
        <v>NO</v>
      </c>
      <c r="AN210">
        <v>1</v>
      </c>
      <c r="AO210" t="str">
        <f>IF(Table1[[#This Row],[Hair loss(Y/N)]]=1,"YES","NO")</f>
        <v>YES</v>
      </c>
      <c r="AP210">
        <v>1</v>
      </c>
      <c r="AQ210" t="str">
        <f>IF(Table1[[#This Row],[Pimples(Y/N)]]=1,"YES","NO")</f>
        <v>YES</v>
      </c>
      <c r="AR210">
        <v>0</v>
      </c>
      <c r="AS210" t="str">
        <f>IF(Table1[[#This Row],[Fast food (Y/N)]]=1,"YES","NO")</f>
        <v>NO</v>
      </c>
      <c r="AT210">
        <v>0</v>
      </c>
      <c r="AU210" t="str">
        <f>IF(Table1[[#This Row],[Reg.Exercise(Y/N)]]=1,"YES","NO")</f>
        <v>NO</v>
      </c>
      <c r="AV210">
        <v>110</v>
      </c>
      <c r="AW210">
        <v>80</v>
      </c>
      <c r="AX210">
        <v>5</v>
      </c>
      <c r="AY210">
        <v>7</v>
      </c>
      <c r="AZ210">
        <v>12</v>
      </c>
      <c r="BA210">
        <v>13</v>
      </c>
      <c r="BB210">
        <v>6.5</v>
      </c>
      <c r="BC210" t="str" cm="1">
        <f t="array" ref="BC210">_xlfn.IFS((F210/(G210*G210)*10000)&lt; 18.5,"Underweight",(F210/(G210*G210)*10000)&lt;24.9,"Normal",(F210/(G210*G210)*10000)&lt;29.9,"Overweight",(F210/(G210*G210)*10000)&gt;=30,"obesity")</f>
        <v>Normal</v>
      </c>
      <c r="BD210">
        <f>Table1[[#This Row],[Follicle No. (L)]]+Table1[[#This Row],[Follicle No. (R)]]</f>
        <v>12</v>
      </c>
      <c r="BE210">
        <f>Table1[[#This Row],[Avg. F size (L) (mm)]]+Table1[[#This Row],[Avg. F size (R) (mm)]]</f>
        <v>25</v>
      </c>
      <c r="BF210">
        <f>Table1[[#This Row],[BP _Diastolic (mmHg)]]+(Table1[[#This Row],[BP _Diastolic (mmHg)]]+Table1[[#This Row],[Follicle No. (L)]])/3</f>
        <v>108.33333333333333</v>
      </c>
      <c r="BG210" s="4" t="str" cm="1">
        <f t="array" ref="BG21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10" s="4">
        <f>SUM(Table1[[#This Row],[Pimples(Y/N)]],Table1[[#This Row],[hair growth(Y/N)]],Table1[[#This Row],[Skin darkening (Y/N)]],Table1[[#This Row],[Hair loss(Y/N)]])</f>
        <v>2</v>
      </c>
      <c r="BI210" s="4" t="str">
        <f>IF(AND(Table1[[#This Row],[Pregnant(Y/N)]]=0, Table1[[#This Row],[  I   beta-HCG(mIU/mL)]]&gt;5), "Investigation Required", "Clear")</f>
        <v>Clear</v>
      </c>
    </row>
    <row r="211" spans="1:61" ht="15.75" customHeight="1" x14ac:dyDescent="0.25">
      <c r="A211">
        <v>210</v>
      </c>
      <c r="B211">
        <v>210</v>
      </c>
      <c r="C211">
        <v>1</v>
      </c>
      <c r="D211" t="str">
        <f>IF(Table1[[#This Row],[PCOS (Y/N)]]=0,"NO","YES")</f>
        <v>YES</v>
      </c>
      <c r="E211">
        <v>35</v>
      </c>
      <c r="F211">
        <v>62</v>
      </c>
      <c r="G211">
        <v>146</v>
      </c>
      <c r="H211">
        <v>17</v>
      </c>
      <c r="I211">
        <v>74</v>
      </c>
      <c r="J211">
        <v>20</v>
      </c>
      <c r="K211">
        <v>13.4</v>
      </c>
      <c r="L211">
        <v>4</v>
      </c>
      <c r="M211">
        <v>4</v>
      </c>
      <c r="N211">
        <v>12</v>
      </c>
      <c r="O211">
        <v>0</v>
      </c>
      <c r="P211" t="str">
        <f>IF(Table1[[#This Row],[Pregnant(Y/N)]]=1,"YES","NO")</f>
        <v>NO</v>
      </c>
      <c r="Q211">
        <v>1</v>
      </c>
      <c r="R211">
        <v>1.99</v>
      </c>
      <c r="S211">
        <v>1.99</v>
      </c>
      <c r="T211">
        <v>1.59</v>
      </c>
      <c r="U211">
        <v>0.6</v>
      </c>
      <c r="V211">
        <f>Table1[[#This Row],[FSH(mIU/mL)]]/Table1[[#This Row],[LH(mIU/mL)]]</f>
        <v>2.6500000000000004</v>
      </c>
      <c r="W211" t="str">
        <f>IF(Table1[[#This Row],[FSH/LH]]&gt;=2,"Abnormal","Normal")</f>
        <v>Abnormal</v>
      </c>
      <c r="X211">
        <v>38</v>
      </c>
      <c r="Y211">
        <v>35</v>
      </c>
      <c r="Z211">
        <f>ROUND(Table1[[#This Row],[Waist(inch)]]/Table1[[#This Row],[Hip(inch)]],2)</f>
        <v>0.92</v>
      </c>
      <c r="AA211">
        <v>1.58</v>
      </c>
      <c r="AB211">
        <v>5.57</v>
      </c>
      <c r="AC211">
        <v>12.37</v>
      </c>
      <c r="AD211">
        <v>46.58</v>
      </c>
      <c r="AE211" t="str">
        <f>IF(Table1[[#This Row],[Vit D3 (ng/mL)]]&lt;20,"Deficiency","Normal")</f>
        <v>Normal</v>
      </c>
      <c r="AF211">
        <v>1.1000000000000001</v>
      </c>
      <c r="AG211">
        <v>98</v>
      </c>
      <c r="AH211">
        <v>1</v>
      </c>
      <c r="AI211" t="str">
        <f>IF(Table1[[#This Row],[Weight gain(Y/N)]]=0,"NO","YES")</f>
        <v>YES</v>
      </c>
      <c r="AJ211">
        <v>1</v>
      </c>
      <c r="AK211" t="str">
        <f>IF(Table1[[#This Row],[hair growth(Y/N)]]=1,"YES","NO")</f>
        <v>YES</v>
      </c>
      <c r="AL211">
        <v>0</v>
      </c>
      <c r="AM211" t="str">
        <f>IF(Table1[[#This Row],[Skin darkening (Y/N)]]=1,"YES","NO")</f>
        <v>NO</v>
      </c>
      <c r="AN211">
        <v>1</v>
      </c>
      <c r="AO211" t="str">
        <f>IF(Table1[[#This Row],[Hair loss(Y/N)]]=1,"YES","NO")</f>
        <v>YES</v>
      </c>
      <c r="AP211">
        <v>1</v>
      </c>
      <c r="AQ211" t="str">
        <f>IF(Table1[[#This Row],[Pimples(Y/N)]]=1,"YES","NO")</f>
        <v>YES</v>
      </c>
      <c r="AR211">
        <v>1</v>
      </c>
      <c r="AS211" t="str">
        <f>IF(Table1[[#This Row],[Fast food (Y/N)]]=1,"YES","NO")</f>
        <v>YES</v>
      </c>
      <c r="AT211">
        <v>1</v>
      </c>
      <c r="AU211" t="str">
        <f>IF(Table1[[#This Row],[Reg.Exercise(Y/N)]]=1,"YES","NO")</f>
        <v>YES</v>
      </c>
      <c r="AV211">
        <v>120</v>
      </c>
      <c r="AW211">
        <v>80</v>
      </c>
      <c r="AX211">
        <v>8</v>
      </c>
      <c r="AY211">
        <v>10</v>
      </c>
      <c r="AZ211">
        <v>13</v>
      </c>
      <c r="BA211">
        <v>15</v>
      </c>
      <c r="BB211">
        <v>5.5</v>
      </c>
      <c r="BC211" t="str" cm="1">
        <f t="array" ref="BC211">_xlfn.IFS((F211/(G211*G211)*10000)&lt; 18.5,"Underweight",(F211/(G211*G211)*10000)&lt;24.9,"Normal",(F211/(G211*G211)*10000)&lt;29.9,"Overweight",(F211/(G211*G211)*10000)&gt;=30,"obesity")</f>
        <v>Overweight</v>
      </c>
      <c r="BD211">
        <f>Table1[[#This Row],[Follicle No. (L)]]+Table1[[#This Row],[Follicle No. (R)]]</f>
        <v>18</v>
      </c>
      <c r="BE211">
        <f>Table1[[#This Row],[Avg. F size (L) (mm)]]+Table1[[#This Row],[Avg. F size (R) (mm)]]</f>
        <v>28</v>
      </c>
      <c r="BF211">
        <f>Table1[[#This Row],[BP _Diastolic (mmHg)]]+(Table1[[#This Row],[BP _Diastolic (mmHg)]]+Table1[[#This Row],[Follicle No. (L)]])/3</f>
        <v>109.33333333333333</v>
      </c>
      <c r="BG211" s="4" t="str" cm="1">
        <f t="array" ref="BG21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11" s="4">
        <f>SUM(Table1[[#This Row],[Pimples(Y/N)]],Table1[[#This Row],[hair growth(Y/N)]],Table1[[#This Row],[Skin darkening (Y/N)]],Table1[[#This Row],[Hair loss(Y/N)]])</f>
        <v>3</v>
      </c>
      <c r="BI211" s="4" t="str">
        <f>IF(AND(Table1[[#This Row],[Pregnant(Y/N)]]=0, Table1[[#This Row],[  I   beta-HCG(mIU/mL)]]&gt;5), "Investigation Required", "Clear")</f>
        <v>Clear</v>
      </c>
    </row>
    <row r="212" spans="1:61" ht="15.75" customHeight="1" x14ac:dyDescent="0.25">
      <c r="A212">
        <v>211</v>
      </c>
      <c r="B212">
        <v>211</v>
      </c>
      <c r="C212">
        <v>1</v>
      </c>
      <c r="D212" t="str">
        <f>IF(Table1[[#This Row],[PCOS (Y/N)]]=0,"NO","YES")</f>
        <v>YES</v>
      </c>
      <c r="E212">
        <v>32</v>
      </c>
      <c r="F212">
        <v>54</v>
      </c>
      <c r="G212">
        <v>145</v>
      </c>
      <c r="H212">
        <v>11</v>
      </c>
      <c r="I212">
        <v>72</v>
      </c>
      <c r="J212">
        <v>18</v>
      </c>
      <c r="K212">
        <v>10.8</v>
      </c>
      <c r="L212">
        <v>4</v>
      </c>
      <c r="M212">
        <v>5</v>
      </c>
      <c r="N212">
        <v>10</v>
      </c>
      <c r="O212">
        <v>0</v>
      </c>
      <c r="P212" t="str">
        <f>IF(Table1[[#This Row],[Pregnant(Y/N)]]=1,"YES","NO")</f>
        <v>NO</v>
      </c>
      <c r="Q212">
        <v>0</v>
      </c>
      <c r="R212">
        <v>2.2000000000000002</v>
      </c>
      <c r="S212">
        <v>1.99</v>
      </c>
      <c r="T212">
        <v>3.13</v>
      </c>
      <c r="U212">
        <v>0.42</v>
      </c>
      <c r="V212">
        <f>Table1[[#This Row],[FSH(mIU/mL)]]/Table1[[#This Row],[LH(mIU/mL)]]</f>
        <v>7.4523809523809526</v>
      </c>
      <c r="W212" t="str">
        <f>IF(Table1[[#This Row],[FSH/LH]]&gt;=2,"Abnormal","Normal")</f>
        <v>Abnormal</v>
      </c>
      <c r="X212">
        <v>37</v>
      </c>
      <c r="Y212">
        <v>34</v>
      </c>
      <c r="Z212">
        <f>ROUND(Table1[[#This Row],[Waist(inch)]]/Table1[[#This Row],[Hip(inch)]],2)</f>
        <v>0.92</v>
      </c>
      <c r="AA212">
        <v>1.45</v>
      </c>
      <c r="AB212">
        <v>4.57</v>
      </c>
      <c r="AC212">
        <v>31.96</v>
      </c>
      <c r="AD212">
        <v>21.2</v>
      </c>
      <c r="AE212" t="str">
        <f>IF(Table1[[#This Row],[Vit D3 (ng/mL)]]&lt;20,"Deficiency","Normal")</f>
        <v>Normal</v>
      </c>
      <c r="AF212">
        <v>0.36</v>
      </c>
      <c r="AG212">
        <v>102</v>
      </c>
      <c r="AH212">
        <v>1</v>
      </c>
      <c r="AI212" t="str">
        <f>IF(Table1[[#This Row],[Weight gain(Y/N)]]=0,"NO","YES")</f>
        <v>YES</v>
      </c>
      <c r="AJ212">
        <v>0</v>
      </c>
      <c r="AK212" t="str">
        <f>IF(Table1[[#This Row],[hair growth(Y/N)]]=1,"YES","NO")</f>
        <v>NO</v>
      </c>
      <c r="AL212">
        <v>1</v>
      </c>
      <c r="AM212" t="str">
        <f>IF(Table1[[#This Row],[Skin darkening (Y/N)]]=1,"YES","NO")</f>
        <v>YES</v>
      </c>
      <c r="AN212">
        <v>1</v>
      </c>
      <c r="AO212" t="str">
        <f>IF(Table1[[#This Row],[Hair loss(Y/N)]]=1,"YES","NO")</f>
        <v>YES</v>
      </c>
      <c r="AP212">
        <v>0</v>
      </c>
      <c r="AQ212" t="str">
        <f>IF(Table1[[#This Row],[Pimples(Y/N)]]=1,"YES","NO")</f>
        <v>NO</v>
      </c>
      <c r="AR212">
        <v>1</v>
      </c>
      <c r="AS212" t="str">
        <f>IF(Table1[[#This Row],[Fast food (Y/N)]]=1,"YES","NO")</f>
        <v>YES</v>
      </c>
      <c r="AT212">
        <v>0</v>
      </c>
      <c r="AU212" t="str">
        <f>IF(Table1[[#This Row],[Reg.Exercise(Y/N)]]=1,"YES","NO")</f>
        <v>NO</v>
      </c>
      <c r="AV212">
        <v>120</v>
      </c>
      <c r="AW212">
        <v>80</v>
      </c>
      <c r="AX212">
        <v>12</v>
      </c>
      <c r="AY212">
        <v>15</v>
      </c>
      <c r="AZ212">
        <v>15</v>
      </c>
      <c r="BA212">
        <v>18</v>
      </c>
      <c r="BB212">
        <v>6.1</v>
      </c>
      <c r="BC212" t="str" cm="1">
        <f t="array" ref="BC212">_xlfn.IFS((F212/(G212*G212)*10000)&lt; 18.5,"Underweight",(F212/(G212*G212)*10000)&lt;24.9,"Normal",(F212/(G212*G212)*10000)&lt;29.9,"Overweight",(F212/(G212*G212)*10000)&gt;=30,"obesity")</f>
        <v>Overweight</v>
      </c>
      <c r="BD212">
        <f>Table1[[#This Row],[Follicle No. (L)]]+Table1[[#This Row],[Follicle No. (R)]]</f>
        <v>27</v>
      </c>
      <c r="BE212">
        <f>Table1[[#This Row],[Avg. F size (L) (mm)]]+Table1[[#This Row],[Avg. F size (R) (mm)]]</f>
        <v>33</v>
      </c>
      <c r="BF212">
        <f>Table1[[#This Row],[BP _Diastolic (mmHg)]]+(Table1[[#This Row],[BP _Diastolic (mmHg)]]+Table1[[#This Row],[Follicle No. (L)]])/3</f>
        <v>110.66666666666667</v>
      </c>
      <c r="BG212" s="4" t="str" cm="1">
        <f t="array" ref="BG21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12" s="4">
        <f>SUM(Table1[[#This Row],[Pimples(Y/N)]],Table1[[#This Row],[hair growth(Y/N)]],Table1[[#This Row],[Skin darkening (Y/N)]],Table1[[#This Row],[Hair loss(Y/N)]])</f>
        <v>2</v>
      </c>
      <c r="BI212" s="4" t="str">
        <f>IF(AND(Table1[[#This Row],[Pregnant(Y/N)]]=0, Table1[[#This Row],[  I   beta-HCG(mIU/mL)]]&gt;5), "Investigation Required", "Clear")</f>
        <v>Clear</v>
      </c>
    </row>
    <row r="213" spans="1:61" ht="15.75" customHeight="1" x14ac:dyDescent="0.25">
      <c r="A213">
        <v>212</v>
      </c>
      <c r="B213">
        <v>212</v>
      </c>
      <c r="C213">
        <v>1</v>
      </c>
      <c r="D213" t="str">
        <f>IF(Table1[[#This Row],[PCOS (Y/N)]]=0,"NO","YES")</f>
        <v>YES</v>
      </c>
      <c r="E213">
        <v>39</v>
      </c>
      <c r="F213">
        <v>55</v>
      </c>
      <c r="G213">
        <v>150</v>
      </c>
      <c r="H213">
        <v>15</v>
      </c>
      <c r="I213">
        <v>78</v>
      </c>
      <c r="J213">
        <v>20</v>
      </c>
      <c r="K213">
        <v>10.7</v>
      </c>
      <c r="L213">
        <v>4</v>
      </c>
      <c r="M213">
        <v>4</v>
      </c>
      <c r="N213">
        <v>13</v>
      </c>
      <c r="O213">
        <v>0</v>
      </c>
      <c r="P213" t="str">
        <f>IF(Table1[[#This Row],[Pregnant(Y/N)]]=1,"YES","NO")</f>
        <v>NO</v>
      </c>
      <c r="Q213">
        <v>0</v>
      </c>
      <c r="R213">
        <v>12.37</v>
      </c>
      <c r="S213">
        <v>12.37</v>
      </c>
      <c r="T213">
        <v>5.4</v>
      </c>
      <c r="U213">
        <v>1.95</v>
      </c>
      <c r="V213">
        <f>Table1[[#This Row],[FSH(mIU/mL)]]/Table1[[#This Row],[LH(mIU/mL)]]</f>
        <v>2.7692307692307696</v>
      </c>
      <c r="W213" t="str">
        <f>IF(Table1[[#This Row],[FSH/LH]]&gt;=2,"Abnormal","Normal")</f>
        <v>Abnormal</v>
      </c>
      <c r="X213">
        <v>34</v>
      </c>
      <c r="Y213">
        <v>32</v>
      </c>
      <c r="Z213">
        <f>ROUND(Table1[[#This Row],[Waist(inch)]]/Table1[[#This Row],[Hip(inch)]],2)</f>
        <v>0.94</v>
      </c>
      <c r="AA213">
        <v>1</v>
      </c>
      <c r="AB213">
        <v>0.37</v>
      </c>
      <c r="AC213">
        <v>21.88</v>
      </c>
      <c r="AD213">
        <v>18.600000000000001</v>
      </c>
      <c r="AE213" t="str">
        <f>IF(Table1[[#This Row],[Vit D3 (ng/mL)]]&lt;20,"Deficiency","Normal")</f>
        <v>Deficiency</v>
      </c>
      <c r="AF213">
        <v>0.46</v>
      </c>
      <c r="AG213">
        <v>94</v>
      </c>
      <c r="AH213">
        <v>0</v>
      </c>
      <c r="AI213" t="str">
        <f>IF(Table1[[#This Row],[Weight gain(Y/N)]]=0,"NO","YES")</f>
        <v>NO</v>
      </c>
      <c r="AJ213">
        <v>1</v>
      </c>
      <c r="AK213" t="str">
        <f>IF(Table1[[#This Row],[hair growth(Y/N)]]=1,"YES","NO")</f>
        <v>YES</v>
      </c>
      <c r="AL213">
        <v>1</v>
      </c>
      <c r="AM213" t="str">
        <f>IF(Table1[[#This Row],[Skin darkening (Y/N)]]=1,"YES","NO")</f>
        <v>YES</v>
      </c>
      <c r="AN213">
        <v>0</v>
      </c>
      <c r="AO213" t="str">
        <f>IF(Table1[[#This Row],[Hair loss(Y/N)]]=1,"YES","NO")</f>
        <v>NO</v>
      </c>
      <c r="AP213">
        <v>0</v>
      </c>
      <c r="AQ213" t="str">
        <f>IF(Table1[[#This Row],[Pimples(Y/N)]]=1,"YES","NO")</f>
        <v>NO</v>
      </c>
      <c r="AR213">
        <v>1</v>
      </c>
      <c r="AS213" t="str">
        <f>IF(Table1[[#This Row],[Fast food (Y/N)]]=1,"YES","NO")</f>
        <v>YES</v>
      </c>
      <c r="AT213">
        <v>0</v>
      </c>
      <c r="AU213" t="str">
        <f>IF(Table1[[#This Row],[Reg.Exercise(Y/N)]]=1,"YES","NO")</f>
        <v>NO</v>
      </c>
      <c r="AV213">
        <v>120</v>
      </c>
      <c r="AW213">
        <v>80</v>
      </c>
      <c r="AX213">
        <v>12</v>
      </c>
      <c r="AY213">
        <v>11</v>
      </c>
      <c r="AZ213">
        <v>17</v>
      </c>
      <c r="BA213">
        <v>14</v>
      </c>
      <c r="BB213">
        <v>15</v>
      </c>
      <c r="BC213" t="str" cm="1">
        <f t="array" ref="BC213">_xlfn.IFS((F213/(G213*G213)*10000)&lt; 18.5,"Underweight",(F213/(G213*G213)*10000)&lt;24.9,"Normal",(F213/(G213*G213)*10000)&lt;29.9,"Overweight",(F213/(G213*G213)*10000)&gt;=30,"obesity")</f>
        <v>Normal</v>
      </c>
      <c r="BD213">
        <f>Table1[[#This Row],[Follicle No. (L)]]+Table1[[#This Row],[Follicle No. (R)]]</f>
        <v>23</v>
      </c>
      <c r="BE213">
        <f>Table1[[#This Row],[Avg. F size (L) (mm)]]+Table1[[#This Row],[Avg. F size (R) (mm)]]</f>
        <v>31</v>
      </c>
      <c r="BF213">
        <f>Table1[[#This Row],[BP _Diastolic (mmHg)]]+(Table1[[#This Row],[BP _Diastolic (mmHg)]]+Table1[[#This Row],[Follicle No. (L)]])/3</f>
        <v>110.66666666666667</v>
      </c>
      <c r="BG213" s="4" t="str" cm="1">
        <f t="array" ref="BG21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13" s="4">
        <f>SUM(Table1[[#This Row],[Pimples(Y/N)]],Table1[[#This Row],[hair growth(Y/N)]],Table1[[#This Row],[Skin darkening (Y/N)]],Table1[[#This Row],[Hair loss(Y/N)]])</f>
        <v>2</v>
      </c>
      <c r="BI213" s="4" t="str">
        <f>IF(AND(Table1[[#This Row],[Pregnant(Y/N)]]=0, Table1[[#This Row],[  I   beta-HCG(mIU/mL)]]&gt;5), "Investigation Required", "Clear")</f>
        <v>Investigation Required</v>
      </c>
    </row>
    <row r="214" spans="1:61" ht="15.75" customHeight="1" x14ac:dyDescent="0.25">
      <c r="A214">
        <v>213</v>
      </c>
      <c r="B214">
        <v>213</v>
      </c>
      <c r="C214">
        <v>0</v>
      </c>
      <c r="D214" t="str">
        <f>IF(Table1[[#This Row],[PCOS (Y/N)]]=0,"NO","YES")</f>
        <v>NO</v>
      </c>
      <c r="E214">
        <v>27</v>
      </c>
      <c r="F214">
        <v>52</v>
      </c>
      <c r="G214">
        <v>150</v>
      </c>
      <c r="H214">
        <v>11</v>
      </c>
      <c r="I214">
        <v>82</v>
      </c>
      <c r="J214">
        <v>20</v>
      </c>
      <c r="K214">
        <v>11.1</v>
      </c>
      <c r="L214">
        <v>2</v>
      </c>
      <c r="M214">
        <v>5</v>
      </c>
      <c r="N214">
        <v>5</v>
      </c>
      <c r="O214">
        <v>0</v>
      </c>
      <c r="P214" t="str">
        <f>IF(Table1[[#This Row],[Pregnant(Y/N)]]=1,"YES","NO")</f>
        <v>NO</v>
      </c>
      <c r="Q214">
        <v>0</v>
      </c>
      <c r="R214">
        <v>1.99</v>
      </c>
      <c r="S214">
        <v>1.99</v>
      </c>
      <c r="T214">
        <v>4.97</v>
      </c>
      <c r="U214">
        <v>2.23</v>
      </c>
      <c r="V214">
        <f>Table1[[#This Row],[FSH(mIU/mL)]]/Table1[[#This Row],[LH(mIU/mL)]]</f>
        <v>2.2286995515695067</v>
      </c>
      <c r="W214" t="str">
        <f>IF(Table1[[#This Row],[FSH/LH]]&gt;=2,"Abnormal","Normal")</f>
        <v>Abnormal</v>
      </c>
      <c r="X214">
        <v>42</v>
      </c>
      <c r="Y214">
        <v>38</v>
      </c>
      <c r="Z214">
        <f>ROUND(Table1[[#This Row],[Waist(inch)]]/Table1[[#This Row],[Hip(inch)]],2)</f>
        <v>0.9</v>
      </c>
      <c r="AA214">
        <v>1.94</v>
      </c>
      <c r="AB214">
        <v>16.899999999999999</v>
      </c>
      <c r="AC214">
        <v>9.1199999999999992</v>
      </c>
      <c r="AD214">
        <v>23.6</v>
      </c>
      <c r="AE214" t="str">
        <f>IF(Table1[[#This Row],[Vit D3 (ng/mL)]]&lt;20,"Deficiency","Normal")</f>
        <v>Normal</v>
      </c>
      <c r="AF214">
        <v>0.25</v>
      </c>
      <c r="AG214">
        <v>93</v>
      </c>
      <c r="AH214">
        <v>0</v>
      </c>
      <c r="AI214" t="str">
        <f>IF(Table1[[#This Row],[Weight gain(Y/N)]]=0,"NO","YES")</f>
        <v>NO</v>
      </c>
      <c r="AJ214">
        <v>0</v>
      </c>
      <c r="AK214" t="str">
        <f>IF(Table1[[#This Row],[hair growth(Y/N)]]=1,"YES","NO")</f>
        <v>NO</v>
      </c>
      <c r="AL214">
        <v>0</v>
      </c>
      <c r="AM214" t="str">
        <f>IF(Table1[[#This Row],[Skin darkening (Y/N)]]=1,"YES","NO")</f>
        <v>NO</v>
      </c>
      <c r="AN214">
        <v>1</v>
      </c>
      <c r="AO214" t="str">
        <f>IF(Table1[[#This Row],[Hair loss(Y/N)]]=1,"YES","NO")</f>
        <v>YES</v>
      </c>
      <c r="AP214">
        <v>1</v>
      </c>
      <c r="AQ214" t="str">
        <f>IF(Table1[[#This Row],[Pimples(Y/N)]]=1,"YES","NO")</f>
        <v>YES</v>
      </c>
      <c r="AR214">
        <v>0</v>
      </c>
      <c r="AS214" t="str">
        <f>IF(Table1[[#This Row],[Fast food (Y/N)]]=1,"YES","NO")</f>
        <v>NO</v>
      </c>
      <c r="AT214">
        <v>1</v>
      </c>
      <c r="AU214" t="str">
        <f>IF(Table1[[#This Row],[Reg.Exercise(Y/N)]]=1,"YES","NO")</f>
        <v>YES</v>
      </c>
      <c r="AV214">
        <v>120</v>
      </c>
      <c r="AW214">
        <v>80</v>
      </c>
      <c r="AX214">
        <v>1</v>
      </c>
      <c r="AY214">
        <v>1</v>
      </c>
      <c r="AZ214">
        <v>17</v>
      </c>
      <c r="BA214">
        <v>16</v>
      </c>
      <c r="BB214">
        <v>9.4</v>
      </c>
      <c r="BC214" t="str" cm="1">
        <f t="array" ref="BC214">_xlfn.IFS((F214/(G214*G214)*10000)&lt; 18.5,"Underweight",(F214/(G214*G214)*10000)&lt;24.9,"Normal",(F214/(G214*G214)*10000)&lt;29.9,"Overweight",(F214/(G214*G214)*10000)&gt;=30,"obesity")</f>
        <v>Normal</v>
      </c>
      <c r="BD214">
        <f>Table1[[#This Row],[Follicle No. (L)]]+Table1[[#This Row],[Follicle No. (R)]]</f>
        <v>2</v>
      </c>
      <c r="BE214">
        <f>Table1[[#This Row],[Avg. F size (L) (mm)]]+Table1[[#This Row],[Avg. F size (R) (mm)]]</f>
        <v>33</v>
      </c>
      <c r="BF214">
        <f>Table1[[#This Row],[BP _Diastolic (mmHg)]]+(Table1[[#This Row],[BP _Diastolic (mmHg)]]+Table1[[#This Row],[Follicle No. (L)]])/3</f>
        <v>107</v>
      </c>
      <c r="BG214" s="4" t="str" cm="1">
        <f t="array" ref="BG21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14" s="4">
        <f>SUM(Table1[[#This Row],[Pimples(Y/N)]],Table1[[#This Row],[hair growth(Y/N)]],Table1[[#This Row],[Skin darkening (Y/N)]],Table1[[#This Row],[Hair loss(Y/N)]])</f>
        <v>2</v>
      </c>
      <c r="BI214" s="4" t="str">
        <f>IF(AND(Table1[[#This Row],[Pregnant(Y/N)]]=0, Table1[[#This Row],[  I   beta-HCG(mIU/mL)]]&gt;5), "Investigation Required", "Clear")</f>
        <v>Clear</v>
      </c>
    </row>
    <row r="215" spans="1:61" ht="15.75" customHeight="1" x14ac:dyDescent="0.25">
      <c r="A215">
        <v>214</v>
      </c>
      <c r="B215">
        <v>214</v>
      </c>
      <c r="C215">
        <v>1</v>
      </c>
      <c r="D215" t="str">
        <f>IF(Table1[[#This Row],[PCOS (Y/N)]]=0,"NO","YES")</f>
        <v>YES</v>
      </c>
      <c r="E215">
        <v>26</v>
      </c>
      <c r="F215">
        <v>70</v>
      </c>
      <c r="G215">
        <v>150</v>
      </c>
      <c r="H215">
        <v>15</v>
      </c>
      <c r="I215">
        <v>72</v>
      </c>
      <c r="J215">
        <v>20</v>
      </c>
      <c r="K215">
        <v>12</v>
      </c>
      <c r="L215">
        <v>4</v>
      </c>
      <c r="M215">
        <v>5</v>
      </c>
      <c r="N215">
        <v>3</v>
      </c>
      <c r="O215">
        <v>1</v>
      </c>
      <c r="P215" t="str">
        <f>IF(Table1[[#This Row],[Pregnant(Y/N)]]=1,"YES","NO")</f>
        <v>YES</v>
      </c>
      <c r="Q215">
        <v>0</v>
      </c>
      <c r="R215">
        <v>144.63</v>
      </c>
      <c r="S215">
        <v>144.63</v>
      </c>
      <c r="T215">
        <v>3.63</v>
      </c>
      <c r="U215">
        <v>8.34</v>
      </c>
      <c r="V215">
        <f>Table1[[#This Row],[FSH(mIU/mL)]]/Table1[[#This Row],[LH(mIU/mL)]]</f>
        <v>0.43525179856115109</v>
      </c>
      <c r="W215" t="str">
        <f>IF(Table1[[#This Row],[FSH/LH]]&gt;=2,"Abnormal","Normal")</f>
        <v>Normal</v>
      </c>
      <c r="X215">
        <v>36</v>
      </c>
      <c r="Y215">
        <v>34</v>
      </c>
      <c r="Z215">
        <f>ROUND(Table1[[#This Row],[Waist(inch)]]/Table1[[#This Row],[Hip(inch)]],2)</f>
        <v>0.94</v>
      </c>
      <c r="AA215">
        <v>2.29</v>
      </c>
      <c r="AB215">
        <v>26.4</v>
      </c>
      <c r="AC215">
        <v>29.72</v>
      </c>
      <c r="AD215">
        <v>22.4</v>
      </c>
      <c r="AE215" t="str">
        <f>IF(Table1[[#This Row],[Vit D3 (ng/mL)]]&lt;20,"Deficiency","Normal")</f>
        <v>Normal</v>
      </c>
      <c r="AF215">
        <v>0.38</v>
      </c>
      <c r="AG215">
        <v>93</v>
      </c>
      <c r="AH215">
        <v>1</v>
      </c>
      <c r="AI215" t="str">
        <f>IF(Table1[[#This Row],[Weight gain(Y/N)]]=0,"NO","YES")</f>
        <v>YES</v>
      </c>
      <c r="AJ215">
        <v>1</v>
      </c>
      <c r="AK215" t="str">
        <f>IF(Table1[[#This Row],[hair growth(Y/N)]]=1,"YES","NO")</f>
        <v>YES</v>
      </c>
      <c r="AL215">
        <v>0</v>
      </c>
      <c r="AM215" t="str">
        <f>IF(Table1[[#This Row],[Skin darkening (Y/N)]]=1,"YES","NO")</f>
        <v>NO</v>
      </c>
      <c r="AN215">
        <v>0</v>
      </c>
      <c r="AO215" t="str">
        <f>IF(Table1[[#This Row],[Hair loss(Y/N)]]=1,"YES","NO")</f>
        <v>NO</v>
      </c>
      <c r="AP215">
        <v>1</v>
      </c>
      <c r="AQ215" t="str">
        <f>IF(Table1[[#This Row],[Pimples(Y/N)]]=1,"YES","NO")</f>
        <v>YES</v>
      </c>
      <c r="AR215">
        <v>1</v>
      </c>
      <c r="AS215" t="str">
        <f>IF(Table1[[#This Row],[Fast food (Y/N)]]=1,"YES","NO")</f>
        <v>YES</v>
      </c>
      <c r="AT215">
        <v>0</v>
      </c>
      <c r="AU215" t="str">
        <f>IF(Table1[[#This Row],[Reg.Exercise(Y/N)]]=1,"YES","NO")</f>
        <v>NO</v>
      </c>
      <c r="AV215">
        <v>110</v>
      </c>
      <c r="AW215">
        <v>80</v>
      </c>
      <c r="AX215">
        <v>8</v>
      </c>
      <c r="AY215">
        <v>7</v>
      </c>
      <c r="AZ215">
        <v>17</v>
      </c>
      <c r="BA215">
        <v>14</v>
      </c>
      <c r="BB215">
        <v>6</v>
      </c>
      <c r="BC215" t="str" cm="1">
        <f t="array" ref="BC215">_xlfn.IFS((F215/(G215*G215)*10000)&lt; 18.5,"Underweight",(F215/(G215*G215)*10000)&lt;24.9,"Normal",(F215/(G215*G215)*10000)&lt;29.9,"Overweight",(F215/(G215*G215)*10000)&gt;=30,"obesity")</f>
        <v>obesity</v>
      </c>
      <c r="BD215">
        <f>Table1[[#This Row],[Follicle No. (L)]]+Table1[[#This Row],[Follicle No. (R)]]</f>
        <v>15</v>
      </c>
      <c r="BE215">
        <f>Table1[[#This Row],[Avg. F size (L) (mm)]]+Table1[[#This Row],[Avg. F size (R) (mm)]]</f>
        <v>31</v>
      </c>
      <c r="BF215">
        <f>Table1[[#This Row],[BP _Diastolic (mmHg)]]+(Table1[[#This Row],[BP _Diastolic (mmHg)]]+Table1[[#This Row],[Follicle No. (L)]])/3</f>
        <v>109.33333333333333</v>
      </c>
      <c r="BG215" s="4" t="str" cm="1">
        <f t="array" ref="BG21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15" s="4">
        <f>SUM(Table1[[#This Row],[Pimples(Y/N)]],Table1[[#This Row],[hair growth(Y/N)]],Table1[[#This Row],[Skin darkening (Y/N)]],Table1[[#This Row],[Hair loss(Y/N)]])</f>
        <v>2</v>
      </c>
      <c r="BI215" s="4" t="str">
        <f>IF(AND(Table1[[#This Row],[Pregnant(Y/N)]]=0, Table1[[#This Row],[  I   beta-HCG(mIU/mL)]]&gt;5), "Investigation Required", "Clear")</f>
        <v>Clear</v>
      </c>
    </row>
    <row r="216" spans="1:61" ht="15.75" customHeight="1" x14ac:dyDescent="0.25">
      <c r="A216">
        <v>215</v>
      </c>
      <c r="B216">
        <v>215</v>
      </c>
      <c r="C216">
        <v>0</v>
      </c>
      <c r="D216" t="str">
        <f>IF(Table1[[#This Row],[PCOS (Y/N)]]=0,"NO","YES")</f>
        <v>NO</v>
      </c>
      <c r="E216">
        <v>29</v>
      </c>
      <c r="F216">
        <v>63</v>
      </c>
      <c r="G216">
        <v>152</v>
      </c>
      <c r="H216">
        <v>11</v>
      </c>
      <c r="I216">
        <v>72</v>
      </c>
      <c r="J216">
        <v>18</v>
      </c>
      <c r="K216">
        <v>13.2</v>
      </c>
      <c r="L216">
        <v>2</v>
      </c>
      <c r="M216">
        <v>6</v>
      </c>
      <c r="N216">
        <v>11</v>
      </c>
      <c r="O216">
        <v>1</v>
      </c>
      <c r="P216" t="str">
        <f>IF(Table1[[#This Row],[Pregnant(Y/N)]]=1,"YES","NO")</f>
        <v>YES</v>
      </c>
      <c r="Q216">
        <v>4</v>
      </c>
      <c r="R216">
        <v>25000</v>
      </c>
      <c r="S216">
        <v>475.04</v>
      </c>
      <c r="T216">
        <v>1.99</v>
      </c>
      <c r="U216">
        <v>1.61</v>
      </c>
      <c r="V216">
        <f>Table1[[#This Row],[FSH(mIU/mL)]]/Table1[[#This Row],[LH(mIU/mL)]]</f>
        <v>1.2360248447204969</v>
      </c>
      <c r="W216" t="str">
        <f>IF(Table1[[#This Row],[FSH/LH]]&gt;=2,"Abnormal","Normal")</f>
        <v>Normal</v>
      </c>
      <c r="X216">
        <v>38</v>
      </c>
      <c r="Y216">
        <v>34</v>
      </c>
      <c r="Z216">
        <f>ROUND(Table1[[#This Row],[Waist(inch)]]/Table1[[#This Row],[Hip(inch)]],2)</f>
        <v>0.89</v>
      </c>
      <c r="AA216">
        <v>1.77</v>
      </c>
      <c r="AB216">
        <v>5.96</v>
      </c>
      <c r="AC216">
        <v>21.95</v>
      </c>
      <c r="AD216">
        <v>22.7</v>
      </c>
      <c r="AE216" t="str">
        <f>IF(Table1[[#This Row],[Vit D3 (ng/mL)]]&lt;20,"Deficiency","Normal")</f>
        <v>Normal</v>
      </c>
      <c r="AF216">
        <v>0.46</v>
      </c>
      <c r="AG216">
        <v>95</v>
      </c>
      <c r="AH216">
        <v>1</v>
      </c>
      <c r="AI216" t="str">
        <f>IF(Table1[[#This Row],[Weight gain(Y/N)]]=0,"NO","YES")</f>
        <v>YES</v>
      </c>
      <c r="AJ216">
        <v>0</v>
      </c>
      <c r="AK216" t="str">
        <f>IF(Table1[[#This Row],[hair growth(Y/N)]]=1,"YES","NO")</f>
        <v>NO</v>
      </c>
      <c r="AL216">
        <v>0</v>
      </c>
      <c r="AM216" t="str">
        <f>IF(Table1[[#This Row],[Skin darkening (Y/N)]]=1,"YES","NO")</f>
        <v>NO</v>
      </c>
      <c r="AN216">
        <v>1</v>
      </c>
      <c r="AO216" t="str">
        <f>IF(Table1[[#This Row],[Hair loss(Y/N)]]=1,"YES","NO")</f>
        <v>YES</v>
      </c>
      <c r="AP216">
        <v>1</v>
      </c>
      <c r="AQ216" t="str">
        <f>IF(Table1[[#This Row],[Pimples(Y/N)]]=1,"YES","NO")</f>
        <v>YES</v>
      </c>
      <c r="AR216">
        <v>1</v>
      </c>
      <c r="AS216" t="str">
        <f>IF(Table1[[#This Row],[Fast food (Y/N)]]=1,"YES","NO")</f>
        <v>YES</v>
      </c>
      <c r="AT216">
        <v>0</v>
      </c>
      <c r="AU216" t="str">
        <f>IF(Table1[[#This Row],[Reg.Exercise(Y/N)]]=1,"YES","NO")</f>
        <v>NO</v>
      </c>
      <c r="AV216">
        <v>110</v>
      </c>
      <c r="AW216">
        <v>80</v>
      </c>
      <c r="AX216">
        <v>6</v>
      </c>
      <c r="AY216">
        <v>7</v>
      </c>
      <c r="AZ216">
        <v>16</v>
      </c>
      <c r="BA216">
        <v>14</v>
      </c>
      <c r="BB216">
        <v>5</v>
      </c>
      <c r="BC216" t="str" cm="1">
        <f t="array" ref="BC216">_xlfn.IFS((F216/(G216*G216)*10000)&lt; 18.5,"Underweight",(F216/(G216*G216)*10000)&lt;24.9,"Normal",(F216/(G216*G216)*10000)&lt;29.9,"Overweight",(F216/(G216*G216)*10000)&gt;=30,"obesity")</f>
        <v>Overweight</v>
      </c>
      <c r="BD216">
        <f>Table1[[#This Row],[Follicle No. (L)]]+Table1[[#This Row],[Follicle No. (R)]]</f>
        <v>13</v>
      </c>
      <c r="BE216">
        <f>Table1[[#This Row],[Avg. F size (L) (mm)]]+Table1[[#This Row],[Avg. F size (R) (mm)]]</f>
        <v>30</v>
      </c>
      <c r="BF216">
        <f>Table1[[#This Row],[BP _Diastolic (mmHg)]]+(Table1[[#This Row],[BP _Diastolic (mmHg)]]+Table1[[#This Row],[Follicle No. (L)]])/3</f>
        <v>108.66666666666667</v>
      </c>
      <c r="BG216" s="4" t="str" cm="1">
        <f t="array" ref="BG21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16" s="4">
        <f>SUM(Table1[[#This Row],[Pimples(Y/N)]],Table1[[#This Row],[hair growth(Y/N)]],Table1[[#This Row],[Skin darkening (Y/N)]],Table1[[#This Row],[Hair loss(Y/N)]])</f>
        <v>2</v>
      </c>
      <c r="BI216" s="4" t="str">
        <f>IF(AND(Table1[[#This Row],[Pregnant(Y/N)]]=0, Table1[[#This Row],[  I   beta-HCG(mIU/mL)]]&gt;5), "Investigation Required", "Clear")</f>
        <v>Clear</v>
      </c>
    </row>
    <row r="217" spans="1:61" ht="15.75" customHeight="1" x14ac:dyDescent="0.25">
      <c r="A217">
        <v>216</v>
      </c>
      <c r="B217">
        <v>216</v>
      </c>
      <c r="C217">
        <v>0</v>
      </c>
      <c r="D217" t="str">
        <f>IF(Table1[[#This Row],[PCOS (Y/N)]]=0,"NO","YES")</f>
        <v>NO</v>
      </c>
      <c r="E217">
        <v>41</v>
      </c>
      <c r="F217">
        <v>71</v>
      </c>
      <c r="G217">
        <v>160</v>
      </c>
      <c r="H217">
        <v>15</v>
      </c>
      <c r="I217">
        <v>74</v>
      </c>
      <c r="J217">
        <v>20</v>
      </c>
      <c r="K217">
        <v>11</v>
      </c>
      <c r="L217">
        <v>4</v>
      </c>
      <c r="M217">
        <v>3</v>
      </c>
      <c r="N217">
        <v>16</v>
      </c>
      <c r="O217">
        <v>0</v>
      </c>
      <c r="P217" t="str">
        <f>IF(Table1[[#This Row],[Pregnant(Y/N)]]=1,"YES","NO")</f>
        <v>NO</v>
      </c>
      <c r="Q217">
        <v>1</v>
      </c>
      <c r="R217">
        <v>1.99</v>
      </c>
      <c r="S217">
        <v>1.99</v>
      </c>
      <c r="T217">
        <v>4.74</v>
      </c>
      <c r="U217">
        <v>3.6</v>
      </c>
      <c r="V217">
        <f>Table1[[#This Row],[FSH(mIU/mL)]]/Table1[[#This Row],[LH(mIU/mL)]]</f>
        <v>1.3166666666666667</v>
      </c>
      <c r="W217" t="str">
        <f>IF(Table1[[#This Row],[FSH/LH]]&gt;=2,"Abnormal","Normal")</f>
        <v>Normal</v>
      </c>
      <c r="X217">
        <v>40</v>
      </c>
      <c r="Y217">
        <v>36</v>
      </c>
      <c r="Z217">
        <f>ROUND(Table1[[#This Row],[Waist(inch)]]/Table1[[#This Row],[Hip(inch)]],2)</f>
        <v>0.9</v>
      </c>
      <c r="AA217">
        <v>1.0900000000000001</v>
      </c>
      <c r="AB217">
        <v>9.1</v>
      </c>
      <c r="AC217">
        <v>22.62</v>
      </c>
      <c r="AD217">
        <v>31.6</v>
      </c>
      <c r="AE217" t="str">
        <f>IF(Table1[[#This Row],[Vit D3 (ng/mL)]]&lt;20,"Deficiency","Normal")</f>
        <v>Normal</v>
      </c>
      <c r="AF217">
        <v>0.25</v>
      </c>
      <c r="AG217">
        <v>85</v>
      </c>
      <c r="AH217">
        <v>1</v>
      </c>
      <c r="AI217" t="str">
        <f>IF(Table1[[#This Row],[Weight gain(Y/N)]]=0,"NO","YES")</f>
        <v>YES</v>
      </c>
      <c r="AJ217">
        <v>0</v>
      </c>
      <c r="AK217" t="str">
        <f>IF(Table1[[#This Row],[hair growth(Y/N)]]=1,"YES","NO")</f>
        <v>NO</v>
      </c>
      <c r="AL217">
        <v>0</v>
      </c>
      <c r="AM217" t="str">
        <f>IF(Table1[[#This Row],[Skin darkening (Y/N)]]=1,"YES","NO")</f>
        <v>NO</v>
      </c>
      <c r="AN217">
        <v>1</v>
      </c>
      <c r="AO217" t="str">
        <f>IF(Table1[[#This Row],[Hair loss(Y/N)]]=1,"YES","NO")</f>
        <v>YES</v>
      </c>
      <c r="AP217">
        <v>1</v>
      </c>
      <c r="AQ217" t="str">
        <f>IF(Table1[[#This Row],[Pimples(Y/N)]]=1,"YES","NO")</f>
        <v>YES</v>
      </c>
      <c r="AR217">
        <v>1</v>
      </c>
      <c r="AS217" t="str">
        <f>IF(Table1[[#This Row],[Fast food (Y/N)]]=1,"YES","NO")</f>
        <v>YES</v>
      </c>
      <c r="AT217">
        <v>1</v>
      </c>
      <c r="AU217" t="str">
        <f>IF(Table1[[#This Row],[Reg.Exercise(Y/N)]]=1,"YES","NO")</f>
        <v>YES</v>
      </c>
      <c r="AV217">
        <v>120</v>
      </c>
      <c r="AW217">
        <v>80</v>
      </c>
      <c r="AX217">
        <v>9</v>
      </c>
      <c r="AY217">
        <v>7</v>
      </c>
      <c r="AZ217">
        <v>14</v>
      </c>
      <c r="BA217">
        <v>14</v>
      </c>
      <c r="BB217">
        <v>10</v>
      </c>
      <c r="BC217" t="str" cm="1">
        <f t="array" ref="BC217">_xlfn.IFS((F217/(G217*G217)*10000)&lt; 18.5,"Underweight",(F217/(G217*G217)*10000)&lt;24.9,"Normal",(F217/(G217*G217)*10000)&lt;29.9,"Overweight",(F217/(G217*G217)*10000)&gt;=30,"obesity")</f>
        <v>Overweight</v>
      </c>
      <c r="BD217">
        <f>Table1[[#This Row],[Follicle No. (L)]]+Table1[[#This Row],[Follicle No. (R)]]</f>
        <v>16</v>
      </c>
      <c r="BE217">
        <f>Table1[[#This Row],[Avg. F size (L) (mm)]]+Table1[[#This Row],[Avg. F size (R) (mm)]]</f>
        <v>28</v>
      </c>
      <c r="BF217">
        <f>Table1[[#This Row],[BP _Diastolic (mmHg)]]+(Table1[[#This Row],[BP _Diastolic (mmHg)]]+Table1[[#This Row],[Follicle No. (L)]])/3</f>
        <v>109.66666666666667</v>
      </c>
      <c r="BG217" s="4" t="str" cm="1">
        <f t="array" ref="BG21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17" s="4">
        <f>SUM(Table1[[#This Row],[Pimples(Y/N)]],Table1[[#This Row],[hair growth(Y/N)]],Table1[[#This Row],[Skin darkening (Y/N)]],Table1[[#This Row],[Hair loss(Y/N)]])</f>
        <v>2</v>
      </c>
      <c r="BI217" s="4" t="str">
        <f>IF(AND(Table1[[#This Row],[Pregnant(Y/N)]]=0, Table1[[#This Row],[  I   beta-HCG(mIU/mL)]]&gt;5), "Investigation Required", "Clear")</f>
        <v>Clear</v>
      </c>
    </row>
    <row r="218" spans="1:61" ht="15.75" customHeight="1" x14ac:dyDescent="0.25">
      <c r="A218">
        <v>217</v>
      </c>
      <c r="B218">
        <v>217</v>
      </c>
      <c r="C218">
        <v>1</v>
      </c>
      <c r="D218" t="str">
        <f>IF(Table1[[#This Row],[PCOS (Y/N)]]=0,"NO","YES")</f>
        <v>YES</v>
      </c>
      <c r="E218">
        <v>36</v>
      </c>
      <c r="F218">
        <v>66</v>
      </c>
      <c r="G218">
        <v>162</v>
      </c>
      <c r="H218">
        <v>15</v>
      </c>
      <c r="I218">
        <v>72</v>
      </c>
      <c r="J218">
        <v>20</v>
      </c>
      <c r="K218">
        <v>11</v>
      </c>
      <c r="L218">
        <v>2</v>
      </c>
      <c r="M218">
        <v>5</v>
      </c>
      <c r="N218">
        <v>13</v>
      </c>
      <c r="O218">
        <v>1</v>
      </c>
      <c r="P218" t="str">
        <f>IF(Table1[[#This Row],[Pregnant(Y/N)]]=1,"YES","NO")</f>
        <v>YES</v>
      </c>
      <c r="Q218">
        <v>2</v>
      </c>
      <c r="R218">
        <v>515.53</v>
      </c>
      <c r="S218">
        <v>515.53</v>
      </c>
      <c r="T218">
        <v>1.63</v>
      </c>
      <c r="U218">
        <v>0.17</v>
      </c>
      <c r="V218">
        <f>Table1[[#This Row],[FSH(mIU/mL)]]/Table1[[#This Row],[LH(mIU/mL)]]</f>
        <v>9.588235294117645</v>
      </c>
      <c r="W218" t="str">
        <f>IF(Table1[[#This Row],[FSH/LH]]&gt;=2,"Abnormal","Normal")</f>
        <v>Abnormal</v>
      </c>
      <c r="X218">
        <v>36</v>
      </c>
      <c r="Y218">
        <v>34</v>
      </c>
      <c r="Z218">
        <f>ROUND(Table1[[#This Row],[Waist(inch)]]/Table1[[#This Row],[Hip(inch)]],2)</f>
        <v>0.94</v>
      </c>
      <c r="AA218">
        <v>1.86</v>
      </c>
      <c r="AB218">
        <v>6.6</v>
      </c>
      <c r="AC218">
        <v>25</v>
      </c>
      <c r="AD218">
        <v>0</v>
      </c>
      <c r="AE218" t="str">
        <f>IF(Table1[[#This Row],[Vit D3 (ng/mL)]]&lt;20,"Deficiency","Normal")</f>
        <v>Deficiency</v>
      </c>
      <c r="AF218">
        <v>0.25</v>
      </c>
      <c r="AG218">
        <v>93</v>
      </c>
      <c r="AH218">
        <v>1</v>
      </c>
      <c r="AI218" t="str">
        <f>IF(Table1[[#This Row],[Weight gain(Y/N)]]=0,"NO","YES")</f>
        <v>YES</v>
      </c>
      <c r="AJ218">
        <v>1</v>
      </c>
      <c r="AK218" t="str">
        <f>IF(Table1[[#This Row],[hair growth(Y/N)]]=1,"YES","NO")</f>
        <v>YES</v>
      </c>
      <c r="AL218">
        <v>1</v>
      </c>
      <c r="AM218" t="str">
        <f>IF(Table1[[#This Row],[Skin darkening (Y/N)]]=1,"YES","NO")</f>
        <v>YES</v>
      </c>
      <c r="AN218">
        <v>1</v>
      </c>
      <c r="AO218" t="str">
        <f>IF(Table1[[#This Row],[Hair loss(Y/N)]]=1,"YES","NO")</f>
        <v>YES</v>
      </c>
      <c r="AP218">
        <v>1</v>
      </c>
      <c r="AQ218" t="str">
        <f>IF(Table1[[#This Row],[Pimples(Y/N)]]=1,"YES","NO")</f>
        <v>YES</v>
      </c>
      <c r="AR218">
        <v>1</v>
      </c>
      <c r="AS218" t="str">
        <f>IF(Table1[[#This Row],[Fast food (Y/N)]]=1,"YES","NO")</f>
        <v>YES</v>
      </c>
      <c r="AT218">
        <v>1</v>
      </c>
      <c r="AU218" t="str">
        <f>IF(Table1[[#This Row],[Reg.Exercise(Y/N)]]=1,"YES","NO")</f>
        <v>YES</v>
      </c>
      <c r="AV218">
        <v>120</v>
      </c>
      <c r="AW218">
        <v>80</v>
      </c>
      <c r="AX218">
        <v>14</v>
      </c>
      <c r="AY218">
        <v>6</v>
      </c>
      <c r="AZ218">
        <v>15</v>
      </c>
      <c r="BA218">
        <v>13</v>
      </c>
      <c r="BB218">
        <v>9.6999999999999993</v>
      </c>
      <c r="BC218" t="str" cm="1">
        <f t="array" ref="BC218">_xlfn.IFS((F218/(G218*G218)*10000)&lt; 18.5,"Underweight",(F218/(G218*G218)*10000)&lt;24.9,"Normal",(F218/(G218*G218)*10000)&lt;29.9,"Overweight",(F218/(G218*G218)*10000)&gt;=30,"obesity")</f>
        <v>Overweight</v>
      </c>
      <c r="BD218">
        <f>Table1[[#This Row],[Follicle No. (L)]]+Table1[[#This Row],[Follicle No. (R)]]</f>
        <v>20</v>
      </c>
      <c r="BE218">
        <f>Table1[[#This Row],[Avg. F size (L) (mm)]]+Table1[[#This Row],[Avg. F size (R) (mm)]]</f>
        <v>28</v>
      </c>
      <c r="BF218">
        <f>Table1[[#This Row],[BP _Diastolic (mmHg)]]+(Table1[[#This Row],[BP _Diastolic (mmHg)]]+Table1[[#This Row],[Follicle No. (L)]])/3</f>
        <v>111.33333333333333</v>
      </c>
      <c r="BG218" s="4" t="str" cm="1">
        <f t="array" ref="BG21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18" s="4">
        <f>SUM(Table1[[#This Row],[Pimples(Y/N)]],Table1[[#This Row],[hair growth(Y/N)]],Table1[[#This Row],[Skin darkening (Y/N)]],Table1[[#This Row],[Hair loss(Y/N)]])</f>
        <v>4</v>
      </c>
      <c r="BI218" s="4" t="str">
        <f>IF(AND(Table1[[#This Row],[Pregnant(Y/N)]]=0, Table1[[#This Row],[  I   beta-HCG(mIU/mL)]]&gt;5), "Investigation Required", "Clear")</f>
        <v>Clear</v>
      </c>
    </row>
    <row r="219" spans="1:61" ht="15.75" customHeight="1" x14ac:dyDescent="0.25">
      <c r="A219">
        <v>218</v>
      </c>
      <c r="B219">
        <v>218</v>
      </c>
      <c r="C219">
        <v>1</v>
      </c>
      <c r="D219" t="str">
        <f>IF(Table1[[#This Row],[PCOS (Y/N)]]=0,"NO","YES")</f>
        <v>YES</v>
      </c>
      <c r="E219">
        <v>34</v>
      </c>
      <c r="F219">
        <v>72</v>
      </c>
      <c r="G219">
        <v>158</v>
      </c>
      <c r="H219">
        <v>13</v>
      </c>
      <c r="I219">
        <v>72</v>
      </c>
      <c r="J219">
        <v>18</v>
      </c>
      <c r="K219">
        <v>11</v>
      </c>
      <c r="L219">
        <v>4</v>
      </c>
      <c r="M219">
        <v>4</v>
      </c>
      <c r="N219">
        <v>13</v>
      </c>
      <c r="O219">
        <v>0</v>
      </c>
      <c r="P219" t="str">
        <f>IF(Table1[[#This Row],[Pregnant(Y/N)]]=1,"YES","NO")</f>
        <v>NO</v>
      </c>
      <c r="Q219">
        <v>1</v>
      </c>
      <c r="R219">
        <v>1.99</v>
      </c>
      <c r="S219">
        <v>99.69</v>
      </c>
      <c r="T219">
        <v>4.76</v>
      </c>
      <c r="U219">
        <v>2.7</v>
      </c>
      <c r="V219">
        <f>Table1[[#This Row],[FSH(mIU/mL)]]/Table1[[#This Row],[LH(mIU/mL)]]</f>
        <v>1.7629629629629628</v>
      </c>
      <c r="W219" t="str">
        <f>IF(Table1[[#This Row],[FSH/LH]]&gt;=2,"Abnormal","Normal")</f>
        <v>Normal</v>
      </c>
      <c r="X219">
        <v>38</v>
      </c>
      <c r="Y219">
        <v>35</v>
      </c>
      <c r="Z219">
        <f>ROUND(Table1[[#This Row],[Waist(inch)]]/Table1[[#This Row],[Hip(inch)]],2)</f>
        <v>0.92</v>
      </c>
      <c r="AA219">
        <v>2.2999999999999998</v>
      </c>
      <c r="AB219">
        <v>22</v>
      </c>
      <c r="AC219">
        <v>12.46</v>
      </c>
      <c r="AD219">
        <v>22.7</v>
      </c>
      <c r="AE219" t="str">
        <f>IF(Table1[[#This Row],[Vit D3 (ng/mL)]]&lt;20,"Deficiency","Normal")</f>
        <v>Normal</v>
      </c>
      <c r="AF219">
        <v>0.25</v>
      </c>
      <c r="AG219">
        <v>93</v>
      </c>
      <c r="AH219">
        <v>1</v>
      </c>
      <c r="AI219" t="str">
        <f>IF(Table1[[#This Row],[Weight gain(Y/N)]]=0,"NO","YES")</f>
        <v>YES</v>
      </c>
      <c r="AJ219">
        <v>1</v>
      </c>
      <c r="AK219" t="str">
        <f>IF(Table1[[#This Row],[hair growth(Y/N)]]=1,"YES","NO")</f>
        <v>YES</v>
      </c>
      <c r="AL219">
        <v>0</v>
      </c>
      <c r="AM219" t="str">
        <f>IF(Table1[[#This Row],[Skin darkening (Y/N)]]=1,"YES","NO")</f>
        <v>NO</v>
      </c>
      <c r="AN219">
        <v>1</v>
      </c>
      <c r="AO219" t="str">
        <f>IF(Table1[[#This Row],[Hair loss(Y/N)]]=1,"YES","NO")</f>
        <v>YES</v>
      </c>
      <c r="AP219">
        <v>1</v>
      </c>
      <c r="AQ219" t="str">
        <f>IF(Table1[[#This Row],[Pimples(Y/N)]]=1,"YES","NO")</f>
        <v>YES</v>
      </c>
      <c r="AR219">
        <v>1</v>
      </c>
      <c r="AS219" t="str">
        <f>IF(Table1[[#This Row],[Fast food (Y/N)]]=1,"YES","NO")</f>
        <v>YES</v>
      </c>
      <c r="AT219">
        <v>0</v>
      </c>
      <c r="AU219" t="str">
        <f>IF(Table1[[#This Row],[Reg.Exercise(Y/N)]]=1,"YES","NO")</f>
        <v>NO</v>
      </c>
      <c r="AV219">
        <v>110</v>
      </c>
      <c r="AW219">
        <v>80</v>
      </c>
      <c r="AX219">
        <v>9</v>
      </c>
      <c r="AY219">
        <v>12</v>
      </c>
      <c r="AZ219">
        <v>15</v>
      </c>
      <c r="BA219">
        <v>13</v>
      </c>
      <c r="BB219">
        <v>10</v>
      </c>
      <c r="BC219" t="str" cm="1">
        <f t="array" ref="BC219">_xlfn.IFS((F219/(G219*G219)*10000)&lt; 18.5,"Underweight",(F219/(G219*G219)*10000)&lt;24.9,"Normal",(F219/(G219*G219)*10000)&lt;29.9,"Overweight",(F219/(G219*G219)*10000)&gt;=30,"obesity")</f>
        <v>Overweight</v>
      </c>
      <c r="BD219">
        <f>Table1[[#This Row],[Follicle No. (L)]]+Table1[[#This Row],[Follicle No. (R)]]</f>
        <v>21</v>
      </c>
      <c r="BE219">
        <f>Table1[[#This Row],[Avg. F size (L) (mm)]]+Table1[[#This Row],[Avg. F size (R) (mm)]]</f>
        <v>28</v>
      </c>
      <c r="BF219">
        <f>Table1[[#This Row],[BP _Diastolic (mmHg)]]+(Table1[[#This Row],[BP _Diastolic (mmHg)]]+Table1[[#This Row],[Follicle No. (L)]])/3</f>
        <v>109.66666666666667</v>
      </c>
      <c r="BG219" s="4" t="str" cm="1">
        <f t="array" ref="BG21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19" s="4">
        <f>SUM(Table1[[#This Row],[Pimples(Y/N)]],Table1[[#This Row],[hair growth(Y/N)]],Table1[[#This Row],[Skin darkening (Y/N)]],Table1[[#This Row],[Hair loss(Y/N)]])</f>
        <v>3</v>
      </c>
      <c r="BI219" s="4" t="str">
        <f>IF(AND(Table1[[#This Row],[Pregnant(Y/N)]]=0, Table1[[#This Row],[  I   beta-HCG(mIU/mL)]]&gt;5), "Investigation Required", "Clear")</f>
        <v>Clear</v>
      </c>
    </row>
    <row r="220" spans="1:61" ht="15.75" customHeight="1" x14ac:dyDescent="0.25">
      <c r="A220">
        <v>219</v>
      </c>
      <c r="B220">
        <v>219</v>
      </c>
      <c r="C220">
        <v>0</v>
      </c>
      <c r="D220" t="str">
        <f>IF(Table1[[#This Row],[PCOS (Y/N)]]=0,"NO","YES")</f>
        <v>NO</v>
      </c>
      <c r="E220">
        <v>26</v>
      </c>
      <c r="F220">
        <v>47.8</v>
      </c>
      <c r="G220">
        <v>158</v>
      </c>
      <c r="H220">
        <v>13</v>
      </c>
      <c r="I220">
        <v>72</v>
      </c>
      <c r="J220">
        <v>20</v>
      </c>
      <c r="K220">
        <v>10.199999999999999</v>
      </c>
      <c r="L220">
        <v>2</v>
      </c>
      <c r="M220">
        <v>6</v>
      </c>
      <c r="N220">
        <v>7</v>
      </c>
      <c r="O220">
        <v>1</v>
      </c>
      <c r="P220" t="str">
        <f>IF(Table1[[#This Row],[Pregnant(Y/N)]]=1,"YES","NO")</f>
        <v>YES</v>
      </c>
      <c r="Q220">
        <v>0</v>
      </c>
      <c r="R220">
        <v>70.42</v>
      </c>
      <c r="S220">
        <v>70.42</v>
      </c>
      <c r="T220">
        <v>6.28</v>
      </c>
      <c r="U220">
        <v>4.04</v>
      </c>
      <c r="V220">
        <f>Table1[[#This Row],[FSH(mIU/mL)]]/Table1[[#This Row],[LH(mIU/mL)]]</f>
        <v>1.5544554455445545</v>
      </c>
      <c r="W220" t="str">
        <f>IF(Table1[[#This Row],[FSH/LH]]&gt;=2,"Abnormal","Normal")</f>
        <v>Normal</v>
      </c>
      <c r="X220">
        <v>34</v>
      </c>
      <c r="Y220">
        <v>32</v>
      </c>
      <c r="Z220">
        <f>ROUND(Table1[[#This Row],[Waist(inch)]]/Table1[[#This Row],[Hip(inch)]],2)</f>
        <v>0.94</v>
      </c>
      <c r="AA220">
        <v>2.11</v>
      </c>
      <c r="AB220">
        <v>1.9</v>
      </c>
      <c r="AC220">
        <v>11.83</v>
      </c>
      <c r="AD220">
        <v>23.8</v>
      </c>
      <c r="AE220" t="str">
        <f>IF(Table1[[#This Row],[Vit D3 (ng/mL)]]&lt;20,"Deficiency","Normal")</f>
        <v>Normal</v>
      </c>
      <c r="AF220">
        <v>0.25</v>
      </c>
      <c r="AG220">
        <v>120</v>
      </c>
      <c r="AH220">
        <v>0</v>
      </c>
      <c r="AI220" t="str">
        <f>IF(Table1[[#This Row],[Weight gain(Y/N)]]=0,"NO","YES")</f>
        <v>NO</v>
      </c>
      <c r="AJ220">
        <v>0</v>
      </c>
      <c r="AK220" t="str">
        <f>IF(Table1[[#This Row],[hair growth(Y/N)]]=1,"YES","NO")</f>
        <v>NO</v>
      </c>
      <c r="AL220">
        <v>0</v>
      </c>
      <c r="AM220" t="str">
        <f>IF(Table1[[#This Row],[Skin darkening (Y/N)]]=1,"YES","NO")</f>
        <v>NO</v>
      </c>
      <c r="AN220">
        <v>1</v>
      </c>
      <c r="AO220" t="str">
        <f>IF(Table1[[#This Row],[Hair loss(Y/N)]]=1,"YES","NO")</f>
        <v>YES</v>
      </c>
      <c r="AP220">
        <v>1</v>
      </c>
      <c r="AQ220" t="str">
        <f>IF(Table1[[#This Row],[Pimples(Y/N)]]=1,"YES","NO")</f>
        <v>YES</v>
      </c>
      <c r="AR220">
        <v>0</v>
      </c>
      <c r="AS220" t="str">
        <f>IF(Table1[[#This Row],[Fast food (Y/N)]]=1,"YES","NO")</f>
        <v>NO</v>
      </c>
      <c r="AT220">
        <v>0</v>
      </c>
      <c r="AU220" t="str">
        <f>IF(Table1[[#This Row],[Reg.Exercise(Y/N)]]=1,"YES","NO")</f>
        <v>NO</v>
      </c>
      <c r="AV220">
        <v>120</v>
      </c>
      <c r="AW220">
        <v>80</v>
      </c>
      <c r="AX220">
        <v>6</v>
      </c>
      <c r="AY220">
        <v>6</v>
      </c>
      <c r="AZ220">
        <v>17</v>
      </c>
      <c r="BA220">
        <v>16</v>
      </c>
      <c r="BB220">
        <v>10.199999999999999</v>
      </c>
      <c r="BC220" t="str" cm="1">
        <f t="array" ref="BC220">_xlfn.IFS((F220/(G220*G220)*10000)&lt; 18.5,"Underweight",(F220/(G220*G220)*10000)&lt;24.9,"Normal",(F220/(G220*G220)*10000)&lt;29.9,"Overweight",(F220/(G220*G220)*10000)&gt;=30,"obesity")</f>
        <v>Normal</v>
      </c>
      <c r="BD220">
        <f>Table1[[#This Row],[Follicle No. (L)]]+Table1[[#This Row],[Follicle No. (R)]]</f>
        <v>12</v>
      </c>
      <c r="BE220">
        <f>Table1[[#This Row],[Avg. F size (L) (mm)]]+Table1[[#This Row],[Avg. F size (R) (mm)]]</f>
        <v>33</v>
      </c>
      <c r="BF220">
        <f>Table1[[#This Row],[BP _Diastolic (mmHg)]]+(Table1[[#This Row],[BP _Diastolic (mmHg)]]+Table1[[#This Row],[Follicle No. (L)]])/3</f>
        <v>108.66666666666667</v>
      </c>
      <c r="BG220" s="4" t="str" cm="1">
        <f t="array" ref="BG22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20" s="4">
        <f>SUM(Table1[[#This Row],[Pimples(Y/N)]],Table1[[#This Row],[hair growth(Y/N)]],Table1[[#This Row],[Skin darkening (Y/N)]],Table1[[#This Row],[Hair loss(Y/N)]])</f>
        <v>2</v>
      </c>
      <c r="BI220" s="4" t="str">
        <f>IF(AND(Table1[[#This Row],[Pregnant(Y/N)]]=0, Table1[[#This Row],[  I   beta-HCG(mIU/mL)]]&gt;5), "Investigation Required", "Clear")</f>
        <v>Clear</v>
      </c>
    </row>
    <row r="221" spans="1:61" ht="15.75" customHeight="1" x14ac:dyDescent="0.25">
      <c r="A221">
        <v>220</v>
      </c>
      <c r="B221">
        <v>220</v>
      </c>
      <c r="C221">
        <v>0</v>
      </c>
      <c r="D221" t="str">
        <f>IF(Table1[[#This Row],[PCOS (Y/N)]]=0,"NO","YES")</f>
        <v>NO</v>
      </c>
      <c r="E221">
        <v>27</v>
      </c>
      <c r="F221">
        <v>76.8</v>
      </c>
      <c r="G221">
        <v>155</v>
      </c>
      <c r="H221">
        <v>13</v>
      </c>
      <c r="I221">
        <v>78</v>
      </c>
      <c r="J221">
        <v>20</v>
      </c>
      <c r="K221">
        <v>11.1</v>
      </c>
      <c r="L221">
        <v>4</v>
      </c>
      <c r="M221">
        <v>4</v>
      </c>
      <c r="N221">
        <v>1</v>
      </c>
      <c r="O221">
        <v>0</v>
      </c>
      <c r="P221" t="str">
        <f>IF(Table1[[#This Row],[Pregnant(Y/N)]]=1,"YES","NO")</f>
        <v>NO</v>
      </c>
      <c r="Q221">
        <v>0</v>
      </c>
      <c r="R221">
        <v>342.91</v>
      </c>
      <c r="S221">
        <v>342.91</v>
      </c>
      <c r="T221">
        <v>7.26</v>
      </c>
      <c r="U221">
        <v>5.33</v>
      </c>
      <c r="V221">
        <f>Table1[[#This Row],[FSH(mIU/mL)]]/Table1[[#This Row],[LH(mIU/mL)]]</f>
        <v>1.3621013133208255</v>
      </c>
      <c r="W221" t="str">
        <f>IF(Table1[[#This Row],[FSH/LH]]&gt;=2,"Abnormal","Normal")</f>
        <v>Normal</v>
      </c>
      <c r="X221">
        <v>37</v>
      </c>
      <c r="Y221">
        <v>35</v>
      </c>
      <c r="Z221">
        <f>ROUND(Table1[[#This Row],[Waist(inch)]]/Table1[[#This Row],[Hip(inch)]],2)</f>
        <v>0.95</v>
      </c>
      <c r="AA221">
        <v>6.07</v>
      </c>
      <c r="AB221">
        <v>4.3</v>
      </c>
      <c r="AC221">
        <v>23.54</v>
      </c>
      <c r="AD221">
        <v>21.8</v>
      </c>
      <c r="AE221" t="str">
        <f>IF(Table1[[#This Row],[Vit D3 (ng/mL)]]&lt;20,"Deficiency","Normal")</f>
        <v>Normal</v>
      </c>
      <c r="AF221">
        <v>0.25</v>
      </c>
      <c r="AG221">
        <v>93</v>
      </c>
      <c r="AH221">
        <v>1</v>
      </c>
      <c r="AI221" t="str">
        <f>IF(Table1[[#This Row],[Weight gain(Y/N)]]=0,"NO","YES")</f>
        <v>YES</v>
      </c>
      <c r="AJ221">
        <v>0</v>
      </c>
      <c r="AK221" t="str">
        <f>IF(Table1[[#This Row],[hair growth(Y/N)]]=1,"YES","NO")</f>
        <v>NO</v>
      </c>
      <c r="AL221">
        <v>0</v>
      </c>
      <c r="AM221" t="str">
        <f>IF(Table1[[#This Row],[Skin darkening (Y/N)]]=1,"YES","NO")</f>
        <v>NO</v>
      </c>
      <c r="AN221">
        <v>1</v>
      </c>
      <c r="AO221" t="str">
        <f>IF(Table1[[#This Row],[Hair loss(Y/N)]]=1,"YES","NO")</f>
        <v>YES</v>
      </c>
      <c r="AP221">
        <v>1</v>
      </c>
      <c r="AQ221" t="str">
        <f>IF(Table1[[#This Row],[Pimples(Y/N)]]=1,"YES","NO")</f>
        <v>YES</v>
      </c>
      <c r="AR221">
        <v>1</v>
      </c>
      <c r="AS221" t="str">
        <f>IF(Table1[[#This Row],[Fast food (Y/N)]]=1,"YES","NO")</f>
        <v>YES</v>
      </c>
      <c r="AT221">
        <v>0</v>
      </c>
      <c r="AU221" t="str">
        <f>IF(Table1[[#This Row],[Reg.Exercise(Y/N)]]=1,"YES","NO")</f>
        <v>NO</v>
      </c>
      <c r="AV221">
        <v>120</v>
      </c>
      <c r="AW221">
        <v>80</v>
      </c>
      <c r="AX221">
        <v>3</v>
      </c>
      <c r="AY221">
        <v>2</v>
      </c>
      <c r="AZ221">
        <v>14</v>
      </c>
      <c r="BA221">
        <v>15</v>
      </c>
      <c r="BB221">
        <v>14</v>
      </c>
      <c r="BC221" t="str" cm="1">
        <f t="array" ref="BC221">_xlfn.IFS((F221/(G221*G221)*10000)&lt; 18.5,"Underweight",(F221/(G221*G221)*10000)&lt;24.9,"Normal",(F221/(G221*G221)*10000)&lt;29.9,"Overweight",(F221/(G221*G221)*10000)&gt;=30,"obesity")</f>
        <v>obesity</v>
      </c>
      <c r="BD221">
        <f>Table1[[#This Row],[Follicle No. (L)]]+Table1[[#This Row],[Follicle No. (R)]]</f>
        <v>5</v>
      </c>
      <c r="BE221">
        <f>Table1[[#This Row],[Avg. F size (L) (mm)]]+Table1[[#This Row],[Avg. F size (R) (mm)]]</f>
        <v>29</v>
      </c>
      <c r="BF221">
        <f>Table1[[#This Row],[BP _Diastolic (mmHg)]]+(Table1[[#This Row],[BP _Diastolic (mmHg)]]+Table1[[#This Row],[Follicle No. (L)]])/3</f>
        <v>107.66666666666667</v>
      </c>
      <c r="BG221" s="4" t="str" cm="1">
        <f t="array" ref="BG22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21" s="4">
        <f>SUM(Table1[[#This Row],[Pimples(Y/N)]],Table1[[#This Row],[hair growth(Y/N)]],Table1[[#This Row],[Skin darkening (Y/N)]],Table1[[#This Row],[Hair loss(Y/N)]])</f>
        <v>2</v>
      </c>
      <c r="BI221" s="4" t="str">
        <f>IF(AND(Table1[[#This Row],[Pregnant(Y/N)]]=0, Table1[[#This Row],[  I   beta-HCG(mIU/mL)]]&gt;5), "Investigation Required", "Clear")</f>
        <v>Investigation Required</v>
      </c>
    </row>
    <row r="222" spans="1:61" ht="15.75" customHeight="1" x14ac:dyDescent="0.25">
      <c r="A222">
        <v>221</v>
      </c>
      <c r="B222">
        <v>221</v>
      </c>
      <c r="C222">
        <v>0</v>
      </c>
      <c r="D222" t="str">
        <f>IF(Table1[[#This Row],[PCOS (Y/N)]]=0,"NO","YES")</f>
        <v>NO</v>
      </c>
      <c r="E222">
        <v>39</v>
      </c>
      <c r="F222">
        <v>61</v>
      </c>
      <c r="G222">
        <v>152</v>
      </c>
      <c r="H222">
        <v>11</v>
      </c>
      <c r="I222">
        <v>72</v>
      </c>
      <c r="J222">
        <v>18</v>
      </c>
      <c r="K222">
        <v>11</v>
      </c>
      <c r="L222">
        <v>2</v>
      </c>
      <c r="M222">
        <v>4</v>
      </c>
      <c r="N222">
        <v>20</v>
      </c>
      <c r="O222">
        <v>0</v>
      </c>
      <c r="P222" t="str">
        <f>IF(Table1[[#This Row],[Pregnant(Y/N)]]=1,"YES","NO")</f>
        <v>NO</v>
      </c>
      <c r="Q222">
        <v>3</v>
      </c>
      <c r="R222">
        <v>1.99</v>
      </c>
      <c r="S222">
        <v>1.99</v>
      </c>
      <c r="T222">
        <v>8.91</v>
      </c>
      <c r="U222">
        <v>1.49</v>
      </c>
      <c r="V222">
        <f>Table1[[#This Row],[FSH(mIU/mL)]]/Table1[[#This Row],[LH(mIU/mL)]]</f>
        <v>5.9798657718120802</v>
      </c>
      <c r="W222" t="str">
        <f>IF(Table1[[#This Row],[FSH/LH]]&gt;=2,"Abnormal","Normal")</f>
        <v>Abnormal</v>
      </c>
      <c r="X222">
        <v>36</v>
      </c>
      <c r="Y222">
        <v>34</v>
      </c>
      <c r="Z222">
        <f>ROUND(Table1[[#This Row],[Waist(inch)]]/Table1[[#This Row],[Hip(inch)]],2)</f>
        <v>0.94</v>
      </c>
      <c r="AA222">
        <v>2.31</v>
      </c>
      <c r="AB222">
        <v>0.37</v>
      </c>
      <c r="AC222">
        <v>14.22</v>
      </c>
      <c r="AD222">
        <v>25.5</v>
      </c>
      <c r="AE222" t="str">
        <f>IF(Table1[[#This Row],[Vit D3 (ng/mL)]]&lt;20,"Deficiency","Normal")</f>
        <v>Normal</v>
      </c>
      <c r="AF222">
        <v>0.25</v>
      </c>
      <c r="AG222">
        <v>93</v>
      </c>
      <c r="AH222">
        <v>0</v>
      </c>
      <c r="AI222" t="str">
        <f>IF(Table1[[#This Row],[Weight gain(Y/N)]]=0,"NO","YES")</f>
        <v>NO</v>
      </c>
      <c r="AJ222">
        <v>0</v>
      </c>
      <c r="AK222" t="str">
        <f>IF(Table1[[#This Row],[hair growth(Y/N)]]=1,"YES","NO")</f>
        <v>NO</v>
      </c>
      <c r="AL222">
        <v>0</v>
      </c>
      <c r="AM222" t="str">
        <f>IF(Table1[[#This Row],[Skin darkening (Y/N)]]=1,"YES","NO")</f>
        <v>NO</v>
      </c>
      <c r="AN222">
        <v>1</v>
      </c>
      <c r="AO222" t="str">
        <f>IF(Table1[[#This Row],[Hair loss(Y/N)]]=1,"YES","NO")</f>
        <v>YES</v>
      </c>
      <c r="AP222">
        <v>0</v>
      </c>
      <c r="AQ222" t="str">
        <f>IF(Table1[[#This Row],[Pimples(Y/N)]]=1,"YES","NO")</f>
        <v>NO</v>
      </c>
      <c r="AR222">
        <v>0</v>
      </c>
      <c r="AS222" t="str">
        <f>IF(Table1[[#This Row],[Fast food (Y/N)]]=1,"YES","NO")</f>
        <v>NO</v>
      </c>
      <c r="AT222">
        <v>1</v>
      </c>
      <c r="AU222" t="str">
        <f>IF(Table1[[#This Row],[Reg.Exercise(Y/N)]]=1,"YES","NO")</f>
        <v>YES</v>
      </c>
      <c r="AV222">
        <v>120</v>
      </c>
      <c r="AW222">
        <v>80</v>
      </c>
      <c r="AX222">
        <v>1</v>
      </c>
      <c r="AY222">
        <v>1</v>
      </c>
      <c r="AZ222">
        <v>16</v>
      </c>
      <c r="BA222">
        <v>12</v>
      </c>
      <c r="BB222">
        <v>10</v>
      </c>
      <c r="BC222" t="str" cm="1">
        <f t="array" ref="BC222">_xlfn.IFS((F222/(G222*G222)*10000)&lt; 18.5,"Underweight",(F222/(G222*G222)*10000)&lt;24.9,"Normal",(F222/(G222*G222)*10000)&lt;29.9,"Overweight",(F222/(G222*G222)*10000)&gt;=30,"obesity")</f>
        <v>Overweight</v>
      </c>
      <c r="BD222">
        <f>Table1[[#This Row],[Follicle No. (L)]]+Table1[[#This Row],[Follicle No. (R)]]</f>
        <v>2</v>
      </c>
      <c r="BE222">
        <f>Table1[[#This Row],[Avg. F size (L) (mm)]]+Table1[[#This Row],[Avg. F size (R) (mm)]]</f>
        <v>28</v>
      </c>
      <c r="BF222">
        <f>Table1[[#This Row],[BP _Diastolic (mmHg)]]+(Table1[[#This Row],[BP _Diastolic (mmHg)]]+Table1[[#This Row],[Follicle No. (L)]])/3</f>
        <v>107</v>
      </c>
      <c r="BG222" s="4" t="str" cm="1">
        <f t="array" ref="BG22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22" s="4">
        <f>SUM(Table1[[#This Row],[Pimples(Y/N)]],Table1[[#This Row],[hair growth(Y/N)]],Table1[[#This Row],[Skin darkening (Y/N)]],Table1[[#This Row],[Hair loss(Y/N)]])</f>
        <v>1</v>
      </c>
      <c r="BI222" s="4" t="str">
        <f>IF(AND(Table1[[#This Row],[Pregnant(Y/N)]]=0, Table1[[#This Row],[  I   beta-HCG(mIU/mL)]]&gt;5), "Investigation Required", "Clear")</f>
        <v>Clear</v>
      </c>
    </row>
    <row r="223" spans="1:61" ht="15.75" customHeight="1" x14ac:dyDescent="0.25">
      <c r="A223">
        <v>222</v>
      </c>
      <c r="B223">
        <v>222</v>
      </c>
      <c r="C223">
        <v>1</v>
      </c>
      <c r="D223" t="str">
        <f>IF(Table1[[#This Row],[PCOS (Y/N)]]=0,"NO","YES")</f>
        <v>YES</v>
      </c>
      <c r="E223">
        <v>31</v>
      </c>
      <c r="F223">
        <v>31</v>
      </c>
      <c r="G223">
        <v>158</v>
      </c>
      <c r="H223">
        <v>15</v>
      </c>
      <c r="I223">
        <v>80</v>
      </c>
      <c r="J223">
        <v>20</v>
      </c>
      <c r="K223">
        <v>12</v>
      </c>
      <c r="L223">
        <v>4</v>
      </c>
      <c r="M223">
        <v>3</v>
      </c>
      <c r="N223">
        <v>3</v>
      </c>
      <c r="O223">
        <v>0</v>
      </c>
      <c r="P223" t="str">
        <f>IF(Table1[[#This Row],[Pregnant(Y/N)]]=1,"YES","NO")</f>
        <v>NO</v>
      </c>
      <c r="Q223">
        <v>0</v>
      </c>
      <c r="R223">
        <v>1.99</v>
      </c>
      <c r="S223">
        <v>1.99</v>
      </c>
      <c r="T223">
        <v>3.99</v>
      </c>
      <c r="U223">
        <v>6.63</v>
      </c>
      <c r="V223">
        <f>Table1[[#This Row],[FSH(mIU/mL)]]/Table1[[#This Row],[LH(mIU/mL)]]</f>
        <v>0.6018099547511313</v>
      </c>
      <c r="W223" t="str">
        <f>IF(Table1[[#This Row],[FSH/LH]]&gt;=2,"Abnormal","Normal")</f>
        <v>Normal</v>
      </c>
      <c r="X223">
        <v>32</v>
      </c>
      <c r="Y223">
        <v>28</v>
      </c>
      <c r="Z223">
        <f>ROUND(Table1[[#This Row],[Waist(inch)]]/Table1[[#This Row],[Hip(inch)]],2)</f>
        <v>0.88</v>
      </c>
      <c r="AA223">
        <v>1.3</v>
      </c>
      <c r="AB223">
        <v>17.600000000000001</v>
      </c>
      <c r="AC223">
        <v>13.91</v>
      </c>
      <c r="AD223">
        <v>19.57</v>
      </c>
      <c r="AE223" t="str">
        <f>IF(Table1[[#This Row],[Vit D3 (ng/mL)]]&lt;20,"Deficiency","Normal")</f>
        <v>Deficiency</v>
      </c>
      <c r="AF223">
        <v>0.25</v>
      </c>
      <c r="AG223">
        <v>133</v>
      </c>
      <c r="AH223">
        <v>0</v>
      </c>
      <c r="AI223" t="str">
        <f>IF(Table1[[#This Row],[Weight gain(Y/N)]]=0,"NO","YES")</f>
        <v>NO</v>
      </c>
      <c r="AJ223">
        <v>1</v>
      </c>
      <c r="AK223" t="str">
        <f>IF(Table1[[#This Row],[hair growth(Y/N)]]=1,"YES","NO")</f>
        <v>YES</v>
      </c>
      <c r="AL223">
        <v>1</v>
      </c>
      <c r="AM223" t="str">
        <f>IF(Table1[[#This Row],[Skin darkening (Y/N)]]=1,"YES","NO")</f>
        <v>YES</v>
      </c>
      <c r="AN223">
        <v>1</v>
      </c>
      <c r="AO223" t="str">
        <f>IF(Table1[[#This Row],[Hair loss(Y/N)]]=1,"YES","NO")</f>
        <v>YES</v>
      </c>
      <c r="AP223">
        <v>0</v>
      </c>
      <c r="AQ223" t="str">
        <f>IF(Table1[[#This Row],[Pimples(Y/N)]]=1,"YES","NO")</f>
        <v>NO</v>
      </c>
      <c r="AR223">
        <v>1</v>
      </c>
      <c r="AS223" t="str">
        <f>IF(Table1[[#This Row],[Fast food (Y/N)]]=1,"YES","NO")</f>
        <v>YES</v>
      </c>
      <c r="AT223">
        <v>0</v>
      </c>
      <c r="AU223" t="str">
        <f>IF(Table1[[#This Row],[Reg.Exercise(Y/N)]]=1,"YES","NO")</f>
        <v>NO</v>
      </c>
      <c r="AV223">
        <v>120</v>
      </c>
      <c r="AW223">
        <v>70</v>
      </c>
      <c r="AX223">
        <v>7</v>
      </c>
      <c r="AY223">
        <v>6</v>
      </c>
      <c r="AZ223">
        <v>14</v>
      </c>
      <c r="BA223">
        <v>16</v>
      </c>
      <c r="BB223">
        <v>10</v>
      </c>
      <c r="BC223" t="str" cm="1">
        <f t="array" ref="BC223">_xlfn.IFS((F223/(G223*G223)*10000)&lt; 18.5,"Underweight",(F223/(G223*G223)*10000)&lt;24.9,"Normal",(F223/(G223*G223)*10000)&lt;29.9,"Overweight",(F223/(G223*G223)*10000)&gt;=30,"obesity")</f>
        <v>Underweight</v>
      </c>
      <c r="BD223">
        <f>Table1[[#This Row],[Follicle No. (L)]]+Table1[[#This Row],[Follicle No. (R)]]</f>
        <v>13</v>
      </c>
      <c r="BE223">
        <f>Table1[[#This Row],[Avg. F size (L) (mm)]]+Table1[[#This Row],[Avg. F size (R) (mm)]]</f>
        <v>30</v>
      </c>
      <c r="BF223">
        <f>Table1[[#This Row],[BP _Diastolic (mmHg)]]+(Table1[[#This Row],[BP _Diastolic (mmHg)]]+Table1[[#This Row],[Follicle No. (L)]])/3</f>
        <v>95.666666666666671</v>
      </c>
      <c r="BG223" s="4" t="str" cm="1">
        <f t="array" ref="BG22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23" s="4">
        <f>SUM(Table1[[#This Row],[Pimples(Y/N)]],Table1[[#This Row],[hair growth(Y/N)]],Table1[[#This Row],[Skin darkening (Y/N)]],Table1[[#This Row],[Hair loss(Y/N)]])</f>
        <v>3</v>
      </c>
      <c r="BI223" s="4" t="str">
        <f>IF(AND(Table1[[#This Row],[Pregnant(Y/N)]]=0, Table1[[#This Row],[  I   beta-HCG(mIU/mL)]]&gt;5), "Investigation Required", "Clear")</f>
        <v>Clear</v>
      </c>
    </row>
    <row r="224" spans="1:61" ht="15.75" customHeight="1" x14ac:dyDescent="0.25">
      <c r="A224">
        <v>223</v>
      </c>
      <c r="B224">
        <v>223</v>
      </c>
      <c r="C224">
        <v>1</v>
      </c>
      <c r="D224" t="str">
        <f>IF(Table1[[#This Row],[PCOS (Y/N)]]=0,"NO","YES")</f>
        <v>YES</v>
      </c>
      <c r="E224">
        <v>27</v>
      </c>
      <c r="F224">
        <v>65</v>
      </c>
      <c r="G224">
        <v>158</v>
      </c>
      <c r="H224">
        <v>17</v>
      </c>
      <c r="I224">
        <v>78</v>
      </c>
      <c r="J224">
        <v>20</v>
      </c>
      <c r="K224">
        <v>11.1</v>
      </c>
      <c r="L224">
        <v>2</v>
      </c>
      <c r="M224">
        <v>5</v>
      </c>
      <c r="N224">
        <v>5</v>
      </c>
      <c r="O224">
        <v>1</v>
      </c>
      <c r="P224" t="str">
        <f>IF(Table1[[#This Row],[Pregnant(Y/N)]]=1,"YES","NO")</f>
        <v>YES</v>
      </c>
      <c r="Q224">
        <v>0</v>
      </c>
      <c r="R224">
        <v>148.52000000000001</v>
      </c>
      <c r="S224">
        <v>148.52000000000001</v>
      </c>
      <c r="T224">
        <v>4.96</v>
      </c>
      <c r="U224">
        <v>1.75</v>
      </c>
      <c r="V224">
        <f>Table1[[#This Row],[FSH(mIU/mL)]]/Table1[[#This Row],[LH(mIU/mL)]]</f>
        <v>2.8342857142857141</v>
      </c>
      <c r="W224" t="str">
        <f>IF(Table1[[#This Row],[FSH/LH]]&gt;=2,"Abnormal","Normal")</f>
        <v>Abnormal</v>
      </c>
      <c r="X224">
        <v>35</v>
      </c>
      <c r="Y224">
        <v>32</v>
      </c>
      <c r="Z224">
        <f>ROUND(Table1[[#This Row],[Waist(inch)]]/Table1[[#This Row],[Hip(inch)]],2)</f>
        <v>0.91</v>
      </c>
      <c r="AA224">
        <v>2.2000000000000002</v>
      </c>
      <c r="AB224">
        <v>1.1000000000000001</v>
      </c>
      <c r="AC224">
        <v>12.11</v>
      </c>
      <c r="AD224">
        <v>25.7</v>
      </c>
      <c r="AE224" t="str">
        <f>IF(Table1[[#This Row],[Vit D3 (ng/mL)]]&lt;20,"Deficiency","Normal")</f>
        <v>Normal</v>
      </c>
      <c r="AF224">
        <v>0.35</v>
      </c>
      <c r="AG224">
        <v>93</v>
      </c>
      <c r="AH224">
        <v>1</v>
      </c>
      <c r="AI224" t="str">
        <f>IF(Table1[[#This Row],[Weight gain(Y/N)]]=0,"NO","YES")</f>
        <v>YES</v>
      </c>
      <c r="AJ224">
        <v>1</v>
      </c>
      <c r="AK224" t="str">
        <f>IF(Table1[[#This Row],[hair growth(Y/N)]]=1,"YES","NO")</f>
        <v>YES</v>
      </c>
      <c r="AL224">
        <v>1</v>
      </c>
      <c r="AM224" t="str">
        <f>IF(Table1[[#This Row],[Skin darkening (Y/N)]]=1,"YES","NO")</f>
        <v>YES</v>
      </c>
      <c r="AN224">
        <v>0</v>
      </c>
      <c r="AO224" t="str">
        <f>IF(Table1[[#This Row],[Hair loss(Y/N)]]=1,"YES","NO")</f>
        <v>NO</v>
      </c>
      <c r="AP224">
        <v>1</v>
      </c>
      <c r="AQ224" t="str">
        <f>IF(Table1[[#This Row],[Pimples(Y/N)]]=1,"YES","NO")</f>
        <v>YES</v>
      </c>
      <c r="AR224">
        <v>1</v>
      </c>
      <c r="AS224" t="str">
        <f>IF(Table1[[#This Row],[Fast food (Y/N)]]=1,"YES","NO")</f>
        <v>YES</v>
      </c>
      <c r="AT224">
        <v>0</v>
      </c>
      <c r="AU224" t="str">
        <f>IF(Table1[[#This Row],[Reg.Exercise(Y/N)]]=1,"YES","NO")</f>
        <v>NO</v>
      </c>
      <c r="AV224">
        <v>120</v>
      </c>
      <c r="AW224">
        <v>70</v>
      </c>
      <c r="AX224">
        <v>14</v>
      </c>
      <c r="AY224">
        <v>10</v>
      </c>
      <c r="AZ224">
        <v>16</v>
      </c>
      <c r="BA224">
        <v>15</v>
      </c>
      <c r="BB224">
        <v>8</v>
      </c>
      <c r="BC224" t="str" cm="1">
        <f t="array" ref="BC224">_xlfn.IFS((F224/(G224*G224)*10000)&lt; 18.5,"Underweight",(F224/(G224*G224)*10000)&lt;24.9,"Normal",(F224/(G224*G224)*10000)&lt;29.9,"Overweight",(F224/(G224*G224)*10000)&gt;=30,"obesity")</f>
        <v>Overweight</v>
      </c>
      <c r="BD224">
        <f>Table1[[#This Row],[Follicle No. (L)]]+Table1[[#This Row],[Follicle No. (R)]]</f>
        <v>24</v>
      </c>
      <c r="BE224">
        <f>Table1[[#This Row],[Avg. F size (L) (mm)]]+Table1[[#This Row],[Avg. F size (R) (mm)]]</f>
        <v>31</v>
      </c>
      <c r="BF224">
        <f>Table1[[#This Row],[BP _Diastolic (mmHg)]]+(Table1[[#This Row],[BP _Diastolic (mmHg)]]+Table1[[#This Row],[Follicle No. (L)]])/3</f>
        <v>98</v>
      </c>
      <c r="BG224" s="4" t="str" cm="1">
        <f t="array" ref="BG22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24" s="4">
        <f>SUM(Table1[[#This Row],[Pimples(Y/N)]],Table1[[#This Row],[hair growth(Y/N)]],Table1[[#This Row],[Skin darkening (Y/N)]],Table1[[#This Row],[Hair loss(Y/N)]])</f>
        <v>3</v>
      </c>
      <c r="BI224" s="4" t="str">
        <f>IF(AND(Table1[[#This Row],[Pregnant(Y/N)]]=0, Table1[[#This Row],[  I   beta-HCG(mIU/mL)]]&gt;5), "Investigation Required", "Clear")</f>
        <v>Clear</v>
      </c>
    </row>
    <row r="225" spans="1:61" ht="15.75" customHeight="1" x14ac:dyDescent="0.25">
      <c r="A225">
        <v>224</v>
      </c>
      <c r="B225">
        <v>224</v>
      </c>
      <c r="C225">
        <v>0</v>
      </c>
      <c r="D225" t="str">
        <f>IF(Table1[[#This Row],[PCOS (Y/N)]]=0,"NO","YES")</f>
        <v>NO</v>
      </c>
      <c r="E225">
        <v>30</v>
      </c>
      <c r="F225">
        <v>62</v>
      </c>
      <c r="G225">
        <v>169</v>
      </c>
      <c r="H225">
        <v>11</v>
      </c>
      <c r="I225">
        <v>18</v>
      </c>
      <c r="J225">
        <v>20</v>
      </c>
      <c r="K225">
        <v>12</v>
      </c>
      <c r="L225">
        <v>2</v>
      </c>
      <c r="M225">
        <v>5</v>
      </c>
      <c r="N225">
        <v>5</v>
      </c>
      <c r="O225">
        <v>0</v>
      </c>
      <c r="P225" t="str">
        <f>IF(Table1[[#This Row],[Pregnant(Y/N)]]=1,"YES","NO")</f>
        <v>NO</v>
      </c>
      <c r="Q225">
        <v>0</v>
      </c>
      <c r="R225">
        <v>1.99</v>
      </c>
      <c r="S225">
        <v>1.99</v>
      </c>
      <c r="T225">
        <v>7.04</v>
      </c>
      <c r="U225">
        <v>4.09</v>
      </c>
      <c r="V225">
        <f>Table1[[#This Row],[FSH(mIU/mL)]]/Table1[[#This Row],[LH(mIU/mL)]]</f>
        <v>1.7212713936430319</v>
      </c>
      <c r="W225" t="str">
        <f>IF(Table1[[#This Row],[FSH/LH]]&gt;=2,"Abnormal","Normal")</f>
        <v>Normal</v>
      </c>
      <c r="X225">
        <v>38</v>
      </c>
      <c r="Y225">
        <v>34</v>
      </c>
      <c r="Z225">
        <f>ROUND(Table1[[#This Row],[Waist(inch)]]/Table1[[#This Row],[Hip(inch)]],2)</f>
        <v>0.89</v>
      </c>
      <c r="AA225">
        <v>1.54</v>
      </c>
      <c r="AB225">
        <v>7.8</v>
      </c>
      <c r="AC225">
        <v>19.600000000000001</v>
      </c>
      <c r="AD225">
        <v>31.8</v>
      </c>
      <c r="AE225" t="str">
        <f>IF(Table1[[#This Row],[Vit D3 (ng/mL)]]&lt;20,"Deficiency","Normal")</f>
        <v>Normal</v>
      </c>
      <c r="AF225">
        <v>0.25</v>
      </c>
      <c r="AG225">
        <v>95</v>
      </c>
      <c r="AH225">
        <v>0</v>
      </c>
      <c r="AI225" t="str">
        <f>IF(Table1[[#This Row],[Weight gain(Y/N)]]=0,"NO","YES")</f>
        <v>NO</v>
      </c>
      <c r="AJ225">
        <v>0</v>
      </c>
      <c r="AK225" t="str">
        <f>IF(Table1[[#This Row],[hair growth(Y/N)]]=1,"YES","NO")</f>
        <v>NO</v>
      </c>
      <c r="AL225">
        <v>0</v>
      </c>
      <c r="AM225" t="str">
        <f>IF(Table1[[#This Row],[Skin darkening (Y/N)]]=1,"YES","NO")</f>
        <v>NO</v>
      </c>
      <c r="AN225">
        <v>1</v>
      </c>
      <c r="AO225" t="str">
        <f>IF(Table1[[#This Row],[Hair loss(Y/N)]]=1,"YES","NO")</f>
        <v>YES</v>
      </c>
      <c r="AP225">
        <v>0</v>
      </c>
      <c r="AQ225" t="str">
        <f>IF(Table1[[#This Row],[Pimples(Y/N)]]=1,"YES","NO")</f>
        <v>NO</v>
      </c>
      <c r="AR225">
        <v>1</v>
      </c>
      <c r="AS225" t="str">
        <f>IF(Table1[[#This Row],[Fast food (Y/N)]]=1,"YES","NO")</f>
        <v>YES</v>
      </c>
      <c r="AT225">
        <v>1</v>
      </c>
      <c r="AU225" t="str">
        <f>IF(Table1[[#This Row],[Reg.Exercise(Y/N)]]=1,"YES","NO")</f>
        <v>YES</v>
      </c>
      <c r="AV225">
        <v>120</v>
      </c>
      <c r="AW225">
        <v>70</v>
      </c>
      <c r="AX225">
        <v>4</v>
      </c>
      <c r="AY225">
        <v>3</v>
      </c>
      <c r="AZ225">
        <v>14</v>
      </c>
      <c r="BA225">
        <v>18</v>
      </c>
      <c r="BB225">
        <v>8.6999999999999993</v>
      </c>
      <c r="BC225" t="str" cm="1">
        <f t="array" ref="BC225">_xlfn.IFS((F225/(G225*G225)*10000)&lt; 18.5,"Underweight",(F225/(G225*G225)*10000)&lt;24.9,"Normal",(F225/(G225*G225)*10000)&lt;29.9,"Overweight",(F225/(G225*G225)*10000)&gt;=30,"obesity")</f>
        <v>Normal</v>
      </c>
      <c r="BD225">
        <f>Table1[[#This Row],[Follicle No. (L)]]+Table1[[#This Row],[Follicle No. (R)]]</f>
        <v>7</v>
      </c>
      <c r="BE225">
        <f>Table1[[#This Row],[Avg. F size (L) (mm)]]+Table1[[#This Row],[Avg. F size (R) (mm)]]</f>
        <v>32</v>
      </c>
      <c r="BF225">
        <f>Table1[[#This Row],[BP _Diastolic (mmHg)]]+(Table1[[#This Row],[BP _Diastolic (mmHg)]]+Table1[[#This Row],[Follicle No. (L)]])/3</f>
        <v>94.666666666666671</v>
      </c>
      <c r="BG225" s="4" t="str" cm="1">
        <f t="array" ref="BG22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25" s="4">
        <f>SUM(Table1[[#This Row],[Pimples(Y/N)]],Table1[[#This Row],[hair growth(Y/N)]],Table1[[#This Row],[Skin darkening (Y/N)]],Table1[[#This Row],[Hair loss(Y/N)]])</f>
        <v>1</v>
      </c>
      <c r="BI225" s="4" t="str">
        <f>IF(AND(Table1[[#This Row],[Pregnant(Y/N)]]=0, Table1[[#This Row],[  I   beta-HCG(mIU/mL)]]&gt;5), "Investigation Required", "Clear")</f>
        <v>Clear</v>
      </c>
    </row>
    <row r="226" spans="1:61" ht="15.75" customHeight="1" x14ac:dyDescent="0.25">
      <c r="A226">
        <v>225</v>
      </c>
      <c r="B226">
        <v>225</v>
      </c>
      <c r="C226">
        <v>0</v>
      </c>
      <c r="D226" t="str">
        <f>IF(Table1[[#This Row],[PCOS (Y/N)]]=0,"NO","YES")</f>
        <v>NO</v>
      </c>
      <c r="E226">
        <v>36</v>
      </c>
      <c r="F226">
        <v>62</v>
      </c>
      <c r="G226">
        <v>152</v>
      </c>
      <c r="H226">
        <v>11</v>
      </c>
      <c r="I226">
        <v>70</v>
      </c>
      <c r="J226">
        <v>18</v>
      </c>
      <c r="K226">
        <v>10</v>
      </c>
      <c r="L226">
        <v>2</v>
      </c>
      <c r="M226">
        <v>6</v>
      </c>
      <c r="N226">
        <v>11</v>
      </c>
      <c r="O226">
        <v>0</v>
      </c>
      <c r="P226" t="str">
        <f>IF(Table1[[#This Row],[Pregnant(Y/N)]]=1,"YES","NO")</f>
        <v>NO</v>
      </c>
      <c r="Q226">
        <v>0</v>
      </c>
      <c r="R226">
        <v>1.99</v>
      </c>
      <c r="S226">
        <v>1.99</v>
      </c>
      <c r="T226">
        <v>4.59</v>
      </c>
      <c r="U226">
        <v>0.57999999999999996</v>
      </c>
      <c r="V226">
        <f>Table1[[#This Row],[FSH(mIU/mL)]]/Table1[[#This Row],[LH(mIU/mL)]]</f>
        <v>7.9137931034482758</v>
      </c>
      <c r="W226" t="str">
        <f>IF(Table1[[#This Row],[FSH/LH]]&gt;=2,"Abnormal","Normal")</f>
        <v>Abnormal</v>
      </c>
      <c r="X226">
        <v>38</v>
      </c>
      <c r="Y226">
        <v>36</v>
      </c>
      <c r="Z226">
        <f>ROUND(Table1[[#This Row],[Waist(inch)]]/Table1[[#This Row],[Hip(inch)]],2)</f>
        <v>0.95</v>
      </c>
      <c r="AA226">
        <v>2.67</v>
      </c>
      <c r="AB226">
        <v>2.9</v>
      </c>
      <c r="AC226">
        <v>45.46</v>
      </c>
      <c r="AD226">
        <v>18.7</v>
      </c>
      <c r="AE226" t="str">
        <f>IF(Table1[[#This Row],[Vit D3 (ng/mL)]]&lt;20,"Deficiency","Normal")</f>
        <v>Deficiency</v>
      </c>
      <c r="AF226">
        <v>0.35</v>
      </c>
      <c r="AG226">
        <v>106</v>
      </c>
      <c r="AH226">
        <v>1</v>
      </c>
      <c r="AI226" t="str">
        <f>IF(Table1[[#This Row],[Weight gain(Y/N)]]=0,"NO","YES")</f>
        <v>YES</v>
      </c>
      <c r="AJ226">
        <v>0</v>
      </c>
      <c r="AK226" t="str">
        <f>IF(Table1[[#This Row],[hair growth(Y/N)]]=1,"YES","NO")</f>
        <v>NO</v>
      </c>
      <c r="AL226">
        <v>1</v>
      </c>
      <c r="AM226" t="str">
        <f>IF(Table1[[#This Row],[Skin darkening (Y/N)]]=1,"YES","NO")</f>
        <v>YES</v>
      </c>
      <c r="AN226">
        <v>1</v>
      </c>
      <c r="AO226" t="str">
        <f>IF(Table1[[#This Row],[Hair loss(Y/N)]]=1,"YES","NO")</f>
        <v>YES</v>
      </c>
      <c r="AP226">
        <v>0</v>
      </c>
      <c r="AQ226" t="str">
        <f>IF(Table1[[#This Row],[Pimples(Y/N)]]=1,"YES","NO")</f>
        <v>NO</v>
      </c>
      <c r="AR226">
        <v>1</v>
      </c>
      <c r="AS226" t="str">
        <f>IF(Table1[[#This Row],[Fast food (Y/N)]]=1,"YES","NO")</f>
        <v>YES</v>
      </c>
      <c r="AT226">
        <v>0</v>
      </c>
      <c r="AU226" t="str">
        <f>IF(Table1[[#This Row],[Reg.Exercise(Y/N)]]=1,"YES","NO")</f>
        <v>NO</v>
      </c>
      <c r="AV226">
        <v>110</v>
      </c>
      <c r="AW226">
        <v>80</v>
      </c>
      <c r="AX226">
        <v>6</v>
      </c>
      <c r="AY226">
        <v>6</v>
      </c>
      <c r="AZ226">
        <v>17</v>
      </c>
      <c r="BA226">
        <v>16</v>
      </c>
      <c r="BB226">
        <v>7.7</v>
      </c>
      <c r="BC226" t="str" cm="1">
        <f t="array" ref="BC226">_xlfn.IFS((F226/(G226*G226)*10000)&lt; 18.5,"Underweight",(F226/(G226*G226)*10000)&lt;24.9,"Normal",(F226/(G226*G226)*10000)&lt;29.9,"Overweight",(F226/(G226*G226)*10000)&gt;=30,"obesity")</f>
        <v>Overweight</v>
      </c>
      <c r="BD226">
        <f>Table1[[#This Row],[Follicle No. (L)]]+Table1[[#This Row],[Follicle No. (R)]]</f>
        <v>12</v>
      </c>
      <c r="BE226">
        <f>Table1[[#This Row],[Avg. F size (L) (mm)]]+Table1[[#This Row],[Avg. F size (R) (mm)]]</f>
        <v>33</v>
      </c>
      <c r="BF226">
        <f>Table1[[#This Row],[BP _Diastolic (mmHg)]]+(Table1[[#This Row],[BP _Diastolic (mmHg)]]+Table1[[#This Row],[Follicle No. (L)]])/3</f>
        <v>108.66666666666667</v>
      </c>
      <c r="BG226" s="4" t="str" cm="1">
        <f t="array" ref="BG22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26" s="4">
        <f>SUM(Table1[[#This Row],[Pimples(Y/N)]],Table1[[#This Row],[hair growth(Y/N)]],Table1[[#This Row],[Skin darkening (Y/N)]],Table1[[#This Row],[Hair loss(Y/N)]])</f>
        <v>2</v>
      </c>
      <c r="BI226" s="4" t="str">
        <f>IF(AND(Table1[[#This Row],[Pregnant(Y/N)]]=0, Table1[[#This Row],[  I   beta-HCG(mIU/mL)]]&gt;5), "Investigation Required", "Clear")</f>
        <v>Clear</v>
      </c>
    </row>
    <row r="227" spans="1:61" ht="15.75" customHeight="1" x14ac:dyDescent="0.25">
      <c r="A227">
        <v>226</v>
      </c>
      <c r="B227">
        <v>226</v>
      </c>
      <c r="C227">
        <v>0</v>
      </c>
      <c r="D227" t="str">
        <f>IF(Table1[[#This Row],[PCOS (Y/N)]]=0,"NO","YES")</f>
        <v>NO</v>
      </c>
      <c r="E227">
        <v>32</v>
      </c>
      <c r="F227">
        <v>52</v>
      </c>
      <c r="G227">
        <v>150</v>
      </c>
      <c r="H227">
        <v>13</v>
      </c>
      <c r="I227">
        <v>70</v>
      </c>
      <c r="J227">
        <v>18</v>
      </c>
      <c r="K227">
        <v>9.4</v>
      </c>
      <c r="L227">
        <v>2</v>
      </c>
      <c r="M227">
        <v>5</v>
      </c>
      <c r="N227">
        <v>12</v>
      </c>
      <c r="O227">
        <v>0</v>
      </c>
      <c r="P227" t="str">
        <f>IF(Table1[[#This Row],[Pregnant(Y/N)]]=1,"YES","NO")</f>
        <v>NO</v>
      </c>
      <c r="Q227">
        <v>0</v>
      </c>
      <c r="R227">
        <v>272.77999999999997</v>
      </c>
      <c r="S227">
        <v>272.77999999999997</v>
      </c>
      <c r="T227">
        <v>4.33</v>
      </c>
      <c r="U227">
        <v>2.11</v>
      </c>
      <c r="V227">
        <f>Table1[[#This Row],[FSH(mIU/mL)]]/Table1[[#This Row],[LH(mIU/mL)]]</f>
        <v>2.0521327014218009</v>
      </c>
      <c r="W227" t="str">
        <f>IF(Table1[[#This Row],[FSH/LH]]&gt;=2,"Abnormal","Normal")</f>
        <v>Abnormal</v>
      </c>
      <c r="X227">
        <v>35</v>
      </c>
      <c r="Y227">
        <v>33</v>
      </c>
      <c r="Z227">
        <f>ROUND(Table1[[#This Row],[Waist(inch)]]/Table1[[#This Row],[Hip(inch)]],2)</f>
        <v>0.94</v>
      </c>
      <c r="AA227">
        <v>2.1</v>
      </c>
      <c r="AB227">
        <v>7.7</v>
      </c>
      <c r="AC227">
        <v>40.47</v>
      </c>
      <c r="AD227">
        <v>41</v>
      </c>
      <c r="AE227" t="str">
        <f>IF(Table1[[#This Row],[Vit D3 (ng/mL)]]&lt;20,"Deficiency","Normal")</f>
        <v>Normal</v>
      </c>
      <c r="AF227">
        <v>0.25</v>
      </c>
      <c r="AG227">
        <v>93</v>
      </c>
      <c r="AH227">
        <v>0</v>
      </c>
      <c r="AI227" t="str">
        <f>IF(Table1[[#This Row],[Weight gain(Y/N)]]=0,"NO","YES")</f>
        <v>NO</v>
      </c>
      <c r="AJ227">
        <v>0</v>
      </c>
      <c r="AK227" t="str">
        <f>IF(Table1[[#This Row],[hair growth(Y/N)]]=1,"YES","NO")</f>
        <v>NO</v>
      </c>
      <c r="AL227">
        <v>0</v>
      </c>
      <c r="AM227" t="str">
        <f>IF(Table1[[#This Row],[Skin darkening (Y/N)]]=1,"YES","NO")</f>
        <v>NO</v>
      </c>
      <c r="AN227">
        <v>1</v>
      </c>
      <c r="AO227" t="str">
        <f>IF(Table1[[#This Row],[Hair loss(Y/N)]]=1,"YES","NO")</f>
        <v>YES</v>
      </c>
      <c r="AP227">
        <v>0</v>
      </c>
      <c r="AQ227" t="str">
        <f>IF(Table1[[#This Row],[Pimples(Y/N)]]=1,"YES","NO")</f>
        <v>NO</v>
      </c>
      <c r="AR227">
        <v>0</v>
      </c>
      <c r="AS227" t="str">
        <f>IF(Table1[[#This Row],[Fast food (Y/N)]]=1,"YES","NO")</f>
        <v>NO</v>
      </c>
      <c r="AT227">
        <v>1</v>
      </c>
      <c r="AU227" t="str">
        <f>IF(Table1[[#This Row],[Reg.Exercise(Y/N)]]=1,"YES","NO")</f>
        <v>YES</v>
      </c>
      <c r="AV227">
        <v>110</v>
      </c>
      <c r="AW227">
        <v>80</v>
      </c>
      <c r="AX227">
        <v>6</v>
      </c>
      <c r="AY227">
        <v>7</v>
      </c>
      <c r="AZ227">
        <v>16</v>
      </c>
      <c r="BA227">
        <v>15</v>
      </c>
      <c r="BB227">
        <v>12</v>
      </c>
      <c r="BC227" t="str" cm="1">
        <f t="array" ref="BC227">_xlfn.IFS((F227/(G227*G227)*10000)&lt; 18.5,"Underweight",(F227/(G227*G227)*10000)&lt;24.9,"Normal",(F227/(G227*G227)*10000)&lt;29.9,"Overweight",(F227/(G227*G227)*10000)&gt;=30,"obesity")</f>
        <v>Normal</v>
      </c>
      <c r="BD227">
        <f>Table1[[#This Row],[Follicle No. (L)]]+Table1[[#This Row],[Follicle No. (R)]]</f>
        <v>13</v>
      </c>
      <c r="BE227">
        <f>Table1[[#This Row],[Avg. F size (L) (mm)]]+Table1[[#This Row],[Avg. F size (R) (mm)]]</f>
        <v>31</v>
      </c>
      <c r="BF227">
        <f>Table1[[#This Row],[BP _Diastolic (mmHg)]]+(Table1[[#This Row],[BP _Diastolic (mmHg)]]+Table1[[#This Row],[Follicle No. (L)]])/3</f>
        <v>108.66666666666667</v>
      </c>
      <c r="BG227" s="4" t="str" cm="1">
        <f t="array" ref="BG22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27" s="4">
        <f>SUM(Table1[[#This Row],[Pimples(Y/N)]],Table1[[#This Row],[hair growth(Y/N)]],Table1[[#This Row],[Skin darkening (Y/N)]],Table1[[#This Row],[Hair loss(Y/N)]])</f>
        <v>1</v>
      </c>
      <c r="BI227" s="4" t="str">
        <f>IF(AND(Table1[[#This Row],[Pregnant(Y/N)]]=0, Table1[[#This Row],[  I   beta-HCG(mIU/mL)]]&gt;5), "Investigation Required", "Clear")</f>
        <v>Investigation Required</v>
      </c>
    </row>
    <row r="228" spans="1:61" ht="15.75" customHeight="1" x14ac:dyDescent="0.25">
      <c r="A228">
        <v>227</v>
      </c>
      <c r="B228">
        <v>227</v>
      </c>
      <c r="C228">
        <v>0</v>
      </c>
      <c r="D228" t="str">
        <f>IF(Table1[[#This Row],[PCOS (Y/N)]]=0,"NO","YES")</f>
        <v>NO</v>
      </c>
      <c r="E228">
        <v>35</v>
      </c>
      <c r="F228">
        <v>61</v>
      </c>
      <c r="G228">
        <v>158</v>
      </c>
      <c r="H228">
        <v>13</v>
      </c>
      <c r="I228">
        <v>72</v>
      </c>
      <c r="J228">
        <v>18</v>
      </c>
      <c r="K228">
        <v>10.5</v>
      </c>
      <c r="L228">
        <v>2</v>
      </c>
      <c r="M228">
        <v>6</v>
      </c>
      <c r="N228">
        <v>13</v>
      </c>
      <c r="O228">
        <v>1</v>
      </c>
      <c r="P228" t="str">
        <f>IF(Table1[[#This Row],[Pregnant(Y/N)]]=1,"YES","NO")</f>
        <v>YES</v>
      </c>
      <c r="Q228">
        <v>1</v>
      </c>
      <c r="R228">
        <v>355.51</v>
      </c>
      <c r="S228">
        <v>355.51</v>
      </c>
      <c r="T228">
        <v>3.71</v>
      </c>
      <c r="U228">
        <v>2.67</v>
      </c>
      <c r="V228">
        <f>Table1[[#This Row],[FSH(mIU/mL)]]/Table1[[#This Row],[LH(mIU/mL)]]</f>
        <v>1.3895131086142323</v>
      </c>
      <c r="W228" t="str">
        <f>IF(Table1[[#This Row],[FSH/LH]]&gt;=2,"Abnormal","Normal")</f>
        <v>Normal</v>
      </c>
      <c r="X228">
        <v>36</v>
      </c>
      <c r="Y228">
        <v>34</v>
      </c>
      <c r="Z228">
        <f>ROUND(Table1[[#This Row],[Waist(inch)]]/Table1[[#This Row],[Hip(inch)]],2)</f>
        <v>0.94</v>
      </c>
      <c r="AA228">
        <v>2.97</v>
      </c>
      <c r="AB228">
        <v>9.6999999999999993</v>
      </c>
      <c r="AC228">
        <v>20.350000000000001</v>
      </c>
      <c r="AD228">
        <v>15</v>
      </c>
      <c r="AE228" t="str">
        <f>IF(Table1[[#This Row],[Vit D3 (ng/mL)]]&lt;20,"Deficiency","Normal")</f>
        <v>Deficiency</v>
      </c>
      <c r="AF228">
        <v>0.25</v>
      </c>
      <c r="AG228">
        <v>93</v>
      </c>
      <c r="AH228">
        <v>0</v>
      </c>
      <c r="AI228" t="str">
        <f>IF(Table1[[#This Row],[Weight gain(Y/N)]]=0,"NO","YES")</f>
        <v>NO</v>
      </c>
      <c r="AJ228">
        <v>1</v>
      </c>
      <c r="AK228" t="str">
        <f>IF(Table1[[#This Row],[hair growth(Y/N)]]=1,"YES","NO")</f>
        <v>YES</v>
      </c>
      <c r="AL228">
        <v>0</v>
      </c>
      <c r="AM228" t="str">
        <f>IF(Table1[[#This Row],[Skin darkening (Y/N)]]=1,"YES","NO")</f>
        <v>NO</v>
      </c>
      <c r="AN228">
        <v>0</v>
      </c>
      <c r="AO228" t="str">
        <f>IF(Table1[[#This Row],[Hair loss(Y/N)]]=1,"YES","NO")</f>
        <v>NO</v>
      </c>
      <c r="AP228">
        <v>1</v>
      </c>
      <c r="AQ228" t="str">
        <f>IF(Table1[[#This Row],[Pimples(Y/N)]]=1,"YES","NO")</f>
        <v>YES</v>
      </c>
      <c r="AR228">
        <v>1</v>
      </c>
      <c r="AS228" t="str">
        <f>IF(Table1[[#This Row],[Fast food (Y/N)]]=1,"YES","NO")</f>
        <v>YES</v>
      </c>
      <c r="AT228">
        <v>1</v>
      </c>
      <c r="AU228" t="str">
        <f>IF(Table1[[#This Row],[Reg.Exercise(Y/N)]]=1,"YES","NO")</f>
        <v>YES</v>
      </c>
      <c r="AV228">
        <v>120</v>
      </c>
      <c r="AW228">
        <v>80</v>
      </c>
      <c r="AX228">
        <v>12</v>
      </c>
      <c r="AY228">
        <v>13</v>
      </c>
      <c r="AZ228">
        <v>14</v>
      </c>
      <c r="BA228">
        <v>17</v>
      </c>
      <c r="BB228">
        <v>13</v>
      </c>
      <c r="BC228" t="str" cm="1">
        <f t="array" ref="BC228">_xlfn.IFS((F228/(G228*G228)*10000)&lt; 18.5,"Underweight",(F228/(G228*G228)*10000)&lt;24.9,"Normal",(F228/(G228*G228)*10000)&lt;29.9,"Overweight",(F228/(G228*G228)*10000)&gt;=30,"obesity")</f>
        <v>Normal</v>
      </c>
      <c r="BD228">
        <f>Table1[[#This Row],[Follicle No. (L)]]+Table1[[#This Row],[Follicle No. (R)]]</f>
        <v>25</v>
      </c>
      <c r="BE228">
        <f>Table1[[#This Row],[Avg. F size (L) (mm)]]+Table1[[#This Row],[Avg. F size (R) (mm)]]</f>
        <v>31</v>
      </c>
      <c r="BF228">
        <f>Table1[[#This Row],[BP _Diastolic (mmHg)]]+(Table1[[#This Row],[BP _Diastolic (mmHg)]]+Table1[[#This Row],[Follicle No. (L)]])/3</f>
        <v>110.66666666666667</v>
      </c>
      <c r="BG228" s="4" t="str" cm="1">
        <f t="array" ref="BG22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28" s="4">
        <f>SUM(Table1[[#This Row],[Pimples(Y/N)]],Table1[[#This Row],[hair growth(Y/N)]],Table1[[#This Row],[Skin darkening (Y/N)]],Table1[[#This Row],[Hair loss(Y/N)]])</f>
        <v>2</v>
      </c>
      <c r="BI228" s="4" t="str">
        <f>IF(AND(Table1[[#This Row],[Pregnant(Y/N)]]=0, Table1[[#This Row],[  I   beta-HCG(mIU/mL)]]&gt;5), "Investigation Required", "Clear")</f>
        <v>Clear</v>
      </c>
    </row>
    <row r="229" spans="1:61" ht="15.75" customHeight="1" x14ac:dyDescent="0.25">
      <c r="A229">
        <v>228</v>
      </c>
      <c r="B229">
        <v>228</v>
      </c>
      <c r="C229">
        <v>1</v>
      </c>
      <c r="D229" t="str">
        <f>IF(Table1[[#This Row],[PCOS (Y/N)]]=0,"NO","YES")</f>
        <v>YES</v>
      </c>
      <c r="E229">
        <v>29</v>
      </c>
      <c r="F229">
        <v>75</v>
      </c>
      <c r="G229">
        <v>163</v>
      </c>
      <c r="H229">
        <v>15</v>
      </c>
      <c r="I229">
        <v>72</v>
      </c>
      <c r="J229">
        <v>18</v>
      </c>
      <c r="K229">
        <v>10.7</v>
      </c>
      <c r="L229">
        <v>2</v>
      </c>
      <c r="M229">
        <v>6</v>
      </c>
      <c r="N229">
        <v>3</v>
      </c>
      <c r="O229">
        <v>0</v>
      </c>
      <c r="P229" t="str">
        <f>IF(Table1[[#This Row],[Pregnant(Y/N)]]=1,"YES","NO")</f>
        <v>NO</v>
      </c>
      <c r="Q229">
        <v>0</v>
      </c>
      <c r="R229">
        <v>1.99</v>
      </c>
      <c r="S229">
        <v>1.99</v>
      </c>
      <c r="T229">
        <v>3.27</v>
      </c>
      <c r="U229">
        <v>1.56</v>
      </c>
      <c r="V229">
        <f>Table1[[#This Row],[FSH(mIU/mL)]]/Table1[[#This Row],[LH(mIU/mL)]]</f>
        <v>2.0961538461538463</v>
      </c>
      <c r="W229" t="str">
        <f>IF(Table1[[#This Row],[FSH/LH]]&gt;=2,"Abnormal","Normal")</f>
        <v>Abnormal</v>
      </c>
      <c r="X229">
        <v>37</v>
      </c>
      <c r="Y229">
        <v>35</v>
      </c>
      <c r="Z229">
        <f>ROUND(Table1[[#This Row],[Waist(inch)]]/Table1[[#This Row],[Hip(inch)]],2)</f>
        <v>0.95</v>
      </c>
      <c r="AA229">
        <v>2.38</v>
      </c>
      <c r="AB229">
        <v>0.2</v>
      </c>
      <c r="AC229">
        <v>34.729999999999997</v>
      </c>
      <c r="AD229">
        <v>10.1</v>
      </c>
      <c r="AE229" t="str">
        <f>IF(Table1[[#This Row],[Vit D3 (ng/mL)]]&lt;20,"Deficiency","Normal")</f>
        <v>Deficiency</v>
      </c>
      <c r="AF229">
        <v>0.43</v>
      </c>
      <c r="AG229">
        <v>85</v>
      </c>
      <c r="AH229">
        <v>1</v>
      </c>
      <c r="AI229" t="str">
        <f>IF(Table1[[#This Row],[Weight gain(Y/N)]]=0,"NO","YES")</f>
        <v>YES</v>
      </c>
      <c r="AJ229">
        <v>1</v>
      </c>
      <c r="AK229" t="str">
        <f>IF(Table1[[#This Row],[hair growth(Y/N)]]=1,"YES","NO")</f>
        <v>YES</v>
      </c>
      <c r="AL229">
        <v>1</v>
      </c>
      <c r="AM229" t="str">
        <f>IF(Table1[[#This Row],[Skin darkening (Y/N)]]=1,"YES","NO")</f>
        <v>YES</v>
      </c>
      <c r="AN229">
        <v>1</v>
      </c>
      <c r="AO229" t="str">
        <f>IF(Table1[[#This Row],[Hair loss(Y/N)]]=1,"YES","NO")</f>
        <v>YES</v>
      </c>
      <c r="AP229">
        <v>1</v>
      </c>
      <c r="AQ229" t="str">
        <f>IF(Table1[[#This Row],[Pimples(Y/N)]]=1,"YES","NO")</f>
        <v>YES</v>
      </c>
      <c r="AR229">
        <v>1</v>
      </c>
      <c r="AS229" t="str">
        <f>IF(Table1[[#This Row],[Fast food (Y/N)]]=1,"YES","NO")</f>
        <v>YES</v>
      </c>
      <c r="AT229">
        <v>0</v>
      </c>
      <c r="AU229" t="str">
        <f>IF(Table1[[#This Row],[Reg.Exercise(Y/N)]]=1,"YES","NO")</f>
        <v>NO</v>
      </c>
      <c r="AV229">
        <v>110</v>
      </c>
      <c r="AW229">
        <v>80</v>
      </c>
      <c r="AX229">
        <v>1</v>
      </c>
      <c r="AY229">
        <v>3</v>
      </c>
      <c r="AZ229">
        <v>11</v>
      </c>
      <c r="BA229">
        <v>12</v>
      </c>
      <c r="BB229">
        <v>6</v>
      </c>
      <c r="BC229" t="str" cm="1">
        <f t="array" ref="BC229">_xlfn.IFS((F229/(G229*G229)*10000)&lt; 18.5,"Underweight",(F229/(G229*G229)*10000)&lt;24.9,"Normal",(F229/(G229*G229)*10000)&lt;29.9,"Overweight",(F229/(G229*G229)*10000)&gt;=30,"obesity")</f>
        <v>Overweight</v>
      </c>
      <c r="BD229">
        <f>Table1[[#This Row],[Follicle No. (L)]]+Table1[[#This Row],[Follicle No. (R)]]</f>
        <v>4</v>
      </c>
      <c r="BE229">
        <f>Table1[[#This Row],[Avg. F size (L) (mm)]]+Table1[[#This Row],[Avg. F size (R) (mm)]]</f>
        <v>23</v>
      </c>
      <c r="BF229">
        <f>Table1[[#This Row],[BP _Diastolic (mmHg)]]+(Table1[[#This Row],[BP _Diastolic (mmHg)]]+Table1[[#This Row],[Follicle No. (L)]])/3</f>
        <v>107</v>
      </c>
      <c r="BG229" s="4" t="str" cm="1">
        <f t="array" ref="BG22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29" s="4">
        <f>SUM(Table1[[#This Row],[Pimples(Y/N)]],Table1[[#This Row],[hair growth(Y/N)]],Table1[[#This Row],[Skin darkening (Y/N)]],Table1[[#This Row],[Hair loss(Y/N)]])</f>
        <v>4</v>
      </c>
      <c r="BI229" s="4" t="str">
        <f>IF(AND(Table1[[#This Row],[Pregnant(Y/N)]]=0, Table1[[#This Row],[  I   beta-HCG(mIU/mL)]]&gt;5), "Investigation Required", "Clear")</f>
        <v>Clear</v>
      </c>
    </row>
    <row r="230" spans="1:61" ht="15.75" customHeight="1" x14ac:dyDescent="0.25">
      <c r="A230">
        <v>229</v>
      </c>
      <c r="B230">
        <v>229</v>
      </c>
      <c r="C230">
        <v>0</v>
      </c>
      <c r="D230" t="str">
        <f>IF(Table1[[#This Row],[PCOS (Y/N)]]=0,"NO","YES")</f>
        <v>NO</v>
      </c>
      <c r="E230">
        <v>31</v>
      </c>
      <c r="F230">
        <v>61</v>
      </c>
      <c r="G230">
        <v>147</v>
      </c>
      <c r="H230">
        <v>13</v>
      </c>
      <c r="I230">
        <v>74</v>
      </c>
      <c r="J230">
        <v>20</v>
      </c>
      <c r="K230">
        <v>12.3</v>
      </c>
      <c r="L230">
        <v>2</v>
      </c>
      <c r="M230">
        <v>4</v>
      </c>
      <c r="N230">
        <v>10</v>
      </c>
      <c r="O230">
        <v>0</v>
      </c>
      <c r="P230" t="str">
        <f>IF(Table1[[#This Row],[Pregnant(Y/N)]]=1,"YES","NO")</f>
        <v>NO</v>
      </c>
      <c r="Q230">
        <v>2</v>
      </c>
      <c r="R230">
        <v>1.99</v>
      </c>
      <c r="S230">
        <v>1.99</v>
      </c>
      <c r="T230">
        <v>7.8</v>
      </c>
      <c r="U230">
        <v>1.54</v>
      </c>
      <c r="V230">
        <f>Table1[[#This Row],[FSH(mIU/mL)]]/Table1[[#This Row],[LH(mIU/mL)]]</f>
        <v>5.0649350649350646</v>
      </c>
      <c r="W230" t="str">
        <f>IF(Table1[[#This Row],[FSH/LH]]&gt;=2,"Abnormal","Normal")</f>
        <v>Abnormal</v>
      </c>
      <c r="X230">
        <v>40</v>
      </c>
      <c r="Y230">
        <v>38</v>
      </c>
      <c r="Z230">
        <f>ROUND(Table1[[#This Row],[Waist(inch)]]/Table1[[#This Row],[Hip(inch)]],2)</f>
        <v>0.95</v>
      </c>
      <c r="AA230">
        <v>2.06</v>
      </c>
      <c r="AB230">
        <v>2.5</v>
      </c>
      <c r="AC230">
        <v>10.68</v>
      </c>
      <c r="AD230">
        <v>10.4</v>
      </c>
      <c r="AE230" t="str">
        <f>IF(Table1[[#This Row],[Vit D3 (ng/mL)]]&lt;20,"Deficiency","Normal")</f>
        <v>Deficiency</v>
      </c>
      <c r="AF230">
        <v>0.25</v>
      </c>
      <c r="AG230">
        <v>83</v>
      </c>
      <c r="AH230">
        <v>1</v>
      </c>
      <c r="AI230" t="str">
        <f>IF(Table1[[#This Row],[Weight gain(Y/N)]]=0,"NO","YES")</f>
        <v>YES</v>
      </c>
      <c r="AJ230">
        <v>0</v>
      </c>
      <c r="AK230" t="str">
        <f>IF(Table1[[#This Row],[hair growth(Y/N)]]=1,"YES","NO")</f>
        <v>NO</v>
      </c>
      <c r="AL230">
        <v>0</v>
      </c>
      <c r="AM230" t="str">
        <f>IF(Table1[[#This Row],[Skin darkening (Y/N)]]=1,"YES","NO")</f>
        <v>NO</v>
      </c>
      <c r="AN230">
        <v>1</v>
      </c>
      <c r="AO230" t="str">
        <f>IF(Table1[[#This Row],[Hair loss(Y/N)]]=1,"YES","NO")</f>
        <v>YES</v>
      </c>
      <c r="AP230">
        <v>1</v>
      </c>
      <c r="AQ230" t="str">
        <f>IF(Table1[[#This Row],[Pimples(Y/N)]]=1,"YES","NO")</f>
        <v>YES</v>
      </c>
      <c r="AR230">
        <v>1</v>
      </c>
      <c r="AS230" t="str">
        <f>IF(Table1[[#This Row],[Fast food (Y/N)]]=1,"YES","NO")</f>
        <v>YES</v>
      </c>
      <c r="AT230">
        <v>1</v>
      </c>
      <c r="AU230" t="str">
        <f>IF(Table1[[#This Row],[Reg.Exercise(Y/N)]]=1,"YES","NO")</f>
        <v>YES</v>
      </c>
      <c r="AV230">
        <v>120</v>
      </c>
      <c r="AW230">
        <v>80</v>
      </c>
      <c r="AX230">
        <v>2</v>
      </c>
      <c r="AY230">
        <v>4</v>
      </c>
      <c r="AZ230">
        <v>16</v>
      </c>
      <c r="BA230">
        <v>12</v>
      </c>
      <c r="BB230">
        <v>10.8</v>
      </c>
      <c r="BC230" t="str" cm="1">
        <f t="array" ref="BC230">_xlfn.IFS((F230/(G230*G230)*10000)&lt; 18.5,"Underweight",(F230/(G230*G230)*10000)&lt;24.9,"Normal",(F230/(G230*G230)*10000)&lt;29.9,"Overweight",(F230/(G230*G230)*10000)&gt;=30,"obesity")</f>
        <v>Overweight</v>
      </c>
      <c r="BD230">
        <f>Table1[[#This Row],[Follicle No. (L)]]+Table1[[#This Row],[Follicle No. (R)]]</f>
        <v>6</v>
      </c>
      <c r="BE230">
        <f>Table1[[#This Row],[Avg. F size (L) (mm)]]+Table1[[#This Row],[Avg. F size (R) (mm)]]</f>
        <v>28</v>
      </c>
      <c r="BF230">
        <f>Table1[[#This Row],[BP _Diastolic (mmHg)]]+(Table1[[#This Row],[BP _Diastolic (mmHg)]]+Table1[[#This Row],[Follicle No. (L)]])/3</f>
        <v>107.33333333333333</v>
      </c>
      <c r="BG230" s="4" t="str" cm="1">
        <f t="array" ref="BG23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30" s="4">
        <f>SUM(Table1[[#This Row],[Pimples(Y/N)]],Table1[[#This Row],[hair growth(Y/N)]],Table1[[#This Row],[Skin darkening (Y/N)]],Table1[[#This Row],[Hair loss(Y/N)]])</f>
        <v>2</v>
      </c>
      <c r="BI230" s="4" t="str">
        <f>IF(AND(Table1[[#This Row],[Pregnant(Y/N)]]=0, Table1[[#This Row],[  I   beta-HCG(mIU/mL)]]&gt;5), "Investigation Required", "Clear")</f>
        <v>Clear</v>
      </c>
    </row>
    <row r="231" spans="1:61" ht="15.75" customHeight="1" x14ac:dyDescent="0.25">
      <c r="A231">
        <v>230</v>
      </c>
      <c r="B231">
        <v>230</v>
      </c>
      <c r="C231">
        <v>0</v>
      </c>
      <c r="D231" t="str">
        <f>IF(Table1[[#This Row],[PCOS (Y/N)]]=0,"NO","YES")</f>
        <v>NO</v>
      </c>
      <c r="E231">
        <v>28</v>
      </c>
      <c r="F231">
        <v>74.3</v>
      </c>
      <c r="G231">
        <v>154</v>
      </c>
      <c r="H231">
        <v>13</v>
      </c>
      <c r="I231">
        <v>72</v>
      </c>
      <c r="J231">
        <v>18</v>
      </c>
      <c r="K231">
        <v>10.7</v>
      </c>
      <c r="L231">
        <v>2</v>
      </c>
      <c r="M231">
        <v>5</v>
      </c>
      <c r="N231">
        <v>6</v>
      </c>
      <c r="O231">
        <v>0</v>
      </c>
      <c r="P231" t="str">
        <f>IF(Table1[[#This Row],[Pregnant(Y/N)]]=1,"YES","NO")</f>
        <v>NO</v>
      </c>
      <c r="Q231">
        <v>3</v>
      </c>
      <c r="R231">
        <v>1.99</v>
      </c>
      <c r="S231">
        <v>1.99</v>
      </c>
      <c r="T231">
        <v>3.7</v>
      </c>
      <c r="U231">
        <v>4.5999999999999996</v>
      </c>
      <c r="V231">
        <f>Table1[[#This Row],[FSH(mIU/mL)]]/Table1[[#This Row],[LH(mIU/mL)]]</f>
        <v>0.80434782608695665</v>
      </c>
      <c r="W231" t="str">
        <f>IF(Table1[[#This Row],[FSH/LH]]&gt;=2,"Abnormal","Normal")</f>
        <v>Normal</v>
      </c>
      <c r="X231">
        <v>38</v>
      </c>
      <c r="Y231">
        <v>36</v>
      </c>
      <c r="Z231">
        <f>ROUND(Table1[[#This Row],[Waist(inch)]]/Table1[[#This Row],[Hip(inch)]],2)</f>
        <v>0.95</v>
      </c>
      <c r="AA231">
        <v>1.7</v>
      </c>
      <c r="AB231">
        <v>12</v>
      </c>
      <c r="AC231">
        <v>46.25</v>
      </c>
      <c r="AD231">
        <v>10.8</v>
      </c>
      <c r="AE231" t="str">
        <f>IF(Table1[[#This Row],[Vit D3 (ng/mL)]]&lt;20,"Deficiency","Normal")</f>
        <v>Deficiency</v>
      </c>
      <c r="AF231">
        <v>0.77</v>
      </c>
      <c r="AG231">
        <v>85</v>
      </c>
      <c r="AH231">
        <v>1</v>
      </c>
      <c r="AI231" t="str">
        <f>IF(Table1[[#This Row],[Weight gain(Y/N)]]=0,"NO","YES")</f>
        <v>YES</v>
      </c>
      <c r="AJ231">
        <v>0</v>
      </c>
      <c r="AK231" t="str">
        <f>IF(Table1[[#This Row],[hair growth(Y/N)]]=1,"YES","NO")</f>
        <v>NO</v>
      </c>
      <c r="AL231">
        <v>1</v>
      </c>
      <c r="AM231" t="str">
        <f>IF(Table1[[#This Row],[Skin darkening (Y/N)]]=1,"YES","NO")</f>
        <v>YES</v>
      </c>
      <c r="AN231">
        <v>1</v>
      </c>
      <c r="AO231" t="str">
        <f>IF(Table1[[#This Row],[Hair loss(Y/N)]]=1,"YES","NO")</f>
        <v>YES</v>
      </c>
      <c r="AP231">
        <v>0</v>
      </c>
      <c r="AQ231" t="str">
        <f>IF(Table1[[#This Row],[Pimples(Y/N)]]=1,"YES","NO")</f>
        <v>NO</v>
      </c>
      <c r="AR231">
        <v>1</v>
      </c>
      <c r="AS231" t="str">
        <f>IF(Table1[[#This Row],[Fast food (Y/N)]]=1,"YES","NO")</f>
        <v>YES</v>
      </c>
      <c r="AT231">
        <v>0</v>
      </c>
      <c r="AU231" t="str">
        <f>IF(Table1[[#This Row],[Reg.Exercise(Y/N)]]=1,"YES","NO")</f>
        <v>NO</v>
      </c>
      <c r="AV231">
        <v>110</v>
      </c>
      <c r="AW231">
        <v>80</v>
      </c>
      <c r="AX231">
        <v>6</v>
      </c>
      <c r="AY231">
        <v>5</v>
      </c>
      <c r="AZ231">
        <v>14</v>
      </c>
      <c r="BA231">
        <v>13</v>
      </c>
      <c r="BB231">
        <v>8.5</v>
      </c>
      <c r="BC231" t="str" cm="1">
        <f t="array" ref="BC231">_xlfn.IFS((F231/(G231*G231)*10000)&lt; 18.5,"Underweight",(F231/(G231*G231)*10000)&lt;24.9,"Normal",(F231/(G231*G231)*10000)&lt;29.9,"Overweight",(F231/(G231*G231)*10000)&gt;=30,"obesity")</f>
        <v>obesity</v>
      </c>
      <c r="BD231">
        <f>Table1[[#This Row],[Follicle No. (L)]]+Table1[[#This Row],[Follicle No. (R)]]</f>
        <v>11</v>
      </c>
      <c r="BE231">
        <f>Table1[[#This Row],[Avg. F size (L) (mm)]]+Table1[[#This Row],[Avg. F size (R) (mm)]]</f>
        <v>27</v>
      </c>
      <c r="BF231">
        <f>Table1[[#This Row],[BP _Diastolic (mmHg)]]+(Table1[[#This Row],[BP _Diastolic (mmHg)]]+Table1[[#This Row],[Follicle No. (L)]])/3</f>
        <v>108.66666666666667</v>
      </c>
      <c r="BG231" s="4" t="str" cm="1">
        <f t="array" ref="BG23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31" s="4">
        <f>SUM(Table1[[#This Row],[Pimples(Y/N)]],Table1[[#This Row],[hair growth(Y/N)]],Table1[[#This Row],[Skin darkening (Y/N)]],Table1[[#This Row],[Hair loss(Y/N)]])</f>
        <v>2</v>
      </c>
      <c r="BI231" s="4" t="str">
        <f>IF(AND(Table1[[#This Row],[Pregnant(Y/N)]]=0, Table1[[#This Row],[  I   beta-HCG(mIU/mL)]]&gt;5), "Investigation Required", "Clear")</f>
        <v>Clear</v>
      </c>
    </row>
    <row r="232" spans="1:61" ht="15.75" customHeight="1" x14ac:dyDescent="0.25">
      <c r="A232">
        <v>231</v>
      </c>
      <c r="B232">
        <v>231</v>
      </c>
      <c r="C232">
        <v>1</v>
      </c>
      <c r="D232" t="str">
        <f>IF(Table1[[#This Row],[PCOS (Y/N)]]=0,"NO","YES")</f>
        <v>YES</v>
      </c>
      <c r="E232">
        <v>40</v>
      </c>
      <c r="F232">
        <v>71</v>
      </c>
      <c r="G232">
        <v>152</v>
      </c>
      <c r="H232">
        <v>15</v>
      </c>
      <c r="I232">
        <v>72</v>
      </c>
      <c r="J232">
        <v>18</v>
      </c>
      <c r="K232">
        <v>13.2</v>
      </c>
      <c r="L232">
        <v>2</v>
      </c>
      <c r="M232">
        <v>5</v>
      </c>
      <c r="N232">
        <v>7</v>
      </c>
      <c r="O232">
        <v>0</v>
      </c>
      <c r="P232" t="str">
        <f>IF(Table1[[#This Row],[Pregnant(Y/N)]]=1,"YES","NO")</f>
        <v>NO</v>
      </c>
      <c r="Q232">
        <v>0</v>
      </c>
      <c r="R232">
        <v>1.99</v>
      </c>
      <c r="S232">
        <v>1.99</v>
      </c>
      <c r="T232">
        <v>2.78</v>
      </c>
      <c r="U232">
        <v>0.98</v>
      </c>
      <c r="V232">
        <f>Table1[[#This Row],[FSH(mIU/mL)]]/Table1[[#This Row],[LH(mIU/mL)]]</f>
        <v>2.8367346938775508</v>
      </c>
      <c r="W232" t="str">
        <f>IF(Table1[[#This Row],[FSH/LH]]&gt;=2,"Abnormal","Normal")</f>
        <v>Abnormal</v>
      </c>
      <c r="X232">
        <v>38</v>
      </c>
      <c r="Y232">
        <v>35</v>
      </c>
      <c r="Z232">
        <f>ROUND(Table1[[#This Row],[Waist(inch)]]/Table1[[#This Row],[Hip(inch)]],2)</f>
        <v>0.92</v>
      </c>
      <c r="AA232">
        <v>3.78</v>
      </c>
      <c r="AB232">
        <v>1.4</v>
      </c>
      <c r="AC232">
        <v>29.03</v>
      </c>
      <c r="AD232">
        <v>20.8</v>
      </c>
      <c r="AE232" t="str">
        <f>IF(Table1[[#This Row],[Vit D3 (ng/mL)]]&lt;20,"Deficiency","Normal")</f>
        <v>Normal</v>
      </c>
      <c r="AF232">
        <v>0.36</v>
      </c>
      <c r="AG232">
        <v>160</v>
      </c>
      <c r="AH232">
        <v>1</v>
      </c>
      <c r="AI232" t="str">
        <f>IF(Table1[[#This Row],[Weight gain(Y/N)]]=0,"NO","YES")</f>
        <v>YES</v>
      </c>
      <c r="AJ232">
        <v>1</v>
      </c>
      <c r="AK232" t="str">
        <f>IF(Table1[[#This Row],[hair growth(Y/N)]]=1,"YES","NO")</f>
        <v>YES</v>
      </c>
      <c r="AL232">
        <v>0</v>
      </c>
      <c r="AM232" t="str">
        <f>IF(Table1[[#This Row],[Skin darkening (Y/N)]]=1,"YES","NO")</f>
        <v>NO</v>
      </c>
      <c r="AN232">
        <v>1</v>
      </c>
      <c r="AO232" t="str">
        <f>IF(Table1[[#This Row],[Hair loss(Y/N)]]=1,"YES","NO")</f>
        <v>YES</v>
      </c>
      <c r="AP232">
        <v>0</v>
      </c>
      <c r="AQ232" t="str">
        <f>IF(Table1[[#This Row],[Pimples(Y/N)]]=1,"YES","NO")</f>
        <v>NO</v>
      </c>
      <c r="AR232">
        <v>1</v>
      </c>
      <c r="AS232" t="str">
        <f>IF(Table1[[#This Row],[Fast food (Y/N)]]=1,"YES","NO")</f>
        <v>YES</v>
      </c>
      <c r="AT232">
        <v>0</v>
      </c>
      <c r="AU232" t="str">
        <f>IF(Table1[[#This Row],[Reg.Exercise(Y/N)]]=1,"YES","NO")</f>
        <v>NO</v>
      </c>
      <c r="AV232">
        <v>120</v>
      </c>
      <c r="AW232">
        <v>80</v>
      </c>
      <c r="AX232">
        <v>4</v>
      </c>
      <c r="AY232">
        <v>2</v>
      </c>
      <c r="AZ232">
        <v>17</v>
      </c>
      <c r="BA232">
        <v>10</v>
      </c>
      <c r="BB232">
        <v>12</v>
      </c>
      <c r="BC232" t="str" cm="1">
        <f t="array" ref="BC232">_xlfn.IFS((F232/(G232*G232)*10000)&lt; 18.5,"Underweight",(F232/(G232*G232)*10000)&lt;24.9,"Normal",(F232/(G232*G232)*10000)&lt;29.9,"Overweight",(F232/(G232*G232)*10000)&gt;=30,"obesity")</f>
        <v>obesity</v>
      </c>
      <c r="BD232">
        <f>Table1[[#This Row],[Follicle No. (L)]]+Table1[[#This Row],[Follicle No. (R)]]</f>
        <v>6</v>
      </c>
      <c r="BE232">
        <f>Table1[[#This Row],[Avg. F size (L) (mm)]]+Table1[[#This Row],[Avg. F size (R) (mm)]]</f>
        <v>27</v>
      </c>
      <c r="BF232">
        <f>Table1[[#This Row],[BP _Diastolic (mmHg)]]+(Table1[[#This Row],[BP _Diastolic (mmHg)]]+Table1[[#This Row],[Follicle No. (L)]])/3</f>
        <v>108</v>
      </c>
      <c r="BG232" s="4" t="str" cm="1">
        <f t="array" ref="BG23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32" s="4">
        <f>SUM(Table1[[#This Row],[Pimples(Y/N)]],Table1[[#This Row],[hair growth(Y/N)]],Table1[[#This Row],[Skin darkening (Y/N)]],Table1[[#This Row],[Hair loss(Y/N)]])</f>
        <v>2</v>
      </c>
      <c r="BI232" s="4" t="str">
        <f>IF(AND(Table1[[#This Row],[Pregnant(Y/N)]]=0, Table1[[#This Row],[  I   beta-HCG(mIU/mL)]]&gt;5), "Investigation Required", "Clear")</f>
        <v>Clear</v>
      </c>
    </row>
    <row r="233" spans="1:61" ht="15.75" customHeight="1" x14ac:dyDescent="0.25">
      <c r="A233">
        <v>232</v>
      </c>
      <c r="B233">
        <v>232</v>
      </c>
      <c r="C233">
        <v>0</v>
      </c>
      <c r="D233" t="str">
        <f>IF(Table1[[#This Row],[PCOS (Y/N)]]=0,"NO","YES")</f>
        <v>NO</v>
      </c>
      <c r="E233">
        <v>22</v>
      </c>
      <c r="F233">
        <v>78</v>
      </c>
      <c r="G233">
        <v>154</v>
      </c>
      <c r="H233">
        <v>15</v>
      </c>
      <c r="I233">
        <v>72</v>
      </c>
      <c r="J233">
        <v>18</v>
      </c>
      <c r="K233">
        <v>12.4</v>
      </c>
      <c r="L233">
        <v>2</v>
      </c>
      <c r="M233">
        <v>5</v>
      </c>
      <c r="N233">
        <v>9</v>
      </c>
      <c r="O233">
        <v>0</v>
      </c>
      <c r="P233" t="str">
        <f>IF(Table1[[#This Row],[Pregnant(Y/N)]]=1,"YES","NO")</f>
        <v>NO</v>
      </c>
      <c r="Q233">
        <v>1</v>
      </c>
      <c r="R233">
        <v>150.91</v>
      </c>
      <c r="S233">
        <v>150.91</v>
      </c>
      <c r="T233">
        <v>5.21</v>
      </c>
      <c r="U233">
        <v>2.19</v>
      </c>
      <c r="V233">
        <f>Table1[[#This Row],[FSH(mIU/mL)]]/Table1[[#This Row],[LH(mIU/mL)]]</f>
        <v>2.3789954337899544</v>
      </c>
      <c r="W233" t="str">
        <f>IF(Table1[[#This Row],[FSH/LH]]&gt;=2,"Abnormal","Normal")</f>
        <v>Abnormal</v>
      </c>
      <c r="X233">
        <v>40</v>
      </c>
      <c r="Y233">
        <v>36</v>
      </c>
      <c r="Z233">
        <f>ROUND(Table1[[#This Row],[Waist(inch)]]/Table1[[#This Row],[Hip(inch)]],2)</f>
        <v>0.9</v>
      </c>
      <c r="AA233">
        <v>1.24</v>
      </c>
      <c r="AB233">
        <v>16.7</v>
      </c>
      <c r="AC233">
        <v>10.02</v>
      </c>
      <c r="AD233">
        <v>20.8</v>
      </c>
      <c r="AE233" t="str">
        <f>IF(Table1[[#This Row],[Vit D3 (ng/mL)]]&lt;20,"Deficiency","Normal")</f>
        <v>Normal</v>
      </c>
      <c r="AF233">
        <v>0.27</v>
      </c>
      <c r="AG233">
        <v>77</v>
      </c>
      <c r="AH233">
        <v>1</v>
      </c>
      <c r="AI233" t="str">
        <f>IF(Table1[[#This Row],[Weight gain(Y/N)]]=0,"NO","YES")</f>
        <v>YES</v>
      </c>
      <c r="AJ233">
        <v>0</v>
      </c>
      <c r="AK233" t="str">
        <f>IF(Table1[[#This Row],[hair growth(Y/N)]]=1,"YES","NO")</f>
        <v>NO</v>
      </c>
      <c r="AL233">
        <v>0</v>
      </c>
      <c r="AM233" t="str">
        <f>IF(Table1[[#This Row],[Skin darkening (Y/N)]]=1,"YES","NO")</f>
        <v>NO</v>
      </c>
      <c r="AN233">
        <v>0</v>
      </c>
      <c r="AO233" t="str">
        <f>IF(Table1[[#This Row],[Hair loss(Y/N)]]=1,"YES","NO")</f>
        <v>NO</v>
      </c>
      <c r="AP233">
        <v>1</v>
      </c>
      <c r="AQ233" t="str">
        <f>IF(Table1[[#This Row],[Pimples(Y/N)]]=1,"YES","NO")</f>
        <v>YES</v>
      </c>
      <c r="AR233">
        <v>0</v>
      </c>
      <c r="AS233" t="str">
        <f>IF(Table1[[#This Row],[Fast food (Y/N)]]=1,"YES","NO")</f>
        <v>NO</v>
      </c>
      <c r="AT233">
        <v>0</v>
      </c>
      <c r="AU233" t="str">
        <f>IF(Table1[[#This Row],[Reg.Exercise(Y/N)]]=1,"YES","NO")</f>
        <v>NO</v>
      </c>
      <c r="AV233">
        <v>120</v>
      </c>
      <c r="AW233">
        <v>80</v>
      </c>
      <c r="AX233">
        <v>1</v>
      </c>
      <c r="AY233">
        <v>1</v>
      </c>
      <c r="AZ233">
        <v>13</v>
      </c>
      <c r="BA233">
        <v>10</v>
      </c>
      <c r="BB233">
        <v>8.8000000000000007</v>
      </c>
      <c r="BC233" t="str" cm="1">
        <f t="array" ref="BC233">_xlfn.IFS((F233/(G233*G233)*10000)&lt; 18.5,"Underweight",(F233/(G233*G233)*10000)&lt;24.9,"Normal",(F233/(G233*G233)*10000)&lt;29.9,"Overweight",(F233/(G233*G233)*10000)&gt;=30,"obesity")</f>
        <v>obesity</v>
      </c>
      <c r="BD233">
        <f>Table1[[#This Row],[Follicle No. (L)]]+Table1[[#This Row],[Follicle No. (R)]]</f>
        <v>2</v>
      </c>
      <c r="BE233">
        <f>Table1[[#This Row],[Avg. F size (L) (mm)]]+Table1[[#This Row],[Avg. F size (R) (mm)]]</f>
        <v>23</v>
      </c>
      <c r="BF233">
        <f>Table1[[#This Row],[BP _Diastolic (mmHg)]]+(Table1[[#This Row],[BP _Diastolic (mmHg)]]+Table1[[#This Row],[Follicle No. (L)]])/3</f>
        <v>107</v>
      </c>
      <c r="BG233" s="4" t="str" cm="1">
        <f t="array" ref="BG23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33" s="4">
        <f>SUM(Table1[[#This Row],[Pimples(Y/N)]],Table1[[#This Row],[hair growth(Y/N)]],Table1[[#This Row],[Skin darkening (Y/N)]],Table1[[#This Row],[Hair loss(Y/N)]])</f>
        <v>1</v>
      </c>
      <c r="BI233" s="4" t="str">
        <f>IF(AND(Table1[[#This Row],[Pregnant(Y/N)]]=0, Table1[[#This Row],[  I   beta-HCG(mIU/mL)]]&gt;5), "Investigation Required", "Clear")</f>
        <v>Investigation Required</v>
      </c>
    </row>
    <row r="234" spans="1:61" ht="15.75" customHeight="1" x14ac:dyDescent="0.25">
      <c r="A234">
        <v>233</v>
      </c>
      <c r="B234">
        <v>233</v>
      </c>
      <c r="C234">
        <v>1</v>
      </c>
      <c r="D234" t="str">
        <f>IF(Table1[[#This Row],[PCOS (Y/N)]]=0,"NO","YES")</f>
        <v>YES</v>
      </c>
      <c r="E234">
        <v>35</v>
      </c>
      <c r="F234">
        <v>55</v>
      </c>
      <c r="G234">
        <v>162</v>
      </c>
      <c r="H234">
        <v>13</v>
      </c>
      <c r="I234">
        <v>72</v>
      </c>
      <c r="J234">
        <v>18</v>
      </c>
      <c r="K234">
        <v>12.4</v>
      </c>
      <c r="L234">
        <v>4</v>
      </c>
      <c r="M234">
        <v>4</v>
      </c>
      <c r="N234">
        <v>7</v>
      </c>
      <c r="O234">
        <v>0</v>
      </c>
      <c r="P234" t="str">
        <f>IF(Table1[[#This Row],[Pregnant(Y/N)]]=1,"YES","NO")</f>
        <v>NO</v>
      </c>
      <c r="Q234">
        <v>0</v>
      </c>
      <c r="R234">
        <v>451.96</v>
      </c>
      <c r="S234">
        <v>1.99</v>
      </c>
      <c r="T234">
        <v>2.63</v>
      </c>
      <c r="U234">
        <v>1.05</v>
      </c>
      <c r="V234">
        <f>Table1[[#This Row],[FSH(mIU/mL)]]/Table1[[#This Row],[LH(mIU/mL)]]</f>
        <v>2.5047619047619047</v>
      </c>
      <c r="W234" t="str">
        <f>IF(Table1[[#This Row],[FSH/LH]]&gt;=2,"Abnormal","Normal")</f>
        <v>Abnormal</v>
      </c>
      <c r="X234">
        <v>35</v>
      </c>
      <c r="Y234">
        <v>32</v>
      </c>
      <c r="Z234">
        <f>ROUND(Table1[[#This Row],[Waist(inch)]]/Table1[[#This Row],[Hip(inch)]],2)</f>
        <v>0.91</v>
      </c>
      <c r="AA234">
        <v>2.08</v>
      </c>
      <c r="AB234">
        <v>13.6</v>
      </c>
      <c r="AC234">
        <v>28.85</v>
      </c>
      <c r="AD234">
        <v>32.200000000000003</v>
      </c>
      <c r="AE234" t="str">
        <f>IF(Table1[[#This Row],[Vit D3 (ng/mL)]]&lt;20,"Deficiency","Normal")</f>
        <v>Normal</v>
      </c>
      <c r="AF234">
        <v>0.34</v>
      </c>
      <c r="AG234">
        <v>86</v>
      </c>
      <c r="AH234">
        <v>0</v>
      </c>
      <c r="AI234" t="str">
        <f>IF(Table1[[#This Row],[Weight gain(Y/N)]]=0,"NO","YES")</f>
        <v>NO</v>
      </c>
      <c r="AJ234">
        <v>1</v>
      </c>
      <c r="AK234" t="str">
        <f>IF(Table1[[#This Row],[hair growth(Y/N)]]=1,"YES","NO")</f>
        <v>YES</v>
      </c>
      <c r="AL234">
        <v>1</v>
      </c>
      <c r="AM234" t="str">
        <f>IF(Table1[[#This Row],[Skin darkening (Y/N)]]=1,"YES","NO")</f>
        <v>YES</v>
      </c>
      <c r="AN234">
        <v>0</v>
      </c>
      <c r="AO234" t="str">
        <f>IF(Table1[[#This Row],[Hair loss(Y/N)]]=1,"YES","NO")</f>
        <v>NO</v>
      </c>
      <c r="AP234">
        <v>1</v>
      </c>
      <c r="AQ234" t="str">
        <f>IF(Table1[[#This Row],[Pimples(Y/N)]]=1,"YES","NO")</f>
        <v>YES</v>
      </c>
      <c r="AR234">
        <v>1</v>
      </c>
      <c r="AS234" t="str">
        <f>IF(Table1[[#This Row],[Fast food (Y/N)]]=1,"YES","NO")</f>
        <v>YES</v>
      </c>
      <c r="AT234">
        <v>0</v>
      </c>
      <c r="AU234" t="str">
        <f>IF(Table1[[#This Row],[Reg.Exercise(Y/N)]]=1,"YES","NO")</f>
        <v>NO</v>
      </c>
      <c r="AV234">
        <v>120</v>
      </c>
      <c r="AW234">
        <v>80</v>
      </c>
      <c r="AX234">
        <v>16</v>
      </c>
      <c r="AY234">
        <v>14</v>
      </c>
      <c r="AZ234">
        <v>15</v>
      </c>
      <c r="BA234">
        <v>18</v>
      </c>
      <c r="BB234">
        <v>11.5</v>
      </c>
      <c r="BC234" t="str" cm="1">
        <f t="array" ref="BC234">_xlfn.IFS((F234/(G234*G234)*10000)&lt; 18.5,"Underweight",(F234/(G234*G234)*10000)&lt;24.9,"Normal",(F234/(G234*G234)*10000)&lt;29.9,"Overweight",(F234/(G234*G234)*10000)&gt;=30,"obesity")</f>
        <v>Normal</v>
      </c>
      <c r="BD234">
        <f>Table1[[#This Row],[Follicle No. (L)]]+Table1[[#This Row],[Follicle No. (R)]]</f>
        <v>30</v>
      </c>
      <c r="BE234">
        <f>Table1[[#This Row],[Avg. F size (L) (mm)]]+Table1[[#This Row],[Avg. F size (R) (mm)]]</f>
        <v>33</v>
      </c>
      <c r="BF234">
        <f>Table1[[#This Row],[BP _Diastolic (mmHg)]]+(Table1[[#This Row],[BP _Diastolic (mmHg)]]+Table1[[#This Row],[Follicle No. (L)]])/3</f>
        <v>112</v>
      </c>
      <c r="BG234" s="4" t="str" cm="1">
        <f t="array" ref="BG23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34" s="4">
        <f>SUM(Table1[[#This Row],[Pimples(Y/N)]],Table1[[#This Row],[hair growth(Y/N)]],Table1[[#This Row],[Skin darkening (Y/N)]],Table1[[#This Row],[Hair loss(Y/N)]])</f>
        <v>3</v>
      </c>
      <c r="BI234" s="4" t="str">
        <f>IF(AND(Table1[[#This Row],[Pregnant(Y/N)]]=0, Table1[[#This Row],[  I   beta-HCG(mIU/mL)]]&gt;5), "Investigation Required", "Clear")</f>
        <v>Investigation Required</v>
      </c>
    </row>
    <row r="235" spans="1:61" ht="15.75" customHeight="1" x14ac:dyDescent="0.25">
      <c r="A235">
        <v>234</v>
      </c>
      <c r="B235">
        <v>234</v>
      </c>
      <c r="C235">
        <v>0</v>
      </c>
      <c r="D235" t="str">
        <f>IF(Table1[[#This Row],[PCOS (Y/N)]]=0,"NO","YES")</f>
        <v>NO</v>
      </c>
      <c r="E235">
        <v>31</v>
      </c>
      <c r="F235">
        <v>50</v>
      </c>
      <c r="G235">
        <v>152</v>
      </c>
      <c r="H235">
        <v>15</v>
      </c>
      <c r="I235">
        <v>72</v>
      </c>
      <c r="J235">
        <v>18</v>
      </c>
      <c r="K235">
        <v>10</v>
      </c>
      <c r="L235">
        <v>2</v>
      </c>
      <c r="M235">
        <v>6</v>
      </c>
      <c r="N235">
        <v>4.5</v>
      </c>
      <c r="O235">
        <v>0</v>
      </c>
      <c r="P235" t="str">
        <f>IF(Table1[[#This Row],[Pregnant(Y/N)]]=1,"YES","NO")</f>
        <v>NO</v>
      </c>
      <c r="Q235">
        <v>1</v>
      </c>
      <c r="R235">
        <v>392.73</v>
      </c>
      <c r="S235">
        <v>1.99</v>
      </c>
      <c r="T235">
        <v>5.37</v>
      </c>
      <c r="U235">
        <v>8.15</v>
      </c>
      <c r="V235">
        <f>Table1[[#This Row],[FSH(mIU/mL)]]/Table1[[#This Row],[LH(mIU/mL)]]</f>
        <v>0.65889570552147236</v>
      </c>
      <c r="W235" t="str">
        <f>IF(Table1[[#This Row],[FSH/LH]]&gt;=2,"Abnormal","Normal")</f>
        <v>Normal</v>
      </c>
      <c r="X235">
        <v>34</v>
      </c>
      <c r="Y235">
        <v>30</v>
      </c>
      <c r="Z235">
        <f>ROUND(Table1[[#This Row],[Waist(inch)]]/Table1[[#This Row],[Hip(inch)]],2)</f>
        <v>0.88</v>
      </c>
      <c r="AA235">
        <v>25.91</v>
      </c>
      <c r="AB235">
        <v>16.8</v>
      </c>
      <c r="AC235">
        <v>14.41</v>
      </c>
      <c r="AD235">
        <v>23.91</v>
      </c>
      <c r="AE235" t="str">
        <f>IF(Table1[[#This Row],[Vit D3 (ng/mL)]]&lt;20,"Deficiency","Normal")</f>
        <v>Normal</v>
      </c>
      <c r="AF235">
        <v>0.25</v>
      </c>
      <c r="AG235">
        <v>92</v>
      </c>
      <c r="AH235">
        <v>0</v>
      </c>
      <c r="AI235" t="str">
        <f>IF(Table1[[#This Row],[Weight gain(Y/N)]]=0,"NO","YES")</f>
        <v>NO</v>
      </c>
      <c r="AJ235">
        <v>0</v>
      </c>
      <c r="AK235" t="str">
        <f>IF(Table1[[#This Row],[hair growth(Y/N)]]=1,"YES","NO")</f>
        <v>NO</v>
      </c>
      <c r="AL235">
        <v>0</v>
      </c>
      <c r="AM235" t="str">
        <f>IF(Table1[[#This Row],[Skin darkening (Y/N)]]=1,"YES","NO")</f>
        <v>NO</v>
      </c>
      <c r="AN235">
        <v>0</v>
      </c>
      <c r="AO235" t="str">
        <f>IF(Table1[[#This Row],[Hair loss(Y/N)]]=1,"YES","NO")</f>
        <v>NO</v>
      </c>
      <c r="AP235">
        <v>1</v>
      </c>
      <c r="AQ235" t="str">
        <f>IF(Table1[[#This Row],[Pimples(Y/N)]]=1,"YES","NO")</f>
        <v>YES</v>
      </c>
      <c r="AR235">
        <v>1</v>
      </c>
      <c r="AS235" t="str">
        <f>IF(Table1[[#This Row],[Fast food (Y/N)]]=1,"YES","NO")</f>
        <v>YES</v>
      </c>
      <c r="AT235">
        <v>1</v>
      </c>
      <c r="AU235" t="str">
        <f>IF(Table1[[#This Row],[Reg.Exercise(Y/N)]]=1,"YES","NO")</f>
        <v>YES</v>
      </c>
      <c r="AV235">
        <v>120</v>
      </c>
      <c r="AW235">
        <v>80</v>
      </c>
      <c r="AX235">
        <v>7</v>
      </c>
      <c r="AY235">
        <v>5</v>
      </c>
      <c r="AZ235">
        <v>17</v>
      </c>
      <c r="BA235">
        <v>15</v>
      </c>
      <c r="BB235">
        <v>9</v>
      </c>
      <c r="BC235" t="str" cm="1">
        <f t="array" ref="BC235">_xlfn.IFS((F235/(G235*G235)*10000)&lt; 18.5,"Underweight",(F235/(G235*G235)*10000)&lt;24.9,"Normal",(F235/(G235*G235)*10000)&lt;29.9,"Overweight",(F235/(G235*G235)*10000)&gt;=30,"obesity")</f>
        <v>Normal</v>
      </c>
      <c r="BD235">
        <f>Table1[[#This Row],[Follicle No. (L)]]+Table1[[#This Row],[Follicle No. (R)]]</f>
        <v>12</v>
      </c>
      <c r="BE235">
        <f>Table1[[#This Row],[Avg. F size (L) (mm)]]+Table1[[#This Row],[Avg. F size (R) (mm)]]</f>
        <v>32</v>
      </c>
      <c r="BF235">
        <f>Table1[[#This Row],[BP _Diastolic (mmHg)]]+(Table1[[#This Row],[BP _Diastolic (mmHg)]]+Table1[[#This Row],[Follicle No. (L)]])/3</f>
        <v>109</v>
      </c>
      <c r="BG235" s="4" t="str" cm="1">
        <f t="array" ref="BG23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35" s="4">
        <f>SUM(Table1[[#This Row],[Pimples(Y/N)]],Table1[[#This Row],[hair growth(Y/N)]],Table1[[#This Row],[Skin darkening (Y/N)]],Table1[[#This Row],[Hair loss(Y/N)]])</f>
        <v>1</v>
      </c>
      <c r="BI235" s="4" t="str">
        <f>IF(AND(Table1[[#This Row],[Pregnant(Y/N)]]=0, Table1[[#This Row],[  I   beta-HCG(mIU/mL)]]&gt;5), "Investigation Required", "Clear")</f>
        <v>Investigation Required</v>
      </c>
    </row>
    <row r="236" spans="1:61" ht="15.75" customHeight="1" x14ac:dyDescent="0.25">
      <c r="A236">
        <v>235</v>
      </c>
      <c r="B236">
        <v>235</v>
      </c>
      <c r="C236">
        <v>0</v>
      </c>
      <c r="D236" t="str">
        <f>IF(Table1[[#This Row],[PCOS (Y/N)]]=0,"NO","YES")</f>
        <v>NO</v>
      </c>
      <c r="E236">
        <v>27</v>
      </c>
      <c r="F236">
        <v>45</v>
      </c>
      <c r="G236">
        <v>152</v>
      </c>
      <c r="H236">
        <v>13</v>
      </c>
      <c r="I236">
        <v>72</v>
      </c>
      <c r="J236">
        <v>18</v>
      </c>
      <c r="K236">
        <v>11.5</v>
      </c>
      <c r="L236">
        <v>2</v>
      </c>
      <c r="M236">
        <v>6</v>
      </c>
      <c r="N236">
        <v>4</v>
      </c>
      <c r="O236">
        <v>0</v>
      </c>
      <c r="P236" t="str">
        <f>IF(Table1[[#This Row],[Pregnant(Y/N)]]=1,"YES","NO")</f>
        <v>NO</v>
      </c>
      <c r="Q236">
        <v>0</v>
      </c>
      <c r="R236">
        <v>391.46</v>
      </c>
      <c r="S236">
        <v>391.46</v>
      </c>
      <c r="T236">
        <v>1.85</v>
      </c>
      <c r="U236">
        <v>0.1</v>
      </c>
      <c r="V236">
        <f>Table1[[#This Row],[FSH(mIU/mL)]]/Table1[[#This Row],[LH(mIU/mL)]]</f>
        <v>18.5</v>
      </c>
      <c r="W236" t="str">
        <f>IF(Table1[[#This Row],[FSH/LH]]&gt;=2,"Abnormal","Normal")</f>
        <v>Abnormal</v>
      </c>
      <c r="X236">
        <v>32</v>
      </c>
      <c r="Y236">
        <v>30</v>
      </c>
      <c r="Z236">
        <f>ROUND(Table1[[#This Row],[Waist(inch)]]/Table1[[#This Row],[Hip(inch)]],2)</f>
        <v>0.94</v>
      </c>
      <c r="AA236">
        <v>3.79</v>
      </c>
      <c r="AB236">
        <v>3.5</v>
      </c>
      <c r="AC236">
        <v>29.32</v>
      </c>
      <c r="AD236">
        <v>22.3</v>
      </c>
      <c r="AE236" t="str">
        <f>IF(Table1[[#This Row],[Vit D3 (ng/mL)]]&lt;20,"Deficiency","Normal")</f>
        <v>Normal</v>
      </c>
      <c r="AF236">
        <v>0.25</v>
      </c>
      <c r="AG236">
        <v>73</v>
      </c>
      <c r="AH236">
        <v>0</v>
      </c>
      <c r="AI236" t="str">
        <f>IF(Table1[[#This Row],[Weight gain(Y/N)]]=0,"NO","YES")</f>
        <v>NO</v>
      </c>
      <c r="AJ236">
        <v>1</v>
      </c>
      <c r="AK236" t="str">
        <f>IF(Table1[[#This Row],[hair growth(Y/N)]]=1,"YES","NO")</f>
        <v>YES</v>
      </c>
      <c r="AL236">
        <v>1</v>
      </c>
      <c r="AM236" t="str">
        <f>IF(Table1[[#This Row],[Skin darkening (Y/N)]]=1,"YES","NO")</f>
        <v>YES</v>
      </c>
      <c r="AN236">
        <v>0</v>
      </c>
      <c r="AO236" t="str">
        <f>IF(Table1[[#This Row],[Hair loss(Y/N)]]=1,"YES","NO")</f>
        <v>NO</v>
      </c>
      <c r="AP236">
        <v>1</v>
      </c>
      <c r="AQ236" t="str">
        <f>IF(Table1[[#This Row],[Pimples(Y/N)]]=1,"YES","NO")</f>
        <v>YES</v>
      </c>
      <c r="AR236">
        <v>0</v>
      </c>
      <c r="AS236" t="str">
        <f>IF(Table1[[#This Row],[Fast food (Y/N)]]=1,"YES","NO")</f>
        <v>NO</v>
      </c>
      <c r="AT236">
        <v>1</v>
      </c>
      <c r="AU236" t="str">
        <f>IF(Table1[[#This Row],[Reg.Exercise(Y/N)]]=1,"YES","NO")</f>
        <v>YES</v>
      </c>
      <c r="AV236">
        <v>120</v>
      </c>
      <c r="AW236">
        <v>80</v>
      </c>
      <c r="AX236">
        <v>1</v>
      </c>
      <c r="AY236">
        <v>3</v>
      </c>
      <c r="AZ236">
        <v>14</v>
      </c>
      <c r="BA236">
        <v>16</v>
      </c>
      <c r="BB236">
        <v>8.5</v>
      </c>
      <c r="BC236" t="str" cm="1">
        <f t="array" ref="BC236">_xlfn.IFS((F236/(G236*G236)*10000)&lt; 18.5,"Underweight",(F236/(G236*G236)*10000)&lt;24.9,"Normal",(F236/(G236*G236)*10000)&lt;29.9,"Overweight",(F236/(G236*G236)*10000)&gt;=30,"obesity")</f>
        <v>Normal</v>
      </c>
      <c r="BD236">
        <f>Table1[[#This Row],[Follicle No. (L)]]+Table1[[#This Row],[Follicle No. (R)]]</f>
        <v>4</v>
      </c>
      <c r="BE236">
        <f>Table1[[#This Row],[Avg. F size (L) (mm)]]+Table1[[#This Row],[Avg. F size (R) (mm)]]</f>
        <v>30</v>
      </c>
      <c r="BF236">
        <f>Table1[[#This Row],[BP _Diastolic (mmHg)]]+(Table1[[#This Row],[BP _Diastolic (mmHg)]]+Table1[[#This Row],[Follicle No. (L)]])/3</f>
        <v>107</v>
      </c>
      <c r="BG236" s="4" t="str" cm="1">
        <f t="array" ref="BG23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36" s="4">
        <f>SUM(Table1[[#This Row],[Pimples(Y/N)]],Table1[[#This Row],[hair growth(Y/N)]],Table1[[#This Row],[Skin darkening (Y/N)]],Table1[[#This Row],[Hair loss(Y/N)]])</f>
        <v>3</v>
      </c>
      <c r="BI236" s="4" t="str">
        <f>IF(AND(Table1[[#This Row],[Pregnant(Y/N)]]=0, Table1[[#This Row],[  I   beta-HCG(mIU/mL)]]&gt;5), "Investigation Required", "Clear")</f>
        <v>Investigation Required</v>
      </c>
    </row>
    <row r="237" spans="1:61" ht="15.75" customHeight="1" x14ac:dyDescent="0.25">
      <c r="A237">
        <v>236</v>
      </c>
      <c r="B237">
        <v>236</v>
      </c>
      <c r="C237">
        <v>0</v>
      </c>
      <c r="D237" t="str">
        <f>IF(Table1[[#This Row],[PCOS (Y/N)]]=0,"NO","YES")</f>
        <v>NO</v>
      </c>
      <c r="E237">
        <v>28</v>
      </c>
      <c r="F237">
        <v>58.1</v>
      </c>
      <c r="G237">
        <v>153</v>
      </c>
      <c r="H237">
        <v>13</v>
      </c>
      <c r="I237">
        <v>72</v>
      </c>
      <c r="J237">
        <v>18</v>
      </c>
      <c r="K237">
        <v>12.4</v>
      </c>
      <c r="L237">
        <v>2</v>
      </c>
      <c r="M237">
        <v>5</v>
      </c>
      <c r="N237">
        <v>4</v>
      </c>
      <c r="O237">
        <v>0</v>
      </c>
      <c r="P237" t="str">
        <f>IF(Table1[[#This Row],[Pregnant(Y/N)]]=1,"YES","NO")</f>
        <v>NO</v>
      </c>
      <c r="Q237">
        <v>0</v>
      </c>
      <c r="R237">
        <v>418.82</v>
      </c>
      <c r="S237">
        <v>1.99</v>
      </c>
      <c r="T237">
        <v>7.5</v>
      </c>
      <c r="U237">
        <v>1.48</v>
      </c>
      <c r="V237">
        <f>Table1[[#This Row],[FSH(mIU/mL)]]/Table1[[#This Row],[LH(mIU/mL)]]</f>
        <v>5.0675675675675675</v>
      </c>
      <c r="W237" t="str">
        <f>IF(Table1[[#This Row],[FSH/LH]]&gt;=2,"Abnormal","Normal")</f>
        <v>Abnormal</v>
      </c>
      <c r="X237">
        <v>36</v>
      </c>
      <c r="Y237">
        <v>34</v>
      </c>
      <c r="Z237">
        <f>ROUND(Table1[[#This Row],[Waist(inch)]]/Table1[[#This Row],[Hip(inch)]],2)</f>
        <v>0.94</v>
      </c>
      <c r="AA237">
        <v>0.73</v>
      </c>
      <c r="AB237">
        <v>1.3</v>
      </c>
      <c r="AC237">
        <v>27.73</v>
      </c>
      <c r="AD237">
        <v>31.1</v>
      </c>
      <c r="AE237" t="str">
        <f>IF(Table1[[#This Row],[Vit D3 (ng/mL)]]&lt;20,"Deficiency","Normal")</f>
        <v>Normal</v>
      </c>
      <c r="AF237">
        <v>0.25</v>
      </c>
      <c r="AG237">
        <v>86</v>
      </c>
      <c r="AH237">
        <v>0</v>
      </c>
      <c r="AI237" t="str">
        <f>IF(Table1[[#This Row],[Weight gain(Y/N)]]=0,"NO","YES")</f>
        <v>NO</v>
      </c>
      <c r="AJ237">
        <v>1</v>
      </c>
      <c r="AK237" t="str">
        <f>IF(Table1[[#This Row],[hair growth(Y/N)]]=1,"YES","NO")</f>
        <v>YES</v>
      </c>
      <c r="AL237">
        <v>0</v>
      </c>
      <c r="AM237" t="str">
        <f>IF(Table1[[#This Row],[Skin darkening (Y/N)]]=1,"YES","NO")</f>
        <v>NO</v>
      </c>
      <c r="AN237">
        <v>0</v>
      </c>
      <c r="AO237" t="str">
        <f>IF(Table1[[#This Row],[Hair loss(Y/N)]]=1,"YES","NO")</f>
        <v>NO</v>
      </c>
      <c r="AP237">
        <v>0</v>
      </c>
      <c r="AQ237" t="str">
        <f>IF(Table1[[#This Row],[Pimples(Y/N)]]=1,"YES","NO")</f>
        <v>NO</v>
      </c>
      <c r="AR237">
        <v>1</v>
      </c>
      <c r="AS237" t="str">
        <f>IF(Table1[[#This Row],[Fast food (Y/N)]]=1,"YES","NO")</f>
        <v>YES</v>
      </c>
      <c r="AT237">
        <v>1</v>
      </c>
      <c r="AU237" t="str">
        <f>IF(Table1[[#This Row],[Reg.Exercise(Y/N)]]=1,"YES","NO")</f>
        <v>YES</v>
      </c>
      <c r="AV237">
        <v>110</v>
      </c>
      <c r="AW237">
        <v>70</v>
      </c>
      <c r="AX237">
        <v>0</v>
      </c>
      <c r="AY237">
        <v>5</v>
      </c>
      <c r="AZ237">
        <v>17</v>
      </c>
      <c r="BA237">
        <v>18</v>
      </c>
      <c r="BB237">
        <v>4.8</v>
      </c>
      <c r="BC237" t="str" cm="1">
        <f t="array" ref="BC237">_xlfn.IFS((F237/(G237*G237)*10000)&lt; 18.5,"Underweight",(F237/(G237*G237)*10000)&lt;24.9,"Normal",(F237/(G237*G237)*10000)&lt;29.9,"Overweight",(F237/(G237*G237)*10000)&gt;=30,"obesity")</f>
        <v>Normal</v>
      </c>
      <c r="BD237">
        <f>Table1[[#This Row],[Follicle No. (L)]]+Table1[[#This Row],[Follicle No. (R)]]</f>
        <v>5</v>
      </c>
      <c r="BE237">
        <f>Table1[[#This Row],[Avg. F size (L) (mm)]]+Table1[[#This Row],[Avg. F size (R) (mm)]]</f>
        <v>35</v>
      </c>
      <c r="BF237">
        <f>Table1[[#This Row],[BP _Diastolic (mmHg)]]+(Table1[[#This Row],[BP _Diastolic (mmHg)]]+Table1[[#This Row],[Follicle No. (L)]])/3</f>
        <v>93.333333333333329</v>
      </c>
      <c r="BG237" s="4" t="str" cm="1">
        <f t="array" ref="BG23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37" s="4">
        <f>SUM(Table1[[#This Row],[Pimples(Y/N)]],Table1[[#This Row],[hair growth(Y/N)]],Table1[[#This Row],[Skin darkening (Y/N)]],Table1[[#This Row],[Hair loss(Y/N)]])</f>
        <v>1</v>
      </c>
      <c r="BI237" s="4" t="str">
        <f>IF(AND(Table1[[#This Row],[Pregnant(Y/N)]]=0, Table1[[#This Row],[  I   beta-HCG(mIU/mL)]]&gt;5), "Investigation Required", "Clear")</f>
        <v>Investigation Required</v>
      </c>
    </row>
    <row r="238" spans="1:61" ht="15.75" customHeight="1" x14ac:dyDescent="0.25">
      <c r="A238">
        <v>237</v>
      </c>
      <c r="B238">
        <v>237</v>
      </c>
      <c r="C238">
        <v>0</v>
      </c>
      <c r="D238" t="str">
        <f>IF(Table1[[#This Row],[PCOS (Y/N)]]=0,"NO","YES")</f>
        <v>NO</v>
      </c>
      <c r="E238">
        <v>33</v>
      </c>
      <c r="F238">
        <v>54</v>
      </c>
      <c r="G238">
        <v>146</v>
      </c>
      <c r="H238">
        <v>15</v>
      </c>
      <c r="I238">
        <v>72</v>
      </c>
      <c r="J238">
        <v>18</v>
      </c>
      <c r="K238">
        <v>12.8</v>
      </c>
      <c r="L238">
        <v>2</v>
      </c>
      <c r="M238">
        <v>3</v>
      </c>
      <c r="N238">
        <v>8</v>
      </c>
      <c r="O238">
        <v>0</v>
      </c>
      <c r="P238" t="str">
        <f>IF(Table1[[#This Row],[Pregnant(Y/N)]]=1,"YES","NO")</f>
        <v>NO</v>
      </c>
      <c r="Q238">
        <v>1</v>
      </c>
      <c r="R238">
        <v>1.99</v>
      </c>
      <c r="S238">
        <v>1.99</v>
      </c>
      <c r="T238">
        <v>3.21</v>
      </c>
      <c r="U238">
        <v>0.56999999999999995</v>
      </c>
      <c r="V238">
        <f>Table1[[#This Row],[FSH(mIU/mL)]]/Table1[[#This Row],[LH(mIU/mL)]]</f>
        <v>5.6315789473684212</v>
      </c>
      <c r="W238" t="str">
        <f>IF(Table1[[#This Row],[FSH/LH]]&gt;=2,"Abnormal","Normal")</f>
        <v>Abnormal</v>
      </c>
      <c r="X238">
        <v>38</v>
      </c>
      <c r="Y238">
        <v>35</v>
      </c>
      <c r="Z238">
        <f>ROUND(Table1[[#This Row],[Waist(inch)]]/Table1[[#This Row],[Hip(inch)]],2)</f>
        <v>0.92</v>
      </c>
      <c r="AA238">
        <v>10.96</v>
      </c>
      <c r="AB238">
        <v>3.14</v>
      </c>
      <c r="AC238">
        <v>44.96</v>
      </c>
      <c r="AD238">
        <v>28.7</v>
      </c>
      <c r="AE238" t="str">
        <f>IF(Table1[[#This Row],[Vit D3 (ng/mL)]]&lt;20,"Deficiency","Normal")</f>
        <v>Normal</v>
      </c>
      <c r="AF238">
        <v>0.25</v>
      </c>
      <c r="AG238">
        <v>80</v>
      </c>
      <c r="AH238">
        <v>0</v>
      </c>
      <c r="AI238" t="str">
        <f>IF(Table1[[#This Row],[Weight gain(Y/N)]]=0,"NO","YES")</f>
        <v>NO</v>
      </c>
      <c r="AJ238">
        <v>0</v>
      </c>
      <c r="AK238" t="str">
        <f>IF(Table1[[#This Row],[hair growth(Y/N)]]=1,"YES","NO")</f>
        <v>NO</v>
      </c>
      <c r="AL238">
        <v>0</v>
      </c>
      <c r="AM238" t="str">
        <f>IF(Table1[[#This Row],[Skin darkening (Y/N)]]=1,"YES","NO")</f>
        <v>NO</v>
      </c>
      <c r="AN238">
        <v>0</v>
      </c>
      <c r="AO238" t="str">
        <f>IF(Table1[[#This Row],[Hair loss(Y/N)]]=1,"YES","NO")</f>
        <v>NO</v>
      </c>
      <c r="AP238">
        <v>1</v>
      </c>
      <c r="AQ238" t="str">
        <f>IF(Table1[[#This Row],[Pimples(Y/N)]]=1,"YES","NO")</f>
        <v>YES</v>
      </c>
      <c r="AR238">
        <v>1</v>
      </c>
      <c r="AS238" t="str">
        <f>IF(Table1[[#This Row],[Fast food (Y/N)]]=1,"YES","NO")</f>
        <v>YES</v>
      </c>
      <c r="AT238">
        <v>1</v>
      </c>
      <c r="AU238" t="str">
        <f>IF(Table1[[#This Row],[Reg.Exercise(Y/N)]]=1,"YES","NO")</f>
        <v>YES</v>
      </c>
      <c r="AV238">
        <v>120</v>
      </c>
      <c r="AW238">
        <v>80</v>
      </c>
      <c r="AX238">
        <v>5</v>
      </c>
      <c r="AY238">
        <v>5</v>
      </c>
      <c r="AZ238">
        <v>18</v>
      </c>
      <c r="BA238">
        <v>20</v>
      </c>
      <c r="BB238">
        <v>7</v>
      </c>
      <c r="BC238" t="str" cm="1">
        <f t="array" ref="BC238">_xlfn.IFS((F238/(G238*G238)*10000)&lt; 18.5,"Underweight",(F238/(G238*G238)*10000)&lt;24.9,"Normal",(F238/(G238*G238)*10000)&lt;29.9,"Overweight",(F238/(G238*G238)*10000)&gt;=30,"obesity")</f>
        <v>Overweight</v>
      </c>
      <c r="BD238">
        <f>Table1[[#This Row],[Follicle No. (L)]]+Table1[[#This Row],[Follicle No. (R)]]</f>
        <v>10</v>
      </c>
      <c r="BE238">
        <f>Table1[[#This Row],[Avg. F size (L) (mm)]]+Table1[[#This Row],[Avg. F size (R) (mm)]]</f>
        <v>38</v>
      </c>
      <c r="BF238">
        <f>Table1[[#This Row],[BP _Diastolic (mmHg)]]+(Table1[[#This Row],[BP _Diastolic (mmHg)]]+Table1[[#This Row],[Follicle No. (L)]])/3</f>
        <v>108.33333333333333</v>
      </c>
      <c r="BG238" s="4" t="str" cm="1">
        <f t="array" ref="BG23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38" s="4">
        <f>SUM(Table1[[#This Row],[Pimples(Y/N)]],Table1[[#This Row],[hair growth(Y/N)]],Table1[[#This Row],[Skin darkening (Y/N)]],Table1[[#This Row],[Hair loss(Y/N)]])</f>
        <v>1</v>
      </c>
      <c r="BI238" s="4" t="str">
        <f>IF(AND(Table1[[#This Row],[Pregnant(Y/N)]]=0, Table1[[#This Row],[  I   beta-HCG(mIU/mL)]]&gt;5), "Investigation Required", "Clear")</f>
        <v>Clear</v>
      </c>
    </row>
    <row r="239" spans="1:61" ht="15.75" customHeight="1" x14ac:dyDescent="0.25">
      <c r="A239">
        <v>238</v>
      </c>
      <c r="B239">
        <v>238</v>
      </c>
      <c r="C239">
        <v>1</v>
      </c>
      <c r="D239" t="str">
        <f>IF(Table1[[#This Row],[PCOS (Y/N)]]=0,"NO","YES")</f>
        <v>YES</v>
      </c>
      <c r="E239">
        <v>25</v>
      </c>
      <c r="F239">
        <v>42</v>
      </c>
      <c r="G239">
        <v>154</v>
      </c>
      <c r="H239">
        <v>14</v>
      </c>
      <c r="I239">
        <v>72</v>
      </c>
      <c r="J239">
        <v>18</v>
      </c>
      <c r="K239">
        <v>12.5</v>
      </c>
      <c r="L239">
        <v>4</v>
      </c>
      <c r="M239">
        <v>3</v>
      </c>
      <c r="N239">
        <v>4</v>
      </c>
      <c r="O239">
        <v>0</v>
      </c>
      <c r="P239" t="str">
        <f>IF(Table1[[#This Row],[Pregnant(Y/N)]]=1,"YES","NO")</f>
        <v>NO</v>
      </c>
      <c r="Q239">
        <v>0</v>
      </c>
      <c r="R239">
        <v>1.99</v>
      </c>
      <c r="S239">
        <v>1.99</v>
      </c>
      <c r="T239">
        <v>6.58</v>
      </c>
      <c r="U239">
        <v>3.09</v>
      </c>
      <c r="V239">
        <f>Table1[[#This Row],[FSH(mIU/mL)]]/Table1[[#This Row],[LH(mIU/mL)]]</f>
        <v>2.1294498381877025</v>
      </c>
      <c r="W239" t="str">
        <f>IF(Table1[[#This Row],[FSH/LH]]&gt;=2,"Abnormal","Normal")</f>
        <v>Abnormal</v>
      </c>
      <c r="X239">
        <v>33</v>
      </c>
      <c r="Y239">
        <v>30</v>
      </c>
      <c r="Z239">
        <f>ROUND(Table1[[#This Row],[Waist(inch)]]/Table1[[#This Row],[Hip(inch)]],2)</f>
        <v>0.91</v>
      </c>
      <c r="AA239">
        <v>0.85</v>
      </c>
      <c r="AB239">
        <v>1.25</v>
      </c>
      <c r="AC239">
        <v>12.81</v>
      </c>
      <c r="AD239">
        <v>30.2</v>
      </c>
      <c r="AE239" t="str">
        <f>IF(Table1[[#This Row],[Vit D3 (ng/mL)]]&lt;20,"Deficiency","Normal")</f>
        <v>Normal</v>
      </c>
      <c r="AF239">
        <v>0.67</v>
      </c>
      <c r="AG239">
        <v>100</v>
      </c>
      <c r="AH239">
        <v>1</v>
      </c>
      <c r="AI239" t="str">
        <f>IF(Table1[[#This Row],[Weight gain(Y/N)]]=0,"NO","YES")</f>
        <v>YES</v>
      </c>
      <c r="AJ239">
        <v>0</v>
      </c>
      <c r="AK239" t="str">
        <f>IF(Table1[[#This Row],[hair growth(Y/N)]]=1,"YES","NO")</f>
        <v>NO</v>
      </c>
      <c r="AL239">
        <v>0</v>
      </c>
      <c r="AM239" t="str">
        <f>IF(Table1[[#This Row],[Skin darkening (Y/N)]]=1,"YES","NO")</f>
        <v>NO</v>
      </c>
      <c r="AN239">
        <v>1</v>
      </c>
      <c r="AO239" t="str">
        <f>IF(Table1[[#This Row],[Hair loss(Y/N)]]=1,"YES","NO")</f>
        <v>YES</v>
      </c>
      <c r="AP239">
        <v>1</v>
      </c>
      <c r="AQ239" t="str">
        <f>IF(Table1[[#This Row],[Pimples(Y/N)]]=1,"YES","NO")</f>
        <v>YES</v>
      </c>
      <c r="AR239">
        <v>0</v>
      </c>
      <c r="AS239" t="str">
        <f>IF(Table1[[#This Row],[Fast food (Y/N)]]=1,"YES","NO")</f>
        <v>NO</v>
      </c>
      <c r="AT239">
        <v>0</v>
      </c>
      <c r="AU239" t="str">
        <f>IF(Table1[[#This Row],[Reg.Exercise(Y/N)]]=1,"YES","NO")</f>
        <v>NO</v>
      </c>
      <c r="AV239">
        <v>120</v>
      </c>
      <c r="AW239">
        <v>80</v>
      </c>
      <c r="AX239">
        <v>6</v>
      </c>
      <c r="AY239">
        <v>5</v>
      </c>
      <c r="AZ239">
        <v>15</v>
      </c>
      <c r="BA239">
        <v>17</v>
      </c>
      <c r="BB239">
        <v>9</v>
      </c>
      <c r="BC239" t="str" cm="1">
        <f t="array" ref="BC239">_xlfn.IFS((F239/(G239*G239)*10000)&lt; 18.5,"Underweight",(F239/(G239*G239)*10000)&lt;24.9,"Normal",(F239/(G239*G239)*10000)&lt;29.9,"Overweight",(F239/(G239*G239)*10000)&gt;=30,"obesity")</f>
        <v>Underweight</v>
      </c>
      <c r="BD239">
        <f>Table1[[#This Row],[Follicle No. (L)]]+Table1[[#This Row],[Follicle No. (R)]]</f>
        <v>11</v>
      </c>
      <c r="BE239">
        <f>Table1[[#This Row],[Avg. F size (L) (mm)]]+Table1[[#This Row],[Avg. F size (R) (mm)]]</f>
        <v>32</v>
      </c>
      <c r="BF239">
        <f>Table1[[#This Row],[BP _Diastolic (mmHg)]]+(Table1[[#This Row],[BP _Diastolic (mmHg)]]+Table1[[#This Row],[Follicle No. (L)]])/3</f>
        <v>108.66666666666667</v>
      </c>
      <c r="BG239" s="4" t="str" cm="1">
        <f t="array" ref="BG23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39" s="4">
        <f>SUM(Table1[[#This Row],[Pimples(Y/N)]],Table1[[#This Row],[hair growth(Y/N)]],Table1[[#This Row],[Skin darkening (Y/N)]],Table1[[#This Row],[Hair loss(Y/N)]])</f>
        <v>2</v>
      </c>
      <c r="BI239" s="4" t="str">
        <f>IF(AND(Table1[[#This Row],[Pregnant(Y/N)]]=0, Table1[[#This Row],[  I   beta-HCG(mIU/mL)]]&gt;5), "Investigation Required", "Clear")</f>
        <v>Clear</v>
      </c>
    </row>
    <row r="240" spans="1:61" ht="15.75" customHeight="1" x14ac:dyDescent="0.25">
      <c r="A240">
        <v>239</v>
      </c>
      <c r="B240">
        <v>239</v>
      </c>
      <c r="C240">
        <v>0</v>
      </c>
      <c r="D240" t="str">
        <f>IF(Table1[[#This Row],[PCOS (Y/N)]]=0,"NO","YES")</f>
        <v>NO</v>
      </c>
      <c r="E240">
        <v>32</v>
      </c>
      <c r="F240">
        <v>66</v>
      </c>
      <c r="G240">
        <v>164</v>
      </c>
      <c r="H240">
        <v>15</v>
      </c>
      <c r="I240">
        <v>72</v>
      </c>
      <c r="J240">
        <v>18</v>
      </c>
      <c r="K240">
        <v>11.1</v>
      </c>
      <c r="L240">
        <v>4</v>
      </c>
      <c r="M240">
        <v>4</v>
      </c>
      <c r="N240">
        <v>13</v>
      </c>
      <c r="O240">
        <v>0</v>
      </c>
      <c r="P240" t="str">
        <f>IF(Table1[[#This Row],[Pregnant(Y/N)]]=1,"YES","NO")</f>
        <v>NO</v>
      </c>
      <c r="Q240">
        <v>0</v>
      </c>
      <c r="R240">
        <v>464.12</v>
      </c>
      <c r="S240">
        <v>464.12</v>
      </c>
      <c r="T240">
        <v>3.84</v>
      </c>
      <c r="U240">
        <v>1.53</v>
      </c>
      <c r="V240">
        <f>Table1[[#This Row],[FSH(mIU/mL)]]/Table1[[#This Row],[LH(mIU/mL)]]</f>
        <v>2.5098039215686274</v>
      </c>
      <c r="W240" t="str">
        <f>IF(Table1[[#This Row],[FSH/LH]]&gt;=2,"Abnormal","Normal")</f>
        <v>Abnormal</v>
      </c>
      <c r="X240">
        <v>34</v>
      </c>
      <c r="Y240">
        <v>31</v>
      </c>
      <c r="Z240">
        <f>ROUND(Table1[[#This Row],[Waist(inch)]]/Table1[[#This Row],[Hip(inch)]],2)</f>
        <v>0.91</v>
      </c>
      <c r="AA240">
        <v>0.95</v>
      </c>
      <c r="AB240">
        <v>7.7</v>
      </c>
      <c r="AC240">
        <v>34.94</v>
      </c>
      <c r="AD240">
        <v>16.7</v>
      </c>
      <c r="AE240" t="str">
        <f>IF(Table1[[#This Row],[Vit D3 (ng/mL)]]&lt;20,"Deficiency","Normal")</f>
        <v>Deficiency</v>
      </c>
      <c r="AF240">
        <v>0.25</v>
      </c>
      <c r="AG240">
        <v>98</v>
      </c>
      <c r="AH240">
        <v>0</v>
      </c>
      <c r="AI240" t="str">
        <f>IF(Table1[[#This Row],[Weight gain(Y/N)]]=0,"NO","YES")</f>
        <v>NO</v>
      </c>
      <c r="AJ240">
        <v>0</v>
      </c>
      <c r="AK240" t="str">
        <f>IF(Table1[[#This Row],[hair growth(Y/N)]]=1,"YES","NO")</f>
        <v>NO</v>
      </c>
      <c r="AL240">
        <v>1</v>
      </c>
      <c r="AM240" t="str">
        <f>IF(Table1[[#This Row],[Skin darkening (Y/N)]]=1,"YES","NO")</f>
        <v>YES</v>
      </c>
      <c r="AN240">
        <v>0</v>
      </c>
      <c r="AO240" t="str">
        <f>IF(Table1[[#This Row],[Hair loss(Y/N)]]=1,"YES","NO")</f>
        <v>NO</v>
      </c>
      <c r="AP240">
        <v>1</v>
      </c>
      <c r="AQ240" t="str">
        <f>IF(Table1[[#This Row],[Pimples(Y/N)]]=1,"YES","NO")</f>
        <v>YES</v>
      </c>
      <c r="AR240">
        <v>1</v>
      </c>
      <c r="AS240" t="str">
        <f>IF(Table1[[#This Row],[Fast food (Y/N)]]=1,"YES","NO")</f>
        <v>YES</v>
      </c>
      <c r="AT240">
        <v>1</v>
      </c>
      <c r="AU240" t="str">
        <f>IF(Table1[[#This Row],[Reg.Exercise(Y/N)]]=1,"YES","NO")</f>
        <v>YES</v>
      </c>
      <c r="AV240">
        <v>120</v>
      </c>
      <c r="AW240">
        <v>80</v>
      </c>
      <c r="AX240">
        <v>5</v>
      </c>
      <c r="AY240">
        <v>5</v>
      </c>
      <c r="AZ240">
        <v>17</v>
      </c>
      <c r="BA240">
        <v>19</v>
      </c>
      <c r="BB240">
        <v>9</v>
      </c>
      <c r="BC240" t="str" cm="1">
        <f t="array" ref="BC240">_xlfn.IFS((F240/(G240*G240)*10000)&lt; 18.5,"Underweight",(F240/(G240*G240)*10000)&lt;24.9,"Normal",(F240/(G240*G240)*10000)&lt;29.9,"Overweight",(F240/(G240*G240)*10000)&gt;=30,"obesity")</f>
        <v>Normal</v>
      </c>
      <c r="BD240">
        <f>Table1[[#This Row],[Follicle No. (L)]]+Table1[[#This Row],[Follicle No. (R)]]</f>
        <v>10</v>
      </c>
      <c r="BE240">
        <f>Table1[[#This Row],[Avg. F size (L) (mm)]]+Table1[[#This Row],[Avg. F size (R) (mm)]]</f>
        <v>36</v>
      </c>
      <c r="BF240">
        <f>Table1[[#This Row],[BP _Diastolic (mmHg)]]+(Table1[[#This Row],[BP _Diastolic (mmHg)]]+Table1[[#This Row],[Follicle No. (L)]])/3</f>
        <v>108.33333333333333</v>
      </c>
      <c r="BG240" s="4" t="str" cm="1">
        <f t="array" ref="BG24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0" s="4">
        <f>SUM(Table1[[#This Row],[Pimples(Y/N)]],Table1[[#This Row],[hair growth(Y/N)]],Table1[[#This Row],[Skin darkening (Y/N)]],Table1[[#This Row],[Hair loss(Y/N)]])</f>
        <v>2</v>
      </c>
      <c r="BI240" s="4" t="str">
        <f>IF(AND(Table1[[#This Row],[Pregnant(Y/N)]]=0, Table1[[#This Row],[  I   beta-HCG(mIU/mL)]]&gt;5), "Investigation Required", "Clear")</f>
        <v>Investigation Required</v>
      </c>
    </row>
    <row r="241" spans="1:61" ht="15.75" customHeight="1" x14ac:dyDescent="0.25">
      <c r="A241">
        <v>240</v>
      </c>
      <c r="B241">
        <v>240</v>
      </c>
      <c r="C241">
        <v>0</v>
      </c>
      <c r="D241" t="str">
        <f>IF(Table1[[#This Row],[PCOS (Y/N)]]=0,"NO","YES")</f>
        <v>NO</v>
      </c>
      <c r="E241">
        <v>20</v>
      </c>
      <c r="F241">
        <v>56</v>
      </c>
      <c r="G241">
        <v>159</v>
      </c>
      <c r="H241">
        <v>13</v>
      </c>
      <c r="I241">
        <v>72</v>
      </c>
      <c r="J241">
        <v>18</v>
      </c>
      <c r="K241">
        <v>12.4</v>
      </c>
      <c r="L241">
        <v>2</v>
      </c>
      <c r="M241">
        <v>5</v>
      </c>
      <c r="N241">
        <v>1.5</v>
      </c>
      <c r="O241">
        <v>1</v>
      </c>
      <c r="P241" t="str">
        <f>IF(Table1[[#This Row],[Pregnant(Y/N)]]=1,"YES","NO")</f>
        <v>YES</v>
      </c>
      <c r="Q241">
        <v>0</v>
      </c>
      <c r="R241">
        <v>389.26</v>
      </c>
      <c r="S241">
        <v>41.77</v>
      </c>
      <c r="T241">
        <v>5.9</v>
      </c>
      <c r="U241">
        <v>3.13</v>
      </c>
      <c r="V241">
        <f>Table1[[#This Row],[FSH(mIU/mL)]]/Table1[[#This Row],[LH(mIU/mL)]]</f>
        <v>1.8849840255591057</v>
      </c>
      <c r="W241" t="str">
        <f>IF(Table1[[#This Row],[FSH/LH]]&gt;=2,"Abnormal","Normal")</f>
        <v>Normal</v>
      </c>
      <c r="X241">
        <v>35</v>
      </c>
      <c r="Y241">
        <v>33</v>
      </c>
      <c r="Z241">
        <f>ROUND(Table1[[#This Row],[Waist(inch)]]/Table1[[#This Row],[Hip(inch)]],2)</f>
        <v>0.94</v>
      </c>
      <c r="AA241">
        <v>0.61</v>
      </c>
      <c r="AB241">
        <v>7.3</v>
      </c>
      <c r="AC241">
        <v>10.6</v>
      </c>
      <c r="AD241">
        <v>22</v>
      </c>
      <c r="AE241" t="str">
        <f>IF(Table1[[#This Row],[Vit D3 (ng/mL)]]&lt;20,"Deficiency","Normal")</f>
        <v>Normal</v>
      </c>
      <c r="AF241">
        <v>0.25</v>
      </c>
      <c r="AG241">
        <v>86</v>
      </c>
      <c r="AH241">
        <v>0</v>
      </c>
      <c r="AI241" t="str">
        <f>IF(Table1[[#This Row],[Weight gain(Y/N)]]=0,"NO","YES")</f>
        <v>NO</v>
      </c>
      <c r="AJ241">
        <v>0</v>
      </c>
      <c r="AK241" t="str">
        <f>IF(Table1[[#This Row],[hair growth(Y/N)]]=1,"YES","NO")</f>
        <v>NO</v>
      </c>
      <c r="AL241">
        <v>0</v>
      </c>
      <c r="AM241" t="str">
        <f>IF(Table1[[#This Row],[Skin darkening (Y/N)]]=1,"YES","NO")</f>
        <v>NO</v>
      </c>
      <c r="AN241">
        <v>0</v>
      </c>
      <c r="AO241" t="str">
        <f>IF(Table1[[#This Row],[Hair loss(Y/N)]]=1,"YES","NO")</f>
        <v>NO</v>
      </c>
      <c r="AP241">
        <v>1</v>
      </c>
      <c r="AQ241" t="str">
        <f>IF(Table1[[#This Row],[Pimples(Y/N)]]=1,"YES","NO")</f>
        <v>YES</v>
      </c>
      <c r="AR241">
        <v>0</v>
      </c>
      <c r="AS241" t="str">
        <f>IF(Table1[[#This Row],[Fast food (Y/N)]]=1,"YES","NO")</f>
        <v>NO</v>
      </c>
      <c r="AT241">
        <v>1</v>
      </c>
      <c r="AU241" t="str">
        <f>IF(Table1[[#This Row],[Reg.Exercise(Y/N)]]=1,"YES","NO")</f>
        <v>YES</v>
      </c>
      <c r="AV241">
        <v>120</v>
      </c>
      <c r="AW241">
        <v>80</v>
      </c>
      <c r="AX241">
        <v>10</v>
      </c>
      <c r="AY241">
        <v>5</v>
      </c>
      <c r="AZ241">
        <v>15</v>
      </c>
      <c r="BA241">
        <v>18</v>
      </c>
      <c r="BB241">
        <v>8</v>
      </c>
      <c r="BC241" t="str" cm="1">
        <f t="array" ref="BC241">_xlfn.IFS((F241/(G241*G241)*10000)&lt; 18.5,"Underweight",(F241/(G241*G241)*10000)&lt;24.9,"Normal",(F241/(G241*G241)*10000)&lt;29.9,"Overweight",(F241/(G241*G241)*10000)&gt;=30,"obesity")</f>
        <v>Normal</v>
      </c>
      <c r="BD241">
        <f>Table1[[#This Row],[Follicle No. (L)]]+Table1[[#This Row],[Follicle No. (R)]]</f>
        <v>15</v>
      </c>
      <c r="BE241">
        <f>Table1[[#This Row],[Avg. F size (L) (mm)]]+Table1[[#This Row],[Avg. F size (R) (mm)]]</f>
        <v>33</v>
      </c>
      <c r="BF241">
        <f>Table1[[#This Row],[BP _Diastolic (mmHg)]]+(Table1[[#This Row],[BP _Diastolic (mmHg)]]+Table1[[#This Row],[Follicle No. (L)]])/3</f>
        <v>110</v>
      </c>
      <c r="BG241" s="4" t="str" cm="1">
        <f t="array" ref="BG24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1" s="4">
        <f>SUM(Table1[[#This Row],[Pimples(Y/N)]],Table1[[#This Row],[hair growth(Y/N)]],Table1[[#This Row],[Skin darkening (Y/N)]],Table1[[#This Row],[Hair loss(Y/N)]])</f>
        <v>1</v>
      </c>
      <c r="BI241" s="4" t="str">
        <f>IF(AND(Table1[[#This Row],[Pregnant(Y/N)]]=0, Table1[[#This Row],[  I   beta-HCG(mIU/mL)]]&gt;5), "Investigation Required", "Clear")</f>
        <v>Clear</v>
      </c>
    </row>
    <row r="242" spans="1:61" ht="15.75" customHeight="1" x14ac:dyDescent="0.25">
      <c r="A242">
        <v>241</v>
      </c>
      <c r="B242">
        <v>241</v>
      </c>
      <c r="C242">
        <v>1</v>
      </c>
      <c r="D242" t="str">
        <f>IF(Table1[[#This Row],[PCOS (Y/N)]]=0,"NO","YES")</f>
        <v>YES</v>
      </c>
      <c r="E242">
        <v>24</v>
      </c>
      <c r="F242">
        <v>53.6</v>
      </c>
      <c r="G242">
        <v>166</v>
      </c>
      <c r="H242">
        <v>15</v>
      </c>
      <c r="I242">
        <v>72</v>
      </c>
      <c r="J242">
        <v>18</v>
      </c>
      <c r="K242">
        <v>10.7</v>
      </c>
      <c r="L242">
        <v>2</v>
      </c>
      <c r="M242">
        <v>5</v>
      </c>
      <c r="N242">
        <v>3</v>
      </c>
      <c r="O242">
        <v>1</v>
      </c>
      <c r="P242" t="str">
        <f>IF(Table1[[#This Row],[Pregnant(Y/N)]]=1,"YES","NO")</f>
        <v>YES</v>
      </c>
      <c r="Q242">
        <v>0</v>
      </c>
      <c r="R242">
        <v>1390.58</v>
      </c>
      <c r="S242">
        <v>1390.58</v>
      </c>
      <c r="T242">
        <v>3.9</v>
      </c>
      <c r="U242">
        <v>0.99</v>
      </c>
      <c r="V242">
        <f>Table1[[#This Row],[FSH(mIU/mL)]]/Table1[[#This Row],[LH(mIU/mL)]]</f>
        <v>3.9393939393939394</v>
      </c>
      <c r="W242" t="str">
        <f>IF(Table1[[#This Row],[FSH/LH]]&gt;=2,"Abnormal","Normal")</f>
        <v>Abnormal</v>
      </c>
      <c r="X242">
        <v>34</v>
      </c>
      <c r="Y242">
        <v>32</v>
      </c>
      <c r="Z242">
        <f>ROUND(Table1[[#This Row],[Waist(inch)]]/Table1[[#This Row],[Hip(inch)]],2)</f>
        <v>0.94</v>
      </c>
      <c r="AA242">
        <v>5</v>
      </c>
      <c r="AB242">
        <v>7.2</v>
      </c>
      <c r="AC242">
        <v>40.28</v>
      </c>
      <c r="AD242">
        <v>30.7</v>
      </c>
      <c r="AE242" t="str">
        <f>IF(Table1[[#This Row],[Vit D3 (ng/mL)]]&lt;20,"Deficiency","Normal")</f>
        <v>Normal</v>
      </c>
      <c r="AF242">
        <v>0.26</v>
      </c>
      <c r="AG242">
        <v>86</v>
      </c>
      <c r="AH242">
        <v>0</v>
      </c>
      <c r="AI242" t="str">
        <f>IF(Table1[[#This Row],[Weight gain(Y/N)]]=0,"NO","YES")</f>
        <v>NO</v>
      </c>
      <c r="AJ242">
        <v>1</v>
      </c>
      <c r="AK242" t="str">
        <f>IF(Table1[[#This Row],[hair growth(Y/N)]]=1,"YES","NO")</f>
        <v>YES</v>
      </c>
      <c r="AL242">
        <v>0</v>
      </c>
      <c r="AM242" t="str">
        <f>IF(Table1[[#This Row],[Skin darkening (Y/N)]]=1,"YES","NO")</f>
        <v>NO</v>
      </c>
      <c r="AN242">
        <v>1</v>
      </c>
      <c r="AO242" t="str">
        <f>IF(Table1[[#This Row],[Hair loss(Y/N)]]=1,"YES","NO")</f>
        <v>YES</v>
      </c>
      <c r="AP242">
        <v>1</v>
      </c>
      <c r="AQ242" t="str">
        <f>IF(Table1[[#This Row],[Pimples(Y/N)]]=1,"YES","NO")</f>
        <v>YES</v>
      </c>
      <c r="AR242">
        <v>0</v>
      </c>
      <c r="AS242" t="str">
        <f>IF(Table1[[#This Row],[Fast food (Y/N)]]=1,"YES","NO")</f>
        <v>NO</v>
      </c>
      <c r="AT242">
        <v>0</v>
      </c>
      <c r="AU242" t="str">
        <f>IF(Table1[[#This Row],[Reg.Exercise(Y/N)]]=1,"YES","NO")</f>
        <v>NO</v>
      </c>
      <c r="AV242">
        <v>110</v>
      </c>
      <c r="AW242">
        <v>80</v>
      </c>
      <c r="AX242">
        <v>12</v>
      </c>
      <c r="AY242">
        <v>9</v>
      </c>
      <c r="AZ242">
        <v>15</v>
      </c>
      <c r="BA242">
        <v>18</v>
      </c>
      <c r="BB242">
        <v>8</v>
      </c>
      <c r="BC242" t="str" cm="1">
        <f t="array" ref="BC242">_xlfn.IFS((F242/(G242*G242)*10000)&lt; 18.5,"Underweight",(F242/(G242*G242)*10000)&lt;24.9,"Normal",(F242/(G242*G242)*10000)&lt;29.9,"Overweight",(F242/(G242*G242)*10000)&gt;=30,"obesity")</f>
        <v>Normal</v>
      </c>
      <c r="BD242">
        <f>Table1[[#This Row],[Follicle No. (L)]]+Table1[[#This Row],[Follicle No. (R)]]</f>
        <v>21</v>
      </c>
      <c r="BE242">
        <f>Table1[[#This Row],[Avg. F size (L) (mm)]]+Table1[[#This Row],[Avg. F size (R) (mm)]]</f>
        <v>33</v>
      </c>
      <c r="BF242">
        <f>Table1[[#This Row],[BP _Diastolic (mmHg)]]+(Table1[[#This Row],[BP _Diastolic (mmHg)]]+Table1[[#This Row],[Follicle No. (L)]])/3</f>
        <v>110.66666666666667</v>
      </c>
      <c r="BG242" s="4" t="str" cm="1">
        <f t="array" ref="BG24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2" s="4">
        <f>SUM(Table1[[#This Row],[Pimples(Y/N)]],Table1[[#This Row],[hair growth(Y/N)]],Table1[[#This Row],[Skin darkening (Y/N)]],Table1[[#This Row],[Hair loss(Y/N)]])</f>
        <v>3</v>
      </c>
      <c r="BI242" s="4" t="str">
        <f>IF(AND(Table1[[#This Row],[Pregnant(Y/N)]]=0, Table1[[#This Row],[  I   beta-HCG(mIU/mL)]]&gt;5), "Investigation Required", "Clear")</f>
        <v>Clear</v>
      </c>
    </row>
    <row r="243" spans="1:61" ht="15.75" customHeight="1" x14ac:dyDescent="0.25">
      <c r="A243">
        <v>242</v>
      </c>
      <c r="B243">
        <v>242</v>
      </c>
      <c r="C243">
        <v>0</v>
      </c>
      <c r="D243" t="str">
        <f>IF(Table1[[#This Row],[PCOS (Y/N)]]=0,"NO","YES")</f>
        <v>NO</v>
      </c>
      <c r="E243">
        <v>23</v>
      </c>
      <c r="F243">
        <v>60</v>
      </c>
      <c r="G243">
        <v>157</v>
      </c>
      <c r="H243">
        <v>17</v>
      </c>
      <c r="I243">
        <v>72</v>
      </c>
      <c r="J243">
        <v>18</v>
      </c>
      <c r="K243">
        <v>11.5</v>
      </c>
      <c r="L243">
        <v>2</v>
      </c>
      <c r="M243">
        <v>6</v>
      </c>
      <c r="N243">
        <v>2</v>
      </c>
      <c r="O243">
        <v>0</v>
      </c>
      <c r="P243" t="str">
        <f>IF(Table1[[#This Row],[Pregnant(Y/N)]]=1,"YES","NO")</f>
        <v>NO</v>
      </c>
      <c r="Q243">
        <v>0</v>
      </c>
      <c r="R243">
        <v>1.99</v>
      </c>
      <c r="S243">
        <v>1.99</v>
      </c>
      <c r="T243">
        <v>6.09</v>
      </c>
      <c r="U243">
        <v>2.15</v>
      </c>
      <c r="V243">
        <f>Table1[[#This Row],[FSH(mIU/mL)]]/Table1[[#This Row],[LH(mIU/mL)]]</f>
        <v>2.8325581395348838</v>
      </c>
      <c r="W243" t="str">
        <f>IF(Table1[[#This Row],[FSH/LH]]&gt;=2,"Abnormal","Normal")</f>
        <v>Abnormal</v>
      </c>
      <c r="X243">
        <v>38</v>
      </c>
      <c r="Y243">
        <v>35</v>
      </c>
      <c r="Z243">
        <f>ROUND(Table1[[#This Row],[Waist(inch)]]/Table1[[#This Row],[Hip(inch)]],2)</f>
        <v>0.92</v>
      </c>
      <c r="AA243">
        <v>1.37</v>
      </c>
      <c r="AB243">
        <v>3.29</v>
      </c>
      <c r="AC243">
        <v>29.11</v>
      </c>
      <c r="AD243">
        <v>26</v>
      </c>
      <c r="AE243" t="str">
        <f>IF(Table1[[#This Row],[Vit D3 (ng/mL)]]&lt;20,"Deficiency","Normal")</f>
        <v>Normal</v>
      </c>
      <c r="AF243">
        <v>0.25</v>
      </c>
      <c r="AG243">
        <v>93</v>
      </c>
      <c r="AH243">
        <v>0</v>
      </c>
      <c r="AI243" t="str">
        <f>IF(Table1[[#This Row],[Weight gain(Y/N)]]=0,"NO","YES")</f>
        <v>NO</v>
      </c>
      <c r="AJ243">
        <v>0</v>
      </c>
      <c r="AK243" t="str">
        <f>IF(Table1[[#This Row],[hair growth(Y/N)]]=1,"YES","NO")</f>
        <v>NO</v>
      </c>
      <c r="AL243">
        <v>0</v>
      </c>
      <c r="AM243" t="str">
        <f>IF(Table1[[#This Row],[Skin darkening (Y/N)]]=1,"YES","NO")</f>
        <v>NO</v>
      </c>
      <c r="AN243">
        <v>1</v>
      </c>
      <c r="AO243" t="str">
        <f>IF(Table1[[#This Row],[Hair loss(Y/N)]]=1,"YES","NO")</f>
        <v>YES</v>
      </c>
      <c r="AP243">
        <v>1</v>
      </c>
      <c r="AQ243" t="str">
        <f>IF(Table1[[#This Row],[Pimples(Y/N)]]=1,"YES","NO")</f>
        <v>YES</v>
      </c>
      <c r="AR243">
        <v>0</v>
      </c>
      <c r="AS243" t="str">
        <f>IF(Table1[[#This Row],[Fast food (Y/N)]]=1,"YES","NO")</f>
        <v>NO</v>
      </c>
      <c r="AT243">
        <v>0</v>
      </c>
      <c r="AU243" t="str">
        <f>IF(Table1[[#This Row],[Reg.Exercise(Y/N)]]=1,"YES","NO")</f>
        <v>NO</v>
      </c>
      <c r="AV243">
        <v>110</v>
      </c>
      <c r="AW243">
        <v>80</v>
      </c>
      <c r="AX243">
        <v>6</v>
      </c>
      <c r="AY243">
        <v>4</v>
      </c>
      <c r="AZ243">
        <v>16</v>
      </c>
      <c r="BA243">
        <v>19</v>
      </c>
      <c r="BB243">
        <v>14</v>
      </c>
      <c r="BC243" t="str" cm="1">
        <f t="array" ref="BC243">_xlfn.IFS((F243/(G243*G243)*10000)&lt; 18.5,"Underweight",(F243/(G243*G243)*10000)&lt;24.9,"Normal",(F243/(G243*G243)*10000)&lt;29.9,"Overweight",(F243/(G243*G243)*10000)&gt;=30,"obesity")</f>
        <v>Normal</v>
      </c>
      <c r="BD243">
        <f>Table1[[#This Row],[Follicle No. (L)]]+Table1[[#This Row],[Follicle No. (R)]]</f>
        <v>10</v>
      </c>
      <c r="BE243">
        <f>Table1[[#This Row],[Avg. F size (L) (mm)]]+Table1[[#This Row],[Avg. F size (R) (mm)]]</f>
        <v>35</v>
      </c>
      <c r="BF243">
        <f>Table1[[#This Row],[BP _Diastolic (mmHg)]]+(Table1[[#This Row],[BP _Diastolic (mmHg)]]+Table1[[#This Row],[Follicle No. (L)]])/3</f>
        <v>108.66666666666667</v>
      </c>
      <c r="BG243" s="4" t="str" cm="1">
        <f t="array" ref="BG24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3" s="4">
        <f>SUM(Table1[[#This Row],[Pimples(Y/N)]],Table1[[#This Row],[hair growth(Y/N)]],Table1[[#This Row],[Skin darkening (Y/N)]],Table1[[#This Row],[Hair loss(Y/N)]])</f>
        <v>2</v>
      </c>
      <c r="BI243" s="4" t="str">
        <f>IF(AND(Table1[[#This Row],[Pregnant(Y/N)]]=0, Table1[[#This Row],[  I   beta-HCG(mIU/mL)]]&gt;5), "Investigation Required", "Clear")</f>
        <v>Clear</v>
      </c>
    </row>
    <row r="244" spans="1:61" ht="15.75" customHeight="1" x14ac:dyDescent="0.25">
      <c r="A244">
        <v>243</v>
      </c>
      <c r="B244">
        <v>243</v>
      </c>
      <c r="C244">
        <v>0</v>
      </c>
      <c r="D244" t="str">
        <f>IF(Table1[[#This Row],[PCOS (Y/N)]]=0,"NO","YES")</f>
        <v>NO</v>
      </c>
      <c r="E244">
        <v>37</v>
      </c>
      <c r="F244">
        <v>65</v>
      </c>
      <c r="G244">
        <v>159</v>
      </c>
      <c r="H244">
        <v>13</v>
      </c>
      <c r="I244">
        <v>72</v>
      </c>
      <c r="J244">
        <v>20</v>
      </c>
      <c r="K244">
        <v>12.6</v>
      </c>
      <c r="L244">
        <v>2</v>
      </c>
      <c r="M244">
        <v>5</v>
      </c>
      <c r="N244">
        <v>10</v>
      </c>
      <c r="O244">
        <v>0</v>
      </c>
      <c r="P244" t="str">
        <f>IF(Table1[[#This Row],[Pregnant(Y/N)]]=1,"YES","NO")</f>
        <v>NO</v>
      </c>
      <c r="Q244">
        <v>0</v>
      </c>
      <c r="R244">
        <v>1.99</v>
      </c>
      <c r="S244">
        <v>1.99</v>
      </c>
      <c r="T244">
        <v>1.32</v>
      </c>
      <c r="U244">
        <v>0.99</v>
      </c>
      <c r="V244">
        <f>Table1[[#This Row],[FSH(mIU/mL)]]/Table1[[#This Row],[LH(mIU/mL)]]</f>
        <v>1.3333333333333335</v>
      </c>
      <c r="W244" t="str">
        <f>IF(Table1[[#This Row],[FSH/LH]]&gt;=2,"Abnormal","Normal")</f>
        <v>Normal</v>
      </c>
      <c r="X244">
        <v>36</v>
      </c>
      <c r="Y244">
        <v>33</v>
      </c>
      <c r="Z244">
        <f>ROUND(Table1[[#This Row],[Waist(inch)]]/Table1[[#This Row],[Hip(inch)]],2)</f>
        <v>0.92</v>
      </c>
      <c r="AA244">
        <v>2</v>
      </c>
      <c r="AB244">
        <v>2.69</v>
      </c>
      <c r="AC244">
        <v>15.2</v>
      </c>
      <c r="AD244">
        <v>35.799999999999997</v>
      </c>
      <c r="AE244" t="str">
        <f>IF(Table1[[#This Row],[Vit D3 (ng/mL)]]&lt;20,"Deficiency","Normal")</f>
        <v>Normal</v>
      </c>
      <c r="AF244">
        <v>0.36199999999999999</v>
      </c>
      <c r="AG244">
        <v>113</v>
      </c>
      <c r="AH244">
        <v>1</v>
      </c>
      <c r="AI244" t="str">
        <f>IF(Table1[[#This Row],[Weight gain(Y/N)]]=0,"NO","YES")</f>
        <v>YES</v>
      </c>
      <c r="AJ244">
        <v>1</v>
      </c>
      <c r="AK244" t="str">
        <f>IF(Table1[[#This Row],[hair growth(Y/N)]]=1,"YES","NO")</f>
        <v>YES</v>
      </c>
      <c r="AL244">
        <v>0</v>
      </c>
      <c r="AM244" t="str">
        <f>IF(Table1[[#This Row],[Skin darkening (Y/N)]]=1,"YES","NO")</f>
        <v>NO</v>
      </c>
      <c r="AN244">
        <v>1</v>
      </c>
      <c r="AO244" t="str">
        <f>IF(Table1[[#This Row],[Hair loss(Y/N)]]=1,"YES","NO")</f>
        <v>YES</v>
      </c>
      <c r="AP244">
        <v>0</v>
      </c>
      <c r="AQ244" t="str">
        <f>IF(Table1[[#This Row],[Pimples(Y/N)]]=1,"YES","NO")</f>
        <v>NO</v>
      </c>
      <c r="AR244">
        <v>1</v>
      </c>
      <c r="AS244" t="str">
        <f>IF(Table1[[#This Row],[Fast food (Y/N)]]=1,"YES","NO")</f>
        <v>YES</v>
      </c>
      <c r="AT244">
        <v>0</v>
      </c>
      <c r="AU244" t="str">
        <f>IF(Table1[[#This Row],[Reg.Exercise(Y/N)]]=1,"YES","NO")</f>
        <v>NO</v>
      </c>
      <c r="AV244">
        <v>120</v>
      </c>
      <c r="AW244">
        <v>80</v>
      </c>
      <c r="AX244">
        <v>6</v>
      </c>
      <c r="AY244">
        <v>5</v>
      </c>
      <c r="AZ244">
        <v>15</v>
      </c>
      <c r="BA244">
        <v>18</v>
      </c>
      <c r="BB244">
        <v>9</v>
      </c>
      <c r="BC244" t="str" cm="1">
        <f t="array" ref="BC244">_xlfn.IFS((F244/(G244*G244)*10000)&lt; 18.5,"Underweight",(F244/(G244*G244)*10000)&lt;24.9,"Normal",(F244/(G244*G244)*10000)&lt;29.9,"Overweight",(F244/(G244*G244)*10000)&gt;=30,"obesity")</f>
        <v>Overweight</v>
      </c>
      <c r="BD244">
        <f>Table1[[#This Row],[Follicle No. (L)]]+Table1[[#This Row],[Follicle No. (R)]]</f>
        <v>11</v>
      </c>
      <c r="BE244">
        <f>Table1[[#This Row],[Avg. F size (L) (mm)]]+Table1[[#This Row],[Avg. F size (R) (mm)]]</f>
        <v>33</v>
      </c>
      <c r="BF244">
        <f>Table1[[#This Row],[BP _Diastolic (mmHg)]]+(Table1[[#This Row],[BP _Diastolic (mmHg)]]+Table1[[#This Row],[Follicle No. (L)]])/3</f>
        <v>108.66666666666667</v>
      </c>
      <c r="BG244" s="4" t="str" cm="1">
        <f t="array" ref="BG24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4" s="4">
        <f>SUM(Table1[[#This Row],[Pimples(Y/N)]],Table1[[#This Row],[hair growth(Y/N)]],Table1[[#This Row],[Skin darkening (Y/N)]],Table1[[#This Row],[Hair loss(Y/N)]])</f>
        <v>2</v>
      </c>
      <c r="BI244" s="4" t="str">
        <f>IF(AND(Table1[[#This Row],[Pregnant(Y/N)]]=0, Table1[[#This Row],[  I   beta-HCG(mIU/mL)]]&gt;5), "Investigation Required", "Clear")</f>
        <v>Clear</v>
      </c>
    </row>
    <row r="245" spans="1:61" ht="15.75" customHeight="1" x14ac:dyDescent="0.25">
      <c r="A245">
        <v>244</v>
      </c>
      <c r="B245">
        <v>244</v>
      </c>
      <c r="C245">
        <v>1</v>
      </c>
      <c r="D245" t="str">
        <f>IF(Table1[[#This Row],[PCOS (Y/N)]]=0,"NO","YES")</f>
        <v>YES</v>
      </c>
      <c r="E245">
        <v>29</v>
      </c>
      <c r="F245">
        <v>63</v>
      </c>
      <c r="G245">
        <v>152</v>
      </c>
      <c r="H245">
        <v>15</v>
      </c>
      <c r="I245">
        <v>72</v>
      </c>
      <c r="J245">
        <v>18</v>
      </c>
      <c r="K245">
        <v>11.5</v>
      </c>
      <c r="L245">
        <v>2</v>
      </c>
      <c r="M245">
        <v>6</v>
      </c>
      <c r="N245">
        <v>2</v>
      </c>
      <c r="O245">
        <v>0</v>
      </c>
      <c r="P245" t="str">
        <f>IF(Table1[[#This Row],[Pregnant(Y/N)]]=1,"YES","NO")</f>
        <v>NO</v>
      </c>
      <c r="Q245">
        <v>0</v>
      </c>
      <c r="R245">
        <v>213.83</v>
      </c>
      <c r="S245">
        <v>213.83</v>
      </c>
      <c r="T245">
        <v>3.18</v>
      </c>
      <c r="U245">
        <v>1</v>
      </c>
      <c r="V245">
        <f>Table1[[#This Row],[FSH(mIU/mL)]]/Table1[[#This Row],[LH(mIU/mL)]]</f>
        <v>3.18</v>
      </c>
      <c r="W245" t="str">
        <f>IF(Table1[[#This Row],[FSH/LH]]&gt;=2,"Abnormal","Normal")</f>
        <v>Abnormal</v>
      </c>
      <c r="X245">
        <v>40</v>
      </c>
      <c r="Y245">
        <v>37</v>
      </c>
      <c r="Z245">
        <f>ROUND(Table1[[#This Row],[Waist(inch)]]/Table1[[#This Row],[Hip(inch)]],2)</f>
        <v>0.93</v>
      </c>
      <c r="AA245">
        <v>2.4700000000000002</v>
      </c>
      <c r="AB245">
        <v>2.1</v>
      </c>
      <c r="AC245">
        <v>29.62</v>
      </c>
      <c r="AD245">
        <v>31.6</v>
      </c>
      <c r="AE245" t="str">
        <f>IF(Table1[[#This Row],[Vit D3 (ng/mL)]]&lt;20,"Deficiency","Normal")</f>
        <v>Normal</v>
      </c>
      <c r="AF245">
        <v>0.25</v>
      </c>
      <c r="AG245">
        <v>92</v>
      </c>
      <c r="AH245">
        <v>1</v>
      </c>
      <c r="AI245" t="str">
        <f>IF(Table1[[#This Row],[Weight gain(Y/N)]]=0,"NO","YES")</f>
        <v>YES</v>
      </c>
      <c r="AJ245">
        <v>1</v>
      </c>
      <c r="AK245" t="str">
        <f>IF(Table1[[#This Row],[hair growth(Y/N)]]=1,"YES","NO")</f>
        <v>YES</v>
      </c>
      <c r="AL245">
        <v>1</v>
      </c>
      <c r="AM245" t="str">
        <f>IF(Table1[[#This Row],[Skin darkening (Y/N)]]=1,"YES","NO")</f>
        <v>YES</v>
      </c>
      <c r="AN245">
        <v>1</v>
      </c>
      <c r="AO245" t="str">
        <f>IF(Table1[[#This Row],[Hair loss(Y/N)]]=1,"YES","NO")</f>
        <v>YES</v>
      </c>
      <c r="AP245">
        <v>0</v>
      </c>
      <c r="AQ245" t="str">
        <f>IF(Table1[[#This Row],[Pimples(Y/N)]]=1,"YES","NO")</f>
        <v>NO</v>
      </c>
      <c r="AR245">
        <v>1</v>
      </c>
      <c r="AS245" t="str">
        <f>IF(Table1[[#This Row],[Fast food (Y/N)]]=1,"YES","NO")</f>
        <v>YES</v>
      </c>
      <c r="AT245">
        <v>0</v>
      </c>
      <c r="AU245" t="str">
        <f>IF(Table1[[#This Row],[Reg.Exercise(Y/N)]]=1,"YES","NO")</f>
        <v>NO</v>
      </c>
      <c r="AV245">
        <v>120</v>
      </c>
      <c r="AW245">
        <v>80</v>
      </c>
      <c r="AX245">
        <v>4</v>
      </c>
      <c r="AY245">
        <v>7</v>
      </c>
      <c r="AZ245">
        <v>10</v>
      </c>
      <c r="BA245">
        <v>15</v>
      </c>
      <c r="BB245">
        <v>9.1999999999999993</v>
      </c>
      <c r="BC245" t="str" cm="1">
        <f t="array" ref="BC245">_xlfn.IFS((F245/(G245*G245)*10000)&lt; 18.5,"Underweight",(F245/(G245*G245)*10000)&lt;24.9,"Normal",(F245/(G245*G245)*10000)&lt;29.9,"Overweight",(F245/(G245*G245)*10000)&gt;=30,"obesity")</f>
        <v>Overweight</v>
      </c>
      <c r="BD245">
        <f>Table1[[#This Row],[Follicle No. (L)]]+Table1[[#This Row],[Follicle No. (R)]]</f>
        <v>11</v>
      </c>
      <c r="BE245">
        <f>Table1[[#This Row],[Avg. F size (L) (mm)]]+Table1[[#This Row],[Avg. F size (R) (mm)]]</f>
        <v>25</v>
      </c>
      <c r="BF245">
        <f>Table1[[#This Row],[BP _Diastolic (mmHg)]]+(Table1[[#This Row],[BP _Diastolic (mmHg)]]+Table1[[#This Row],[Follicle No. (L)]])/3</f>
        <v>108</v>
      </c>
      <c r="BG245" s="4" t="str" cm="1">
        <f t="array" ref="BG24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5" s="4">
        <f>SUM(Table1[[#This Row],[Pimples(Y/N)]],Table1[[#This Row],[hair growth(Y/N)]],Table1[[#This Row],[Skin darkening (Y/N)]],Table1[[#This Row],[Hair loss(Y/N)]])</f>
        <v>3</v>
      </c>
      <c r="BI245" s="4" t="str">
        <f>IF(AND(Table1[[#This Row],[Pregnant(Y/N)]]=0, Table1[[#This Row],[  I   beta-HCG(mIU/mL)]]&gt;5), "Investigation Required", "Clear")</f>
        <v>Investigation Required</v>
      </c>
    </row>
    <row r="246" spans="1:61" ht="15.75" customHeight="1" x14ac:dyDescent="0.25">
      <c r="A246">
        <v>245</v>
      </c>
      <c r="B246">
        <v>245</v>
      </c>
      <c r="C246">
        <v>1</v>
      </c>
      <c r="D246" t="str">
        <f>IF(Table1[[#This Row],[PCOS (Y/N)]]=0,"NO","YES")</f>
        <v>YES</v>
      </c>
      <c r="E246">
        <v>39</v>
      </c>
      <c r="F246">
        <v>104</v>
      </c>
      <c r="G246">
        <v>164.4</v>
      </c>
      <c r="H246">
        <v>15</v>
      </c>
      <c r="I246">
        <v>72</v>
      </c>
      <c r="J246">
        <v>18</v>
      </c>
      <c r="K246">
        <v>12</v>
      </c>
      <c r="L246">
        <v>2</v>
      </c>
      <c r="M246">
        <v>6</v>
      </c>
      <c r="N246">
        <v>11</v>
      </c>
      <c r="O246">
        <v>0</v>
      </c>
      <c r="P246" t="str">
        <f>IF(Table1[[#This Row],[Pregnant(Y/N)]]=1,"YES","NO")</f>
        <v>NO</v>
      </c>
      <c r="Q246">
        <v>1</v>
      </c>
      <c r="R246">
        <v>1.99</v>
      </c>
      <c r="S246">
        <v>1.99</v>
      </c>
      <c r="T246">
        <v>6.4</v>
      </c>
      <c r="U246">
        <v>2.2599999999999998</v>
      </c>
      <c r="V246">
        <f>Table1[[#This Row],[FSH(mIU/mL)]]/Table1[[#This Row],[LH(mIU/mL)]]</f>
        <v>2.8318584070796464</v>
      </c>
      <c r="W246" t="str">
        <f>IF(Table1[[#This Row],[FSH/LH]]&gt;=2,"Abnormal","Normal")</f>
        <v>Abnormal</v>
      </c>
      <c r="X246">
        <v>46</v>
      </c>
      <c r="Y246">
        <v>44</v>
      </c>
      <c r="Z246">
        <f>ROUND(Table1[[#This Row],[Waist(inch)]]/Table1[[#This Row],[Hip(inch)]],2)</f>
        <v>0.96</v>
      </c>
      <c r="AA246">
        <v>5</v>
      </c>
      <c r="AB246">
        <v>4.0999999999999996</v>
      </c>
      <c r="AC246">
        <v>13.39</v>
      </c>
      <c r="AD246">
        <v>32.6</v>
      </c>
      <c r="AE246" t="str">
        <f>IF(Table1[[#This Row],[Vit D3 (ng/mL)]]&lt;20,"Deficiency","Normal")</f>
        <v>Normal</v>
      </c>
      <c r="AF246">
        <v>0.25</v>
      </c>
      <c r="AG246">
        <v>106</v>
      </c>
      <c r="AH246">
        <v>1</v>
      </c>
      <c r="AI246" t="str">
        <f>IF(Table1[[#This Row],[Weight gain(Y/N)]]=0,"NO","YES")</f>
        <v>YES</v>
      </c>
      <c r="AJ246">
        <v>1</v>
      </c>
      <c r="AK246" t="str">
        <f>IF(Table1[[#This Row],[hair growth(Y/N)]]=1,"YES","NO")</f>
        <v>YES</v>
      </c>
      <c r="AL246">
        <v>1</v>
      </c>
      <c r="AM246" t="str">
        <f>IF(Table1[[#This Row],[Skin darkening (Y/N)]]=1,"YES","NO")</f>
        <v>YES</v>
      </c>
      <c r="AN246">
        <v>1</v>
      </c>
      <c r="AO246" t="str">
        <f>IF(Table1[[#This Row],[Hair loss(Y/N)]]=1,"YES","NO")</f>
        <v>YES</v>
      </c>
      <c r="AP246">
        <v>1</v>
      </c>
      <c r="AQ246" t="str">
        <f>IF(Table1[[#This Row],[Pimples(Y/N)]]=1,"YES","NO")</f>
        <v>YES</v>
      </c>
      <c r="AR246">
        <v>1</v>
      </c>
      <c r="AS246" t="str">
        <f>IF(Table1[[#This Row],[Fast food (Y/N)]]=1,"YES","NO")</f>
        <v>YES</v>
      </c>
      <c r="AT246">
        <v>0</v>
      </c>
      <c r="AU246" t="str">
        <f>IF(Table1[[#This Row],[Reg.Exercise(Y/N)]]=1,"YES","NO")</f>
        <v>NO</v>
      </c>
      <c r="AV246">
        <v>120</v>
      </c>
      <c r="AW246">
        <v>80</v>
      </c>
      <c r="AX246">
        <v>9</v>
      </c>
      <c r="AY246">
        <v>7</v>
      </c>
      <c r="AZ246">
        <v>16</v>
      </c>
      <c r="BA246">
        <v>13</v>
      </c>
      <c r="BB246">
        <v>9.6</v>
      </c>
      <c r="BC246" t="str" cm="1">
        <f t="array" ref="BC246">_xlfn.IFS((F246/(G246*G246)*10000)&lt; 18.5,"Underweight",(F246/(G246*G246)*10000)&lt;24.9,"Normal",(F246/(G246*G246)*10000)&lt;29.9,"Overweight",(F246/(G246*G246)*10000)&gt;=30,"obesity")</f>
        <v>obesity</v>
      </c>
      <c r="BD246">
        <f>Table1[[#This Row],[Follicle No. (L)]]+Table1[[#This Row],[Follicle No. (R)]]</f>
        <v>16</v>
      </c>
      <c r="BE246">
        <f>Table1[[#This Row],[Avg. F size (L) (mm)]]+Table1[[#This Row],[Avg. F size (R) (mm)]]</f>
        <v>29</v>
      </c>
      <c r="BF246">
        <f>Table1[[#This Row],[BP _Diastolic (mmHg)]]+(Table1[[#This Row],[BP _Diastolic (mmHg)]]+Table1[[#This Row],[Follicle No. (L)]])/3</f>
        <v>109.66666666666667</v>
      </c>
      <c r="BG246" s="4" t="str" cm="1">
        <f t="array" ref="BG24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6" s="4">
        <f>SUM(Table1[[#This Row],[Pimples(Y/N)]],Table1[[#This Row],[hair growth(Y/N)]],Table1[[#This Row],[Skin darkening (Y/N)]],Table1[[#This Row],[Hair loss(Y/N)]])</f>
        <v>4</v>
      </c>
      <c r="BI246" s="4" t="str">
        <f>IF(AND(Table1[[#This Row],[Pregnant(Y/N)]]=0, Table1[[#This Row],[  I   beta-HCG(mIU/mL)]]&gt;5), "Investigation Required", "Clear")</f>
        <v>Clear</v>
      </c>
    </row>
    <row r="247" spans="1:61" ht="15.75" customHeight="1" x14ac:dyDescent="0.25">
      <c r="A247">
        <v>246</v>
      </c>
      <c r="B247">
        <v>246</v>
      </c>
      <c r="C247">
        <v>1</v>
      </c>
      <c r="D247" t="str">
        <f>IF(Table1[[#This Row],[PCOS (Y/N)]]=0,"NO","YES")</f>
        <v>YES</v>
      </c>
      <c r="E247">
        <v>23</v>
      </c>
      <c r="F247">
        <v>57</v>
      </c>
      <c r="G247">
        <v>153</v>
      </c>
      <c r="H247">
        <v>15</v>
      </c>
      <c r="I247">
        <v>73</v>
      </c>
      <c r="J247">
        <v>18</v>
      </c>
      <c r="K247">
        <v>12</v>
      </c>
      <c r="L247">
        <v>2</v>
      </c>
      <c r="M247">
        <v>4</v>
      </c>
      <c r="N247">
        <v>3</v>
      </c>
      <c r="O247">
        <v>1</v>
      </c>
      <c r="P247" t="str">
        <f>IF(Table1[[#This Row],[Pregnant(Y/N)]]=1,"YES","NO")</f>
        <v>YES</v>
      </c>
      <c r="Q247">
        <v>0</v>
      </c>
      <c r="R247">
        <v>353.6</v>
      </c>
      <c r="S247">
        <v>45.9</v>
      </c>
      <c r="T247">
        <v>3.18</v>
      </c>
      <c r="U247">
        <v>1.29</v>
      </c>
      <c r="V247">
        <f>Table1[[#This Row],[FSH(mIU/mL)]]/Table1[[#This Row],[LH(mIU/mL)]]</f>
        <v>2.4651162790697674</v>
      </c>
      <c r="W247" t="str">
        <f>IF(Table1[[#This Row],[FSH/LH]]&gt;=2,"Abnormal","Normal")</f>
        <v>Abnormal</v>
      </c>
      <c r="X247">
        <v>38</v>
      </c>
      <c r="Y247">
        <v>35</v>
      </c>
      <c r="Z247">
        <f>ROUND(Table1[[#This Row],[Waist(inch)]]/Table1[[#This Row],[Hip(inch)]],2)</f>
        <v>0.92</v>
      </c>
      <c r="AA247">
        <v>0.9</v>
      </c>
      <c r="AB247">
        <v>6.2</v>
      </c>
      <c r="AC247">
        <v>23.09</v>
      </c>
      <c r="AD247">
        <v>30.1</v>
      </c>
      <c r="AE247" t="str">
        <f>IF(Table1[[#This Row],[Vit D3 (ng/mL)]]&lt;20,"Deficiency","Normal")</f>
        <v>Normal</v>
      </c>
      <c r="AF247">
        <v>0.25</v>
      </c>
      <c r="AG247">
        <v>106</v>
      </c>
      <c r="AH247">
        <v>0</v>
      </c>
      <c r="AI247" t="str">
        <f>IF(Table1[[#This Row],[Weight gain(Y/N)]]=0,"NO","YES")</f>
        <v>NO</v>
      </c>
      <c r="AJ247">
        <v>0</v>
      </c>
      <c r="AK247" t="str">
        <f>IF(Table1[[#This Row],[hair growth(Y/N)]]=1,"YES","NO")</f>
        <v>NO</v>
      </c>
      <c r="AL247">
        <v>1</v>
      </c>
      <c r="AM247" t="str">
        <f>IF(Table1[[#This Row],[Skin darkening (Y/N)]]=1,"YES","NO")</f>
        <v>YES</v>
      </c>
      <c r="AN247">
        <v>1</v>
      </c>
      <c r="AO247" t="str">
        <f>IF(Table1[[#This Row],[Hair loss(Y/N)]]=1,"YES","NO")</f>
        <v>YES</v>
      </c>
      <c r="AP247">
        <v>1</v>
      </c>
      <c r="AQ247" t="str">
        <f>IF(Table1[[#This Row],[Pimples(Y/N)]]=1,"YES","NO")</f>
        <v>YES</v>
      </c>
      <c r="AR247">
        <v>1</v>
      </c>
      <c r="AS247" t="str">
        <f>IF(Table1[[#This Row],[Fast food (Y/N)]]=1,"YES","NO")</f>
        <v>YES</v>
      </c>
      <c r="AT247">
        <v>1</v>
      </c>
      <c r="AU247" t="str">
        <f>IF(Table1[[#This Row],[Reg.Exercise(Y/N)]]=1,"YES","NO")</f>
        <v>YES</v>
      </c>
      <c r="AV247">
        <v>120</v>
      </c>
      <c r="AW247">
        <v>80</v>
      </c>
      <c r="AX247">
        <v>8</v>
      </c>
      <c r="AY247">
        <v>10</v>
      </c>
      <c r="AZ247">
        <v>17</v>
      </c>
      <c r="BA247">
        <v>18</v>
      </c>
      <c r="BB247">
        <v>9</v>
      </c>
      <c r="BC247" t="str" cm="1">
        <f t="array" ref="BC247">_xlfn.IFS((F247/(G247*G247)*10000)&lt; 18.5,"Underweight",(F247/(G247*G247)*10000)&lt;24.9,"Normal",(F247/(G247*G247)*10000)&lt;29.9,"Overweight",(F247/(G247*G247)*10000)&gt;=30,"obesity")</f>
        <v>Normal</v>
      </c>
      <c r="BD247">
        <f>Table1[[#This Row],[Follicle No. (L)]]+Table1[[#This Row],[Follicle No. (R)]]</f>
        <v>18</v>
      </c>
      <c r="BE247">
        <f>Table1[[#This Row],[Avg. F size (L) (mm)]]+Table1[[#This Row],[Avg. F size (R) (mm)]]</f>
        <v>35</v>
      </c>
      <c r="BF247">
        <f>Table1[[#This Row],[BP _Diastolic (mmHg)]]+(Table1[[#This Row],[BP _Diastolic (mmHg)]]+Table1[[#This Row],[Follicle No. (L)]])/3</f>
        <v>109.33333333333333</v>
      </c>
      <c r="BG247" s="4" t="str" cm="1">
        <f t="array" ref="BG24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7" s="4">
        <f>SUM(Table1[[#This Row],[Pimples(Y/N)]],Table1[[#This Row],[hair growth(Y/N)]],Table1[[#This Row],[Skin darkening (Y/N)]],Table1[[#This Row],[Hair loss(Y/N)]])</f>
        <v>3</v>
      </c>
      <c r="BI247" s="4" t="str">
        <f>IF(AND(Table1[[#This Row],[Pregnant(Y/N)]]=0, Table1[[#This Row],[  I   beta-HCG(mIU/mL)]]&gt;5), "Investigation Required", "Clear")</f>
        <v>Clear</v>
      </c>
    </row>
    <row r="248" spans="1:61" ht="15.75" customHeight="1" x14ac:dyDescent="0.25">
      <c r="A248">
        <v>247</v>
      </c>
      <c r="B248">
        <v>247</v>
      </c>
      <c r="C248">
        <v>0</v>
      </c>
      <c r="D248" t="str">
        <f>IF(Table1[[#This Row],[PCOS (Y/N)]]=0,"NO","YES")</f>
        <v>NO</v>
      </c>
      <c r="E248">
        <v>26</v>
      </c>
      <c r="F248">
        <v>54</v>
      </c>
      <c r="G248">
        <v>163</v>
      </c>
      <c r="H248">
        <v>15</v>
      </c>
      <c r="I248">
        <v>74</v>
      </c>
      <c r="J248">
        <v>20</v>
      </c>
      <c r="K248">
        <v>10</v>
      </c>
      <c r="L248">
        <v>2</v>
      </c>
      <c r="M248">
        <v>5</v>
      </c>
      <c r="N248">
        <v>2</v>
      </c>
      <c r="O248">
        <v>0</v>
      </c>
      <c r="P248" t="str">
        <f>IF(Table1[[#This Row],[Pregnant(Y/N)]]=1,"YES","NO")</f>
        <v>NO</v>
      </c>
      <c r="Q248">
        <v>0</v>
      </c>
      <c r="R248">
        <v>30.6</v>
      </c>
      <c r="S248">
        <v>18.36</v>
      </c>
      <c r="T248">
        <v>4.0999999999999996</v>
      </c>
      <c r="U248">
        <v>2.04</v>
      </c>
      <c r="V248">
        <f>Table1[[#This Row],[FSH(mIU/mL)]]/Table1[[#This Row],[LH(mIU/mL)]]</f>
        <v>2.0098039215686274</v>
      </c>
      <c r="W248" t="str">
        <f>IF(Table1[[#This Row],[FSH/LH]]&gt;=2,"Abnormal","Normal")</f>
        <v>Abnormal</v>
      </c>
      <c r="X248">
        <v>36</v>
      </c>
      <c r="Y248">
        <v>34</v>
      </c>
      <c r="Z248">
        <f>ROUND(Table1[[#This Row],[Waist(inch)]]/Table1[[#This Row],[Hip(inch)]],2)</f>
        <v>0.94</v>
      </c>
      <c r="AA248">
        <v>0.3</v>
      </c>
      <c r="AB248">
        <v>14.6</v>
      </c>
      <c r="AC248">
        <v>13.27</v>
      </c>
      <c r="AD248">
        <v>12.2</v>
      </c>
      <c r="AE248" t="str">
        <f>IF(Table1[[#This Row],[Vit D3 (ng/mL)]]&lt;20,"Deficiency","Normal")</f>
        <v>Deficiency</v>
      </c>
      <c r="AF248">
        <v>0.25</v>
      </c>
      <c r="AG248">
        <v>93</v>
      </c>
      <c r="AH248">
        <v>0</v>
      </c>
      <c r="AI248" t="str">
        <f>IF(Table1[[#This Row],[Weight gain(Y/N)]]=0,"NO","YES")</f>
        <v>NO</v>
      </c>
      <c r="AJ248">
        <v>0</v>
      </c>
      <c r="AK248" t="str">
        <f>IF(Table1[[#This Row],[hair growth(Y/N)]]=1,"YES","NO")</f>
        <v>NO</v>
      </c>
      <c r="AL248">
        <v>0</v>
      </c>
      <c r="AM248" t="str">
        <f>IF(Table1[[#This Row],[Skin darkening (Y/N)]]=1,"YES","NO")</f>
        <v>NO</v>
      </c>
      <c r="AN248">
        <v>1</v>
      </c>
      <c r="AO248" t="str">
        <f>IF(Table1[[#This Row],[Hair loss(Y/N)]]=1,"YES","NO")</f>
        <v>YES</v>
      </c>
      <c r="AP248">
        <v>0</v>
      </c>
      <c r="AQ248" t="str">
        <f>IF(Table1[[#This Row],[Pimples(Y/N)]]=1,"YES","NO")</f>
        <v>NO</v>
      </c>
      <c r="AR248">
        <v>1</v>
      </c>
      <c r="AS248" t="str">
        <f>IF(Table1[[#This Row],[Fast food (Y/N)]]=1,"YES","NO")</f>
        <v>YES</v>
      </c>
      <c r="AT248">
        <v>1</v>
      </c>
      <c r="AU248" t="str">
        <f>IF(Table1[[#This Row],[Reg.Exercise(Y/N)]]=1,"YES","NO")</f>
        <v>YES</v>
      </c>
      <c r="AV248">
        <v>120</v>
      </c>
      <c r="AW248">
        <v>70</v>
      </c>
      <c r="AX248">
        <v>1</v>
      </c>
      <c r="AY248">
        <v>2</v>
      </c>
      <c r="AZ248">
        <v>14</v>
      </c>
      <c r="BA248">
        <v>16</v>
      </c>
      <c r="BB248">
        <v>8</v>
      </c>
      <c r="BC248" t="str" cm="1">
        <f t="array" ref="BC248">_xlfn.IFS((F248/(G248*G248)*10000)&lt; 18.5,"Underweight",(F248/(G248*G248)*10000)&lt;24.9,"Normal",(F248/(G248*G248)*10000)&lt;29.9,"Overweight",(F248/(G248*G248)*10000)&gt;=30,"obesity")</f>
        <v>Normal</v>
      </c>
      <c r="BD248">
        <f>Table1[[#This Row],[Follicle No. (L)]]+Table1[[#This Row],[Follicle No. (R)]]</f>
        <v>3</v>
      </c>
      <c r="BE248">
        <f>Table1[[#This Row],[Avg. F size (L) (mm)]]+Table1[[#This Row],[Avg. F size (R) (mm)]]</f>
        <v>30</v>
      </c>
      <c r="BF248">
        <f>Table1[[#This Row],[BP _Diastolic (mmHg)]]+(Table1[[#This Row],[BP _Diastolic (mmHg)]]+Table1[[#This Row],[Follicle No. (L)]])/3</f>
        <v>93.666666666666671</v>
      </c>
      <c r="BG248" s="4" t="str" cm="1">
        <f t="array" ref="BG24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48" s="4">
        <f>SUM(Table1[[#This Row],[Pimples(Y/N)]],Table1[[#This Row],[hair growth(Y/N)]],Table1[[#This Row],[Skin darkening (Y/N)]],Table1[[#This Row],[Hair loss(Y/N)]])</f>
        <v>1</v>
      </c>
      <c r="BI248" s="4" t="str">
        <f>IF(AND(Table1[[#This Row],[Pregnant(Y/N)]]=0, Table1[[#This Row],[  I   beta-HCG(mIU/mL)]]&gt;5), "Investigation Required", "Clear")</f>
        <v>Investigation Required</v>
      </c>
    </row>
    <row r="249" spans="1:61" ht="15.75" customHeight="1" x14ac:dyDescent="0.25">
      <c r="A249">
        <v>248</v>
      </c>
      <c r="B249">
        <v>248</v>
      </c>
      <c r="C249">
        <v>1</v>
      </c>
      <c r="D249" t="str">
        <f>IF(Table1[[#This Row],[PCOS (Y/N)]]=0,"NO","YES")</f>
        <v>YES</v>
      </c>
      <c r="E249">
        <v>24</v>
      </c>
      <c r="F249">
        <v>79</v>
      </c>
      <c r="G249">
        <v>165</v>
      </c>
      <c r="H249">
        <v>16</v>
      </c>
      <c r="I249">
        <v>72</v>
      </c>
      <c r="J249">
        <v>18</v>
      </c>
      <c r="K249">
        <v>10.199999999999999</v>
      </c>
      <c r="L249">
        <v>2</v>
      </c>
      <c r="M249">
        <v>5</v>
      </c>
      <c r="N249">
        <v>4</v>
      </c>
      <c r="O249">
        <v>0</v>
      </c>
      <c r="P249" t="str">
        <f>IF(Table1[[#This Row],[Pregnant(Y/N)]]=1,"YES","NO")</f>
        <v>NO</v>
      </c>
      <c r="Q249">
        <v>0</v>
      </c>
      <c r="R249">
        <v>154.47999999999999</v>
      </c>
      <c r="S249">
        <v>154.47999999999999</v>
      </c>
      <c r="T249">
        <v>3.07</v>
      </c>
      <c r="U249">
        <v>1.87</v>
      </c>
      <c r="V249">
        <f>Table1[[#This Row],[FSH(mIU/mL)]]/Table1[[#This Row],[LH(mIU/mL)]]</f>
        <v>1.641711229946524</v>
      </c>
      <c r="W249" t="str">
        <f>IF(Table1[[#This Row],[FSH/LH]]&gt;=2,"Abnormal","Normal")</f>
        <v>Normal</v>
      </c>
      <c r="X249">
        <v>42</v>
      </c>
      <c r="Y249">
        <v>38</v>
      </c>
      <c r="Z249">
        <f>ROUND(Table1[[#This Row],[Waist(inch)]]/Table1[[#This Row],[Hip(inch)]],2)</f>
        <v>0.9</v>
      </c>
      <c r="AA249">
        <v>4.07</v>
      </c>
      <c r="AB249">
        <v>4.71</v>
      </c>
      <c r="AC249">
        <v>31.4</v>
      </c>
      <c r="AD249">
        <v>24</v>
      </c>
      <c r="AE249" t="str">
        <f>IF(Table1[[#This Row],[Vit D3 (ng/mL)]]&lt;20,"Deficiency","Normal")</f>
        <v>Normal</v>
      </c>
      <c r="AF249">
        <v>0.25</v>
      </c>
      <c r="AG249">
        <v>86</v>
      </c>
      <c r="AH249">
        <v>1</v>
      </c>
      <c r="AI249" t="str">
        <f>IF(Table1[[#This Row],[Weight gain(Y/N)]]=0,"NO","YES")</f>
        <v>YES</v>
      </c>
      <c r="AJ249">
        <v>1</v>
      </c>
      <c r="AK249" t="str">
        <f>IF(Table1[[#This Row],[hair growth(Y/N)]]=1,"YES","NO")</f>
        <v>YES</v>
      </c>
      <c r="AL249">
        <v>1</v>
      </c>
      <c r="AM249" t="str">
        <f>IF(Table1[[#This Row],[Skin darkening (Y/N)]]=1,"YES","NO")</f>
        <v>YES</v>
      </c>
      <c r="AN249">
        <v>0</v>
      </c>
      <c r="AO249" t="str">
        <f>IF(Table1[[#This Row],[Hair loss(Y/N)]]=1,"YES","NO")</f>
        <v>NO</v>
      </c>
      <c r="AP249">
        <v>1</v>
      </c>
      <c r="AQ249" t="str">
        <f>IF(Table1[[#This Row],[Pimples(Y/N)]]=1,"YES","NO")</f>
        <v>YES</v>
      </c>
      <c r="AR249">
        <v>1</v>
      </c>
      <c r="AS249" t="str">
        <f>IF(Table1[[#This Row],[Fast food (Y/N)]]=1,"YES","NO")</f>
        <v>YES</v>
      </c>
      <c r="AT249">
        <v>0</v>
      </c>
      <c r="AU249" t="str">
        <f>IF(Table1[[#This Row],[Reg.Exercise(Y/N)]]=1,"YES","NO")</f>
        <v>NO</v>
      </c>
      <c r="AV249">
        <v>110</v>
      </c>
      <c r="AW249">
        <v>80</v>
      </c>
      <c r="AX249">
        <v>10</v>
      </c>
      <c r="AY249">
        <v>15</v>
      </c>
      <c r="AZ249">
        <v>18</v>
      </c>
      <c r="BA249">
        <v>19</v>
      </c>
      <c r="BB249">
        <v>10.3</v>
      </c>
      <c r="BC249" t="str" cm="1">
        <f t="array" ref="BC249">_xlfn.IFS((F249/(G249*G249)*10000)&lt; 18.5,"Underweight",(F249/(G249*G249)*10000)&lt;24.9,"Normal",(F249/(G249*G249)*10000)&lt;29.9,"Overweight",(F249/(G249*G249)*10000)&gt;=30,"obesity")</f>
        <v>Overweight</v>
      </c>
      <c r="BD249">
        <f>Table1[[#This Row],[Follicle No. (L)]]+Table1[[#This Row],[Follicle No. (R)]]</f>
        <v>25</v>
      </c>
      <c r="BE249">
        <f>Table1[[#This Row],[Avg. F size (L) (mm)]]+Table1[[#This Row],[Avg. F size (R) (mm)]]</f>
        <v>37</v>
      </c>
      <c r="BF249">
        <f>Table1[[#This Row],[BP _Diastolic (mmHg)]]+(Table1[[#This Row],[BP _Diastolic (mmHg)]]+Table1[[#This Row],[Follicle No. (L)]])/3</f>
        <v>110</v>
      </c>
      <c r="BG249" s="4" t="str" cm="1">
        <f t="array" ref="BG24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49" s="4">
        <f>SUM(Table1[[#This Row],[Pimples(Y/N)]],Table1[[#This Row],[hair growth(Y/N)]],Table1[[#This Row],[Skin darkening (Y/N)]],Table1[[#This Row],[Hair loss(Y/N)]])</f>
        <v>3</v>
      </c>
      <c r="BI249" s="4" t="str">
        <f>IF(AND(Table1[[#This Row],[Pregnant(Y/N)]]=0, Table1[[#This Row],[  I   beta-HCG(mIU/mL)]]&gt;5), "Investigation Required", "Clear")</f>
        <v>Investigation Required</v>
      </c>
    </row>
    <row r="250" spans="1:61" ht="15.75" customHeight="1" x14ac:dyDescent="0.25">
      <c r="A250">
        <v>249</v>
      </c>
      <c r="B250">
        <v>249</v>
      </c>
      <c r="C250">
        <v>1</v>
      </c>
      <c r="D250" t="str">
        <f>IF(Table1[[#This Row],[PCOS (Y/N)]]=0,"NO","YES")</f>
        <v>YES</v>
      </c>
      <c r="E250">
        <v>33</v>
      </c>
      <c r="F250">
        <v>65</v>
      </c>
      <c r="G250">
        <v>153</v>
      </c>
      <c r="H250">
        <v>17</v>
      </c>
      <c r="I250">
        <v>72</v>
      </c>
      <c r="J250">
        <v>18</v>
      </c>
      <c r="K250">
        <v>12</v>
      </c>
      <c r="L250">
        <v>4</v>
      </c>
      <c r="M250">
        <v>5</v>
      </c>
      <c r="N250">
        <v>1</v>
      </c>
      <c r="O250">
        <v>0</v>
      </c>
      <c r="P250" t="str">
        <f>IF(Table1[[#This Row],[Pregnant(Y/N)]]=1,"YES","NO")</f>
        <v>NO</v>
      </c>
      <c r="Q250">
        <v>0</v>
      </c>
      <c r="R250">
        <v>1.99</v>
      </c>
      <c r="S250">
        <v>1.99</v>
      </c>
      <c r="T250">
        <v>5.42</v>
      </c>
      <c r="U250">
        <v>7.85</v>
      </c>
      <c r="V250">
        <f>Table1[[#This Row],[FSH(mIU/mL)]]/Table1[[#This Row],[LH(mIU/mL)]]</f>
        <v>0.69044585987261153</v>
      </c>
      <c r="W250" t="str">
        <f>IF(Table1[[#This Row],[FSH/LH]]&gt;=2,"Abnormal","Normal")</f>
        <v>Normal</v>
      </c>
      <c r="X250">
        <v>38</v>
      </c>
      <c r="Y250">
        <v>36</v>
      </c>
      <c r="Z250">
        <f>ROUND(Table1[[#This Row],[Waist(inch)]]/Table1[[#This Row],[Hip(inch)]],2)</f>
        <v>0.95</v>
      </c>
      <c r="AA250">
        <v>1.31</v>
      </c>
      <c r="AB250">
        <v>1.25</v>
      </c>
      <c r="AC250">
        <v>111.74</v>
      </c>
      <c r="AD250">
        <v>12.8</v>
      </c>
      <c r="AE250" t="str">
        <f>IF(Table1[[#This Row],[Vit D3 (ng/mL)]]&lt;20,"Deficiency","Normal")</f>
        <v>Deficiency</v>
      </c>
      <c r="AF250">
        <v>0.25</v>
      </c>
      <c r="AG250">
        <v>146</v>
      </c>
      <c r="AH250">
        <v>1</v>
      </c>
      <c r="AI250" t="str">
        <f>IF(Table1[[#This Row],[Weight gain(Y/N)]]=0,"NO","YES")</f>
        <v>YES</v>
      </c>
      <c r="AJ250">
        <v>1</v>
      </c>
      <c r="AK250" t="str">
        <f>IF(Table1[[#This Row],[hair growth(Y/N)]]=1,"YES","NO")</f>
        <v>YES</v>
      </c>
      <c r="AL250">
        <v>1</v>
      </c>
      <c r="AM250" t="str">
        <f>IF(Table1[[#This Row],[Skin darkening (Y/N)]]=1,"YES","NO")</f>
        <v>YES</v>
      </c>
      <c r="AN250">
        <v>0</v>
      </c>
      <c r="AO250" t="str">
        <f>IF(Table1[[#This Row],[Hair loss(Y/N)]]=1,"YES","NO")</f>
        <v>NO</v>
      </c>
      <c r="AP250">
        <v>1</v>
      </c>
      <c r="AQ250" t="str">
        <f>IF(Table1[[#This Row],[Pimples(Y/N)]]=1,"YES","NO")</f>
        <v>YES</v>
      </c>
      <c r="AR250">
        <v>1</v>
      </c>
      <c r="AS250" t="str">
        <f>IF(Table1[[#This Row],[Fast food (Y/N)]]=1,"YES","NO")</f>
        <v>YES</v>
      </c>
      <c r="AT250">
        <v>0</v>
      </c>
      <c r="AU250" t="str">
        <f>IF(Table1[[#This Row],[Reg.Exercise(Y/N)]]=1,"YES","NO")</f>
        <v>NO</v>
      </c>
      <c r="AV250">
        <v>110</v>
      </c>
      <c r="AW250">
        <v>70</v>
      </c>
      <c r="AX250">
        <v>7</v>
      </c>
      <c r="AY250">
        <v>10</v>
      </c>
      <c r="AZ250">
        <v>16</v>
      </c>
      <c r="BA250">
        <v>19</v>
      </c>
      <c r="BB250">
        <v>12</v>
      </c>
      <c r="BC250" t="str" cm="1">
        <f t="array" ref="BC250">_xlfn.IFS((F250/(G250*G250)*10000)&lt; 18.5,"Underweight",(F250/(G250*G250)*10000)&lt;24.9,"Normal",(F250/(G250*G250)*10000)&lt;29.9,"Overweight",(F250/(G250*G250)*10000)&gt;=30,"obesity")</f>
        <v>Overweight</v>
      </c>
      <c r="BD250">
        <f>Table1[[#This Row],[Follicle No. (L)]]+Table1[[#This Row],[Follicle No. (R)]]</f>
        <v>17</v>
      </c>
      <c r="BE250">
        <f>Table1[[#This Row],[Avg. F size (L) (mm)]]+Table1[[#This Row],[Avg. F size (R) (mm)]]</f>
        <v>35</v>
      </c>
      <c r="BF250">
        <f>Table1[[#This Row],[BP _Diastolic (mmHg)]]+(Table1[[#This Row],[BP _Diastolic (mmHg)]]+Table1[[#This Row],[Follicle No. (L)]])/3</f>
        <v>95.666666666666671</v>
      </c>
      <c r="BG250" s="4" t="str" cm="1">
        <f t="array" ref="BG25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50" s="4">
        <f>SUM(Table1[[#This Row],[Pimples(Y/N)]],Table1[[#This Row],[hair growth(Y/N)]],Table1[[#This Row],[Skin darkening (Y/N)]],Table1[[#This Row],[Hair loss(Y/N)]])</f>
        <v>3</v>
      </c>
      <c r="BI250" s="4" t="str">
        <f>IF(AND(Table1[[#This Row],[Pregnant(Y/N)]]=0, Table1[[#This Row],[  I   beta-HCG(mIU/mL)]]&gt;5), "Investigation Required", "Clear")</f>
        <v>Clear</v>
      </c>
    </row>
    <row r="251" spans="1:61" ht="15.75" customHeight="1" x14ac:dyDescent="0.25">
      <c r="A251">
        <v>250</v>
      </c>
      <c r="B251">
        <v>250</v>
      </c>
      <c r="C251">
        <v>0</v>
      </c>
      <c r="D251" t="str">
        <f>IF(Table1[[#This Row],[PCOS (Y/N)]]=0,"NO","YES")</f>
        <v>NO</v>
      </c>
      <c r="E251">
        <v>29</v>
      </c>
      <c r="F251">
        <v>52</v>
      </c>
      <c r="G251">
        <v>157</v>
      </c>
      <c r="H251">
        <v>15</v>
      </c>
      <c r="I251">
        <v>72</v>
      </c>
      <c r="J251">
        <v>18</v>
      </c>
      <c r="K251">
        <v>14.2</v>
      </c>
      <c r="L251">
        <v>2</v>
      </c>
      <c r="M251">
        <v>4</v>
      </c>
      <c r="N251">
        <v>1.5</v>
      </c>
      <c r="O251">
        <v>0</v>
      </c>
      <c r="P251" t="str">
        <f>IF(Table1[[#This Row],[Pregnant(Y/N)]]=1,"YES","NO")</f>
        <v>NO</v>
      </c>
      <c r="Q251">
        <v>1</v>
      </c>
      <c r="R251">
        <v>1.99</v>
      </c>
      <c r="S251">
        <v>1.99</v>
      </c>
      <c r="T251">
        <v>4.7</v>
      </c>
      <c r="U251">
        <v>1.6</v>
      </c>
      <c r="V251">
        <f>Table1[[#This Row],[FSH(mIU/mL)]]/Table1[[#This Row],[LH(mIU/mL)]]</f>
        <v>2.9375</v>
      </c>
      <c r="W251" t="str">
        <f>IF(Table1[[#This Row],[FSH/LH]]&gt;=2,"Abnormal","Normal")</f>
        <v>Abnormal</v>
      </c>
      <c r="X251">
        <v>35</v>
      </c>
      <c r="Y251">
        <v>33</v>
      </c>
      <c r="Z251">
        <f>ROUND(Table1[[#This Row],[Waist(inch)]]/Table1[[#This Row],[Hip(inch)]],2)</f>
        <v>0.94</v>
      </c>
      <c r="AA251">
        <v>0.28999999999999998</v>
      </c>
      <c r="AB251">
        <v>1</v>
      </c>
      <c r="AC251">
        <v>23.79</v>
      </c>
      <c r="AD251">
        <v>39.700000000000003</v>
      </c>
      <c r="AE251" t="str">
        <f>IF(Table1[[#This Row],[Vit D3 (ng/mL)]]&lt;20,"Deficiency","Normal")</f>
        <v>Normal</v>
      </c>
      <c r="AF251">
        <v>0.25</v>
      </c>
      <c r="AG251">
        <v>94</v>
      </c>
      <c r="AH251">
        <v>0</v>
      </c>
      <c r="AI251" t="str">
        <f>IF(Table1[[#This Row],[Weight gain(Y/N)]]=0,"NO","YES")</f>
        <v>NO</v>
      </c>
      <c r="AJ251">
        <v>0</v>
      </c>
      <c r="AK251" t="str">
        <f>IF(Table1[[#This Row],[hair growth(Y/N)]]=1,"YES","NO")</f>
        <v>NO</v>
      </c>
      <c r="AL251">
        <v>0</v>
      </c>
      <c r="AM251" t="str">
        <f>IF(Table1[[#This Row],[Skin darkening (Y/N)]]=1,"YES","NO")</f>
        <v>NO</v>
      </c>
      <c r="AN251">
        <v>1</v>
      </c>
      <c r="AO251" t="str">
        <f>IF(Table1[[#This Row],[Hair loss(Y/N)]]=1,"YES","NO")</f>
        <v>YES</v>
      </c>
      <c r="AP251">
        <v>0</v>
      </c>
      <c r="AQ251" t="str">
        <f>IF(Table1[[#This Row],[Pimples(Y/N)]]=1,"YES","NO")</f>
        <v>NO</v>
      </c>
      <c r="AR251">
        <v>0</v>
      </c>
      <c r="AS251" t="str">
        <f>IF(Table1[[#This Row],[Fast food (Y/N)]]=1,"YES","NO")</f>
        <v>NO</v>
      </c>
      <c r="AT251">
        <v>0</v>
      </c>
      <c r="AU251" t="str">
        <f>IF(Table1[[#This Row],[Reg.Exercise(Y/N)]]=1,"YES","NO")</f>
        <v>NO</v>
      </c>
      <c r="AV251">
        <v>120</v>
      </c>
      <c r="AW251">
        <v>70</v>
      </c>
      <c r="AX251">
        <v>4</v>
      </c>
      <c r="AY251">
        <v>6</v>
      </c>
      <c r="AZ251">
        <v>18</v>
      </c>
      <c r="BA251">
        <v>17</v>
      </c>
      <c r="BB251">
        <v>11</v>
      </c>
      <c r="BC251" t="str" cm="1">
        <f t="array" ref="BC251">_xlfn.IFS((F251/(G251*G251)*10000)&lt; 18.5,"Underweight",(F251/(G251*G251)*10000)&lt;24.9,"Normal",(F251/(G251*G251)*10000)&lt;29.9,"Overweight",(F251/(G251*G251)*10000)&gt;=30,"obesity")</f>
        <v>Normal</v>
      </c>
      <c r="BD251">
        <f>Table1[[#This Row],[Follicle No. (L)]]+Table1[[#This Row],[Follicle No. (R)]]</f>
        <v>10</v>
      </c>
      <c r="BE251">
        <f>Table1[[#This Row],[Avg. F size (L) (mm)]]+Table1[[#This Row],[Avg. F size (R) (mm)]]</f>
        <v>35</v>
      </c>
      <c r="BF251">
        <f>Table1[[#This Row],[BP _Diastolic (mmHg)]]+(Table1[[#This Row],[BP _Diastolic (mmHg)]]+Table1[[#This Row],[Follicle No. (L)]])/3</f>
        <v>94.666666666666671</v>
      </c>
      <c r="BG251" s="4" t="str" cm="1">
        <f t="array" ref="BG25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51" s="4">
        <f>SUM(Table1[[#This Row],[Pimples(Y/N)]],Table1[[#This Row],[hair growth(Y/N)]],Table1[[#This Row],[Skin darkening (Y/N)]],Table1[[#This Row],[Hair loss(Y/N)]])</f>
        <v>1</v>
      </c>
      <c r="BI251" s="4" t="str">
        <f>IF(AND(Table1[[#This Row],[Pregnant(Y/N)]]=0, Table1[[#This Row],[  I   beta-HCG(mIU/mL)]]&gt;5), "Investigation Required", "Clear")</f>
        <v>Clear</v>
      </c>
    </row>
    <row r="252" spans="1:61" ht="15.75" customHeight="1" x14ac:dyDescent="0.25">
      <c r="A252">
        <v>251</v>
      </c>
      <c r="B252">
        <v>251</v>
      </c>
      <c r="C252">
        <v>1</v>
      </c>
      <c r="D252" t="str">
        <f>IF(Table1[[#This Row],[PCOS (Y/N)]]=0,"NO","YES")</f>
        <v>YES</v>
      </c>
      <c r="E252">
        <v>45</v>
      </c>
      <c r="F252">
        <v>85</v>
      </c>
      <c r="G252">
        <v>153</v>
      </c>
      <c r="H252">
        <v>15</v>
      </c>
      <c r="I252">
        <v>72</v>
      </c>
      <c r="J252">
        <v>18</v>
      </c>
      <c r="K252">
        <v>12</v>
      </c>
      <c r="L252">
        <v>4</v>
      </c>
      <c r="M252">
        <v>4</v>
      </c>
      <c r="N252">
        <v>18</v>
      </c>
      <c r="O252">
        <v>0</v>
      </c>
      <c r="P252" t="str">
        <f>IF(Table1[[#This Row],[Pregnant(Y/N)]]=1,"YES","NO")</f>
        <v>NO</v>
      </c>
      <c r="Q252">
        <v>0</v>
      </c>
      <c r="R252">
        <v>50.43</v>
      </c>
      <c r="S252">
        <v>1.99</v>
      </c>
      <c r="T252">
        <v>65.400000000000006</v>
      </c>
      <c r="U252">
        <v>0.2</v>
      </c>
      <c r="V252">
        <f>Table1[[#This Row],[FSH(mIU/mL)]]/Table1[[#This Row],[LH(mIU/mL)]]</f>
        <v>327</v>
      </c>
      <c r="W252" t="str">
        <f>IF(Table1[[#This Row],[FSH/LH]]&gt;=2,"Abnormal","Normal")</f>
        <v>Abnormal</v>
      </c>
      <c r="X252">
        <v>44</v>
      </c>
      <c r="Y252">
        <v>40</v>
      </c>
      <c r="Z252">
        <f>ROUND(Table1[[#This Row],[Waist(inch)]]/Table1[[#This Row],[Hip(inch)]],2)</f>
        <v>0.91</v>
      </c>
      <c r="AA252">
        <v>2.96</v>
      </c>
      <c r="AB252">
        <v>11.1</v>
      </c>
      <c r="AC252">
        <v>21.7</v>
      </c>
      <c r="AD252">
        <v>18.7</v>
      </c>
      <c r="AE252" t="str">
        <f>IF(Table1[[#This Row],[Vit D3 (ng/mL)]]&lt;20,"Deficiency","Normal")</f>
        <v>Deficiency</v>
      </c>
      <c r="AF252">
        <v>0.25</v>
      </c>
      <c r="AG252">
        <v>86</v>
      </c>
      <c r="AH252">
        <v>1</v>
      </c>
      <c r="AI252" t="str">
        <f>IF(Table1[[#This Row],[Weight gain(Y/N)]]=0,"NO","YES")</f>
        <v>YES</v>
      </c>
      <c r="AJ252">
        <v>1</v>
      </c>
      <c r="AK252" t="str">
        <f>IF(Table1[[#This Row],[hair growth(Y/N)]]=1,"YES","NO")</f>
        <v>YES</v>
      </c>
      <c r="AL252">
        <v>1</v>
      </c>
      <c r="AM252" t="str">
        <f>IF(Table1[[#This Row],[Skin darkening (Y/N)]]=1,"YES","NO")</f>
        <v>YES</v>
      </c>
      <c r="AN252">
        <v>1</v>
      </c>
      <c r="AO252" t="str">
        <f>IF(Table1[[#This Row],[Hair loss(Y/N)]]=1,"YES","NO")</f>
        <v>YES</v>
      </c>
      <c r="AP252">
        <v>1</v>
      </c>
      <c r="AQ252" t="str">
        <f>IF(Table1[[#This Row],[Pimples(Y/N)]]=1,"YES","NO")</f>
        <v>YES</v>
      </c>
      <c r="AR252">
        <v>1</v>
      </c>
      <c r="AS252" t="str">
        <f>IF(Table1[[#This Row],[Fast food (Y/N)]]=1,"YES","NO")</f>
        <v>YES</v>
      </c>
      <c r="AT252">
        <v>0</v>
      </c>
      <c r="AU252" t="str">
        <f>IF(Table1[[#This Row],[Reg.Exercise(Y/N)]]=1,"YES","NO")</f>
        <v>NO</v>
      </c>
      <c r="AV252">
        <v>120</v>
      </c>
      <c r="AW252">
        <v>80</v>
      </c>
      <c r="AX252">
        <v>10</v>
      </c>
      <c r="AY252">
        <v>15</v>
      </c>
      <c r="AZ252">
        <v>15</v>
      </c>
      <c r="BA252">
        <v>17</v>
      </c>
      <c r="BB252">
        <v>8.3000000000000007</v>
      </c>
      <c r="BC252" t="str" cm="1">
        <f t="array" ref="BC252">_xlfn.IFS((F252/(G252*G252)*10000)&lt; 18.5,"Underweight",(F252/(G252*G252)*10000)&lt;24.9,"Normal",(F252/(G252*G252)*10000)&lt;29.9,"Overweight",(F252/(G252*G252)*10000)&gt;=30,"obesity")</f>
        <v>obesity</v>
      </c>
      <c r="BD252">
        <f>Table1[[#This Row],[Follicle No. (L)]]+Table1[[#This Row],[Follicle No. (R)]]</f>
        <v>25</v>
      </c>
      <c r="BE252">
        <f>Table1[[#This Row],[Avg. F size (L) (mm)]]+Table1[[#This Row],[Avg. F size (R) (mm)]]</f>
        <v>32</v>
      </c>
      <c r="BF252">
        <f>Table1[[#This Row],[BP _Diastolic (mmHg)]]+(Table1[[#This Row],[BP _Diastolic (mmHg)]]+Table1[[#This Row],[Follicle No. (L)]])/3</f>
        <v>110</v>
      </c>
      <c r="BG252" s="4" t="str" cm="1">
        <f t="array" ref="BG25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52" s="4">
        <f>SUM(Table1[[#This Row],[Pimples(Y/N)]],Table1[[#This Row],[hair growth(Y/N)]],Table1[[#This Row],[Skin darkening (Y/N)]],Table1[[#This Row],[Hair loss(Y/N)]])</f>
        <v>4</v>
      </c>
      <c r="BI252" s="4" t="str">
        <f>IF(AND(Table1[[#This Row],[Pregnant(Y/N)]]=0, Table1[[#This Row],[  I   beta-HCG(mIU/mL)]]&gt;5), "Investigation Required", "Clear")</f>
        <v>Investigation Required</v>
      </c>
    </row>
    <row r="253" spans="1:61" ht="15.75" customHeight="1" x14ac:dyDescent="0.25">
      <c r="A253">
        <v>252</v>
      </c>
      <c r="B253">
        <v>252</v>
      </c>
      <c r="C253">
        <v>0</v>
      </c>
      <c r="D253" t="str">
        <f>IF(Table1[[#This Row],[PCOS (Y/N)]]=0,"NO","YES")</f>
        <v>NO</v>
      </c>
      <c r="E253">
        <v>30</v>
      </c>
      <c r="F253">
        <v>63.8</v>
      </c>
      <c r="G253">
        <v>148</v>
      </c>
      <c r="H253">
        <v>11</v>
      </c>
      <c r="I253">
        <v>72</v>
      </c>
      <c r="J253">
        <v>18</v>
      </c>
      <c r="K253">
        <v>11.5</v>
      </c>
      <c r="L253">
        <v>4</v>
      </c>
      <c r="M253">
        <v>3</v>
      </c>
      <c r="N253">
        <v>7</v>
      </c>
      <c r="O253">
        <v>0</v>
      </c>
      <c r="P253" t="str">
        <f>IF(Table1[[#This Row],[Pregnant(Y/N)]]=1,"YES","NO")</f>
        <v>NO</v>
      </c>
      <c r="Q253">
        <v>0</v>
      </c>
      <c r="R253">
        <v>1.99</v>
      </c>
      <c r="S253">
        <v>1.99</v>
      </c>
      <c r="T253">
        <v>7.38</v>
      </c>
      <c r="U253">
        <v>3.46</v>
      </c>
      <c r="V253">
        <f>Table1[[#This Row],[FSH(mIU/mL)]]/Table1[[#This Row],[LH(mIU/mL)]]</f>
        <v>2.1329479768786128</v>
      </c>
      <c r="W253" t="str">
        <f>IF(Table1[[#This Row],[FSH/LH]]&gt;=2,"Abnormal","Normal")</f>
        <v>Abnormal</v>
      </c>
      <c r="X253">
        <v>40</v>
      </c>
      <c r="Y253">
        <v>37</v>
      </c>
      <c r="Z253">
        <f>ROUND(Table1[[#This Row],[Waist(inch)]]/Table1[[#This Row],[Hip(inch)]],2)</f>
        <v>0.93</v>
      </c>
      <c r="AA253">
        <v>2.93</v>
      </c>
      <c r="AB253">
        <v>1.9</v>
      </c>
      <c r="AC253">
        <v>15.28</v>
      </c>
      <c r="AD253">
        <v>21.2</v>
      </c>
      <c r="AE253" t="str">
        <f>IF(Table1[[#This Row],[Vit D3 (ng/mL)]]&lt;20,"Deficiency","Normal")</f>
        <v>Normal</v>
      </c>
      <c r="AF253">
        <v>0.25</v>
      </c>
      <c r="AG253">
        <v>80</v>
      </c>
      <c r="AH253">
        <v>0</v>
      </c>
      <c r="AI253" t="str">
        <f>IF(Table1[[#This Row],[Weight gain(Y/N)]]=0,"NO","YES")</f>
        <v>NO</v>
      </c>
      <c r="AJ253">
        <v>0</v>
      </c>
      <c r="AK253" t="str">
        <f>IF(Table1[[#This Row],[hair growth(Y/N)]]=1,"YES","NO")</f>
        <v>NO</v>
      </c>
      <c r="AL253">
        <v>0</v>
      </c>
      <c r="AM253" t="str">
        <f>IF(Table1[[#This Row],[Skin darkening (Y/N)]]=1,"YES","NO")</f>
        <v>NO</v>
      </c>
      <c r="AN253">
        <v>0</v>
      </c>
      <c r="AO253" t="str">
        <f>IF(Table1[[#This Row],[Hair loss(Y/N)]]=1,"YES","NO")</f>
        <v>NO</v>
      </c>
      <c r="AP253">
        <v>0</v>
      </c>
      <c r="AQ253" t="str">
        <f>IF(Table1[[#This Row],[Pimples(Y/N)]]=1,"YES","NO")</f>
        <v>NO</v>
      </c>
      <c r="AR253">
        <v>1</v>
      </c>
      <c r="AS253" t="str">
        <f>IF(Table1[[#This Row],[Fast food (Y/N)]]=1,"YES","NO")</f>
        <v>YES</v>
      </c>
      <c r="AT253">
        <v>1</v>
      </c>
      <c r="AU253" t="str">
        <f>IF(Table1[[#This Row],[Reg.Exercise(Y/N)]]=1,"YES","NO")</f>
        <v>YES</v>
      </c>
      <c r="AV253">
        <v>120</v>
      </c>
      <c r="AW253">
        <v>70</v>
      </c>
      <c r="AX253">
        <v>0</v>
      </c>
      <c r="AY253">
        <v>1</v>
      </c>
      <c r="AZ253">
        <v>17</v>
      </c>
      <c r="BA253">
        <v>15</v>
      </c>
      <c r="BB253">
        <v>13</v>
      </c>
      <c r="BC253" t="str" cm="1">
        <f t="array" ref="BC253">_xlfn.IFS((F253/(G253*G253)*10000)&lt; 18.5,"Underweight",(F253/(G253*G253)*10000)&lt;24.9,"Normal",(F253/(G253*G253)*10000)&lt;29.9,"Overweight",(F253/(G253*G253)*10000)&gt;=30,"obesity")</f>
        <v>Overweight</v>
      </c>
      <c r="BD253">
        <f>Table1[[#This Row],[Follicle No. (L)]]+Table1[[#This Row],[Follicle No. (R)]]</f>
        <v>1</v>
      </c>
      <c r="BE253">
        <f>Table1[[#This Row],[Avg. F size (L) (mm)]]+Table1[[#This Row],[Avg. F size (R) (mm)]]</f>
        <v>32</v>
      </c>
      <c r="BF253">
        <f>Table1[[#This Row],[BP _Diastolic (mmHg)]]+(Table1[[#This Row],[BP _Diastolic (mmHg)]]+Table1[[#This Row],[Follicle No. (L)]])/3</f>
        <v>93.333333333333329</v>
      </c>
      <c r="BG253" s="4" t="str" cm="1">
        <f t="array" ref="BG25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53" s="4">
        <f>SUM(Table1[[#This Row],[Pimples(Y/N)]],Table1[[#This Row],[hair growth(Y/N)]],Table1[[#This Row],[Skin darkening (Y/N)]],Table1[[#This Row],[Hair loss(Y/N)]])</f>
        <v>0</v>
      </c>
      <c r="BI253" s="4" t="str">
        <f>IF(AND(Table1[[#This Row],[Pregnant(Y/N)]]=0, Table1[[#This Row],[  I   beta-HCG(mIU/mL)]]&gt;5), "Investigation Required", "Clear")</f>
        <v>Clear</v>
      </c>
    </row>
    <row r="254" spans="1:61" ht="15.75" customHeight="1" x14ac:dyDescent="0.25">
      <c r="A254">
        <v>253</v>
      </c>
      <c r="B254">
        <v>253</v>
      </c>
      <c r="C254">
        <v>1</v>
      </c>
      <c r="D254" t="str">
        <f>IF(Table1[[#This Row],[PCOS (Y/N)]]=0,"NO","YES")</f>
        <v>YES</v>
      </c>
      <c r="E254">
        <v>47</v>
      </c>
      <c r="F254">
        <v>62.7</v>
      </c>
      <c r="G254">
        <v>154</v>
      </c>
      <c r="H254">
        <v>15</v>
      </c>
      <c r="I254">
        <v>72</v>
      </c>
      <c r="J254">
        <v>18</v>
      </c>
      <c r="K254">
        <v>10</v>
      </c>
      <c r="L254">
        <v>4</v>
      </c>
      <c r="M254">
        <v>4</v>
      </c>
      <c r="N254">
        <v>30</v>
      </c>
      <c r="O254">
        <v>1</v>
      </c>
      <c r="P254" t="str">
        <f>IF(Table1[[#This Row],[Pregnant(Y/N)]]=1,"YES","NO")</f>
        <v>YES</v>
      </c>
      <c r="Q254">
        <v>2</v>
      </c>
      <c r="R254">
        <v>25000</v>
      </c>
      <c r="S254">
        <v>25000</v>
      </c>
      <c r="T254">
        <v>1.88</v>
      </c>
      <c r="U254">
        <v>0.25</v>
      </c>
      <c r="V254">
        <f>Table1[[#This Row],[FSH(mIU/mL)]]/Table1[[#This Row],[LH(mIU/mL)]]</f>
        <v>7.52</v>
      </c>
      <c r="W254" t="str">
        <f>IF(Table1[[#This Row],[FSH/LH]]&gt;=2,"Abnormal","Normal")</f>
        <v>Abnormal</v>
      </c>
      <c r="X254">
        <v>38</v>
      </c>
      <c r="Y254">
        <v>36</v>
      </c>
      <c r="Z254">
        <f>ROUND(Table1[[#This Row],[Waist(inch)]]/Table1[[#This Row],[Hip(inch)]],2)</f>
        <v>0.95</v>
      </c>
      <c r="AA254">
        <v>2.4700000000000002</v>
      </c>
      <c r="AB254">
        <v>6.2</v>
      </c>
      <c r="AC254">
        <v>31.47</v>
      </c>
      <c r="AD254">
        <v>12.1</v>
      </c>
      <c r="AE254" t="str">
        <f>IF(Table1[[#This Row],[Vit D3 (ng/mL)]]&lt;20,"Deficiency","Normal")</f>
        <v>Deficiency</v>
      </c>
      <c r="AF254">
        <v>0.25</v>
      </c>
      <c r="AG254">
        <v>92</v>
      </c>
      <c r="AH254">
        <v>1</v>
      </c>
      <c r="AI254" t="str">
        <f>IF(Table1[[#This Row],[Weight gain(Y/N)]]=0,"NO","YES")</f>
        <v>YES</v>
      </c>
      <c r="AJ254">
        <v>1</v>
      </c>
      <c r="AK254" t="str">
        <f>IF(Table1[[#This Row],[hair growth(Y/N)]]=1,"YES","NO")</f>
        <v>YES</v>
      </c>
      <c r="AL254">
        <v>1</v>
      </c>
      <c r="AM254" t="str">
        <f>IF(Table1[[#This Row],[Skin darkening (Y/N)]]=1,"YES","NO")</f>
        <v>YES</v>
      </c>
      <c r="AN254">
        <v>1</v>
      </c>
      <c r="AO254" t="str">
        <f>IF(Table1[[#This Row],[Hair loss(Y/N)]]=1,"YES","NO")</f>
        <v>YES</v>
      </c>
      <c r="AP254">
        <v>0</v>
      </c>
      <c r="AQ254" t="str">
        <f>IF(Table1[[#This Row],[Pimples(Y/N)]]=1,"YES","NO")</f>
        <v>NO</v>
      </c>
      <c r="AR254">
        <v>0</v>
      </c>
      <c r="AS254" t="str">
        <f>IF(Table1[[#This Row],[Fast food (Y/N)]]=1,"YES","NO")</f>
        <v>NO</v>
      </c>
      <c r="AT254">
        <v>0</v>
      </c>
      <c r="AU254" t="str">
        <f>IF(Table1[[#This Row],[Reg.Exercise(Y/N)]]=1,"YES","NO")</f>
        <v>NO</v>
      </c>
      <c r="AV254">
        <v>110</v>
      </c>
      <c r="AW254">
        <v>80</v>
      </c>
      <c r="AX254">
        <v>14</v>
      </c>
      <c r="AY254">
        <v>11</v>
      </c>
      <c r="AZ254">
        <v>16</v>
      </c>
      <c r="BA254">
        <v>19</v>
      </c>
      <c r="BB254">
        <v>9.3000000000000007</v>
      </c>
      <c r="BC254" t="str" cm="1">
        <f t="array" ref="BC254">_xlfn.IFS((F254/(G254*G254)*10000)&lt; 18.5,"Underweight",(F254/(G254*G254)*10000)&lt;24.9,"Normal",(F254/(G254*G254)*10000)&lt;29.9,"Overweight",(F254/(G254*G254)*10000)&gt;=30,"obesity")</f>
        <v>Overweight</v>
      </c>
      <c r="BD254">
        <f>Table1[[#This Row],[Follicle No. (L)]]+Table1[[#This Row],[Follicle No. (R)]]</f>
        <v>25</v>
      </c>
      <c r="BE254">
        <f>Table1[[#This Row],[Avg. F size (L) (mm)]]+Table1[[#This Row],[Avg. F size (R) (mm)]]</f>
        <v>35</v>
      </c>
      <c r="BF254">
        <f>Table1[[#This Row],[BP _Diastolic (mmHg)]]+(Table1[[#This Row],[BP _Diastolic (mmHg)]]+Table1[[#This Row],[Follicle No. (L)]])/3</f>
        <v>111.33333333333333</v>
      </c>
      <c r="BG254" s="4" t="str" cm="1">
        <f t="array" ref="BG25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254" s="4">
        <f>SUM(Table1[[#This Row],[Pimples(Y/N)]],Table1[[#This Row],[hair growth(Y/N)]],Table1[[#This Row],[Skin darkening (Y/N)]],Table1[[#This Row],[Hair loss(Y/N)]])</f>
        <v>3</v>
      </c>
      <c r="BI254" s="4" t="str">
        <f>IF(AND(Table1[[#This Row],[Pregnant(Y/N)]]=0, Table1[[#This Row],[  I   beta-HCG(mIU/mL)]]&gt;5), "Investigation Required", "Clear")</f>
        <v>Clear</v>
      </c>
    </row>
    <row r="255" spans="1:61" ht="15.75" customHeight="1" x14ac:dyDescent="0.25">
      <c r="A255">
        <v>254</v>
      </c>
      <c r="B255">
        <v>254</v>
      </c>
      <c r="C255">
        <v>0</v>
      </c>
      <c r="D255" t="str">
        <f>IF(Table1[[#This Row],[PCOS (Y/N)]]=0,"NO","YES")</f>
        <v>NO</v>
      </c>
      <c r="E255">
        <v>36</v>
      </c>
      <c r="F255">
        <v>46</v>
      </c>
      <c r="G255">
        <v>150</v>
      </c>
      <c r="H255">
        <v>15</v>
      </c>
      <c r="I255">
        <v>72</v>
      </c>
      <c r="J255">
        <v>18</v>
      </c>
      <c r="K255">
        <v>13.3</v>
      </c>
      <c r="L255">
        <v>2</v>
      </c>
      <c r="M255">
        <v>5</v>
      </c>
      <c r="N255">
        <v>18</v>
      </c>
      <c r="O255">
        <v>0</v>
      </c>
      <c r="P255" t="str">
        <f>IF(Table1[[#This Row],[Pregnant(Y/N)]]=1,"YES","NO")</f>
        <v>NO</v>
      </c>
      <c r="Q255">
        <v>0</v>
      </c>
      <c r="R255">
        <v>1.99</v>
      </c>
      <c r="S255">
        <v>1.99</v>
      </c>
      <c r="T255">
        <v>1.58</v>
      </c>
      <c r="U255">
        <v>0.26</v>
      </c>
      <c r="V255">
        <f>Table1[[#This Row],[FSH(mIU/mL)]]/Table1[[#This Row],[LH(mIU/mL)]]</f>
        <v>6.0769230769230766</v>
      </c>
      <c r="W255" t="str">
        <f>IF(Table1[[#This Row],[FSH/LH]]&gt;=2,"Abnormal","Normal")</f>
        <v>Abnormal</v>
      </c>
      <c r="X255">
        <v>34</v>
      </c>
      <c r="Y255">
        <v>32</v>
      </c>
      <c r="Z255">
        <f>ROUND(Table1[[#This Row],[Waist(inch)]]/Table1[[#This Row],[Hip(inch)]],2)</f>
        <v>0.94</v>
      </c>
      <c r="AA255">
        <v>4.8600000000000003</v>
      </c>
      <c r="AB255">
        <v>1.9</v>
      </c>
      <c r="AC255">
        <v>26.08</v>
      </c>
      <c r="AD255">
        <v>26.3</v>
      </c>
      <c r="AE255" t="str">
        <f>IF(Table1[[#This Row],[Vit D3 (ng/mL)]]&lt;20,"Deficiency","Normal")</f>
        <v>Normal</v>
      </c>
      <c r="AF255">
        <v>0.25</v>
      </c>
      <c r="AG255">
        <v>105</v>
      </c>
      <c r="AH255">
        <v>0</v>
      </c>
      <c r="AI255" t="str">
        <f>IF(Table1[[#This Row],[Weight gain(Y/N)]]=0,"NO","YES")</f>
        <v>NO</v>
      </c>
      <c r="AJ255">
        <v>0</v>
      </c>
      <c r="AK255" t="str">
        <f>IF(Table1[[#This Row],[hair growth(Y/N)]]=1,"YES","NO")</f>
        <v>NO</v>
      </c>
      <c r="AL255">
        <v>0</v>
      </c>
      <c r="AM255" t="str">
        <f>IF(Table1[[#This Row],[Skin darkening (Y/N)]]=1,"YES","NO")</f>
        <v>NO</v>
      </c>
      <c r="AN255">
        <v>0</v>
      </c>
      <c r="AO255" t="str">
        <f>IF(Table1[[#This Row],[Hair loss(Y/N)]]=1,"YES","NO")</f>
        <v>NO</v>
      </c>
      <c r="AP255">
        <v>1</v>
      </c>
      <c r="AQ255" t="str">
        <f>IF(Table1[[#This Row],[Pimples(Y/N)]]=1,"YES","NO")</f>
        <v>YES</v>
      </c>
      <c r="AR255">
        <v>0</v>
      </c>
      <c r="AS255" t="str">
        <f>IF(Table1[[#This Row],[Fast food (Y/N)]]=1,"YES","NO")</f>
        <v>NO</v>
      </c>
      <c r="AT255">
        <v>0</v>
      </c>
      <c r="AU255" t="str">
        <f>IF(Table1[[#This Row],[Reg.Exercise(Y/N)]]=1,"YES","NO")</f>
        <v>NO</v>
      </c>
      <c r="AV255">
        <v>110</v>
      </c>
      <c r="AW255">
        <v>80</v>
      </c>
      <c r="AX255">
        <v>1</v>
      </c>
      <c r="AY255">
        <v>3</v>
      </c>
      <c r="AZ255">
        <v>18</v>
      </c>
      <c r="BA255">
        <v>14</v>
      </c>
      <c r="BB255">
        <v>6</v>
      </c>
      <c r="BC255" t="str" cm="1">
        <f t="array" ref="BC255">_xlfn.IFS((F255/(G255*G255)*10000)&lt; 18.5,"Underweight",(F255/(G255*G255)*10000)&lt;24.9,"Normal",(F255/(G255*G255)*10000)&lt;29.9,"Overweight",(F255/(G255*G255)*10000)&gt;=30,"obesity")</f>
        <v>Normal</v>
      </c>
      <c r="BD255">
        <f>Table1[[#This Row],[Follicle No. (L)]]+Table1[[#This Row],[Follicle No. (R)]]</f>
        <v>4</v>
      </c>
      <c r="BE255">
        <f>Table1[[#This Row],[Avg. F size (L) (mm)]]+Table1[[#This Row],[Avg. F size (R) (mm)]]</f>
        <v>32</v>
      </c>
      <c r="BF255">
        <f>Table1[[#This Row],[BP _Diastolic (mmHg)]]+(Table1[[#This Row],[BP _Diastolic (mmHg)]]+Table1[[#This Row],[Follicle No. (L)]])/3</f>
        <v>107</v>
      </c>
      <c r="BG255" s="4" t="str" cm="1">
        <f t="array" ref="BG25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55" s="4">
        <f>SUM(Table1[[#This Row],[Pimples(Y/N)]],Table1[[#This Row],[hair growth(Y/N)]],Table1[[#This Row],[Skin darkening (Y/N)]],Table1[[#This Row],[Hair loss(Y/N)]])</f>
        <v>1</v>
      </c>
      <c r="BI255" s="4" t="str">
        <f>IF(AND(Table1[[#This Row],[Pregnant(Y/N)]]=0, Table1[[#This Row],[  I   beta-HCG(mIU/mL)]]&gt;5), "Investigation Required", "Clear")</f>
        <v>Clear</v>
      </c>
    </row>
    <row r="256" spans="1:61" ht="15.75" customHeight="1" x14ac:dyDescent="0.25">
      <c r="A256">
        <v>255</v>
      </c>
      <c r="B256">
        <v>255</v>
      </c>
      <c r="C256">
        <v>0</v>
      </c>
      <c r="D256" t="str">
        <f>IF(Table1[[#This Row],[PCOS (Y/N)]]=0,"NO","YES")</f>
        <v>NO</v>
      </c>
      <c r="E256">
        <v>28</v>
      </c>
      <c r="F256">
        <v>52</v>
      </c>
      <c r="G256">
        <v>156</v>
      </c>
      <c r="H256">
        <v>13</v>
      </c>
      <c r="I256">
        <v>72</v>
      </c>
      <c r="J256">
        <v>16</v>
      </c>
      <c r="K256">
        <v>11.2</v>
      </c>
      <c r="L256">
        <v>2</v>
      </c>
      <c r="M256">
        <v>5</v>
      </c>
      <c r="N256">
        <v>11</v>
      </c>
      <c r="O256">
        <v>0</v>
      </c>
      <c r="P256" t="str">
        <f>IF(Table1[[#This Row],[Pregnant(Y/N)]]=1,"YES","NO")</f>
        <v>NO</v>
      </c>
      <c r="Q256">
        <v>1</v>
      </c>
      <c r="R256">
        <v>41.25</v>
      </c>
      <c r="S256">
        <v>1.99</v>
      </c>
      <c r="T256">
        <v>8.94</v>
      </c>
      <c r="U256">
        <v>3.54</v>
      </c>
      <c r="V256">
        <f>Table1[[#This Row],[FSH(mIU/mL)]]/Table1[[#This Row],[LH(mIU/mL)]]</f>
        <v>2.5254237288135593</v>
      </c>
      <c r="W256" t="str">
        <f>IF(Table1[[#This Row],[FSH/LH]]&gt;=2,"Abnormal","Normal")</f>
        <v>Abnormal</v>
      </c>
      <c r="X256">
        <v>34</v>
      </c>
      <c r="Y256">
        <v>32</v>
      </c>
      <c r="Z256">
        <f>ROUND(Table1[[#This Row],[Waist(inch)]]/Table1[[#This Row],[Hip(inch)]],2)</f>
        <v>0.94</v>
      </c>
      <c r="AA256">
        <v>1.76</v>
      </c>
      <c r="AB256">
        <v>1.5</v>
      </c>
      <c r="AC256">
        <v>19.23</v>
      </c>
      <c r="AD256">
        <v>29.5</v>
      </c>
      <c r="AE256" t="str">
        <f>IF(Table1[[#This Row],[Vit D3 (ng/mL)]]&lt;20,"Deficiency","Normal")</f>
        <v>Normal</v>
      </c>
      <c r="AF256">
        <v>0.25</v>
      </c>
      <c r="AG256">
        <v>100</v>
      </c>
      <c r="AH256">
        <v>0</v>
      </c>
      <c r="AI256" t="str">
        <f>IF(Table1[[#This Row],[Weight gain(Y/N)]]=0,"NO","YES")</f>
        <v>NO</v>
      </c>
      <c r="AJ256">
        <v>0</v>
      </c>
      <c r="AK256" t="str">
        <f>IF(Table1[[#This Row],[hair growth(Y/N)]]=1,"YES","NO")</f>
        <v>NO</v>
      </c>
      <c r="AL256">
        <v>0</v>
      </c>
      <c r="AM256" t="str">
        <f>IF(Table1[[#This Row],[Skin darkening (Y/N)]]=1,"YES","NO")</f>
        <v>NO</v>
      </c>
      <c r="AN256">
        <v>0</v>
      </c>
      <c r="AO256" t="str">
        <f>IF(Table1[[#This Row],[Hair loss(Y/N)]]=1,"YES","NO")</f>
        <v>NO</v>
      </c>
      <c r="AP256">
        <v>1</v>
      </c>
      <c r="AQ256" t="str">
        <f>IF(Table1[[#This Row],[Pimples(Y/N)]]=1,"YES","NO")</f>
        <v>YES</v>
      </c>
      <c r="AR256">
        <v>0</v>
      </c>
      <c r="AS256" t="str">
        <f>IF(Table1[[#This Row],[Fast food (Y/N)]]=1,"YES","NO")</f>
        <v>NO</v>
      </c>
      <c r="AT256">
        <v>0</v>
      </c>
      <c r="AU256" t="str">
        <f>IF(Table1[[#This Row],[Reg.Exercise(Y/N)]]=1,"YES","NO")</f>
        <v>NO</v>
      </c>
      <c r="AV256">
        <v>120</v>
      </c>
      <c r="AW256">
        <v>70</v>
      </c>
      <c r="AX256">
        <v>2</v>
      </c>
      <c r="AY256">
        <v>3</v>
      </c>
      <c r="AZ256">
        <v>15</v>
      </c>
      <c r="BA256">
        <v>18</v>
      </c>
      <c r="BB256">
        <v>8</v>
      </c>
      <c r="BC256" t="str" cm="1">
        <f t="array" ref="BC256">_xlfn.IFS((F256/(G256*G256)*10000)&lt; 18.5,"Underweight",(F256/(G256*G256)*10000)&lt;24.9,"Normal",(F256/(G256*G256)*10000)&lt;29.9,"Overweight",(F256/(G256*G256)*10000)&gt;=30,"obesity")</f>
        <v>Normal</v>
      </c>
      <c r="BD256">
        <f>Table1[[#This Row],[Follicle No. (L)]]+Table1[[#This Row],[Follicle No. (R)]]</f>
        <v>5</v>
      </c>
      <c r="BE256">
        <f>Table1[[#This Row],[Avg. F size (L) (mm)]]+Table1[[#This Row],[Avg. F size (R) (mm)]]</f>
        <v>33</v>
      </c>
      <c r="BF256">
        <f>Table1[[#This Row],[BP _Diastolic (mmHg)]]+(Table1[[#This Row],[BP _Diastolic (mmHg)]]+Table1[[#This Row],[Follicle No. (L)]])/3</f>
        <v>94</v>
      </c>
      <c r="BG256" s="4" t="str" cm="1">
        <f t="array" ref="BG25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56" s="4">
        <f>SUM(Table1[[#This Row],[Pimples(Y/N)]],Table1[[#This Row],[hair growth(Y/N)]],Table1[[#This Row],[Skin darkening (Y/N)]],Table1[[#This Row],[Hair loss(Y/N)]])</f>
        <v>1</v>
      </c>
      <c r="BI256" s="4" t="str">
        <f>IF(AND(Table1[[#This Row],[Pregnant(Y/N)]]=0, Table1[[#This Row],[  I   beta-HCG(mIU/mL)]]&gt;5), "Investigation Required", "Clear")</f>
        <v>Investigation Required</v>
      </c>
    </row>
    <row r="257" spans="1:61" ht="15.75" customHeight="1" x14ac:dyDescent="0.25">
      <c r="A257">
        <v>256</v>
      </c>
      <c r="B257">
        <v>256</v>
      </c>
      <c r="C257">
        <v>0</v>
      </c>
      <c r="D257" t="str">
        <f>IF(Table1[[#This Row],[PCOS (Y/N)]]=0,"NO","YES")</f>
        <v>NO</v>
      </c>
      <c r="E257">
        <v>36</v>
      </c>
      <c r="F257">
        <v>32</v>
      </c>
      <c r="G257">
        <v>154</v>
      </c>
      <c r="H257">
        <v>15</v>
      </c>
      <c r="I257">
        <v>72</v>
      </c>
      <c r="J257">
        <v>20</v>
      </c>
      <c r="K257">
        <v>12.5</v>
      </c>
      <c r="L257">
        <v>2</v>
      </c>
      <c r="M257">
        <v>6</v>
      </c>
      <c r="N257">
        <v>15</v>
      </c>
      <c r="O257">
        <v>0</v>
      </c>
      <c r="P257" t="str">
        <f>IF(Table1[[#This Row],[Pregnant(Y/N)]]=1,"YES","NO")</f>
        <v>NO</v>
      </c>
      <c r="Q257">
        <v>0</v>
      </c>
      <c r="R257">
        <v>1.99</v>
      </c>
      <c r="S257">
        <v>638.52</v>
      </c>
      <c r="T257">
        <v>1.32</v>
      </c>
      <c r="U257">
        <v>0.95</v>
      </c>
      <c r="V257">
        <f>Table1[[#This Row],[FSH(mIU/mL)]]/Table1[[#This Row],[LH(mIU/mL)]]</f>
        <v>1.3894736842105264</v>
      </c>
      <c r="W257" t="str">
        <f>IF(Table1[[#This Row],[FSH/LH]]&gt;=2,"Abnormal","Normal")</f>
        <v>Normal</v>
      </c>
      <c r="X257">
        <v>32</v>
      </c>
      <c r="Y257">
        <v>30</v>
      </c>
      <c r="Z257">
        <f>ROUND(Table1[[#This Row],[Waist(inch)]]/Table1[[#This Row],[Hip(inch)]],2)</f>
        <v>0.94</v>
      </c>
      <c r="AA257">
        <v>0.92</v>
      </c>
      <c r="AB257">
        <v>2.9</v>
      </c>
      <c r="AC257">
        <v>5.27</v>
      </c>
      <c r="AD257">
        <v>31.5</v>
      </c>
      <c r="AE257" t="str">
        <f>IF(Table1[[#This Row],[Vit D3 (ng/mL)]]&lt;20,"Deficiency","Normal")</f>
        <v>Normal</v>
      </c>
      <c r="AF257">
        <v>0.4</v>
      </c>
      <c r="AG257">
        <v>80</v>
      </c>
      <c r="AH257">
        <v>0</v>
      </c>
      <c r="AI257" t="str">
        <f>IF(Table1[[#This Row],[Weight gain(Y/N)]]=0,"NO","YES")</f>
        <v>NO</v>
      </c>
      <c r="AJ257">
        <v>0</v>
      </c>
      <c r="AK257" t="str">
        <f>IF(Table1[[#This Row],[hair growth(Y/N)]]=1,"YES","NO")</f>
        <v>NO</v>
      </c>
      <c r="AL257">
        <v>0</v>
      </c>
      <c r="AM257" t="str">
        <f>IF(Table1[[#This Row],[Skin darkening (Y/N)]]=1,"YES","NO")</f>
        <v>NO</v>
      </c>
      <c r="AN257">
        <v>1</v>
      </c>
      <c r="AO257" t="str">
        <f>IF(Table1[[#This Row],[Hair loss(Y/N)]]=1,"YES","NO")</f>
        <v>YES</v>
      </c>
      <c r="AP257">
        <v>1</v>
      </c>
      <c r="AQ257" t="str">
        <f>IF(Table1[[#This Row],[Pimples(Y/N)]]=1,"YES","NO")</f>
        <v>YES</v>
      </c>
      <c r="AR257">
        <v>0</v>
      </c>
      <c r="AS257" t="str">
        <f>IF(Table1[[#This Row],[Fast food (Y/N)]]=1,"YES","NO")</f>
        <v>NO</v>
      </c>
      <c r="AT257">
        <v>0</v>
      </c>
      <c r="AU257" t="str">
        <f>IF(Table1[[#This Row],[Reg.Exercise(Y/N)]]=1,"YES","NO")</f>
        <v>NO</v>
      </c>
      <c r="AV257">
        <v>120</v>
      </c>
      <c r="AW257">
        <v>80</v>
      </c>
      <c r="AX257">
        <v>5</v>
      </c>
      <c r="AY257">
        <v>7</v>
      </c>
      <c r="AZ257">
        <v>16</v>
      </c>
      <c r="BA257">
        <v>17</v>
      </c>
      <c r="BB257">
        <v>8.1999999999999993</v>
      </c>
      <c r="BC257" t="str" cm="1">
        <f t="array" ref="BC257">_xlfn.IFS((F257/(G257*G257)*10000)&lt; 18.5,"Underweight",(F257/(G257*G257)*10000)&lt;24.9,"Normal",(F257/(G257*G257)*10000)&lt;29.9,"Overweight",(F257/(G257*G257)*10000)&gt;=30,"obesity")</f>
        <v>Underweight</v>
      </c>
      <c r="BD257">
        <f>Table1[[#This Row],[Follicle No. (L)]]+Table1[[#This Row],[Follicle No. (R)]]</f>
        <v>12</v>
      </c>
      <c r="BE257">
        <f>Table1[[#This Row],[Avg. F size (L) (mm)]]+Table1[[#This Row],[Avg. F size (R) (mm)]]</f>
        <v>33</v>
      </c>
      <c r="BF257">
        <f>Table1[[#This Row],[BP _Diastolic (mmHg)]]+(Table1[[#This Row],[BP _Diastolic (mmHg)]]+Table1[[#This Row],[Follicle No. (L)]])/3</f>
        <v>108.33333333333333</v>
      </c>
      <c r="BG257" s="4" t="str" cm="1">
        <f t="array" ref="BG25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57" s="4">
        <f>SUM(Table1[[#This Row],[Pimples(Y/N)]],Table1[[#This Row],[hair growth(Y/N)]],Table1[[#This Row],[Skin darkening (Y/N)]],Table1[[#This Row],[Hair loss(Y/N)]])</f>
        <v>2</v>
      </c>
      <c r="BI257" s="4" t="str">
        <f>IF(AND(Table1[[#This Row],[Pregnant(Y/N)]]=0, Table1[[#This Row],[  I   beta-HCG(mIU/mL)]]&gt;5), "Investigation Required", "Clear")</f>
        <v>Clear</v>
      </c>
    </row>
    <row r="258" spans="1:61" ht="15.75" customHeight="1" x14ac:dyDescent="0.25">
      <c r="A258">
        <v>257</v>
      </c>
      <c r="B258">
        <v>257</v>
      </c>
      <c r="C258">
        <v>0</v>
      </c>
      <c r="D258" t="str">
        <f>IF(Table1[[#This Row],[PCOS (Y/N)]]=0,"NO","YES")</f>
        <v>NO</v>
      </c>
      <c r="E258">
        <v>33</v>
      </c>
      <c r="F258">
        <v>35</v>
      </c>
      <c r="G258">
        <v>150</v>
      </c>
      <c r="H258">
        <v>13</v>
      </c>
      <c r="I258">
        <v>74</v>
      </c>
      <c r="J258">
        <v>20</v>
      </c>
      <c r="K258">
        <v>12</v>
      </c>
      <c r="L258">
        <v>2</v>
      </c>
      <c r="M258">
        <v>5</v>
      </c>
      <c r="N258">
        <v>10</v>
      </c>
      <c r="O258">
        <v>0</v>
      </c>
      <c r="P258" t="str">
        <f>IF(Table1[[#This Row],[Pregnant(Y/N)]]=1,"YES","NO")</f>
        <v>NO</v>
      </c>
      <c r="Q258">
        <v>1</v>
      </c>
      <c r="R258">
        <v>413.62</v>
      </c>
      <c r="S258">
        <v>1.99</v>
      </c>
      <c r="T258">
        <v>3.88</v>
      </c>
      <c r="U258">
        <v>0.47</v>
      </c>
      <c r="V258">
        <f>Table1[[#This Row],[FSH(mIU/mL)]]/Table1[[#This Row],[LH(mIU/mL)]]</f>
        <v>8.2553191489361701</v>
      </c>
      <c r="W258" t="str">
        <f>IF(Table1[[#This Row],[FSH/LH]]&gt;=2,"Abnormal","Normal")</f>
        <v>Abnormal</v>
      </c>
      <c r="X258">
        <v>30</v>
      </c>
      <c r="Y258">
        <v>28</v>
      </c>
      <c r="Z258">
        <f>ROUND(Table1[[#This Row],[Waist(inch)]]/Table1[[#This Row],[Hip(inch)]],2)</f>
        <v>0.93</v>
      </c>
      <c r="AA258">
        <v>1.42</v>
      </c>
      <c r="AB258">
        <v>2.25</v>
      </c>
      <c r="AC258">
        <v>29.89</v>
      </c>
      <c r="AD258">
        <v>27.6</v>
      </c>
      <c r="AE258" t="str">
        <f>IF(Table1[[#This Row],[Vit D3 (ng/mL)]]&lt;20,"Deficiency","Normal")</f>
        <v>Normal</v>
      </c>
      <c r="AF258">
        <v>0.25</v>
      </c>
      <c r="AG258">
        <v>107</v>
      </c>
      <c r="AH258">
        <v>0</v>
      </c>
      <c r="AI258" t="str">
        <f>IF(Table1[[#This Row],[Weight gain(Y/N)]]=0,"NO","YES")</f>
        <v>NO</v>
      </c>
      <c r="AJ258">
        <v>0</v>
      </c>
      <c r="AK258" t="str">
        <f>IF(Table1[[#This Row],[hair growth(Y/N)]]=1,"YES","NO")</f>
        <v>NO</v>
      </c>
      <c r="AL258">
        <v>0</v>
      </c>
      <c r="AM258" t="str">
        <f>IF(Table1[[#This Row],[Skin darkening (Y/N)]]=1,"YES","NO")</f>
        <v>NO</v>
      </c>
      <c r="AN258">
        <v>1</v>
      </c>
      <c r="AO258" t="str">
        <f>IF(Table1[[#This Row],[Hair loss(Y/N)]]=1,"YES","NO")</f>
        <v>YES</v>
      </c>
      <c r="AP258">
        <v>1</v>
      </c>
      <c r="AQ258" t="str">
        <f>IF(Table1[[#This Row],[Pimples(Y/N)]]=1,"YES","NO")</f>
        <v>YES</v>
      </c>
      <c r="AR258">
        <v>0</v>
      </c>
      <c r="AS258" t="str">
        <f>IF(Table1[[#This Row],[Fast food (Y/N)]]=1,"YES","NO")</f>
        <v>NO</v>
      </c>
      <c r="AT258">
        <v>0</v>
      </c>
      <c r="AU258" t="str">
        <f>IF(Table1[[#This Row],[Reg.Exercise(Y/N)]]=1,"YES","NO")</f>
        <v>NO</v>
      </c>
      <c r="AV258">
        <v>120</v>
      </c>
      <c r="AW258">
        <v>70</v>
      </c>
      <c r="AX258">
        <v>4</v>
      </c>
      <c r="AY258">
        <v>1</v>
      </c>
      <c r="AZ258">
        <v>18.5</v>
      </c>
      <c r="BA258">
        <v>19</v>
      </c>
      <c r="BB258">
        <v>8.5</v>
      </c>
      <c r="BC258" t="str" cm="1">
        <f t="array" ref="BC258">_xlfn.IFS((F258/(G258*G258)*10000)&lt; 18.5,"Underweight",(F258/(G258*G258)*10000)&lt;24.9,"Normal",(F258/(G258*G258)*10000)&lt;29.9,"Overweight",(F258/(G258*G258)*10000)&gt;=30,"obesity")</f>
        <v>Underweight</v>
      </c>
      <c r="BD258">
        <f>Table1[[#This Row],[Follicle No. (L)]]+Table1[[#This Row],[Follicle No. (R)]]</f>
        <v>5</v>
      </c>
      <c r="BE258">
        <f>Table1[[#This Row],[Avg. F size (L) (mm)]]+Table1[[#This Row],[Avg. F size (R) (mm)]]</f>
        <v>37.5</v>
      </c>
      <c r="BF258">
        <f>Table1[[#This Row],[BP _Diastolic (mmHg)]]+(Table1[[#This Row],[BP _Diastolic (mmHg)]]+Table1[[#This Row],[Follicle No. (L)]])/3</f>
        <v>94.666666666666671</v>
      </c>
      <c r="BG258" s="4" t="str" cm="1">
        <f t="array" ref="BG25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58" s="4">
        <f>SUM(Table1[[#This Row],[Pimples(Y/N)]],Table1[[#This Row],[hair growth(Y/N)]],Table1[[#This Row],[Skin darkening (Y/N)]],Table1[[#This Row],[Hair loss(Y/N)]])</f>
        <v>2</v>
      </c>
      <c r="BI258" s="4" t="str">
        <f>IF(AND(Table1[[#This Row],[Pregnant(Y/N)]]=0, Table1[[#This Row],[  I   beta-HCG(mIU/mL)]]&gt;5), "Investigation Required", "Clear")</f>
        <v>Investigation Required</v>
      </c>
    </row>
    <row r="259" spans="1:61" ht="15.75" customHeight="1" x14ac:dyDescent="0.25">
      <c r="A259">
        <v>258</v>
      </c>
      <c r="B259">
        <v>258</v>
      </c>
      <c r="C259">
        <v>0</v>
      </c>
      <c r="D259" t="str">
        <f>IF(Table1[[#This Row],[PCOS (Y/N)]]=0,"NO","YES")</f>
        <v>NO</v>
      </c>
      <c r="E259">
        <v>27</v>
      </c>
      <c r="F259">
        <v>48</v>
      </c>
      <c r="G259">
        <v>155.44800000000001</v>
      </c>
      <c r="H259">
        <v>15</v>
      </c>
      <c r="I259">
        <v>72</v>
      </c>
      <c r="J259">
        <v>18</v>
      </c>
      <c r="K259">
        <v>12.5</v>
      </c>
      <c r="L259">
        <v>2</v>
      </c>
      <c r="M259">
        <v>6</v>
      </c>
      <c r="N259">
        <v>6.5</v>
      </c>
      <c r="O259">
        <v>0</v>
      </c>
      <c r="P259" t="str">
        <f>IF(Table1[[#This Row],[Pregnant(Y/N)]]=1,"YES","NO")</f>
        <v>NO</v>
      </c>
      <c r="Q259">
        <v>0</v>
      </c>
      <c r="R259">
        <v>1.99</v>
      </c>
      <c r="S259">
        <v>1.99</v>
      </c>
      <c r="T259">
        <v>1.76</v>
      </c>
      <c r="U259">
        <v>0.1</v>
      </c>
      <c r="V259">
        <f>Table1[[#This Row],[FSH(mIU/mL)]]/Table1[[#This Row],[LH(mIU/mL)]]</f>
        <v>17.599999999999998</v>
      </c>
      <c r="W259" t="str">
        <f>IF(Table1[[#This Row],[FSH/LH]]&gt;=2,"Abnormal","Normal")</f>
        <v>Abnormal</v>
      </c>
      <c r="X259">
        <v>33</v>
      </c>
      <c r="Y259">
        <v>30</v>
      </c>
      <c r="Z259">
        <f>ROUND(Table1[[#This Row],[Waist(inch)]]/Table1[[#This Row],[Hip(inch)]],2)</f>
        <v>0.91</v>
      </c>
      <c r="AA259">
        <v>1.17</v>
      </c>
      <c r="AB259">
        <v>6.8</v>
      </c>
      <c r="AC259">
        <v>22.51</v>
      </c>
      <c r="AD259">
        <v>13.7</v>
      </c>
      <c r="AE259" t="str">
        <f>IF(Table1[[#This Row],[Vit D3 (ng/mL)]]&lt;20,"Deficiency","Normal")</f>
        <v>Deficiency</v>
      </c>
      <c r="AF259">
        <v>0.4</v>
      </c>
      <c r="AG259">
        <v>72</v>
      </c>
      <c r="AH259">
        <v>0</v>
      </c>
      <c r="AI259" t="str">
        <f>IF(Table1[[#This Row],[Weight gain(Y/N)]]=0,"NO","YES")</f>
        <v>NO</v>
      </c>
      <c r="AJ259">
        <v>0</v>
      </c>
      <c r="AK259" t="str">
        <f>IF(Table1[[#This Row],[hair growth(Y/N)]]=1,"YES","NO")</f>
        <v>NO</v>
      </c>
      <c r="AL259">
        <v>0</v>
      </c>
      <c r="AM259" t="str">
        <f>IF(Table1[[#This Row],[Skin darkening (Y/N)]]=1,"YES","NO")</f>
        <v>NO</v>
      </c>
      <c r="AN259">
        <v>1</v>
      </c>
      <c r="AO259" t="str">
        <f>IF(Table1[[#This Row],[Hair loss(Y/N)]]=1,"YES","NO")</f>
        <v>YES</v>
      </c>
      <c r="AP259">
        <v>0</v>
      </c>
      <c r="AQ259" t="str">
        <f>IF(Table1[[#This Row],[Pimples(Y/N)]]=1,"YES","NO")</f>
        <v>NO</v>
      </c>
      <c r="AR259">
        <v>1</v>
      </c>
      <c r="AS259" t="str">
        <f>IF(Table1[[#This Row],[Fast food (Y/N)]]=1,"YES","NO")</f>
        <v>YES</v>
      </c>
      <c r="AT259">
        <v>0</v>
      </c>
      <c r="AU259" t="str">
        <f>IF(Table1[[#This Row],[Reg.Exercise(Y/N)]]=1,"YES","NO")</f>
        <v>NO</v>
      </c>
      <c r="AV259">
        <v>110</v>
      </c>
      <c r="AW259">
        <v>80</v>
      </c>
      <c r="AX259">
        <v>2</v>
      </c>
      <c r="AY259">
        <v>5</v>
      </c>
      <c r="AZ259">
        <v>17</v>
      </c>
      <c r="BA259">
        <v>18</v>
      </c>
      <c r="BB259">
        <v>9</v>
      </c>
      <c r="BC259" t="str" cm="1">
        <f t="array" ref="BC259">_xlfn.IFS((F259/(G259*G259)*10000)&lt; 18.5,"Underweight",(F259/(G259*G259)*10000)&lt;24.9,"Normal",(F259/(G259*G259)*10000)&lt;29.9,"Overweight",(F259/(G259*G259)*10000)&gt;=30,"obesity")</f>
        <v>Normal</v>
      </c>
      <c r="BD259">
        <f>Table1[[#This Row],[Follicle No. (L)]]+Table1[[#This Row],[Follicle No. (R)]]</f>
        <v>7</v>
      </c>
      <c r="BE259">
        <f>Table1[[#This Row],[Avg. F size (L) (mm)]]+Table1[[#This Row],[Avg. F size (R) (mm)]]</f>
        <v>35</v>
      </c>
      <c r="BF259">
        <f>Table1[[#This Row],[BP _Diastolic (mmHg)]]+(Table1[[#This Row],[BP _Diastolic (mmHg)]]+Table1[[#This Row],[Follicle No. (L)]])/3</f>
        <v>107.33333333333333</v>
      </c>
      <c r="BG259" s="4" t="str" cm="1">
        <f t="array" ref="BG25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59" s="4">
        <f>SUM(Table1[[#This Row],[Pimples(Y/N)]],Table1[[#This Row],[hair growth(Y/N)]],Table1[[#This Row],[Skin darkening (Y/N)]],Table1[[#This Row],[Hair loss(Y/N)]])</f>
        <v>1</v>
      </c>
      <c r="BI259" s="4" t="str">
        <f>IF(AND(Table1[[#This Row],[Pregnant(Y/N)]]=0, Table1[[#This Row],[  I   beta-HCG(mIU/mL)]]&gt;5), "Investigation Required", "Clear")</f>
        <v>Clear</v>
      </c>
    </row>
    <row r="260" spans="1:61" ht="15.75" customHeight="1" x14ac:dyDescent="0.25">
      <c r="A260">
        <v>259</v>
      </c>
      <c r="B260">
        <v>259</v>
      </c>
      <c r="C260">
        <v>0</v>
      </c>
      <c r="D260" t="str">
        <f>IF(Table1[[#This Row],[PCOS (Y/N)]]=0,"NO","YES")</f>
        <v>NO</v>
      </c>
      <c r="E260">
        <v>43</v>
      </c>
      <c r="F260">
        <v>33</v>
      </c>
      <c r="G260">
        <v>152</v>
      </c>
      <c r="H260">
        <v>15</v>
      </c>
      <c r="I260">
        <v>72</v>
      </c>
      <c r="J260">
        <v>18</v>
      </c>
      <c r="K260">
        <v>11.1</v>
      </c>
      <c r="L260">
        <v>2</v>
      </c>
      <c r="M260">
        <v>6</v>
      </c>
      <c r="N260">
        <v>6</v>
      </c>
      <c r="O260">
        <v>0</v>
      </c>
      <c r="P260" t="str">
        <f>IF(Table1[[#This Row],[Pregnant(Y/N)]]=1,"YES","NO")</f>
        <v>NO</v>
      </c>
      <c r="Q260">
        <v>0</v>
      </c>
      <c r="R260">
        <v>221.28</v>
      </c>
      <c r="S260">
        <v>1.99</v>
      </c>
      <c r="T260">
        <v>12.28</v>
      </c>
      <c r="U260">
        <v>2.52</v>
      </c>
      <c r="V260">
        <f>Table1[[#This Row],[FSH(mIU/mL)]]/Table1[[#This Row],[LH(mIU/mL)]]</f>
        <v>4.8730158730158726</v>
      </c>
      <c r="W260" t="str">
        <f>IF(Table1[[#This Row],[FSH/LH]]&gt;=2,"Abnormal","Normal")</f>
        <v>Abnormal</v>
      </c>
      <c r="X260">
        <v>30</v>
      </c>
      <c r="Y260">
        <v>28</v>
      </c>
      <c r="Z260">
        <f>ROUND(Table1[[#This Row],[Waist(inch)]]/Table1[[#This Row],[Hip(inch)]],2)</f>
        <v>0.93</v>
      </c>
      <c r="AA260">
        <v>1.25</v>
      </c>
      <c r="AB260">
        <v>0.8</v>
      </c>
      <c r="AC260">
        <v>10.99</v>
      </c>
      <c r="AD260">
        <v>22.4</v>
      </c>
      <c r="AE260" t="str">
        <f>IF(Table1[[#This Row],[Vit D3 (ng/mL)]]&lt;20,"Deficiency","Normal")</f>
        <v>Normal</v>
      </c>
      <c r="AF260">
        <v>0.25</v>
      </c>
      <c r="AG260">
        <v>100</v>
      </c>
      <c r="AH260">
        <v>0</v>
      </c>
      <c r="AI260" t="str">
        <f>IF(Table1[[#This Row],[Weight gain(Y/N)]]=0,"NO","YES")</f>
        <v>NO</v>
      </c>
      <c r="AJ260">
        <v>0</v>
      </c>
      <c r="AK260" t="str">
        <f>IF(Table1[[#This Row],[hair growth(Y/N)]]=1,"YES","NO")</f>
        <v>NO</v>
      </c>
      <c r="AL260">
        <v>0</v>
      </c>
      <c r="AM260" t="str">
        <f>IF(Table1[[#This Row],[Skin darkening (Y/N)]]=1,"YES","NO")</f>
        <v>NO</v>
      </c>
      <c r="AN260">
        <v>1</v>
      </c>
      <c r="AO260" t="str">
        <f>IF(Table1[[#This Row],[Hair loss(Y/N)]]=1,"YES","NO")</f>
        <v>YES</v>
      </c>
      <c r="AP260">
        <v>1</v>
      </c>
      <c r="AQ260" t="str">
        <f>IF(Table1[[#This Row],[Pimples(Y/N)]]=1,"YES","NO")</f>
        <v>YES</v>
      </c>
      <c r="AR260">
        <v>1</v>
      </c>
      <c r="AS260" t="str">
        <f>IF(Table1[[#This Row],[Fast food (Y/N)]]=1,"YES","NO")</f>
        <v>YES</v>
      </c>
      <c r="AT260">
        <v>1</v>
      </c>
      <c r="AU260" t="str">
        <f>IF(Table1[[#This Row],[Reg.Exercise(Y/N)]]=1,"YES","NO")</f>
        <v>YES</v>
      </c>
      <c r="AV260">
        <v>120</v>
      </c>
      <c r="AW260">
        <v>80</v>
      </c>
      <c r="AX260">
        <v>9</v>
      </c>
      <c r="AY260">
        <v>8</v>
      </c>
      <c r="AZ260">
        <v>18</v>
      </c>
      <c r="BA260">
        <v>19</v>
      </c>
      <c r="BB260">
        <v>10</v>
      </c>
      <c r="BC260" t="str" cm="1">
        <f t="array" ref="BC260">_xlfn.IFS((F260/(G260*G260)*10000)&lt; 18.5,"Underweight",(F260/(G260*G260)*10000)&lt;24.9,"Normal",(F260/(G260*G260)*10000)&lt;29.9,"Overweight",(F260/(G260*G260)*10000)&gt;=30,"obesity")</f>
        <v>Underweight</v>
      </c>
      <c r="BD260">
        <f>Table1[[#This Row],[Follicle No. (L)]]+Table1[[#This Row],[Follicle No. (R)]]</f>
        <v>17</v>
      </c>
      <c r="BE260">
        <f>Table1[[#This Row],[Avg. F size (L) (mm)]]+Table1[[#This Row],[Avg. F size (R) (mm)]]</f>
        <v>37</v>
      </c>
      <c r="BF260">
        <f>Table1[[#This Row],[BP _Diastolic (mmHg)]]+(Table1[[#This Row],[BP _Diastolic (mmHg)]]+Table1[[#This Row],[Follicle No. (L)]])/3</f>
        <v>109.66666666666667</v>
      </c>
      <c r="BG260" s="4" t="str" cm="1">
        <f t="array" ref="BG26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60" s="4">
        <f>SUM(Table1[[#This Row],[Pimples(Y/N)]],Table1[[#This Row],[hair growth(Y/N)]],Table1[[#This Row],[Skin darkening (Y/N)]],Table1[[#This Row],[Hair loss(Y/N)]])</f>
        <v>2</v>
      </c>
      <c r="BI260" s="4" t="str">
        <f>IF(AND(Table1[[#This Row],[Pregnant(Y/N)]]=0, Table1[[#This Row],[  I   beta-HCG(mIU/mL)]]&gt;5), "Investigation Required", "Clear")</f>
        <v>Investigation Required</v>
      </c>
    </row>
    <row r="261" spans="1:61" ht="15.75" customHeight="1" x14ac:dyDescent="0.25">
      <c r="A261">
        <v>260</v>
      </c>
      <c r="B261">
        <v>260</v>
      </c>
      <c r="C261">
        <v>1</v>
      </c>
      <c r="D261" t="str">
        <f>IF(Table1[[#This Row],[PCOS (Y/N)]]=0,"NO","YES")</f>
        <v>YES</v>
      </c>
      <c r="E261">
        <v>31</v>
      </c>
      <c r="F261">
        <v>50</v>
      </c>
      <c r="G261">
        <v>158.49600000000001</v>
      </c>
      <c r="H261">
        <v>11</v>
      </c>
      <c r="I261">
        <v>74</v>
      </c>
      <c r="J261">
        <v>20</v>
      </c>
      <c r="K261">
        <v>12.5</v>
      </c>
      <c r="L261">
        <v>2</v>
      </c>
      <c r="M261">
        <v>5</v>
      </c>
      <c r="N261">
        <v>4</v>
      </c>
      <c r="O261">
        <v>0</v>
      </c>
      <c r="P261" t="str">
        <f>IF(Table1[[#This Row],[Pregnant(Y/N)]]=1,"YES","NO")</f>
        <v>NO</v>
      </c>
      <c r="Q261">
        <v>0</v>
      </c>
      <c r="R261">
        <v>227.36</v>
      </c>
      <c r="S261">
        <v>1.99</v>
      </c>
      <c r="T261">
        <v>2.12</v>
      </c>
      <c r="U261">
        <v>0.37</v>
      </c>
      <c r="V261">
        <f>Table1[[#This Row],[FSH(mIU/mL)]]/Table1[[#This Row],[LH(mIU/mL)]]</f>
        <v>5.7297297297297298</v>
      </c>
      <c r="W261" t="str">
        <f>IF(Table1[[#This Row],[FSH/LH]]&gt;=2,"Abnormal","Normal")</f>
        <v>Abnormal</v>
      </c>
      <c r="X261">
        <v>34</v>
      </c>
      <c r="Y261">
        <v>32</v>
      </c>
      <c r="Z261">
        <f>ROUND(Table1[[#This Row],[Waist(inch)]]/Table1[[#This Row],[Hip(inch)]],2)</f>
        <v>0.94</v>
      </c>
      <c r="AA261">
        <v>5.01</v>
      </c>
      <c r="AB261">
        <v>7.21</v>
      </c>
      <c r="AC261">
        <v>27.01</v>
      </c>
      <c r="AD261">
        <v>32.1</v>
      </c>
      <c r="AE261" t="str">
        <f>IF(Table1[[#This Row],[Vit D3 (ng/mL)]]&lt;20,"Deficiency","Normal")</f>
        <v>Normal</v>
      </c>
      <c r="AF261">
        <v>0.25</v>
      </c>
      <c r="AG261">
        <v>100</v>
      </c>
      <c r="AH261">
        <v>0</v>
      </c>
      <c r="AI261" t="str">
        <f>IF(Table1[[#This Row],[Weight gain(Y/N)]]=0,"NO","YES")</f>
        <v>NO</v>
      </c>
      <c r="AJ261">
        <v>1</v>
      </c>
      <c r="AK261" t="str">
        <f>IF(Table1[[#This Row],[hair growth(Y/N)]]=1,"YES","NO")</f>
        <v>YES</v>
      </c>
      <c r="AL261">
        <v>1</v>
      </c>
      <c r="AM261" t="str">
        <f>IF(Table1[[#This Row],[Skin darkening (Y/N)]]=1,"YES","NO")</f>
        <v>YES</v>
      </c>
      <c r="AN261">
        <v>1</v>
      </c>
      <c r="AO261" t="str">
        <f>IF(Table1[[#This Row],[Hair loss(Y/N)]]=1,"YES","NO")</f>
        <v>YES</v>
      </c>
      <c r="AP261">
        <v>0</v>
      </c>
      <c r="AQ261" t="str">
        <f>IF(Table1[[#This Row],[Pimples(Y/N)]]=1,"YES","NO")</f>
        <v>NO</v>
      </c>
      <c r="AR261">
        <v>1</v>
      </c>
      <c r="AS261" t="str">
        <f>IF(Table1[[#This Row],[Fast food (Y/N)]]=1,"YES","NO")</f>
        <v>YES</v>
      </c>
      <c r="AT261">
        <v>0</v>
      </c>
      <c r="AU261" t="str">
        <f>IF(Table1[[#This Row],[Reg.Exercise(Y/N)]]=1,"YES","NO")</f>
        <v>NO</v>
      </c>
      <c r="AV261">
        <v>120</v>
      </c>
      <c r="AW261">
        <v>80</v>
      </c>
      <c r="AX261">
        <v>10</v>
      </c>
      <c r="AY261">
        <v>15</v>
      </c>
      <c r="AZ261">
        <v>17</v>
      </c>
      <c r="BA261">
        <v>18</v>
      </c>
      <c r="BB261">
        <v>8</v>
      </c>
      <c r="BC261" t="str" cm="1">
        <f t="array" ref="BC261">_xlfn.IFS((F261/(G261*G261)*10000)&lt; 18.5,"Underweight",(F261/(G261*G261)*10000)&lt;24.9,"Normal",(F261/(G261*G261)*10000)&lt;29.9,"Overweight",(F261/(G261*G261)*10000)&gt;=30,"obesity")</f>
        <v>Normal</v>
      </c>
      <c r="BD261">
        <f>Table1[[#This Row],[Follicle No. (L)]]+Table1[[#This Row],[Follicle No. (R)]]</f>
        <v>25</v>
      </c>
      <c r="BE261">
        <f>Table1[[#This Row],[Avg. F size (L) (mm)]]+Table1[[#This Row],[Avg. F size (R) (mm)]]</f>
        <v>35</v>
      </c>
      <c r="BF261">
        <f>Table1[[#This Row],[BP _Diastolic (mmHg)]]+(Table1[[#This Row],[BP _Diastolic (mmHg)]]+Table1[[#This Row],[Follicle No. (L)]])/3</f>
        <v>110</v>
      </c>
      <c r="BG261" s="4" t="str" cm="1">
        <f t="array" ref="BG26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61" s="4">
        <f>SUM(Table1[[#This Row],[Pimples(Y/N)]],Table1[[#This Row],[hair growth(Y/N)]],Table1[[#This Row],[Skin darkening (Y/N)]],Table1[[#This Row],[Hair loss(Y/N)]])</f>
        <v>3</v>
      </c>
      <c r="BI261" s="4" t="str">
        <f>IF(AND(Table1[[#This Row],[Pregnant(Y/N)]]=0, Table1[[#This Row],[  I   beta-HCG(mIU/mL)]]&gt;5), "Investigation Required", "Clear")</f>
        <v>Investigation Required</v>
      </c>
    </row>
    <row r="262" spans="1:61" ht="15.75" customHeight="1" x14ac:dyDescent="0.25">
      <c r="A262">
        <v>261</v>
      </c>
      <c r="B262">
        <v>261</v>
      </c>
      <c r="C262">
        <v>0</v>
      </c>
      <c r="D262" t="str">
        <f>IF(Table1[[#This Row],[PCOS (Y/N)]]=0,"NO","YES")</f>
        <v>NO</v>
      </c>
      <c r="E262">
        <v>38</v>
      </c>
      <c r="F262">
        <v>34</v>
      </c>
      <c r="G262">
        <v>153</v>
      </c>
      <c r="H262">
        <v>13</v>
      </c>
      <c r="I262">
        <v>72</v>
      </c>
      <c r="J262">
        <v>18</v>
      </c>
      <c r="K262">
        <v>14.8</v>
      </c>
      <c r="L262">
        <v>2</v>
      </c>
      <c r="M262">
        <v>5</v>
      </c>
      <c r="N262">
        <v>8</v>
      </c>
      <c r="O262">
        <v>0</v>
      </c>
      <c r="P262" t="str">
        <f>IF(Table1[[#This Row],[Pregnant(Y/N)]]=1,"YES","NO")</f>
        <v>NO</v>
      </c>
      <c r="Q262">
        <v>1</v>
      </c>
      <c r="R262">
        <v>1.99</v>
      </c>
      <c r="S262">
        <v>1.99</v>
      </c>
      <c r="T262">
        <v>2.95</v>
      </c>
      <c r="U262">
        <v>0.49</v>
      </c>
      <c r="V262">
        <f>Table1[[#This Row],[FSH(mIU/mL)]]/Table1[[#This Row],[LH(mIU/mL)]]</f>
        <v>6.0204081632653068</v>
      </c>
      <c r="W262" t="str">
        <f>IF(Table1[[#This Row],[FSH/LH]]&gt;=2,"Abnormal","Normal")</f>
        <v>Abnormal</v>
      </c>
      <c r="X262">
        <v>32</v>
      </c>
      <c r="Y262">
        <v>30</v>
      </c>
      <c r="Z262">
        <f>ROUND(Table1[[#This Row],[Waist(inch)]]/Table1[[#This Row],[Hip(inch)]],2)</f>
        <v>0.94</v>
      </c>
      <c r="AA262">
        <v>2.61</v>
      </c>
      <c r="AB262">
        <v>4.2</v>
      </c>
      <c r="AC262">
        <v>30.24</v>
      </c>
      <c r="AD262">
        <v>24.6</v>
      </c>
      <c r="AE262" t="str">
        <f>IF(Table1[[#This Row],[Vit D3 (ng/mL)]]&lt;20,"Deficiency","Normal")</f>
        <v>Normal</v>
      </c>
      <c r="AF262">
        <v>0.39</v>
      </c>
      <c r="AG262">
        <v>100</v>
      </c>
      <c r="AH262">
        <v>0</v>
      </c>
      <c r="AI262" t="str">
        <f>IF(Table1[[#This Row],[Weight gain(Y/N)]]=0,"NO","YES")</f>
        <v>NO</v>
      </c>
      <c r="AJ262">
        <v>0</v>
      </c>
      <c r="AK262" t="str">
        <f>IF(Table1[[#This Row],[hair growth(Y/N)]]=1,"YES","NO")</f>
        <v>NO</v>
      </c>
      <c r="AL262">
        <v>0</v>
      </c>
      <c r="AM262" t="str">
        <f>IF(Table1[[#This Row],[Skin darkening (Y/N)]]=1,"YES","NO")</f>
        <v>NO</v>
      </c>
      <c r="AN262">
        <v>1</v>
      </c>
      <c r="AO262" t="str">
        <f>IF(Table1[[#This Row],[Hair loss(Y/N)]]=1,"YES","NO")</f>
        <v>YES</v>
      </c>
      <c r="AP262">
        <v>0</v>
      </c>
      <c r="AQ262" t="str">
        <f>IF(Table1[[#This Row],[Pimples(Y/N)]]=1,"YES","NO")</f>
        <v>NO</v>
      </c>
      <c r="AR262">
        <v>1</v>
      </c>
      <c r="AS262" t="str">
        <f>IF(Table1[[#This Row],[Fast food (Y/N)]]=1,"YES","NO")</f>
        <v>YES</v>
      </c>
      <c r="AT262">
        <v>0</v>
      </c>
      <c r="AU262" t="str">
        <f>IF(Table1[[#This Row],[Reg.Exercise(Y/N)]]=1,"YES","NO")</f>
        <v>NO</v>
      </c>
      <c r="AV262">
        <v>130</v>
      </c>
      <c r="AW262">
        <v>80</v>
      </c>
      <c r="AX262">
        <v>1</v>
      </c>
      <c r="AY262">
        <v>3</v>
      </c>
      <c r="AZ262">
        <v>15</v>
      </c>
      <c r="BA262">
        <v>17</v>
      </c>
      <c r="BB262">
        <v>8.4</v>
      </c>
      <c r="BC262" t="str" cm="1">
        <f t="array" ref="BC262">_xlfn.IFS((F262/(G262*G262)*10000)&lt; 18.5,"Underweight",(F262/(G262*G262)*10000)&lt;24.9,"Normal",(F262/(G262*G262)*10000)&lt;29.9,"Overweight",(F262/(G262*G262)*10000)&gt;=30,"obesity")</f>
        <v>Underweight</v>
      </c>
      <c r="BD262">
        <f>Table1[[#This Row],[Follicle No. (L)]]+Table1[[#This Row],[Follicle No. (R)]]</f>
        <v>4</v>
      </c>
      <c r="BE262">
        <f>Table1[[#This Row],[Avg. F size (L) (mm)]]+Table1[[#This Row],[Avg. F size (R) (mm)]]</f>
        <v>32</v>
      </c>
      <c r="BF262">
        <f>Table1[[#This Row],[BP _Diastolic (mmHg)]]+(Table1[[#This Row],[BP _Diastolic (mmHg)]]+Table1[[#This Row],[Follicle No. (L)]])/3</f>
        <v>107</v>
      </c>
      <c r="BG262" s="4" t="str" cm="1">
        <f t="array" ref="BG26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62" s="4">
        <f>SUM(Table1[[#This Row],[Pimples(Y/N)]],Table1[[#This Row],[hair growth(Y/N)]],Table1[[#This Row],[Skin darkening (Y/N)]],Table1[[#This Row],[Hair loss(Y/N)]])</f>
        <v>1</v>
      </c>
      <c r="BI262" s="4" t="str">
        <f>IF(AND(Table1[[#This Row],[Pregnant(Y/N)]]=0, Table1[[#This Row],[  I   beta-HCG(mIU/mL)]]&gt;5), "Investigation Required", "Clear")</f>
        <v>Clear</v>
      </c>
    </row>
    <row r="263" spans="1:61" ht="15.75" customHeight="1" x14ac:dyDescent="0.25">
      <c r="A263">
        <v>262</v>
      </c>
      <c r="B263">
        <v>262</v>
      </c>
      <c r="C263">
        <v>0</v>
      </c>
      <c r="D263" t="str">
        <f>IF(Table1[[#This Row],[PCOS (Y/N)]]=0,"NO","YES")</f>
        <v>NO</v>
      </c>
      <c r="E263">
        <v>32</v>
      </c>
      <c r="F263">
        <v>35</v>
      </c>
      <c r="G263">
        <v>150</v>
      </c>
      <c r="H263">
        <v>11</v>
      </c>
      <c r="I263">
        <v>70</v>
      </c>
      <c r="J263">
        <v>18</v>
      </c>
      <c r="K263">
        <v>11.5</v>
      </c>
      <c r="L263">
        <v>2</v>
      </c>
      <c r="M263">
        <v>4</v>
      </c>
      <c r="N263">
        <v>4</v>
      </c>
      <c r="O263">
        <v>0</v>
      </c>
      <c r="P263" t="str">
        <f>IF(Table1[[#This Row],[Pregnant(Y/N)]]=1,"YES","NO")</f>
        <v>NO</v>
      </c>
      <c r="Q263">
        <v>0</v>
      </c>
      <c r="R263">
        <v>643.41</v>
      </c>
      <c r="S263">
        <v>1.99</v>
      </c>
      <c r="T263">
        <v>1.7</v>
      </c>
      <c r="U263">
        <v>0.46</v>
      </c>
      <c r="V263">
        <f>Table1[[#This Row],[FSH(mIU/mL)]]/Table1[[#This Row],[LH(mIU/mL)]]</f>
        <v>3.695652173913043</v>
      </c>
      <c r="W263" t="str">
        <f>IF(Table1[[#This Row],[FSH/LH]]&gt;=2,"Abnormal","Normal")</f>
        <v>Abnormal</v>
      </c>
      <c r="X263">
        <v>32</v>
      </c>
      <c r="Y263">
        <v>30</v>
      </c>
      <c r="Z263">
        <f>ROUND(Table1[[#This Row],[Waist(inch)]]/Table1[[#This Row],[Hip(inch)]],2)</f>
        <v>0.94</v>
      </c>
      <c r="AA263">
        <v>2.84</v>
      </c>
      <c r="AB263">
        <v>6.2</v>
      </c>
      <c r="AC263">
        <v>19.27</v>
      </c>
      <c r="AD263">
        <v>20.9</v>
      </c>
      <c r="AE263" t="str">
        <f>IF(Table1[[#This Row],[Vit D3 (ng/mL)]]&lt;20,"Deficiency","Normal")</f>
        <v>Normal</v>
      </c>
      <c r="AF263">
        <v>0.25</v>
      </c>
      <c r="AG263">
        <v>72</v>
      </c>
      <c r="AH263">
        <v>0</v>
      </c>
      <c r="AI263" t="str">
        <f>IF(Table1[[#This Row],[Weight gain(Y/N)]]=0,"NO","YES")</f>
        <v>NO</v>
      </c>
      <c r="AJ263">
        <v>0</v>
      </c>
      <c r="AK263" t="str">
        <f>IF(Table1[[#This Row],[hair growth(Y/N)]]=1,"YES","NO")</f>
        <v>NO</v>
      </c>
      <c r="AL263">
        <v>0</v>
      </c>
      <c r="AM263" t="str">
        <f>IF(Table1[[#This Row],[Skin darkening (Y/N)]]=1,"YES","NO")</f>
        <v>NO</v>
      </c>
      <c r="AN263">
        <v>0</v>
      </c>
      <c r="AO263" t="str">
        <f>IF(Table1[[#This Row],[Hair loss(Y/N)]]=1,"YES","NO")</f>
        <v>NO</v>
      </c>
      <c r="AP263">
        <v>0</v>
      </c>
      <c r="AQ263" t="str">
        <f>IF(Table1[[#This Row],[Pimples(Y/N)]]=1,"YES","NO")</f>
        <v>NO</v>
      </c>
      <c r="AR263">
        <v>1</v>
      </c>
      <c r="AS263" t="str">
        <f>IF(Table1[[#This Row],[Fast food (Y/N)]]=1,"YES","NO")</f>
        <v>YES</v>
      </c>
      <c r="AT263">
        <v>0</v>
      </c>
      <c r="AU263" t="str">
        <f>IF(Table1[[#This Row],[Reg.Exercise(Y/N)]]=1,"YES","NO")</f>
        <v>NO</v>
      </c>
      <c r="AV263">
        <v>110</v>
      </c>
      <c r="AW263">
        <v>80</v>
      </c>
      <c r="AX263">
        <v>1</v>
      </c>
      <c r="AY263">
        <v>0</v>
      </c>
      <c r="AZ263">
        <v>19</v>
      </c>
      <c r="BA263">
        <v>20</v>
      </c>
      <c r="BB263">
        <v>10</v>
      </c>
      <c r="BC263" t="str" cm="1">
        <f t="array" ref="BC263">_xlfn.IFS((F263/(G263*G263)*10000)&lt; 18.5,"Underweight",(F263/(G263*G263)*10000)&lt;24.9,"Normal",(F263/(G263*G263)*10000)&lt;29.9,"Overweight",(F263/(G263*G263)*10000)&gt;=30,"obesity")</f>
        <v>Underweight</v>
      </c>
      <c r="BD263">
        <f>Table1[[#This Row],[Follicle No. (L)]]+Table1[[#This Row],[Follicle No. (R)]]</f>
        <v>1</v>
      </c>
      <c r="BE263">
        <f>Table1[[#This Row],[Avg. F size (L) (mm)]]+Table1[[#This Row],[Avg. F size (R) (mm)]]</f>
        <v>39</v>
      </c>
      <c r="BF263">
        <f>Table1[[#This Row],[BP _Diastolic (mmHg)]]+(Table1[[#This Row],[BP _Diastolic (mmHg)]]+Table1[[#This Row],[Follicle No. (L)]])/3</f>
        <v>107</v>
      </c>
      <c r="BG263" s="4" t="str" cm="1">
        <f t="array" ref="BG26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63" s="4">
        <f>SUM(Table1[[#This Row],[Pimples(Y/N)]],Table1[[#This Row],[hair growth(Y/N)]],Table1[[#This Row],[Skin darkening (Y/N)]],Table1[[#This Row],[Hair loss(Y/N)]])</f>
        <v>0</v>
      </c>
      <c r="BI263" s="4" t="str">
        <f>IF(AND(Table1[[#This Row],[Pregnant(Y/N)]]=0, Table1[[#This Row],[  I   beta-HCG(mIU/mL)]]&gt;5), "Investigation Required", "Clear")</f>
        <v>Investigation Required</v>
      </c>
    </row>
    <row r="264" spans="1:61" ht="15.75" customHeight="1" x14ac:dyDescent="0.25">
      <c r="A264">
        <v>263</v>
      </c>
      <c r="B264">
        <v>263</v>
      </c>
      <c r="C264">
        <v>0</v>
      </c>
      <c r="D264" t="str">
        <f>IF(Table1[[#This Row],[PCOS (Y/N)]]=0,"NO","YES")</f>
        <v>NO</v>
      </c>
      <c r="E264">
        <v>38</v>
      </c>
      <c r="F264">
        <v>53.5</v>
      </c>
      <c r="G264">
        <v>158.49600000000001</v>
      </c>
      <c r="H264">
        <v>13</v>
      </c>
      <c r="I264">
        <v>72</v>
      </c>
      <c r="J264">
        <v>18</v>
      </c>
      <c r="K264">
        <v>12.5</v>
      </c>
      <c r="L264">
        <v>2</v>
      </c>
      <c r="M264">
        <v>5</v>
      </c>
      <c r="N264">
        <v>14</v>
      </c>
      <c r="O264">
        <v>0</v>
      </c>
      <c r="P264" t="str">
        <f>IF(Table1[[#This Row],[Pregnant(Y/N)]]=1,"YES","NO")</f>
        <v>NO</v>
      </c>
      <c r="Q264">
        <v>0</v>
      </c>
      <c r="R264">
        <v>1.99</v>
      </c>
      <c r="S264">
        <v>1.99</v>
      </c>
      <c r="T264">
        <v>1.8</v>
      </c>
      <c r="U264">
        <v>0.49</v>
      </c>
      <c r="V264">
        <f>Table1[[#This Row],[FSH(mIU/mL)]]/Table1[[#This Row],[LH(mIU/mL)]]</f>
        <v>3.6734693877551021</v>
      </c>
      <c r="W264" t="str">
        <f>IF(Table1[[#This Row],[FSH/LH]]&gt;=2,"Abnormal","Normal")</f>
        <v>Abnormal</v>
      </c>
      <c r="X264">
        <v>35</v>
      </c>
      <c r="Y264">
        <v>33</v>
      </c>
      <c r="Z264">
        <f>ROUND(Table1[[#This Row],[Waist(inch)]]/Table1[[#This Row],[Hip(inch)]],2)</f>
        <v>0.94</v>
      </c>
      <c r="AA264">
        <v>1.56</v>
      </c>
      <c r="AB264">
        <v>0.9</v>
      </c>
      <c r="AC264">
        <v>45.78</v>
      </c>
      <c r="AD264">
        <v>23.5</v>
      </c>
      <c r="AE264" t="str">
        <f>IF(Table1[[#This Row],[Vit D3 (ng/mL)]]&lt;20,"Deficiency","Normal")</f>
        <v>Normal</v>
      </c>
      <c r="AF264">
        <v>0.25</v>
      </c>
      <c r="AG264">
        <v>87</v>
      </c>
      <c r="AH264">
        <v>0</v>
      </c>
      <c r="AI264" t="str">
        <f>IF(Table1[[#This Row],[Weight gain(Y/N)]]=0,"NO","YES")</f>
        <v>NO</v>
      </c>
      <c r="AJ264">
        <v>0</v>
      </c>
      <c r="AK264" t="str">
        <f>IF(Table1[[#This Row],[hair growth(Y/N)]]=1,"YES","NO")</f>
        <v>NO</v>
      </c>
      <c r="AL264">
        <v>0</v>
      </c>
      <c r="AM264" t="str">
        <f>IF(Table1[[#This Row],[Skin darkening (Y/N)]]=1,"YES","NO")</f>
        <v>NO</v>
      </c>
      <c r="AN264">
        <v>0</v>
      </c>
      <c r="AO264" t="str">
        <f>IF(Table1[[#This Row],[Hair loss(Y/N)]]=1,"YES","NO")</f>
        <v>NO</v>
      </c>
      <c r="AP264">
        <v>0</v>
      </c>
      <c r="AQ264" t="str">
        <f>IF(Table1[[#This Row],[Pimples(Y/N)]]=1,"YES","NO")</f>
        <v>NO</v>
      </c>
      <c r="AR264">
        <v>0</v>
      </c>
      <c r="AS264" t="str">
        <f>IF(Table1[[#This Row],[Fast food (Y/N)]]=1,"YES","NO")</f>
        <v>NO</v>
      </c>
      <c r="AT264">
        <v>0</v>
      </c>
      <c r="AU264" t="str">
        <f>IF(Table1[[#This Row],[Reg.Exercise(Y/N)]]=1,"YES","NO")</f>
        <v>NO</v>
      </c>
      <c r="AV264">
        <v>110</v>
      </c>
      <c r="AW264">
        <v>70</v>
      </c>
      <c r="AX264">
        <v>4</v>
      </c>
      <c r="AY264">
        <v>1</v>
      </c>
      <c r="AZ264">
        <v>17</v>
      </c>
      <c r="BA264">
        <v>13</v>
      </c>
      <c r="BB264">
        <v>6.5</v>
      </c>
      <c r="BC264" t="str" cm="1">
        <f t="array" ref="BC264">_xlfn.IFS((F264/(G264*G264)*10000)&lt; 18.5,"Underweight",(F264/(G264*G264)*10000)&lt;24.9,"Normal",(F264/(G264*G264)*10000)&lt;29.9,"Overweight",(F264/(G264*G264)*10000)&gt;=30,"obesity")</f>
        <v>Normal</v>
      </c>
      <c r="BD264">
        <f>Table1[[#This Row],[Follicle No. (L)]]+Table1[[#This Row],[Follicle No. (R)]]</f>
        <v>5</v>
      </c>
      <c r="BE264">
        <f>Table1[[#This Row],[Avg. F size (L) (mm)]]+Table1[[#This Row],[Avg. F size (R) (mm)]]</f>
        <v>30</v>
      </c>
      <c r="BF264">
        <f>Table1[[#This Row],[BP _Diastolic (mmHg)]]+(Table1[[#This Row],[BP _Diastolic (mmHg)]]+Table1[[#This Row],[Follicle No. (L)]])/3</f>
        <v>94.666666666666671</v>
      </c>
      <c r="BG264" s="4" t="str" cm="1">
        <f t="array" ref="BG26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64" s="4">
        <f>SUM(Table1[[#This Row],[Pimples(Y/N)]],Table1[[#This Row],[hair growth(Y/N)]],Table1[[#This Row],[Skin darkening (Y/N)]],Table1[[#This Row],[Hair loss(Y/N)]])</f>
        <v>0</v>
      </c>
      <c r="BI264" s="4" t="str">
        <f>IF(AND(Table1[[#This Row],[Pregnant(Y/N)]]=0, Table1[[#This Row],[  I   beta-HCG(mIU/mL)]]&gt;5), "Investigation Required", "Clear")</f>
        <v>Clear</v>
      </c>
    </row>
    <row r="265" spans="1:61" ht="15.75" customHeight="1" x14ac:dyDescent="0.25">
      <c r="A265">
        <v>264</v>
      </c>
      <c r="B265">
        <v>264</v>
      </c>
      <c r="C265">
        <v>0</v>
      </c>
      <c r="D265" t="str">
        <f>IF(Table1[[#This Row],[PCOS (Y/N)]]=0,"NO","YES")</f>
        <v>NO</v>
      </c>
      <c r="E265">
        <v>37</v>
      </c>
      <c r="F265">
        <v>45</v>
      </c>
      <c r="G265">
        <v>156</v>
      </c>
      <c r="H265">
        <v>17</v>
      </c>
      <c r="I265">
        <v>74</v>
      </c>
      <c r="J265">
        <v>20</v>
      </c>
      <c r="K265">
        <v>12.1</v>
      </c>
      <c r="L265">
        <v>2</v>
      </c>
      <c r="M265">
        <v>5</v>
      </c>
      <c r="N265">
        <v>10</v>
      </c>
      <c r="O265">
        <v>0</v>
      </c>
      <c r="P265" t="str">
        <f>IF(Table1[[#This Row],[Pregnant(Y/N)]]=1,"YES","NO")</f>
        <v>NO</v>
      </c>
      <c r="Q265">
        <v>0</v>
      </c>
      <c r="R265">
        <v>3.25</v>
      </c>
      <c r="S265">
        <v>4.76</v>
      </c>
      <c r="T265">
        <v>10.39</v>
      </c>
      <c r="U265">
        <v>4.1100000000000003</v>
      </c>
      <c r="V265">
        <f>Table1[[#This Row],[FSH(mIU/mL)]]/Table1[[#This Row],[LH(mIU/mL)]]</f>
        <v>2.5279805352798053</v>
      </c>
      <c r="W265" t="str">
        <f>IF(Table1[[#This Row],[FSH/LH]]&gt;=2,"Abnormal","Normal")</f>
        <v>Abnormal</v>
      </c>
      <c r="X265">
        <v>35</v>
      </c>
      <c r="Y265">
        <v>32</v>
      </c>
      <c r="Z265">
        <f>ROUND(Table1[[#This Row],[Waist(inch)]]/Table1[[#This Row],[Hip(inch)]],2)</f>
        <v>0.91</v>
      </c>
      <c r="AA265">
        <v>1.71</v>
      </c>
      <c r="AB265">
        <v>16.8</v>
      </c>
      <c r="AC265">
        <v>33.58</v>
      </c>
      <c r="AD265">
        <v>43.9</v>
      </c>
      <c r="AE265" t="str">
        <f>IF(Table1[[#This Row],[Vit D3 (ng/mL)]]&lt;20,"Deficiency","Normal")</f>
        <v>Normal</v>
      </c>
      <c r="AF265">
        <v>0.25</v>
      </c>
      <c r="AG265">
        <v>100</v>
      </c>
      <c r="AH265">
        <v>0</v>
      </c>
      <c r="AI265" t="str">
        <f>IF(Table1[[#This Row],[Weight gain(Y/N)]]=0,"NO","YES")</f>
        <v>NO</v>
      </c>
      <c r="AJ265">
        <v>0</v>
      </c>
      <c r="AK265" t="str">
        <f>IF(Table1[[#This Row],[hair growth(Y/N)]]=1,"YES","NO")</f>
        <v>NO</v>
      </c>
      <c r="AL265">
        <v>0</v>
      </c>
      <c r="AM265" t="str">
        <f>IF(Table1[[#This Row],[Skin darkening (Y/N)]]=1,"YES","NO")</f>
        <v>NO</v>
      </c>
      <c r="AN265">
        <v>1</v>
      </c>
      <c r="AO265" t="str">
        <f>IF(Table1[[#This Row],[Hair loss(Y/N)]]=1,"YES","NO")</f>
        <v>YES</v>
      </c>
      <c r="AP265">
        <v>1</v>
      </c>
      <c r="AQ265" t="str">
        <f>IF(Table1[[#This Row],[Pimples(Y/N)]]=1,"YES","NO")</f>
        <v>YES</v>
      </c>
      <c r="AR265">
        <v>0</v>
      </c>
      <c r="AS265" t="str">
        <f>IF(Table1[[#This Row],[Fast food (Y/N)]]=1,"YES","NO")</f>
        <v>NO</v>
      </c>
      <c r="AT265">
        <v>0</v>
      </c>
      <c r="AU265" t="str">
        <f>IF(Table1[[#This Row],[Reg.Exercise(Y/N)]]=1,"YES","NO")</f>
        <v>NO</v>
      </c>
      <c r="AV265">
        <v>120</v>
      </c>
      <c r="AW265">
        <v>80</v>
      </c>
      <c r="AX265">
        <v>5</v>
      </c>
      <c r="AY265">
        <v>5</v>
      </c>
      <c r="AZ265">
        <v>19</v>
      </c>
      <c r="BA265">
        <v>18</v>
      </c>
      <c r="BB265">
        <v>8.6999999999999993</v>
      </c>
      <c r="BC265" t="str" cm="1">
        <f t="array" ref="BC265">_xlfn.IFS((F265/(G265*G265)*10000)&lt; 18.5,"Underweight",(F265/(G265*G265)*10000)&lt;24.9,"Normal",(F265/(G265*G265)*10000)&lt;29.9,"Overweight",(F265/(G265*G265)*10000)&gt;=30,"obesity")</f>
        <v>Underweight</v>
      </c>
      <c r="BD265">
        <f>Table1[[#This Row],[Follicle No. (L)]]+Table1[[#This Row],[Follicle No. (R)]]</f>
        <v>10</v>
      </c>
      <c r="BE265">
        <f>Table1[[#This Row],[Avg. F size (L) (mm)]]+Table1[[#This Row],[Avg. F size (R) (mm)]]</f>
        <v>37</v>
      </c>
      <c r="BF265">
        <f>Table1[[#This Row],[BP _Diastolic (mmHg)]]+(Table1[[#This Row],[BP _Diastolic (mmHg)]]+Table1[[#This Row],[Follicle No. (L)]])/3</f>
        <v>108.33333333333333</v>
      </c>
      <c r="BG265" s="4" t="str" cm="1">
        <f t="array" ref="BG26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65" s="4">
        <f>SUM(Table1[[#This Row],[Pimples(Y/N)]],Table1[[#This Row],[hair growth(Y/N)]],Table1[[#This Row],[Skin darkening (Y/N)]],Table1[[#This Row],[Hair loss(Y/N)]])</f>
        <v>2</v>
      </c>
      <c r="BI265" s="4" t="str">
        <f>IF(AND(Table1[[#This Row],[Pregnant(Y/N)]]=0, Table1[[#This Row],[  I   beta-HCG(mIU/mL)]]&gt;5), "Investigation Required", "Clear")</f>
        <v>Clear</v>
      </c>
    </row>
    <row r="266" spans="1:61" ht="15.75" customHeight="1" x14ac:dyDescent="0.25">
      <c r="A266">
        <v>265</v>
      </c>
      <c r="B266">
        <v>265</v>
      </c>
      <c r="C266">
        <v>0</v>
      </c>
      <c r="D266" t="str">
        <f>IF(Table1[[#This Row],[PCOS (Y/N)]]=0,"NO","YES")</f>
        <v>NO</v>
      </c>
      <c r="E266">
        <v>34</v>
      </c>
      <c r="F266">
        <v>35</v>
      </c>
      <c r="G266">
        <v>155</v>
      </c>
      <c r="H266">
        <v>13</v>
      </c>
      <c r="I266">
        <v>74</v>
      </c>
      <c r="J266">
        <v>20</v>
      </c>
      <c r="K266">
        <v>12.4</v>
      </c>
      <c r="L266">
        <v>2</v>
      </c>
      <c r="M266">
        <v>4</v>
      </c>
      <c r="N266">
        <v>8</v>
      </c>
      <c r="O266">
        <v>0</v>
      </c>
      <c r="P266" t="str">
        <f>IF(Table1[[#This Row],[Pregnant(Y/N)]]=1,"YES","NO")</f>
        <v>NO</v>
      </c>
      <c r="Q266">
        <v>0</v>
      </c>
      <c r="R266">
        <v>165.61</v>
      </c>
      <c r="S266">
        <v>1.99</v>
      </c>
      <c r="T266">
        <v>4.9400000000000004</v>
      </c>
      <c r="U266">
        <v>2.2999999999999998</v>
      </c>
      <c r="V266">
        <f>Table1[[#This Row],[FSH(mIU/mL)]]/Table1[[#This Row],[LH(mIU/mL)]]</f>
        <v>2.1478260869565222</v>
      </c>
      <c r="W266" t="str">
        <f>IF(Table1[[#This Row],[FSH/LH]]&gt;=2,"Abnormal","Normal")</f>
        <v>Abnormal</v>
      </c>
      <c r="X266">
        <v>32</v>
      </c>
      <c r="Y266">
        <v>29</v>
      </c>
      <c r="Z266">
        <f>ROUND(Table1[[#This Row],[Waist(inch)]]/Table1[[#This Row],[Hip(inch)]],2)</f>
        <v>0.91</v>
      </c>
      <c r="AA266">
        <v>3.36</v>
      </c>
      <c r="AB266">
        <v>16.899999999999999</v>
      </c>
      <c r="AC266">
        <v>23.62</v>
      </c>
      <c r="AD266">
        <v>16.399999999999999</v>
      </c>
      <c r="AE266" t="str">
        <f>IF(Table1[[#This Row],[Vit D3 (ng/mL)]]&lt;20,"Deficiency","Normal")</f>
        <v>Deficiency</v>
      </c>
      <c r="AF266">
        <v>0.26</v>
      </c>
      <c r="AG266">
        <v>88</v>
      </c>
      <c r="AH266">
        <v>0</v>
      </c>
      <c r="AI266" t="str">
        <f>IF(Table1[[#This Row],[Weight gain(Y/N)]]=0,"NO","YES")</f>
        <v>NO</v>
      </c>
      <c r="AJ266">
        <v>0</v>
      </c>
      <c r="AK266" t="str">
        <f>IF(Table1[[#This Row],[hair growth(Y/N)]]=1,"YES","NO")</f>
        <v>NO</v>
      </c>
      <c r="AL266">
        <v>0</v>
      </c>
      <c r="AM266" t="str">
        <f>IF(Table1[[#This Row],[Skin darkening (Y/N)]]=1,"YES","NO")</f>
        <v>NO</v>
      </c>
      <c r="AN266">
        <v>1</v>
      </c>
      <c r="AO266" t="str">
        <f>IF(Table1[[#This Row],[Hair loss(Y/N)]]=1,"YES","NO")</f>
        <v>YES</v>
      </c>
      <c r="AP266">
        <v>1</v>
      </c>
      <c r="AQ266" t="str">
        <f>IF(Table1[[#This Row],[Pimples(Y/N)]]=1,"YES","NO")</f>
        <v>YES</v>
      </c>
      <c r="AR266">
        <v>0</v>
      </c>
      <c r="AS266" t="str">
        <f>IF(Table1[[#This Row],[Fast food (Y/N)]]=1,"YES","NO")</f>
        <v>NO</v>
      </c>
      <c r="AT266">
        <v>0</v>
      </c>
      <c r="AU266" t="str">
        <f>IF(Table1[[#This Row],[Reg.Exercise(Y/N)]]=1,"YES","NO")</f>
        <v>NO</v>
      </c>
      <c r="AV266">
        <v>110</v>
      </c>
      <c r="AW266">
        <v>70</v>
      </c>
      <c r="AX266">
        <v>10</v>
      </c>
      <c r="AY266">
        <v>7</v>
      </c>
      <c r="AZ266">
        <v>18</v>
      </c>
      <c r="BA266">
        <v>18</v>
      </c>
      <c r="BB266">
        <v>9</v>
      </c>
      <c r="BC266" t="str" cm="1">
        <f t="array" ref="BC266">_xlfn.IFS((F266/(G266*G266)*10000)&lt; 18.5,"Underweight",(F266/(G266*G266)*10000)&lt;24.9,"Normal",(F266/(G266*G266)*10000)&lt;29.9,"Overweight",(F266/(G266*G266)*10000)&gt;=30,"obesity")</f>
        <v>Underweight</v>
      </c>
      <c r="BD266">
        <f>Table1[[#This Row],[Follicle No. (L)]]+Table1[[#This Row],[Follicle No. (R)]]</f>
        <v>17</v>
      </c>
      <c r="BE266">
        <f>Table1[[#This Row],[Avg. F size (L) (mm)]]+Table1[[#This Row],[Avg. F size (R) (mm)]]</f>
        <v>36</v>
      </c>
      <c r="BF266">
        <f>Table1[[#This Row],[BP _Diastolic (mmHg)]]+(Table1[[#This Row],[BP _Diastolic (mmHg)]]+Table1[[#This Row],[Follicle No. (L)]])/3</f>
        <v>96.666666666666671</v>
      </c>
      <c r="BG266" s="4" t="str" cm="1">
        <f t="array" ref="BG26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66" s="4">
        <f>SUM(Table1[[#This Row],[Pimples(Y/N)]],Table1[[#This Row],[hair growth(Y/N)]],Table1[[#This Row],[Skin darkening (Y/N)]],Table1[[#This Row],[Hair loss(Y/N)]])</f>
        <v>2</v>
      </c>
      <c r="BI266" s="4" t="str">
        <f>IF(AND(Table1[[#This Row],[Pregnant(Y/N)]]=0, Table1[[#This Row],[  I   beta-HCG(mIU/mL)]]&gt;5), "Investigation Required", "Clear")</f>
        <v>Investigation Required</v>
      </c>
    </row>
    <row r="267" spans="1:61" ht="15.75" customHeight="1" x14ac:dyDescent="0.25">
      <c r="A267">
        <v>266</v>
      </c>
      <c r="B267">
        <v>266</v>
      </c>
      <c r="C267">
        <v>0</v>
      </c>
      <c r="D267" t="str">
        <f>IF(Table1[[#This Row],[PCOS (Y/N)]]=0,"NO","YES")</f>
        <v>NO</v>
      </c>
      <c r="E267">
        <v>40</v>
      </c>
      <c r="F267">
        <v>32</v>
      </c>
      <c r="G267">
        <v>152</v>
      </c>
      <c r="H267">
        <v>15</v>
      </c>
      <c r="I267">
        <v>72</v>
      </c>
      <c r="J267">
        <v>20</v>
      </c>
      <c r="K267">
        <v>10</v>
      </c>
      <c r="L267">
        <v>2</v>
      </c>
      <c r="M267">
        <v>3</v>
      </c>
      <c r="N267">
        <v>2</v>
      </c>
      <c r="O267">
        <v>0</v>
      </c>
      <c r="P267" t="str">
        <f>IF(Table1[[#This Row],[Pregnant(Y/N)]]=1,"YES","NO")</f>
        <v>NO</v>
      </c>
      <c r="Q267">
        <v>1</v>
      </c>
      <c r="R267">
        <v>1.99</v>
      </c>
      <c r="S267">
        <v>1.99</v>
      </c>
      <c r="T267">
        <v>5.01</v>
      </c>
      <c r="U267">
        <v>1.6</v>
      </c>
      <c r="V267">
        <f>Table1[[#This Row],[FSH(mIU/mL)]]/Table1[[#This Row],[LH(mIU/mL)]]</f>
        <v>3.1312499999999996</v>
      </c>
      <c r="W267" t="str">
        <f>IF(Table1[[#This Row],[FSH/LH]]&gt;=2,"Abnormal","Normal")</f>
        <v>Abnormal</v>
      </c>
      <c r="X267">
        <v>30</v>
      </c>
      <c r="Y267">
        <v>28</v>
      </c>
      <c r="Z267">
        <f>ROUND(Table1[[#This Row],[Waist(inch)]]/Table1[[#This Row],[Hip(inch)]],2)</f>
        <v>0.93</v>
      </c>
      <c r="AA267">
        <v>5</v>
      </c>
      <c r="AB267">
        <v>8.5</v>
      </c>
      <c r="AC267">
        <v>23.3</v>
      </c>
      <c r="AD267">
        <v>27.7</v>
      </c>
      <c r="AE267" t="str">
        <f>IF(Table1[[#This Row],[Vit D3 (ng/mL)]]&lt;20,"Deficiency","Normal")</f>
        <v>Normal</v>
      </c>
      <c r="AF267">
        <v>0.27</v>
      </c>
      <c r="AG267">
        <v>88</v>
      </c>
      <c r="AH267">
        <v>0</v>
      </c>
      <c r="AI267" t="str">
        <f>IF(Table1[[#This Row],[Weight gain(Y/N)]]=0,"NO","YES")</f>
        <v>NO</v>
      </c>
      <c r="AJ267">
        <v>0</v>
      </c>
      <c r="AK267" t="str">
        <f>IF(Table1[[#This Row],[hair growth(Y/N)]]=1,"YES","NO")</f>
        <v>NO</v>
      </c>
      <c r="AL267">
        <v>0</v>
      </c>
      <c r="AM267" t="str">
        <f>IF(Table1[[#This Row],[Skin darkening (Y/N)]]=1,"YES","NO")</f>
        <v>NO</v>
      </c>
      <c r="AN267">
        <v>0</v>
      </c>
      <c r="AO267" t="str">
        <f>IF(Table1[[#This Row],[Hair loss(Y/N)]]=1,"YES","NO")</f>
        <v>NO</v>
      </c>
      <c r="AP267">
        <v>0</v>
      </c>
      <c r="AQ267" t="str">
        <f>IF(Table1[[#This Row],[Pimples(Y/N)]]=1,"YES","NO")</f>
        <v>NO</v>
      </c>
      <c r="AR267">
        <v>1</v>
      </c>
      <c r="AS267" t="str">
        <f>IF(Table1[[#This Row],[Fast food (Y/N)]]=1,"YES","NO")</f>
        <v>YES</v>
      </c>
      <c r="AT267">
        <v>1</v>
      </c>
      <c r="AU267" t="str">
        <f>IF(Table1[[#This Row],[Reg.Exercise(Y/N)]]=1,"YES","NO")</f>
        <v>YES</v>
      </c>
      <c r="AV267">
        <v>120</v>
      </c>
      <c r="AW267">
        <v>80</v>
      </c>
      <c r="AX267">
        <v>6</v>
      </c>
      <c r="AY267">
        <v>5</v>
      </c>
      <c r="AZ267">
        <v>18</v>
      </c>
      <c r="BA267">
        <v>17</v>
      </c>
      <c r="BB267">
        <v>8</v>
      </c>
      <c r="BC267" t="str" cm="1">
        <f t="array" ref="BC267">_xlfn.IFS((F267/(G267*G267)*10000)&lt; 18.5,"Underweight",(F267/(G267*G267)*10000)&lt;24.9,"Normal",(F267/(G267*G267)*10000)&lt;29.9,"Overweight",(F267/(G267*G267)*10000)&gt;=30,"obesity")</f>
        <v>Underweight</v>
      </c>
      <c r="BD267">
        <f>Table1[[#This Row],[Follicle No. (L)]]+Table1[[#This Row],[Follicle No. (R)]]</f>
        <v>11</v>
      </c>
      <c r="BE267">
        <f>Table1[[#This Row],[Avg. F size (L) (mm)]]+Table1[[#This Row],[Avg. F size (R) (mm)]]</f>
        <v>35</v>
      </c>
      <c r="BF267">
        <f>Table1[[#This Row],[BP _Diastolic (mmHg)]]+(Table1[[#This Row],[BP _Diastolic (mmHg)]]+Table1[[#This Row],[Follicle No. (L)]])/3</f>
        <v>108.66666666666667</v>
      </c>
      <c r="BG267" s="4" t="str" cm="1">
        <f t="array" ref="BG26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67" s="4">
        <f>SUM(Table1[[#This Row],[Pimples(Y/N)]],Table1[[#This Row],[hair growth(Y/N)]],Table1[[#This Row],[Skin darkening (Y/N)]],Table1[[#This Row],[Hair loss(Y/N)]])</f>
        <v>0</v>
      </c>
      <c r="BI267" s="4" t="str">
        <f>IF(AND(Table1[[#This Row],[Pregnant(Y/N)]]=0, Table1[[#This Row],[  I   beta-HCG(mIU/mL)]]&gt;5), "Investigation Required", "Clear")</f>
        <v>Clear</v>
      </c>
    </row>
    <row r="268" spans="1:61" ht="15.75" customHeight="1" x14ac:dyDescent="0.25">
      <c r="A268">
        <v>267</v>
      </c>
      <c r="B268">
        <v>267</v>
      </c>
      <c r="C268">
        <v>0</v>
      </c>
      <c r="D268" t="str">
        <f>IF(Table1[[#This Row],[PCOS (Y/N)]]=0,"NO","YES")</f>
        <v>NO</v>
      </c>
      <c r="E268">
        <v>25</v>
      </c>
      <c r="F268">
        <v>64.400000000000006</v>
      </c>
      <c r="G268">
        <v>157</v>
      </c>
      <c r="H268">
        <v>11</v>
      </c>
      <c r="I268">
        <v>72</v>
      </c>
      <c r="J268">
        <v>18</v>
      </c>
      <c r="K268">
        <v>11.5</v>
      </c>
      <c r="L268">
        <v>2</v>
      </c>
      <c r="M268">
        <v>5</v>
      </c>
      <c r="N268">
        <v>4</v>
      </c>
      <c r="O268">
        <v>0</v>
      </c>
      <c r="P268" t="str">
        <f>IF(Table1[[#This Row],[Pregnant(Y/N)]]=1,"YES","NO")</f>
        <v>NO</v>
      </c>
      <c r="Q268">
        <v>0</v>
      </c>
      <c r="R268">
        <v>92.92</v>
      </c>
      <c r="S268">
        <v>1.99</v>
      </c>
      <c r="T268">
        <v>6.93</v>
      </c>
      <c r="U268">
        <v>2.86</v>
      </c>
      <c r="V268">
        <f>Table1[[#This Row],[FSH(mIU/mL)]]/Table1[[#This Row],[LH(mIU/mL)]]</f>
        <v>2.4230769230769229</v>
      </c>
      <c r="W268" t="str">
        <f>IF(Table1[[#This Row],[FSH/LH]]&gt;=2,"Abnormal","Normal")</f>
        <v>Abnormal</v>
      </c>
      <c r="X268">
        <v>34</v>
      </c>
      <c r="Y268">
        <v>32</v>
      </c>
      <c r="Z268">
        <f>ROUND(Table1[[#This Row],[Waist(inch)]]/Table1[[#This Row],[Hip(inch)]],2)</f>
        <v>0.94</v>
      </c>
      <c r="AA268">
        <v>4</v>
      </c>
      <c r="AB268">
        <v>3.9</v>
      </c>
      <c r="AC268">
        <v>21.92</v>
      </c>
      <c r="AD268">
        <v>30.8</v>
      </c>
      <c r="AE268" t="str">
        <f>IF(Table1[[#This Row],[Vit D3 (ng/mL)]]&lt;20,"Deficiency","Normal")</f>
        <v>Normal</v>
      </c>
      <c r="AF268">
        <v>0.4</v>
      </c>
      <c r="AG268">
        <v>84</v>
      </c>
      <c r="AH268">
        <v>0</v>
      </c>
      <c r="AI268" t="str">
        <f>IF(Table1[[#This Row],[Weight gain(Y/N)]]=0,"NO","YES")</f>
        <v>NO</v>
      </c>
      <c r="AJ268">
        <v>0</v>
      </c>
      <c r="AK268" t="str">
        <f>IF(Table1[[#This Row],[hair growth(Y/N)]]=1,"YES","NO")</f>
        <v>NO</v>
      </c>
      <c r="AL268">
        <v>0</v>
      </c>
      <c r="AM268" t="str">
        <f>IF(Table1[[#This Row],[Skin darkening (Y/N)]]=1,"YES","NO")</f>
        <v>NO</v>
      </c>
      <c r="AN268">
        <v>1</v>
      </c>
      <c r="AO268" t="str">
        <f>IF(Table1[[#This Row],[Hair loss(Y/N)]]=1,"YES","NO")</f>
        <v>YES</v>
      </c>
      <c r="AP268">
        <v>1</v>
      </c>
      <c r="AQ268" t="str">
        <f>IF(Table1[[#This Row],[Pimples(Y/N)]]=1,"YES","NO")</f>
        <v>YES</v>
      </c>
      <c r="AR268">
        <v>0</v>
      </c>
      <c r="AS268" t="str">
        <f>IF(Table1[[#This Row],[Fast food (Y/N)]]=1,"YES","NO")</f>
        <v>NO</v>
      </c>
      <c r="AT268">
        <v>0</v>
      </c>
      <c r="AU268" t="str">
        <f>IF(Table1[[#This Row],[Reg.Exercise(Y/N)]]=1,"YES","NO")</f>
        <v>NO</v>
      </c>
      <c r="AV268">
        <v>110</v>
      </c>
      <c r="AW268">
        <v>80</v>
      </c>
      <c r="AX268">
        <v>3</v>
      </c>
      <c r="AY268">
        <v>2</v>
      </c>
      <c r="AZ268">
        <v>19</v>
      </c>
      <c r="BA268">
        <v>18</v>
      </c>
      <c r="BB268">
        <v>5.6</v>
      </c>
      <c r="BC268" t="str" cm="1">
        <f t="array" ref="BC268">_xlfn.IFS((F268/(G268*G268)*10000)&lt; 18.5,"Underweight",(F268/(G268*G268)*10000)&lt;24.9,"Normal",(F268/(G268*G268)*10000)&lt;29.9,"Overweight",(F268/(G268*G268)*10000)&gt;=30,"obesity")</f>
        <v>Overweight</v>
      </c>
      <c r="BD268">
        <f>Table1[[#This Row],[Follicle No. (L)]]+Table1[[#This Row],[Follicle No. (R)]]</f>
        <v>5</v>
      </c>
      <c r="BE268">
        <f>Table1[[#This Row],[Avg. F size (L) (mm)]]+Table1[[#This Row],[Avg. F size (R) (mm)]]</f>
        <v>37</v>
      </c>
      <c r="BF268">
        <f>Table1[[#This Row],[BP _Diastolic (mmHg)]]+(Table1[[#This Row],[BP _Diastolic (mmHg)]]+Table1[[#This Row],[Follicle No. (L)]])/3</f>
        <v>107.66666666666667</v>
      </c>
      <c r="BG268" s="4" t="str" cm="1">
        <f t="array" ref="BG26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68" s="4">
        <f>SUM(Table1[[#This Row],[Pimples(Y/N)]],Table1[[#This Row],[hair growth(Y/N)]],Table1[[#This Row],[Skin darkening (Y/N)]],Table1[[#This Row],[Hair loss(Y/N)]])</f>
        <v>2</v>
      </c>
      <c r="BI268" s="4" t="str">
        <f>IF(AND(Table1[[#This Row],[Pregnant(Y/N)]]=0, Table1[[#This Row],[  I   beta-HCG(mIU/mL)]]&gt;5), "Investigation Required", "Clear")</f>
        <v>Investigation Required</v>
      </c>
    </row>
    <row r="269" spans="1:61" ht="15.75" customHeight="1" x14ac:dyDescent="0.25">
      <c r="A269">
        <v>268</v>
      </c>
      <c r="B269">
        <v>268</v>
      </c>
      <c r="C269">
        <v>1</v>
      </c>
      <c r="D269" t="str">
        <f>IF(Table1[[#This Row],[PCOS (Y/N)]]=0,"NO","YES")</f>
        <v>YES</v>
      </c>
      <c r="E269">
        <v>28</v>
      </c>
      <c r="F269">
        <v>58.9</v>
      </c>
      <c r="G269">
        <v>159</v>
      </c>
      <c r="H269">
        <v>11</v>
      </c>
      <c r="I269">
        <v>72</v>
      </c>
      <c r="J269">
        <v>20</v>
      </c>
      <c r="K269">
        <v>12.4</v>
      </c>
      <c r="L269">
        <v>2</v>
      </c>
      <c r="M269">
        <v>6</v>
      </c>
      <c r="N269">
        <v>1</v>
      </c>
      <c r="O269">
        <v>0</v>
      </c>
      <c r="P269" t="str">
        <f>IF(Table1[[#This Row],[Pregnant(Y/N)]]=1,"YES","NO")</f>
        <v>NO</v>
      </c>
      <c r="Q269">
        <v>0</v>
      </c>
      <c r="R269">
        <v>117.14</v>
      </c>
      <c r="S269">
        <v>18.13</v>
      </c>
      <c r="T269">
        <v>7.35</v>
      </c>
      <c r="U269">
        <v>3.61</v>
      </c>
      <c r="V269">
        <f>Table1[[#This Row],[FSH(mIU/mL)]]/Table1[[#This Row],[LH(mIU/mL)]]</f>
        <v>2.0360110803324099</v>
      </c>
      <c r="W269" t="str">
        <f>IF(Table1[[#This Row],[FSH/LH]]&gt;=2,"Abnormal","Normal")</f>
        <v>Abnormal</v>
      </c>
      <c r="X269">
        <v>36</v>
      </c>
      <c r="Y269">
        <v>34</v>
      </c>
      <c r="Z269">
        <f>ROUND(Table1[[#This Row],[Waist(inch)]]/Table1[[#This Row],[Hip(inch)]],2)</f>
        <v>0.94</v>
      </c>
      <c r="AA269">
        <v>1.71</v>
      </c>
      <c r="AB269">
        <v>66</v>
      </c>
      <c r="AC269">
        <v>15.37</v>
      </c>
      <c r="AD269">
        <v>30.2</v>
      </c>
      <c r="AE269" t="str">
        <f>IF(Table1[[#This Row],[Vit D3 (ng/mL)]]&lt;20,"Deficiency","Normal")</f>
        <v>Normal</v>
      </c>
      <c r="AF269">
        <v>0.44</v>
      </c>
      <c r="AG269">
        <v>70</v>
      </c>
      <c r="AH269">
        <v>0</v>
      </c>
      <c r="AI269" t="str">
        <f>IF(Table1[[#This Row],[Weight gain(Y/N)]]=0,"NO","YES")</f>
        <v>NO</v>
      </c>
      <c r="AJ269">
        <v>1</v>
      </c>
      <c r="AK269" t="str">
        <f>IF(Table1[[#This Row],[hair growth(Y/N)]]=1,"YES","NO")</f>
        <v>YES</v>
      </c>
      <c r="AL269">
        <v>1</v>
      </c>
      <c r="AM269" t="str">
        <f>IF(Table1[[#This Row],[Skin darkening (Y/N)]]=1,"YES","NO")</f>
        <v>YES</v>
      </c>
      <c r="AN269">
        <v>1</v>
      </c>
      <c r="AO269" t="str">
        <f>IF(Table1[[#This Row],[Hair loss(Y/N)]]=1,"YES","NO")</f>
        <v>YES</v>
      </c>
      <c r="AP269">
        <v>0</v>
      </c>
      <c r="AQ269" t="str">
        <f>IF(Table1[[#This Row],[Pimples(Y/N)]]=1,"YES","NO")</f>
        <v>NO</v>
      </c>
      <c r="AR269">
        <v>1</v>
      </c>
      <c r="AS269" t="str">
        <f>IF(Table1[[#This Row],[Fast food (Y/N)]]=1,"YES","NO")</f>
        <v>YES</v>
      </c>
      <c r="AT269">
        <v>1</v>
      </c>
      <c r="AU269" t="str">
        <f>IF(Table1[[#This Row],[Reg.Exercise(Y/N)]]=1,"YES","NO")</f>
        <v>YES</v>
      </c>
      <c r="AV269">
        <v>120</v>
      </c>
      <c r="AW269">
        <v>80</v>
      </c>
      <c r="AX269">
        <v>7</v>
      </c>
      <c r="AY269">
        <v>10</v>
      </c>
      <c r="AZ269">
        <v>19</v>
      </c>
      <c r="BA269">
        <v>19</v>
      </c>
      <c r="BB269">
        <v>10</v>
      </c>
      <c r="BC269" t="str" cm="1">
        <f t="array" ref="BC269">_xlfn.IFS((F269/(G269*G269)*10000)&lt; 18.5,"Underweight",(F269/(G269*G269)*10000)&lt;24.9,"Normal",(F269/(G269*G269)*10000)&lt;29.9,"Overweight",(F269/(G269*G269)*10000)&gt;=30,"obesity")</f>
        <v>Normal</v>
      </c>
      <c r="BD269">
        <f>Table1[[#This Row],[Follicle No. (L)]]+Table1[[#This Row],[Follicle No. (R)]]</f>
        <v>17</v>
      </c>
      <c r="BE269">
        <f>Table1[[#This Row],[Avg. F size (L) (mm)]]+Table1[[#This Row],[Avg. F size (R) (mm)]]</f>
        <v>38</v>
      </c>
      <c r="BF269">
        <f>Table1[[#This Row],[BP _Diastolic (mmHg)]]+(Table1[[#This Row],[BP _Diastolic (mmHg)]]+Table1[[#This Row],[Follicle No. (L)]])/3</f>
        <v>109</v>
      </c>
      <c r="BG269" s="4" t="str" cm="1">
        <f t="array" ref="BG26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69" s="4">
        <f>SUM(Table1[[#This Row],[Pimples(Y/N)]],Table1[[#This Row],[hair growth(Y/N)]],Table1[[#This Row],[Skin darkening (Y/N)]],Table1[[#This Row],[Hair loss(Y/N)]])</f>
        <v>3</v>
      </c>
      <c r="BI269" s="4" t="str">
        <f>IF(AND(Table1[[#This Row],[Pregnant(Y/N)]]=0, Table1[[#This Row],[  I   beta-HCG(mIU/mL)]]&gt;5), "Investigation Required", "Clear")</f>
        <v>Investigation Required</v>
      </c>
    </row>
    <row r="270" spans="1:61" ht="15.75" customHeight="1" x14ac:dyDescent="0.25">
      <c r="A270">
        <v>269</v>
      </c>
      <c r="B270">
        <v>269</v>
      </c>
      <c r="C270">
        <v>0</v>
      </c>
      <c r="D270" t="str">
        <f>IF(Table1[[#This Row],[PCOS (Y/N)]]=0,"NO","YES")</f>
        <v>NO</v>
      </c>
      <c r="E270">
        <v>25</v>
      </c>
      <c r="F270">
        <v>53.5</v>
      </c>
      <c r="G270">
        <v>152</v>
      </c>
      <c r="H270">
        <v>11</v>
      </c>
      <c r="I270">
        <v>72</v>
      </c>
      <c r="J270">
        <v>18</v>
      </c>
      <c r="K270">
        <v>12.4</v>
      </c>
      <c r="L270">
        <v>4</v>
      </c>
      <c r="M270">
        <v>3</v>
      </c>
      <c r="N270">
        <v>3</v>
      </c>
      <c r="O270">
        <v>0</v>
      </c>
      <c r="P270" t="str">
        <f>IF(Table1[[#This Row],[Pregnant(Y/N)]]=1,"YES","NO")</f>
        <v>NO</v>
      </c>
      <c r="Q270">
        <v>0</v>
      </c>
      <c r="R270">
        <v>100.58</v>
      </c>
      <c r="S270">
        <v>1.99</v>
      </c>
      <c r="T270">
        <v>5.46</v>
      </c>
      <c r="U270">
        <v>0.91</v>
      </c>
      <c r="V270">
        <f>Table1[[#This Row],[FSH(mIU/mL)]]/Table1[[#This Row],[LH(mIU/mL)]]</f>
        <v>6</v>
      </c>
      <c r="W270" t="str">
        <f>IF(Table1[[#This Row],[FSH/LH]]&gt;=2,"Abnormal","Normal")</f>
        <v>Abnormal</v>
      </c>
      <c r="X270">
        <v>32</v>
      </c>
      <c r="Y270">
        <v>30</v>
      </c>
      <c r="Z270">
        <f>ROUND(Table1[[#This Row],[Waist(inch)]]/Table1[[#This Row],[Hip(inch)]],2)</f>
        <v>0.94</v>
      </c>
      <c r="AA270">
        <v>3.25</v>
      </c>
      <c r="AB270">
        <v>26.8</v>
      </c>
      <c r="AC270">
        <v>33.07</v>
      </c>
      <c r="AD270">
        <v>21.4</v>
      </c>
      <c r="AE270" t="str">
        <f>IF(Table1[[#This Row],[Vit D3 (ng/mL)]]&lt;20,"Deficiency","Normal")</f>
        <v>Normal</v>
      </c>
      <c r="AF270">
        <v>0.25</v>
      </c>
      <c r="AG270">
        <v>70</v>
      </c>
      <c r="AH270">
        <v>0</v>
      </c>
      <c r="AI270" t="str">
        <f>IF(Table1[[#This Row],[Weight gain(Y/N)]]=0,"NO","YES")</f>
        <v>NO</v>
      </c>
      <c r="AJ270">
        <v>0</v>
      </c>
      <c r="AK270" t="str">
        <f>IF(Table1[[#This Row],[hair growth(Y/N)]]=1,"YES","NO")</f>
        <v>NO</v>
      </c>
      <c r="AL270">
        <v>0</v>
      </c>
      <c r="AM270" t="str">
        <f>IF(Table1[[#This Row],[Skin darkening (Y/N)]]=1,"YES","NO")</f>
        <v>NO</v>
      </c>
      <c r="AN270">
        <v>1</v>
      </c>
      <c r="AO270" t="str">
        <f>IF(Table1[[#This Row],[Hair loss(Y/N)]]=1,"YES","NO")</f>
        <v>YES</v>
      </c>
      <c r="AP270">
        <v>0</v>
      </c>
      <c r="AQ270" t="str">
        <f>IF(Table1[[#This Row],[Pimples(Y/N)]]=1,"YES","NO")</f>
        <v>NO</v>
      </c>
      <c r="AR270">
        <v>0</v>
      </c>
      <c r="AS270" t="str">
        <f>IF(Table1[[#This Row],[Fast food (Y/N)]]=1,"YES","NO")</f>
        <v>NO</v>
      </c>
      <c r="AT270">
        <v>0</v>
      </c>
      <c r="AU270" t="str">
        <f>IF(Table1[[#This Row],[Reg.Exercise(Y/N)]]=1,"YES","NO")</f>
        <v>NO</v>
      </c>
      <c r="AV270">
        <v>110</v>
      </c>
      <c r="AW270">
        <v>80</v>
      </c>
      <c r="AX270">
        <v>6</v>
      </c>
      <c r="AY270">
        <v>5</v>
      </c>
      <c r="AZ270">
        <v>17</v>
      </c>
      <c r="BA270">
        <v>19</v>
      </c>
      <c r="BB270">
        <v>7</v>
      </c>
      <c r="BC270" t="str" cm="1">
        <f t="array" ref="BC270">_xlfn.IFS((F270/(G270*G270)*10000)&lt; 18.5,"Underweight",(F270/(G270*G270)*10000)&lt;24.9,"Normal",(F270/(G270*G270)*10000)&lt;29.9,"Overweight",(F270/(G270*G270)*10000)&gt;=30,"obesity")</f>
        <v>Normal</v>
      </c>
      <c r="BD270">
        <f>Table1[[#This Row],[Follicle No. (L)]]+Table1[[#This Row],[Follicle No. (R)]]</f>
        <v>11</v>
      </c>
      <c r="BE270">
        <f>Table1[[#This Row],[Avg. F size (L) (mm)]]+Table1[[#This Row],[Avg. F size (R) (mm)]]</f>
        <v>36</v>
      </c>
      <c r="BF270">
        <f>Table1[[#This Row],[BP _Diastolic (mmHg)]]+(Table1[[#This Row],[BP _Diastolic (mmHg)]]+Table1[[#This Row],[Follicle No. (L)]])/3</f>
        <v>108.66666666666667</v>
      </c>
      <c r="BG270" s="4" t="str" cm="1">
        <f t="array" ref="BG27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70" s="4">
        <f>SUM(Table1[[#This Row],[Pimples(Y/N)]],Table1[[#This Row],[hair growth(Y/N)]],Table1[[#This Row],[Skin darkening (Y/N)]],Table1[[#This Row],[Hair loss(Y/N)]])</f>
        <v>1</v>
      </c>
      <c r="BI270" s="4" t="str">
        <f>IF(AND(Table1[[#This Row],[Pregnant(Y/N)]]=0, Table1[[#This Row],[  I   beta-HCG(mIU/mL)]]&gt;5), "Investigation Required", "Clear")</f>
        <v>Investigation Required</v>
      </c>
    </row>
    <row r="271" spans="1:61" ht="15.75" customHeight="1" x14ac:dyDescent="0.25">
      <c r="A271">
        <v>270</v>
      </c>
      <c r="B271">
        <v>270</v>
      </c>
      <c r="C271">
        <v>1</v>
      </c>
      <c r="D271" t="str">
        <f>IF(Table1[[#This Row],[PCOS (Y/N)]]=0,"NO","YES")</f>
        <v>YES</v>
      </c>
      <c r="E271">
        <v>26</v>
      </c>
      <c r="F271">
        <v>59</v>
      </c>
      <c r="G271">
        <v>154</v>
      </c>
      <c r="H271">
        <v>17</v>
      </c>
      <c r="I271">
        <v>70</v>
      </c>
      <c r="J271">
        <v>18</v>
      </c>
      <c r="K271">
        <v>10.5</v>
      </c>
      <c r="L271">
        <v>2</v>
      </c>
      <c r="M271">
        <v>4</v>
      </c>
      <c r="N271">
        <v>3</v>
      </c>
      <c r="O271">
        <v>0</v>
      </c>
      <c r="P271" t="str">
        <f>IF(Table1[[#This Row],[Pregnant(Y/N)]]=1,"YES","NO")</f>
        <v>NO</v>
      </c>
      <c r="Q271">
        <v>0</v>
      </c>
      <c r="R271">
        <v>1.99</v>
      </c>
      <c r="S271">
        <v>1.99</v>
      </c>
      <c r="T271">
        <v>1</v>
      </c>
      <c r="U271">
        <v>0.1</v>
      </c>
      <c r="V271">
        <f>Table1[[#This Row],[FSH(mIU/mL)]]/Table1[[#This Row],[LH(mIU/mL)]]</f>
        <v>10</v>
      </c>
      <c r="W271" t="str">
        <f>IF(Table1[[#This Row],[FSH/LH]]&gt;=2,"Abnormal","Normal")</f>
        <v>Abnormal</v>
      </c>
      <c r="X271">
        <v>35</v>
      </c>
      <c r="Y271">
        <v>33</v>
      </c>
      <c r="Z271">
        <f>ROUND(Table1[[#This Row],[Waist(inch)]]/Table1[[#This Row],[Hip(inch)]],2)</f>
        <v>0.94</v>
      </c>
      <c r="AA271">
        <v>0.59</v>
      </c>
      <c r="AB271">
        <v>1.1499999999999999</v>
      </c>
      <c r="AC271">
        <v>35.06</v>
      </c>
      <c r="AD271">
        <v>20.7</v>
      </c>
      <c r="AE271" t="str">
        <f>IF(Table1[[#This Row],[Vit D3 (ng/mL)]]&lt;20,"Deficiency","Normal")</f>
        <v>Normal</v>
      </c>
      <c r="AF271">
        <v>0.25</v>
      </c>
      <c r="AG271">
        <v>100</v>
      </c>
      <c r="AH271">
        <v>1</v>
      </c>
      <c r="AI271" t="str">
        <f>IF(Table1[[#This Row],[Weight gain(Y/N)]]=0,"NO","YES")</f>
        <v>YES</v>
      </c>
      <c r="AJ271">
        <v>1</v>
      </c>
      <c r="AK271" t="str">
        <f>IF(Table1[[#This Row],[hair growth(Y/N)]]=1,"YES","NO")</f>
        <v>YES</v>
      </c>
      <c r="AL271">
        <v>1</v>
      </c>
      <c r="AM271" t="str">
        <f>IF(Table1[[#This Row],[Skin darkening (Y/N)]]=1,"YES","NO")</f>
        <v>YES</v>
      </c>
      <c r="AN271">
        <v>1</v>
      </c>
      <c r="AO271" t="str">
        <f>IF(Table1[[#This Row],[Hair loss(Y/N)]]=1,"YES","NO")</f>
        <v>YES</v>
      </c>
      <c r="AP271">
        <v>1</v>
      </c>
      <c r="AQ271" t="str">
        <f>IF(Table1[[#This Row],[Pimples(Y/N)]]=1,"YES","NO")</f>
        <v>YES</v>
      </c>
      <c r="AR271">
        <v>1</v>
      </c>
      <c r="AS271" t="str">
        <f>IF(Table1[[#This Row],[Fast food (Y/N)]]=1,"YES","NO")</f>
        <v>YES</v>
      </c>
      <c r="AT271">
        <v>0</v>
      </c>
      <c r="AU271" t="str">
        <f>IF(Table1[[#This Row],[Reg.Exercise(Y/N)]]=1,"YES","NO")</f>
        <v>NO</v>
      </c>
      <c r="AV271">
        <v>110</v>
      </c>
      <c r="AW271">
        <v>80</v>
      </c>
      <c r="AX271">
        <v>9</v>
      </c>
      <c r="AY271">
        <v>4</v>
      </c>
      <c r="AZ271">
        <v>20</v>
      </c>
      <c r="BA271">
        <v>16</v>
      </c>
      <c r="BB271">
        <v>13</v>
      </c>
      <c r="BC271" t="str" cm="1">
        <f t="array" ref="BC271">_xlfn.IFS((F271/(G271*G271)*10000)&lt; 18.5,"Underweight",(F271/(G271*G271)*10000)&lt;24.9,"Normal",(F271/(G271*G271)*10000)&lt;29.9,"Overweight",(F271/(G271*G271)*10000)&gt;=30,"obesity")</f>
        <v>Normal</v>
      </c>
      <c r="BD271">
        <f>Table1[[#This Row],[Follicle No. (L)]]+Table1[[#This Row],[Follicle No. (R)]]</f>
        <v>13</v>
      </c>
      <c r="BE271">
        <f>Table1[[#This Row],[Avg. F size (L) (mm)]]+Table1[[#This Row],[Avg. F size (R) (mm)]]</f>
        <v>36</v>
      </c>
      <c r="BF271">
        <f>Table1[[#This Row],[BP _Diastolic (mmHg)]]+(Table1[[#This Row],[BP _Diastolic (mmHg)]]+Table1[[#This Row],[Follicle No. (L)]])/3</f>
        <v>109.66666666666667</v>
      </c>
      <c r="BG271" s="4" t="str" cm="1">
        <f t="array" ref="BG27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71" s="4">
        <f>SUM(Table1[[#This Row],[Pimples(Y/N)]],Table1[[#This Row],[hair growth(Y/N)]],Table1[[#This Row],[Skin darkening (Y/N)]],Table1[[#This Row],[Hair loss(Y/N)]])</f>
        <v>4</v>
      </c>
      <c r="BI271" s="4" t="str">
        <f>IF(AND(Table1[[#This Row],[Pregnant(Y/N)]]=0, Table1[[#This Row],[  I   beta-HCG(mIU/mL)]]&gt;5), "Investigation Required", "Clear")</f>
        <v>Clear</v>
      </c>
    </row>
    <row r="272" spans="1:61" ht="15.75" customHeight="1" x14ac:dyDescent="0.25">
      <c r="A272">
        <v>271</v>
      </c>
      <c r="B272">
        <v>271</v>
      </c>
      <c r="C272">
        <v>0</v>
      </c>
      <c r="D272" t="str">
        <f>IF(Table1[[#This Row],[PCOS (Y/N)]]=0,"NO","YES")</f>
        <v>NO</v>
      </c>
      <c r="E272">
        <v>30</v>
      </c>
      <c r="F272">
        <v>55.1</v>
      </c>
      <c r="G272">
        <v>167.64</v>
      </c>
      <c r="H272">
        <v>11</v>
      </c>
      <c r="I272">
        <v>72</v>
      </c>
      <c r="J272">
        <v>18</v>
      </c>
      <c r="K272">
        <v>12</v>
      </c>
      <c r="L272">
        <v>2</v>
      </c>
      <c r="M272">
        <v>5</v>
      </c>
      <c r="N272">
        <v>8.5</v>
      </c>
      <c r="O272">
        <v>0</v>
      </c>
      <c r="P272" t="str">
        <f>IF(Table1[[#This Row],[Pregnant(Y/N)]]=1,"YES","NO")</f>
        <v>NO</v>
      </c>
      <c r="Q272">
        <v>0</v>
      </c>
      <c r="R272">
        <v>127.04</v>
      </c>
      <c r="S272">
        <v>1.99</v>
      </c>
      <c r="T272">
        <v>7.86</v>
      </c>
      <c r="U272">
        <v>2.23</v>
      </c>
      <c r="V272">
        <f>Table1[[#This Row],[FSH(mIU/mL)]]/Table1[[#This Row],[LH(mIU/mL)]]</f>
        <v>3.5246636771300448</v>
      </c>
      <c r="W272" t="str">
        <f>IF(Table1[[#This Row],[FSH/LH]]&gt;=2,"Abnormal","Normal")</f>
        <v>Abnormal</v>
      </c>
      <c r="X272">
        <v>34</v>
      </c>
      <c r="Y272">
        <v>32</v>
      </c>
      <c r="Z272">
        <f>ROUND(Table1[[#This Row],[Waist(inch)]]/Table1[[#This Row],[Hip(inch)]],2)</f>
        <v>0.94</v>
      </c>
      <c r="AA272">
        <v>1.54</v>
      </c>
      <c r="AB272">
        <v>4.0999999999999996</v>
      </c>
      <c r="AC272">
        <v>24.01</v>
      </c>
      <c r="AD272">
        <v>22.1</v>
      </c>
      <c r="AE272" t="str">
        <f>IF(Table1[[#This Row],[Vit D3 (ng/mL)]]&lt;20,"Deficiency","Normal")</f>
        <v>Normal</v>
      </c>
      <c r="AF272">
        <v>0.25</v>
      </c>
      <c r="AG272">
        <v>83</v>
      </c>
      <c r="AH272">
        <v>1</v>
      </c>
      <c r="AI272" t="str">
        <f>IF(Table1[[#This Row],[Weight gain(Y/N)]]=0,"NO","YES")</f>
        <v>YES</v>
      </c>
      <c r="AJ272">
        <v>1</v>
      </c>
      <c r="AK272" t="str">
        <f>IF(Table1[[#This Row],[hair growth(Y/N)]]=1,"YES","NO")</f>
        <v>YES</v>
      </c>
      <c r="AL272">
        <v>1</v>
      </c>
      <c r="AM272" t="str">
        <f>IF(Table1[[#This Row],[Skin darkening (Y/N)]]=1,"YES","NO")</f>
        <v>YES</v>
      </c>
      <c r="AN272">
        <v>1</v>
      </c>
      <c r="AO272" t="str">
        <f>IF(Table1[[#This Row],[Hair loss(Y/N)]]=1,"YES","NO")</f>
        <v>YES</v>
      </c>
      <c r="AP272">
        <v>1</v>
      </c>
      <c r="AQ272" t="str">
        <f>IF(Table1[[#This Row],[Pimples(Y/N)]]=1,"YES","NO")</f>
        <v>YES</v>
      </c>
      <c r="AR272">
        <v>1</v>
      </c>
      <c r="AS272" t="str">
        <f>IF(Table1[[#This Row],[Fast food (Y/N)]]=1,"YES","NO")</f>
        <v>YES</v>
      </c>
      <c r="AT272">
        <v>0</v>
      </c>
      <c r="AU272" t="str">
        <f>IF(Table1[[#This Row],[Reg.Exercise(Y/N)]]=1,"YES","NO")</f>
        <v>NO</v>
      </c>
      <c r="AV272">
        <v>110</v>
      </c>
      <c r="AW272">
        <v>80</v>
      </c>
      <c r="AX272">
        <v>7</v>
      </c>
      <c r="AY272">
        <v>6</v>
      </c>
      <c r="AZ272">
        <v>19</v>
      </c>
      <c r="BA272">
        <v>18</v>
      </c>
      <c r="BB272">
        <v>8</v>
      </c>
      <c r="BC272" t="str" cm="1">
        <f t="array" ref="BC272">_xlfn.IFS((F272/(G272*G272)*10000)&lt; 18.5,"Underweight",(F272/(G272*G272)*10000)&lt;24.9,"Normal",(F272/(G272*G272)*10000)&lt;29.9,"Overweight",(F272/(G272*G272)*10000)&gt;=30,"obesity")</f>
        <v>Normal</v>
      </c>
      <c r="BD272">
        <f>Table1[[#This Row],[Follicle No. (L)]]+Table1[[#This Row],[Follicle No. (R)]]</f>
        <v>13</v>
      </c>
      <c r="BE272">
        <f>Table1[[#This Row],[Avg. F size (L) (mm)]]+Table1[[#This Row],[Avg. F size (R) (mm)]]</f>
        <v>37</v>
      </c>
      <c r="BF272">
        <f>Table1[[#This Row],[BP _Diastolic (mmHg)]]+(Table1[[#This Row],[BP _Diastolic (mmHg)]]+Table1[[#This Row],[Follicle No. (L)]])/3</f>
        <v>109</v>
      </c>
      <c r="BG272" s="4" t="str" cm="1">
        <f t="array" ref="BG27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72" s="4">
        <f>SUM(Table1[[#This Row],[Pimples(Y/N)]],Table1[[#This Row],[hair growth(Y/N)]],Table1[[#This Row],[Skin darkening (Y/N)]],Table1[[#This Row],[Hair loss(Y/N)]])</f>
        <v>4</v>
      </c>
      <c r="BI272" s="4" t="str">
        <f>IF(AND(Table1[[#This Row],[Pregnant(Y/N)]]=0, Table1[[#This Row],[  I   beta-HCG(mIU/mL)]]&gt;5), "Investigation Required", "Clear")</f>
        <v>Investigation Required</v>
      </c>
    </row>
    <row r="273" spans="1:61" ht="15.75" customHeight="1" x14ac:dyDescent="0.25">
      <c r="A273">
        <v>272</v>
      </c>
      <c r="B273">
        <v>272</v>
      </c>
      <c r="C273">
        <v>0</v>
      </c>
      <c r="D273" t="str">
        <f>IF(Table1[[#This Row],[PCOS (Y/N)]]=0,"NO","YES")</f>
        <v>NO</v>
      </c>
      <c r="E273">
        <v>26</v>
      </c>
      <c r="F273">
        <v>55.7</v>
      </c>
      <c r="G273">
        <v>162</v>
      </c>
      <c r="H273">
        <v>17</v>
      </c>
      <c r="I273">
        <v>72</v>
      </c>
      <c r="J273">
        <v>18</v>
      </c>
      <c r="K273">
        <v>11</v>
      </c>
      <c r="L273">
        <v>2</v>
      </c>
      <c r="M273">
        <v>6</v>
      </c>
      <c r="N273">
        <v>1</v>
      </c>
      <c r="O273">
        <v>0</v>
      </c>
      <c r="P273" t="str">
        <f>IF(Table1[[#This Row],[Pregnant(Y/N)]]=1,"YES","NO")</f>
        <v>NO</v>
      </c>
      <c r="Q273">
        <v>0</v>
      </c>
      <c r="R273">
        <v>164.91</v>
      </c>
      <c r="S273">
        <v>1.99</v>
      </c>
      <c r="T273">
        <v>6.12</v>
      </c>
      <c r="U273">
        <v>3.25</v>
      </c>
      <c r="V273">
        <f>Table1[[#This Row],[FSH(mIU/mL)]]/Table1[[#This Row],[LH(mIU/mL)]]</f>
        <v>1.8830769230769231</v>
      </c>
      <c r="W273" t="str">
        <f>IF(Table1[[#This Row],[FSH/LH]]&gt;=2,"Abnormal","Normal")</f>
        <v>Normal</v>
      </c>
      <c r="X273">
        <v>36</v>
      </c>
      <c r="Y273">
        <v>33</v>
      </c>
      <c r="Z273">
        <f>ROUND(Table1[[#This Row],[Waist(inch)]]/Table1[[#This Row],[Hip(inch)]],2)</f>
        <v>0.92</v>
      </c>
      <c r="AA273">
        <v>4.75</v>
      </c>
      <c r="AB273">
        <v>3.2</v>
      </c>
      <c r="AC273">
        <v>15.63</v>
      </c>
      <c r="AD273">
        <v>31.6</v>
      </c>
      <c r="AE273" t="str">
        <f>IF(Table1[[#This Row],[Vit D3 (ng/mL)]]&lt;20,"Deficiency","Normal")</f>
        <v>Normal</v>
      </c>
      <c r="AF273">
        <v>0.25</v>
      </c>
      <c r="AG273">
        <v>84</v>
      </c>
      <c r="AH273">
        <v>0</v>
      </c>
      <c r="AI273" t="str">
        <f>IF(Table1[[#This Row],[Weight gain(Y/N)]]=0,"NO","YES")</f>
        <v>NO</v>
      </c>
      <c r="AJ273">
        <v>0</v>
      </c>
      <c r="AK273" t="str">
        <f>IF(Table1[[#This Row],[hair growth(Y/N)]]=1,"YES","NO")</f>
        <v>NO</v>
      </c>
      <c r="AL273">
        <v>0</v>
      </c>
      <c r="AM273" t="str">
        <f>IF(Table1[[#This Row],[Skin darkening (Y/N)]]=1,"YES","NO")</f>
        <v>NO</v>
      </c>
      <c r="AN273">
        <v>0</v>
      </c>
      <c r="AO273" t="str">
        <f>IF(Table1[[#This Row],[Hair loss(Y/N)]]=1,"YES","NO")</f>
        <v>NO</v>
      </c>
      <c r="AP273">
        <v>1</v>
      </c>
      <c r="AQ273" t="str">
        <f>IF(Table1[[#This Row],[Pimples(Y/N)]]=1,"YES","NO")</f>
        <v>YES</v>
      </c>
      <c r="AR273">
        <v>0</v>
      </c>
      <c r="AS273" t="str">
        <f>IF(Table1[[#This Row],[Fast food (Y/N)]]=1,"YES","NO")</f>
        <v>NO</v>
      </c>
      <c r="AT273">
        <v>1</v>
      </c>
      <c r="AU273" t="str">
        <f>IF(Table1[[#This Row],[Reg.Exercise(Y/N)]]=1,"YES","NO")</f>
        <v>YES</v>
      </c>
      <c r="AV273">
        <v>110</v>
      </c>
      <c r="AW273">
        <v>70</v>
      </c>
      <c r="AX273">
        <v>2</v>
      </c>
      <c r="AY273">
        <v>3</v>
      </c>
      <c r="AZ273">
        <v>18</v>
      </c>
      <c r="BA273">
        <v>18</v>
      </c>
      <c r="BB273">
        <v>8.6999999999999993</v>
      </c>
      <c r="BC273" t="str" cm="1">
        <f t="array" ref="BC273">_xlfn.IFS((F273/(G273*G273)*10000)&lt; 18.5,"Underweight",(F273/(G273*G273)*10000)&lt;24.9,"Normal",(F273/(G273*G273)*10000)&lt;29.9,"Overweight",(F273/(G273*G273)*10000)&gt;=30,"obesity")</f>
        <v>Normal</v>
      </c>
      <c r="BD273">
        <f>Table1[[#This Row],[Follicle No. (L)]]+Table1[[#This Row],[Follicle No. (R)]]</f>
        <v>5</v>
      </c>
      <c r="BE273">
        <f>Table1[[#This Row],[Avg. F size (L) (mm)]]+Table1[[#This Row],[Avg. F size (R) (mm)]]</f>
        <v>36</v>
      </c>
      <c r="BF273">
        <f>Table1[[#This Row],[BP _Diastolic (mmHg)]]+(Table1[[#This Row],[BP _Diastolic (mmHg)]]+Table1[[#This Row],[Follicle No. (L)]])/3</f>
        <v>94</v>
      </c>
      <c r="BG273" s="4" t="str" cm="1">
        <f t="array" ref="BG27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73" s="4">
        <f>SUM(Table1[[#This Row],[Pimples(Y/N)]],Table1[[#This Row],[hair growth(Y/N)]],Table1[[#This Row],[Skin darkening (Y/N)]],Table1[[#This Row],[Hair loss(Y/N)]])</f>
        <v>1</v>
      </c>
      <c r="BI273" s="4" t="str">
        <f>IF(AND(Table1[[#This Row],[Pregnant(Y/N)]]=0, Table1[[#This Row],[  I   beta-HCG(mIU/mL)]]&gt;5), "Investigation Required", "Clear")</f>
        <v>Investigation Required</v>
      </c>
    </row>
    <row r="274" spans="1:61" ht="15.75" customHeight="1" x14ac:dyDescent="0.25">
      <c r="A274">
        <v>273</v>
      </c>
      <c r="B274">
        <v>273</v>
      </c>
      <c r="C274">
        <v>0</v>
      </c>
      <c r="D274" t="str">
        <f>IF(Table1[[#This Row],[PCOS (Y/N)]]=0,"NO","YES")</f>
        <v>NO</v>
      </c>
      <c r="E274">
        <v>43</v>
      </c>
      <c r="F274">
        <v>40</v>
      </c>
      <c r="G274">
        <v>152</v>
      </c>
      <c r="H274">
        <v>15</v>
      </c>
      <c r="I274">
        <v>72</v>
      </c>
      <c r="J274">
        <v>18</v>
      </c>
      <c r="K274">
        <v>11.5</v>
      </c>
      <c r="L274">
        <v>2</v>
      </c>
      <c r="M274">
        <v>6</v>
      </c>
      <c r="N274">
        <v>25</v>
      </c>
      <c r="O274">
        <v>0</v>
      </c>
      <c r="P274" t="str">
        <f>IF(Table1[[#This Row],[Pregnant(Y/N)]]=1,"YES","NO")</f>
        <v>NO</v>
      </c>
      <c r="Q274">
        <v>0</v>
      </c>
      <c r="R274">
        <v>1.99</v>
      </c>
      <c r="S274">
        <v>1.99</v>
      </c>
      <c r="T274">
        <v>14.99</v>
      </c>
      <c r="U274">
        <v>7.09</v>
      </c>
      <c r="V274">
        <f>Table1[[#This Row],[FSH(mIU/mL)]]/Table1[[#This Row],[LH(mIU/mL)]]</f>
        <v>2.1142454160789845</v>
      </c>
      <c r="W274" t="str">
        <f>IF(Table1[[#This Row],[FSH/LH]]&gt;=2,"Abnormal","Normal")</f>
        <v>Abnormal</v>
      </c>
      <c r="X274">
        <v>30</v>
      </c>
      <c r="Y274">
        <v>28</v>
      </c>
      <c r="Z274">
        <f>ROUND(Table1[[#This Row],[Waist(inch)]]/Table1[[#This Row],[Hip(inch)]],2)</f>
        <v>0.93</v>
      </c>
      <c r="AA274">
        <v>6.09</v>
      </c>
      <c r="AB274">
        <v>0.16</v>
      </c>
      <c r="AC274">
        <v>24.78</v>
      </c>
      <c r="AD274">
        <v>24.5</v>
      </c>
      <c r="AE274" t="str">
        <f>IF(Table1[[#This Row],[Vit D3 (ng/mL)]]&lt;20,"Deficiency","Normal")</f>
        <v>Normal</v>
      </c>
      <c r="AF274">
        <v>0.3</v>
      </c>
      <c r="AG274">
        <v>100</v>
      </c>
      <c r="AH274">
        <v>0</v>
      </c>
      <c r="AI274" t="str">
        <f>IF(Table1[[#This Row],[Weight gain(Y/N)]]=0,"NO","YES")</f>
        <v>NO</v>
      </c>
      <c r="AJ274">
        <v>0</v>
      </c>
      <c r="AK274" t="str">
        <f>IF(Table1[[#This Row],[hair growth(Y/N)]]=1,"YES","NO")</f>
        <v>NO</v>
      </c>
      <c r="AL274">
        <v>0</v>
      </c>
      <c r="AM274" t="str">
        <f>IF(Table1[[#This Row],[Skin darkening (Y/N)]]=1,"YES","NO")</f>
        <v>NO</v>
      </c>
      <c r="AN274">
        <v>0</v>
      </c>
      <c r="AO274" t="str">
        <f>IF(Table1[[#This Row],[Hair loss(Y/N)]]=1,"YES","NO")</f>
        <v>NO</v>
      </c>
      <c r="AP274">
        <v>1</v>
      </c>
      <c r="AQ274" t="str">
        <f>IF(Table1[[#This Row],[Pimples(Y/N)]]=1,"YES","NO")</f>
        <v>YES</v>
      </c>
      <c r="AR274">
        <v>0</v>
      </c>
      <c r="AS274" t="str">
        <f>IF(Table1[[#This Row],[Fast food (Y/N)]]=1,"YES","NO")</f>
        <v>NO</v>
      </c>
      <c r="AT274">
        <v>1</v>
      </c>
      <c r="AU274" t="str">
        <f>IF(Table1[[#This Row],[Reg.Exercise(Y/N)]]=1,"YES","NO")</f>
        <v>YES</v>
      </c>
      <c r="AV274">
        <v>120</v>
      </c>
      <c r="AW274">
        <v>70</v>
      </c>
      <c r="AX274">
        <v>4</v>
      </c>
      <c r="AY274">
        <v>4</v>
      </c>
      <c r="AZ274">
        <v>17</v>
      </c>
      <c r="BA274">
        <v>18</v>
      </c>
      <c r="BB274">
        <v>8.3000000000000007</v>
      </c>
      <c r="BC274" t="str" cm="1">
        <f t="array" ref="BC274">_xlfn.IFS((F274/(G274*G274)*10000)&lt; 18.5,"Underweight",(F274/(G274*G274)*10000)&lt;24.9,"Normal",(F274/(G274*G274)*10000)&lt;29.9,"Overweight",(F274/(G274*G274)*10000)&gt;=30,"obesity")</f>
        <v>Underweight</v>
      </c>
      <c r="BD274">
        <f>Table1[[#This Row],[Follicle No. (L)]]+Table1[[#This Row],[Follicle No. (R)]]</f>
        <v>8</v>
      </c>
      <c r="BE274">
        <f>Table1[[#This Row],[Avg. F size (L) (mm)]]+Table1[[#This Row],[Avg. F size (R) (mm)]]</f>
        <v>35</v>
      </c>
      <c r="BF274">
        <f>Table1[[#This Row],[BP _Diastolic (mmHg)]]+(Table1[[#This Row],[BP _Diastolic (mmHg)]]+Table1[[#This Row],[Follicle No. (L)]])/3</f>
        <v>94.666666666666671</v>
      </c>
      <c r="BG274" s="4" t="str" cm="1">
        <f t="array" ref="BG27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74" s="4">
        <f>SUM(Table1[[#This Row],[Pimples(Y/N)]],Table1[[#This Row],[hair growth(Y/N)]],Table1[[#This Row],[Skin darkening (Y/N)]],Table1[[#This Row],[Hair loss(Y/N)]])</f>
        <v>1</v>
      </c>
      <c r="BI274" s="4" t="str">
        <f>IF(AND(Table1[[#This Row],[Pregnant(Y/N)]]=0, Table1[[#This Row],[  I   beta-HCG(mIU/mL)]]&gt;5), "Investigation Required", "Clear")</f>
        <v>Clear</v>
      </c>
    </row>
    <row r="275" spans="1:61" ht="15.75" customHeight="1" x14ac:dyDescent="0.25">
      <c r="A275">
        <v>274</v>
      </c>
      <c r="B275">
        <v>274</v>
      </c>
      <c r="C275">
        <v>0</v>
      </c>
      <c r="D275" t="str">
        <f>IF(Table1[[#This Row],[PCOS (Y/N)]]=0,"NO","YES")</f>
        <v>NO</v>
      </c>
      <c r="E275">
        <v>30</v>
      </c>
      <c r="F275">
        <v>52</v>
      </c>
      <c r="G275">
        <v>152</v>
      </c>
      <c r="H275">
        <v>13</v>
      </c>
      <c r="I275">
        <v>78</v>
      </c>
      <c r="J275">
        <v>20</v>
      </c>
      <c r="K275">
        <v>11.1</v>
      </c>
      <c r="L275">
        <v>2</v>
      </c>
      <c r="M275">
        <v>4</v>
      </c>
      <c r="N275">
        <v>6</v>
      </c>
      <c r="O275">
        <v>1</v>
      </c>
      <c r="P275" t="str">
        <f>IF(Table1[[#This Row],[Pregnant(Y/N)]]=1,"YES","NO")</f>
        <v>YES</v>
      </c>
      <c r="Q275">
        <v>0</v>
      </c>
      <c r="R275">
        <v>785.44</v>
      </c>
      <c r="S275">
        <v>1.99</v>
      </c>
      <c r="T275">
        <v>6.3</v>
      </c>
      <c r="U275">
        <v>6.26</v>
      </c>
      <c r="V275">
        <f>Table1[[#This Row],[FSH(mIU/mL)]]/Table1[[#This Row],[LH(mIU/mL)]]</f>
        <v>1.0063897763578276</v>
      </c>
      <c r="W275" t="str">
        <f>IF(Table1[[#This Row],[FSH/LH]]&gt;=2,"Abnormal","Normal")</f>
        <v>Normal</v>
      </c>
      <c r="X275">
        <v>32</v>
      </c>
      <c r="Y275">
        <v>30</v>
      </c>
      <c r="Z275">
        <f>ROUND(Table1[[#This Row],[Waist(inch)]]/Table1[[#This Row],[Hip(inch)]],2)</f>
        <v>0.94</v>
      </c>
      <c r="AA275">
        <v>2.58</v>
      </c>
      <c r="AB275">
        <v>8.1</v>
      </c>
      <c r="AC275">
        <v>38.24</v>
      </c>
      <c r="AD275">
        <v>26.3</v>
      </c>
      <c r="AE275" t="str">
        <f>IF(Table1[[#This Row],[Vit D3 (ng/mL)]]&lt;20,"Deficiency","Normal")</f>
        <v>Normal</v>
      </c>
      <c r="AF275">
        <v>0.25</v>
      </c>
      <c r="AG275">
        <v>112</v>
      </c>
      <c r="AH275">
        <v>0</v>
      </c>
      <c r="AI275" t="str">
        <f>IF(Table1[[#This Row],[Weight gain(Y/N)]]=0,"NO","YES")</f>
        <v>NO</v>
      </c>
      <c r="AJ275">
        <v>0</v>
      </c>
      <c r="AK275" t="str">
        <f>IF(Table1[[#This Row],[hair growth(Y/N)]]=1,"YES","NO")</f>
        <v>NO</v>
      </c>
      <c r="AL275">
        <v>0</v>
      </c>
      <c r="AM275" t="str">
        <f>IF(Table1[[#This Row],[Skin darkening (Y/N)]]=1,"YES","NO")</f>
        <v>NO</v>
      </c>
      <c r="AN275">
        <v>1</v>
      </c>
      <c r="AO275" t="str">
        <f>IF(Table1[[#This Row],[Hair loss(Y/N)]]=1,"YES","NO")</f>
        <v>YES</v>
      </c>
      <c r="AP275">
        <v>1</v>
      </c>
      <c r="AQ275" t="str">
        <f>IF(Table1[[#This Row],[Pimples(Y/N)]]=1,"YES","NO")</f>
        <v>YES</v>
      </c>
      <c r="AR275">
        <v>0</v>
      </c>
      <c r="AS275" t="str">
        <f>IF(Table1[[#This Row],[Fast food (Y/N)]]=1,"YES","NO")</f>
        <v>NO</v>
      </c>
      <c r="AT275">
        <v>1</v>
      </c>
      <c r="AU275" t="str">
        <f>IF(Table1[[#This Row],[Reg.Exercise(Y/N)]]=1,"YES","NO")</f>
        <v>YES</v>
      </c>
      <c r="AV275">
        <v>120</v>
      </c>
      <c r="AW275">
        <v>80</v>
      </c>
      <c r="AX275">
        <v>8</v>
      </c>
      <c r="AY275">
        <v>7</v>
      </c>
      <c r="AZ275">
        <v>18</v>
      </c>
      <c r="BA275">
        <v>16</v>
      </c>
      <c r="BB275">
        <v>7</v>
      </c>
      <c r="BC275" t="str" cm="1">
        <f t="array" ref="BC275">_xlfn.IFS((F275/(G275*G275)*10000)&lt; 18.5,"Underweight",(F275/(G275*G275)*10000)&lt;24.9,"Normal",(F275/(G275*G275)*10000)&lt;29.9,"Overweight",(F275/(G275*G275)*10000)&gt;=30,"obesity")</f>
        <v>Normal</v>
      </c>
      <c r="BD275">
        <f>Table1[[#This Row],[Follicle No. (L)]]+Table1[[#This Row],[Follicle No. (R)]]</f>
        <v>15</v>
      </c>
      <c r="BE275">
        <f>Table1[[#This Row],[Avg. F size (L) (mm)]]+Table1[[#This Row],[Avg. F size (R) (mm)]]</f>
        <v>34</v>
      </c>
      <c r="BF275">
        <f>Table1[[#This Row],[BP _Diastolic (mmHg)]]+(Table1[[#This Row],[BP _Diastolic (mmHg)]]+Table1[[#This Row],[Follicle No. (L)]])/3</f>
        <v>109.33333333333333</v>
      </c>
      <c r="BG275" s="4" t="str" cm="1">
        <f t="array" ref="BG27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75" s="4">
        <f>SUM(Table1[[#This Row],[Pimples(Y/N)]],Table1[[#This Row],[hair growth(Y/N)]],Table1[[#This Row],[Skin darkening (Y/N)]],Table1[[#This Row],[Hair loss(Y/N)]])</f>
        <v>2</v>
      </c>
      <c r="BI275" s="4" t="str">
        <f>IF(AND(Table1[[#This Row],[Pregnant(Y/N)]]=0, Table1[[#This Row],[  I   beta-HCG(mIU/mL)]]&gt;5), "Investigation Required", "Clear")</f>
        <v>Clear</v>
      </c>
    </row>
    <row r="276" spans="1:61" ht="15.75" customHeight="1" x14ac:dyDescent="0.25">
      <c r="A276">
        <v>275</v>
      </c>
      <c r="B276">
        <v>275</v>
      </c>
      <c r="C276">
        <v>0</v>
      </c>
      <c r="D276" t="str">
        <f>IF(Table1[[#This Row],[PCOS (Y/N)]]=0,"NO","YES")</f>
        <v>NO</v>
      </c>
      <c r="E276">
        <v>30</v>
      </c>
      <c r="F276">
        <v>58.9</v>
      </c>
      <c r="G276">
        <v>153</v>
      </c>
      <c r="H276">
        <v>13</v>
      </c>
      <c r="I276">
        <v>72</v>
      </c>
      <c r="J276">
        <v>18</v>
      </c>
      <c r="K276">
        <v>12</v>
      </c>
      <c r="L276">
        <v>2</v>
      </c>
      <c r="M276">
        <v>5</v>
      </c>
      <c r="N276">
        <v>4</v>
      </c>
      <c r="O276">
        <v>0</v>
      </c>
      <c r="P276" t="str">
        <f>IF(Table1[[#This Row],[Pregnant(Y/N)]]=1,"YES","NO")</f>
        <v>NO</v>
      </c>
      <c r="Q276">
        <v>0</v>
      </c>
      <c r="R276">
        <v>1.99</v>
      </c>
      <c r="S276">
        <v>1.99</v>
      </c>
      <c r="T276">
        <v>5.59</v>
      </c>
      <c r="U276">
        <v>3.85</v>
      </c>
      <c r="V276">
        <f>Table1[[#This Row],[FSH(mIU/mL)]]/Table1[[#This Row],[LH(mIU/mL)]]</f>
        <v>1.4519480519480519</v>
      </c>
      <c r="W276" t="str">
        <f>IF(Table1[[#This Row],[FSH/LH]]&gt;=2,"Abnormal","Normal")</f>
        <v>Normal</v>
      </c>
      <c r="X276">
        <v>35</v>
      </c>
      <c r="Y276">
        <v>33</v>
      </c>
      <c r="Z276">
        <f>ROUND(Table1[[#This Row],[Waist(inch)]]/Table1[[#This Row],[Hip(inch)]],2)</f>
        <v>0.94</v>
      </c>
      <c r="AA276">
        <v>3</v>
      </c>
      <c r="AB276">
        <v>0.56000000000000005</v>
      </c>
      <c r="AC276">
        <v>128.24</v>
      </c>
      <c r="AD276">
        <v>30.3</v>
      </c>
      <c r="AE276" t="str">
        <f>IF(Table1[[#This Row],[Vit D3 (ng/mL)]]&lt;20,"Deficiency","Normal")</f>
        <v>Normal</v>
      </c>
      <c r="AF276">
        <v>0.35</v>
      </c>
      <c r="AG276">
        <v>88</v>
      </c>
      <c r="AH276">
        <v>0</v>
      </c>
      <c r="AI276" t="str">
        <f>IF(Table1[[#This Row],[Weight gain(Y/N)]]=0,"NO","YES")</f>
        <v>NO</v>
      </c>
      <c r="AJ276">
        <v>0</v>
      </c>
      <c r="AK276" t="str">
        <f>IF(Table1[[#This Row],[hair growth(Y/N)]]=1,"YES","NO")</f>
        <v>NO</v>
      </c>
      <c r="AL276">
        <v>0</v>
      </c>
      <c r="AM276" t="str">
        <f>IF(Table1[[#This Row],[Skin darkening (Y/N)]]=1,"YES","NO")</f>
        <v>NO</v>
      </c>
      <c r="AN276">
        <v>0</v>
      </c>
      <c r="AO276" t="str">
        <f>IF(Table1[[#This Row],[Hair loss(Y/N)]]=1,"YES","NO")</f>
        <v>NO</v>
      </c>
      <c r="AP276">
        <v>0</v>
      </c>
      <c r="AQ276" t="str">
        <f>IF(Table1[[#This Row],[Pimples(Y/N)]]=1,"YES","NO")</f>
        <v>NO</v>
      </c>
      <c r="AR276">
        <v>0</v>
      </c>
      <c r="AS276" t="str">
        <f>IF(Table1[[#This Row],[Fast food (Y/N)]]=1,"YES","NO")</f>
        <v>NO</v>
      </c>
      <c r="AT276">
        <v>1</v>
      </c>
      <c r="AU276" t="str">
        <f>IF(Table1[[#This Row],[Reg.Exercise(Y/N)]]=1,"YES","NO")</f>
        <v>YES</v>
      </c>
      <c r="AV276">
        <v>120</v>
      </c>
      <c r="AW276">
        <v>80</v>
      </c>
      <c r="AX276">
        <v>4</v>
      </c>
      <c r="AY276">
        <v>6</v>
      </c>
      <c r="AZ276">
        <v>17</v>
      </c>
      <c r="BA276">
        <v>17</v>
      </c>
      <c r="BB276">
        <v>10.3</v>
      </c>
      <c r="BC276" t="str" cm="1">
        <f t="array" ref="BC276">_xlfn.IFS((F276/(G276*G276)*10000)&lt; 18.5,"Underweight",(F276/(G276*G276)*10000)&lt;24.9,"Normal",(F276/(G276*G276)*10000)&lt;29.9,"Overweight",(F276/(G276*G276)*10000)&gt;=30,"obesity")</f>
        <v>Overweight</v>
      </c>
      <c r="BD276">
        <f>Table1[[#This Row],[Follicle No. (L)]]+Table1[[#This Row],[Follicle No. (R)]]</f>
        <v>10</v>
      </c>
      <c r="BE276">
        <f>Table1[[#This Row],[Avg. F size (L) (mm)]]+Table1[[#This Row],[Avg. F size (R) (mm)]]</f>
        <v>34</v>
      </c>
      <c r="BF276">
        <f>Table1[[#This Row],[BP _Diastolic (mmHg)]]+(Table1[[#This Row],[BP _Diastolic (mmHg)]]+Table1[[#This Row],[Follicle No. (L)]])/3</f>
        <v>108</v>
      </c>
      <c r="BG276" s="4" t="str" cm="1">
        <f t="array" ref="BG27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76" s="4">
        <f>SUM(Table1[[#This Row],[Pimples(Y/N)]],Table1[[#This Row],[hair growth(Y/N)]],Table1[[#This Row],[Skin darkening (Y/N)]],Table1[[#This Row],[Hair loss(Y/N)]])</f>
        <v>0</v>
      </c>
      <c r="BI276" s="4" t="str">
        <f>IF(AND(Table1[[#This Row],[Pregnant(Y/N)]]=0, Table1[[#This Row],[  I   beta-HCG(mIU/mL)]]&gt;5), "Investigation Required", "Clear")</f>
        <v>Clear</v>
      </c>
    </row>
    <row r="277" spans="1:61" ht="15.75" customHeight="1" x14ac:dyDescent="0.25">
      <c r="A277">
        <v>276</v>
      </c>
      <c r="B277">
        <v>276</v>
      </c>
      <c r="C277">
        <v>1</v>
      </c>
      <c r="D277" t="str">
        <f>IF(Table1[[#This Row],[PCOS (Y/N)]]=0,"NO","YES")</f>
        <v>YES</v>
      </c>
      <c r="E277">
        <v>27</v>
      </c>
      <c r="F277">
        <v>47</v>
      </c>
      <c r="G277">
        <v>152</v>
      </c>
      <c r="H277">
        <v>15</v>
      </c>
      <c r="I277">
        <v>74</v>
      </c>
      <c r="J277">
        <v>20</v>
      </c>
      <c r="K277">
        <v>10.7</v>
      </c>
      <c r="L277">
        <v>2</v>
      </c>
      <c r="M277">
        <v>5</v>
      </c>
      <c r="N277">
        <v>8</v>
      </c>
      <c r="O277">
        <v>0</v>
      </c>
      <c r="P277" t="str">
        <f>IF(Table1[[#This Row],[Pregnant(Y/N)]]=1,"YES","NO")</f>
        <v>NO</v>
      </c>
      <c r="Q277">
        <v>0</v>
      </c>
      <c r="R277">
        <v>355.08</v>
      </c>
      <c r="S277">
        <v>1.99</v>
      </c>
      <c r="T277">
        <v>6.8</v>
      </c>
      <c r="U277">
        <v>4.6100000000000003</v>
      </c>
      <c r="V277">
        <f>Table1[[#This Row],[FSH(mIU/mL)]]/Table1[[#This Row],[LH(mIU/mL)]]</f>
        <v>1.4750542299349239</v>
      </c>
      <c r="W277" t="str">
        <f>IF(Table1[[#This Row],[FSH/LH]]&gt;=2,"Abnormal","Normal")</f>
        <v>Normal</v>
      </c>
      <c r="X277">
        <v>33</v>
      </c>
      <c r="Y277">
        <v>28</v>
      </c>
      <c r="Z277">
        <f>ROUND(Table1[[#This Row],[Waist(inch)]]/Table1[[#This Row],[Hip(inch)]],2)</f>
        <v>0.85</v>
      </c>
      <c r="AA277">
        <v>3.49</v>
      </c>
      <c r="AB277">
        <v>5.3</v>
      </c>
      <c r="AC277">
        <v>14.65</v>
      </c>
      <c r="AD277">
        <v>26.1</v>
      </c>
      <c r="AE277" t="str">
        <f>IF(Table1[[#This Row],[Vit D3 (ng/mL)]]&lt;20,"Deficiency","Normal")</f>
        <v>Normal</v>
      </c>
      <c r="AF277">
        <v>0.25</v>
      </c>
      <c r="AG277">
        <v>90</v>
      </c>
      <c r="AH277">
        <v>0</v>
      </c>
      <c r="AI277" t="str">
        <f>IF(Table1[[#This Row],[Weight gain(Y/N)]]=0,"NO","YES")</f>
        <v>NO</v>
      </c>
      <c r="AJ277">
        <v>0</v>
      </c>
      <c r="AK277" t="str">
        <f>IF(Table1[[#This Row],[hair growth(Y/N)]]=1,"YES","NO")</f>
        <v>NO</v>
      </c>
      <c r="AL277">
        <v>0</v>
      </c>
      <c r="AM277" t="str">
        <f>IF(Table1[[#This Row],[Skin darkening (Y/N)]]=1,"YES","NO")</f>
        <v>NO</v>
      </c>
      <c r="AN277">
        <v>0</v>
      </c>
      <c r="AO277" t="str">
        <f>IF(Table1[[#This Row],[Hair loss(Y/N)]]=1,"YES","NO")</f>
        <v>NO</v>
      </c>
      <c r="AP277">
        <v>0</v>
      </c>
      <c r="AQ277" t="str">
        <f>IF(Table1[[#This Row],[Pimples(Y/N)]]=1,"YES","NO")</f>
        <v>NO</v>
      </c>
      <c r="AR277">
        <v>0</v>
      </c>
      <c r="AS277" t="str">
        <f>IF(Table1[[#This Row],[Fast food (Y/N)]]=1,"YES","NO")</f>
        <v>NO</v>
      </c>
      <c r="AT277">
        <v>1</v>
      </c>
      <c r="AU277" t="str">
        <f>IF(Table1[[#This Row],[Reg.Exercise(Y/N)]]=1,"YES","NO")</f>
        <v>YES</v>
      </c>
      <c r="AV277">
        <v>120</v>
      </c>
      <c r="AW277">
        <v>70</v>
      </c>
      <c r="AX277">
        <v>12</v>
      </c>
      <c r="AY277">
        <v>15</v>
      </c>
      <c r="AZ277">
        <v>16</v>
      </c>
      <c r="BA277">
        <v>18</v>
      </c>
      <c r="BB277">
        <v>8.6999999999999993</v>
      </c>
      <c r="BC277" t="str" cm="1">
        <f t="array" ref="BC277">_xlfn.IFS((F277/(G277*G277)*10000)&lt; 18.5,"Underweight",(F277/(G277*G277)*10000)&lt;24.9,"Normal",(F277/(G277*G277)*10000)&lt;29.9,"Overweight",(F277/(G277*G277)*10000)&gt;=30,"obesity")</f>
        <v>Normal</v>
      </c>
      <c r="BD277">
        <f>Table1[[#This Row],[Follicle No. (L)]]+Table1[[#This Row],[Follicle No. (R)]]</f>
        <v>27</v>
      </c>
      <c r="BE277">
        <f>Table1[[#This Row],[Avg. F size (L) (mm)]]+Table1[[#This Row],[Avg. F size (R) (mm)]]</f>
        <v>34</v>
      </c>
      <c r="BF277">
        <f>Table1[[#This Row],[BP _Diastolic (mmHg)]]+(Table1[[#This Row],[BP _Diastolic (mmHg)]]+Table1[[#This Row],[Follicle No. (L)]])/3</f>
        <v>97.333333333333329</v>
      </c>
      <c r="BG277" s="4" t="str" cm="1">
        <f t="array" ref="BG27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77" s="4">
        <f>SUM(Table1[[#This Row],[Pimples(Y/N)]],Table1[[#This Row],[hair growth(Y/N)]],Table1[[#This Row],[Skin darkening (Y/N)]],Table1[[#This Row],[Hair loss(Y/N)]])</f>
        <v>0</v>
      </c>
      <c r="BI277" s="4" t="str">
        <f>IF(AND(Table1[[#This Row],[Pregnant(Y/N)]]=0, Table1[[#This Row],[  I   beta-HCG(mIU/mL)]]&gt;5), "Investigation Required", "Clear")</f>
        <v>Investigation Required</v>
      </c>
    </row>
    <row r="278" spans="1:61" ht="15.75" customHeight="1" x14ac:dyDescent="0.25">
      <c r="A278">
        <v>277</v>
      </c>
      <c r="B278">
        <v>277</v>
      </c>
      <c r="C278">
        <v>1</v>
      </c>
      <c r="D278" t="str">
        <f>IF(Table1[[#This Row],[PCOS (Y/N)]]=0,"NO","YES")</f>
        <v>YES</v>
      </c>
      <c r="E278">
        <v>36</v>
      </c>
      <c r="F278">
        <v>65.7</v>
      </c>
      <c r="G278">
        <v>151</v>
      </c>
      <c r="H278">
        <v>15</v>
      </c>
      <c r="I278">
        <v>72</v>
      </c>
      <c r="J278">
        <v>20</v>
      </c>
      <c r="K278">
        <v>11</v>
      </c>
      <c r="L278">
        <v>4</v>
      </c>
      <c r="M278">
        <v>4</v>
      </c>
      <c r="N278">
        <v>8</v>
      </c>
      <c r="O278">
        <v>0</v>
      </c>
      <c r="P278" t="str">
        <f>IF(Table1[[#This Row],[Pregnant(Y/N)]]=1,"YES","NO")</f>
        <v>NO</v>
      </c>
      <c r="Q278">
        <v>1</v>
      </c>
      <c r="R278">
        <v>89.34</v>
      </c>
      <c r="S278">
        <v>89.34</v>
      </c>
      <c r="T278">
        <v>7.47</v>
      </c>
      <c r="U278">
        <v>6.64</v>
      </c>
      <c r="V278">
        <f>Table1[[#This Row],[FSH(mIU/mL)]]/Table1[[#This Row],[LH(mIU/mL)]]</f>
        <v>1.125</v>
      </c>
      <c r="W278" t="str">
        <f>IF(Table1[[#This Row],[FSH/LH]]&gt;=2,"Abnormal","Normal")</f>
        <v>Normal</v>
      </c>
      <c r="X278">
        <v>37</v>
      </c>
      <c r="Y278">
        <v>35</v>
      </c>
      <c r="Z278">
        <f>ROUND(Table1[[#This Row],[Waist(inch)]]/Table1[[#This Row],[Hip(inch)]],2)</f>
        <v>0.95</v>
      </c>
      <c r="AA278">
        <v>5</v>
      </c>
      <c r="AB278">
        <v>1.8</v>
      </c>
      <c r="AC278">
        <v>8</v>
      </c>
      <c r="AD278">
        <v>19.899999999999999</v>
      </c>
      <c r="AE278" t="str">
        <f>IF(Table1[[#This Row],[Vit D3 (ng/mL)]]&lt;20,"Deficiency","Normal")</f>
        <v>Deficiency</v>
      </c>
      <c r="AF278">
        <v>0.25</v>
      </c>
      <c r="AG278">
        <v>92</v>
      </c>
      <c r="AH278">
        <v>1</v>
      </c>
      <c r="AI278" t="str">
        <f>IF(Table1[[#This Row],[Weight gain(Y/N)]]=0,"NO","YES")</f>
        <v>YES</v>
      </c>
      <c r="AJ278">
        <v>0</v>
      </c>
      <c r="AK278" t="str">
        <f>IF(Table1[[#This Row],[hair growth(Y/N)]]=1,"YES","NO")</f>
        <v>NO</v>
      </c>
      <c r="AL278">
        <v>0</v>
      </c>
      <c r="AM278" t="str">
        <f>IF(Table1[[#This Row],[Skin darkening (Y/N)]]=1,"YES","NO")</f>
        <v>NO</v>
      </c>
      <c r="AN278">
        <v>1</v>
      </c>
      <c r="AO278" t="str">
        <f>IF(Table1[[#This Row],[Hair loss(Y/N)]]=1,"YES","NO")</f>
        <v>YES</v>
      </c>
      <c r="AP278">
        <v>1</v>
      </c>
      <c r="AQ278" t="str">
        <f>IF(Table1[[#This Row],[Pimples(Y/N)]]=1,"YES","NO")</f>
        <v>YES</v>
      </c>
      <c r="AR278">
        <v>1</v>
      </c>
      <c r="AS278" t="str">
        <f>IF(Table1[[#This Row],[Fast food (Y/N)]]=1,"YES","NO")</f>
        <v>YES</v>
      </c>
      <c r="AT278">
        <v>0</v>
      </c>
      <c r="AU278" t="str">
        <f>IF(Table1[[#This Row],[Reg.Exercise(Y/N)]]=1,"YES","NO")</f>
        <v>NO</v>
      </c>
      <c r="AV278">
        <v>120</v>
      </c>
      <c r="AW278">
        <v>80</v>
      </c>
      <c r="AX278">
        <v>6</v>
      </c>
      <c r="AY278">
        <v>5</v>
      </c>
      <c r="AZ278">
        <v>18</v>
      </c>
      <c r="BA278">
        <v>16</v>
      </c>
      <c r="BB278">
        <v>8.8000000000000007</v>
      </c>
      <c r="BC278" t="str" cm="1">
        <f t="array" ref="BC278">_xlfn.IFS((F278/(G278*G278)*10000)&lt; 18.5,"Underweight",(F278/(G278*G278)*10000)&lt;24.9,"Normal",(F278/(G278*G278)*10000)&lt;29.9,"Overweight",(F278/(G278*G278)*10000)&gt;=30,"obesity")</f>
        <v>Overweight</v>
      </c>
      <c r="BD278">
        <f>Table1[[#This Row],[Follicle No. (L)]]+Table1[[#This Row],[Follicle No. (R)]]</f>
        <v>11</v>
      </c>
      <c r="BE278">
        <f>Table1[[#This Row],[Avg. F size (L) (mm)]]+Table1[[#This Row],[Avg. F size (R) (mm)]]</f>
        <v>34</v>
      </c>
      <c r="BF278">
        <f>Table1[[#This Row],[BP _Diastolic (mmHg)]]+(Table1[[#This Row],[BP _Diastolic (mmHg)]]+Table1[[#This Row],[Follicle No. (L)]])/3</f>
        <v>108.66666666666667</v>
      </c>
      <c r="BG278" s="4" t="str" cm="1">
        <f t="array" ref="BG27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78" s="4">
        <f>SUM(Table1[[#This Row],[Pimples(Y/N)]],Table1[[#This Row],[hair growth(Y/N)]],Table1[[#This Row],[Skin darkening (Y/N)]],Table1[[#This Row],[Hair loss(Y/N)]])</f>
        <v>2</v>
      </c>
      <c r="BI278" s="4" t="str">
        <f>IF(AND(Table1[[#This Row],[Pregnant(Y/N)]]=0, Table1[[#This Row],[  I   beta-HCG(mIU/mL)]]&gt;5), "Investigation Required", "Clear")</f>
        <v>Investigation Required</v>
      </c>
    </row>
    <row r="279" spans="1:61" ht="15.75" customHeight="1" x14ac:dyDescent="0.25">
      <c r="A279">
        <v>278</v>
      </c>
      <c r="B279">
        <v>278</v>
      </c>
      <c r="C279">
        <v>1</v>
      </c>
      <c r="D279" t="str">
        <f>IF(Table1[[#This Row],[PCOS (Y/N)]]=0,"NO","YES")</f>
        <v>YES</v>
      </c>
      <c r="E279">
        <v>29</v>
      </c>
      <c r="F279">
        <v>66</v>
      </c>
      <c r="G279">
        <v>150</v>
      </c>
      <c r="H279">
        <v>15</v>
      </c>
      <c r="I279">
        <v>72</v>
      </c>
      <c r="J279">
        <v>18</v>
      </c>
      <c r="K279">
        <v>12</v>
      </c>
      <c r="L279">
        <v>4</v>
      </c>
      <c r="M279">
        <v>5</v>
      </c>
      <c r="N279">
        <v>9</v>
      </c>
      <c r="O279">
        <v>0</v>
      </c>
      <c r="P279" t="str">
        <f>IF(Table1[[#This Row],[Pregnant(Y/N)]]=1,"YES","NO")</f>
        <v>NO</v>
      </c>
      <c r="Q279">
        <v>0</v>
      </c>
      <c r="R279">
        <v>1.99</v>
      </c>
      <c r="S279">
        <v>1.99</v>
      </c>
      <c r="T279">
        <v>2.56</v>
      </c>
      <c r="U279">
        <v>2.41</v>
      </c>
      <c r="V279">
        <f>Table1[[#This Row],[FSH(mIU/mL)]]/Table1[[#This Row],[LH(mIU/mL)]]</f>
        <v>1.0622406639004149</v>
      </c>
      <c r="W279" t="str">
        <f>IF(Table1[[#This Row],[FSH/LH]]&gt;=2,"Abnormal","Normal")</f>
        <v>Normal</v>
      </c>
      <c r="X279">
        <v>36</v>
      </c>
      <c r="Y279">
        <v>34</v>
      </c>
      <c r="Z279">
        <f>ROUND(Table1[[#This Row],[Waist(inch)]]/Table1[[#This Row],[Hip(inch)]],2)</f>
        <v>0.94</v>
      </c>
      <c r="AA279">
        <v>2.86</v>
      </c>
      <c r="AB279">
        <v>7.3</v>
      </c>
      <c r="AC279">
        <v>12.91</v>
      </c>
      <c r="AD279">
        <v>19</v>
      </c>
      <c r="AE279" t="str">
        <f>IF(Table1[[#This Row],[Vit D3 (ng/mL)]]&lt;20,"Deficiency","Normal")</f>
        <v>Deficiency</v>
      </c>
      <c r="AF279">
        <v>0.39</v>
      </c>
      <c r="AG279">
        <v>92</v>
      </c>
      <c r="AH279">
        <v>0</v>
      </c>
      <c r="AI279" t="str">
        <f>IF(Table1[[#This Row],[Weight gain(Y/N)]]=0,"NO","YES")</f>
        <v>NO</v>
      </c>
      <c r="AJ279">
        <v>1</v>
      </c>
      <c r="AK279" t="str">
        <f>IF(Table1[[#This Row],[hair growth(Y/N)]]=1,"YES","NO")</f>
        <v>YES</v>
      </c>
      <c r="AL279">
        <v>1</v>
      </c>
      <c r="AM279" t="str">
        <f>IF(Table1[[#This Row],[Skin darkening (Y/N)]]=1,"YES","NO")</f>
        <v>YES</v>
      </c>
      <c r="AN279">
        <v>1</v>
      </c>
      <c r="AO279" t="str">
        <f>IF(Table1[[#This Row],[Hair loss(Y/N)]]=1,"YES","NO")</f>
        <v>YES</v>
      </c>
      <c r="AP279">
        <v>0</v>
      </c>
      <c r="AQ279" t="str">
        <f>IF(Table1[[#This Row],[Pimples(Y/N)]]=1,"YES","NO")</f>
        <v>NO</v>
      </c>
      <c r="AR279">
        <v>0</v>
      </c>
      <c r="AS279" t="str">
        <f>IF(Table1[[#This Row],[Fast food (Y/N)]]=1,"YES","NO")</f>
        <v>NO</v>
      </c>
      <c r="AT279">
        <v>1</v>
      </c>
      <c r="AU279" t="str">
        <f>IF(Table1[[#This Row],[Reg.Exercise(Y/N)]]=1,"YES","NO")</f>
        <v>YES</v>
      </c>
      <c r="AV279">
        <v>110</v>
      </c>
      <c r="AW279">
        <v>70</v>
      </c>
      <c r="AX279">
        <v>1</v>
      </c>
      <c r="AY279">
        <v>1</v>
      </c>
      <c r="AZ279">
        <v>12</v>
      </c>
      <c r="BA279">
        <v>14</v>
      </c>
      <c r="BB279">
        <v>9.5</v>
      </c>
      <c r="BC279" t="str" cm="1">
        <f t="array" ref="BC279">_xlfn.IFS((F279/(G279*G279)*10000)&lt; 18.5,"Underweight",(F279/(G279*G279)*10000)&lt;24.9,"Normal",(F279/(G279*G279)*10000)&lt;29.9,"Overweight",(F279/(G279*G279)*10000)&gt;=30,"obesity")</f>
        <v>Overweight</v>
      </c>
      <c r="BD279">
        <f>Table1[[#This Row],[Follicle No. (L)]]+Table1[[#This Row],[Follicle No. (R)]]</f>
        <v>2</v>
      </c>
      <c r="BE279">
        <f>Table1[[#This Row],[Avg. F size (L) (mm)]]+Table1[[#This Row],[Avg. F size (R) (mm)]]</f>
        <v>26</v>
      </c>
      <c r="BF279">
        <f>Table1[[#This Row],[BP _Diastolic (mmHg)]]+(Table1[[#This Row],[BP _Diastolic (mmHg)]]+Table1[[#This Row],[Follicle No. (L)]])/3</f>
        <v>93.666666666666671</v>
      </c>
      <c r="BG279" s="4" t="str" cm="1">
        <f t="array" ref="BG27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79" s="4">
        <f>SUM(Table1[[#This Row],[Pimples(Y/N)]],Table1[[#This Row],[hair growth(Y/N)]],Table1[[#This Row],[Skin darkening (Y/N)]],Table1[[#This Row],[Hair loss(Y/N)]])</f>
        <v>3</v>
      </c>
      <c r="BI279" s="4" t="str">
        <f>IF(AND(Table1[[#This Row],[Pregnant(Y/N)]]=0, Table1[[#This Row],[  I   beta-HCG(mIU/mL)]]&gt;5), "Investigation Required", "Clear")</f>
        <v>Clear</v>
      </c>
    </row>
    <row r="280" spans="1:61" ht="15.75" customHeight="1" x14ac:dyDescent="0.25">
      <c r="A280">
        <v>279</v>
      </c>
      <c r="B280">
        <v>279</v>
      </c>
      <c r="C280">
        <v>1</v>
      </c>
      <c r="D280" t="str">
        <f>IF(Table1[[#This Row],[PCOS (Y/N)]]=0,"NO","YES")</f>
        <v>YES</v>
      </c>
      <c r="E280">
        <v>45</v>
      </c>
      <c r="F280">
        <v>50</v>
      </c>
      <c r="G280">
        <v>154</v>
      </c>
      <c r="H280">
        <v>17</v>
      </c>
      <c r="I280">
        <v>72</v>
      </c>
      <c r="J280">
        <v>18</v>
      </c>
      <c r="K280">
        <v>10.199999999999999</v>
      </c>
      <c r="L280">
        <v>4</v>
      </c>
      <c r="M280">
        <v>4</v>
      </c>
      <c r="N280">
        <v>11</v>
      </c>
      <c r="O280">
        <v>0</v>
      </c>
      <c r="P280" t="str">
        <f>IF(Table1[[#This Row],[Pregnant(Y/N)]]=1,"YES","NO")</f>
        <v>NO</v>
      </c>
      <c r="Q280">
        <v>2</v>
      </c>
      <c r="R280">
        <v>412.9</v>
      </c>
      <c r="S280">
        <v>366.04</v>
      </c>
      <c r="T280">
        <v>2.2400000000000002</v>
      </c>
      <c r="U280">
        <v>1.99</v>
      </c>
      <c r="V280">
        <f>Table1[[#This Row],[FSH(mIU/mL)]]/Table1[[#This Row],[LH(mIU/mL)]]</f>
        <v>1.1256281407035178</v>
      </c>
      <c r="W280" t="str">
        <f>IF(Table1[[#This Row],[FSH/LH]]&gt;=2,"Abnormal","Normal")</f>
        <v>Normal</v>
      </c>
      <c r="X280">
        <v>30</v>
      </c>
      <c r="Y280">
        <v>27</v>
      </c>
      <c r="Z280">
        <f>ROUND(Table1[[#This Row],[Waist(inch)]]/Table1[[#This Row],[Hip(inch)]],2)</f>
        <v>0.9</v>
      </c>
      <c r="AA280">
        <v>22.59</v>
      </c>
      <c r="AB280">
        <v>6.5</v>
      </c>
      <c r="AC280">
        <v>16.84</v>
      </c>
      <c r="AD280">
        <v>10.5</v>
      </c>
      <c r="AE280" t="str">
        <f>IF(Table1[[#This Row],[Vit D3 (ng/mL)]]&lt;20,"Deficiency","Normal")</f>
        <v>Deficiency</v>
      </c>
      <c r="AF280">
        <v>0.5</v>
      </c>
      <c r="AG280">
        <v>138</v>
      </c>
      <c r="AH280">
        <v>1</v>
      </c>
      <c r="AI280" t="str">
        <f>IF(Table1[[#This Row],[Weight gain(Y/N)]]=0,"NO","YES")</f>
        <v>YES</v>
      </c>
      <c r="AJ280">
        <v>1</v>
      </c>
      <c r="AK280" t="str">
        <f>IF(Table1[[#This Row],[hair growth(Y/N)]]=1,"YES","NO")</f>
        <v>YES</v>
      </c>
      <c r="AL280">
        <v>1</v>
      </c>
      <c r="AM280" t="str">
        <f>IF(Table1[[#This Row],[Skin darkening (Y/N)]]=1,"YES","NO")</f>
        <v>YES</v>
      </c>
      <c r="AN280">
        <v>1</v>
      </c>
      <c r="AO280" t="str">
        <f>IF(Table1[[#This Row],[Hair loss(Y/N)]]=1,"YES","NO")</f>
        <v>YES</v>
      </c>
      <c r="AP280">
        <v>1</v>
      </c>
      <c r="AQ280" t="str">
        <f>IF(Table1[[#This Row],[Pimples(Y/N)]]=1,"YES","NO")</f>
        <v>YES</v>
      </c>
      <c r="AR280">
        <v>1</v>
      </c>
      <c r="AS280" t="str">
        <f>IF(Table1[[#This Row],[Fast food (Y/N)]]=1,"YES","NO")</f>
        <v>YES</v>
      </c>
      <c r="AT280">
        <v>0</v>
      </c>
      <c r="AU280" t="str">
        <f>IF(Table1[[#This Row],[Reg.Exercise(Y/N)]]=1,"YES","NO")</f>
        <v>NO</v>
      </c>
      <c r="AV280">
        <v>120</v>
      </c>
      <c r="AW280">
        <v>80</v>
      </c>
      <c r="AX280">
        <v>4</v>
      </c>
      <c r="AY280">
        <v>8</v>
      </c>
      <c r="AZ280">
        <v>15</v>
      </c>
      <c r="BA280">
        <v>18</v>
      </c>
      <c r="BB280">
        <v>7.2</v>
      </c>
      <c r="BC280" t="str" cm="1">
        <f t="array" ref="BC280">_xlfn.IFS((F280/(G280*G280)*10000)&lt; 18.5,"Underweight",(F280/(G280*G280)*10000)&lt;24.9,"Normal",(F280/(G280*G280)*10000)&lt;29.9,"Overweight",(F280/(G280*G280)*10000)&gt;=30,"obesity")</f>
        <v>Normal</v>
      </c>
      <c r="BD280">
        <f>Table1[[#This Row],[Follicle No. (L)]]+Table1[[#This Row],[Follicle No. (R)]]</f>
        <v>12</v>
      </c>
      <c r="BE280">
        <f>Table1[[#This Row],[Avg. F size (L) (mm)]]+Table1[[#This Row],[Avg. F size (R) (mm)]]</f>
        <v>33</v>
      </c>
      <c r="BF280">
        <f>Table1[[#This Row],[BP _Diastolic (mmHg)]]+(Table1[[#This Row],[BP _Diastolic (mmHg)]]+Table1[[#This Row],[Follicle No. (L)]])/3</f>
        <v>108</v>
      </c>
      <c r="BG280" s="4" t="str" cm="1">
        <f t="array" ref="BG28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80" s="4">
        <f>SUM(Table1[[#This Row],[Pimples(Y/N)]],Table1[[#This Row],[hair growth(Y/N)]],Table1[[#This Row],[Skin darkening (Y/N)]],Table1[[#This Row],[Hair loss(Y/N)]])</f>
        <v>4</v>
      </c>
      <c r="BI280" s="4" t="str">
        <f>IF(AND(Table1[[#This Row],[Pregnant(Y/N)]]=0, Table1[[#This Row],[  I   beta-HCG(mIU/mL)]]&gt;5), "Investigation Required", "Clear")</f>
        <v>Investigation Required</v>
      </c>
    </row>
    <row r="281" spans="1:61" ht="15.75" customHeight="1" x14ac:dyDescent="0.25">
      <c r="A281">
        <v>280</v>
      </c>
      <c r="B281">
        <v>280</v>
      </c>
      <c r="C281">
        <v>0</v>
      </c>
      <c r="D281" t="str">
        <f>IF(Table1[[#This Row],[PCOS (Y/N)]]=0,"NO","YES")</f>
        <v>NO</v>
      </c>
      <c r="E281">
        <v>26</v>
      </c>
      <c r="F281">
        <v>54</v>
      </c>
      <c r="G281">
        <v>150</v>
      </c>
      <c r="H281">
        <v>11</v>
      </c>
      <c r="I281">
        <v>72</v>
      </c>
      <c r="J281">
        <v>18</v>
      </c>
      <c r="K281">
        <v>12</v>
      </c>
      <c r="L281">
        <v>4</v>
      </c>
      <c r="M281">
        <v>3</v>
      </c>
      <c r="N281">
        <v>5</v>
      </c>
      <c r="O281">
        <v>0</v>
      </c>
      <c r="P281" t="str">
        <f>IF(Table1[[#This Row],[Pregnant(Y/N)]]=1,"YES","NO")</f>
        <v>NO</v>
      </c>
      <c r="Q281">
        <v>0</v>
      </c>
      <c r="R281">
        <v>184.8</v>
      </c>
      <c r="S281">
        <v>1.99</v>
      </c>
      <c r="T281">
        <v>5.81</v>
      </c>
      <c r="U281">
        <v>3.91</v>
      </c>
      <c r="V281">
        <f>Table1[[#This Row],[FSH(mIU/mL)]]/Table1[[#This Row],[LH(mIU/mL)]]</f>
        <v>1.4859335038363171</v>
      </c>
      <c r="W281" t="str">
        <f>IF(Table1[[#This Row],[FSH/LH]]&gt;=2,"Abnormal","Normal")</f>
        <v>Normal</v>
      </c>
      <c r="X281">
        <v>36</v>
      </c>
      <c r="Y281">
        <v>34</v>
      </c>
      <c r="Z281">
        <f>ROUND(Table1[[#This Row],[Waist(inch)]]/Table1[[#This Row],[Hip(inch)]],2)</f>
        <v>0.94</v>
      </c>
      <c r="AA281">
        <v>2.35</v>
      </c>
      <c r="AB281">
        <v>21</v>
      </c>
      <c r="AC281">
        <v>29.69</v>
      </c>
      <c r="AD281">
        <v>20.100000000000001</v>
      </c>
      <c r="AE281" t="str">
        <f>IF(Table1[[#This Row],[Vit D3 (ng/mL)]]&lt;20,"Deficiency","Normal")</f>
        <v>Normal</v>
      </c>
      <c r="AF281">
        <v>0.48</v>
      </c>
      <c r="AG281">
        <v>125</v>
      </c>
      <c r="AH281">
        <v>1</v>
      </c>
      <c r="AI281" t="str">
        <f>IF(Table1[[#This Row],[Weight gain(Y/N)]]=0,"NO","YES")</f>
        <v>YES</v>
      </c>
      <c r="AJ281">
        <v>1</v>
      </c>
      <c r="AK281" t="str">
        <f>IF(Table1[[#This Row],[hair growth(Y/N)]]=1,"YES","NO")</f>
        <v>YES</v>
      </c>
      <c r="AL281">
        <v>1</v>
      </c>
      <c r="AM281" t="str">
        <f>IF(Table1[[#This Row],[Skin darkening (Y/N)]]=1,"YES","NO")</f>
        <v>YES</v>
      </c>
      <c r="AN281">
        <v>1</v>
      </c>
      <c r="AO281" t="str">
        <f>IF(Table1[[#This Row],[Hair loss(Y/N)]]=1,"YES","NO")</f>
        <v>YES</v>
      </c>
      <c r="AP281">
        <v>0</v>
      </c>
      <c r="AQ281" t="str">
        <f>IF(Table1[[#This Row],[Pimples(Y/N)]]=1,"YES","NO")</f>
        <v>NO</v>
      </c>
      <c r="AR281">
        <v>1</v>
      </c>
      <c r="AS281" t="str">
        <f>IF(Table1[[#This Row],[Fast food (Y/N)]]=1,"YES","NO")</f>
        <v>YES</v>
      </c>
      <c r="AT281">
        <v>0</v>
      </c>
      <c r="AU281" t="str">
        <f>IF(Table1[[#This Row],[Reg.Exercise(Y/N)]]=1,"YES","NO")</f>
        <v>NO</v>
      </c>
      <c r="AV281">
        <v>120</v>
      </c>
      <c r="AW281">
        <v>70</v>
      </c>
      <c r="AX281">
        <v>3</v>
      </c>
      <c r="AY281">
        <v>2</v>
      </c>
      <c r="AZ281">
        <v>15</v>
      </c>
      <c r="BA281">
        <v>13</v>
      </c>
      <c r="BB281">
        <v>9</v>
      </c>
      <c r="BC281" t="str" cm="1">
        <f t="array" ref="BC281">_xlfn.IFS((F281/(G281*G281)*10000)&lt; 18.5,"Underweight",(F281/(G281*G281)*10000)&lt;24.9,"Normal",(F281/(G281*G281)*10000)&lt;29.9,"Overweight",(F281/(G281*G281)*10000)&gt;=30,"obesity")</f>
        <v>Normal</v>
      </c>
      <c r="BD281">
        <f>Table1[[#This Row],[Follicle No. (L)]]+Table1[[#This Row],[Follicle No. (R)]]</f>
        <v>5</v>
      </c>
      <c r="BE281">
        <f>Table1[[#This Row],[Avg. F size (L) (mm)]]+Table1[[#This Row],[Avg. F size (R) (mm)]]</f>
        <v>28</v>
      </c>
      <c r="BF281">
        <f>Table1[[#This Row],[BP _Diastolic (mmHg)]]+(Table1[[#This Row],[BP _Diastolic (mmHg)]]+Table1[[#This Row],[Follicle No. (L)]])/3</f>
        <v>94.333333333333329</v>
      </c>
      <c r="BG281" s="4" t="str" cm="1">
        <f t="array" ref="BG28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81" s="4">
        <f>SUM(Table1[[#This Row],[Pimples(Y/N)]],Table1[[#This Row],[hair growth(Y/N)]],Table1[[#This Row],[Skin darkening (Y/N)]],Table1[[#This Row],[Hair loss(Y/N)]])</f>
        <v>3</v>
      </c>
      <c r="BI281" s="4" t="str">
        <f>IF(AND(Table1[[#This Row],[Pregnant(Y/N)]]=0, Table1[[#This Row],[  I   beta-HCG(mIU/mL)]]&gt;5), "Investigation Required", "Clear")</f>
        <v>Investigation Required</v>
      </c>
    </row>
    <row r="282" spans="1:61" ht="15.75" customHeight="1" x14ac:dyDescent="0.25">
      <c r="A282">
        <v>281</v>
      </c>
      <c r="B282">
        <v>281</v>
      </c>
      <c r="C282">
        <v>0</v>
      </c>
      <c r="D282" t="str">
        <f>IF(Table1[[#This Row],[PCOS (Y/N)]]=0,"NO","YES")</f>
        <v>NO</v>
      </c>
      <c r="E282">
        <v>31</v>
      </c>
      <c r="F282">
        <v>65</v>
      </c>
      <c r="G282">
        <v>158</v>
      </c>
      <c r="H282">
        <v>15</v>
      </c>
      <c r="I282">
        <v>72</v>
      </c>
      <c r="J282">
        <v>18</v>
      </c>
      <c r="K282">
        <v>12.4</v>
      </c>
      <c r="L282">
        <v>2</v>
      </c>
      <c r="M282">
        <v>5</v>
      </c>
      <c r="N282">
        <v>4</v>
      </c>
      <c r="O282">
        <v>0</v>
      </c>
      <c r="P282" t="str">
        <f>IF(Table1[[#This Row],[Pregnant(Y/N)]]=1,"YES","NO")</f>
        <v>NO</v>
      </c>
      <c r="Q282">
        <v>0</v>
      </c>
      <c r="R282">
        <v>1.99</v>
      </c>
      <c r="S282">
        <v>1.99</v>
      </c>
      <c r="T282">
        <v>2.95</v>
      </c>
      <c r="U282">
        <v>0.26</v>
      </c>
      <c r="V282">
        <f>Table1[[#This Row],[FSH(mIU/mL)]]/Table1[[#This Row],[LH(mIU/mL)]]</f>
        <v>11.346153846153847</v>
      </c>
      <c r="W282" t="str">
        <f>IF(Table1[[#This Row],[FSH/LH]]&gt;=2,"Abnormal","Normal")</f>
        <v>Abnormal</v>
      </c>
      <c r="X282">
        <v>38</v>
      </c>
      <c r="Y282">
        <v>36</v>
      </c>
      <c r="Z282">
        <f>ROUND(Table1[[#This Row],[Waist(inch)]]/Table1[[#This Row],[Hip(inch)]],2)</f>
        <v>0.95</v>
      </c>
      <c r="AA282">
        <v>3.23</v>
      </c>
      <c r="AB282">
        <v>0.9</v>
      </c>
      <c r="AC282">
        <v>17.190000000000001</v>
      </c>
      <c r="AD282">
        <v>25.5</v>
      </c>
      <c r="AE282" t="str">
        <f>IF(Table1[[#This Row],[Vit D3 (ng/mL)]]&lt;20,"Deficiency","Normal")</f>
        <v>Normal</v>
      </c>
      <c r="AF282">
        <v>0.66</v>
      </c>
      <c r="AG282">
        <v>92</v>
      </c>
      <c r="AH282">
        <v>0</v>
      </c>
      <c r="AI282" t="str">
        <f>IF(Table1[[#This Row],[Weight gain(Y/N)]]=0,"NO","YES")</f>
        <v>NO</v>
      </c>
      <c r="AJ282">
        <v>1</v>
      </c>
      <c r="AK282" t="str">
        <f>IF(Table1[[#This Row],[hair growth(Y/N)]]=1,"YES","NO")</f>
        <v>YES</v>
      </c>
      <c r="AL282">
        <v>0</v>
      </c>
      <c r="AM282" t="str">
        <f>IF(Table1[[#This Row],[Skin darkening (Y/N)]]=1,"YES","NO")</f>
        <v>NO</v>
      </c>
      <c r="AN282">
        <v>1</v>
      </c>
      <c r="AO282" t="str">
        <f>IF(Table1[[#This Row],[Hair loss(Y/N)]]=1,"YES","NO")</f>
        <v>YES</v>
      </c>
      <c r="AP282">
        <v>1</v>
      </c>
      <c r="AQ282" t="str">
        <f>IF(Table1[[#This Row],[Pimples(Y/N)]]=1,"YES","NO")</f>
        <v>YES</v>
      </c>
      <c r="AR282">
        <v>0</v>
      </c>
      <c r="AS282" t="str">
        <f>IF(Table1[[#This Row],[Fast food (Y/N)]]=1,"YES","NO")</f>
        <v>NO</v>
      </c>
      <c r="AT282">
        <v>1</v>
      </c>
      <c r="AU282" t="str">
        <f>IF(Table1[[#This Row],[Reg.Exercise(Y/N)]]=1,"YES","NO")</f>
        <v>YES</v>
      </c>
      <c r="AV282">
        <v>120</v>
      </c>
      <c r="AW282">
        <v>70</v>
      </c>
      <c r="AX282">
        <v>3</v>
      </c>
      <c r="AY282">
        <v>3</v>
      </c>
      <c r="AZ282">
        <v>18</v>
      </c>
      <c r="BA282">
        <v>15</v>
      </c>
      <c r="BB282">
        <v>8.9</v>
      </c>
      <c r="BC282" t="str" cm="1">
        <f t="array" ref="BC282">_xlfn.IFS((F282/(G282*G282)*10000)&lt; 18.5,"Underweight",(F282/(G282*G282)*10000)&lt;24.9,"Normal",(F282/(G282*G282)*10000)&lt;29.9,"Overweight",(F282/(G282*G282)*10000)&gt;=30,"obesity")</f>
        <v>Overweight</v>
      </c>
      <c r="BD282">
        <f>Table1[[#This Row],[Follicle No. (L)]]+Table1[[#This Row],[Follicle No. (R)]]</f>
        <v>6</v>
      </c>
      <c r="BE282">
        <f>Table1[[#This Row],[Avg. F size (L) (mm)]]+Table1[[#This Row],[Avg. F size (R) (mm)]]</f>
        <v>33</v>
      </c>
      <c r="BF282">
        <f>Table1[[#This Row],[BP _Diastolic (mmHg)]]+(Table1[[#This Row],[BP _Diastolic (mmHg)]]+Table1[[#This Row],[Follicle No. (L)]])/3</f>
        <v>94.333333333333329</v>
      </c>
      <c r="BG282" s="4" t="str" cm="1">
        <f t="array" ref="BG28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82" s="4">
        <f>SUM(Table1[[#This Row],[Pimples(Y/N)]],Table1[[#This Row],[hair growth(Y/N)]],Table1[[#This Row],[Skin darkening (Y/N)]],Table1[[#This Row],[Hair loss(Y/N)]])</f>
        <v>3</v>
      </c>
      <c r="BI282" s="4" t="str">
        <f>IF(AND(Table1[[#This Row],[Pregnant(Y/N)]]=0, Table1[[#This Row],[  I   beta-HCG(mIU/mL)]]&gt;5), "Investigation Required", "Clear")</f>
        <v>Clear</v>
      </c>
    </row>
    <row r="283" spans="1:61" ht="15.75" customHeight="1" x14ac:dyDescent="0.25">
      <c r="A283">
        <v>282</v>
      </c>
      <c r="B283">
        <v>282</v>
      </c>
      <c r="C283">
        <v>0</v>
      </c>
      <c r="D283" t="str">
        <f>IF(Table1[[#This Row],[PCOS (Y/N)]]=0,"NO","YES")</f>
        <v>NO</v>
      </c>
      <c r="E283">
        <v>31</v>
      </c>
      <c r="F283">
        <v>51</v>
      </c>
      <c r="G283">
        <v>155</v>
      </c>
      <c r="H283">
        <v>17</v>
      </c>
      <c r="I283">
        <v>70</v>
      </c>
      <c r="J283">
        <v>18</v>
      </c>
      <c r="K283">
        <v>11</v>
      </c>
      <c r="L283">
        <v>4</v>
      </c>
      <c r="M283">
        <v>5</v>
      </c>
      <c r="N283">
        <v>5</v>
      </c>
      <c r="O283">
        <v>0</v>
      </c>
      <c r="P283" t="str">
        <f>IF(Table1[[#This Row],[Pregnant(Y/N)]]=1,"YES","NO")</f>
        <v>NO</v>
      </c>
      <c r="Q283">
        <v>0</v>
      </c>
      <c r="R283">
        <v>1.99</v>
      </c>
      <c r="S283">
        <v>1.99</v>
      </c>
      <c r="T283">
        <v>60.37</v>
      </c>
      <c r="U283">
        <v>9.99</v>
      </c>
      <c r="V283">
        <f>Table1[[#This Row],[FSH(mIU/mL)]]/Table1[[#This Row],[LH(mIU/mL)]]</f>
        <v>6.0430430430430429</v>
      </c>
      <c r="W283" t="str">
        <f>IF(Table1[[#This Row],[FSH/LH]]&gt;=2,"Abnormal","Normal")</f>
        <v>Abnormal</v>
      </c>
      <c r="X283">
        <v>33</v>
      </c>
      <c r="Y283">
        <v>30</v>
      </c>
      <c r="Z283">
        <f>ROUND(Table1[[#This Row],[Waist(inch)]]/Table1[[#This Row],[Hip(inch)]],2)</f>
        <v>0.91</v>
      </c>
      <c r="AA283">
        <v>1</v>
      </c>
      <c r="AB283">
        <v>15.3</v>
      </c>
      <c r="AC283">
        <v>20.47</v>
      </c>
      <c r="AD283">
        <v>25.6</v>
      </c>
      <c r="AE283" t="str">
        <f>IF(Table1[[#This Row],[Vit D3 (ng/mL)]]&lt;20,"Deficiency","Normal")</f>
        <v>Normal</v>
      </c>
      <c r="AF283">
        <v>0.33</v>
      </c>
      <c r="AG283">
        <v>92</v>
      </c>
      <c r="AH283">
        <v>0</v>
      </c>
      <c r="AI283" t="str">
        <f>IF(Table1[[#This Row],[Weight gain(Y/N)]]=0,"NO","YES")</f>
        <v>NO</v>
      </c>
      <c r="AJ283">
        <v>0</v>
      </c>
      <c r="AK283" t="str">
        <f>IF(Table1[[#This Row],[hair growth(Y/N)]]=1,"YES","NO")</f>
        <v>NO</v>
      </c>
      <c r="AL283">
        <v>0</v>
      </c>
      <c r="AM283" t="str">
        <f>IF(Table1[[#This Row],[Skin darkening (Y/N)]]=1,"YES","NO")</f>
        <v>NO</v>
      </c>
      <c r="AN283">
        <v>0</v>
      </c>
      <c r="AO283" t="str">
        <f>IF(Table1[[#This Row],[Hair loss(Y/N)]]=1,"YES","NO")</f>
        <v>NO</v>
      </c>
      <c r="AP283">
        <v>1</v>
      </c>
      <c r="AQ283" t="str">
        <f>IF(Table1[[#This Row],[Pimples(Y/N)]]=1,"YES","NO")</f>
        <v>YES</v>
      </c>
      <c r="AR283">
        <v>0</v>
      </c>
      <c r="AS283" t="str">
        <f>IF(Table1[[#This Row],[Fast food (Y/N)]]=1,"YES","NO")</f>
        <v>NO</v>
      </c>
      <c r="AT283">
        <v>1</v>
      </c>
      <c r="AU283" t="str">
        <f>IF(Table1[[#This Row],[Reg.Exercise(Y/N)]]=1,"YES","NO")</f>
        <v>YES</v>
      </c>
      <c r="AV283">
        <v>110</v>
      </c>
      <c r="AW283">
        <v>80</v>
      </c>
      <c r="AX283">
        <v>4</v>
      </c>
      <c r="AY283">
        <v>5</v>
      </c>
      <c r="AZ283">
        <v>16</v>
      </c>
      <c r="BA283">
        <v>19</v>
      </c>
      <c r="BB283">
        <v>7</v>
      </c>
      <c r="BC283" t="str" cm="1">
        <f t="array" ref="BC283">_xlfn.IFS((F283/(G283*G283)*10000)&lt; 18.5,"Underweight",(F283/(G283*G283)*10000)&lt;24.9,"Normal",(F283/(G283*G283)*10000)&lt;29.9,"Overweight",(F283/(G283*G283)*10000)&gt;=30,"obesity")</f>
        <v>Normal</v>
      </c>
      <c r="BD283">
        <f>Table1[[#This Row],[Follicle No. (L)]]+Table1[[#This Row],[Follicle No. (R)]]</f>
        <v>9</v>
      </c>
      <c r="BE283">
        <f>Table1[[#This Row],[Avg. F size (L) (mm)]]+Table1[[#This Row],[Avg. F size (R) (mm)]]</f>
        <v>35</v>
      </c>
      <c r="BF283">
        <f>Table1[[#This Row],[BP _Diastolic (mmHg)]]+(Table1[[#This Row],[BP _Diastolic (mmHg)]]+Table1[[#This Row],[Follicle No. (L)]])/3</f>
        <v>108</v>
      </c>
      <c r="BG283" s="4" t="str" cm="1">
        <f t="array" ref="BG28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83" s="4">
        <f>SUM(Table1[[#This Row],[Pimples(Y/N)]],Table1[[#This Row],[hair growth(Y/N)]],Table1[[#This Row],[Skin darkening (Y/N)]],Table1[[#This Row],[Hair loss(Y/N)]])</f>
        <v>1</v>
      </c>
      <c r="BI283" s="4" t="str">
        <f>IF(AND(Table1[[#This Row],[Pregnant(Y/N)]]=0, Table1[[#This Row],[  I   beta-HCG(mIU/mL)]]&gt;5), "Investigation Required", "Clear")</f>
        <v>Clear</v>
      </c>
    </row>
    <row r="284" spans="1:61" ht="15.75" customHeight="1" x14ac:dyDescent="0.25">
      <c r="A284">
        <v>283</v>
      </c>
      <c r="B284">
        <v>283</v>
      </c>
      <c r="C284">
        <v>1</v>
      </c>
      <c r="D284" t="str">
        <f>IF(Table1[[#This Row],[PCOS (Y/N)]]=0,"NO","YES")</f>
        <v>YES</v>
      </c>
      <c r="E284">
        <v>38</v>
      </c>
      <c r="F284">
        <v>62</v>
      </c>
      <c r="G284">
        <v>154</v>
      </c>
      <c r="H284">
        <v>15</v>
      </c>
      <c r="I284">
        <v>74</v>
      </c>
      <c r="J284">
        <v>20</v>
      </c>
      <c r="K284">
        <v>10.5</v>
      </c>
      <c r="L284">
        <v>4</v>
      </c>
      <c r="M284">
        <v>4</v>
      </c>
      <c r="N284">
        <v>5</v>
      </c>
      <c r="O284">
        <v>1</v>
      </c>
      <c r="P284" t="str">
        <f>IF(Table1[[#This Row],[Pregnant(Y/N)]]=1,"YES","NO")</f>
        <v>YES</v>
      </c>
      <c r="Q284">
        <v>0</v>
      </c>
      <c r="R284">
        <v>454.27</v>
      </c>
      <c r="S284">
        <v>14.34</v>
      </c>
      <c r="T284">
        <v>8.15</v>
      </c>
      <c r="U284">
        <v>3.26</v>
      </c>
      <c r="V284">
        <f>Table1[[#This Row],[FSH(mIU/mL)]]/Table1[[#This Row],[LH(mIU/mL)]]</f>
        <v>2.5000000000000004</v>
      </c>
      <c r="W284" t="str">
        <f>IF(Table1[[#This Row],[FSH/LH]]&gt;=2,"Abnormal","Normal")</f>
        <v>Abnormal</v>
      </c>
      <c r="X284">
        <v>35</v>
      </c>
      <c r="Y284">
        <v>33</v>
      </c>
      <c r="Z284">
        <f>ROUND(Table1[[#This Row],[Waist(inch)]]/Table1[[#This Row],[Hip(inch)]],2)</f>
        <v>0.94</v>
      </c>
      <c r="AA284">
        <v>7.02</v>
      </c>
      <c r="AB284">
        <v>10.6</v>
      </c>
      <c r="AC284">
        <v>22.9</v>
      </c>
      <c r="AD284">
        <v>16.7</v>
      </c>
      <c r="AE284" t="str">
        <f>IF(Table1[[#This Row],[Vit D3 (ng/mL)]]&lt;20,"Deficiency","Normal")</f>
        <v>Deficiency</v>
      </c>
      <c r="AF284">
        <v>0.48</v>
      </c>
      <c r="AG284">
        <v>92</v>
      </c>
      <c r="AH284">
        <v>1</v>
      </c>
      <c r="AI284" t="str">
        <f>IF(Table1[[#This Row],[Weight gain(Y/N)]]=0,"NO","YES")</f>
        <v>YES</v>
      </c>
      <c r="AJ284">
        <v>0</v>
      </c>
      <c r="AK284" t="str">
        <f>IF(Table1[[#This Row],[hair growth(Y/N)]]=1,"YES","NO")</f>
        <v>NO</v>
      </c>
      <c r="AL284">
        <v>0</v>
      </c>
      <c r="AM284" t="str">
        <f>IF(Table1[[#This Row],[Skin darkening (Y/N)]]=1,"YES","NO")</f>
        <v>NO</v>
      </c>
      <c r="AN284">
        <v>1</v>
      </c>
      <c r="AO284" t="str">
        <f>IF(Table1[[#This Row],[Hair loss(Y/N)]]=1,"YES","NO")</f>
        <v>YES</v>
      </c>
      <c r="AP284">
        <v>1</v>
      </c>
      <c r="AQ284" t="str">
        <f>IF(Table1[[#This Row],[Pimples(Y/N)]]=1,"YES","NO")</f>
        <v>YES</v>
      </c>
      <c r="AR284">
        <v>1</v>
      </c>
      <c r="AS284" t="str">
        <f>IF(Table1[[#This Row],[Fast food (Y/N)]]=1,"YES","NO")</f>
        <v>YES</v>
      </c>
      <c r="AT284">
        <v>0</v>
      </c>
      <c r="AU284" t="str">
        <f>IF(Table1[[#This Row],[Reg.Exercise(Y/N)]]=1,"YES","NO")</f>
        <v>NO</v>
      </c>
      <c r="AV284">
        <v>120</v>
      </c>
      <c r="AW284">
        <v>80</v>
      </c>
      <c r="AX284">
        <v>8</v>
      </c>
      <c r="AY284">
        <v>5</v>
      </c>
      <c r="AZ284">
        <v>15</v>
      </c>
      <c r="BA284">
        <v>17</v>
      </c>
      <c r="BB284">
        <v>9.8000000000000007</v>
      </c>
      <c r="BC284" t="str" cm="1">
        <f t="array" ref="BC284">_xlfn.IFS((F284/(G284*G284)*10000)&lt; 18.5,"Underweight",(F284/(G284*G284)*10000)&lt;24.9,"Normal",(F284/(G284*G284)*10000)&lt;29.9,"Overweight",(F284/(G284*G284)*10000)&gt;=30,"obesity")</f>
        <v>Overweight</v>
      </c>
      <c r="BD284">
        <f>Table1[[#This Row],[Follicle No. (L)]]+Table1[[#This Row],[Follicle No. (R)]]</f>
        <v>13</v>
      </c>
      <c r="BE284">
        <f>Table1[[#This Row],[Avg. F size (L) (mm)]]+Table1[[#This Row],[Avg. F size (R) (mm)]]</f>
        <v>32</v>
      </c>
      <c r="BF284">
        <f>Table1[[#This Row],[BP _Diastolic (mmHg)]]+(Table1[[#This Row],[BP _Diastolic (mmHg)]]+Table1[[#This Row],[Follicle No. (L)]])/3</f>
        <v>109.33333333333333</v>
      </c>
      <c r="BG284" s="4" t="str" cm="1">
        <f t="array" ref="BG28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84" s="4">
        <f>SUM(Table1[[#This Row],[Pimples(Y/N)]],Table1[[#This Row],[hair growth(Y/N)]],Table1[[#This Row],[Skin darkening (Y/N)]],Table1[[#This Row],[Hair loss(Y/N)]])</f>
        <v>2</v>
      </c>
      <c r="BI284" s="4" t="str">
        <f>IF(AND(Table1[[#This Row],[Pregnant(Y/N)]]=0, Table1[[#This Row],[  I   beta-HCG(mIU/mL)]]&gt;5), "Investigation Required", "Clear")</f>
        <v>Clear</v>
      </c>
    </row>
    <row r="285" spans="1:61" ht="15.75" customHeight="1" x14ac:dyDescent="0.25">
      <c r="A285">
        <v>284</v>
      </c>
      <c r="B285">
        <v>284</v>
      </c>
      <c r="C285">
        <v>0</v>
      </c>
      <c r="D285" t="str">
        <f>IF(Table1[[#This Row],[PCOS (Y/N)]]=0,"NO","YES")</f>
        <v>NO</v>
      </c>
      <c r="E285">
        <v>32</v>
      </c>
      <c r="F285">
        <v>68</v>
      </c>
      <c r="G285">
        <v>158</v>
      </c>
      <c r="H285">
        <v>17</v>
      </c>
      <c r="I285">
        <v>72</v>
      </c>
      <c r="J285">
        <v>18</v>
      </c>
      <c r="K285">
        <v>10.5</v>
      </c>
      <c r="L285">
        <v>2</v>
      </c>
      <c r="M285">
        <v>6</v>
      </c>
      <c r="N285">
        <v>13</v>
      </c>
      <c r="O285">
        <v>0</v>
      </c>
      <c r="P285" t="str">
        <f>IF(Table1[[#This Row],[Pregnant(Y/N)]]=1,"YES","NO")</f>
        <v>NO</v>
      </c>
      <c r="Q285">
        <v>0</v>
      </c>
      <c r="R285">
        <v>3.1</v>
      </c>
      <c r="S285">
        <v>75.62</v>
      </c>
      <c r="T285">
        <v>2.35</v>
      </c>
      <c r="U285">
        <v>0.28999999999999998</v>
      </c>
      <c r="V285">
        <f>Table1[[#This Row],[FSH(mIU/mL)]]/Table1[[#This Row],[LH(mIU/mL)]]</f>
        <v>8.1034482758620694</v>
      </c>
      <c r="W285" t="str">
        <f>IF(Table1[[#This Row],[FSH/LH]]&gt;=2,"Abnormal","Normal")</f>
        <v>Abnormal</v>
      </c>
      <c r="X285">
        <v>37</v>
      </c>
      <c r="Y285">
        <v>35</v>
      </c>
      <c r="Z285">
        <f>ROUND(Table1[[#This Row],[Waist(inch)]]/Table1[[#This Row],[Hip(inch)]],2)</f>
        <v>0.95</v>
      </c>
      <c r="AA285">
        <v>5</v>
      </c>
      <c r="AB285">
        <v>4.2</v>
      </c>
      <c r="AC285">
        <v>38.51</v>
      </c>
      <c r="AD285">
        <v>24</v>
      </c>
      <c r="AE285" t="str">
        <f>IF(Table1[[#This Row],[Vit D3 (ng/mL)]]&lt;20,"Deficiency","Normal")</f>
        <v>Normal</v>
      </c>
      <c r="AF285">
        <v>0.7</v>
      </c>
      <c r="AG285">
        <v>100</v>
      </c>
      <c r="AH285">
        <v>1</v>
      </c>
      <c r="AI285" t="str">
        <f>IF(Table1[[#This Row],[Weight gain(Y/N)]]=0,"NO","YES")</f>
        <v>YES</v>
      </c>
      <c r="AJ285">
        <v>0</v>
      </c>
      <c r="AK285" t="str">
        <f>IF(Table1[[#This Row],[hair growth(Y/N)]]=1,"YES","NO")</f>
        <v>NO</v>
      </c>
      <c r="AL285">
        <v>0</v>
      </c>
      <c r="AM285" t="str">
        <f>IF(Table1[[#This Row],[Skin darkening (Y/N)]]=1,"YES","NO")</f>
        <v>NO</v>
      </c>
      <c r="AN285">
        <v>0</v>
      </c>
      <c r="AO285" t="str">
        <f>IF(Table1[[#This Row],[Hair loss(Y/N)]]=1,"YES","NO")</f>
        <v>NO</v>
      </c>
      <c r="AP285">
        <v>1</v>
      </c>
      <c r="AQ285" t="str">
        <f>IF(Table1[[#This Row],[Pimples(Y/N)]]=1,"YES","NO")</f>
        <v>YES</v>
      </c>
      <c r="AR285">
        <v>1</v>
      </c>
      <c r="AS285" t="str">
        <f>IF(Table1[[#This Row],[Fast food (Y/N)]]=1,"YES","NO")</f>
        <v>YES</v>
      </c>
      <c r="AT285">
        <v>1</v>
      </c>
      <c r="AU285" t="str">
        <f>IF(Table1[[#This Row],[Reg.Exercise(Y/N)]]=1,"YES","NO")</f>
        <v>YES</v>
      </c>
      <c r="AV285">
        <v>110</v>
      </c>
      <c r="AW285">
        <v>80</v>
      </c>
      <c r="AX285">
        <v>3</v>
      </c>
      <c r="AY285">
        <v>5</v>
      </c>
      <c r="AZ285">
        <v>17</v>
      </c>
      <c r="BA285">
        <v>16</v>
      </c>
      <c r="BB285">
        <v>9.8000000000000007</v>
      </c>
      <c r="BC285" t="str" cm="1">
        <f t="array" ref="BC285">_xlfn.IFS((F285/(G285*G285)*10000)&lt; 18.5,"Underweight",(F285/(G285*G285)*10000)&lt;24.9,"Normal",(F285/(G285*G285)*10000)&lt;29.9,"Overweight",(F285/(G285*G285)*10000)&gt;=30,"obesity")</f>
        <v>Overweight</v>
      </c>
      <c r="BD285">
        <f>Table1[[#This Row],[Follicle No. (L)]]+Table1[[#This Row],[Follicle No. (R)]]</f>
        <v>8</v>
      </c>
      <c r="BE285">
        <f>Table1[[#This Row],[Avg. F size (L) (mm)]]+Table1[[#This Row],[Avg. F size (R) (mm)]]</f>
        <v>33</v>
      </c>
      <c r="BF285">
        <f>Table1[[#This Row],[BP _Diastolic (mmHg)]]+(Table1[[#This Row],[BP _Diastolic (mmHg)]]+Table1[[#This Row],[Follicle No. (L)]])/3</f>
        <v>107.66666666666667</v>
      </c>
      <c r="BG285" s="4" t="str" cm="1">
        <f t="array" ref="BG28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85" s="4">
        <f>SUM(Table1[[#This Row],[Pimples(Y/N)]],Table1[[#This Row],[hair growth(Y/N)]],Table1[[#This Row],[Skin darkening (Y/N)]],Table1[[#This Row],[Hair loss(Y/N)]])</f>
        <v>1</v>
      </c>
      <c r="BI285" s="4" t="str">
        <f>IF(AND(Table1[[#This Row],[Pregnant(Y/N)]]=0, Table1[[#This Row],[  I   beta-HCG(mIU/mL)]]&gt;5), "Investigation Required", "Clear")</f>
        <v>Clear</v>
      </c>
    </row>
    <row r="286" spans="1:61" ht="15.75" customHeight="1" x14ac:dyDescent="0.25">
      <c r="A286">
        <v>285</v>
      </c>
      <c r="B286">
        <v>285</v>
      </c>
      <c r="C286">
        <v>0</v>
      </c>
      <c r="D286" t="str">
        <f>IF(Table1[[#This Row],[PCOS (Y/N)]]=0,"NO","YES")</f>
        <v>NO</v>
      </c>
      <c r="E286">
        <v>32</v>
      </c>
      <c r="F286">
        <v>46</v>
      </c>
      <c r="G286">
        <v>152</v>
      </c>
      <c r="H286">
        <v>15</v>
      </c>
      <c r="I286">
        <v>72</v>
      </c>
      <c r="J286">
        <v>20</v>
      </c>
      <c r="K286">
        <v>11.5</v>
      </c>
      <c r="L286">
        <v>2</v>
      </c>
      <c r="M286">
        <v>6</v>
      </c>
      <c r="N286">
        <v>8</v>
      </c>
      <c r="O286">
        <v>0</v>
      </c>
      <c r="P286" t="str">
        <f>IF(Table1[[#This Row],[Pregnant(Y/N)]]=1,"YES","NO")</f>
        <v>NO</v>
      </c>
      <c r="Q286">
        <v>0</v>
      </c>
      <c r="R286">
        <v>1.99</v>
      </c>
      <c r="S286">
        <v>1.99</v>
      </c>
      <c r="T286">
        <v>4.79</v>
      </c>
      <c r="U286">
        <v>4.5</v>
      </c>
      <c r="V286">
        <f>Table1[[#This Row],[FSH(mIU/mL)]]/Table1[[#This Row],[LH(mIU/mL)]]</f>
        <v>1.0644444444444445</v>
      </c>
      <c r="W286" t="str">
        <f>IF(Table1[[#This Row],[FSH/LH]]&gt;=2,"Abnormal","Normal")</f>
        <v>Normal</v>
      </c>
      <c r="X286">
        <v>32</v>
      </c>
      <c r="Y286">
        <v>30</v>
      </c>
      <c r="Z286">
        <f>ROUND(Table1[[#This Row],[Waist(inch)]]/Table1[[#This Row],[Hip(inch)]],2)</f>
        <v>0.94</v>
      </c>
      <c r="AA286">
        <v>2</v>
      </c>
      <c r="AB286">
        <v>4.7</v>
      </c>
      <c r="AC286">
        <v>96.63</v>
      </c>
      <c r="AD286">
        <v>22.6</v>
      </c>
      <c r="AE286" t="str">
        <f>IF(Table1[[#This Row],[Vit D3 (ng/mL)]]&lt;20,"Deficiency","Normal")</f>
        <v>Normal</v>
      </c>
      <c r="AF286">
        <v>0.5</v>
      </c>
      <c r="AG286">
        <v>112</v>
      </c>
      <c r="AH286">
        <v>0</v>
      </c>
      <c r="AI286" t="str">
        <f>IF(Table1[[#This Row],[Weight gain(Y/N)]]=0,"NO","YES")</f>
        <v>NO</v>
      </c>
      <c r="AJ286">
        <v>0</v>
      </c>
      <c r="AK286" t="str">
        <f>IF(Table1[[#This Row],[hair growth(Y/N)]]=1,"YES","NO")</f>
        <v>NO</v>
      </c>
      <c r="AL286">
        <v>0</v>
      </c>
      <c r="AM286" t="str">
        <f>IF(Table1[[#This Row],[Skin darkening (Y/N)]]=1,"YES","NO")</f>
        <v>NO</v>
      </c>
      <c r="AN286">
        <v>1</v>
      </c>
      <c r="AO286" t="str">
        <f>IF(Table1[[#This Row],[Hair loss(Y/N)]]=1,"YES","NO")</f>
        <v>YES</v>
      </c>
      <c r="AP286">
        <v>1</v>
      </c>
      <c r="AQ286" t="str">
        <f>IF(Table1[[#This Row],[Pimples(Y/N)]]=1,"YES","NO")</f>
        <v>YES</v>
      </c>
      <c r="AR286">
        <v>0</v>
      </c>
      <c r="AS286" t="str">
        <f>IF(Table1[[#This Row],[Fast food (Y/N)]]=1,"YES","NO")</f>
        <v>NO</v>
      </c>
      <c r="AT286">
        <v>0</v>
      </c>
      <c r="AU286" t="str">
        <f>IF(Table1[[#This Row],[Reg.Exercise(Y/N)]]=1,"YES","NO")</f>
        <v>NO</v>
      </c>
      <c r="AV286">
        <v>120</v>
      </c>
      <c r="AW286">
        <v>80</v>
      </c>
      <c r="AX286">
        <v>1</v>
      </c>
      <c r="AY286">
        <v>1</v>
      </c>
      <c r="AZ286">
        <v>11</v>
      </c>
      <c r="BA286">
        <v>16</v>
      </c>
      <c r="BB286">
        <v>11</v>
      </c>
      <c r="BC286" t="str" cm="1">
        <f t="array" ref="BC286">_xlfn.IFS((F286/(G286*G286)*10000)&lt; 18.5,"Underweight",(F286/(G286*G286)*10000)&lt;24.9,"Normal",(F286/(G286*G286)*10000)&lt;29.9,"Overweight",(F286/(G286*G286)*10000)&gt;=30,"obesity")</f>
        <v>Normal</v>
      </c>
      <c r="BD286">
        <f>Table1[[#This Row],[Follicle No. (L)]]+Table1[[#This Row],[Follicle No. (R)]]</f>
        <v>2</v>
      </c>
      <c r="BE286">
        <f>Table1[[#This Row],[Avg. F size (L) (mm)]]+Table1[[#This Row],[Avg. F size (R) (mm)]]</f>
        <v>27</v>
      </c>
      <c r="BF286">
        <f>Table1[[#This Row],[BP _Diastolic (mmHg)]]+(Table1[[#This Row],[BP _Diastolic (mmHg)]]+Table1[[#This Row],[Follicle No. (L)]])/3</f>
        <v>107</v>
      </c>
      <c r="BG286" s="4" t="str" cm="1">
        <f t="array" ref="BG28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86" s="4">
        <f>SUM(Table1[[#This Row],[Pimples(Y/N)]],Table1[[#This Row],[hair growth(Y/N)]],Table1[[#This Row],[Skin darkening (Y/N)]],Table1[[#This Row],[Hair loss(Y/N)]])</f>
        <v>2</v>
      </c>
      <c r="BI286" s="4" t="str">
        <f>IF(AND(Table1[[#This Row],[Pregnant(Y/N)]]=0, Table1[[#This Row],[  I   beta-HCG(mIU/mL)]]&gt;5), "Investigation Required", "Clear")</f>
        <v>Clear</v>
      </c>
    </row>
    <row r="287" spans="1:61" ht="15.75" customHeight="1" x14ac:dyDescent="0.25">
      <c r="A287">
        <v>286</v>
      </c>
      <c r="B287">
        <v>286</v>
      </c>
      <c r="C287">
        <v>0</v>
      </c>
      <c r="D287" t="str">
        <f>IF(Table1[[#This Row],[PCOS (Y/N)]]=0,"NO","YES")</f>
        <v>NO</v>
      </c>
      <c r="E287">
        <v>38</v>
      </c>
      <c r="F287">
        <v>52</v>
      </c>
      <c r="G287">
        <v>156</v>
      </c>
      <c r="H287">
        <v>17</v>
      </c>
      <c r="I287">
        <v>72</v>
      </c>
      <c r="J287">
        <v>18</v>
      </c>
      <c r="K287">
        <v>10.8</v>
      </c>
      <c r="L287">
        <v>2</v>
      </c>
      <c r="M287">
        <v>5</v>
      </c>
      <c r="N287">
        <v>10</v>
      </c>
      <c r="O287">
        <v>0</v>
      </c>
      <c r="P287" t="str">
        <f>IF(Table1[[#This Row],[Pregnant(Y/N)]]=1,"YES","NO")</f>
        <v>NO</v>
      </c>
      <c r="Q287">
        <v>0</v>
      </c>
      <c r="R287">
        <v>227.56</v>
      </c>
      <c r="S287">
        <v>4.96</v>
      </c>
      <c r="T287">
        <v>3.75</v>
      </c>
      <c r="U287">
        <v>0.34</v>
      </c>
      <c r="V287">
        <f>Table1[[#This Row],[FSH(mIU/mL)]]/Table1[[#This Row],[LH(mIU/mL)]]</f>
        <v>11.029411764705882</v>
      </c>
      <c r="W287" t="str">
        <f>IF(Table1[[#This Row],[FSH/LH]]&gt;=2,"Abnormal","Normal")</f>
        <v>Abnormal</v>
      </c>
      <c r="X287">
        <v>33</v>
      </c>
      <c r="Y287">
        <v>30</v>
      </c>
      <c r="Z287">
        <f>ROUND(Table1[[#This Row],[Waist(inch)]]/Table1[[#This Row],[Hip(inch)]],2)</f>
        <v>0.91</v>
      </c>
      <c r="AA287">
        <v>1.26</v>
      </c>
      <c r="AB287">
        <v>4.8</v>
      </c>
      <c r="AC287">
        <v>17.07</v>
      </c>
      <c r="AD287">
        <v>20.100000000000001</v>
      </c>
      <c r="AE287" t="str">
        <f>IF(Table1[[#This Row],[Vit D3 (ng/mL)]]&lt;20,"Deficiency","Normal")</f>
        <v>Normal</v>
      </c>
      <c r="AF287">
        <v>0.3</v>
      </c>
      <c r="AG287">
        <v>110</v>
      </c>
      <c r="AH287">
        <v>0</v>
      </c>
      <c r="AI287" t="str">
        <f>IF(Table1[[#This Row],[Weight gain(Y/N)]]=0,"NO","YES")</f>
        <v>NO</v>
      </c>
      <c r="AJ287">
        <v>0</v>
      </c>
      <c r="AK287" t="str">
        <f>IF(Table1[[#This Row],[hair growth(Y/N)]]=1,"YES","NO")</f>
        <v>NO</v>
      </c>
      <c r="AL287">
        <v>0</v>
      </c>
      <c r="AM287" t="str">
        <f>IF(Table1[[#This Row],[Skin darkening (Y/N)]]=1,"YES","NO")</f>
        <v>NO</v>
      </c>
      <c r="AN287">
        <v>1</v>
      </c>
      <c r="AO287" t="str">
        <f>IF(Table1[[#This Row],[Hair loss(Y/N)]]=1,"YES","NO")</f>
        <v>YES</v>
      </c>
      <c r="AP287">
        <v>0</v>
      </c>
      <c r="AQ287" t="str">
        <f>IF(Table1[[#This Row],[Pimples(Y/N)]]=1,"YES","NO")</f>
        <v>NO</v>
      </c>
      <c r="AR287">
        <v>0</v>
      </c>
      <c r="AS287" t="str">
        <f>IF(Table1[[#This Row],[Fast food (Y/N)]]=1,"YES","NO")</f>
        <v>NO</v>
      </c>
      <c r="AT287">
        <v>1</v>
      </c>
      <c r="AU287" t="str">
        <f>IF(Table1[[#This Row],[Reg.Exercise(Y/N)]]=1,"YES","NO")</f>
        <v>YES</v>
      </c>
      <c r="AV287">
        <v>120</v>
      </c>
      <c r="AW287">
        <v>80</v>
      </c>
      <c r="AX287">
        <v>1</v>
      </c>
      <c r="AY287">
        <v>2</v>
      </c>
      <c r="AZ287">
        <v>20</v>
      </c>
      <c r="BA287">
        <v>17</v>
      </c>
      <c r="BB287">
        <v>7.2</v>
      </c>
      <c r="BC287" t="str" cm="1">
        <f t="array" ref="BC287">_xlfn.IFS((F287/(G287*G287)*10000)&lt; 18.5,"Underweight",(F287/(G287*G287)*10000)&lt;24.9,"Normal",(F287/(G287*G287)*10000)&lt;29.9,"Overweight",(F287/(G287*G287)*10000)&gt;=30,"obesity")</f>
        <v>Normal</v>
      </c>
      <c r="BD287">
        <f>Table1[[#This Row],[Follicle No. (L)]]+Table1[[#This Row],[Follicle No. (R)]]</f>
        <v>3</v>
      </c>
      <c r="BE287">
        <f>Table1[[#This Row],[Avg. F size (L) (mm)]]+Table1[[#This Row],[Avg. F size (R) (mm)]]</f>
        <v>37</v>
      </c>
      <c r="BF287">
        <f>Table1[[#This Row],[BP _Diastolic (mmHg)]]+(Table1[[#This Row],[BP _Diastolic (mmHg)]]+Table1[[#This Row],[Follicle No. (L)]])/3</f>
        <v>107</v>
      </c>
      <c r="BG287" s="4" t="str" cm="1">
        <f t="array" ref="BG28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87" s="4">
        <f>SUM(Table1[[#This Row],[Pimples(Y/N)]],Table1[[#This Row],[hair growth(Y/N)]],Table1[[#This Row],[Skin darkening (Y/N)]],Table1[[#This Row],[Hair loss(Y/N)]])</f>
        <v>1</v>
      </c>
      <c r="BI287" s="4" t="str">
        <f>IF(AND(Table1[[#This Row],[Pregnant(Y/N)]]=0, Table1[[#This Row],[  I   beta-HCG(mIU/mL)]]&gt;5), "Investigation Required", "Clear")</f>
        <v>Investigation Required</v>
      </c>
    </row>
    <row r="288" spans="1:61" ht="15.75" customHeight="1" x14ac:dyDescent="0.25">
      <c r="A288">
        <v>287</v>
      </c>
      <c r="B288">
        <v>287</v>
      </c>
      <c r="C288">
        <v>0</v>
      </c>
      <c r="D288" t="str">
        <f>IF(Table1[[#This Row],[PCOS (Y/N)]]=0,"NO","YES")</f>
        <v>NO</v>
      </c>
      <c r="E288">
        <v>26</v>
      </c>
      <c r="F288">
        <v>67</v>
      </c>
      <c r="G288">
        <v>154</v>
      </c>
      <c r="H288">
        <v>11</v>
      </c>
      <c r="I288">
        <v>72</v>
      </c>
      <c r="J288">
        <v>18</v>
      </c>
      <c r="K288">
        <v>13.2</v>
      </c>
      <c r="L288">
        <v>2</v>
      </c>
      <c r="M288">
        <v>5</v>
      </c>
      <c r="N288">
        <v>5</v>
      </c>
      <c r="O288">
        <v>0</v>
      </c>
      <c r="P288" t="str">
        <f>IF(Table1[[#This Row],[Pregnant(Y/N)]]=1,"YES","NO")</f>
        <v>NO</v>
      </c>
      <c r="Q288">
        <v>1</v>
      </c>
      <c r="R288">
        <v>1.99</v>
      </c>
      <c r="S288">
        <v>1.99</v>
      </c>
      <c r="T288">
        <v>7.76</v>
      </c>
      <c r="U288">
        <v>2.71</v>
      </c>
      <c r="V288">
        <f>Table1[[#This Row],[FSH(mIU/mL)]]/Table1[[#This Row],[LH(mIU/mL)]]</f>
        <v>2.8634686346863467</v>
      </c>
      <c r="W288" t="str">
        <f>IF(Table1[[#This Row],[FSH/LH]]&gt;=2,"Abnormal","Normal")</f>
        <v>Abnormal</v>
      </c>
      <c r="X288">
        <v>36</v>
      </c>
      <c r="Y288">
        <v>34</v>
      </c>
      <c r="Z288">
        <f>ROUND(Table1[[#This Row],[Waist(inch)]]/Table1[[#This Row],[Hip(inch)]],2)</f>
        <v>0.94</v>
      </c>
      <c r="AA288">
        <v>3.71</v>
      </c>
      <c r="AB288">
        <v>1.7</v>
      </c>
      <c r="AC288">
        <v>23.98</v>
      </c>
      <c r="AD288">
        <v>17.100000000000001</v>
      </c>
      <c r="AE288" t="str">
        <f>IF(Table1[[#This Row],[Vit D3 (ng/mL)]]&lt;20,"Deficiency","Normal")</f>
        <v>Deficiency</v>
      </c>
      <c r="AF288">
        <v>0.25</v>
      </c>
      <c r="AG288">
        <v>122</v>
      </c>
      <c r="AH288">
        <v>1</v>
      </c>
      <c r="AI288" t="str">
        <f>IF(Table1[[#This Row],[Weight gain(Y/N)]]=0,"NO","YES")</f>
        <v>YES</v>
      </c>
      <c r="AJ288">
        <v>0</v>
      </c>
      <c r="AK288" t="str">
        <f>IF(Table1[[#This Row],[hair growth(Y/N)]]=1,"YES","NO")</f>
        <v>NO</v>
      </c>
      <c r="AL288">
        <v>0</v>
      </c>
      <c r="AM288" t="str">
        <f>IF(Table1[[#This Row],[Skin darkening (Y/N)]]=1,"YES","NO")</f>
        <v>NO</v>
      </c>
      <c r="AN288">
        <v>1</v>
      </c>
      <c r="AO288" t="str">
        <f>IF(Table1[[#This Row],[Hair loss(Y/N)]]=1,"YES","NO")</f>
        <v>YES</v>
      </c>
      <c r="AP288">
        <v>0</v>
      </c>
      <c r="AQ288" t="str">
        <f>IF(Table1[[#This Row],[Pimples(Y/N)]]=1,"YES","NO")</f>
        <v>NO</v>
      </c>
      <c r="AR288">
        <v>1</v>
      </c>
      <c r="AS288" t="str">
        <f>IF(Table1[[#This Row],[Fast food (Y/N)]]=1,"YES","NO")</f>
        <v>YES</v>
      </c>
      <c r="AT288">
        <v>0</v>
      </c>
      <c r="AU288" t="str">
        <f>IF(Table1[[#This Row],[Reg.Exercise(Y/N)]]=1,"YES","NO")</f>
        <v>NO</v>
      </c>
      <c r="AV288">
        <v>120</v>
      </c>
      <c r="AW288">
        <v>70</v>
      </c>
      <c r="AX288">
        <v>2</v>
      </c>
      <c r="AY288">
        <v>1</v>
      </c>
      <c r="AZ288">
        <v>16</v>
      </c>
      <c r="BA288">
        <v>14</v>
      </c>
      <c r="BB288">
        <v>7.8</v>
      </c>
      <c r="BC288" t="str" cm="1">
        <f t="array" ref="BC288">_xlfn.IFS((F288/(G288*G288)*10000)&lt; 18.5,"Underweight",(F288/(G288*G288)*10000)&lt;24.9,"Normal",(F288/(G288*G288)*10000)&lt;29.9,"Overweight",(F288/(G288*G288)*10000)&gt;=30,"obesity")</f>
        <v>Overweight</v>
      </c>
      <c r="BD288">
        <f>Table1[[#This Row],[Follicle No. (L)]]+Table1[[#This Row],[Follicle No. (R)]]</f>
        <v>3</v>
      </c>
      <c r="BE288">
        <f>Table1[[#This Row],[Avg. F size (L) (mm)]]+Table1[[#This Row],[Avg. F size (R) (mm)]]</f>
        <v>30</v>
      </c>
      <c r="BF288">
        <f>Table1[[#This Row],[BP _Diastolic (mmHg)]]+(Table1[[#This Row],[BP _Diastolic (mmHg)]]+Table1[[#This Row],[Follicle No. (L)]])/3</f>
        <v>94</v>
      </c>
      <c r="BG288" s="4" t="str" cm="1">
        <f t="array" ref="BG28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88" s="4">
        <f>SUM(Table1[[#This Row],[Pimples(Y/N)]],Table1[[#This Row],[hair growth(Y/N)]],Table1[[#This Row],[Skin darkening (Y/N)]],Table1[[#This Row],[Hair loss(Y/N)]])</f>
        <v>1</v>
      </c>
      <c r="BI288" s="4" t="str">
        <f>IF(AND(Table1[[#This Row],[Pregnant(Y/N)]]=0, Table1[[#This Row],[  I   beta-HCG(mIU/mL)]]&gt;5), "Investigation Required", "Clear")</f>
        <v>Clear</v>
      </c>
    </row>
    <row r="289" spans="1:61" ht="15.75" customHeight="1" x14ac:dyDescent="0.25">
      <c r="A289">
        <v>288</v>
      </c>
      <c r="B289">
        <v>288</v>
      </c>
      <c r="C289">
        <v>1</v>
      </c>
      <c r="D289" t="str">
        <f>IF(Table1[[#This Row],[PCOS (Y/N)]]=0,"NO","YES")</f>
        <v>YES</v>
      </c>
      <c r="E289">
        <v>29</v>
      </c>
      <c r="F289">
        <v>53</v>
      </c>
      <c r="G289">
        <v>152</v>
      </c>
      <c r="H289">
        <v>17</v>
      </c>
      <c r="I289">
        <v>78</v>
      </c>
      <c r="J289">
        <v>22</v>
      </c>
      <c r="K289">
        <v>11</v>
      </c>
      <c r="L289">
        <v>2</v>
      </c>
      <c r="M289">
        <v>5</v>
      </c>
      <c r="N289">
        <v>2.5</v>
      </c>
      <c r="O289">
        <v>0</v>
      </c>
      <c r="P289" t="str">
        <f>IF(Table1[[#This Row],[Pregnant(Y/N)]]=1,"YES","NO")</f>
        <v>NO</v>
      </c>
      <c r="Q289">
        <v>0</v>
      </c>
      <c r="R289">
        <v>53.09</v>
      </c>
      <c r="S289">
        <v>1.99</v>
      </c>
      <c r="T289">
        <v>6.06</v>
      </c>
      <c r="U289">
        <v>2.14</v>
      </c>
      <c r="V289">
        <f>Table1[[#This Row],[FSH(mIU/mL)]]/Table1[[#This Row],[LH(mIU/mL)]]</f>
        <v>2.8317757009345792</v>
      </c>
      <c r="W289" t="str">
        <f>IF(Table1[[#This Row],[FSH/LH]]&gt;=2,"Abnormal","Normal")</f>
        <v>Abnormal</v>
      </c>
      <c r="X289">
        <v>34</v>
      </c>
      <c r="Y289">
        <v>32</v>
      </c>
      <c r="Z289">
        <f>ROUND(Table1[[#This Row],[Waist(inch)]]/Table1[[#This Row],[Hip(inch)]],2)</f>
        <v>0.94</v>
      </c>
      <c r="AA289">
        <v>2.35</v>
      </c>
      <c r="AB289">
        <v>5.4</v>
      </c>
      <c r="AC289">
        <v>12.26</v>
      </c>
      <c r="AD289">
        <v>18</v>
      </c>
      <c r="AE289" t="str">
        <f>IF(Table1[[#This Row],[Vit D3 (ng/mL)]]&lt;20,"Deficiency","Normal")</f>
        <v>Deficiency</v>
      </c>
      <c r="AF289">
        <v>0.25</v>
      </c>
      <c r="AG289">
        <v>100</v>
      </c>
      <c r="AH289">
        <v>0</v>
      </c>
      <c r="AI289" t="str">
        <f>IF(Table1[[#This Row],[Weight gain(Y/N)]]=0,"NO","YES")</f>
        <v>NO</v>
      </c>
      <c r="AJ289">
        <v>1</v>
      </c>
      <c r="AK289" t="str">
        <f>IF(Table1[[#This Row],[hair growth(Y/N)]]=1,"YES","NO")</f>
        <v>YES</v>
      </c>
      <c r="AL289">
        <v>1</v>
      </c>
      <c r="AM289" t="str">
        <f>IF(Table1[[#This Row],[Skin darkening (Y/N)]]=1,"YES","NO")</f>
        <v>YES</v>
      </c>
      <c r="AN289">
        <v>0</v>
      </c>
      <c r="AO289" t="str">
        <f>IF(Table1[[#This Row],[Hair loss(Y/N)]]=1,"YES","NO")</f>
        <v>NO</v>
      </c>
      <c r="AP289">
        <v>1</v>
      </c>
      <c r="AQ289" t="str">
        <f>IF(Table1[[#This Row],[Pimples(Y/N)]]=1,"YES","NO")</f>
        <v>YES</v>
      </c>
      <c r="AR289">
        <v>0</v>
      </c>
      <c r="AS289" t="str">
        <f>IF(Table1[[#This Row],[Fast food (Y/N)]]=1,"YES","NO")</f>
        <v>NO</v>
      </c>
      <c r="AT289">
        <v>0</v>
      </c>
      <c r="AU289" t="str">
        <f>IF(Table1[[#This Row],[Reg.Exercise(Y/N)]]=1,"YES","NO")</f>
        <v>NO</v>
      </c>
      <c r="AV289">
        <v>110</v>
      </c>
      <c r="AW289">
        <v>80</v>
      </c>
      <c r="AX289">
        <v>10</v>
      </c>
      <c r="AY289">
        <v>7</v>
      </c>
      <c r="AZ289">
        <v>18</v>
      </c>
      <c r="BA289">
        <v>14</v>
      </c>
      <c r="BB289">
        <v>9</v>
      </c>
      <c r="BC289" t="str" cm="1">
        <f t="array" ref="BC289">_xlfn.IFS((F289/(G289*G289)*10000)&lt; 18.5,"Underweight",(F289/(G289*G289)*10000)&lt;24.9,"Normal",(F289/(G289*G289)*10000)&lt;29.9,"Overweight",(F289/(G289*G289)*10000)&gt;=30,"obesity")</f>
        <v>Normal</v>
      </c>
      <c r="BD289">
        <f>Table1[[#This Row],[Follicle No. (L)]]+Table1[[#This Row],[Follicle No. (R)]]</f>
        <v>17</v>
      </c>
      <c r="BE289">
        <f>Table1[[#This Row],[Avg. F size (L) (mm)]]+Table1[[#This Row],[Avg. F size (R) (mm)]]</f>
        <v>32</v>
      </c>
      <c r="BF289">
        <f>Table1[[#This Row],[BP _Diastolic (mmHg)]]+(Table1[[#This Row],[BP _Diastolic (mmHg)]]+Table1[[#This Row],[Follicle No. (L)]])/3</f>
        <v>110</v>
      </c>
      <c r="BG289" s="4" t="str" cm="1">
        <f t="array" ref="BG28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89" s="4">
        <f>SUM(Table1[[#This Row],[Pimples(Y/N)]],Table1[[#This Row],[hair growth(Y/N)]],Table1[[#This Row],[Skin darkening (Y/N)]],Table1[[#This Row],[Hair loss(Y/N)]])</f>
        <v>3</v>
      </c>
      <c r="BI289" s="4" t="str">
        <f>IF(AND(Table1[[#This Row],[Pregnant(Y/N)]]=0, Table1[[#This Row],[  I   beta-HCG(mIU/mL)]]&gt;5), "Investigation Required", "Clear")</f>
        <v>Investigation Required</v>
      </c>
    </row>
    <row r="290" spans="1:61" ht="15.75" customHeight="1" x14ac:dyDescent="0.25">
      <c r="A290">
        <v>289</v>
      </c>
      <c r="B290">
        <v>289</v>
      </c>
      <c r="C290">
        <v>0</v>
      </c>
      <c r="D290" t="str">
        <f>IF(Table1[[#This Row],[PCOS (Y/N)]]=0,"NO","YES")</f>
        <v>NO</v>
      </c>
      <c r="E290">
        <v>35</v>
      </c>
      <c r="F290">
        <v>66</v>
      </c>
      <c r="G290">
        <v>155</v>
      </c>
      <c r="H290">
        <v>15</v>
      </c>
      <c r="I290">
        <v>78</v>
      </c>
      <c r="J290">
        <v>22</v>
      </c>
      <c r="K290">
        <v>10.5</v>
      </c>
      <c r="L290">
        <v>4</v>
      </c>
      <c r="M290">
        <v>3</v>
      </c>
      <c r="N290">
        <v>4</v>
      </c>
      <c r="O290">
        <v>0</v>
      </c>
      <c r="P290" t="str">
        <f>IF(Table1[[#This Row],[Pregnant(Y/N)]]=1,"YES","NO")</f>
        <v>NO</v>
      </c>
      <c r="Q290">
        <v>2</v>
      </c>
      <c r="R290">
        <v>1.99</v>
      </c>
      <c r="S290">
        <v>1.99</v>
      </c>
      <c r="T290">
        <v>6.51</v>
      </c>
      <c r="U290">
        <v>3.23</v>
      </c>
      <c r="V290">
        <f>Table1[[#This Row],[FSH(mIU/mL)]]/Table1[[#This Row],[LH(mIU/mL)]]</f>
        <v>2.0154798761609904</v>
      </c>
      <c r="W290" t="str">
        <f>IF(Table1[[#This Row],[FSH/LH]]&gt;=2,"Abnormal","Normal")</f>
        <v>Abnormal</v>
      </c>
      <c r="X290">
        <v>37</v>
      </c>
      <c r="Y290">
        <v>35</v>
      </c>
      <c r="Z290">
        <f>ROUND(Table1[[#This Row],[Waist(inch)]]/Table1[[#This Row],[Hip(inch)]],2)</f>
        <v>0.95</v>
      </c>
      <c r="AA290">
        <v>4.6100000000000003</v>
      </c>
      <c r="AB290">
        <v>1.2</v>
      </c>
      <c r="AC290">
        <v>18.14</v>
      </c>
      <c r="AD290">
        <v>27.2</v>
      </c>
      <c r="AE290" t="str">
        <f>IF(Table1[[#This Row],[Vit D3 (ng/mL)]]&lt;20,"Deficiency","Normal")</f>
        <v>Normal</v>
      </c>
      <c r="AF290">
        <v>0.31</v>
      </c>
      <c r="AG290">
        <v>100</v>
      </c>
      <c r="AH290">
        <v>1</v>
      </c>
      <c r="AI290" t="str">
        <f>IF(Table1[[#This Row],[Weight gain(Y/N)]]=0,"NO","YES")</f>
        <v>YES</v>
      </c>
      <c r="AJ290">
        <v>0</v>
      </c>
      <c r="AK290" t="str">
        <f>IF(Table1[[#This Row],[hair growth(Y/N)]]=1,"YES","NO")</f>
        <v>NO</v>
      </c>
      <c r="AL290">
        <v>0</v>
      </c>
      <c r="AM290" t="str">
        <f>IF(Table1[[#This Row],[Skin darkening (Y/N)]]=1,"YES","NO")</f>
        <v>NO</v>
      </c>
      <c r="AN290">
        <v>0</v>
      </c>
      <c r="AO290" t="str">
        <f>IF(Table1[[#This Row],[Hair loss(Y/N)]]=1,"YES","NO")</f>
        <v>NO</v>
      </c>
      <c r="AP290">
        <v>0</v>
      </c>
      <c r="AQ290" t="str">
        <f>IF(Table1[[#This Row],[Pimples(Y/N)]]=1,"YES","NO")</f>
        <v>NO</v>
      </c>
      <c r="AR290">
        <v>1</v>
      </c>
      <c r="AS290" t="str">
        <f>IF(Table1[[#This Row],[Fast food (Y/N)]]=1,"YES","NO")</f>
        <v>YES</v>
      </c>
      <c r="AT290">
        <v>0</v>
      </c>
      <c r="AU290" t="str">
        <f>IF(Table1[[#This Row],[Reg.Exercise(Y/N)]]=1,"YES","NO")</f>
        <v>NO</v>
      </c>
      <c r="AV290">
        <v>110</v>
      </c>
      <c r="AW290">
        <v>80</v>
      </c>
      <c r="AX290">
        <v>1</v>
      </c>
      <c r="AY290">
        <v>0</v>
      </c>
      <c r="AZ290">
        <v>15</v>
      </c>
      <c r="BA290">
        <v>18</v>
      </c>
      <c r="BB290">
        <v>7.7</v>
      </c>
      <c r="BC290" t="str" cm="1">
        <f t="array" ref="BC290">_xlfn.IFS((F290/(G290*G290)*10000)&lt; 18.5,"Underweight",(F290/(G290*G290)*10000)&lt;24.9,"Normal",(F290/(G290*G290)*10000)&lt;29.9,"Overweight",(F290/(G290*G290)*10000)&gt;=30,"obesity")</f>
        <v>Overweight</v>
      </c>
      <c r="BD290">
        <f>Table1[[#This Row],[Follicle No. (L)]]+Table1[[#This Row],[Follicle No. (R)]]</f>
        <v>1</v>
      </c>
      <c r="BE290">
        <f>Table1[[#This Row],[Avg. F size (L) (mm)]]+Table1[[#This Row],[Avg. F size (R) (mm)]]</f>
        <v>33</v>
      </c>
      <c r="BF290">
        <f>Table1[[#This Row],[BP _Diastolic (mmHg)]]+(Table1[[#This Row],[BP _Diastolic (mmHg)]]+Table1[[#This Row],[Follicle No. (L)]])/3</f>
        <v>107</v>
      </c>
      <c r="BG290" s="4" t="str" cm="1">
        <f t="array" ref="BG29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90" s="4">
        <f>SUM(Table1[[#This Row],[Pimples(Y/N)]],Table1[[#This Row],[hair growth(Y/N)]],Table1[[#This Row],[Skin darkening (Y/N)]],Table1[[#This Row],[Hair loss(Y/N)]])</f>
        <v>0</v>
      </c>
      <c r="BI290" s="4" t="str">
        <f>IF(AND(Table1[[#This Row],[Pregnant(Y/N)]]=0, Table1[[#This Row],[  I   beta-HCG(mIU/mL)]]&gt;5), "Investigation Required", "Clear")</f>
        <v>Clear</v>
      </c>
    </row>
    <row r="291" spans="1:61" ht="15.75" customHeight="1" x14ac:dyDescent="0.25">
      <c r="A291">
        <v>290</v>
      </c>
      <c r="B291">
        <v>290</v>
      </c>
      <c r="C291">
        <v>0</v>
      </c>
      <c r="D291" t="str">
        <f>IF(Table1[[#This Row],[PCOS (Y/N)]]=0,"NO","YES")</f>
        <v>NO</v>
      </c>
      <c r="E291">
        <v>27</v>
      </c>
      <c r="F291">
        <v>65</v>
      </c>
      <c r="G291">
        <v>162</v>
      </c>
      <c r="H291">
        <v>15</v>
      </c>
      <c r="I291">
        <v>72</v>
      </c>
      <c r="J291">
        <v>18</v>
      </c>
      <c r="K291">
        <v>10.7</v>
      </c>
      <c r="L291">
        <v>2</v>
      </c>
      <c r="M291">
        <v>5</v>
      </c>
      <c r="N291">
        <v>3.5</v>
      </c>
      <c r="O291">
        <v>0</v>
      </c>
      <c r="P291" t="str">
        <f>IF(Table1[[#This Row],[Pregnant(Y/N)]]=1,"YES","NO")</f>
        <v>NO</v>
      </c>
      <c r="Q291">
        <v>1</v>
      </c>
      <c r="R291">
        <v>213.21</v>
      </c>
      <c r="S291">
        <v>1.99</v>
      </c>
      <c r="T291">
        <v>5.47</v>
      </c>
      <c r="U291">
        <v>4.95</v>
      </c>
      <c r="V291">
        <f>Table1[[#This Row],[FSH(mIU/mL)]]/Table1[[#This Row],[LH(mIU/mL)]]</f>
        <v>1.1050505050505051</v>
      </c>
      <c r="W291" t="str">
        <f>IF(Table1[[#This Row],[FSH/LH]]&gt;=2,"Abnormal","Normal")</f>
        <v>Normal</v>
      </c>
      <c r="X291">
        <v>38</v>
      </c>
      <c r="Y291">
        <v>36</v>
      </c>
      <c r="Z291">
        <f>ROUND(Table1[[#This Row],[Waist(inch)]]/Table1[[#This Row],[Hip(inch)]],2)</f>
        <v>0.95</v>
      </c>
      <c r="AA291">
        <v>4.29</v>
      </c>
      <c r="AB291">
        <v>5.4</v>
      </c>
      <c r="AC291">
        <v>41.03</v>
      </c>
      <c r="AD291">
        <v>21.4</v>
      </c>
      <c r="AE291" t="str">
        <f>IF(Table1[[#This Row],[Vit D3 (ng/mL)]]&lt;20,"Deficiency","Normal")</f>
        <v>Normal</v>
      </c>
      <c r="AF291">
        <v>0.25</v>
      </c>
      <c r="AG291">
        <v>92</v>
      </c>
      <c r="AH291">
        <v>1</v>
      </c>
      <c r="AI291" t="str">
        <f>IF(Table1[[#This Row],[Weight gain(Y/N)]]=0,"NO","YES")</f>
        <v>YES</v>
      </c>
      <c r="AJ291">
        <v>1</v>
      </c>
      <c r="AK291" t="str">
        <f>IF(Table1[[#This Row],[hair growth(Y/N)]]=1,"YES","NO")</f>
        <v>YES</v>
      </c>
      <c r="AL291">
        <v>1</v>
      </c>
      <c r="AM291" t="str">
        <f>IF(Table1[[#This Row],[Skin darkening (Y/N)]]=1,"YES","NO")</f>
        <v>YES</v>
      </c>
      <c r="AN291">
        <v>1</v>
      </c>
      <c r="AO291" t="str">
        <f>IF(Table1[[#This Row],[Hair loss(Y/N)]]=1,"YES","NO")</f>
        <v>YES</v>
      </c>
      <c r="AP291">
        <v>1</v>
      </c>
      <c r="AQ291" t="str">
        <f>IF(Table1[[#This Row],[Pimples(Y/N)]]=1,"YES","NO")</f>
        <v>YES</v>
      </c>
      <c r="AR291">
        <v>0</v>
      </c>
      <c r="AS291" t="str">
        <f>IF(Table1[[#This Row],[Fast food (Y/N)]]=1,"YES","NO")</f>
        <v>NO</v>
      </c>
      <c r="AT291">
        <v>0</v>
      </c>
      <c r="AU291" t="str">
        <f>IF(Table1[[#This Row],[Reg.Exercise(Y/N)]]=1,"YES","NO")</f>
        <v>NO</v>
      </c>
      <c r="AV291">
        <v>110</v>
      </c>
      <c r="AW291">
        <v>80</v>
      </c>
      <c r="AX291">
        <v>5</v>
      </c>
      <c r="AY291">
        <v>3</v>
      </c>
      <c r="AZ291">
        <v>16</v>
      </c>
      <c r="BA291">
        <v>17</v>
      </c>
      <c r="BB291">
        <v>8</v>
      </c>
      <c r="BC291" t="str" cm="1">
        <f t="array" ref="BC291">_xlfn.IFS((F291/(G291*G291)*10000)&lt; 18.5,"Underweight",(F291/(G291*G291)*10000)&lt;24.9,"Normal",(F291/(G291*G291)*10000)&lt;29.9,"Overweight",(F291/(G291*G291)*10000)&gt;=30,"obesity")</f>
        <v>Normal</v>
      </c>
      <c r="BD291">
        <f>Table1[[#This Row],[Follicle No. (L)]]+Table1[[#This Row],[Follicle No. (R)]]</f>
        <v>8</v>
      </c>
      <c r="BE291">
        <f>Table1[[#This Row],[Avg. F size (L) (mm)]]+Table1[[#This Row],[Avg. F size (R) (mm)]]</f>
        <v>33</v>
      </c>
      <c r="BF291">
        <f>Table1[[#This Row],[BP _Diastolic (mmHg)]]+(Table1[[#This Row],[BP _Diastolic (mmHg)]]+Table1[[#This Row],[Follicle No. (L)]])/3</f>
        <v>108.33333333333333</v>
      </c>
      <c r="BG291" s="4" t="str" cm="1">
        <f t="array" ref="BG29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91" s="4">
        <f>SUM(Table1[[#This Row],[Pimples(Y/N)]],Table1[[#This Row],[hair growth(Y/N)]],Table1[[#This Row],[Skin darkening (Y/N)]],Table1[[#This Row],[Hair loss(Y/N)]])</f>
        <v>4</v>
      </c>
      <c r="BI291" s="4" t="str">
        <f>IF(AND(Table1[[#This Row],[Pregnant(Y/N)]]=0, Table1[[#This Row],[  I   beta-HCG(mIU/mL)]]&gt;5), "Investigation Required", "Clear")</f>
        <v>Investigation Required</v>
      </c>
    </row>
    <row r="292" spans="1:61" ht="15.75" customHeight="1" x14ac:dyDescent="0.25">
      <c r="A292">
        <v>291</v>
      </c>
      <c r="B292">
        <v>291</v>
      </c>
      <c r="C292">
        <v>1</v>
      </c>
      <c r="D292" t="str">
        <f>IF(Table1[[#This Row],[PCOS (Y/N)]]=0,"NO","YES")</f>
        <v>YES</v>
      </c>
      <c r="E292">
        <v>27</v>
      </c>
      <c r="F292">
        <v>83</v>
      </c>
      <c r="G292">
        <v>164</v>
      </c>
      <c r="H292">
        <v>13</v>
      </c>
      <c r="I292">
        <v>70</v>
      </c>
      <c r="J292">
        <v>18</v>
      </c>
      <c r="K292">
        <v>11</v>
      </c>
      <c r="L292">
        <v>2</v>
      </c>
      <c r="M292">
        <v>6</v>
      </c>
      <c r="N292">
        <v>2</v>
      </c>
      <c r="O292">
        <v>0</v>
      </c>
      <c r="P292" t="str">
        <f>IF(Table1[[#This Row],[Pregnant(Y/N)]]=1,"YES","NO")</f>
        <v>NO</v>
      </c>
      <c r="Q292">
        <v>0</v>
      </c>
      <c r="R292">
        <v>1.99</v>
      </c>
      <c r="S292">
        <v>1.99</v>
      </c>
      <c r="T292">
        <v>4.5999999999999996</v>
      </c>
      <c r="U292">
        <v>2.4900000000000002</v>
      </c>
      <c r="V292">
        <f>Table1[[#This Row],[FSH(mIU/mL)]]/Table1[[#This Row],[LH(mIU/mL)]]</f>
        <v>1.8473895582329314</v>
      </c>
      <c r="W292" t="str">
        <f>IF(Table1[[#This Row],[FSH/LH]]&gt;=2,"Abnormal","Normal")</f>
        <v>Normal</v>
      </c>
      <c r="X292">
        <v>39</v>
      </c>
      <c r="Y292">
        <v>36</v>
      </c>
      <c r="Z292">
        <f>ROUND(Table1[[#This Row],[Waist(inch)]]/Table1[[#This Row],[Hip(inch)]],2)</f>
        <v>0.92</v>
      </c>
      <c r="AA292">
        <v>6.48</v>
      </c>
      <c r="AB292">
        <v>17.5</v>
      </c>
      <c r="AC292">
        <v>12.88</v>
      </c>
      <c r="AD292">
        <v>26.6</v>
      </c>
      <c r="AE292" t="str">
        <f>IF(Table1[[#This Row],[Vit D3 (ng/mL)]]&lt;20,"Deficiency","Normal")</f>
        <v>Normal</v>
      </c>
      <c r="AF292">
        <v>0.5</v>
      </c>
      <c r="AG292">
        <v>92</v>
      </c>
      <c r="AH292">
        <v>0</v>
      </c>
      <c r="AI292" t="str">
        <f>IF(Table1[[#This Row],[Weight gain(Y/N)]]=0,"NO","YES")</f>
        <v>NO</v>
      </c>
      <c r="AJ292">
        <v>0</v>
      </c>
      <c r="AK292" t="str">
        <f>IF(Table1[[#This Row],[hair growth(Y/N)]]=1,"YES","NO")</f>
        <v>NO</v>
      </c>
      <c r="AL292">
        <v>0</v>
      </c>
      <c r="AM292" t="str">
        <f>IF(Table1[[#This Row],[Skin darkening (Y/N)]]=1,"YES","NO")</f>
        <v>NO</v>
      </c>
      <c r="AN292">
        <v>1</v>
      </c>
      <c r="AO292" t="str">
        <f>IF(Table1[[#This Row],[Hair loss(Y/N)]]=1,"YES","NO")</f>
        <v>YES</v>
      </c>
      <c r="AP292">
        <v>1</v>
      </c>
      <c r="AQ292" t="str">
        <f>IF(Table1[[#This Row],[Pimples(Y/N)]]=1,"YES","NO")</f>
        <v>YES</v>
      </c>
      <c r="AR292">
        <v>0</v>
      </c>
      <c r="AS292" t="str">
        <f>IF(Table1[[#This Row],[Fast food (Y/N)]]=1,"YES","NO")</f>
        <v>NO</v>
      </c>
      <c r="AT292">
        <v>0</v>
      </c>
      <c r="AU292" t="str">
        <f>IF(Table1[[#This Row],[Reg.Exercise(Y/N)]]=1,"YES","NO")</f>
        <v>NO</v>
      </c>
      <c r="AV292">
        <v>110</v>
      </c>
      <c r="AW292">
        <v>80</v>
      </c>
      <c r="AX292">
        <v>1</v>
      </c>
      <c r="AY292">
        <v>1</v>
      </c>
      <c r="AZ292">
        <v>14</v>
      </c>
      <c r="BA292">
        <v>15</v>
      </c>
      <c r="BB292">
        <v>8.5</v>
      </c>
      <c r="BC292" t="str" cm="1">
        <f t="array" ref="BC292">_xlfn.IFS((F292/(G292*G292)*10000)&lt; 18.5,"Underweight",(F292/(G292*G292)*10000)&lt;24.9,"Normal",(F292/(G292*G292)*10000)&lt;29.9,"Overweight",(F292/(G292*G292)*10000)&gt;=30,"obesity")</f>
        <v>obesity</v>
      </c>
      <c r="BD292">
        <f>Table1[[#This Row],[Follicle No. (L)]]+Table1[[#This Row],[Follicle No. (R)]]</f>
        <v>2</v>
      </c>
      <c r="BE292">
        <f>Table1[[#This Row],[Avg. F size (L) (mm)]]+Table1[[#This Row],[Avg. F size (R) (mm)]]</f>
        <v>29</v>
      </c>
      <c r="BF292">
        <f>Table1[[#This Row],[BP _Diastolic (mmHg)]]+(Table1[[#This Row],[BP _Diastolic (mmHg)]]+Table1[[#This Row],[Follicle No. (L)]])/3</f>
        <v>107</v>
      </c>
      <c r="BG292" s="4" t="str" cm="1">
        <f t="array" ref="BG29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92" s="4">
        <f>SUM(Table1[[#This Row],[Pimples(Y/N)]],Table1[[#This Row],[hair growth(Y/N)]],Table1[[#This Row],[Skin darkening (Y/N)]],Table1[[#This Row],[Hair loss(Y/N)]])</f>
        <v>2</v>
      </c>
      <c r="BI292" s="4" t="str">
        <f>IF(AND(Table1[[#This Row],[Pregnant(Y/N)]]=0, Table1[[#This Row],[  I   beta-HCG(mIU/mL)]]&gt;5), "Investigation Required", "Clear")</f>
        <v>Clear</v>
      </c>
    </row>
    <row r="293" spans="1:61" ht="15.75" customHeight="1" x14ac:dyDescent="0.25">
      <c r="A293">
        <v>292</v>
      </c>
      <c r="B293">
        <v>292</v>
      </c>
      <c r="C293">
        <v>0</v>
      </c>
      <c r="D293" t="str">
        <f>IF(Table1[[#This Row],[PCOS (Y/N)]]=0,"NO","YES")</f>
        <v>NO</v>
      </c>
      <c r="E293">
        <v>35</v>
      </c>
      <c r="F293">
        <v>53</v>
      </c>
      <c r="G293">
        <v>158</v>
      </c>
      <c r="H293">
        <v>17</v>
      </c>
      <c r="I293">
        <v>74</v>
      </c>
      <c r="J293">
        <v>20</v>
      </c>
      <c r="K293">
        <v>12.4</v>
      </c>
      <c r="L293">
        <v>2</v>
      </c>
      <c r="M293">
        <v>6</v>
      </c>
      <c r="N293">
        <v>11</v>
      </c>
      <c r="O293">
        <v>0</v>
      </c>
      <c r="P293" t="str">
        <f>IF(Table1[[#This Row],[Pregnant(Y/N)]]=1,"YES","NO")</f>
        <v>NO</v>
      </c>
      <c r="Q293">
        <v>1</v>
      </c>
      <c r="R293">
        <v>1.99</v>
      </c>
      <c r="S293">
        <v>1.99</v>
      </c>
      <c r="T293">
        <v>8.99</v>
      </c>
      <c r="U293">
        <v>4.88</v>
      </c>
      <c r="V293">
        <f>Table1[[#This Row],[FSH(mIU/mL)]]/Table1[[#This Row],[LH(mIU/mL)]]</f>
        <v>1.8422131147540985</v>
      </c>
      <c r="W293" t="str">
        <f>IF(Table1[[#This Row],[FSH/LH]]&gt;=2,"Abnormal","Normal")</f>
        <v>Normal</v>
      </c>
      <c r="X293">
        <v>35</v>
      </c>
      <c r="Y293">
        <v>33</v>
      </c>
      <c r="Z293">
        <f>ROUND(Table1[[#This Row],[Waist(inch)]]/Table1[[#This Row],[Hip(inch)]],2)</f>
        <v>0.94</v>
      </c>
      <c r="AA293">
        <v>1.32</v>
      </c>
      <c r="AB293">
        <v>6</v>
      </c>
      <c r="AC293">
        <v>17</v>
      </c>
      <c r="AD293">
        <v>30.5</v>
      </c>
      <c r="AE293" t="str">
        <f>IF(Table1[[#This Row],[Vit D3 (ng/mL)]]&lt;20,"Deficiency","Normal")</f>
        <v>Normal</v>
      </c>
      <c r="AF293">
        <v>0.4</v>
      </c>
      <c r="AG293">
        <v>110</v>
      </c>
      <c r="AH293">
        <v>1</v>
      </c>
      <c r="AI293" t="str">
        <f>IF(Table1[[#This Row],[Weight gain(Y/N)]]=0,"NO","YES")</f>
        <v>YES</v>
      </c>
      <c r="AJ293">
        <v>0</v>
      </c>
      <c r="AK293" t="str">
        <f>IF(Table1[[#This Row],[hair growth(Y/N)]]=1,"YES","NO")</f>
        <v>NO</v>
      </c>
      <c r="AL293">
        <v>0</v>
      </c>
      <c r="AM293" t="str">
        <f>IF(Table1[[#This Row],[Skin darkening (Y/N)]]=1,"YES","NO")</f>
        <v>NO</v>
      </c>
      <c r="AN293">
        <v>0</v>
      </c>
      <c r="AO293" t="str">
        <f>IF(Table1[[#This Row],[Hair loss(Y/N)]]=1,"YES","NO")</f>
        <v>NO</v>
      </c>
      <c r="AP293">
        <v>1</v>
      </c>
      <c r="AQ293" t="str">
        <f>IF(Table1[[#This Row],[Pimples(Y/N)]]=1,"YES","NO")</f>
        <v>YES</v>
      </c>
      <c r="AR293">
        <v>1</v>
      </c>
      <c r="AS293" t="str">
        <f>IF(Table1[[#This Row],[Fast food (Y/N)]]=1,"YES","NO")</f>
        <v>YES</v>
      </c>
      <c r="AT293">
        <v>0</v>
      </c>
      <c r="AU293" t="str">
        <f>IF(Table1[[#This Row],[Reg.Exercise(Y/N)]]=1,"YES","NO")</f>
        <v>NO</v>
      </c>
      <c r="AV293">
        <v>120</v>
      </c>
      <c r="AW293">
        <v>80</v>
      </c>
      <c r="AX293">
        <v>1</v>
      </c>
      <c r="AY293">
        <v>3</v>
      </c>
      <c r="AZ293">
        <v>16</v>
      </c>
      <c r="BA293">
        <v>17</v>
      </c>
      <c r="BB293">
        <v>9</v>
      </c>
      <c r="BC293" t="str" cm="1">
        <f t="array" ref="BC293">_xlfn.IFS((F293/(G293*G293)*10000)&lt; 18.5,"Underweight",(F293/(G293*G293)*10000)&lt;24.9,"Normal",(F293/(G293*G293)*10000)&lt;29.9,"Overweight",(F293/(G293*G293)*10000)&gt;=30,"obesity")</f>
        <v>Normal</v>
      </c>
      <c r="BD293">
        <f>Table1[[#This Row],[Follicle No. (L)]]+Table1[[#This Row],[Follicle No. (R)]]</f>
        <v>4</v>
      </c>
      <c r="BE293">
        <f>Table1[[#This Row],[Avg. F size (L) (mm)]]+Table1[[#This Row],[Avg. F size (R) (mm)]]</f>
        <v>33</v>
      </c>
      <c r="BF293">
        <f>Table1[[#This Row],[BP _Diastolic (mmHg)]]+(Table1[[#This Row],[BP _Diastolic (mmHg)]]+Table1[[#This Row],[Follicle No. (L)]])/3</f>
        <v>107</v>
      </c>
      <c r="BG293" s="4" t="str" cm="1">
        <f t="array" ref="BG29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293" s="4">
        <f>SUM(Table1[[#This Row],[Pimples(Y/N)]],Table1[[#This Row],[hair growth(Y/N)]],Table1[[#This Row],[Skin darkening (Y/N)]],Table1[[#This Row],[Hair loss(Y/N)]])</f>
        <v>1</v>
      </c>
      <c r="BI293" s="4" t="str">
        <f>IF(AND(Table1[[#This Row],[Pregnant(Y/N)]]=0, Table1[[#This Row],[  I   beta-HCG(mIU/mL)]]&gt;5), "Investigation Required", "Clear")</f>
        <v>Clear</v>
      </c>
    </row>
    <row r="294" spans="1:61" ht="15.75" customHeight="1" x14ac:dyDescent="0.25">
      <c r="A294">
        <v>293</v>
      </c>
      <c r="B294">
        <v>293</v>
      </c>
      <c r="C294">
        <v>0</v>
      </c>
      <c r="D294" t="str">
        <f>IF(Table1[[#This Row],[PCOS (Y/N)]]=0,"NO","YES")</f>
        <v>NO</v>
      </c>
      <c r="E294">
        <v>30</v>
      </c>
      <c r="F294">
        <v>68</v>
      </c>
      <c r="G294">
        <v>158</v>
      </c>
      <c r="H294">
        <v>15</v>
      </c>
      <c r="I294">
        <v>72</v>
      </c>
      <c r="J294">
        <v>18</v>
      </c>
      <c r="K294">
        <v>10.5</v>
      </c>
      <c r="L294">
        <v>2</v>
      </c>
      <c r="M294">
        <v>4</v>
      </c>
      <c r="N294">
        <v>10</v>
      </c>
      <c r="O294">
        <v>0</v>
      </c>
      <c r="P294" t="str">
        <f>IF(Table1[[#This Row],[Pregnant(Y/N)]]=1,"YES","NO")</f>
        <v>NO</v>
      </c>
      <c r="Q294">
        <v>0</v>
      </c>
      <c r="R294">
        <v>1.99</v>
      </c>
      <c r="S294">
        <v>1.99</v>
      </c>
      <c r="T294">
        <v>1.76</v>
      </c>
      <c r="U294">
        <v>0.2</v>
      </c>
      <c r="V294">
        <f>Table1[[#This Row],[FSH(mIU/mL)]]/Table1[[#This Row],[LH(mIU/mL)]]</f>
        <v>8.7999999999999989</v>
      </c>
      <c r="W294" t="str">
        <f>IF(Table1[[#This Row],[FSH/LH]]&gt;=2,"Abnormal","Normal")</f>
        <v>Abnormal</v>
      </c>
      <c r="X294">
        <v>37</v>
      </c>
      <c r="Y294">
        <v>35</v>
      </c>
      <c r="Z294">
        <f>ROUND(Table1[[#This Row],[Waist(inch)]]/Table1[[#This Row],[Hip(inch)]],2)</f>
        <v>0.95</v>
      </c>
      <c r="AA294">
        <v>0.94</v>
      </c>
      <c r="AB294">
        <v>2</v>
      </c>
      <c r="AC294">
        <v>43.63</v>
      </c>
      <c r="AD294">
        <v>35.799999999999997</v>
      </c>
      <c r="AE294" t="str">
        <f>IF(Table1[[#This Row],[Vit D3 (ng/mL)]]&lt;20,"Deficiency","Normal")</f>
        <v>Normal</v>
      </c>
      <c r="AF294">
        <v>0.41</v>
      </c>
      <c r="AG294">
        <v>92</v>
      </c>
      <c r="AH294">
        <v>0</v>
      </c>
      <c r="AI294" t="str">
        <f>IF(Table1[[#This Row],[Weight gain(Y/N)]]=0,"NO","YES")</f>
        <v>NO</v>
      </c>
      <c r="AJ294">
        <v>1</v>
      </c>
      <c r="AK294" t="str">
        <f>IF(Table1[[#This Row],[hair growth(Y/N)]]=1,"YES","NO")</f>
        <v>YES</v>
      </c>
      <c r="AL294">
        <v>1</v>
      </c>
      <c r="AM294" t="str">
        <f>IF(Table1[[#This Row],[Skin darkening (Y/N)]]=1,"YES","NO")</f>
        <v>YES</v>
      </c>
      <c r="AN294">
        <v>1</v>
      </c>
      <c r="AO294" t="str">
        <f>IF(Table1[[#This Row],[Hair loss(Y/N)]]=1,"YES","NO")</f>
        <v>YES</v>
      </c>
      <c r="AP294">
        <v>0</v>
      </c>
      <c r="AQ294" t="str">
        <f>IF(Table1[[#This Row],[Pimples(Y/N)]]=1,"YES","NO")</f>
        <v>NO</v>
      </c>
      <c r="AR294">
        <v>0</v>
      </c>
      <c r="AS294" t="str">
        <f>IF(Table1[[#This Row],[Fast food (Y/N)]]=1,"YES","NO")</f>
        <v>NO</v>
      </c>
      <c r="AT294">
        <v>1</v>
      </c>
      <c r="AU294" t="str">
        <f>IF(Table1[[#This Row],[Reg.Exercise(Y/N)]]=1,"YES","NO")</f>
        <v>YES</v>
      </c>
      <c r="AV294">
        <v>120</v>
      </c>
      <c r="AW294">
        <v>70</v>
      </c>
      <c r="AX294">
        <v>2</v>
      </c>
      <c r="AY294">
        <v>2</v>
      </c>
      <c r="AZ294">
        <v>12</v>
      </c>
      <c r="BA294">
        <v>16</v>
      </c>
      <c r="BB294">
        <v>10.5</v>
      </c>
      <c r="BC294" t="str" cm="1">
        <f t="array" ref="BC294">_xlfn.IFS((F294/(G294*G294)*10000)&lt; 18.5,"Underweight",(F294/(G294*G294)*10000)&lt;24.9,"Normal",(F294/(G294*G294)*10000)&lt;29.9,"Overweight",(F294/(G294*G294)*10000)&gt;=30,"obesity")</f>
        <v>Overweight</v>
      </c>
      <c r="BD294">
        <f>Table1[[#This Row],[Follicle No. (L)]]+Table1[[#This Row],[Follicle No. (R)]]</f>
        <v>4</v>
      </c>
      <c r="BE294">
        <f>Table1[[#This Row],[Avg. F size (L) (mm)]]+Table1[[#This Row],[Avg. F size (R) (mm)]]</f>
        <v>28</v>
      </c>
      <c r="BF294">
        <f>Table1[[#This Row],[BP _Diastolic (mmHg)]]+(Table1[[#This Row],[BP _Diastolic (mmHg)]]+Table1[[#This Row],[Follicle No. (L)]])/3</f>
        <v>94</v>
      </c>
      <c r="BG294" s="4" t="str" cm="1">
        <f t="array" ref="BG29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94" s="4">
        <f>SUM(Table1[[#This Row],[Pimples(Y/N)]],Table1[[#This Row],[hair growth(Y/N)]],Table1[[#This Row],[Skin darkening (Y/N)]],Table1[[#This Row],[Hair loss(Y/N)]])</f>
        <v>3</v>
      </c>
      <c r="BI294" s="4" t="str">
        <f>IF(AND(Table1[[#This Row],[Pregnant(Y/N)]]=0, Table1[[#This Row],[  I   beta-HCG(mIU/mL)]]&gt;5), "Investigation Required", "Clear")</f>
        <v>Clear</v>
      </c>
    </row>
    <row r="295" spans="1:61" ht="15.75" customHeight="1" x14ac:dyDescent="0.25">
      <c r="A295">
        <v>294</v>
      </c>
      <c r="B295">
        <v>294</v>
      </c>
      <c r="C295">
        <v>1</v>
      </c>
      <c r="D295" t="str">
        <f>IF(Table1[[#This Row],[PCOS (Y/N)]]=0,"NO","YES")</f>
        <v>YES</v>
      </c>
      <c r="E295">
        <v>27</v>
      </c>
      <c r="F295">
        <v>36</v>
      </c>
      <c r="G295">
        <v>153</v>
      </c>
      <c r="H295">
        <v>13</v>
      </c>
      <c r="I295">
        <v>70</v>
      </c>
      <c r="J295">
        <v>18</v>
      </c>
      <c r="K295">
        <v>11.4</v>
      </c>
      <c r="L295">
        <v>2</v>
      </c>
      <c r="M295">
        <v>5</v>
      </c>
      <c r="N295">
        <v>6.5</v>
      </c>
      <c r="O295">
        <v>1</v>
      </c>
      <c r="P295" t="str">
        <f>IF(Table1[[#This Row],[Pregnant(Y/N)]]=1,"YES","NO")</f>
        <v>YES</v>
      </c>
      <c r="Q295">
        <v>0</v>
      </c>
      <c r="R295">
        <v>1134.4000000000001</v>
      </c>
      <c r="S295">
        <v>1134.4000000000001</v>
      </c>
      <c r="T295">
        <v>4.25</v>
      </c>
      <c r="U295">
        <v>5.1100000000000003</v>
      </c>
      <c r="V295">
        <f>Table1[[#This Row],[FSH(mIU/mL)]]/Table1[[#This Row],[LH(mIU/mL)]]</f>
        <v>0.83170254403131105</v>
      </c>
      <c r="W295" t="str">
        <f>IF(Table1[[#This Row],[FSH/LH]]&gt;=2,"Abnormal","Normal")</f>
        <v>Normal</v>
      </c>
      <c r="X295">
        <v>30</v>
      </c>
      <c r="Y295">
        <v>28</v>
      </c>
      <c r="Z295">
        <f>ROUND(Table1[[#This Row],[Waist(inch)]]/Table1[[#This Row],[Hip(inch)]],2)</f>
        <v>0.93</v>
      </c>
      <c r="AA295">
        <v>2.08</v>
      </c>
      <c r="AB295">
        <v>21.8</v>
      </c>
      <c r="AC295">
        <v>19.309999999999999</v>
      </c>
      <c r="AD295">
        <v>23.3</v>
      </c>
      <c r="AE295" t="str">
        <f>IF(Table1[[#This Row],[Vit D3 (ng/mL)]]&lt;20,"Deficiency","Normal")</f>
        <v>Normal</v>
      </c>
      <c r="AF295">
        <v>0.41</v>
      </c>
      <c r="AG295">
        <v>79</v>
      </c>
      <c r="AH295">
        <v>1</v>
      </c>
      <c r="AI295" t="str">
        <f>IF(Table1[[#This Row],[Weight gain(Y/N)]]=0,"NO","YES")</f>
        <v>YES</v>
      </c>
      <c r="AJ295">
        <v>1</v>
      </c>
      <c r="AK295" t="str">
        <f>IF(Table1[[#This Row],[hair growth(Y/N)]]=1,"YES","NO")</f>
        <v>YES</v>
      </c>
      <c r="AL295">
        <v>1</v>
      </c>
      <c r="AM295" t="str">
        <f>IF(Table1[[#This Row],[Skin darkening (Y/N)]]=1,"YES","NO")</f>
        <v>YES</v>
      </c>
      <c r="AN295">
        <v>0</v>
      </c>
      <c r="AO295" t="str">
        <f>IF(Table1[[#This Row],[Hair loss(Y/N)]]=1,"YES","NO")</f>
        <v>NO</v>
      </c>
      <c r="AP295">
        <v>1</v>
      </c>
      <c r="AQ295" t="str">
        <f>IF(Table1[[#This Row],[Pimples(Y/N)]]=1,"YES","NO")</f>
        <v>YES</v>
      </c>
      <c r="AR295">
        <v>1</v>
      </c>
      <c r="AS295" t="str">
        <f>IF(Table1[[#This Row],[Fast food (Y/N)]]=1,"YES","NO")</f>
        <v>YES</v>
      </c>
      <c r="AT295">
        <v>0</v>
      </c>
      <c r="AU295" t="str">
        <f>IF(Table1[[#This Row],[Reg.Exercise(Y/N)]]=1,"YES","NO")</f>
        <v>NO</v>
      </c>
      <c r="AV295">
        <v>110</v>
      </c>
      <c r="AW295">
        <v>80</v>
      </c>
      <c r="AX295">
        <v>11</v>
      </c>
      <c r="AY295">
        <v>12</v>
      </c>
      <c r="AZ295">
        <v>13</v>
      </c>
      <c r="BA295">
        <v>15</v>
      </c>
      <c r="BB295">
        <v>5.5</v>
      </c>
      <c r="BC295" t="str" cm="1">
        <f t="array" ref="BC295">_xlfn.IFS((F295/(G295*G295)*10000)&lt; 18.5,"Underweight",(F295/(G295*G295)*10000)&lt;24.9,"Normal",(F295/(G295*G295)*10000)&lt;29.9,"Overweight",(F295/(G295*G295)*10000)&gt;=30,"obesity")</f>
        <v>Underweight</v>
      </c>
      <c r="BD295">
        <f>Table1[[#This Row],[Follicle No. (L)]]+Table1[[#This Row],[Follicle No. (R)]]</f>
        <v>23</v>
      </c>
      <c r="BE295">
        <f>Table1[[#This Row],[Avg. F size (L) (mm)]]+Table1[[#This Row],[Avg. F size (R) (mm)]]</f>
        <v>28</v>
      </c>
      <c r="BF295">
        <f>Table1[[#This Row],[BP _Diastolic (mmHg)]]+(Table1[[#This Row],[BP _Diastolic (mmHg)]]+Table1[[#This Row],[Follicle No. (L)]])/3</f>
        <v>110.33333333333333</v>
      </c>
      <c r="BG295" s="4" t="str" cm="1">
        <f t="array" ref="BG29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95" s="4">
        <f>SUM(Table1[[#This Row],[Pimples(Y/N)]],Table1[[#This Row],[hair growth(Y/N)]],Table1[[#This Row],[Skin darkening (Y/N)]],Table1[[#This Row],[Hair loss(Y/N)]])</f>
        <v>3</v>
      </c>
      <c r="BI295" s="4" t="str">
        <f>IF(AND(Table1[[#This Row],[Pregnant(Y/N)]]=0, Table1[[#This Row],[  I   beta-HCG(mIU/mL)]]&gt;5), "Investigation Required", "Clear")</f>
        <v>Clear</v>
      </c>
    </row>
    <row r="296" spans="1:61" ht="15.75" customHeight="1" x14ac:dyDescent="0.25">
      <c r="A296">
        <v>295</v>
      </c>
      <c r="B296">
        <v>295</v>
      </c>
      <c r="C296">
        <v>1</v>
      </c>
      <c r="D296" t="str">
        <f>IF(Table1[[#This Row],[PCOS (Y/N)]]=0,"NO","YES")</f>
        <v>YES</v>
      </c>
      <c r="E296">
        <v>28</v>
      </c>
      <c r="F296">
        <v>55.5</v>
      </c>
      <c r="G296">
        <v>144</v>
      </c>
      <c r="H296">
        <v>13</v>
      </c>
      <c r="I296">
        <v>72</v>
      </c>
      <c r="J296">
        <v>20</v>
      </c>
      <c r="K296">
        <v>11.8</v>
      </c>
      <c r="L296">
        <v>2</v>
      </c>
      <c r="M296">
        <v>5</v>
      </c>
      <c r="N296">
        <v>6.5</v>
      </c>
      <c r="O296">
        <v>1</v>
      </c>
      <c r="P296" t="str">
        <f>IF(Table1[[#This Row],[Pregnant(Y/N)]]=1,"YES","NO")</f>
        <v>YES</v>
      </c>
      <c r="Q296">
        <v>2</v>
      </c>
      <c r="R296">
        <v>785.95</v>
      </c>
      <c r="S296">
        <v>785.95</v>
      </c>
      <c r="T296">
        <v>4</v>
      </c>
      <c r="U296">
        <v>2.95</v>
      </c>
      <c r="V296">
        <f>Table1[[#This Row],[FSH(mIU/mL)]]/Table1[[#This Row],[LH(mIU/mL)]]</f>
        <v>1.3559322033898304</v>
      </c>
      <c r="W296" t="str">
        <f>IF(Table1[[#This Row],[FSH/LH]]&gt;=2,"Abnormal","Normal")</f>
        <v>Normal</v>
      </c>
      <c r="X296">
        <v>38</v>
      </c>
      <c r="Y296">
        <v>35</v>
      </c>
      <c r="Z296">
        <f>ROUND(Table1[[#This Row],[Waist(inch)]]/Table1[[#This Row],[Hip(inch)]],2)</f>
        <v>0.92</v>
      </c>
      <c r="AA296">
        <v>0.86</v>
      </c>
      <c r="AB296">
        <v>18.5</v>
      </c>
      <c r="AC296">
        <v>7.49</v>
      </c>
      <c r="AD296">
        <v>20.399999999999999</v>
      </c>
      <c r="AE296" t="str">
        <f>IF(Table1[[#This Row],[Vit D3 (ng/mL)]]&lt;20,"Deficiency","Normal")</f>
        <v>Normal</v>
      </c>
      <c r="AF296">
        <v>0.62</v>
      </c>
      <c r="AG296">
        <v>95</v>
      </c>
      <c r="AH296">
        <v>1</v>
      </c>
      <c r="AI296" t="str">
        <f>IF(Table1[[#This Row],[Weight gain(Y/N)]]=0,"NO","YES")</f>
        <v>YES</v>
      </c>
      <c r="AJ296">
        <v>1</v>
      </c>
      <c r="AK296" t="str">
        <f>IF(Table1[[#This Row],[hair growth(Y/N)]]=1,"YES","NO")</f>
        <v>YES</v>
      </c>
      <c r="AL296">
        <v>1</v>
      </c>
      <c r="AM296" t="str">
        <f>IF(Table1[[#This Row],[Skin darkening (Y/N)]]=1,"YES","NO")</f>
        <v>YES</v>
      </c>
      <c r="AN296">
        <v>0</v>
      </c>
      <c r="AO296" t="str">
        <f>IF(Table1[[#This Row],[Hair loss(Y/N)]]=1,"YES","NO")</f>
        <v>NO</v>
      </c>
      <c r="AP296">
        <v>1</v>
      </c>
      <c r="AQ296" t="str">
        <f>IF(Table1[[#This Row],[Pimples(Y/N)]]=1,"YES","NO")</f>
        <v>YES</v>
      </c>
      <c r="AR296">
        <v>1</v>
      </c>
      <c r="AS296" t="str">
        <f>IF(Table1[[#This Row],[Fast food (Y/N)]]=1,"YES","NO")</f>
        <v>YES</v>
      </c>
      <c r="AT296">
        <v>0</v>
      </c>
      <c r="AU296" t="str">
        <f>IF(Table1[[#This Row],[Reg.Exercise(Y/N)]]=1,"YES","NO")</f>
        <v>NO</v>
      </c>
      <c r="AV296">
        <v>120</v>
      </c>
      <c r="AW296">
        <v>80</v>
      </c>
      <c r="AX296">
        <v>13</v>
      </c>
      <c r="AY296">
        <v>20</v>
      </c>
      <c r="AZ296">
        <v>14</v>
      </c>
      <c r="BA296">
        <v>16</v>
      </c>
      <c r="BB296">
        <v>9.6</v>
      </c>
      <c r="BC296" t="str" cm="1">
        <f t="array" ref="BC296">_xlfn.IFS((F296/(G296*G296)*10000)&lt; 18.5,"Underweight",(F296/(G296*G296)*10000)&lt;24.9,"Normal",(F296/(G296*G296)*10000)&lt;29.9,"Overweight",(F296/(G296*G296)*10000)&gt;=30,"obesity")</f>
        <v>Overweight</v>
      </c>
      <c r="BD296">
        <f>Table1[[#This Row],[Follicle No. (L)]]+Table1[[#This Row],[Follicle No. (R)]]</f>
        <v>33</v>
      </c>
      <c r="BE296">
        <f>Table1[[#This Row],[Avg. F size (L) (mm)]]+Table1[[#This Row],[Avg. F size (R) (mm)]]</f>
        <v>30</v>
      </c>
      <c r="BF296">
        <f>Table1[[#This Row],[BP _Diastolic (mmHg)]]+(Table1[[#This Row],[BP _Diastolic (mmHg)]]+Table1[[#This Row],[Follicle No. (L)]])/3</f>
        <v>111</v>
      </c>
      <c r="BG296" s="4" t="str" cm="1">
        <f t="array" ref="BG29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96" s="4">
        <f>SUM(Table1[[#This Row],[Pimples(Y/N)]],Table1[[#This Row],[hair growth(Y/N)]],Table1[[#This Row],[Skin darkening (Y/N)]],Table1[[#This Row],[Hair loss(Y/N)]])</f>
        <v>3</v>
      </c>
      <c r="BI296" s="4" t="str">
        <f>IF(AND(Table1[[#This Row],[Pregnant(Y/N)]]=0, Table1[[#This Row],[  I   beta-HCG(mIU/mL)]]&gt;5), "Investigation Required", "Clear")</f>
        <v>Clear</v>
      </c>
    </row>
    <row r="297" spans="1:61" ht="15.75" customHeight="1" x14ac:dyDescent="0.25">
      <c r="A297">
        <v>296</v>
      </c>
      <c r="B297">
        <v>296</v>
      </c>
      <c r="C297">
        <v>1</v>
      </c>
      <c r="D297" t="str">
        <f>IF(Table1[[#This Row],[PCOS (Y/N)]]=0,"NO","YES")</f>
        <v>YES</v>
      </c>
      <c r="E297">
        <v>30</v>
      </c>
      <c r="F297">
        <v>57</v>
      </c>
      <c r="G297">
        <v>155</v>
      </c>
      <c r="H297">
        <v>13</v>
      </c>
      <c r="I297">
        <v>72</v>
      </c>
      <c r="J297">
        <v>18</v>
      </c>
      <c r="K297">
        <v>12</v>
      </c>
      <c r="L297">
        <v>2</v>
      </c>
      <c r="M297">
        <v>5</v>
      </c>
      <c r="N297">
        <v>10</v>
      </c>
      <c r="O297">
        <v>0</v>
      </c>
      <c r="P297" t="str">
        <f>IF(Table1[[#This Row],[Pregnant(Y/N)]]=1,"YES","NO")</f>
        <v>NO</v>
      </c>
      <c r="Q297">
        <v>0</v>
      </c>
      <c r="R297">
        <v>291.43</v>
      </c>
      <c r="S297">
        <v>1.99</v>
      </c>
      <c r="T297">
        <v>5.47</v>
      </c>
      <c r="U297">
        <v>3</v>
      </c>
      <c r="V297">
        <f>Table1[[#This Row],[FSH(mIU/mL)]]/Table1[[#This Row],[LH(mIU/mL)]]</f>
        <v>1.8233333333333333</v>
      </c>
      <c r="W297" t="str">
        <f>IF(Table1[[#This Row],[FSH/LH]]&gt;=2,"Abnormal","Normal")</f>
        <v>Normal</v>
      </c>
      <c r="X297">
        <v>35</v>
      </c>
      <c r="Y297">
        <v>33</v>
      </c>
      <c r="Z297">
        <f>ROUND(Table1[[#This Row],[Waist(inch)]]/Table1[[#This Row],[Hip(inch)]],2)</f>
        <v>0.94</v>
      </c>
      <c r="AA297">
        <v>6.54</v>
      </c>
      <c r="AB297">
        <v>12.4</v>
      </c>
      <c r="AC297">
        <v>39.6</v>
      </c>
      <c r="AD297">
        <v>23.9</v>
      </c>
      <c r="AE297" t="str">
        <f>IF(Table1[[#This Row],[Vit D3 (ng/mL)]]&lt;20,"Deficiency","Normal")</f>
        <v>Normal</v>
      </c>
      <c r="AF297">
        <v>0.94</v>
      </c>
      <c r="AG297">
        <v>106</v>
      </c>
      <c r="AH297">
        <v>0</v>
      </c>
      <c r="AI297" t="str">
        <f>IF(Table1[[#This Row],[Weight gain(Y/N)]]=0,"NO","YES")</f>
        <v>NO</v>
      </c>
      <c r="AJ297">
        <v>0</v>
      </c>
      <c r="AK297" t="str">
        <f>IF(Table1[[#This Row],[hair growth(Y/N)]]=1,"YES","NO")</f>
        <v>NO</v>
      </c>
      <c r="AL297">
        <v>0</v>
      </c>
      <c r="AM297" t="str">
        <f>IF(Table1[[#This Row],[Skin darkening (Y/N)]]=1,"YES","NO")</f>
        <v>NO</v>
      </c>
      <c r="AN297">
        <v>0</v>
      </c>
      <c r="AO297" t="str">
        <f>IF(Table1[[#This Row],[Hair loss(Y/N)]]=1,"YES","NO")</f>
        <v>NO</v>
      </c>
      <c r="AP297">
        <v>0</v>
      </c>
      <c r="AQ297" t="str">
        <f>IF(Table1[[#This Row],[Pimples(Y/N)]]=1,"YES","NO")</f>
        <v>NO</v>
      </c>
      <c r="AR297">
        <v>1</v>
      </c>
      <c r="AS297" t="str">
        <f>IF(Table1[[#This Row],[Fast food (Y/N)]]=1,"YES","NO")</f>
        <v>YES</v>
      </c>
      <c r="AT297">
        <v>1</v>
      </c>
      <c r="AU297" t="str">
        <f>IF(Table1[[#This Row],[Reg.Exercise(Y/N)]]=1,"YES","NO")</f>
        <v>YES</v>
      </c>
      <c r="AV297">
        <v>110</v>
      </c>
      <c r="AW297">
        <v>70</v>
      </c>
      <c r="AX297">
        <v>9</v>
      </c>
      <c r="AY297">
        <v>10</v>
      </c>
      <c r="AZ297">
        <v>18</v>
      </c>
      <c r="BA297">
        <v>19</v>
      </c>
      <c r="BB297">
        <v>8</v>
      </c>
      <c r="BC297" t="str" cm="1">
        <f t="array" ref="BC297">_xlfn.IFS((F297/(G297*G297)*10000)&lt; 18.5,"Underweight",(F297/(G297*G297)*10000)&lt;24.9,"Normal",(F297/(G297*G297)*10000)&lt;29.9,"Overweight",(F297/(G297*G297)*10000)&gt;=30,"obesity")</f>
        <v>Normal</v>
      </c>
      <c r="BD297">
        <f>Table1[[#This Row],[Follicle No. (L)]]+Table1[[#This Row],[Follicle No. (R)]]</f>
        <v>19</v>
      </c>
      <c r="BE297">
        <f>Table1[[#This Row],[Avg. F size (L) (mm)]]+Table1[[#This Row],[Avg. F size (R) (mm)]]</f>
        <v>37</v>
      </c>
      <c r="BF297">
        <f>Table1[[#This Row],[BP _Diastolic (mmHg)]]+(Table1[[#This Row],[BP _Diastolic (mmHg)]]+Table1[[#This Row],[Follicle No. (L)]])/3</f>
        <v>96.333333333333329</v>
      </c>
      <c r="BG297" s="4" t="str" cm="1">
        <f t="array" ref="BG29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97" s="4">
        <f>SUM(Table1[[#This Row],[Pimples(Y/N)]],Table1[[#This Row],[hair growth(Y/N)]],Table1[[#This Row],[Skin darkening (Y/N)]],Table1[[#This Row],[Hair loss(Y/N)]])</f>
        <v>0</v>
      </c>
      <c r="BI297" s="4" t="str">
        <f>IF(AND(Table1[[#This Row],[Pregnant(Y/N)]]=0, Table1[[#This Row],[  I   beta-HCG(mIU/mL)]]&gt;5), "Investigation Required", "Clear")</f>
        <v>Investigation Required</v>
      </c>
    </row>
    <row r="298" spans="1:61" ht="15.75" customHeight="1" x14ac:dyDescent="0.25">
      <c r="A298">
        <v>297</v>
      </c>
      <c r="B298">
        <v>297</v>
      </c>
      <c r="C298">
        <v>0</v>
      </c>
      <c r="D298" t="str">
        <f>IF(Table1[[#This Row],[PCOS (Y/N)]]=0,"NO","YES")</f>
        <v>NO</v>
      </c>
      <c r="E298">
        <v>31</v>
      </c>
      <c r="F298">
        <v>50</v>
      </c>
      <c r="G298">
        <v>155</v>
      </c>
      <c r="H298">
        <v>15</v>
      </c>
      <c r="I298">
        <v>13</v>
      </c>
      <c r="J298">
        <v>18</v>
      </c>
      <c r="K298">
        <v>11</v>
      </c>
      <c r="L298">
        <v>2</v>
      </c>
      <c r="M298">
        <v>4</v>
      </c>
      <c r="N298">
        <v>12</v>
      </c>
      <c r="O298">
        <v>0</v>
      </c>
      <c r="P298" t="str">
        <f>IF(Table1[[#This Row],[Pregnant(Y/N)]]=1,"YES","NO")</f>
        <v>NO</v>
      </c>
      <c r="Q298">
        <v>0</v>
      </c>
      <c r="R298">
        <v>20.81</v>
      </c>
      <c r="S298">
        <v>1.99</v>
      </c>
      <c r="T298">
        <v>6.6980000000000004</v>
      </c>
      <c r="U298">
        <v>5.13</v>
      </c>
      <c r="V298">
        <f>Table1[[#This Row],[FSH(mIU/mL)]]/Table1[[#This Row],[LH(mIU/mL)]]</f>
        <v>1.3056530214424953</v>
      </c>
      <c r="W298" t="str">
        <f>IF(Table1[[#This Row],[FSH/LH]]&gt;=2,"Abnormal","Normal")</f>
        <v>Normal</v>
      </c>
      <c r="X298">
        <v>33</v>
      </c>
      <c r="Y298">
        <v>30</v>
      </c>
      <c r="Z298">
        <f>ROUND(Table1[[#This Row],[Waist(inch)]]/Table1[[#This Row],[Hip(inch)]],2)</f>
        <v>0.91</v>
      </c>
      <c r="AA298">
        <v>3.8610000000000002</v>
      </c>
      <c r="AB298">
        <v>10.8</v>
      </c>
      <c r="AC298">
        <v>14.02</v>
      </c>
      <c r="AD298">
        <v>24.9</v>
      </c>
      <c r="AE298" t="str">
        <f>IF(Table1[[#This Row],[Vit D3 (ng/mL)]]&lt;20,"Deficiency","Normal")</f>
        <v>Normal</v>
      </c>
      <c r="AF298">
        <v>0.41</v>
      </c>
      <c r="AG298">
        <v>100</v>
      </c>
      <c r="AH298">
        <v>0</v>
      </c>
      <c r="AI298" t="str">
        <f>IF(Table1[[#This Row],[Weight gain(Y/N)]]=0,"NO","YES")</f>
        <v>NO</v>
      </c>
      <c r="AJ298">
        <v>0</v>
      </c>
      <c r="AK298" t="str">
        <f>IF(Table1[[#This Row],[hair growth(Y/N)]]=1,"YES","NO")</f>
        <v>NO</v>
      </c>
      <c r="AL298">
        <v>1</v>
      </c>
      <c r="AM298" t="str">
        <f>IF(Table1[[#This Row],[Skin darkening (Y/N)]]=1,"YES","NO")</f>
        <v>YES</v>
      </c>
      <c r="AN298">
        <v>0</v>
      </c>
      <c r="AO298" t="str">
        <f>IF(Table1[[#This Row],[Hair loss(Y/N)]]=1,"YES","NO")</f>
        <v>NO</v>
      </c>
      <c r="AP298">
        <v>1</v>
      </c>
      <c r="AQ298" t="str">
        <f>IF(Table1[[#This Row],[Pimples(Y/N)]]=1,"YES","NO")</f>
        <v>YES</v>
      </c>
      <c r="AR298">
        <v>0</v>
      </c>
      <c r="AS298" t="str">
        <f>IF(Table1[[#This Row],[Fast food (Y/N)]]=1,"YES","NO")</f>
        <v>NO</v>
      </c>
      <c r="AT298">
        <v>0</v>
      </c>
      <c r="AU298" t="str">
        <f>IF(Table1[[#This Row],[Reg.Exercise(Y/N)]]=1,"YES","NO")</f>
        <v>NO</v>
      </c>
      <c r="AV298">
        <v>110</v>
      </c>
      <c r="AW298">
        <v>70</v>
      </c>
      <c r="AX298">
        <v>8</v>
      </c>
      <c r="AY298">
        <v>5</v>
      </c>
      <c r="AZ298">
        <v>17</v>
      </c>
      <c r="BA298">
        <v>15</v>
      </c>
      <c r="BB298">
        <v>8.5</v>
      </c>
      <c r="BC298" t="str" cm="1">
        <f t="array" ref="BC298">_xlfn.IFS((F298/(G298*G298)*10000)&lt; 18.5,"Underweight",(F298/(G298*G298)*10000)&lt;24.9,"Normal",(F298/(G298*G298)*10000)&lt;29.9,"Overweight",(F298/(G298*G298)*10000)&gt;=30,"obesity")</f>
        <v>Normal</v>
      </c>
      <c r="BD298">
        <f>Table1[[#This Row],[Follicle No. (L)]]+Table1[[#This Row],[Follicle No. (R)]]</f>
        <v>13</v>
      </c>
      <c r="BE298">
        <f>Table1[[#This Row],[Avg. F size (L) (mm)]]+Table1[[#This Row],[Avg. F size (R) (mm)]]</f>
        <v>32</v>
      </c>
      <c r="BF298">
        <f>Table1[[#This Row],[BP _Diastolic (mmHg)]]+(Table1[[#This Row],[BP _Diastolic (mmHg)]]+Table1[[#This Row],[Follicle No. (L)]])/3</f>
        <v>96</v>
      </c>
      <c r="BG298" s="4" t="str" cm="1">
        <f t="array" ref="BG29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98" s="4">
        <f>SUM(Table1[[#This Row],[Pimples(Y/N)]],Table1[[#This Row],[hair growth(Y/N)]],Table1[[#This Row],[Skin darkening (Y/N)]],Table1[[#This Row],[Hair loss(Y/N)]])</f>
        <v>2</v>
      </c>
      <c r="BI298" s="4" t="str">
        <f>IF(AND(Table1[[#This Row],[Pregnant(Y/N)]]=0, Table1[[#This Row],[  I   beta-HCG(mIU/mL)]]&gt;5), "Investigation Required", "Clear")</f>
        <v>Investigation Required</v>
      </c>
    </row>
    <row r="299" spans="1:61" ht="15.75" customHeight="1" x14ac:dyDescent="0.25">
      <c r="A299">
        <v>298</v>
      </c>
      <c r="B299">
        <v>298</v>
      </c>
      <c r="C299">
        <v>0</v>
      </c>
      <c r="D299" t="str">
        <f>IF(Table1[[#This Row],[PCOS (Y/N)]]=0,"NO","YES")</f>
        <v>NO</v>
      </c>
      <c r="E299">
        <v>20</v>
      </c>
      <c r="F299">
        <v>52</v>
      </c>
      <c r="G299">
        <v>150</v>
      </c>
      <c r="H299">
        <v>15</v>
      </c>
      <c r="I299">
        <v>72</v>
      </c>
      <c r="J299">
        <v>18</v>
      </c>
      <c r="K299">
        <v>10.5</v>
      </c>
      <c r="L299">
        <v>2</v>
      </c>
      <c r="M299">
        <v>6</v>
      </c>
      <c r="N299">
        <v>3</v>
      </c>
      <c r="O299">
        <v>0</v>
      </c>
      <c r="P299" t="str">
        <f>IF(Table1[[#This Row],[Pregnant(Y/N)]]=1,"YES","NO")</f>
        <v>NO</v>
      </c>
      <c r="Q299">
        <v>0</v>
      </c>
      <c r="R299">
        <v>1.99</v>
      </c>
      <c r="S299">
        <v>1.99</v>
      </c>
      <c r="T299">
        <v>4.87</v>
      </c>
      <c r="U299">
        <v>3.61</v>
      </c>
      <c r="V299">
        <f>Table1[[#This Row],[FSH(mIU/mL)]]/Table1[[#This Row],[LH(mIU/mL)]]</f>
        <v>1.3490304709141274</v>
      </c>
      <c r="W299" t="str">
        <f>IF(Table1[[#This Row],[FSH/LH]]&gt;=2,"Abnormal","Normal")</f>
        <v>Normal</v>
      </c>
      <c r="X299">
        <v>34</v>
      </c>
      <c r="Y299">
        <v>32</v>
      </c>
      <c r="Z299">
        <f>ROUND(Table1[[#This Row],[Waist(inch)]]/Table1[[#This Row],[Hip(inch)]],2)</f>
        <v>0.94</v>
      </c>
      <c r="AA299">
        <v>2.93</v>
      </c>
      <c r="AB299">
        <v>4.5</v>
      </c>
      <c r="AC299">
        <v>20.18</v>
      </c>
      <c r="AD299">
        <v>27</v>
      </c>
      <c r="AE299" t="str">
        <f>IF(Table1[[#This Row],[Vit D3 (ng/mL)]]&lt;20,"Deficiency","Normal")</f>
        <v>Normal</v>
      </c>
      <c r="AF299">
        <v>0.34</v>
      </c>
      <c r="AG299">
        <v>88</v>
      </c>
      <c r="AH299">
        <v>0</v>
      </c>
      <c r="AI299" t="str">
        <f>IF(Table1[[#This Row],[Weight gain(Y/N)]]=0,"NO","YES")</f>
        <v>NO</v>
      </c>
      <c r="AJ299">
        <v>0</v>
      </c>
      <c r="AK299" t="str">
        <f>IF(Table1[[#This Row],[hair growth(Y/N)]]=1,"YES","NO")</f>
        <v>NO</v>
      </c>
      <c r="AL299">
        <v>0</v>
      </c>
      <c r="AM299" t="str">
        <f>IF(Table1[[#This Row],[Skin darkening (Y/N)]]=1,"YES","NO")</f>
        <v>NO</v>
      </c>
      <c r="AN299">
        <v>1</v>
      </c>
      <c r="AO299" t="str">
        <f>IF(Table1[[#This Row],[Hair loss(Y/N)]]=1,"YES","NO")</f>
        <v>YES</v>
      </c>
      <c r="AP299">
        <v>1</v>
      </c>
      <c r="AQ299" t="str">
        <f>IF(Table1[[#This Row],[Pimples(Y/N)]]=1,"YES","NO")</f>
        <v>YES</v>
      </c>
      <c r="AR299">
        <v>1</v>
      </c>
      <c r="AS299" t="str">
        <f>IF(Table1[[#This Row],[Fast food (Y/N)]]=1,"YES","NO")</f>
        <v>YES</v>
      </c>
      <c r="AT299">
        <v>0</v>
      </c>
      <c r="AU299" t="str">
        <f>IF(Table1[[#This Row],[Reg.Exercise(Y/N)]]=1,"YES","NO")</f>
        <v>NO</v>
      </c>
      <c r="AV299">
        <v>110</v>
      </c>
      <c r="AW299">
        <v>70</v>
      </c>
      <c r="AX299">
        <v>7</v>
      </c>
      <c r="AY299">
        <v>9</v>
      </c>
      <c r="AZ299">
        <v>13</v>
      </c>
      <c r="BA299">
        <v>17</v>
      </c>
      <c r="BB299">
        <v>9.6</v>
      </c>
      <c r="BC299" t="str" cm="1">
        <f t="array" ref="BC299">_xlfn.IFS((F299/(G299*G299)*10000)&lt; 18.5,"Underweight",(F299/(G299*G299)*10000)&lt;24.9,"Normal",(F299/(G299*G299)*10000)&lt;29.9,"Overweight",(F299/(G299*G299)*10000)&gt;=30,"obesity")</f>
        <v>Normal</v>
      </c>
      <c r="BD299">
        <f>Table1[[#This Row],[Follicle No. (L)]]+Table1[[#This Row],[Follicle No. (R)]]</f>
        <v>16</v>
      </c>
      <c r="BE299">
        <f>Table1[[#This Row],[Avg. F size (L) (mm)]]+Table1[[#This Row],[Avg. F size (R) (mm)]]</f>
        <v>30</v>
      </c>
      <c r="BF299">
        <f>Table1[[#This Row],[BP _Diastolic (mmHg)]]+(Table1[[#This Row],[BP _Diastolic (mmHg)]]+Table1[[#This Row],[Follicle No. (L)]])/3</f>
        <v>95.666666666666671</v>
      </c>
      <c r="BG299" s="4" t="str" cm="1">
        <f t="array" ref="BG29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299" s="4">
        <f>SUM(Table1[[#This Row],[Pimples(Y/N)]],Table1[[#This Row],[hair growth(Y/N)]],Table1[[#This Row],[Skin darkening (Y/N)]],Table1[[#This Row],[Hair loss(Y/N)]])</f>
        <v>2</v>
      </c>
      <c r="BI299" s="4" t="str">
        <f>IF(AND(Table1[[#This Row],[Pregnant(Y/N)]]=0, Table1[[#This Row],[  I   beta-HCG(mIU/mL)]]&gt;5), "Investigation Required", "Clear")</f>
        <v>Clear</v>
      </c>
    </row>
    <row r="300" spans="1:61" ht="15.75" customHeight="1" x14ac:dyDescent="0.25">
      <c r="A300">
        <v>299</v>
      </c>
      <c r="B300">
        <v>299</v>
      </c>
      <c r="C300">
        <v>0</v>
      </c>
      <c r="D300" t="str">
        <f>IF(Table1[[#This Row],[PCOS (Y/N)]]=0,"NO","YES")</f>
        <v>NO</v>
      </c>
      <c r="E300">
        <v>34</v>
      </c>
      <c r="F300">
        <v>67</v>
      </c>
      <c r="G300">
        <v>152</v>
      </c>
      <c r="H300">
        <v>15</v>
      </c>
      <c r="I300">
        <v>74</v>
      </c>
      <c r="J300">
        <v>20</v>
      </c>
      <c r="K300">
        <v>11.5</v>
      </c>
      <c r="L300">
        <v>2</v>
      </c>
      <c r="M300">
        <v>6</v>
      </c>
      <c r="N300">
        <v>13</v>
      </c>
      <c r="O300">
        <v>0</v>
      </c>
      <c r="P300" t="str">
        <f>IF(Table1[[#This Row],[Pregnant(Y/N)]]=1,"YES","NO")</f>
        <v>NO</v>
      </c>
      <c r="Q300">
        <v>1</v>
      </c>
      <c r="R300">
        <v>1.99</v>
      </c>
      <c r="S300">
        <v>1.99</v>
      </c>
      <c r="T300">
        <v>5.59</v>
      </c>
      <c r="U300">
        <v>3.05</v>
      </c>
      <c r="V300">
        <f>Table1[[#This Row],[FSH(mIU/mL)]]/Table1[[#This Row],[LH(mIU/mL)]]</f>
        <v>1.8327868852459017</v>
      </c>
      <c r="W300" t="str">
        <f>IF(Table1[[#This Row],[FSH/LH]]&gt;=2,"Abnormal","Normal")</f>
        <v>Normal</v>
      </c>
      <c r="X300">
        <v>37</v>
      </c>
      <c r="Y300">
        <v>35</v>
      </c>
      <c r="Z300">
        <f>ROUND(Table1[[#This Row],[Waist(inch)]]/Table1[[#This Row],[Hip(inch)]],2)</f>
        <v>0.95</v>
      </c>
      <c r="AA300">
        <v>3.67</v>
      </c>
      <c r="AB300">
        <v>4.2</v>
      </c>
      <c r="AC300">
        <v>14.88</v>
      </c>
      <c r="AD300">
        <v>13.9</v>
      </c>
      <c r="AE300" t="str">
        <f>IF(Table1[[#This Row],[Vit D3 (ng/mL)]]&lt;20,"Deficiency","Normal")</f>
        <v>Deficiency</v>
      </c>
      <c r="AF300">
        <v>0.7</v>
      </c>
      <c r="AG300">
        <v>95</v>
      </c>
      <c r="AH300">
        <v>1</v>
      </c>
      <c r="AI300" t="str">
        <f>IF(Table1[[#This Row],[Weight gain(Y/N)]]=0,"NO","YES")</f>
        <v>YES</v>
      </c>
      <c r="AJ300">
        <v>1</v>
      </c>
      <c r="AK300" t="str">
        <f>IF(Table1[[#This Row],[hair growth(Y/N)]]=1,"YES","NO")</f>
        <v>YES</v>
      </c>
      <c r="AL300">
        <v>1</v>
      </c>
      <c r="AM300" t="str">
        <f>IF(Table1[[#This Row],[Skin darkening (Y/N)]]=1,"YES","NO")</f>
        <v>YES</v>
      </c>
      <c r="AN300">
        <v>1</v>
      </c>
      <c r="AO300" t="str">
        <f>IF(Table1[[#This Row],[Hair loss(Y/N)]]=1,"YES","NO")</f>
        <v>YES</v>
      </c>
      <c r="AP300">
        <v>1</v>
      </c>
      <c r="AQ300" t="str">
        <f>IF(Table1[[#This Row],[Pimples(Y/N)]]=1,"YES","NO")</f>
        <v>YES</v>
      </c>
      <c r="AR300">
        <v>1</v>
      </c>
      <c r="AS300" t="str">
        <f>IF(Table1[[#This Row],[Fast food (Y/N)]]=1,"YES","NO")</f>
        <v>YES</v>
      </c>
      <c r="AT300">
        <v>0</v>
      </c>
      <c r="AU300" t="str">
        <f>IF(Table1[[#This Row],[Reg.Exercise(Y/N)]]=1,"YES","NO")</f>
        <v>NO</v>
      </c>
      <c r="AV300">
        <v>120</v>
      </c>
      <c r="AW300">
        <v>70</v>
      </c>
      <c r="AX300">
        <v>1</v>
      </c>
      <c r="AY300">
        <v>0</v>
      </c>
      <c r="AZ300">
        <v>16</v>
      </c>
      <c r="BA300">
        <v>12</v>
      </c>
      <c r="BB300">
        <v>7.7</v>
      </c>
      <c r="BC300" t="str" cm="1">
        <f t="array" ref="BC300">_xlfn.IFS((F300/(G300*G300)*10000)&lt; 18.5,"Underweight",(F300/(G300*G300)*10000)&lt;24.9,"Normal",(F300/(G300*G300)*10000)&lt;29.9,"Overweight",(F300/(G300*G300)*10000)&gt;=30,"obesity")</f>
        <v>Overweight</v>
      </c>
      <c r="BD300">
        <f>Table1[[#This Row],[Follicle No. (L)]]+Table1[[#This Row],[Follicle No. (R)]]</f>
        <v>1</v>
      </c>
      <c r="BE300">
        <f>Table1[[#This Row],[Avg. F size (L) (mm)]]+Table1[[#This Row],[Avg. F size (R) (mm)]]</f>
        <v>28</v>
      </c>
      <c r="BF300">
        <f>Table1[[#This Row],[BP _Diastolic (mmHg)]]+(Table1[[#This Row],[BP _Diastolic (mmHg)]]+Table1[[#This Row],[Follicle No. (L)]])/3</f>
        <v>93.666666666666671</v>
      </c>
      <c r="BG300" s="4" t="str" cm="1">
        <f t="array" ref="BG30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00" s="4">
        <f>SUM(Table1[[#This Row],[Pimples(Y/N)]],Table1[[#This Row],[hair growth(Y/N)]],Table1[[#This Row],[Skin darkening (Y/N)]],Table1[[#This Row],[Hair loss(Y/N)]])</f>
        <v>4</v>
      </c>
      <c r="BI300" s="4" t="str">
        <f>IF(AND(Table1[[#This Row],[Pregnant(Y/N)]]=0, Table1[[#This Row],[  I   beta-HCG(mIU/mL)]]&gt;5), "Investigation Required", "Clear")</f>
        <v>Clear</v>
      </c>
    </row>
    <row r="301" spans="1:61" ht="15.75" customHeight="1" x14ac:dyDescent="0.25">
      <c r="A301">
        <v>300</v>
      </c>
      <c r="B301">
        <v>300</v>
      </c>
      <c r="C301">
        <v>0</v>
      </c>
      <c r="D301" t="str">
        <f>IF(Table1[[#This Row],[PCOS (Y/N)]]=0,"NO","YES")</f>
        <v>NO</v>
      </c>
      <c r="E301">
        <v>26</v>
      </c>
      <c r="F301">
        <v>50</v>
      </c>
      <c r="G301">
        <v>152</v>
      </c>
      <c r="H301">
        <v>11</v>
      </c>
      <c r="I301">
        <v>72</v>
      </c>
      <c r="J301">
        <v>20</v>
      </c>
      <c r="K301">
        <v>11</v>
      </c>
      <c r="L301">
        <v>4</v>
      </c>
      <c r="M301">
        <v>5</v>
      </c>
      <c r="N301">
        <v>2</v>
      </c>
      <c r="O301">
        <v>0</v>
      </c>
      <c r="P301" t="str">
        <f>IF(Table1[[#This Row],[Pregnant(Y/N)]]=1,"YES","NO")</f>
        <v>NO</v>
      </c>
      <c r="Q301">
        <v>0</v>
      </c>
      <c r="R301">
        <v>1.99</v>
      </c>
      <c r="S301">
        <v>1.99</v>
      </c>
      <c r="T301">
        <v>5.7</v>
      </c>
      <c r="U301">
        <v>4.5</v>
      </c>
      <c r="V301">
        <f>Table1[[#This Row],[FSH(mIU/mL)]]/Table1[[#This Row],[LH(mIU/mL)]]</f>
        <v>1.2666666666666666</v>
      </c>
      <c r="W301" t="str">
        <f>IF(Table1[[#This Row],[FSH/LH]]&gt;=2,"Abnormal","Normal")</f>
        <v>Normal</v>
      </c>
      <c r="X301">
        <v>32</v>
      </c>
      <c r="Y301">
        <v>28</v>
      </c>
      <c r="Z301">
        <f>ROUND(Table1[[#This Row],[Waist(inch)]]/Table1[[#This Row],[Hip(inch)]],2)</f>
        <v>0.88</v>
      </c>
      <c r="AA301">
        <v>1.24</v>
      </c>
      <c r="AB301">
        <v>1.2</v>
      </c>
      <c r="AC301">
        <v>38.700000000000003</v>
      </c>
      <c r="AD301">
        <v>23.2</v>
      </c>
      <c r="AE301" t="str">
        <f>IF(Table1[[#This Row],[Vit D3 (ng/mL)]]&lt;20,"Deficiency","Normal")</f>
        <v>Normal</v>
      </c>
      <c r="AF301">
        <v>0.26</v>
      </c>
      <c r="AG301">
        <v>92</v>
      </c>
      <c r="AH301">
        <v>0</v>
      </c>
      <c r="AI301" t="str">
        <f>IF(Table1[[#This Row],[Weight gain(Y/N)]]=0,"NO","YES")</f>
        <v>NO</v>
      </c>
      <c r="AJ301">
        <v>0</v>
      </c>
      <c r="AK301" t="str">
        <f>IF(Table1[[#This Row],[hair growth(Y/N)]]=1,"YES","NO")</f>
        <v>NO</v>
      </c>
      <c r="AL301">
        <v>1</v>
      </c>
      <c r="AM301" t="str">
        <f>IF(Table1[[#This Row],[Skin darkening (Y/N)]]=1,"YES","NO")</f>
        <v>YES</v>
      </c>
      <c r="AN301">
        <v>0</v>
      </c>
      <c r="AO301" t="str">
        <f>IF(Table1[[#This Row],[Hair loss(Y/N)]]=1,"YES","NO")</f>
        <v>NO</v>
      </c>
      <c r="AP301">
        <v>0</v>
      </c>
      <c r="AQ301" t="str">
        <f>IF(Table1[[#This Row],[Pimples(Y/N)]]=1,"YES","NO")</f>
        <v>NO</v>
      </c>
      <c r="AR301">
        <v>1</v>
      </c>
      <c r="AS301" t="str">
        <f>IF(Table1[[#This Row],[Fast food (Y/N)]]=1,"YES","NO")</f>
        <v>YES</v>
      </c>
      <c r="AT301">
        <v>1</v>
      </c>
      <c r="AU301" t="str">
        <f>IF(Table1[[#This Row],[Reg.Exercise(Y/N)]]=1,"YES","NO")</f>
        <v>YES</v>
      </c>
      <c r="AV301">
        <v>120</v>
      </c>
      <c r="AW301">
        <v>80</v>
      </c>
      <c r="AX301">
        <v>1</v>
      </c>
      <c r="AY301">
        <v>0</v>
      </c>
      <c r="AZ301">
        <v>15</v>
      </c>
      <c r="BA301">
        <v>18</v>
      </c>
      <c r="BB301">
        <v>11</v>
      </c>
      <c r="BC301" t="str" cm="1">
        <f t="array" ref="BC301">_xlfn.IFS((F301/(G301*G301)*10000)&lt; 18.5,"Underweight",(F301/(G301*G301)*10000)&lt;24.9,"Normal",(F301/(G301*G301)*10000)&lt;29.9,"Overweight",(F301/(G301*G301)*10000)&gt;=30,"obesity")</f>
        <v>Normal</v>
      </c>
      <c r="BD301">
        <f>Table1[[#This Row],[Follicle No. (L)]]+Table1[[#This Row],[Follicle No. (R)]]</f>
        <v>1</v>
      </c>
      <c r="BE301">
        <f>Table1[[#This Row],[Avg. F size (L) (mm)]]+Table1[[#This Row],[Avg. F size (R) (mm)]]</f>
        <v>33</v>
      </c>
      <c r="BF301">
        <f>Table1[[#This Row],[BP _Diastolic (mmHg)]]+(Table1[[#This Row],[BP _Diastolic (mmHg)]]+Table1[[#This Row],[Follicle No. (L)]])/3</f>
        <v>107</v>
      </c>
      <c r="BG301" s="4" t="str" cm="1">
        <f t="array" ref="BG30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01" s="4">
        <f>SUM(Table1[[#This Row],[Pimples(Y/N)]],Table1[[#This Row],[hair growth(Y/N)]],Table1[[#This Row],[Skin darkening (Y/N)]],Table1[[#This Row],[Hair loss(Y/N)]])</f>
        <v>1</v>
      </c>
      <c r="BI301" s="4" t="str">
        <f>IF(AND(Table1[[#This Row],[Pregnant(Y/N)]]=0, Table1[[#This Row],[  I   beta-HCG(mIU/mL)]]&gt;5), "Investigation Required", "Clear")</f>
        <v>Clear</v>
      </c>
    </row>
    <row r="302" spans="1:61" ht="15.75" customHeight="1" x14ac:dyDescent="0.25">
      <c r="A302">
        <v>301</v>
      </c>
      <c r="B302">
        <v>301</v>
      </c>
      <c r="C302">
        <v>1</v>
      </c>
      <c r="D302" t="str">
        <f>IF(Table1[[#This Row],[PCOS (Y/N)]]=0,"NO","YES")</f>
        <v>YES</v>
      </c>
      <c r="E302">
        <v>40</v>
      </c>
      <c r="F302">
        <v>85</v>
      </c>
      <c r="G302">
        <v>173</v>
      </c>
      <c r="H302">
        <v>13</v>
      </c>
      <c r="I302">
        <v>72</v>
      </c>
      <c r="J302">
        <v>18</v>
      </c>
      <c r="K302">
        <v>10.5</v>
      </c>
      <c r="L302">
        <v>2</v>
      </c>
      <c r="M302">
        <v>5</v>
      </c>
      <c r="N302">
        <v>13</v>
      </c>
      <c r="O302">
        <v>0</v>
      </c>
      <c r="P302" t="str">
        <f>IF(Table1[[#This Row],[Pregnant(Y/N)]]=1,"YES","NO")</f>
        <v>NO</v>
      </c>
      <c r="Q302">
        <v>1</v>
      </c>
      <c r="R302">
        <v>1.99</v>
      </c>
      <c r="S302">
        <v>1.99</v>
      </c>
      <c r="T302">
        <v>4.38</v>
      </c>
      <c r="U302">
        <v>1.64</v>
      </c>
      <c r="V302">
        <f>Table1[[#This Row],[FSH(mIU/mL)]]/Table1[[#This Row],[LH(mIU/mL)]]</f>
        <v>2.6707317073170733</v>
      </c>
      <c r="W302" t="str">
        <f>IF(Table1[[#This Row],[FSH/LH]]&gt;=2,"Abnormal","Normal")</f>
        <v>Abnormal</v>
      </c>
      <c r="X302">
        <v>38</v>
      </c>
      <c r="Y302">
        <v>36</v>
      </c>
      <c r="Z302">
        <f>ROUND(Table1[[#This Row],[Waist(inch)]]/Table1[[#This Row],[Hip(inch)]],2)</f>
        <v>0.95</v>
      </c>
      <c r="AA302">
        <v>3.74</v>
      </c>
      <c r="AB302">
        <v>10.8</v>
      </c>
      <c r="AC302">
        <v>29.76</v>
      </c>
      <c r="AD302">
        <v>18.3</v>
      </c>
      <c r="AE302" t="str">
        <f>IF(Table1[[#This Row],[Vit D3 (ng/mL)]]&lt;20,"Deficiency","Normal")</f>
        <v>Deficiency</v>
      </c>
      <c r="AF302">
        <v>0.33</v>
      </c>
      <c r="AG302">
        <v>100</v>
      </c>
      <c r="AH302">
        <v>1</v>
      </c>
      <c r="AI302" t="str">
        <f>IF(Table1[[#This Row],[Weight gain(Y/N)]]=0,"NO","YES")</f>
        <v>YES</v>
      </c>
      <c r="AJ302">
        <v>0</v>
      </c>
      <c r="AK302" t="str">
        <f>IF(Table1[[#This Row],[hair growth(Y/N)]]=1,"YES","NO")</f>
        <v>NO</v>
      </c>
      <c r="AL302">
        <v>0</v>
      </c>
      <c r="AM302" t="str">
        <f>IF(Table1[[#This Row],[Skin darkening (Y/N)]]=1,"YES","NO")</f>
        <v>NO</v>
      </c>
      <c r="AN302">
        <v>0</v>
      </c>
      <c r="AO302" t="str">
        <f>IF(Table1[[#This Row],[Hair loss(Y/N)]]=1,"YES","NO")</f>
        <v>NO</v>
      </c>
      <c r="AP302">
        <v>1</v>
      </c>
      <c r="AQ302" t="str">
        <f>IF(Table1[[#This Row],[Pimples(Y/N)]]=1,"YES","NO")</f>
        <v>YES</v>
      </c>
      <c r="AR302">
        <v>1</v>
      </c>
      <c r="AS302" t="str">
        <f>IF(Table1[[#This Row],[Fast food (Y/N)]]=1,"YES","NO")</f>
        <v>YES</v>
      </c>
      <c r="AT302">
        <v>0</v>
      </c>
      <c r="AU302" t="str">
        <f>IF(Table1[[#This Row],[Reg.Exercise(Y/N)]]=1,"YES","NO")</f>
        <v>NO</v>
      </c>
      <c r="AV302">
        <v>110</v>
      </c>
      <c r="AW302">
        <v>80</v>
      </c>
      <c r="AX302">
        <v>2</v>
      </c>
      <c r="AY302">
        <v>1</v>
      </c>
      <c r="AZ302">
        <v>18</v>
      </c>
      <c r="BA302">
        <v>15</v>
      </c>
      <c r="BB302">
        <v>7</v>
      </c>
      <c r="BC302" t="str" cm="1">
        <f t="array" ref="BC302">_xlfn.IFS((F302/(G302*G302)*10000)&lt; 18.5,"Underweight",(F302/(G302*G302)*10000)&lt;24.9,"Normal",(F302/(G302*G302)*10000)&lt;29.9,"Overweight",(F302/(G302*G302)*10000)&gt;=30,"obesity")</f>
        <v>Overweight</v>
      </c>
      <c r="BD302">
        <f>Table1[[#This Row],[Follicle No. (L)]]+Table1[[#This Row],[Follicle No. (R)]]</f>
        <v>3</v>
      </c>
      <c r="BE302">
        <f>Table1[[#This Row],[Avg. F size (L) (mm)]]+Table1[[#This Row],[Avg. F size (R) (mm)]]</f>
        <v>33</v>
      </c>
      <c r="BF302">
        <f>Table1[[#This Row],[BP _Diastolic (mmHg)]]+(Table1[[#This Row],[BP _Diastolic (mmHg)]]+Table1[[#This Row],[Follicle No. (L)]])/3</f>
        <v>107.33333333333333</v>
      </c>
      <c r="BG302" s="4" t="str" cm="1">
        <f t="array" ref="BG30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02" s="4">
        <f>SUM(Table1[[#This Row],[Pimples(Y/N)]],Table1[[#This Row],[hair growth(Y/N)]],Table1[[#This Row],[Skin darkening (Y/N)]],Table1[[#This Row],[Hair loss(Y/N)]])</f>
        <v>1</v>
      </c>
      <c r="BI302" s="4" t="str">
        <f>IF(AND(Table1[[#This Row],[Pregnant(Y/N)]]=0, Table1[[#This Row],[  I   beta-HCG(mIU/mL)]]&gt;5), "Investigation Required", "Clear")</f>
        <v>Clear</v>
      </c>
    </row>
    <row r="303" spans="1:61" ht="15.75" customHeight="1" x14ac:dyDescent="0.25">
      <c r="A303">
        <v>302</v>
      </c>
      <c r="B303">
        <v>302</v>
      </c>
      <c r="C303">
        <v>0</v>
      </c>
      <c r="D303" t="str">
        <f>IF(Table1[[#This Row],[PCOS (Y/N)]]=0,"NO","YES")</f>
        <v>NO</v>
      </c>
      <c r="E303">
        <v>28</v>
      </c>
      <c r="F303">
        <v>53</v>
      </c>
      <c r="G303">
        <v>152</v>
      </c>
      <c r="H303">
        <v>11</v>
      </c>
      <c r="I303">
        <v>72</v>
      </c>
      <c r="J303">
        <v>18</v>
      </c>
      <c r="K303">
        <v>11.2</v>
      </c>
      <c r="L303">
        <v>2</v>
      </c>
      <c r="M303">
        <v>4</v>
      </c>
      <c r="N303">
        <v>7.5</v>
      </c>
      <c r="O303">
        <v>0</v>
      </c>
      <c r="P303" t="str">
        <f>IF(Table1[[#This Row],[Pregnant(Y/N)]]=1,"YES","NO")</f>
        <v>NO</v>
      </c>
      <c r="Q303">
        <v>1</v>
      </c>
      <c r="R303">
        <v>110.78</v>
      </c>
      <c r="S303">
        <v>1.99</v>
      </c>
      <c r="T303">
        <v>5.71</v>
      </c>
      <c r="U303">
        <v>2.83</v>
      </c>
      <c r="V303">
        <f>Table1[[#This Row],[FSH(mIU/mL)]]/Table1[[#This Row],[LH(mIU/mL)]]</f>
        <v>2.0176678445229683</v>
      </c>
      <c r="W303" t="str">
        <f>IF(Table1[[#This Row],[FSH/LH]]&gt;=2,"Abnormal","Normal")</f>
        <v>Abnormal</v>
      </c>
      <c r="X303">
        <v>33</v>
      </c>
      <c r="Y303">
        <v>30</v>
      </c>
      <c r="Z303">
        <f>ROUND(Table1[[#This Row],[Waist(inch)]]/Table1[[#This Row],[Hip(inch)]],2)</f>
        <v>0.91</v>
      </c>
      <c r="AA303">
        <v>4.6900000000000004</v>
      </c>
      <c r="AB303">
        <v>10</v>
      </c>
      <c r="AC303">
        <v>22.1</v>
      </c>
      <c r="AD303">
        <v>30.3</v>
      </c>
      <c r="AE303" t="str">
        <f>IF(Table1[[#This Row],[Vit D3 (ng/mL)]]&lt;20,"Deficiency","Normal")</f>
        <v>Normal</v>
      </c>
      <c r="AF303">
        <v>0.4</v>
      </c>
      <c r="AG303">
        <v>100</v>
      </c>
      <c r="AH303">
        <v>1</v>
      </c>
      <c r="AI303" t="str">
        <f>IF(Table1[[#This Row],[Weight gain(Y/N)]]=0,"NO","YES")</f>
        <v>YES</v>
      </c>
      <c r="AJ303">
        <v>1</v>
      </c>
      <c r="AK303" t="str">
        <f>IF(Table1[[#This Row],[hair growth(Y/N)]]=1,"YES","NO")</f>
        <v>YES</v>
      </c>
      <c r="AL303">
        <v>1</v>
      </c>
      <c r="AM303" t="str">
        <f>IF(Table1[[#This Row],[Skin darkening (Y/N)]]=1,"YES","NO")</f>
        <v>YES</v>
      </c>
      <c r="AN303">
        <v>1</v>
      </c>
      <c r="AO303" t="str">
        <f>IF(Table1[[#This Row],[Hair loss(Y/N)]]=1,"YES","NO")</f>
        <v>YES</v>
      </c>
      <c r="AP303">
        <v>0</v>
      </c>
      <c r="AQ303" t="str">
        <f>IF(Table1[[#This Row],[Pimples(Y/N)]]=1,"YES","NO")</f>
        <v>NO</v>
      </c>
      <c r="AR303">
        <v>1</v>
      </c>
      <c r="AS303" t="str">
        <f>IF(Table1[[#This Row],[Fast food (Y/N)]]=1,"YES","NO")</f>
        <v>YES</v>
      </c>
      <c r="AT303">
        <v>0</v>
      </c>
      <c r="AU303" t="str">
        <f>IF(Table1[[#This Row],[Reg.Exercise(Y/N)]]=1,"YES","NO")</f>
        <v>NO</v>
      </c>
      <c r="AV303">
        <v>110</v>
      </c>
      <c r="AW303">
        <v>80</v>
      </c>
      <c r="AX303">
        <v>7</v>
      </c>
      <c r="AY303">
        <v>5</v>
      </c>
      <c r="AZ303">
        <v>16</v>
      </c>
      <c r="BA303">
        <v>13</v>
      </c>
      <c r="BB303">
        <v>9</v>
      </c>
      <c r="BC303" t="str" cm="1">
        <f t="array" ref="BC303">_xlfn.IFS((F303/(G303*G303)*10000)&lt; 18.5,"Underweight",(F303/(G303*G303)*10000)&lt;24.9,"Normal",(F303/(G303*G303)*10000)&lt;29.9,"Overweight",(F303/(G303*G303)*10000)&gt;=30,"obesity")</f>
        <v>Normal</v>
      </c>
      <c r="BD303">
        <f>Table1[[#This Row],[Follicle No. (L)]]+Table1[[#This Row],[Follicle No. (R)]]</f>
        <v>12</v>
      </c>
      <c r="BE303">
        <f>Table1[[#This Row],[Avg. F size (L) (mm)]]+Table1[[#This Row],[Avg. F size (R) (mm)]]</f>
        <v>29</v>
      </c>
      <c r="BF303">
        <f>Table1[[#This Row],[BP _Diastolic (mmHg)]]+(Table1[[#This Row],[BP _Diastolic (mmHg)]]+Table1[[#This Row],[Follicle No. (L)]])/3</f>
        <v>109</v>
      </c>
      <c r="BG303" s="4" t="str" cm="1">
        <f t="array" ref="BG30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03" s="4">
        <f>SUM(Table1[[#This Row],[Pimples(Y/N)]],Table1[[#This Row],[hair growth(Y/N)]],Table1[[#This Row],[Skin darkening (Y/N)]],Table1[[#This Row],[Hair loss(Y/N)]])</f>
        <v>3</v>
      </c>
      <c r="BI303" s="4" t="str">
        <f>IF(AND(Table1[[#This Row],[Pregnant(Y/N)]]=0, Table1[[#This Row],[  I   beta-HCG(mIU/mL)]]&gt;5), "Investigation Required", "Clear")</f>
        <v>Investigation Required</v>
      </c>
    </row>
    <row r="304" spans="1:61" ht="15.75" customHeight="1" x14ac:dyDescent="0.25">
      <c r="A304">
        <v>303</v>
      </c>
      <c r="B304">
        <v>303</v>
      </c>
      <c r="C304">
        <v>0</v>
      </c>
      <c r="D304" t="str">
        <f>IF(Table1[[#This Row],[PCOS (Y/N)]]=0,"NO","YES")</f>
        <v>NO</v>
      </c>
      <c r="E304">
        <v>26</v>
      </c>
      <c r="F304">
        <v>64</v>
      </c>
      <c r="G304">
        <v>153</v>
      </c>
      <c r="H304">
        <v>17</v>
      </c>
      <c r="I304">
        <v>72</v>
      </c>
      <c r="J304">
        <v>18</v>
      </c>
      <c r="K304">
        <v>12</v>
      </c>
      <c r="L304">
        <v>4</v>
      </c>
      <c r="M304">
        <v>3</v>
      </c>
      <c r="N304">
        <v>3</v>
      </c>
      <c r="O304">
        <v>0</v>
      </c>
      <c r="P304" t="str">
        <f>IF(Table1[[#This Row],[Pregnant(Y/N)]]=1,"YES","NO")</f>
        <v>NO</v>
      </c>
      <c r="Q304">
        <v>0</v>
      </c>
      <c r="R304">
        <v>1.99</v>
      </c>
      <c r="S304">
        <v>1.99</v>
      </c>
      <c r="T304">
        <v>5.14</v>
      </c>
      <c r="U304">
        <v>8.17</v>
      </c>
      <c r="V304">
        <f>Table1[[#This Row],[FSH(mIU/mL)]]/Table1[[#This Row],[LH(mIU/mL)]]</f>
        <v>0.62913096695226434</v>
      </c>
      <c r="W304" t="str">
        <f>IF(Table1[[#This Row],[FSH/LH]]&gt;=2,"Abnormal","Normal")</f>
        <v>Normal</v>
      </c>
      <c r="X304">
        <v>34</v>
      </c>
      <c r="Y304">
        <v>31</v>
      </c>
      <c r="Z304">
        <f>ROUND(Table1[[#This Row],[Waist(inch)]]/Table1[[#This Row],[Hip(inch)]],2)</f>
        <v>0.91</v>
      </c>
      <c r="AA304">
        <v>1.1000000000000001</v>
      </c>
      <c r="AB304">
        <v>18.7</v>
      </c>
      <c r="AC304">
        <v>31.83</v>
      </c>
      <c r="AD304">
        <v>30</v>
      </c>
      <c r="AE304" t="str">
        <f>IF(Table1[[#This Row],[Vit D3 (ng/mL)]]&lt;20,"Deficiency","Normal")</f>
        <v>Normal</v>
      </c>
      <c r="AF304">
        <v>0.46</v>
      </c>
      <c r="AG304">
        <v>135</v>
      </c>
      <c r="AH304">
        <v>0</v>
      </c>
      <c r="AI304" t="str">
        <f>IF(Table1[[#This Row],[Weight gain(Y/N)]]=0,"NO","YES")</f>
        <v>NO</v>
      </c>
      <c r="AJ304">
        <v>0</v>
      </c>
      <c r="AK304" t="str">
        <f>IF(Table1[[#This Row],[hair growth(Y/N)]]=1,"YES","NO")</f>
        <v>NO</v>
      </c>
      <c r="AL304">
        <v>0</v>
      </c>
      <c r="AM304" t="str">
        <f>IF(Table1[[#This Row],[Skin darkening (Y/N)]]=1,"YES","NO")</f>
        <v>NO</v>
      </c>
      <c r="AN304">
        <v>1</v>
      </c>
      <c r="AO304" t="str">
        <f>IF(Table1[[#This Row],[Hair loss(Y/N)]]=1,"YES","NO")</f>
        <v>YES</v>
      </c>
      <c r="AP304">
        <v>0</v>
      </c>
      <c r="AQ304" t="str">
        <f>IF(Table1[[#This Row],[Pimples(Y/N)]]=1,"YES","NO")</f>
        <v>NO</v>
      </c>
      <c r="AR304">
        <v>0</v>
      </c>
      <c r="AS304" t="str">
        <f>IF(Table1[[#This Row],[Fast food (Y/N)]]=1,"YES","NO")</f>
        <v>NO</v>
      </c>
      <c r="AT304">
        <v>1</v>
      </c>
      <c r="AU304" t="str">
        <f>IF(Table1[[#This Row],[Reg.Exercise(Y/N)]]=1,"YES","NO")</f>
        <v>YES</v>
      </c>
      <c r="AV304">
        <v>120</v>
      </c>
      <c r="AW304">
        <v>80</v>
      </c>
      <c r="AX304">
        <v>3</v>
      </c>
      <c r="AY304">
        <v>4</v>
      </c>
      <c r="AZ304">
        <v>16</v>
      </c>
      <c r="BA304">
        <v>14</v>
      </c>
      <c r="BB304">
        <v>9.5</v>
      </c>
      <c r="BC304" t="str" cm="1">
        <f t="array" ref="BC304">_xlfn.IFS((F304/(G304*G304)*10000)&lt; 18.5,"Underweight",(F304/(G304*G304)*10000)&lt;24.9,"Normal",(F304/(G304*G304)*10000)&lt;29.9,"Overweight",(F304/(G304*G304)*10000)&gt;=30,"obesity")</f>
        <v>Overweight</v>
      </c>
      <c r="BD304">
        <f>Table1[[#This Row],[Follicle No. (L)]]+Table1[[#This Row],[Follicle No. (R)]]</f>
        <v>7</v>
      </c>
      <c r="BE304">
        <f>Table1[[#This Row],[Avg. F size (L) (mm)]]+Table1[[#This Row],[Avg. F size (R) (mm)]]</f>
        <v>30</v>
      </c>
      <c r="BF304">
        <f>Table1[[#This Row],[BP _Diastolic (mmHg)]]+(Table1[[#This Row],[BP _Diastolic (mmHg)]]+Table1[[#This Row],[Follicle No. (L)]])/3</f>
        <v>107.66666666666667</v>
      </c>
      <c r="BG304" s="4" t="str" cm="1">
        <f t="array" ref="BG30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04" s="4">
        <f>SUM(Table1[[#This Row],[Pimples(Y/N)]],Table1[[#This Row],[hair growth(Y/N)]],Table1[[#This Row],[Skin darkening (Y/N)]],Table1[[#This Row],[Hair loss(Y/N)]])</f>
        <v>1</v>
      </c>
      <c r="BI304" s="4" t="str">
        <f>IF(AND(Table1[[#This Row],[Pregnant(Y/N)]]=0, Table1[[#This Row],[  I   beta-HCG(mIU/mL)]]&gt;5), "Investigation Required", "Clear")</f>
        <v>Clear</v>
      </c>
    </row>
    <row r="305" spans="1:61" ht="15.75" customHeight="1" x14ac:dyDescent="0.25">
      <c r="A305">
        <v>304</v>
      </c>
      <c r="B305">
        <v>304</v>
      </c>
      <c r="C305">
        <v>1</v>
      </c>
      <c r="D305" t="str">
        <f>IF(Table1[[#This Row],[PCOS (Y/N)]]=0,"NO","YES")</f>
        <v>YES</v>
      </c>
      <c r="E305">
        <v>25</v>
      </c>
      <c r="F305">
        <v>57</v>
      </c>
      <c r="G305">
        <v>148</v>
      </c>
      <c r="H305">
        <v>15</v>
      </c>
      <c r="I305">
        <v>72</v>
      </c>
      <c r="J305">
        <v>20</v>
      </c>
      <c r="K305">
        <v>10</v>
      </c>
      <c r="L305">
        <v>2</v>
      </c>
      <c r="M305">
        <v>5</v>
      </c>
      <c r="N305">
        <v>1</v>
      </c>
      <c r="O305">
        <v>0</v>
      </c>
      <c r="P305" t="str">
        <f>IF(Table1[[#This Row],[Pregnant(Y/N)]]=1,"YES","NO")</f>
        <v>NO</v>
      </c>
      <c r="Q305">
        <v>0</v>
      </c>
      <c r="R305">
        <v>1.99</v>
      </c>
      <c r="S305">
        <v>1.9</v>
      </c>
      <c r="T305">
        <v>2.52</v>
      </c>
      <c r="U305">
        <v>1.41</v>
      </c>
      <c r="V305">
        <f>Table1[[#This Row],[FSH(mIU/mL)]]/Table1[[#This Row],[LH(mIU/mL)]]</f>
        <v>1.7872340425531916</v>
      </c>
      <c r="W305" t="str">
        <f>IF(Table1[[#This Row],[FSH/LH]]&gt;=2,"Abnormal","Normal")</f>
        <v>Normal</v>
      </c>
      <c r="X305">
        <v>30</v>
      </c>
      <c r="Y305">
        <v>28</v>
      </c>
      <c r="Z305">
        <f>ROUND(Table1[[#This Row],[Waist(inch)]]/Table1[[#This Row],[Hip(inch)]],2)</f>
        <v>0.93</v>
      </c>
      <c r="AA305">
        <v>3.04</v>
      </c>
      <c r="AB305">
        <v>18</v>
      </c>
      <c r="AC305">
        <v>35.03</v>
      </c>
      <c r="AD305">
        <v>31.2</v>
      </c>
      <c r="AE305" t="str">
        <f>IF(Table1[[#This Row],[Vit D3 (ng/mL)]]&lt;20,"Deficiency","Normal")</f>
        <v>Normal</v>
      </c>
      <c r="AF305">
        <v>0.56000000000000005</v>
      </c>
      <c r="AG305">
        <v>80</v>
      </c>
      <c r="AH305">
        <v>1</v>
      </c>
      <c r="AI305" t="str">
        <f>IF(Table1[[#This Row],[Weight gain(Y/N)]]=0,"NO","YES")</f>
        <v>YES</v>
      </c>
      <c r="AJ305">
        <v>1</v>
      </c>
      <c r="AK305" t="str">
        <f>IF(Table1[[#This Row],[hair growth(Y/N)]]=1,"YES","NO")</f>
        <v>YES</v>
      </c>
      <c r="AL305">
        <v>1</v>
      </c>
      <c r="AM305" t="str">
        <f>IF(Table1[[#This Row],[Skin darkening (Y/N)]]=1,"YES","NO")</f>
        <v>YES</v>
      </c>
      <c r="AN305">
        <v>1</v>
      </c>
      <c r="AO305" t="str">
        <f>IF(Table1[[#This Row],[Hair loss(Y/N)]]=1,"YES","NO")</f>
        <v>YES</v>
      </c>
      <c r="AP305">
        <v>1</v>
      </c>
      <c r="AQ305" t="str">
        <f>IF(Table1[[#This Row],[Pimples(Y/N)]]=1,"YES","NO")</f>
        <v>YES</v>
      </c>
      <c r="AR305">
        <v>0</v>
      </c>
      <c r="AS305" t="str">
        <f>IF(Table1[[#This Row],[Fast food (Y/N)]]=1,"YES","NO")</f>
        <v>NO</v>
      </c>
      <c r="AT305">
        <v>0</v>
      </c>
      <c r="AU305" t="str">
        <f>IF(Table1[[#This Row],[Reg.Exercise(Y/N)]]=1,"YES","NO")</f>
        <v>NO</v>
      </c>
      <c r="AV305">
        <v>110</v>
      </c>
      <c r="AW305">
        <v>80</v>
      </c>
      <c r="AX305">
        <v>10</v>
      </c>
      <c r="AY305">
        <v>12</v>
      </c>
      <c r="AZ305">
        <v>15</v>
      </c>
      <c r="BA305">
        <v>14</v>
      </c>
      <c r="BB305">
        <v>9</v>
      </c>
      <c r="BC305" t="str" cm="1">
        <f t="array" ref="BC305">_xlfn.IFS((F305/(G305*G305)*10000)&lt; 18.5,"Underweight",(F305/(G305*G305)*10000)&lt;24.9,"Normal",(F305/(G305*G305)*10000)&lt;29.9,"Overweight",(F305/(G305*G305)*10000)&gt;=30,"obesity")</f>
        <v>Overweight</v>
      </c>
      <c r="BD305">
        <f>Table1[[#This Row],[Follicle No. (L)]]+Table1[[#This Row],[Follicle No. (R)]]</f>
        <v>22</v>
      </c>
      <c r="BE305">
        <f>Table1[[#This Row],[Avg. F size (L) (mm)]]+Table1[[#This Row],[Avg. F size (R) (mm)]]</f>
        <v>29</v>
      </c>
      <c r="BF305">
        <f>Table1[[#This Row],[BP _Diastolic (mmHg)]]+(Table1[[#This Row],[BP _Diastolic (mmHg)]]+Table1[[#This Row],[Follicle No. (L)]])/3</f>
        <v>110</v>
      </c>
      <c r="BG305" s="4" t="str" cm="1">
        <f t="array" ref="BG30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05" s="4">
        <f>SUM(Table1[[#This Row],[Pimples(Y/N)]],Table1[[#This Row],[hair growth(Y/N)]],Table1[[#This Row],[Skin darkening (Y/N)]],Table1[[#This Row],[Hair loss(Y/N)]])</f>
        <v>4</v>
      </c>
      <c r="BI305" s="4" t="str">
        <f>IF(AND(Table1[[#This Row],[Pregnant(Y/N)]]=0, Table1[[#This Row],[  I   beta-HCG(mIU/mL)]]&gt;5), "Investigation Required", "Clear")</f>
        <v>Clear</v>
      </c>
    </row>
    <row r="306" spans="1:61" ht="15.75" customHeight="1" x14ac:dyDescent="0.25">
      <c r="A306">
        <v>305</v>
      </c>
      <c r="B306">
        <v>305</v>
      </c>
      <c r="C306">
        <v>0</v>
      </c>
      <c r="D306" t="str">
        <f>IF(Table1[[#This Row],[PCOS (Y/N)]]=0,"NO","YES")</f>
        <v>NO</v>
      </c>
      <c r="E306">
        <v>35</v>
      </c>
      <c r="F306">
        <v>52</v>
      </c>
      <c r="G306">
        <v>150</v>
      </c>
      <c r="H306">
        <v>13</v>
      </c>
      <c r="I306">
        <v>70</v>
      </c>
      <c r="J306">
        <v>18</v>
      </c>
      <c r="K306">
        <v>10.7</v>
      </c>
      <c r="L306">
        <v>2</v>
      </c>
      <c r="M306">
        <v>5</v>
      </c>
      <c r="N306">
        <v>7</v>
      </c>
      <c r="O306">
        <v>0</v>
      </c>
      <c r="P306" t="str">
        <f>IF(Table1[[#This Row],[Pregnant(Y/N)]]=1,"YES","NO")</f>
        <v>NO</v>
      </c>
      <c r="Q306">
        <v>0</v>
      </c>
      <c r="R306">
        <v>1.99</v>
      </c>
      <c r="S306">
        <v>1.99</v>
      </c>
      <c r="T306">
        <v>5.04</v>
      </c>
      <c r="U306">
        <v>2.2200000000000002</v>
      </c>
      <c r="V306">
        <f>Table1[[#This Row],[FSH(mIU/mL)]]/Table1[[#This Row],[LH(mIU/mL)]]</f>
        <v>2.2702702702702702</v>
      </c>
      <c r="W306" t="str">
        <f>IF(Table1[[#This Row],[FSH/LH]]&gt;=2,"Abnormal","Normal")</f>
        <v>Abnormal</v>
      </c>
      <c r="X306">
        <v>34</v>
      </c>
      <c r="Y306">
        <v>32</v>
      </c>
      <c r="Z306">
        <f>ROUND(Table1[[#This Row],[Waist(inch)]]/Table1[[#This Row],[Hip(inch)]],2)</f>
        <v>0.94</v>
      </c>
      <c r="AA306">
        <v>0.81</v>
      </c>
      <c r="AB306">
        <v>0.28000000000000003</v>
      </c>
      <c r="AC306">
        <v>16.399999999999999</v>
      </c>
      <c r="AD306">
        <v>25</v>
      </c>
      <c r="AE306" t="str">
        <f>IF(Table1[[#This Row],[Vit D3 (ng/mL)]]&lt;20,"Deficiency","Normal")</f>
        <v>Normal</v>
      </c>
      <c r="AF306">
        <v>0.33</v>
      </c>
      <c r="AG306">
        <v>94</v>
      </c>
      <c r="AH306">
        <v>0</v>
      </c>
      <c r="AI306" t="str">
        <f>IF(Table1[[#This Row],[Weight gain(Y/N)]]=0,"NO","YES")</f>
        <v>NO</v>
      </c>
      <c r="AJ306">
        <v>0</v>
      </c>
      <c r="AK306" t="str">
        <f>IF(Table1[[#This Row],[hair growth(Y/N)]]=1,"YES","NO")</f>
        <v>NO</v>
      </c>
      <c r="AL306">
        <v>0</v>
      </c>
      <c r="AM306" t="str">
        <f>IF(Table1[[#This Row],[Skin darkening (Y/N)]]=1,"YES","NO")</f>
        <v>NO</v>
      </c>
      <c r="AN306">
        <v>0</v>
      </c>
      <c r="AO306" t="str">
        <f>IF(Table1[[#This Row],[Hair loss(Y/N)]]=1,"YES","NO")</f>
        <v>NO</v>
      </c>
      <c r="AP306">
        <v>1</v>
      </c>
      <c r="AQ306" t="str">
        <f>IF(Table1[[#This Row],[Pimples(Y/N)]]=1,"YES","NO")</f>
        <v>YES</v>
      </c>
      <c r="AR306">
        <v>0</v>
      </c>
      <c r="AS306" t="str">
        <f>IF(Table1[[#This Row],[Fast food (Y/N)]]=1,"YES","NO")</f>
        <v>NO</v>
      </c>
      <c r="AT306">
        <v>1</v>
      </c>
      <c r="AU306" t="str">
        <f>IF(Table1[[#This Row],[Reg.Exercise(Y/N)]]=1,"YES","NO")</f>
        <v>YES</v>
      </c>
      <c r="AV306">
        <v>110</v>
      </c>
      <c r="AW306">
        <v>80</v>
      </c>
      <c r="AX306">
        <v>3</v>
      </c>
      <c r="AY306">
        <v>2</v>
      </c>
      <c r="AZ306">
        <v>17</v>
      </c>
      <c r="BA306">
        <v>15</v>
      </c>
      <c r="BB306">
        <v>12</v>
      </c>
      <c r="BC306" t="str" cm="1">
        <f t="array" ref="BC306">_xlfn.IFS((F306/(G306*G306)*10000)&lt; 18.5,"Underweight",(F306/(G306*G306)*10000)&lt;24.9,"Normal",(F306/(G306*G306)*10000)&lt;29.9,"Overweight",(F306/(G306*G306)*10000)&gt;=30,"obesity")</f>
        <v>Normal</v>
      </c>
      <c r="BD306">
        <f>Table1[[#This Row],[Follicle No. (L)]]+Table1[[#This Row],[Follicle No. (R)]]</f>
        <v>5</v>
      </c>
      <c r="BE306">
        <f>Table1[[#This Row],[Avg. F size (L) (mm)]]+Table1[[#This Row],[Avg. F size (R) (mm)]]</f>
        <v>32</v>
      </c>
      <c r="BF306">
        <f>Table1[[#This Row],[BP _Diastolic (mmHg)]]+(Table1[[#This Row],[BP _Diastolic (mmHg)]]+Table1[[#This Row],[Follicle No. (L)]])/3</f>
        <v>107.66666666666667</v>
      </c>
      <c r="BG306" s="4" t="str" cm="1">
        <f t="array" ref="BG30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06" s="4">
        <f>SUM(Table1[[#This Row],[Pimples(Y/N)]],Table1[[#This Row],[hair growth(Y/N)]],Table1[[#This Row],[Skin darkening (Y/N)]],Table1[[#This Row],[Hair loss(Y/N)]])</f>
        <v>1</v>
      </c>
      <c r="BI306" s="4" t="str">
        <f>IF(AND(Table1[[#This Row],[Pregnant(Y/N)]]=0, Table1[[#This Row],[  I   beta-HCG(mIU/mL)]]&gt;5), "Investigation Required", "Clear")</f>
        <v>Clear</v>
      </c>
    </row>
    <row r="307" spans="1:61" ht="15.75" customHeight="1" x14ac:dyDescent="0.25">
      <c r="A307">
        <v>306</v>
      </c>
      <c r="B307">
        <v>306</v>
      </c>
      <c r="C307">
        <v>0</v>
      </c>
      <c r="D307" t="str">
        <f>IF(Table1[[#This Row],[PCOS (Y/N)]]=0,"NO","YES")</f>
        <v>NO</v>
      </c>
      <c r="E307">
        <v>37</v>
      </c>
      <c r="F307">
        <v>56</v>
      </c>
      <c r="G307">
        <v>152</v>
      </c>
      <c r="H307">
        <v>13</v>
      </c>
      <c r="I307">
        <v>74</v>
      </c>
      <c r="J307">
        <v>20</v>
      </c>
      <c r="K307">
        <v>11.7</v>
      </c>
      <c r="L307">
        <v>2</v>
      </c>
      <c r="M307">
        <v>5</v>
      </c>
      <c r="N307">
        <v>9</v>
      </c>
      <c r="O307">
        <v>0</v>
      </c>
      <c r="P307" t="str">
        <f>IF(Table1[[#This Row],[Pregnant(Y/N)]]=1,"YES","NO")</f>
        <v>NO</v>
      </c>
      <c r="Q307">
        <v>0</v>
      </c>
      <c r="R307">
        <v>42</v>
      </c>
      <c r="S307">
        <v>1.99</v>
      </c>
      <c r="T307">
        <v>2.91</v>
      </c>
      <c r="U307">
        <v>0.35</v>
      </c>
      <c r="V307">
        <f>Table1[[#This Row],[FSH(mIU/mL)]]/Table1[[#This Row],[LH(mIU/mL)]]</f>
        <v>8.3142857142857149</v>
      </c>
      <c r="W307" t="str">
        <f>IF(Table1[[#This Row],[FSH/LH]]&gt;=2,"Abnormal","Normal")</f>
        <v>Abnormal</v>
      </c>
      <c r="X307">
        <v>35</v>
      </c>
      <c r="Y307">
        <v>33</v>
      </c>
      <c r="Z307">
        <f>ROUND(Table1[[#This Row],[Waist(inch)]]/Table1[[#This Row],[Hip(inch)]],2)</f>
        <v>0.94</v>
      </c>
      <c r="AA307">
        <v>16</v>
      </c>
      <c r="AB307" t="s">
        <v>44</v>
      </c>
      <c r="AC307">
        <v>2.2200000000000002</v>
      </c>
      <c r="AD307">
        <v>38.6</v>
      </c>
      <c r="AE307" t="str">
        <f>IF(Table1[[#This Row],[Vit D3 (ng/mL)]]&lt;20,"Deficiency","Normal")</f>
        <v>Normal</v>
      </c>
      <c r="AF307">
        <v>0.3</v>
      </c>
      <c r="AG307">
        <v>100</v>
      </c>
      <c r="AH307">
        <v>0</v>
      </c>
      <c r="AI307" t="str">
        <f>IF(Table1[[#This Row],[Weight gain(Y/N)]]=0,"NO","YES")</f>
        <v>NO</v>
      </c>
      <c r="AJ307">
        <v>0</v>
      </c>
      <c r="AK307" t="str">
        <f>IF(Table1[[#This Row],[hair growth(Y/N)]]=1,"YES","NO")</f>
        <v>NO</v>
      </c>
      <c r="AL307">
        <v>0</v>
      </c>
      <c r="AM307" t="str">
        <f>IF(Table1[[#This Row],[Skin darkening (Y/N)]]=1,"YES","NO")</f>
        <v>NO</v>
      </c>
      <c r="AN307">
        <v>0</v>
      </c>
      <c r="AO307" t="str">
        <f>IF(Table1[[#This Row],[Hair loss(Y/N)]]=1,"YES","NO")</f>
        <v>NO</v>
      </c>
      <c r="AP307">
        <v>1</v>
      </c>
      <c r="AQ307" t="str">
        <f>IF(Table1[[#This Row],[Pimples(Y/N)]]=1,"YES","NO")</f>
        <v>YES</v>
      </c>
      <c r="AR307">
        <v>0</v>
      </c>
      <c r="AS307" t="str">
        <f>IF(Table1[[#This Row],[Fast food (Y/N)]]=1,"YES","NO")</f>
        <v>NO</v>
      </c>
      <c r="AT307">
        <v>1</v>
      </c>
      <c r="AU307" t="str">
        <f>IF(Table1[[#This Row],[Reg.Exercise(Y/N)]]=1,"YES","NO")</f>
        <v>YES</v>
      </c>
      <c r="AV307">
        <v>120</v>
      </c>
      <c r="AW307">
        <v>70</v>
      </c>
      <c r="AX307">
        <v>4</v>
      </c>
      <c r="AY307">
        <v>5</v>
      </c>
      <c r="AZ307">
        <v>17</v>
      </c>
      <c r="BA307">
        <v>16</v>
      </c>
      <c r="BB307">
        <v>5.6</v>
      </c>
      <c r="BC307" t="str" cm="1">
        <f t="array" ref="BC307">_xlfn.IFS((F307/(G307*G307)*10000)&lt; 18.5,"Underweight",(F307/(G307*G307)*10000)&lt;24.9,"Normal",(F307/(G307*G307)*10000)&lt;29.9,"Overweight",(F307/(G307*G307)*10000)&gt;=30,"obesity")</f>
        <v>Normal</v>
      </c>
      <c r="BD307">
        <f>Table1[[#This Row],[Follicle No. (L)]]+Table1[[#This Row],[Follicle No. (R)]]</f>
        <v>9</v>
      </c>
      <c r="BE307">
        <f>Table1[[#This Row],[Avg. F size (L) (mm)]]+Table1[[#This Row],[Avg. F size (R) (mm)]]</f>
        <v>33</v>
      </c>
      <c r="BF307">
        <f>Table1[[#This Row],[BP _Diastolic (mmHg)]]+(Table1[[#This Row],[BP _Diastolic (mmHg)]]+Table1[[#This Row],[Follicle No. (L)]])/3</f>
        <v>94.666666666666671</v>
      </c>
      <c r="BG307" s="4" t="str" cm="1">
        <f t="array" ref="BG30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07" s="4">
        <f>SUM(Table1[[#This Row],[Pimples(Y/N)]],Table1[[#This Row],[hair growth(Y/N)]],Table1[[#This Row],[Skin darkening (Y/N)]],Table1[[#This Row],[Hair loss(Y/N)]])</f>
        <v>1</v>
      </c>
      <c r="BI307" s="4" t="str">
        <f>IF(AND(Table1[[#This Row],[Pregnant(Y/N)]]=0, Table1[[#This Row],[  I   beta-HCG(mIU/mL)]]&gt;5), "Investigation Required", "Clear")</f>
        <v>Investigation Required</v>
      </c>
    </row>
    <row r="308" spans="1:61" ht="15.75" customHeight="1" x14ac:dyDescent="0.25">
      <c r="A308">
        <v>307</v>
      </c>
      <c r="B308">
        <v>307</v>
      </c>
      <c r="C308">
        <v>1</v>
      </c>
      <c r="D308" t="str">
        <f>IF(Table1[[#This Row],[PCOS (Y/N)]]=0,"NO","YES")</f>
        <v>YES</v>
      </c>
      <c r="E308">
        <v>41</v>
      </c>
      <c r="F308">
        <v>40</v>
      </c>
      <c r="G308">
        <v>155</v>
      </c>
      <c r="H308">
        <v>13</v>
      </c>
      <c r="I308">
        <v>72</v>
      </c>
      <c r="J308">
        <v>16</v>
      </c>
      <c r="K308">
        <v>11</v>
      </c>
      <c r="L308">
        <v>2</v>
      </c>
      <c r="M308">
        <v>5</v>
      </c>
      <c r="N308">
        <v>7</v>
      </c>
      <c r="O308">
        <v>0</v>
      </c>
      <c r="P308" t="str">
        <f>IF(Table1[[#This Row],[Pregnant(Y/N)]]=1,"YES","NO")</f>
        <v>NO</v>
      </c>
      <c r="Q308">
        <v>0</v>
      </c>
      <c r="R308">
        <v>1.99</v>
      </c>
      <c r="S308">
        <v>1.99</v>
      </c>
      <c r="T308">
        <v>3.68</v>
      </c>
      <c r="U308">
        <v>0.83</v>
      </c>
      <c r="V308">
        <f>Table1[[#This Row],[FSH(mIU/mL)]]/Table1[[#This Row],[LH(mIU/mL)]]</f>
        <v>4.4337349397590362</v>
      </c>
      <c r="W308" t="str">
        <f>IF(Table1[[#This Row],[FSH/LH]]&gt;=2,"Abnormal","Normal")</f>
        <v>Abnormal</v>
      </c>
      <c r="X308">
        <v>34</v>
      </c>
      <c r="Y308">
        <v>32</v>
      </c>
      <c r="Z308">
        <f>ROUND(Table1[[#This Row],[Waist(inch)]]/Table1[[#This Row],[Hip(inch)]],2)</f>
        <v>0.94</v>
      </c>
      <c r="AA308">
        <v>1.1299999999999999</v>
      </c>
      <c r="AB308">
        <v>1.03</v>
      </c>
      <c r="AC308">
        <v>7.49</v>
      </c>
      <c r="AD308">
        <v>33.1</v>
      </c>
      <c r="AE308" t="str">
        <f>IF(Table1[[#This Row],[Vit D3 (ng/mL)]]&lt;20,"Deficiency","Normal")</f>
        <v>Normal</v>
      </c>
      <c r="AF308">
        <v>0.25</v>
      </c>
      <c r="AG308">
        <v>82</v>
      </c>
      <c r="AH308">
        <v>0</v>
      </c>
      <c r="AI308" t="str">
        <f>IF(Table1[[#This Row],[Weight gain(Y/N)]]=0,"NO","YES")</f>
        <v>NO</v>
      </c>
      <c r="AJ308">
        <v>1</v>
      </c>
      <c r="AK308" t="str">
        <f>IF(Table1[[#This Row],[hair growth(Y/N)]]=1,"YES","NO")</f>
        <v>YES</v>
      </c>
      <c r="AL308">
        <v>1</v>
      </c>
      <c r="AM308" t="str">
        <f>IF(Table1[[#This Row],[Skin darkening (Y/N)]]=1,"YES","NO")</f>
        <v>YES</v>
      </c>
      <c r="AN308">
        <v>0</v>
      </c>
      <c r="AO308" t="str">
        <f>IF(Table1[[#This Row],[Hair loss(Y/N)]]=1,"YES","NO")</f>
        <v>NO</v>
      </c>
      <c r="AP308">
        <v>1</v>
      </c>
      <c r="AQ308" t="str">
        <f>IF(Table1[[#This Row],[Pimples(Y/N)]]=1,"YES","NO")</f>
        <v>YES</v>
      </c>
      <c r="AR308">
        <v>0</v>
      </c>
      <c r="AS308" t="str">
        <f>IF(Table1[[#This Row],[Fast food (Y/N)]]=1,"YES","NO")</f>
        <v>NO</v>
      </c>
      <c r="AT308">
        <v>0</v>
      </c>
      <c r="AU308" t="str">
        <f>IF(Table1[[#This Row],[Reg.Exercise(Y/N)]]=1,"YES","NO")</f>
        <v>NO</v>
      </c>
      <c r="AV308">
        <v>110</v>
      </c>
      <c r="AW308">
        <v>70</v>
      </c>
      <c r="AX308">
        <v>8</v>
      </c>
      <c r="AY308">
        <v>12</v>
      </c>
      <c r="AZ308">
        <v>11</v>
      </c>
      <c r="BA308">
        <v>11.5</v>
      </c>
      <c r="BB308">
        <v>5.5</v>
      </c>
      <c r="BC308" t="str" cm="1">
        <f t="array" ref="BC308">_xlfn.IFS((F308/(G308*G308)*10000)&lt; 18.5,"Underweight",(F308/(G308*G308)*10000)&lt;24.9,"Normal",(F308/(G308*G308)*10000)&lt;29.9,"Overweight",(F308/(G308*G308)*10000)&gt;=30,"obesity")</f>
        <v>Underweight</v>
      </c>
      <c r="BD308">
        <f>Table1[[#This Row],[Follicle No. (L)]]+Table1[[#This Row],[Follicle No. (R)]]</f>
        <v>20</v>
      </c>
      <c r="BE308">
        <f>Table1[[#This Row],[Avg. F size (L) (mm)]]+Table1[[#This Row],[Avg. F size (R) (mm)]]</f>
        <v>22.5</v>
      </c>
      <c r="BF308">
        <f>Table1[[#This Row],[BP _Diastolic (mmHg)]]+(Table1[[#This Row],[BP _Diastolic (mmHg)]]+Table1[[#This Row],[Follicle No. (L)]])/3</f>
        <v>96</v>
      </c>
      <c r="BG308" s="4" t="str" cm="1">
        <f t="array" ref="BG30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08" s="4">
        <f>SUM(Table1[[#This Row],[Pimples(Y/N)]],Table1[[#This Row],[hair growth(Y/N)]],Table1[[#This Row],[Skin darkening (Y/N)]],Table1[[#This Row],[Hair loss(Y/N)]])</f>
        <v>3</v>
      </c>
      <c r="BI308" s="4" t="str">
        <f>IF(AND(Table1[[#This Row],[Pregnant(Y/N)]]=0, Table1[[#This Row],[  I   beta-HCG(mIU/mL)]]&gt;5), "Investigation Required", "Clear")</f>
        <v>Clear</v>
      </c>
    </row>
    <row r="309" spans="1:61" ht="15.75" customHeight="1" x14ac:dyDescent="0.25">
      <c r="A309">
        <v>308</v>
      </c>
      <c r="B309">
        <v>308</v>
      </c>
      <c r="C309">
        <v>0</v>
      </c>
      <c r="D309" t="str">
        <f>IF(Table1[[#This Row],[PCOS (Y/N)]]=0,"NO","YES")</f>
        <v>NO</v>
      </c>
      <c r="E309">
        <v>24</v>
      </c>
      <c r="F309">
        <v>68</v>
      </c>
      <c r="G309">
        <v>158</v>
      </c>
      <c r="H309">
        <v>15</v>
      </c>
      <c r="I309">
        <v>72</v>
      </c>
      <c r="J309">
        <v>16</v>
      </c>
      <c r="K309">
        <v>10.8</v>
      </c>
      <c r="L309">
        <v>2</v>
      </c>
      <c r="M309">
        <v>6</v>
      </c>
      <c r="N309">
        <v>3</v>
      </c>
      <c r="O309">
        <v>1</v>
      </c>
      <c r="P309" t="str">
        <f>IF(Table1[[#This Row],[Pregnant(Y/N)]]=1,"YES","NO")</f>
        <v>YES</v>
      </c>
      <c r="Q309">
        <v>0</v>
      </c>
      <c r="R309">
        <v>229.86</v>
      </c>
      <c r="S309">
        <v>229.86</v>
      </c>
      <c r="T309">
        <v>3.33</v>
      </c>
      <c r="U309">
        <v>1.99</v>
      </c>
      <c r="V309">
        <f>Table1[[#This Row],[FSH(mIU/mL)]]/Table1[[#This Row],[LH(mIU/mL)]]</f>
        <v>1.6733668341708543</v>
      </c>
      <c r="W309" t="str">
        <f>IF(Table1[[#This Row],[FSH/LH]]&gt;=2,"Abnormal","Normal")</f>
        <v>Normal</v>
      </c>
      <c r="X309">
        <v>39</v>
      </c>
      <c r="Y309">
        <v>36</v>
      </c>
      <c r="Z309">
        <f>ROUND(Table1[[#This Row],[Waist(inch)]]/Table1[[#This Row],[Hip(inch)]],2)</f>
        <v>0.92</v>
      </c>
      <c r="AA309">
        <v>2</v>
      </c>
      <c r="AB309">
        <v>3.02</v>
      </c>
      <c r="AC309">
        <v>10.57</v>
      </c>
      <c r="AD309">
        <v>22.5</v>
      </c>
      <c r="AE309" t="str">
        <f>IF(Table1[[#This Row],[Vit D3 (ng/mL)]]&lt;20,"Deficiency","Normal")</f>
        <v>Normal</v>
      </c>
      <c r="AF309">
        <v>0.25</v>
      </c>
      <c r="AG309">
        <v>80</v>
      </c>
      <c r="AH309">
        <v>1</v>
      </c>
      <c r="AI309" t="str">
        <f>IF(Table1[[#This Row],[Weight gain(Y/N)]]=0,"NO","YES")</f>
        <v>YES</v>
      </c>
      <c r="AJ309">
        <v>0</v>
      </c>
      <c r="AK309" t="str">
        <f>IF(Table1[[#This Row],[hair growth(Y/N)]]=1,"YES","NO")</f>
        <v>NO</v>
      </c>
      <c r="AL309">
        <v>0</v>
      </c>
      <c r="AM309" t="str">
        <f>IF(Table1[[#This Row],[Skin darkening (Y/N)]]=1,"YES","NO")</f>
        <v>NO</v>
      </c>
      <c r="AN309">
        <v>0</v>
      </c>
      <c r="AO309" t="str">
        <f>IF(Table1[[#This Row],[Hair loss(Y/N)]]=1,"YES","NO")</f>
        <v>NO</v>
      </c>
      <c r="AP309">
        <v>1</v>
      </c>
      <c r="AQ309" t="str">
        <f>IF(Table1[[#This Row],[Pimples(Y/N)]]=1,"YES","NO")</f>
        <v>YES</v>
      </c>
      <c r="AR309">
        <v>1</v>
      </c>
      <c r="AS309" t="str">
        <f>IF(Table1[[#This Row],[Fast food (Y/N)]]=1,"YES","NO")</f>
        <v>YES</v>
      </c>
      <c r="AT309">
        <v>0</v>
      </c>
      <c r="AU309" t="str">
        <f>IF(Table1[[#This Row],[Reg.Exercise(Y/N)]]=1,"YES","NO")</f>
        <v>NO</v>
      </c>
      <c r="AV309">
        <v>120</v>
      </c>
      <c r="AW309">
        <v>80</v>
      </c>
      <c r="AX309">
        <v>2</v>
      </c>
      <c r="AY309">
        <v>4</v>
      </c>
      <c r="AZ309">
        <v>12.5</v>
      </c>
      <c r="BA309">
        <v>12</v>
      </c>
      <c r="BB309">
        <v>8</v>
      </c>
      <c r="BC309" t="str" cm="1">
        <f t="array" ref="BC309">_xlfn.IFS((F309/(G309*G309)*10000)&lt; 18.5,"Underweight",(F309/(G309*G309)*10000)&lt;24.9,"Normal",(F309/(G309*G309)*10000)&lt;29.9,"Overweight",(F309/(G309*G309)*10000)&gt;=30,"obesity")</f>
        <v>Overweight</v>
      </c>
      <c r="BD309">
        <f>Table1[[#This Row],[Follicle No. (L)]]+Table1[[#This Row],[Follicle No. (R)]]</f>
        <v>6</v>
      </c>
      <c r="BE309">
        <f>Table1[[#This Row],[Avg. F size (L) (mm)]]+Table1[[#This Row],[Avg. F size (R) (mm)]]</f>
        <v>24.5</v>
      </c>
      <c r="BF309">
        <f>Table1[[#This Row],[BP _Diastolic (mmHg)]]+(Table1[[#This Row],[BP _Diastolic (mmHg)]]+Table1[[#This Row],[Follicle No. (L)]])/3</f>
        <v>107.33333333333333</v>
      </c>
      <c r="BG309" s="4" t="str" cm="1">
        <f t="array" ref="BG30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09" s="4">
        <f>SUM(Table1[[#This Row],[Pimples(Y/N)]],Table1[[#This Row],[hair growth(Y/N)]],Table1[[#This Row],[Skin darkening (Y/N)]],Table1[[#This Row],[Hair loss(Y/N)]])</f>
        <v>1</v>
      </c>
      <c r="BI309" s="4" t="str">
        <f>IF(AND(Table1[[#This Row],[Pregnant(Y/N)]]=0, Table1[[#This Row],[  I   beta-HCG(mIU/mL)]]&gt;5), "Investigation Required", "Clear")</f>
        <v>Clear</v>
      </c>
    </row>
    <row r="310" spans="1:61" ht="15.75" customHeight="1" x14ac:dyDescent="0.25">
      <c r="A310">
        <v>309</v>
      </c>
      <c r="B310">
        <v>309</v>
      </c>
      <c r="C310">
        <v>1</v>
      </c>
      <c r="D310" t="str">
        <f>IF(Table1[[#This Row],[PCOS (Y/N)]]=0,"NO","YES")</f>
        <v>YES</v>
      </c>
      <c r="E310">
        <v>33</v>
      </c>
      <c r="F310">
        <v>52</v>
      </c>
      <c r="G310">
        <v>152</v>
      </c>
      <c r="H310">
        <v>11</v>
      </c>
      <c r="I310">
        <v>72</v>
      </c>
      <c r="J310">
        <v>18</v>
      </c>
      <c r="K310">
        <v>11</v>
      </c>
      <c r="L310">
        <v>2</v>
      </c>
      <c r="M310">
        <v>5</v>
      </c>
      <c r="N310">
        <v>8</v>
      </c>
      <c r="O310">
        <v>0</v>
      </c>
      <c r="P310" t="str">
        <f>IF(Table1[[#This Row],[Pregnant(Y/N)]]=1,"YES","NO")</f>
        <v>NO</v>
      </c>
      <c r="Q310">
        <v>1</v>
      </c>
      <c r="R310">
        <v>1.99</v>
      </c>
      <c r="S310">
        <v>1.99</v>
      </c>
      <c r="T310">
        <v>5.84</v>
      </c>
      <c r="U310">
        <v>4.54</v>
      </c>
      <c r="V310">
        <f>Table1[[#This Row],[FSH(mIU/mL)]]/Table1[[#This Row],[LH(mIU/mL)]]</f>
        <v>1.2863436123348018</v>
      </c>
      <c r="W310" t="str">
        <f>IF(Table1[[#This Row],[FSH/LH]]&gt;=2,"Abnormal","Normal")</f>
        <v>Normal</v>
      </c>
      <c r="X310">
        <v>38</v>
      </c>
      <c r="Y310">
        <v>32</v>
      </c>
      <c r="Z310">
        <f>ROUND(Table1[[#This Row],[Waist(inch)]]/Table1[[#This Row],[Hip(inch)]],2)</f>
        <v>0.84</v>
      </c>
      <c r="AA310">
        <v>3.74</v>
      </c>
      <c r="AB310">
        <v>1</v>
      </c>
      <c r="AC310">
        <v>33.68</v>
      </c>
      <c r="AD310">
        <v>31.55</v>
      </c>
      <c r="AE310" t="str">
        <f>IF(Table1[[#This Row],[Vit D3 (ng/mL)]]&lt;20,"Deficiency","Normal")</f>
        <v>Normal</v>
      </c>
      <c r="AF310">
        <v>0.25</v>
      </c>
      <c r="AG310">
        <v>92</v>
      </c>
      <c r="AH310">
        <v>0</v>
      </c>
      <c r="AI310" t="str">
        <f>IF(Table1[[#This Row],[Weight gain(Y/N)]]=0,"NO","YES")</f>
        <v>NO</v>
      </c>
      <c r="AJ310">
        <v>1</v>
      </c>
      <c r="AK310" t="str">
        <f>IF(Table1[[#This Row],[hair growth(Y/N)]]=1,"YES","NO")</f>
        <v>YES</v>
      </c>
      <c r="AL310">
        <v>1</v>
      </c>
      <c r="AM310" t="str">
        <f>IF(Table1[[#This Row],[Skin darkening (Y/N)]]=1,"YES","NO")</f>
        <v>YES</v>
      </c>
      <c r="AN310">
        <v>1</v>
      </c>
      <c r="AO310" t="str">
        <f>IF(Table1[[#This Row],[Hair loss(Y/N)]]=1,"YES","NO")</f>
        <v>YES</v>
      </c>
      <c r="AP310">
        <v>1</v>
      </c>
      <c r="AQ310" t="str">
        <f>IF(Table1[[#This Row],[Pimples(Y/N)]]=1,"YES","NO")</f>
        <v>YES</v>
      </c>
      <c r="AR310">
        <v>1</v>
      </c>
      <c r="AS310" t="str">
        <f>IF(Table1[[#This Row],[Fast food (Y/N)]]=1,"YES","NO")</f>
        <v>YES</v>
      </c>
      <c r="AT310">
        <v>0</v>
      </c>
      <c r="AU310" t="str">
        <f>IF(Table1[[#This Row],[Reg.Exercise(Y/N)]]=1,"YES","NO")</f>
        <v>NO</v>
      </c>
      <c r="AV310">
        <v>110</v>
      </c>
      <c r="AW310">
        <v>70</v>
      </c>
      <c r="AX310">
        <v>6</v>
      </c>
      <c r="AY310">
        <v>9</v>
      </c>
      <c r="AZ310">
        <v>13</v>
      </c>
      <c r="BA310">
        <v>13</v>
      </c>
      <c r="BB310">
        <v>6</v>
      </c>
      <c r="BC310" t="str" cm="1">
        <f t="array" ref="BC310">_xlfn.IFS((F310/(G310*G310)*10000)&lt; 18.5,"Underweight",(F310/(G310*G310)*10000)&lt;24.9,"Normal",(F310/(G310*G310)*10000)&lt;29.9,"Overweight",(F310/(G310*G310)*10000)&gt;=30,"obesity")</f>
        <v>Normal</v>
      </c>
      <c r="BD310">
        <f>Table1[[#This Row],[Follicle No. (L)]]+Table1[[#This Row],[Follicle No. (R)]]</f>
        <v>15</v>
      </c>
      <c r="BE310">
        <f>Table1[[#This Row],[Avg. F size (L) (mm)]]+Table1[[#This Row],[Avg. F size (R) (mm)]]</f>
        <v>26</v>
      </c>
      <c r="BF310">
        <f>Table1[[#This Row],[BP _Diastolic (mmHg)]]+(Table1[[#This Row],[BP _Diastolic (mmHg)]]+Table1[[#This Row],[Follicle No. (L)]])/3</f>
        <v>95.333333333333329</v>
      </c>
      <c r="BG310" s="4" t="str" cm="1">
        <f t="array" ref="BG31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10" s="4">
        <f>SUM(Table1[[#This Row],[Pimples(Y/N)]],Table1[[#This Row],[hair growth(Y/N)]],Table1[[#This Row],[Skin darkening (Y/N)]],Table1[[#This Row],[Hair loss(Y/N)]])</f>
        <v>4</v>
      </c>
      <c r="BI310" s="4" t="str">
        <f>IF(AND(Table1[[#This Row],[Pregnant(Y/N)]]=0, Table1[[#This Row],[  I   beta-HCG(mIU/mL)]]&gt;5), "Investigation Required", "Clear")</f>
        <v>Clear</v>
      </c>
    </row>
    <row r="311" spans="1:61" ht="15.75" customHeight="1" x14ac:dyDescent="0.25">
      <c r="A311">
        <v>310</v>
      </c>
      <c r="B311">
        <v>310</v>
      </c>
      <c r="C311">
        <v>1</v>
      </c>
      <c r="D311" t="str">
        <f>IF(Table1[[#This Row],[PCOS (Y/N)]]=0,"NO","YES")</f>
        <v>YES</v>
      </c>
      <c r="E311">
        <v>24</v>
      </c>
      <c r="F311">
        <v>52</v>
      </c>
      <c r="G311">
        <v>162</v>
      </c>
      <c r="H311">
        <v>15</v>
      </c>
      <c r="I311">
        <v>72</v>
      </c>
      <c r="J311">
        <v>18</v>
      </c>
      <c r="K311">
        <v>11</v>
      </c>
      <c r="L311">
        <v>4</v>
      </c>
      <c r="M311">
        <v>3</v>
      </c>
      <c r="N311">
        <v>4</v>
      </c>
      <c r="O311">
        <v>0</v>
      </c>
      <c r="P311" t="str">
        <f>IF(Table1[[#This Row],[Pregnant(Y/N)]]=1,"YES","NO")</f>
        <v>NO</v>
      </c>
      <c r="Q311">
        <v>0</v>
      </c>
      <c r="R311">
        <v>1.99</v>
      </c>
      <c r="S311">
        <v>1.99</v>
      </c>
      <c r="T311">
        <v>3.26</v>
      </c>
      <c r="U311">
        <v>1.66</v>
      </c>
      <c r="V311">
        <f>Table1[[#This Row],[FSH(mIU/mL)]]/Table1[[#This Row],[LH(mIU/mL)]]</f>
        <v>1.963855421686747</v>
      </c>
      <c r="W311" t="str">
        <f>IF(Table1[[#This Row],[FSH/LH]]&gt;=2,"Abnormal","Normal")</f>
        <v>Normal</v>
      </c>
      <c r="X311">
        <v>39</v>
      </c>
      <c r="Y311">
        <v>32</v>
      </c>
      <c r="Z311">
        <f>ROUND(Table1[[#This Row],[Waist(inch)]]/Table1[[#This Row],[Hip(inch)]],2)</f>
        <v>0.82</v>
      </c>
      <c r="AA311">
        <v>2.41</v>
      </c>
      <c r="AB311">
        <v>1.5</v>
      </c>
      <c r="AC311">
        <v>9.64</v>
      </c>
      <c r="AD311">
        <v>28.4</v>
      </c>
      <c r="AE311" t="str">
        <f>IF(Table1[[#This Row],[Vit D3 (ng/mL)]]&lt;20,"Deficiency","Normal")</f>
        <v>Normal</v>
      </c>
      <c r="AF311">
        <v>0.78</v>
      </c>
      <c r="AG311">
        <v>92</v>
      </c>
      <c r="AH311">
        <v>0</v>
      </c>
      <c r="AI311" t="str">
        <f>IF(Table1[[#This Row],[Weight gain(Y/N)]]=0,"NO","YES")</f>
        <v>NO</v>
      </c>
      <c r="AJ311">
        <v>0</v>
      </c>
      <c r="AK311" t="str">
        <f>IF(Table1[[#This Row],[hair growth(Y/N)]]=1,"YES","NO")</f>
        <v>NO</v>
      </c>
      <c r="AL311">
        <v>1</v>
      </c>
      <c r="AM311" t="str">
        <f>IF(Table1[[#This Row],[Skin darkening (Y/N)]]=1,"YES","NO")</f>
        <v>YES</v>
      </c>
      <c r="AN311">
        <v>0</v>
      </c>
      <c r="AO311" t="str">
        <f>IF(Table1[[#This Row],[Hair loss(Y/N)]]=1,"YES","NO")</f>
        <v>NO</v>
      </c>
      <c r="AP311">
        <v>1</v>
      </c>
      <c r="AQ311" t="str">
        <f>IF(Table1[[#This Row],[Pimples(Y/N)]]=1,"YES","NO")</f>
        <v>YES</v>
      </c>
      <c r="AR311">
        <v>1</v>
      </c>
      <c r="AS311" t="str">
        <f>IF(Table1[[#This Row],[Fast food (Y/N)]]=1,"YES","NO")</f>
        <v>YES</v>
      </c>
      <c r="AT311">
        <v>0</v>
      </c>
      <c r="AU311" t="str">
        <f>IF(Table1[[#This Row],[Reg.Exercise(Y/N)]]=1,"YES","NO")</f>
        <v>NO</v>
      </c>
      <c r="AV311">
        <v>110</v>
      </c>
      <c r="AW311">
        <v>80</v>
      </c>
      <c r="AX311">
        <v>6</v>
      </c>
      <c r="AY311">
        <v>7</v>
      </c>
      <c r="AZ311">
        <v>15</v>
      </c>
      <c r="BA311">
        <v>16</v>
      </c>
      <c r="BB311">
        <v>7</v>
      </c>
      <c r="BC311" t="str" cm="1">
        <f t="array" ref="BC311">_xlfn.IFS((F311/(G311*G311)*10000)&lt; 18.5,"Underweight",(F311/(G311*G311)*10000)&lt;24.9,"Normal",(F311/(G311*G311)*10000)&lt;29.9,"Overweight",(F311/(G311*G311)*10000)&gt;=30,"obesity")</f>
        <v>Normal</v>
      </c>
      <c r="BD311">
        <f>Table1[[#This Row],[Follicle No. (L)]]+Table1[[#This Row],[Follicle No. (R)]]</f>
        <v>13</v>
      </c>
      <c r="BE311">
        <f>Table1[[#This Row],[Avg. F size (L) (mm)]]+Table1[[#This Row],[Avg. F size (R) (mm)]]</f>
        <v>31</v>
      </c>
      <c r="BF311">
        <f>Table1[[#This Row],[BP _Diastolic (mmHg)]]+(Table1[[#This Row],[BP _Diastolic (mmHg)]]+Table1[[#This Row],[Follicle No. (L)]])/3</f>
        <v>108.66666666666667</v>
      </c>
      <c r="BG311" s="4" t="str" cm="1">
        <f t="array" ref="BG31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11" s="4">
        <f>SUM(Table1[[#This Row],[Pimples(Y/N)]],Table1[[#This Row],[hair growth(Y/N)]],Table1[[#This Row],[Skin darkening (Y/N)]],Table1[[#This Row],[Hair loss(Y/N)]])</f>
        <v>2</v>
      </c>
      <c r="BI311" s="4" t="str">
        <f>IF(AND(Table1[[#This Row],[Pregnant(Y/N)]]=0, Table1[[#This Row],[  I   beta-HCG(mIU/mL)]]&gt;5), "Investigation Required", "Clear")</f>
        <v>Clear</v>
      </c>
    </row>
    <row r="312" spans="1:61" ht="15.75" customHeight="1" x14ac:dyDescent="0.25">
      <c r="A312">
        <v>311</v>
      </c>
      <c r="B312">
        <v>311</v>
      </c>
      <c r="C312">
        <v>0</v>
      </c>
      <c r="D312" t="str">
        <f>IF(Table1[[#This Row],[PCOS (Y/N)]]=0,"NO","YES")</f>
        <v>NO</v>
      </c>
      <c r="E312">
        <v>39</v>
      </c>
      <c r="F312">
        <v>55</v>
      </c>
      <c r="G312">
        <v>158</v>
      </c>
      <c r="H312">
        <v>15</v>
      </c>
      <c r="I312">
        <v>72</v>
      </c>
      <c r="J312">
        <v>20</v>
      </c>
      <c r="K312">
        <v>12</v>
      </c>
      <c r="L312">
        <v>2</v>
      </c>
      <c r="M312">
        <v>5</v>
      </c>
      <c r="N312">
        <v>14</v>
      </c>
      <c r="O312">
        <v>0</v>
      </c>
      <c r="P312" t="str">
        <f>IF(Table1[[#This Row],[Pregnant(Y/N)]]=1,"YES","NO")</f>
        <v>NO</v>
      </c>
      <c r="Q312">
        <v>0</v>
      </c>
      <c r="R312">
        <v>3.9</v>
      </c>
      <c r="S312">
        <v>3.9</v>
      </c>
      <c r="T312">
        <v>7.27</v>
      </c>
      <c r="U312">
        <v>2.48</v>
      </c>
      <c r="V312">
        <f>Table1[[#This Row],[FSH(mIU/mL)]]/Table1[[#This Row],[LH(mIU/mL)]]</f>
        <v>2.9314516129032255</v>
      </c>
      <c r="W312" t="str">
        <f>IF(Table1[[#This Row],[FSH/LH]]&gt;=2,"Abnormal","Normal")</f>
        <v>Abnormal</v>
      </c>
      <c r="X312">
        <v>38</v>
      </c>
      <c r="Y312">
        <v>34</v>
      </c>
      <c r="Z312">
        <f>ROUND(Table1[[#This Row],[Waist(inch)]]/Table1[[#This Row],[Hip(inch)]],2)</f>
        <v>0.89</v>
      </c>
      <c r="AA312">
        <v>5</v>
      </c>
      <c r="AB312">
        <v>3</v>
      </c>
      <c r="AC312">
        <v>38.15</v>
      </c>
      <c r="AD312">
        <v>30.5</v>
      </c>
      <c r="AE312" t="str">
        <f>IF(Table1[[#This Row],[Vit D3 (ng/mL)]]&lt;20,"Deficiency","Normal")</f>
        <v>Normal</v>
      </c>
      <c r="AF312">
        <v>0.25</v>
      </c>
      <c r="AG312">
        <v>95</v>
      </c>
      <c r="AH312">
        <v>1</v>
      </c>
      <c r="AI312" t="str">
        <f>IF(Table1[[#This Row],[Weight gain(Y/N)]]=0,"NO","YES")</f>
        <v>YES</v>
      </c>
      <c r="AJ312">
        <v>0</v>
      </c>
      <c r="AK312" t="str">
        <f>IF(Table1[[#This Row],[hair growth(Y/N)]]=1,"YES","NO")</f>
        <v>NO</v>
      </c>
      <c r="AL312">
        <v>0</v>
      </c>
      <c r="AM312" t="str">
        <f>IF(Table1[[#This Row],[Skin darkening (Y/N)]]=1,"YES","NO")</f>
        <v>NO</v>
      </c>
      <c r="AN312">
        <v>0</v>
      </c>
      <c r="AO312" t="str">
        <f>IF(Table1[[#This Row],[Hair loss(Y/N)]]=1,"YES","NO")</f>
        <v>NO</v>
      </c>
      <c r="AP312">
        <v>1</v>
      </c>
      <c r="AQ312" t="str">
        <f>IF(Table1[[#This Row],[Pimples(Y/N)]]=1,"YES","NO")</f>
        <v>YES</v>
      </c>
      <c r="AR312">
        <v>0</v>
      </c>
      <c r="AS312" t="str">
        <f>IF(Table1[[#This Row],[Fast food (Y/N)]]=1,"YES","NO")</f>
        <v>NO</v>
      </c>
      <c r="AT312">
        <v>1</v>
      </c>
      <c r="AU312" t="str">
        <f>IF(Table1[[#This Row],[Reg.Exercise(Y/N)]]=1,"YES","NO")</f>
        <v>YES</v>
      </c>
      <c r="AV312">
        <v>110</v>
      </c>
      <c r="AW312">
        <v>70</v>
      </c>
      <c r="AX312">
        <v>1</v>
      </c>
      <c r="AY312">
        <v>2</v>
      </c>
      <c r="AZ312">
        <v>15</v>
      </c>
      <c r="BA312">
        <v>11</v>
      </c>
      <c r="BB312">
        <v>7.3</v>
      </c>
      <c r="BC312" t="str" cm="1">
        <f t="array" ref="BC312">_xlfn.IFS((F312/(G312*G312)*10000)&lt; 18.5,"Underweight",(F312/(G312*G312)*10000)&lt;24.9,"Normal",(F312/(G312*G312)*10000)&lt;29.9,"Overweight",(F312/(G312*G312)*10000)&gt;=30,"obesity")</f>
        <v>Normal</v>
      </c>
      <c r="BD312">
        <f>Table1[[#This Row],[Follicle No. (L)]]+Table1[[#This Row],[Follicle No. (R)]]</f>
        <v>3</v>
      </c>
      <c r="BE312">
        <f>Table1[[#This Row],[Avg. F size (L) (mm)]]+Table1[[#This Row],[Avg. F size (R) (mm)]]</f>
        <v>26</v>
      </c>
      <c r="BF312">
        <f>Table1[[#This Row],[BP _Diastolic (mmHg)]]+(Table1[[#This Row],[BP _Diastolic (mmHg)]]+Table1[[#This Row],[Follicle No. (L)]])/3</f>
        <v>93.666666666666671</v>
      </c>
      <c r="BG312" s="4" t="str" cm="1">
        <f t="array" ref="BG31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12" s="4">
        <f>SUM(Table1[[#This Row],[Pimples(Y/N)]],Table1[[#This Row],[hair growth(Y/N)]],Table1[[#This Row],[Skin darkening (Y/N)]],Table1[[#This Row],[Hair loss(Y/N)]])</f>
        <v>1</v>
      </c>
      <c r="BI312" s="4" t="str">
        <f>IF(AND(Table1[[#This Row],[Pregnant(Y/N)]]=0, Table1[[#This Row],[  I   beta-HCG(mIU/mL)]]&gt;5), "Investigation Required", "Clear")</f>
        <v>Clear</v>
      </c>
    </row>
    <row r="313" spans="1:61" ht="15.75" customHeight="1" x14ac:dyDescent="0.25">
      <c r="A313">
        <v>312</v>
      </c>
      <c r="B313">
        <v>312</v>
      </c>
      <c r="C313">
        <v>1</v>
      </c>
      <c r="D313" t="str">
        <f>IF(Table1[[#This Row],[PCOS (Y/N)]]=0,"NO","YES")</f>
        <v>YES</v>
      </c>
      <c r="E313">
        <v>30</v>
      </c>
      <c r="F313">
        <v>72</v>
      </c>
      <c r="G313">
        <v>161</v>
      </c>
      <c r="H313">
        <v>11</v>
      </c>
      <c r="I313">
        <v>72</v>
      </c>
      <c r="J313">
        <v>22</v>
      </c>
      <c r="K313">
        <v>12.2</v>
      </c>
      <c r="L313">
        <v>4</v>
      </c>
      <c r="M313">
        <v>2</v>
      </c>
      <c r="N313">
        <v>1.5</v>
      </c>
      <c r="O313">
        <v>1</v>
      </c>
      <c r="P313" t="str">
        <f>IF(Table1[[#This Row],[Pregnant(Y/N)]]=1,"YES","NO")</f>
        <v>YES</v>
      </c>
      <c r="Q313">
        <v>0</v>
      </c>
      <c r="R313">
        <v>297.20999999999998</v>
      </c>
      <c r="S313">
        <v>297.20999999999998</v>
      </c>
      <c r="T313">
        <v>11.62</v>
      </c>
      <c r="U313">
        <v>2.06</v>
      </c>
      <c r="V313">
        <f>Table1[[#This Row],[FSH(mIU/mL)]]/Table1[[#This Row],[LH(mIU/mL)]]</f>
        <v>5.6407766990291259</v>
      </c>
      <c r="W313" t="str">
        <f>IF(Table1[[#This Row],[FSH/LH]]&gt;=2,"Abnormal","Normal")</f>
        <v>Abnormal</v>
      </c>
      <c r="X313">
        <v>45</v>
      </c>
      <c r="Y313">
        <v>38</v>
      </c>
      <c r="Z313">
        <f>ROUND(Table1[[#This Row],[Waist(inch)]]/Table1[[#This Row],[Hip(inch)]],2)</f>
        <v>0.84</v>
      </c>
      <c r="AA313">
        <v>2.13</v>
      </c>
      <c r="AB313">
        <v>1</v>
      </c>
      <c r="AC313">
        <v>14.06</v>
      </c>
      <c r="AD313">
        <v>32.4</v>
      </c>
      <c r="AE313" t="str">
        <f>IF(Table1[[#This Row],[Vit D3 (ng/mL)]]&lt;20,"Deficiency","Normal")</f>
        <v>Normal</v>
      </c>
      <c r="AF313">
        <v>0.38</v>
      </c>
      <c r="AG313">
        <v>108</v>
      </c>
      <c r="AH313">
        <v>1</v>
      </c>
      <c r="AI313" t="str">
        <f>IF(Table1[[#This Row],[Weight gain(Y/N)]]=0,"NO","YES")</f>
        <v>YES</v>
      </c>
      <c r="AJ313">
        <v>1</v>
      </c>
      <c r="AK313" t="str">
        <f>IF(Table1[[#This Row],[hair growth(Y/N)]]=1,"YES","NO")</f>
        <v>YES</v>
      </c>
      <c r="AL313">
        <v>1</v>
      </c>
      <c r="AM313" t="str">
        <f>IF(Table1[[#This Row],[Skin darkening (Y/N)]]=1,"YES","NO")</f>
        <v>YES</v>
      </c>
      <c r="AN313">
        <v>1</v>
      </c>
      <c r="AO313" t="str">
        <f>IF(Table1[[#This Row],[Hair loss(Y/N)]]=1,"YES","NO")</f>
        <v>YES</v>
      </c>
      <c r="AP313">
        <v>1</v>
      </c>
      <c r="AQ313" t="str">
        <f>IF(Table1[[#This Row],[Pimples(Y/N)]]=1,"YES","NO")</f>
        <v>YES</v>
      </c>
      <c r="AR313">
        <v>1</v>
      </c>
      <c r="AS313" t="str">
        <f>IF(Table1[[#This Row],[Fast food (Y/N)]]=1,"YES","NO")</f>
        <v>YES</v>
      </c>
      <c r="AT313">
        <v>0</v>
      </c>
      <c r="AU313" t="str">
        <f>IF(Table1[[#This Row],[Reg.Exercise(Y/N)]]=1,"YES","NO")</f>
        <v>NO</v>
      </c>
      <c r="AV313">
        <v>110</v>
      </c>
      <c r="AW313">
        <v>80</v>
      </c>
      <c r="AX313">
        <v>12</v>
      </c>
      <c r="AY313">
        <v>6</v>
      </c>
      <c r="AZ313">
        <v>17</v>
      </c>
      <c r="BA313">
        <v>18</v>
      </c>
      <c r="BB313">
        <v>12</v>
      </c>
      <c r="BC313" t="str" cm="1">
        <f t="array" ref="BC313">_xlfn.IFS((F313/(G313*G313)*10000)&lt; 18.5,"Underweight",(F313/(G313*G313)*10000)&lt;24.9,"Normal",(F313/(G313*G313)*10000)&lt;29.9,"Overweight",(F313/(G313*G313)*10000)&gt;=30,"obesity")</f>
        <v>Overweight</v>
      </c>
      <c r="BD313">
        <f>Table1[[#This Row],[Follicle No. (L)]]+Table1[[#This Row],[Follicle No. (R)]]</f>
        <v>18</v>
      </c>
      <c r="BE313">
        <f>Table1[[#This Row],[Avg. F size (L) (mm)]]+Table1[[#This Row],[Avg. F size (R) (mm)]]</f>
        <v>35</v>
      </c>
      <c r="BF313">
        <f>Table1[[#This Row],[BP _Diastolic (mmHg)]]+(Table1[[#This Row],[BP _Diastolic (mmHg)]]+Table1[[#This Row],[Follicle No. (L)]])/3</f>
        <v>110.66666666666667</v>
      </c>
      <c r="BG313" s="4" t="str" cm="1">
        <f t="array" ref="BG31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13" s="4">
        <f>SUM(Table1[[#This Row],[Pimples(Y/N)]],Table1[[#This Row],[hair growth(Y/N)]],Table1[[#This Row],[Skin darkening (Y/N)]],Table1[[#This Row],[Hair loss(Y/N)]])</f>
        <v>4</v>
      </c>
      <c r="BI313" s="4" t="str">
        <f>IF(AND(Table1[[#This Row],[Pregnant(Y/N)]]=0, Table1[[#This Row],[  I   beta-HCG(mIU/mL)]]&gt;5), "Investigation Required", "Clear")</f>
        <v>Clear</v>
      </c>
    </row>
    <row r="314" spans="1:61" ht="15.75" customHeight="1" x14ac:dyDescent="0.25">
      <c r="A314">
        <v>313</v>
      </c>
      <c r="B314">
        <v>313</v>
      </c>
      <c r="C314">
        <v>1</v>
      </c>
      <c r="D314" t="str">
        <f>IF(Table1[[#This Row],[PCOS (Y/N)]]=0,"NO","YES")</f>
        <v>YES</v>
      </c>
      <c r="E314">
        <v>28</v>
      </c>
      <c r="F314">
        <v>56</v>
      </c>
      <c r="G314">
        <v>158</v>
      </c>
      <c r="H314">
        <v>15</v>
      </c>
      <c r="I314">
        <v>74</v>
      </c>
      <c r="J314">
        <v>20</v>
      </c>
      <c r="K314">
        <v>12</v>
      </c>
      <c r="L314">
        <v>2</v>
      </c>
      <c r="M314">
        <v>5</v>
      </c>
      <c r="N314">
        <v>7</v>
      </c>
      <c r="O314">
        <v>1</v>
      </c>
      <c r="P314" t="str">
        <f>IF(Table1[[#This Row],[Pregnant(Y/N)]]=1,"YES","NO")</f>
        <v>YES</v>
      </c>
      <c r="Q314">
        <v>0</v>
      </c>
      <c r="R314">
        <v>277.27999999999997</v>
      </c>
      <c r="S314">
        <v>277.27999999999997</v>
      </c>
      <c r="T314">
        <v>4.8899999999999997</v>
      </c>
      <c r="U314">
        <v>1.97</v>
      </c>
      <c r="V314">
        <f>Table1[[#This Row],[FSH(mIU/mL)]]/Table1[[#This Row],[LH(mIU/mL)]]</f>
        <v>2.4822335025380711</v>
      </c>
      <c r="W314" t="str">
        <f>IF(Table1[[#This Row],[FSH/LH]]&gt;=2,"Abnormal","Normal")</f>
        <v>Abnormal</v>
      </c>
      <c r="X314">
        <v>39</v>
      </c>
      <c r="Y314">
        <v>32</v>
      </c>
      <c r="Z314">
        <f>ROUND(Table1[[#This Row],[Waist(inch)]]/Table1[[#This Row],[Hip(inch)]],2)</f>
        <v>0.82</v>
      </c>
      <c r="AA314">
        <v>1.57</v>
      </c>
      <c r="AB314">
        <v>1.06</v>
      </c>
      <c r="AC314">
        <v>19.04</v>
      </c>
      <c r="AD314">
        <v>34.1</v>
      </c>
      <c r="AE314" t="str">
        <f>IF(Table1[[#This Row],[Vit D3 (ng/mL)]]&lt;20,"Deficiency","Normal")</f>
        <v>Normal</v>
      </c>
      <c r="AF314">
        <v>0.46</v>
      </c>
      <c r="AG314">
        <v>100</v>
      </c>
      <c r="AH314">
        <v>1</v>
      </c>
      <c r="AI314" t="str">
        <f>IF(Table1[[#This Row],[Weight gain(Y/N)]]=0,"NO","YES")</f>
        <v>YES</v>
      </c>
      <c r="AJ314">
        <v>0</v>
      </c>
      <c r="AK314" t="str">
        <f>IF(Table1[[#This Row],[hair growth(Y/N)]]=1,"YES","NO")</f>
        <v>NO</v>
      </c>
      <c r="AL314">
        <v>1</v>
      </c>
      <c r="AM314" t="str">
        <f>IF(Table1[[#This Row],[Skin darkening (Y/N)]]=1,"YES","NO")</f>
        <v>YES</v>
      </c>
      <c r="AN314">
        <v>0</v>
      </c>
      <c r="AO314" t="str">
        <f>IF(Table1[[#This Row],[Hair loss(Y/N)]]=1,"YES","NO")</f>
        <v>NO</v>
      </c>
      <c r="AP314">
        <v>1</v>
      </c>
      <c r="AQ314" t="str">
        <f>IF(Table1[[#This Row],[Pimples(Y/N)]]=1,"YES","NO")</f>
        <v>YES</v>
      </c>
      <c r="AR314">
        <v>1</v>
      </c>
      <c r="AS314" t="str">
        <f>IF(Table1[[#This Row],[Fast food (Y/N)]]=1,"YES","NO")</f>
        <v>YES</v>
      </c>
      <c r="AT314">
        <v>0</v>
      </c>
      <c r="AU314" t="str">
        <f>IF(Table1[[#This Row],[Reg.Exercise(Y/N)]]=1,"YES","NO")</f>
        <v>NO</v>
      </c>
      <c r="AV314">
        <v>120</v>
      </c>
      <c r="AW314">
        <v>70</v>
      </c>
      <c r="AX314">
        <v>7</v>
      </c>
      <c r="AY314">
        <v>12</v>
      </c>
      <c r="AZ314">
        <v>15</v>
      </c>
      <c r="BA314">
        <v>18</v>
      </c>
      <c r="BB314">
        <v>11</v>
      </c>
      <c r="BC314" t="str" cm="1">
        <f t="array" ref="BC314">_xlfn.IFS((F314/(G314*G314)*10000)&lt; 18.5,"Underweight",(F314/(G314*G314)*10000)&lt;24.9,"Normal",(F314/(G314*G314)*10000)&lt;29.9,"Overweight",(F314/(G314*G314)*10000)&gt;=30,"obesity")</f>
        <v>Normal</v>
      </c>
      <c r="BD314">
        <f>Table1[[#This Row],[Follicle No. (L)]]+Table1[[#This Row],[Follicle No. (R)]]</f>
        <v>19</v>
      </c>
      <c r="BE314">
        <f>Table1[[#This Row],[Avg. F size (L) (mm)]]+Table1[[#This Row],[Avg. F size (R) (mm)]]</f>
        <v>33</v>
      </c>
      <c r="BF314">
        <f>Table1[[#This Row],[BP _Diastolic (mmHg)]]+(Table1[[#This Row],[BP _Diastolic (mmHg)]]+Table1[[#This Row],[Follicle No. (L)]])/3</f>
        <v>95.666666666666671</v>
      </c>
      <c r="BG314" s="4" t="str" cm="1">
        <f t="array" ref="BG31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14" s="4">
        <f>SUM(Table1[[#This Row],[Pimples(Y/N)]],Table1[[#This Row],[hair growth(Y/N)]],Table1[[#This Row],[Skin darkening (Y/N)]],Table1[[#This Row],[Hair loss(Y/N)]])</f>
        <v>2</v>
      </c>
      <c r="BI314" s="4" t="str">
        <f>IF(AND(Table1[[#This Row],[Pregnant(Y/N)]]=0, Table1[[#This Row],[  I   beta-HCG(mIU/mL)]]&gt;5), "Investigation Required", "Clear")</f>
        <v>Clear</v>
      </c>
    </row>
    <row r="315" spans="1:61" ht="15.75" customHeight="1" x14ac:dyDescent="0.25">
      <c r="A315">
        <v>314</v>
      </c>
      <c r="B315">
        <v>314</v>
      </c>
      <c r="C315">
        <v>0</v>
      </c>
      <c r="D315" t="str">
        <f>IF(Table1[[#This Row],[PCOS (Y/N)]]=0,"NO","YES")</f>
        <v>NO</v>
      </c>
      <c r="E315">
        <v>38</v>
      </c>
      <c r="F315">
        <v>50</v>
      </c>
      <c r="G315">
        <v>161</v>
      </c>
      <c r="H315">
        <v>15</v>
      </c>
      <c r="I315">
        <v>72</v>
      </c>
      <c r="J315">
        <v>22</v>
      </c>
      <c r="K315">
        <v>12</v>
      </c>
      <c r="L315">
        <v>2</v>
      </c>
      <c r="M315">
        <v>5</v>
      </c>
      <c r="N315">
        <v>13</v>
      </c>
      <c r="O315">
        <v>1</v>
      </c>
      <c r="P315" t="str">
        <f>IF(Table1[[#This Row],[Pregnant(Y/N)]]=1,"YES","NO")</f>
        <v>YES</v>
      </c>
      <c r="Q315">
        <v>0</v>
      </c>
      <c r="R315">
        <v>1.99</v>
      </c>
      <c r="S315">
        <v>783.36</v>
      </c>
      <c r="T315">
        <v>3.71</v>
      </c>
      <c r="U315">
        <v>2.44</v>
      </c>
      <c r="V315">
        <f>Table1[[#This Row],[FSH(mIU/mL)]]/Table1[[#This Row],[LH(mIU/mL)]]</f>
        <v>1.5204918032786885</v>
      </c>
      <c r="W315" t="str">
        <f>IF(Table1[[#This Row],[FSH/LH]]&gt;=2,"Abnormal","Normal")</f>
        <v>Normal</v>
      </c>
      <c r="X315">
        <v>38</v>
      </c>
      <c r="Y315">
        <v>32</v>
      </c>
      <c r="Z315">
        <f>ROUND(Table1[[#This Row],[Waist(inch)]]/Table1[[#This Row],[Hip(inch)]],2)</f>
        <v>0.84</v>
      </c>
      <c r="AA315">
        <v>0.54</v>
      </c>
      <c r="AB315">
        <v>3.05</v>
      </c>
      <c r="AC315">
        <v>53.39</v>
      </c>
      <c r="AD315">
        <v>42.5</v>
      </c>
      <c r="AE315" t="str">
        <f>IF(Table1[[#This Row],[Vit D3 (ng/mL)]]&lt;20,"Deficiency","Normal")</f>
        <v>Normal</v>
      </c>
      <c r="AF315">
        <v>0.28999999999999998</v>
      </c>
      <c r="AG315">
        <v>100</v>
      </c>
      <c r="AH315">
        <v>0</v>
      </c>
      <c r="AI315" t="str">
        <f>IF(Table1[[#This Row],[Weight gain(Y/N)]]=0,"NO","YES")</f>
        <v>NO</v>
      </c>
      <c r="AJ315">
        <v>0</v>
      </c>
      <c r="AK315" t="str">
        <f>IF(Table1[[#This Row],[hair growth(Y/N)]]=1,"YES","NO")</f>
        <v>NO</v>
      </c>
      <c r="AL315">
        <v>0</v>
      </c>
      <c r="AM315" t="str">
        <f>IF(Table1[[#This Row],[Skin darkening (Y/N)]]=1,"YES","NO")</f>
        <v>NO</v>
      </c>
      <c r="AN315">
        <v>0</v>
      </c>
      <c r="AO315" t="str">
        <f>IF(Table1[[#This Row],[Hair loss(Y/N)]]=1,"YES","NO")</f>
        <v>NO</v>
      </c>
      <c r="AP315">
        <v>1</v>
      </c>
      <c r="AQ315" t="str">
        <f>IF(Table1[[#This Row],[Pimples(Y/N)]]=1,"YES","NO")</f>
        <v>YES</v>
      </c>
      <c r="AR315">
        <v>1</v>
      </c>
      <c r="AS315" t="str">
        <f>IF(Table1[[#This Row],[Fast food (Y/N)]]=1,"YES","NO")</f>
        <v>YES</v>
      </c>
      <c r="AT315">
        <v>1</v>
      </c>
      <c r="AU315" t="str">
        <f>IF(Table1[[#This Row],[Reg.Exercise(Y/N)]]=1,"YES","NO")</f>
        <v>YES</v>
      </c>
      <c r="AV315">
        <v>110</v>
      </c>
      <c r="AW315">
        <v>80</v>
      </c>
      <c r="AX315">
        <v>7</v>
      </c>
      <c r="AY315">
        <v>9</v>
      </c>
      <c r="AZ315">
        <v>11</v>
      </c>
      <c r="BA315">
        <v>15</v>
      </c>
      <c r="BB315">
        <v>7.8</v>
      </c>
      <c r="BC315" t="str" cm="1">
        <f t="array" ref="BC315">_xlfn.IFS((F315/(G315*G315)*10000)&lt; 18.5,"Underweight",(F315/(G315*G315)*10000)&lt;24.9,"Normal",(F315/(G315*G315)*10000)&lt;29.9,"Overweight",(F315/(G315*G315)*10000)&gt;=30,"obesity")</f>
        <v>Normal</v>
      </c>
      <c r="BD315">
        <f>Table1[[#This Row],[Follicle No. (L)]]+Table1[[#This Row],[Follicle No. (R)]]</f>
        <v>16</v>
      </c>
      <c r="BE315">
        <f>Table1[[#This Row],[Avg. F size (L) (mm)]]+Table1[[#This Row],[Avg. F size (R) (mm)]]</f>
        <v>26</v>
      </c>
      <c r="BF315">
        <f>Table1[[#This Row],[BP _Diastolic (mmHg)]]+(Table1[[#This Row],[BP _Diastolic (mmHg)]]+Table1[[#This Row],[Follicle No. (L)]])/3</f>
        <v>109</v>
      </c>
      <c r="BG315" s="4" t="str" cm="1">
        <f t="array" ref="BG31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15" s="4">
        <f>SUM(Table1[[#This Row],[Pimples(Y/N)]],Table1[[#This Row],[hair growth(Y/N)]],Table1[[#This Row],[Skin darkening (Y/N)]],Table1[[#This Row],[Hair loss(Y/N)]])</f>
        <v>1</v>
      </c>
      <c r="BI315" s="4" t="str">
        <f>IF(AND(Table1[[#This Row],[Pregnant(Y/N)]]=0, Table1[[#This Row],[  I   beta-HCG(mIU/mL)]]&gt;5), "Investigation Required", "Clear")</f>
        <v>Clear</v>
      </c>
    </row>
    <row r="316" spans="1:61" ht="15.75" customHeight="1" x14ac:dyDescent="0.25">
      <c r="A316">
        <v>315</v>
      </c>
      <c r="B316">
        <v>315</v>
      </c>
      <c r="C316">
        <v>1</v>
      </c>
      <c r="D316" t="str">
        <f>IF(Table1[[#This Row],[PCOS (Y/N)]]=0,"NO","YES")</f>
        <v>YES</v>
      </c>
      <c r="E316">
        <v>34</v>
      </c>
      <c r="F316">
        <v>55</v>
      </c>
      <c r="G316">
        <v>158</v>
      </c>
      <c r="H316">
        <v>11</v>
      </c>
      <c r="I316">
        <v>78</v>
      </c>
      <c r="J316">
        <v>20</v>
      </c>
      <c r="K316">
        <v>11</v>
      </c>
      <c r="L316">
        <v>2</v>
      </c>
      <c r="M316">
        <v>6</v>
      </c>
      <c r="N316">
        <v>10</v>
      </c>
      <c r="O316">
        <v>0</v>
      </c>
      <c r="P316" t="str">
        <f>IF(Table1[[#This Row],[Pregnant(Y/N)]]=1,"YES","NO")</f>
        <v>NO</v>
      </c>
      <c r="Q316">
        <v>0</v>
      </c>
      <c r="R316">
        <v>1.99</v>
      </c>
      <c r="S316">
        <v>1.99</v>
      </c>
      <c r="T316">
        <v>6.47</v>
      </c>
      <c r="U316">
        <v>5.57</v>
      </c>
      <c r="V316">
        <f>Table1[[#This Row],[FSH(mIU/mL)]]/Table1[[#This Row],[LH(mIU/mL)]]</f>
        <v>1.1615798922800717</v>
      </c>
      <c r="W316" t="str">
        <f>IF(Table1[[#This Row],[FSH/LH]]&gt;=2,"Abnormal","Normal")</f>
        <v>Normal</v>
      </c>
      <c r="X316">
        <v>36</v>
      </c>
      <c r="Y316">
        <v>32</v>
      </c>
      <c r="Z316">
        <f>ROUND(Table1[[#This Row],[Waist(inch)]]/Table1[[#This Row],[Hip(inch)]],2)</f>
        <v>0.89</v>
      </c>
      <c r="AA316">
        <v>3.01</v>
      </c>
      <c r="AB316">
        <v>5.4</v>
      </c>
      <c r="AC316">
        <v>24.7</v>
      </c>
      <c r="AD316">
        <v>35.799999999999997</v>
      </c>
      <c r="AE316" t="str">
        <f>IF(Table1[[#This Row],[Vit D3 (ng/mL)]]&lt;20,"Deficiency","Normal")</f>
        <v>Normal</v>
      </c>
      <c r="AF316">
        <v>0.35</v>
      </c>
      <c r="AG316">
        <v>100</v>
      </c>
      <c r="AH316">
        <v>0</v>
      </c>
      <c r="AI316" t="str">
        <f>IF(Table1[[#This Row],[Weight gain(Y/N)]]=0,"NO","YES")</f>
        <v>NO</v>
      </c>
      <c r="AJ316">
        <v>1</v>
      </c>
      <c r="AK316" t="str">
        <f>IF(Table1[[#This Row],[hair growth(Y/N)]]=1,"YES","NO")</f>
        <v>YES</v>
      </c>
      <c r="AL316">
        <v>1</v>
      </c>
      <c r="AM316" t="str">
        <f>IF(Table1[[#This Row],[Skin darkening (Y/N)]]=1,"YES","NO")</f>
        <v>YES</v>
      </c>
      <c r="AN316">
        <v>0</v>
      </c>
      <c r="AO316" t="str">
        <f>IF(Table1[[#This Row],[Hair loss(Y/N)]]=1,"YES","NO")</f>
        <v>NO</v>
      </c>
      <c r="AP316">
        <v>1</v>
      </c>
      <c r="AQ316" t="str">
        <f>IF(Table1[[#This Row],[Pimples(Y/N)]]=1,"YES","NO")</f>
        <v>YES</v>
      </c>
      <c r="AR316">
        <v>1</v>
      </c>
      <c r="AS316" t="str">
        <f>IF(Table1[[#This Row],[Fast food (Y/N)]]=1,"YES","NO")</f>
        <v>YES</v>
      </c>
      <c r="AT316">
        <v>0</v>
      </c>
      <c r="AU316" t="str">
        <f>IF(Table1[[#This Row],[Reg.Exercise(Y/N)]]=1,"YES","NO")</f>
        <v>NO</v>
      </c>
      <c r="AV316">
        <v>120</v>
      </c>
      <c r="AW316">
        <v>80</v>
      </c>
      <c r="AX316">
        <v>5</v>
      </c>
      <c r="AY316">
        <v>5</v>
      </c>
      <c r="AZ316">
        <v>12</v>
      </c>
      <c r="BA316">
        <v>10</v>
      </c>
      <c r="BB316">
        <v>11</v>
      </c>
      <c r="BC316" t="str" cm="1">
        <f t="array" ref="BC316">_xlfn.IFS((F316/(G316*G316)*10000)&lt; 18.5,"Underweight",(F316/(G316*G316)*10000)&lt;24.9,"Normal",(F316/(G316*G316)*10000)&lt;29.9,"Overweight",(F316/(G316*G316)*10000)&gt;=30,"obesity")</f>
        <v>Normal</v>
      </c>
      <c r="BD316">
        <f>Table1[[#This Row],[Follicle No. (L)]]+Table1[[#This Row],[Follicle No. (R)]]</f>
        <v>10</v>
      </c>
      <c r="BE316">
        <f>Table1[[#This Row],[Avg. F size (L) (mm)]]+Table1[[#This Row],[Avg. F size (R) (mm)]]</f>
        <v>22</v>
      </c>
      <c r="BF316">
        <f>Table1[[#This Row],[BP _Diastolic (mmHg)]]+(Table1[[#This Row],[BP _Diastolic (mmHg)]]+Table1[[#This Row],[Follicle No. (L)]])/3</f>
        <v>108.33333333333333</v>
      </c>
      <c r="BG316" s="4" t="str" cm="1">
        <f t="array" ref="BG31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16" s="4">
        <f>SUM(Table1[[#This Row],[Pimples(Y/N)]],Table1[[#This Row],[hair growth(Y/N)]],Table1[[#This Row],[Skin darkening (Y/N)]],Table1[[#This Row],[Hair loss(Y/N)]])</f>
        <v>3</v>
      </c>
      <c r="BI316" s="4" t="str">
        <f>IF(AND(Table1[[#This Row],[Pregnant(Y/N)]]=0, Table1[[#This Row],[  I   beta-HCG(mIU/mL)]]&gt;5), "Investigation Required", "Clear")</f>
        <v>Clear</v>
      </c>
    </row>
    <row r="317" spans="1:61" ht="15.75" customHeight="1" x14ac:dyDescent="0.25">
      <c r="A317">
        <v>316</v>
      </c>
      <c r="B317">
        <v>316</v>
      </c>
      <c r="C317">
        <v>0</v>
      </c>
      <c r="D317" t="str">
        <f>IF(Table1[[#This Row],[PCOS (Y/N)]]=0,"NO","YES")</f>
        <v>NO</v>
      </c>
      <c r="E317">
        <v>28</v>
      </c>
      <c r="F317">
        <v>65</v>
      </c>
      <c r="G317">
        <v>167</v>
      </c>
      <c r="H317">
        <v>11</v>
      </c>
      <c r="I317">
        <v>72</v>
      </c>
      <c r="J317">
        <v>18</v>
      </c>
      <c r="K317">
        <v>9</v>
      </c>
      <c r="L317">
        <v>2</v>
      </c>
      <c r="M317">
        <v>6</v>
      </c>
      <c r="N317">
        <v>5</v>
      </c>
      <c r="O317">
        <v>1</v>
      </c>
      <c r="P317" t="str">
        <f>IF(Table1[[#This Row],[Pregnant(Y/N)]]=1,"YES","NO")</f>
        <v>YES</v>
      </c>
      <c r="Q317">
        <v>0</v>
      </c>
      <c r="R317">
        <v>21084.21</v>
      </c>
      <c r="S317">
        <v>21084.21</v>
      </c>
      <c r="T317">
        <v>3.76</v>
      </c>
      <c r="U317">
        <v>0.62</v>
      </c>
      <c r="V317">
        <f>Table1[[#This Row],[FSH(mIU/mL)]]/Table1[[#This Row],[LH(mIU/mL)]]</f>
        <v>6.064516129032258</v>
      </c>
      <c r="W317" t="str">
        <f>IF(Table1[[#This Row],[FSH/LH]]&gt;=2,"Abnormal","Normal")</f>
        <v>Abnormal</v>
      </c>
      <c r="X317">
        <v>38</v>
      </c>
      <c r="Y317">
        <v>34</v>
      </c>
      <c r="Z317">
        <f>ROUND(Table1[[#This Row],[Waist(inch)]]/Table1[[#This Row],[Hip(inch)]],2)</f>
        <v>0.89</v>
      </c>
      <c r="AA317">
        <v>1.82</v>
      </c>
      <c r="AB317">
        <v>3.02</v>
      </c>
      <c r="AC317">
        <v>28.56</v>
      </c>
      <c r="AD317">
        <v>52.4</v>
      </c>
      <c r="AE317" t="str">
        <f>IF(Table1[[#This Row],[Vit D3 (ng/mL)]]&lt;20,"Deficiency","Normal")</f>
        <v>Normal</v>
      </c>
      <c r="AF317">
        <v>0.25</v>
      </c>
      <c r="AG317">
        <v>120</v>
      </c>
      <c r="AH317">
        <v>0</v>
      </c>
      <c r="AI317" t="str">
        <f>IF(Table1[[#This Row],[Weight gain(Y/N)]]=0,"NO","YES")</f>
        <v>NO</v>
      </c>
      <c r="AJ317">
        <v>0</v>
      </c>
      <c r="AK317" t="str">
        <f>IF(Table1[[#This Row],[hair growth(Y/N)]]=1,"YES","NO")</f>
        <v>NO</v>
      </c>
      <c r="AL317">
        <v>0</v>
      </c>
      <c r="AM317" t="str">
        <f>IF(Table1[[#This Row],[Skin darkening (Y/N)]]=1,"YES","NO")</f>
        <v>NO</v>
      </c>
      <c r="AN317">
        <v>0</v>
      </c>
      <c r="AO317" t="str">
        <f>IF(Table1[[#This Row],[Hair loss(Y/N)]]=1,"YES","NO")</f>
        <v>NO</v>
      </c>
      <c r="AP317">
        <v>0</v>
      </c>
      <c r="AQ317" t="str">
        <f>IF(Table1[[#This Row],[Pimples(Y/N)]]=1,"YES","NO")</f>
        <v>NO</v>
      </c>
      <c r="AR317">
        <v>1</v>
      </c>
      <c r="AS317" t="str">
        <f>IF(Table1[[#This Row],[Fast food (Y/N)]]=1,"YES","NO")</f>
        <v>YES</v>
      </c>
      <c r="AT317">
        <v>0</v>
      </c>
      <c r="AU317" t="str">
        <f>IF(Table1[[#This Row],[Reg.Exercise(Y/N)]]=1,"YES","NO")</f>
        <v>NO</v>
      </c>
      <c r="AV317">
        <v>110</v>
      </c>
      <c r="AW317">
        <v>80</v>
      </c>
      <c r="AX317">
        <v>8</v>
      </c>
      <c r="AY317">
        <v>12</v>
      </c>
      <c r="AZ317">
        <v>14</v>
      </c>
      <c r="BA317">
        <v>18</v>
      </c>
      <c r="BB317">
        <v>8.5</v>
      </c>
      <c r="BC317" t="str" cm="1">
        <f t="array" ref="BC317">_xlfn.IFS((F317/(G317*G317)*10000)&lt; 18.5,"Underweight",(F317/(G317*G317)*10000)&lt;24.9,"Normal",(F317/(G317*G317)*10000)&lt;29.9,"Overweight",(F317/(G317*G317)*10000)&gt;=30,"obesity")</f>
        <v>Normal</v>
      </c>
      <c r="BD317">
        <f>Table1[[#This Row],[Follicle No. (L)]]+Table1[[#This Row],[Follicle No. (R)]]</f>
        <v>20</v>
      </c>
      <c r="BE317">
        <f>Table1[[#This Row],[Avg. F size (L) (mm)]]+Table1[[#This Row],[Avg. F size (R) (mm)]]</f>
        <v>32</v>
      </c>
      <c r="BF317">
        <f>Table1[[#This Row],[BP _Diastolic (mmHg)]]+(Table1[[#This Row],[BP _Diastolic (mmHg)]]+Table1[[#This Row],[Follicle No. (L)]])/3</f>
        <v>109.33333333333333</v>
      </c>
      <c r="BG317" s="4" t="str" cm="1">
        <f t="array" ref="BG31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17" s="4">
        <f>SUM(Table1[[#This Row],[Pimples(Y/N)]],Table1[[#This Row],[hair growth(Y/N)]],Table1[[#This Row],[Skin darkening (Y/N)]],Table1[[#This Row],[Hair loss(Y/N)]])</f>
        <v>0</v>
      </c>
      <c r="BI317" s="4" t="str">
        <f>IF(AND(Table1[[#This Row],[Pregnant(Y/N)]]=0, Table1[[#This Row],[  I   beta-HCG(mIU/mL)]]&gt;5), "Investigation Required", "Clear")</f>
        <v>Clear</v>
      </c>
    </row>
    <row r="318" spans="1:61" ht="15.75" customHeight="1" x14ac:dyDescent="0.25">
      <c r="A318">
        <v>317</v>
      </c>
      <c r="B318">
        <v>317</v>
      </c>
      <c r="C318">
        <v>0</v>
      </c>
      <c r="D318" t="str">
        <f>IF(Table1[[#This Row],[PCOS (Y/N)]]=0,"NO","YES")</f>
        <v>NO</v>
      </c>
      <c r="E318">
        <v>30</v>
      </c>
      <c r="F318">
        <v>66</v>
      </c>
      <c r="G318">
        <v>152</v>
      </c>
      <c r="H318">
        <v>11</v>
      </c>
      <c r="I318">
        <v>72</v>
      </c>
      <c r="J318">
        <v>18</v>
      </c>
      <c r="K318">
        <v>12</v>
      </c>
      <c r="L318">
        <v>2</v>
      </c>
      <c r="M318">
        <v>5</v>
      </c>
      <c r="N318">
        <v>7</v>
      </c>
      <c r="O318">
        <v>1</v>
      </c>
      <c r="P318" t="str">
        <f>IF(Table1[[#This Row],[Pregnant(Y/N)]]=1,"YES","NO")</f>
        <v>YES</v>
      </c>
      <c r="Q318">
        <v>0</v>
      </c>
      <c r="R318">
        <v>409.85</v>
      </c>
      <c r="S318">
        <v>409.85</v>
      </c>
      <c r="T318">
        <v>3.4</v>
      </c>
      <c r="U318">
        <v>1.31</v>
      </c>
      <c r="V318">
        <f>Table1[[#This Row],[FSH(mIU/mL)]]/Table1[[#This Row],[LH(mIU/mL)]]</f>
        <v>2.5954198473282442</v>
      </c>
      <c r="W318" t="str">
        <f>IF(Table1[[#This Row],[FSH/LH]]&gt;=2,"Abnormal","Normal")</f>
        <v>Abnormal</v>
      </c>
      <c r="X318">
        <v>40</v>
      </c>
      <c r="Y318">
        <v>36</v>
      </c>
      <c r="Z318">
        <f>ROUND(Table1[[#This Row],[Waist(inch)]]/Table1[[#This Row],[Hip(inch)]],2)</f>
        <v>0.9</v>
      </c>
      <c r="AA318">
        <v>1.68</v>
      </c>
      <c r="AB318">
        <v>2.23</v>
      </c>
      <c r="AC318">
        <v>10.45</v>
      </c>
      <c r="AD318">
        <v>36.5</v>
      </c>
      <c r="AE318" t="str">
        <f>IF(Table1[[#This Row],[Vit D3 (ng/mL)]]&lt;20,"Deficiency","Normal")</f>
        <v>Normal</v>
      </c>
      <c r="AF318">
        <v>0.36</v>
      </c>
      <c r="AG318">
        <v>110</v>
      </c>
      <c r="AH318">
        <v>1</v>
      </c>
      <c r="AI318" t="str">
        <f>IF(Table1[[#This Row],[Weight gain(Y/N)]]=0,"NO","YES")</f>
        <v>YES</v>
      </c>
      <c r="AJ318">
        <v>0</v>
      </c>
      <c r="AK318" t="str">
        <f>IF(Table1[[#This Row],[hair growth(Y/N)]]=1,"YES","NO")</f>
        <v>NO</v>
      </c>
      <c r="AL318">
        <v>0</v>
      </c>
      <c r="AM318" t="str">
        <f>IF(Table1[[#This Row],[Skin darkening (Y/N)]]=1,"YES","NO")</f>
        <v>NO</v>
      </c>
      <c r="AN318">
        <v>1</v>
      </c>
      <c r="AO318" t="str">
        <f>IF(Table1[[#This Row],[Hair loss(Y/N)]]=1,"YES","NO")</f>
        <v>YES</v>
      </c>
      <c r="AP318">
        <v>1</v>
      </c>
      <c r="AQ318" t="str">
        <f>IF(Table1[[#This Row],[Pimples(Y/N)]]=1,"YES","NO")</f>
        <v>YES</v>
      </c>
      <c r="AR318">
        <v>1</v>
      </c>
      <c r="AS318" t="str">
        <f>IF(Table1[[#This Row],[Fast food (Y/N)]]=1,"YES","NO")</f>
        <v>YES</v>
      </c>
      <c r="AT318">
        <v>0</v>
      </c>
      <c r="AU318" t="str">
        <f>IF(Table1[[#This Row],[Reg.Exercise(Y/N)]]=1,"YES","NO")</f>
        <v>NO</v>
      </c>
      <c r="AV318">
        <v>110</v>
      </c>
      <c r="AW318">
        <v>80</v>
      </c>
      <c r="AX318">
        <v>8</v>
      </c>
      <c r="AY318">
        <v>4</v>
      </c>
      <c r="AZ318">
        <v>16</v>
      </c>
      <c r="BA318">
        <v>17</v>
      </c>
      <c r="BB318">
        <v>10</v>
      </c>
      <c r="BC318" t="str" cm="1">
        <f t="array" ref="BC318">_xlfn.IFS((F318/(G318*G318)*10000)&lt; 18.5,"Underweight",(F318/(G318*G318)*10000)&lt;24.9,"Normal",(F318/(G318*G318)*10000)&lt;29.9,"Overweight",(F318/(G318*G318)*10000)&gt;=30,"obesity")</f>
        <v>Overweight</v>
      </c>
      <c r="BD318">
        <f>Table1[[#This Row],[Follicle No. (L)]]+Table1[[#This Row],[Follicle No. (R)]]</f>
        <v>12</v>
      </c>
      <c r="BE318">
        <f>Table1[[#This Row],[Avg. F size (L) (mm)]]+Table1[[#This Row],[Avg. F size (R) (mm)]]</f>
        <v>33</v>
      </c>
      <c r="BF318">
        <f>Table1[[#This Row],[BP _Diastolic (mmHg)]]+(Table1[[#This Row],[BP _Diastolic (mmHg)]]+Table1[[#This Row],[Follicle No. (L)]])/3</f>
        <v>109.33333333333333</v>
      </c>
      <c r="BG318" s="4" t="str" cm="1">
        <f t="array" ref="BG31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18" s="4">
        <f>SUM(Table1[[#This Row],[Pimples(Y/N)]],Table1[[#This Row],[hair growth(Y/N)]],Table1[[#This Row],[Skin darkening (Y/N)]],Table1[[#This Row],[Hair loss(Y/N)]])</f>
        <v>2</v>
      </c>
      <c r="BI318" s="4" t="str">
        <f>IF(AND(Table1[[#This Row],[Pregnant(Y/N)]]=0, Table1[[#This Row],[  I   beta-HCG(mIU/mL)]]&gt;5), "Investigation Required", "Clear")</f>
        <v>Clear</v>
      </c>
    </row>
    <row r="319" spans="1:61" ht="15.75" customHeight="1" x14ac:dyDescent="0.25">
      <c r="A319">
        <v>318</v>
      </c>
      <c r="B319">
        <v>318</v>
      </c>
      <c r="C319">
        <v>0</v>
      </c>
      <c r="D319" t="str">
        <f>IF(Table1[[#This Row],[PCOS (Y/N)]]=0,"NO","YES")</f>
        <v>NO</v>
      </c>
      <c r="E319">
        <v>28</v>
      </c>
      <c r="F319">
        <v>53</v>
      </c>
      <c r="G319">
        <v>159</v>
      </c>
      <c r="H319">
        <v>11</v>
      </c>
      <c r="I319">
        <v>74</v>
      </c>
      <c r="J319">
        <v>18</v>
      </c>
      <c r="K319">
        <v>10.8</v>
      </c>
      <c r="L319">
        <v>2</v>
      </c>
      <c r="M319">
        <v>6</v>
      </c>
      <c r="N319">
        <v>4</v>
      </c>
      <c r="O319">
        <v>1</v>
      </c>
      <c r="P319" t="str">
        <f>IF(Table1[[#This Row],[Pregnant(Y/N)]]=1,"YES","NO")</f>
        <v>YES</v>
      </c>
      <c r="Q319">
        <v>0</v>
      </c>
      <c r="R319">
        <v>17243.97</v>
      </c>
      <c r="S319">
        <v>410.13</v>
      </c>
      <c r="T319">
        <v>4.8899999999999997</v>
      </c>
      <c r="U319">
        <v>0.57999999999999996</v>
      </c>
      <c r="V319">
        <f>Table1[[#This Row],[FSH(mIU/mL)]]/Table1[[#This Row],[LH(mIU/mL)]]</f>
        <v>8.431034482758621</v>
      </c>
      <c r="W319" t="str">
        <f>IF(Table1[[#This Row],[FSH/LH]]&gt;=2,"Abnormal","Normal")</f>
        <v>Abnormal</v>
      </c>
      <c r="X319">
        <v>36</v>
      </c>
      <c r="Y319">
        <v>30</v>
      </c>
      <c r="Z319">
        <f>ROUND(Table1[[#This Row],[Waist(inch)]]/Table1[[#This Row],[Hip(inch)]],2)</f>
        <v>0.83</v>
      </c>
      <c r="AA319">
        <v>1.1399999999999999</v>
      </c>
      <c r="AB319">
        <v>2.06</v>
      </c>
      <c r="AC319">
        <v>21.19</v>
      </c>
      <c r="AD319">
        <v>22.2</v>
      </c>
      <c r="AE319" t="str">
        <f>IF(Table1[[#This Row],[Vit D3 (ng/mL)]]&lt;20,"Deficiency","Normal")</f>
        <v>Normal</v>
      </c>
      <c r="AF319">
        <v>0.27</v>
      </c>
      <c r="AG319">
        <v>80</v>
      </c>
      <c r="AH319">
        <v>0</v>
      </c>
      <c r="AI319" t="str">
        <f>IF(Table1[[#This Row],[Weight gain(Y/N)]]=0,"NO","YES")</f>
        <v>NO</v>
      </c>
      <c r="AJ319">
        <v>0</v>
      </c>
      <c r="AK319" t="str">
        <f>IF(Table1[[#This Row],[hair growth(Y/N)]]=1,"YES","NO")</f>
        <v>NO</v>
      </c>
      <c r="AL319">
        <v>0</v>
      </c>
      <c r="AM319" t="str">
        <f>IF(Table1[[#This Row],[Skin darkening (Y/N)]]=1,"YES","NO")</f>
        <v>NO</v>
      </c>
      <c r="AN319">
        <v>1</v>
      </c>
      <c r="AO319" t="str">
        <f>IF(Table1[[#This Row],[Hair loss(Y/N)]]=1,"YES","NO")</f>
        <v>YES</v>
      </c>
      <c r="AP319">
        <v>1</v>
      </c>
      <c r="AQ319" t="str">
        <f>IF(Table1[[#This Row],[Pimples(Y/N)]]=1,"YES","NO")</f>
        <v>YES</v>
      </c>
      <c r="AR319">
        <v>1</v>
      </c>
      <c r="AS319" t="str">
        <f>IF(Table1[[#This Row],[Fast food (Y/N)]]=1,"YES","NO")</f>
        <v>YES</v>
      </c>
      <c r="AT319">
        <v>0</v>
      </c>
      <c r="AU319" t="str">
        <f>IF(Table1[[#This Row],[Reg.Exercise(Y/N)]]=1,"YES","NO")</f>
        <v>NO</v>
      </c>
      <c r="AV319">
        <v>100</v>
      </c>
      <c r="AW319">
        <v>70</v>
      </c>
      <c r="AX319">
        <v>4</v>
      </c>
      <c r="AY319">
        <v>6</v>
      </c>
      <c r="AZ319">
        <v>14</v>
      </c>
      <c r="BA319">
        <v>18</v>
      </c>
      <c r="BB319">
        <v>7.7</v>
      </c>
      <c r="BC319" t="str" cm="1">
        <f t="array" ref="BC319">_xlfn.IFS((F319/(G319*G319)*10000)&lt; 18.5,"Underweight",(F319/(G319*G319)*10000)&lt;24.9,"Normal",(F319/(G319*G319)*10000)&lt;29.9,"Overweight",(F319/(G319*G319)*10000)&gt;=30,"obesity")</f>
        <v>Normal</v>
      </c>
      <c r="BD319">
        <f>Table1[[#This Row],[Follicle No. (L)]]+Table1[[#This Row],[Follicle No. (R)]]</f>
        <v>10</v>
      </c>
      <c r="BE319">
        <f>Table1[[#This Row],[Avg. F size (L) (mm)]]+Table1[[#This Row],[Avg. F size (R) (mm)]]</f>
        <v>32</v>
      </c>
      <c r="BF319">
        <f>Table1[[#This Row],[BP _Diastolic (mmHg)]]+(Table1[[#This Row],[BP _Diastolic (mmHg)]]+Table1[[#This Row],[Follicle No. (L)]])/3</f>
        <v>94.666666666666671</v>
      </c>
      <c r="BG319" s="4" t="str" cm="1">
        <f t="array" ref="BG31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19" s="4">
        <f>SUM(Table1[[#This Row],[Pimples(Y/N)]],Table1[[#This Row],[hair growth(Y/N)]],Table1[[#This Row],[Skin darkening (Y/N)]],Table1[[#This Row],[Hair loss(Y/N)]])</f>
        <v>2</v>
      </c>
      <c r="BI319" s="4" t="str">
        <f>IF(AND(Table1[[#This Row],[Pregnant(Y/N)]]=0, Table1[[#This Row],[  I   beta-HCG(mIU/mL)]]&gt;5), "Investigation Required", "Clear")</f>
        <v>Clear</v>
      </c>
    </row>
    <row r="320" spans="1:61" ht="15.75" customHeight="1" x14ac:dyDescent="0.25">
      <c r="A320">
        <v>319</v>
      </c>
      <c r="B320">
        <v>319</v>
      </c>
      <c r="C320">
        <v>0</v>
      </c>
      <c r="D320" t="str">
        <f>IF(Table1[[#This Row],[PCOS (Y/N)]]=0,"NO","YES")</f>
        <v>NO</v>
      </c>
      <c r="E320">
        <v>47</v>
      </c>
      <c r="F320">
        <v>60</v>
      </c>
      <c r="G320">
        <v>164.5</v>
      </c>
      <c r="H320">
        <v>13</v>
      </c>
      <c r="I320">
        <v>72</v>
      </c>
      <c r="J320">
        <v>18</v>
      </c>
      <c r="K320">
        <v>13</v>
      </c>
      <c r="L320">
        <v>2</v>
      </c>
      <c r="M320">
        <v>5</v>
      </c>
      <c r="N320">
        <v>24</v>
      </c>
      <c r="O320">
        <v>1</v>
      </c>
      <c r="P320" t="str">
        <f>IF(Table1[[#This Row],[Pregnant(Y/N)]]=1,"YES","NO")</f>
        <v>YES</v>
      </c>
      <c r="Q320">
        <v>0</v>
      </c>
      <c r="R320">
        <v>479.6</v>
      </c>
      <c r="S320">
        <v>479.6</v>
      </c>
      <c r="T320">
        <v>4.59</v>
      </c>
      <c r="U320">
        <v>1.4</v>
      </c>
      <c r="V320">
        <f>Table1[[#This Row],[FSH(mIU/mL)]]/Table1[[#This Row],[LH(mIU/mL)]]</f>
        <v>3.2785714285714285</v>
      </c>
      <c r="W320" t="str">
        <f>IF(Table1[[#This Row],[FSH/LH]]&gt;=2,"Abnormal","Normal")</f>
        <v>Abnormal</v>
      </c>
      <c r="X320">
        <v>36</v>
      </c>
      <c r="Y320">
        <v>32</v>
      </c>
      <c r="Z320">
        <f>ROUND(Table1[[#This Row],[Waist(inch)]]/Table1[[#This Row],[Hip(inch)]],2)</f>
        <v>0.89</v>
      </c>
      <c r="AA320">
        <v>5.89</v>
      </c>
      <c r="AB320">
        <v>3.33</v>
      </c>
      <c r="AC320">
        <v>13.78</v>
      </c>
      <c r="AD320">
        <v>35.4</v>
      </c>
      <c r="AE320" t="str">
        <f>IF(Table1[[#This Row],[Vit D3 (ng/mL)]]&lt;20,"Deficiency","Normal")</f>
        <v>Normal</v>
      </c>
      <c r="AF320">
        <v>0.41</v>
      </c>
      <c r="AG320">
        <v>100</v>
      </c>
      <c r="AH320">
        <v>0</v>
      </c>
      <c r="AI320" t="str">
        <f>IF(Table1[[#This Row],[Weight gain(Y/N)]]=0,"NO","YES")</f>
        <v>NO</v>
      </c>
      <c r="AJ320">
        <v>0</v>
      </c>
      <c r="AK320" t="str">
        <f>IF(Table1[[#This Row],[hair growth(Y/N)]]=1,"YES","NO")</f>
        <v>NO</v>
      </c>
      <c r="AL320">
        <v>0</v>
      </c>
      <c r="AM320" t="str">
        <f>IF(Table1[[#This Row],[Skin darkening (Y/N)]]=1,"YES","NO")</f>
        <v>NO</v>
      </c>
      <c r="AN320">
        <v>1</v>
      </c>
      <c r="AO320" t="str">
        <f>IF(Table1[[#This Row],[Hair loss(Y/N)]]=1,"YES","NO")</f>
        <v>YES</v>
      </c>
      <c r="AP320">
        <v>1</v>
      </c>
      <c r="AQ320" t="str">
        <f>IF(Table1[[#This Row],[Pimples(Y/N)]]=1,"YES","NO")</f>
        <v>YES</v>
      </c>
      <c r="AR320">
        <v>1</v>
      </c>
      <c r="AS320" t="str">
        <f>IF(Table1[[#This Row],[Fast food (Y/N)]]=1,"YES","NO")</f>
        <v>YES</v>
      </c>
      <c r="AT320">
        <v>0</v>
      </c>
      <c r="AU320" t="str">
        <f>IF(Table1[[#This Row],[Reg.Exercise(Y/N)]]=1,"YES","NO")</f>
        <v>NO</v>
      </c>
      <c r="AV320">
        <v>110</v>
      </c>
      <c r="AW320">
        <v>80</v>
      </c>
      <c r="AX320">
        <v>6</v>
      </c>
      <c r="AY320">
        <v>6</v>
      </c>
      <c r="AZ320">
        <v>15</v>
      </c>
      <c r="BA320">
        <v>18</v>
      </c>
      <c r="BB320">
        <v>8.4</v>
      </c>
      <c r="BC320" t="str" cm="1">
        <f t="array" ref="BC320">_xlfn.IFS((F320/(G320*G320)*10000)&lt; 18.5,"Underweight",(F320/(G320*G320)*10000)&lt;24.9,"Normal",(F320/(G320*G320)*10000)&lt;29.9,"Overweight",(F320/(G320*G320)*10000)&gt;=30,"obesity")</f>
        <v>Normal</v>
      </c>
      <c r="BD320">
        <f>Table1[[#This Row],[Follicle No. (L)]]+Table1[[#This Row],[Follicle No. (R)]]</f>
        <v>12</v>
      </c>
      <c r="BE320">
        <f>Table1[[#This Row],[Avg. F size (L) (mm)]]+Table1[[#This Row],[Avg. F size (R) (mm)]]</f>
        <v>33</v>
      </c>
      <c r="BF320">
        <f>Table1[[#This Row],[BP _Diastolic (mmHg)]]+(Table1[[#This Row],[BP _Diastolic (mmHg)]]+Table1[[#This Row],[Follicle No. (L)]])/3</f>
        <v>108.66666666666667</v>
      </c>
      <c r="BG320" s="4" t="str" cm="1">
        <f t="array" ref="BG32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20" s="4">
        <f>SUM(Table1[[#This Row],[Pimples(Y/N)]],Table1[[#This Row],[hair growth(Y/N)]],Table1[[#This Row],[Skin darkening (Y/N)]],Table1[[#This Row],[Hair loss(Y/N)]])</f>
        <v>2</v>
      </c>
      <c r="BI320" s="4" t="str">
        <f>IF(AND(Table1[[#This Row],[Pregnant(Y/N)]]=0, Table1[[#This Row],[  I   beta-HCG(mIU/mL)]]&gt;5), "Investigation Required", "Clear")</f>
        <v>Clear</v>
      </c>
    </row>
    <row r="321" spans="1:61" ht="15.75" customHeight="1" x14ac:dyDescent="0.25">
      <c r="A321">
        <v>320</v>
      </c>
      <c r="B321">
        <v>320</v>
      </c>
      <c r="C321">
        <v>0</v>
      </c>
      <c r="D321" t="str">
        <f>IF(Table1[[#This Row],[PCOS (Y/N)]]=0,"NO","YES")</f>
        <v>NO</v>
      </c>
      <c r="E321">
        <v>32</v>
      </c>
      <c r="F321">
        <v>60</v>
      </c>
      <c r="G321">
        <v>154</v>
      </c>
      <c r="H321">
        <v>15</v>
      </c>
      <c r="I321">
        <v>72</v>
      </c>
      <c r="J321">
        <v>18</v>
      </c>
      <c r="K321">
        <v>13.8</v>
      </c>
      <c r="L321">
        <v>2</v>
      </c>
      <c r="M321">
        <v>5</v>
      </c>
      <c r="N321">
        <v>5</v>
      </c>
      <c r="O321">
        <v>1</v>
      </c>
      <c r="P321" t="str">
        <f>IF(Table1[[#This Row],[Pregnant(Y/N)]]=1,"YES","NO")</f>
        <v>YES</v>
      </c>
      <c r="Q321">
        <v>0</v>
      </c>
      <c r="R321">
        <v>545.78</v>
      </c>
      <c r="S321">
        <v>545.78</v>
      </c>
      <c r="T321">
        <v>6.03</v>
      </c>
      <c r="U321">
        <v>3.24</v>
      </c>
      <c r="V321">
        <f>Table1[[#This Row],[FSH(mIU/mL)]]/Table1[[#This Row],[LH(mIU/mL)]]</f>
        <v>1.8611111111111112</v>
      </c>
      <c r="W321" t="str">
        <f>IF(Table1[[#This Row],[FSH/LH]]&gt;=2,"Abnormal","Normal")</f>
        <v>Normal</v>
      </c>
      <c r="X321">
        <v>38</v>
      </c>
      <c r="Y321">
        <v>34</v>
      </c>
      <c r="Z321">
        <f>ROUND(Table1[[#This Row],[Waist(inch)]]/Table1[[#This Row],[Hip(inch)]],2)</f>
        <v>0.89</v>
      </c>
      <c r="AA321">
        <v>3.28</v>
      </c>
      <c r="AB321">
        <v>1</v>
      </c>
      <c r="AC321">
        <v>22.14</v>
      </c>
      <c r="AD321">
        <v>25.1</v>
      </c>
      <c r="AE321" t="str">
        <f>IF(Table1[[#This Row],[Vit D3 (ng/mL)]]&lt;20,"Deficiency","Normal")</f>
        <v>Normal</v>
      </c>
      <c r="AF321">
        <v>0.38</v>
      </c>
      <c r="AG321">
        <v>85</v>
      </c>
      <c r="AH321">
        <v>1</v>
      </c>
      <c r="AI321" t="str">
        <f>IF(Table1[[#This Row],[Weight gain(Y/N)]]=0,"NO","YES")</f>
        <v>YES</v>
      </c>
      <c r="AJ321">
        <v>0</v>
      </c>
      <c r="AK321" t="str">
        <f>IF(Table1[[#This Row],[hair growth(Y/N)]]=1,"YES","NO")</f>
        <v>NO</v>
      </c>
      <c r="AL321">
        <v>0</v>
      </c>
      <c r="AM321" t="str">
        <f>IF(Table1[[#This Row],[Skin darkening (Y/N)]]=1,"YES","NO")</f>
        <v>NO</v>
      </c>
      <c r="AN321">
        <v>1</v>
      </c>
      <c r="AO321" t="str">
        <f>IF(Table1[[#This Row],[Hair loss(Y/N)]]=1,"YES","NO")</f>
        <v>YES</v>
      </c>
      <c r="AP321">
        <v>1</v>
      </c>
      <c r="AQ321" t="str">
        <f>IF(Table1[[#This Row],[Pimples(Y/N)]]=1,"YES","NO")</f>
        <v>YES</v>
      </c>
      <c r="AR321">
        <v>1</v>
      </c>
      <c r="AS321" t="str">
        <f>IF(Table1[[#This Row],[Fast food (Y/N)]]=1,"YES","NO")</f>
        <v>YES</v>
      </c>
      <c r="AT321">
        <v>0</v>
      </c>
      <c r="AU321" t="str">
        <f>IF(Table1[[#This Row],[Reg.Exercise(Y/N)]]=1,"YES","NO")</f>
        <v>NO</v>
      </c>
      <c r="AV321">
        <v>120</v>
      </c>
      <c r="AW321">
        <v>80</v>
      </c>
      <c r="AX321">
        <v>1</v>
      </c>
      <c r="AY321">
        <v>2</v>
      </c>
      <c r="AZ321">
        <v>16</v>
      </c>
      <c r="BA321">
        <v>17</v>
      </c>
      <c r="BB321">
        <v>6.4</v>
      </c>
      <c r="BC321" t="str" cm="1">
        <f t="array" ref="BC321">_xlfn.IFS((F321/(G321*G321)*10000)&lt; 18.5,"Underweight",(F321/(G321*G321)*10000)&lt;24.9,"Normal",(F321/(G321*G321)*10000)&lt;29.9,"Overweight",(F321/(G321*G321)*10000)&gt;=30,"obesity")</f>
        <v>Overweight</v>
      </c>
      <c r="BD321">
        <f>Table1[[#This Row],[Follicle No. (L)]]+Table1[[#This Row],[Follicle No. (R)]]</f>
        <v>3</v>
      </c>
      <c r="BE321">
        <f>Table1[[#This Row],[Avg. F size (L) (mm)]]+Table1[[#This Row],[Avg. F size (R) (mm)]]</f>
        <v>33</v>
      </c>
      <c r="BF321">
        <f>Table1[[#This Row],[BP _Diastolic (mmHg)]]+(Table1[[#This Row],[BP _Diastolic (mmHg)]]+Table1[[#This Row],[Follicle No. (L)]])/3</f>
        <v>107</v>
      </c>
      <c r="BG321" s="4" t="str" cm="1">
        <f t="array" ref="BG32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21" s="4">
        <f>SUM(Table1[[#This Row],[Pimples(Y/N)]],Table1[[#This Row],[hair growth(Y/N)]],Table1[[#This Row],[Skin darkening (Y/N)]],Table1[[#This Row],[Hair loss(Y/N)]])</f>
        <v>2</v>
      </c>
      <c r="BI321" s="4" t="str">
        <f>IF(AND(Table1[[#This Row],[Pregnant(Y/N)]]=0, Table1[[#This Row],[  I   beta-HCG(mIU/mL)]]&gt;5), "Investigation Required", "Clear")</f>
        <v>Clear</v>
      </c>
    </row>
    <row r="322" spans="1:61" ht="15.75" customHeight="1" x14ac:dyDescent="0.25">
      <c r="A322">
        <v>321</v>
      </c>
      <c r="B322">
        <v>321</v>
      </c>
      <c r="C322">
        <v>1</v>
      </c>
      <c r="D322" t="str">
        <f>IF(Table1[[#This Row],[PCOS (Y/N)]]=0,"NO","YES")</f>
        <v>YES</v>
      </c>
      <c r="E322">
        <v>33</v>
      </c>
      <c r="F322">
        <v>64</v>
      </c>
      <c r="G322">
        <v>162</v>
      </c>
      <c r="H322">
        <v>13</v>
      </c>
      <c r="I322">
        <v>72</v>
      </c>
      <c r="J322">
        <v>18</v>
      </c>
      <c r="K322">
        <v>10.199999999999999</v>
      </c>
      <c r="L322">
        <v>2</v>
      </c>
      <c r="M322">
        <v>5</v>
      </c>
      <c r="N322">
        <v>13</v>
      </c>
      <c r="O322">
        <v>1</v>
      </c>
      <c r="P322" t="str">
        <f>IF(Table1[[#This Row],[Pregnant(Y/N)]]=1,"YES","NO")</f>
        <v>YES</v>
      </c>
      <c r="Q322">
        <v>0</v>
      </c>
      <c r="R322">
        <v>783.98</v>
      </c>
      <c r="S322">
        <v>1.99</v>
      </c>
      <c r="T322">
        <v>3.17</v>
      </c>
      <c r="U322">
        <v>1.45</v>
      </c>
      <c r="V322">
        <f>Table1[[#This Row],[FSH(mIU/mL)]]/Table1[[#This Row],[LH(mIU/mL)]]</f>
        <v>2.1862068965517243</v>
      </c>
      <c r="W322" t="str">
        <f>IF(Table1[[#This Row],[FSH/LH]]&gt;=2,"Abnormal","Normal")</f>
        <v>Abnormal</v>
      </c>
      <c r="X322">
        <v>36</v>
      </c>
      <c r="Y322">
        <v>30</v>
      </c>
      <c r="Z322">
        <f>ROUND(Table1[[#This Row],[Waist(inch)]]/Table1[[#This Row],[Hip(inch)]],2)</f>
        <v>0.83</v>
      </c>
      <c r="AA322">
        <v>0.82</v>
      </c>
      <c r="AB322">
        <v>2.65</v>
      </c>
      <c r="AC322">
        <v>18.13</v>
      </c>
      <c r="AD322">
        <v>33.5</v>
      </c>
      <c r="AE322" t="str">
        <f>IF(Table1[[#This Row],[Vit D3 (ng/mL)]]&lt;20,"Deficiency","Normal")</f>
        <v>Normal</v>
      </c>
      <c r="AF322">
        <v>0.25</v>
      </c>
      <c r="AG322">
        <v>82</v>
      </c>
      <c r="AH322">
        <v>0</v>
      </c>
      <c r="AI322" t="str">
        <f>IF(Table1[[#This Row],[Weight gain(Y/N)]]=0,"NO","YES")</f>
        <v>NO</v>
      </c>
      <c r="AJ322">
        <v>1</v>
      </c>
      <c r="AK322" t="str">
        <f>IF(Table1[[#This Row],[hair growth(Y/N)]]=1,"YES","NO")</f>
        <v>YES</v>
      </c>
      <c r="AL322">
        <v>1</v>
      </c>
      <c r="AM322" t="str">
        <f>IF(Table1[[#This Row],[Skin darkening (Y/N)]]=1,"YES","NO")</f>
        <v>YES</v>
      </c>
      <c r="AN322">
        <v>1</v>
      </c>
      <c r="AO322" t="str">
        <f>IF(Table1[[#This Row],[Hair loss(Y/N)]]=1,"YES","NO")</f>
        <v>YES</v>
      </c>
      <c r="AP322">
        <v>1</v>
      </c>
      <c r="AQ322" t="str">
        <f>IF(Table1[[#This Row],[Pimples(Y/N)]]=1,"YES","NO")</f>
        <v>YES</v>
      </c>
      <c r="AR322">
        <v>1</v>
      </c>
      <c r="AS322" t="str">
        <f>IF(Table1[[#This Row],[Fast food (Y/N)]]=1,"YES","NO")</f>
        <v>YES</v>
      </c>
      <c r="AT322">
        <v>0</v>
      </c>
      <c r="AU322" t="str">
        <f>IF(Table1[[#This Row],[Reg.Exercise(Y/N)]]=1,"YES","NO")</f>
        <v>NO</v>
      </c>
      <c r="AV322">
        <v>110</v>
      </c>
      <c r="AW322">
        <v>80</v>
      </c>
      <c r="AX322">
        <v>7</v>
      </c>
      <c r="AY322">
        <v>20</v>
      </c>
      <c r="AZ322">
        <v>15</v>
      </c>
      <c r="BA322">
        <v>17</v>
      </c>
      <c r="BB322">
        <v>12</v>
      </c>
      <c r="BC322" t="str" cm="1">
        <f t="array" ref="BC322">_xlfn.IFS((F322/(G322*G322)*10000)&lt; 18.5,"Underweight",(F322/(G322*G322)*10000)&lt;24.9,"Normal",(F322/(G322*G322)*10000)&lt;29.9,"Overweight",(F322/(G322*G322)*10000)&gt;=30,"obesity")</f>
        <v>Normal</v>
      </c>
      <c r="BD322">
        <f>Table1[[#This Row],[Follicle No. (L)]]+Table1[[#This Row],[Follicle No. (R)]]</f>
        <v>27</v>
      </c>
      <c r="BE322">
        <f>Table1[[#This Row],[Avg. F size (L) (mm)]]+Table1[[#This Row],[Avg. F size (R) (mm)]]</f>
        <v>32</v>
      </c>
      <c r="BF322">
        <f>Table1[[#This Row],[BP _Diastolic (mmHg)]]+(Table1[[#This Row],[BP _Diastolic (mmHg)]]+Table1[[#This Row],[Follicle No. (L)]])/3</f>
        <v>109</v>
      </c>
      <c r="BG322" s="4" t="str" cm="1">
        <f t="array" ref="BG32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22" s="4">
        <f>SUM(Table1[[#This Row],[Pimples(Y/N)]],Table1[[#This Row],[hair growth(Y/N)]],Table1[[#This Row],[Skin darkening (Y/N)]],Table1[[#This Row],[Hair loss(Y/N)]])</f>
        <v>4</v>
      </c>
      <c r="BI322" s="4" t="str">
        <f>IF(AND(Table1[[#This Row],[Pregnant(Y/N)]]=0, Table1[[#This Row],[  I   beta-HCG(mIU/mL)]]&gt;5), "Investigation Required", "Clear")</f>
        <v>Clear</v>
      </c>
    </row>
    <row r="323" spans="1:61" ht="15.75" customHeight="1" x14ac:dyDescent="0.25">
      <c r="A323">
        <v>322</v>
      </c>
      <c r="B323">
        <v>322</v>
      </c>
      <c r="C323">
        <v>0</v>
      </c>
      <c r="D323" t="str">
        <f>IF(Table1[[#This Row],[PCOS (Y/N)]]=0,"NO","YES")</f>
        <v>NO</v>
      </c>
      <c r="E323">
        <v>38</v>
      </c>
      <c r="F323">
        <v>50</v>
      </c>
      <c r="G323">
        <v>150</v>
      </c>
      <c r="H323">
        <v>17</v>
      </c>
      <c r="I323">
        <v>72</v>
      </c>
      <c r="J323">
        <v>18</v>
      </c>
      <c r="K323">
        <v>12</v>
      </c>
      <c r="L323">
        <v>4</v>
      </c>
      <c r="M323">
        <v>3</v>
      </c>
      <c r="N323">
        <v>12</v>
      </c>
      <c r="O323">
        <v>0</v>
      </c>
      <c r="P323" t="str">
        <f>IF(Table1[[#This Row],[Pregnant(Y/N)]]=1,"YES","NO")</f>
        <v>NO</v>
      </c>
      <c r="Q323">
        <v>0</v>
      </c>
      <c r="R323">
        <v>1.99</v>
      </c>
      <c r="S323">
        <v>1.99</v>
      </c>
      <c r="T323">
        <v>4.3</v>
      </c>
      <c r="U323">
        <v>2.62</v>
      </c>
      <c r="V323">
        <f>Table1[[#This Row],[FSH(mIU/mL)]]/Table1[[#This Row],[LH(mIU/mL)]]</f>
        <v>1.6412213740458015</v>
      </c>
      <c r="W323" t="str">
        <f>IF(Table1[[#This Row],[FSH/LH]]&gt;=2,"Abnormal","Normal")</f>
        <v>Normal</v>
      </c>
      <c r="X323">
        <v>34</v>
      </c>
      <c r="Y323">
        <v>30</v>
      </c>
      <c r="Z323">
        <f>ROUND(Table1[[#This Row],[Waist(inch)]]/Table1[[#This Row],[Hip(inch)]],2)</f>
        <v>0.88</v>
      </c>
      <c r="AA323">
        <v>2.42</v>
      </c>
      <c r="AB323">
        <v>11</v>
      </c>
      <c r="AC323">
        <v>32.229999999999997</v>
      </c>
      <c r="AD323">
        <v>29.4</v>
      </c>
      <c r="AE323" t="str">
        <f>IF(Table1[[#This Row],[Vit D3 (ng/mL)]]&lt;20,"Deficiency","Normal")</f>
        <v>Normal</v>
      </c>
      <c r="AF323">
        <v>0.26</v>
      </c>
      <c r="AG323">
        <v>80</v>
      </c>
      <c r="AH323">
        <v>0</v>
      </c>
      <c r="AI323" t="str">
        <f>IF(Table1[[#This Row],[Weight gain(Y/N)]]=0,"NO","YES")</f>
        <v>NO</v>
      </c>
      <c r="AJ323">
        <v>0</v>
      </c>
      <c r="AK323" t="str">
        <f>IF(Table1[[#This Row],[hair growth(Y/N)]]=1,"YES","NO")</f>
        <v>NO</v>
      </c>
      <c r="AL323">
        <v>0</v>
      </c>
      <c r="AM323" t="str">
        <f>IF(Table1[[#This Row],[Skin darkening (Y/N)]]=1,"YES","NO")</f>
        <v>NO</v>
      </c>
      <c r="AN323">
        <v>1</v>
      </c>
      <c r="AO323" t="str">
        <f>IF(Table1[[#This Row],[Hair loss(Y/N)]]=1,"YES","NO")</f>
        <v>YES</v>
      </c>
      <c r="AP323">
        <v>1</v>
      </c>
      <c r="AQ323" t="str">
        <f>IF(Table1[[#This Row],[Pimples(Y/N)]]=1,"YES","NO")</f>
        <v>YES</v>
      </c>
      <c r="AR323">
        <v>1</v>
      </c>
      <c r="AS323" t="str">
        <f>IF(Table1[[#This Row],[Fast food (Y/N)]]=1,"YES","NO")</f>
        <v>YES</v>
      </c>
      <c r="AT323">
        <v>0</v>
      </c>
      <c r="AU323" t="str">
        <f>IF(Table1[[#This Row],[Reg.Exercise(Y/N)]]=1,"YES","NO")</f>
        <v>NO</v>
      </c>
      <c r="AV323">
        <v>110</v>
      </c>
      <c r="AW323">
        <v>80</v>
      </c>
      <c r="AX323">
        <v>5</v>
      </c>
      <c r="AY323">
        <v>11</v>
      </c>
      <c r="AZ323">
        <v>8</v>
      </c>
      <c r="BA323">
        <v>12</v>
      </c>
      <c r="BB323">
        <v>10.5</v>
      </c>
      <c r="BC323" t="str" cm="1">
        <f t="array" ref="BC323">_xlfn.IFS((F323/(G323*G323)*10000)&lt; 18.5,"Underweight",(F323/(G323*G323)*10000)&lt;24.9,"Normal",(F323/(G323*G323)*10000)&lt;29.9,"Overweight",(F323/(G323*G323)*10000)&gt;=30,"obesity")</f>
        <v>Normal</v>
      </c>
      <c r="BD323">
        <f>Table1[[#This Row],[Follicle No. (L)]]+Table1[[#This Row],[Follicle No. (R)]]</f>
        <v>16</v>
      </c>
      <c r="BE323">
        <f>Table1[[#This Row],[Avg. F size (L) (mm)]]+Table1[[#This Row],[Avg. F size (R) (mm)]]</f>
        <v>20</v>
      </c>
      <c r="BF323">
        <f>Table1[[#This Row],[BP _Diastolic (mmHg)]]+(Table1[[#This Row],[BP _Diastolic (mmHg)]]+Table1[[#This Row],[Follicle No. (L)]])/3</f>
        <v>108.33333333333333</v>
      </c>
      <c r="BG323" s="4" t="str" cm="1">
        <f t="array" ref="BG32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23" s="4">
        <f>SUM(Table1[[#This Row],[Pimples(Y/N)]],Table1[[#This Row],[hair growth(Y/N)]],Table1[[#This Row],[Skin darkening (Y/N)]],Table1[[#This Row],[Hair loss(Y/N)]])</f>
        <v>2</v>
      </c>
      <c r="BI323" s="4" t="str">
        <f>IF(AND(Table1[[#This Row],[Pregnant(Y/N)]]=0, Table1[[#This Row],[  I   beta-HCG(mIU/mL)]]&gt;5), "Investigation Required", "Clear")</f>
        <v>Clear</v>
      </c>
    </row>
    <row r="324" spans="1:61" ht="15.75" customHeight="1" x14ac:dyDescent="0.25">
      <c r="A324">
        <v>323</v>
      </c>
      <c r="B324">
        <v>323</v>
      </c>
      <c r="C324">
        <v>0</v>
      </c>
      <c r="D324" t="str">
        <f>IF(Table1[[#This Row],[PCOS (Y/N)]]=0,"NO","YES")</f>
        <v>NO</v>
      </c>
      <c r="E324">
        <v>28</v>
      </c>
      <c r="F324">
        <v>61</v>
      </c>
      <c r="G324">
        <v>150</v>
      </c>
      <c r="H324">
        <v>11</v>
      </c>
      <c r="I324">
        <v>72</v>
      </c>
      <c r="J324">
        <v>24</v>
      </c>
      <c r="K324">
        <v>10.8</v>
      </c>
      <c r="L324">
        <v>2</v>
      </c>
      <c r="M324">
        <v>6</v>
      </c>
      <c r="N324">
        <v>6.5</v>
      </c>
      <c r="O324">
        <v>0</v>
      </c>
      <c r="P324" t="str">
        <f>IF(Table1[[#This Row],[Pregnant(Y/N)]]=1,"YES","NO")</f>
        <v>NO</v>
      </c>
      <c r="Q324">
        <v>0</v>
      </c>
      <c r="R324">
        <v>1.99</v>
      </c>
      <c r="S324">
        <v>1.99</v>
      </c>
      <c r="T324">
        <v>7.03</v>
      </c>
      <c r="U324">
        <v>2.2999999999999998</v>
      </c>
      <c r="V324">
        <f>Table1[[#This Row],[FSH(mIU/mL)]]/Table1[[#This Row],[LH(mIU/mL)]]</f>
        <v>3.0565217391304351</v>
      </c>
      <c r="W324" t="str">
        <f>IF(Table1[[#This Row],[FSH/LH]]&gt;=2,"Abnormal","Normal")</f>
        <v>Abnormal</v>
      </c>
      <c r="X324">
        <v>39</v>
      </c>
      <c r="Y324">
        <v>35</v>
      </c>
      <c r="Z324">
        <f>ROUND(Table1[[#This Row],[Waist(inch)]]/Table1[[#This Row],[Hip(inch)]],2)</f>
        <v>0.9</v>
      </c>
      <c r="AA324">
        <v>0.22</v>
      </c>
      <c r="AB324">
        <v>3.6</v>
      </c>
      <c r="AC324">
        <v>26.89</v>
      </c>
      <c r="AD324">
        <v>32.4</v>
      </c>
      <c r="AE324" t="str">
        <f>IF(Table1[[#This Row],[Vit D3 (ng/mL)]]&lt;20,"Deficiency","Normal")</f>
        <v>Normal</v>
      </c>
      <c r="AF324">
        <v>0.35</v>
      </c>
      <c r="AG324">
        <v>85</v>
      </c>
      <c r="AH324">
        <v>1</v>
      </c>
      <c r="AI324" t="str">
        <f>IF(Table1[[#This Row],[Weight gain(Y/N)]]=0,"NO","YES")</f>
        <v>YES</v>
      </c>
      <c r="AJ324">
        <v>0</v>
      </c>
      <c r="AK324" t="str">
        <f>IF(Table1[[#This Row],[hair growth(Y/N)]]=1,"YES","NO")</f>
        <v>NO</v>
      </c>
      <c r="AL324">
        <v>0</v>
      </c>
      <c r="AM324" t="str">
        <f>IF(Table1[[#This Row],[Skin darkening (Y/N)]]=1,"YES","NO")</f>
        <v>NO</v>
      </c>
      <c r="AN324">
        <v>0</v>
      </c>
      <c r="AO324" t="str">
        <f>IF(Table1[[#This Row],[Hair loss(Y/N)]]=1,"YES","NO")</f>
        <v>NO</v>
      </c>
      <c r="AP324">
        <v>1</v>
      </c>
      <c r="AQ324" t="str">
        <f>IF(Table1[[#This Row],[Pimples(Y/N)]]=1,"YES","NO")</f>
        <v>YES</v>
      </c>
      <c r="AR324">
        <v>1</v>
      </c>
      <c r="AS324" t="str">
        <f>IF(Table1[[#This Row],[Fast food (Y/N)]]=1,"YES","NO")</f>
        <v>YES</v>
      </c>
      <c r="AT324">
        <v>0</v>
      </c>
      <c r="AU324" t="str">
        <f>IF(Table1[[#This Row],[Reg.Exercise(Y/N)]]=1,"YES","NO")</f>
        <v>NO</v>
      </c>
      <c r="AV324">
        <v>110</v>
      </c>
      <c r="AW324">
        <v>80</v>
      </c>
      <c r="AX324">
        <v>7</v>
      </c>
      <c r="AY324">
        <v>11</v>
      </c>
      <c r="AZ324">
        <v>15</v>
      </c>
      <c r="BA324">
        <v>18</v>
      </c>
      <c r="BB324">
        <v>8</v>
      </c>
      <c r="BC324" t="str" cm="1">
        <f t="array" ref="BC324">_xlfn.IFS((F324/(G324*G324)*10000)&lt; 18.5,"Underweight",(F324/(G324*G324)*10000)&lt;24.9,"Normal",(F324/(G324*G324)*10000)&lt;29.9,"Overweight",(F324/(G324*G324)*10000)&gt;=30,"obesity")</f>
        <v>Overweight</v>
      </c>
      <c r="BD324">
        <f>Table1[[#This Row],[Follicle No. (L)]]+Table1[[#This Row],[Follicle No. (R)]]</f>
        <v>18</v>
      </c>
      <c r="BE324">
        <f>Table1[[#This Row],[Avg. F size (L) (mm)]]+Table1[[#This Row],[Avg. F size (R) (mm)]]</f>
        <v>33</v>
      </c>
      <c r="BF324">
        <f>Table1[[#This Row],[BP _Diastolic (mmHg)]]+(Table1[[#This Row],[BP _Diastolic (mmHg)]]+Table1[[#This Row],[Follicle No. (L)]])/3</f>
        <v>109</v>
      </c>
      <c r="BG324" s="4" t="str" cm="1">
        <f t="array" ref="BG32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24" s="4">
        <f>SUM(Table1[[#This Row],[Pimples(Y/N)]],Table1[[#This Row],[hair growth(Y/N)]],Table1[[#This Row],[Skin darkening (Y/N)]],Table1[[#This Row],[Hair loss(Y/N)]])</f>
        <v>1</v>
      </c>
      <c r="BI324" s="4" t="str">
        <f>IF(AND(Table1[[#This Row],[Pregnant(Y/N)]]=0, Table1[[#This Row],[  I   beta-HCG(mIU/mL)]]&gt;5), "Investigation Required", "Clear")</f>
        <v>Clear</v>
      </c>
    </row>
    <row r="325" spans="1:61" ht="15.75" customHeight="1" x14ac:dyDescent="0.25">
      <c r="A325">
        <v>324</v>
      </c>
      <c r="B325">
        <v>324</v>
      </c>
      <c r="C325">
        <v>1</v>
      </c>
      <c r="D325" t="str">
        <f>IF(Table1[[#This Row],[PCOS (Y/N)]]=0,"NO","YES")</f>
        <v>YES</v>
      </c>
      <c r="E325">
        <v>37</v>
      </c>
      <c r="F325">
        <v>56</v>
      </c>
      <c r="G325">
        <v>155</v>
      </c>
      <c r="H325">
        <v>17</v>
      </c>
      <c r="I325">
        <v>78</v>
      </c>
      <c r="J325">
        <v>22</v>
      </c>
      <c r="K325">
        <v>12</v>
      </c>
      <c r="L325">
        <v>4</v>
      </c>
      <c r="M325">
        <v>2</v>
      </c>
      <c r="N325">
        <v>14</v>
      </c>
      <c r="O325">
        <v>1</v>
      </c>
      <c r="P325" t="str">
        <f>IF(Table1[[#This Row],[Pregnant(Y/N)]]=1,"YES","NO")</f>
        <v>YES</v>
      </c>
      <c r="Q325">
        <v>0</v>
      </c>
      <c r="R325">
        <v>320.49</v>
      </c>
      <c r="S325">
        <v>320.49</v>
      </c>
      <c r="T325">
        <v>2.06</v>
      </c>
      <c r="U325">
        <v>0.79</v>
      </c>
      <c r="V325">
        <f>Table1[[#This Row],[FSH(mIU/mL)]]/Table1[[#This Row],[LH(mIU/mL)]]</f>
        <v>2.6075949367088609</v>
      </c>
      <c r="W325" t="str">
        <f>IF(Table1[[#This Row],[FSH/LH]]&gt;=2,"Abnormal","Normal")</f>
        <v>Abnormal</v>
      </c>
      <c r="X325">
        <v>37</v>
      </c>
      <c r="Y325">
        <v>34</v>
      </c>
      <c r="Z325">
        <f>ROUND(Table1[[#This Row],[Waist(inch)]]/Table1[[#This Row],[Hip(inch)]],2)</f>
        <v>0.92</v>
      </c>
      <c r="AA325">
        <v>4.62</v>
      </c>
      <c r="AB325">
        <v>5.7</v>
      </c>
      <c r="AC325">
        <v>63.3</v>
      </c>
      <c r="AD325">
        <v>35.700000000000003</v>
      </c>
      <c r="AE325" t="str">
        <f>IF(Table1[[#This Row],[Vit D3 (ng/mL)]]&lt;20,"Deficiency","Normal")</f>
        <v>Normal</v>
      </c>
      <c r="AF325">
        <v>0.25</v>
      </c>
      <c r="AG325">
        <v>110</v>
      </c>
      <c r="AH325">
        <v>1</v>
      </c>
      <c r="AI325" t="str">
        <f>IF(Table1[[#This Row],[Weight gain(Y/N)]]=0,"NO","YES")</f>
        <v>YES</v>
      </c>
      <c r="AJ325">
        <v>0</v>
      </c>
      <c r="AK325" t="str">
        <f>IF(Table1[[#This Row],[hair growth(Y/N)]]=1,"YES","NO")</f>
        <v>NO</v>
      </c>
      <c r="AL325">
        <v>1</v>
      </c>
      <c r="AM325" t="str">
        <f>IF(Table1[[#This Row],[Skin darkening (Y/N)]]=1,"YES","NO")</f>
        <v>YES</v>
      </c>
      <c r="AN325">
        <v>1</v>
      </c>
      <c r="AO325" t="str">
        <f>IF(Table1[[#This Row],[Hair loss(Y/N)]]=1,"YES","NO")</f>
        <v>YES</v>
      </c>
      <c r="AP325">
        <v>1</v>
      </c>
      <c r="AQ325" t="str">
        <f>IF(Table1[[#This Row],[Pimples(Y/N)]]=1,"YES","NO")</f>
        <v>YES</v>
      </c>
      <c r="AR325">
        <v>1</v>
      </c>
      <c r="AS325" t="str">
        <f>IF(Table1[[#This Row],[Fast food (Y/N)]]=1,"YES","NO")</f>
        <v>YES</v>
      </c>
      <c r="AT325">
        <v>0</v>
      </c>
      <c r="AU325" t="str">
        <f>IF(Table1[[#This Row],[Reg.Exercise(Y/N)]]=1,"YES","NO")</f>
        <v>NO</v>
      </c>
      <c r="AV325">
        <v>110</v>
      </c>
      <c r="AW325">
        <v>80</v>
      </c>
      <c r="AX325">
        <v>14</v>
      </c>
      <c r="AY325">
        <v>19</v>
      </c>
      <c r="AZ325">
        <v>18</v>
      </c>
      <c r="BA325">
        <v>19</v>
      </c>
      <c r="BB325">
        <v>12</v>
      </c>
      <c r="BC325" t="str" cm="1">
        <f t="array" ref="BC325">_xlfn.IFS((F325/(G325*G325)*10000)&lt; 18.5,"Underweight",(F325/(G325*G325)*10000)&lt;24.9,"Normal",(F325/(G325*G325)*10000)&lt;29.9,"Overweight",(F325/(G325*G325)*10000)&gt;=30,"obesity")</f>
        <v>Normal</v>
      </c>
      <c r="BD325">
        <f>Table1[[#This Row],[Follicle No. (L)]]+Table1[[#This Row],[Follicle No. (R)]]</f>
        <v>33</v>
      </c>
      <c r="BE325">
        <f>Table1[[#This Row],[Avg. F size (L) (mm)]]+Table1[[#This Row],[Avg. F size (R) (mm)]]</f>
        <v>37</v>
      </c>
      <c r="BF325">
        <f>Table1[[#This Row],[BP _Diastolic (mmHg)]]+(Table1[[#This Row],[BP _Diastolic (mmHg)]]+Table1[[#This Row],[Follicle No. (L)]])/3</f>
        <v>111.33333333333333</v>
      </c>
      <c r="BG325" s="4" t="str" cm="1">
        <f t="array" ref="BG32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25" s="4">
        <f>SUM(Table1[[#This Row],[Pimples(Y/N)]],Table1[[#This Row],[hair growth(Y/N)]],Table1[[#This Row],[Skin darkening (Y/N)]],Table1[[#This Row],[Hair loss(Y/N)]])</f>
        <v>3</v>
      </c>
      <c r="BI325" s="4" t="str">
        <f>IF(AND(Table1[[#This Row],[Pregnant(Y/N)]]=0, Table1[[#This Row],[  I   beta-HCG(mIU/mL)]]&gt;5), "Investigation Required", "Clear")</f>
        <v>Clear</v>
      </c>
    </row>
    <row r="326" spans="1:61" ht="15.75" customHeight="1" x14ac:dyDescent="0.25">
      <c r="A326">
        <v>325</v>
      </c>
      <c r="B326">
        <v>325</v>
      </c>
      <c r="C326">
        <v>0</v>
      </c>
      <c r="D326" t="str">
        <f>IF(Table1[[#This Row],[PCOS (Y/N)]]=0,"NO","YES")</f>
        <v>NO</v>
      </c>
      <c r="E326">
        <v>40</v>
      </c>
      <c r="F326">
        <v>64</v>
      </c>
      <c r="G326">
        <v>158</v>
      </c>
      <c r="H326">
        <v>13</v>
      </c>
      <c r="I326">
        <v>74</v>
      </c>
      <c r="J326">
        <v>28</v>
      </c>
      <c r="K326">
        <v>10.8</v>
      </c>
      <c r="L326">
        <v>2</v>
      </c>
      <c r="M326">
        <v>5</v>
      </c>
      <c r="N326">
        <v>17</v>
      </c>
      <c r="O326">
        <v>0</v>
      </c>
      <c r="P326" t="str">
        <f>IF(Table1[[#This Row],[Pregnant(Y/N)]]=1,"YES","NO")</f>
        <v>NO</v>
      </c>
      <c r="Q326">
        <v>0</v>
      </c>
      <c r="R326">
        <v>1.99</v>
      </c>
      <c r="S326">
        <v>1.99</v>
      </c>
      <c r="T326">
        <v>6.2</v>
      </c>
      <c r="U326">
        <v>5</v>
      </c>
      <c r="V326">
        <f>Table1[[#This Row],[FSH(mIU/mL)]]/Table1[[#This Row],[LH(mIU/mL)]]</f>
        <v>1.24</v>
      </c>
      <c r="W326" t="str">
        <f>IF(Table1[[#This Row],[FSH/LH]]&gt;=2,"Abnormal","Normal")</f>
        <v>Normal</v>
      </c>
      <c r="X326">
        <v>39</v>
      </c>
      <c r="Y326">
        <v>35</v>
      </c>
      <c r="Z326">
        <f>ROUND(Table1[[#This Row],[Waist(inch)]]/Table1[[#This Row],[Hip(inch)]],2)</f>
        <v>0.9</v>
      </c>
      <c r="AA326">
        <v>7.27</v>
      </c>
      <c r="AB326">
        <v>1.03</v>
      </c>
      <c r="AC326">
        <v>35.659999999999997</v>
      </c>
      <c r="AD326">
        <v>27.6</v>
      </c>
      <c r="AE326" t="str">
        <f>IF(Table1[[#This Row],[Vit D3 (ng/mL)]]&lt;20,"Deficiency","Normal")</f>
        <v>Normal</v>
      </c>
      <c r="AF326">
        <v>0.31</v>
      </c>
      <c r="AG326">
        <v>100</v>
      </c>
      <c r="AH326">
        <v>1</v>
      </c>
      <c r="AI326" t="str">
        <f>IF(Table1[[#This Row],[Weight gain(Y/N)]]=0,"NO","YES")</f>
        <v>YES</v>
      </c>
      <c r="AJ326">
        <v>0</v>
      </c>
      <c r="AK326" t="str">
        <f>IF(Table1[[#This Row],[hair growth(Y/N)]]=1,"YES","NO")</f>
        <v>NO</v>
      </c>
      <c r="AL326">
        <v>0</v>
      </c>
      <c r="AM326" t="str">
        <f>IF(Table1[[#This Row],[Skin darkening (Y/N)]]=1,"YES","NO")</f>
        <v>NO</v>
      </c>
      <c r="AN326">
        <v>0</v>
      </c>
      <c r="AO326" t="str">
        <f>IF(Table1[[#This Row],[Hair loss(Y/N)]]=1,"YES","NO")</f>
        <v>NO</v>
      </c>
      <c r="AP326">
        <v>1</v>
      </c>
      <c r="AQ326" t="str">
        <f>IF(Table1[[#This Row],[Pimples(Y/N)]]=1,"YES","NO")</f>
        <v>YES</v>
      </c>
      <c r="AR326">
        <v>1</v>
      </c>
      <c r="AS326" t="str">
        <f>IF(Table1[[#This Row],[Fast food (Y/N)]]=1,"YES","NO")</f>
        <v>YES</v>
      </c>
      <c r="AT326">
        <v>1</v>
      </c>
      <c r="AU326" t="str">
        <f>IF(Table1[[#This Row],[Reg.Exercise(Y/N)]]=1,"YES","NO")</f>
        <v>YES</v>
      </c>
      <c r="AV326">
        <v>110</v>
      </c>
      <c r="AW326">
        <v>80</v>
      </c>
      <c r="AX326">
        <v>4</v>
      </c>
      <c r="AY326">
        <v>7</v>
      </c>
      <c r="AZ326">
        <v>10</v>
      </c>
      <c r="BA326">
        <v>16</v>
      </c>
      <c r="BB326">
        <v>9</v>
      </c>
      <c r="BC326" t="str" cm="1">
        <f t="array" ref="BC326">_xlfn.IFS((F326/(G326*G326)*10000)&lt; 18.5,"Underweight",(F326/(G326*G326)*10000)&lt;24.9,"Normal",(F326/(G326*G326)*10000)&lt;29.9,"Overweight",(F326/(G326*G326)*10000)&gt;=30,"obesity")</f>
        <v>Overweight</v>
      </c>
      <c r="BD326">
        <f>Table1[[#This Row],[Follicle No. (L)]]+Table1[[#This Row],[Follicle No. (R)]]</f>
        <v>11</v>
      </c>
      <c r="BE326">
        <f>Table1[[#This Row],[Avg. F size (L) (mm)]]+Table1[[#This Row],[Avg. F size (R) (mm)]]</f>
        <v>26</v>
      </c>
      <c r="BF326">
        <f>Table1[[#This Row],[BP _Diastolic (mmHg)]]+(Table1[[#This Row],[BP _Diastolic (mmHg)]]+Table1[[#This Row],[Follicle No. (L)]])/3</f>
        <v>108</v>
      </c>
      <c r="BG326" s="4" t="str" cm="1">
        <f t="array" ref="BG32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26" s="4">
        <f>SUM(Table1[[#This Row],[Pimples(Y/N)]],Table1[[#This Row],[hair growth(Y/N)]],Table1[[#This Row],[Skin darkening (Y/N)]],Table1[[#This Row],[Hair loss(Y/N)]])</f>
        <v>1</v>
      </c>
      <c r="BI326" s="4" t="str">
        <f>IF(AND(Table1[[#This Row],[Pregnant(Y/N)]]=0, Table1[[#This Row],[  I   beta-HCG(mIU/mL)]]&gt;5), "Investigation Required", "Clear")</f>
        <v>Clear</v>
      </c>
    </row>
    <row r="327" spans="1:61" ht="15.75" customHeight="1" x14ac:dyDescent="0.25">
      <c r="A327">
        <v>326</v>
      </c>
      <c r="B327">
        <v>326</v>
      </c>
      <c r="C327">
        <v>0</v>
      </c>
      <c r="D327" t="str">
        <f>IF(Table1[[#This Row],[PCOS (Y/N)]]=0,"NO","YES")</f>
        <v>NO</v>
      </c>
      <c r="E327">
        <v>35</v>
      </c>
      <c r="F327">
        <v>57</v>
      </c>
      <c r="G327">
        <v>158</v>
      </c>
      <c r="H327">
        <v>15</v>
      </c>
      <c r="I327">
        <v>80</v>
      </c>
      <c r="J327">
        <v>22</v>
      </c>
      <c r="K327">
        <v>10.6</v>
      </c>
      <c r="L327">
        <v>2</v>
      </c>
      <c r="M327">
        <v>6</v>
      </c>
      <c r="N327">
        <v>17</v>
      </c>
      <c r="O327">
        <v>1</v>
      </c>
      <c r="P327" t="str">
        <f>IF(Table1[[#This Row],[Pregnant(Y/N)]]=1,"YES","NO")</f>
        <v>YES</v>
      </c>
      <c r="Q327">
        <v>0</v>
      </c>
      <c r="R327">
        <v>12</v>
      </c>
      <c r="S327">
        <v>12</v>
      </c>
      <c r="T327">
        <v>4.08</v>
      </c>
      <c r="U327">
        <v>1.32</v>
      </c>
      <c r="V327">
        <f>Table1[[#This Row],[FSH(mIU/mL)]]/Table1[[#This Row],[LH(mIU/mL)]]</f>
        <v>3.0909090909090908</v>
      </c>
      <c r="W327" t="str">
        <f>IF(Table1[[#This Row],[FSH/LH]]&gt;=2,"Abnormal","Normal")</f>
        <v>Abnormal</v>
      </c>
      <c r="X327">
        <v>36</v>
      </c>
      <c r="Y327">
        <v>32</v>
      </c>
      <c r="Z327">
        <f>ROUND(Table1[[#This Row],[Waist(inch)]]/Table1[[#This Row],[Hip(inch)]],2)</f>
        <v>0.89</v>
      </c>
      <c r="AA327">
        <v>4.0199999999999996</v>
      </c>
      <c r="AB327">
        <v>6.33</v>
      </c>
      <c r="AC327">
        <v>26.01</v>
      </c>
      <c r="AD327">
        <v>23.4</v>
      </c>
      <c r="AE327" t="str">
        <f>IF(Table1[[#This Row],[Vit D3 (ng/mL)]]&lt;20,"Deficiency","Normal")</f>
        <v>Normal</v>
      </c>
      <c r="AF327">
        <v>0.28999999999999998</v>
      </c>
      <c r="AG327">
        <v>85</v>
      </c>
      <c r="AH327">
        <v>0</v>
      </c>
      <c r="AI327" t="str">
        <f>IF(Table1[[#This Row],[Weight gain(Y/N)]]=0,"NO","YES")</f>
        <v>NO</v>
      </c>
      <c r="AJ327">
        <v>0</v>
      </c>
      <c r="AK327" t="str">
        <f>IF(Table1[[#This Row],[hair growth(Y/N)]]=1,"YES","NO")</f>
        <v>NO</v>
      </c>
      <c r="AL327">
        <v>0</v>
      </c>
      <c r="AM327" t="str">
        <f>IF(Table1[[#This Row],[Skin darkening (Y/N)]]=1,"YES","NO")</f>
        <v>NO</v>
      </c>
      <c r="AN327">
        <v>1</v>
      </c>
      <c r="AO327" t="str">
        <f>IF(Table1[[#This Row],[Hair loss(Y/N)]]=1,"YES","NO")</f>
        <v>YES</v>
      </c>
      <c r="AP327">
        <v>1</v>
      </c>
      <c r="AQ327" t="str">
        <f>IF(Table1[[#This Row],[Pimples(Y/N)]]=1,"YES","NO")</f>
        <v>YES</v>
      </c>
      <c r="AR327">
        <v>1</v>
      </c>
      <c r="AS327" t="str">
        <f>IF(Table1[[#This Row],[Fast food (Y/N)]]=1,"YES","NO")</f>
        <v>YES</v>
      </c>
      <c r="AT327">
        <v>1</v>
      </c>
      <c r="AU327" t="str">
        <f>IF(Table1[[#This Row],[Reg.Exercise(Y/N)]]=1,"YES","NO")</f>
        <v>YES</v>
      </c>
      <c r="AV327">
        <v>110</v>
      </c>
      <c r="AW327">
        <v>70</v>
      </c>
      <c r="AX327">
        <v>4</v>
      </c>
      <c r="AY327">
        <v>4</v>
      </c>
      <c r="AZ327">
        <v>10</v>
      </c>
      <c r="BA327">
        <v>15</v>
      </c>
      <c r="BB327">
        <v>11</v>
      </c>
      <c r="BC327" t="str" cm="1">
        <f t="array" ref="BC327">_xlfn.IFS((F327/(G327*G327)*10000)&lt; 18.5,"Underweight",(F327/(G327*G327)*10000)&lt;24.9,"Normal",(F327/(G327*G327)*10000)&lt;29.9,"Overweight",(F327/(G327*G327)*10000)&gt;=30,"obesity")</f>
        <v>Normal</v>
      </c>
      <c r="BD327">
        <f>Table1[[#This Row],[Follicle No. (L)]]+Table1[[#This Row],[Follicle No. (R)]]</f>
        <v>8</v>
      </c>
      <c r="BE327">
        <f>Table1[[#This Row],[Avg. F size (L) (mm)]]+Table1[[#This Row],[Avg. F size (R) (mm)]]</f>
        <v>25</v>
      </c>
      <c r="BF327">
        <f>Table1[[#This Row],[BP _Diastolic (mmHg)]]+(Table1[[#This Row],[BP _Diastolic (mmHg)]]+Table1[[#This Row],[Follicle No. (L)]])/3</f>
        <v>94.666666666666671</v>
      </c>
      <c r="BG327" s="4" t="str" cm="1">
        <f t="array" ref="BG32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27" s="4">
        <f>SUM(Table1[[#This Row],[Pimples(Y/N)]],Table1[[#This Row],[hair growth(Y/N)]],Table1[[#This Row],[Skin darkening (Y/N)]],Table1[[#This Row],[Hair loss(Y/N)]])</f>
        <v>2</v>
      </c>
      <c r="BI327" s="4" t="str">
        <f>IF(AND(Table1[[#This Row],[Pregnant(Y/N)]]=0, Table1[[#This Row],[  I   beta-HCG(mIU/mL)]]&gt;5), "Investigation Required", "Clear")</f>
        <v>Clear</v>
      </c>
    </row>
    <row r="328" spans="1:61" ht="15.75" customHeight="1" x14ac:dyDescent="0.25">
      <c r="A328">
        <v>327</v>
      </c>
      <c r="B328">
        <v>327</v>
      </c>
      <c r="C328">
        <v>0</v>
      </c>
      <c r="D328" t="str">
        <f>IF(Table1[[#This Row],[PCOS (Y/N)]]=0,"NO","YES")</f>
        <v>NO</v>
      </c>
      <c r="E328">
        <v>45</v>
      </c>
      <c r="F328">
        <v>54</v>
      </c>
      <c r="G328">
        <v>152</v>
      </c>
      <c r="H328">
        <v>13</v>
      </c>
      <c r="I328">
        <v>72</v>
      </c>
      <c r="J328">
        <v>16</v>
      </c>
      <c r="K328">
        <v>10.6</v>
      </c>
      <c r="L328">
        <v>2</v>
      </c>
      <c r="M328">
        <v>6</v>
      </c>
      <c r="N328">
        <v>23</v>
      </c>
      <c r="O328">
        <v>0</v>
      </c>
      <c r="P328" t="str">
        <f>IF(Table1[[#This Row],[Pregnant(Y/N)]]=1,"YES","NO")</f>
        <v>NO</v>
      </c>
      <c r="Q328">
        <v>3</v>
      </c>
      <c r="R328">
        <v>3.01</v>
      </c>
      <c r="S328">
        <v>78.38</v>
      </c>
      <c r="T328">
        <v>5.27</v>
      </c>
      <c r="U328">
        <v>3.05</v>
      </c>
      <c r="V328">
        <f>Table1[[#This Row],[FSH(mIU/mL)]]/Table1[[#This Row],[LH(mIU/mL)]]</f>
        <v>1.7278688524590164</v>
      </c>
      <c r="W328" t="str">
        <f>IF(Table1[[#This Row],[FSH/LH]]&gt;=2,"Abnormal","Normal")</f>
        <v>Normal</v>
      </c>
      <c r="X328">
        <v>38</v>
      </c>
      <c r="Y328">
        <v>35</v>
      </c>
      <c r="Z328">
        <f>ROUND(Table1[[#This Row],[Waist(inch)]]/Table1[[#This Row],[Hip(inch)]],2)</f>
        <v>0.92</v>
      </c>
      <c r="AA328">
        <v>3.69</v>
      </c>
      <c r="AB328">
        <v>2.5</v>
      </c>
      <c r="AC328">
        <v>22.29</v>
      </c>
      <c r="AD328">
        <v>37.9</v>
      </c>
      <c r="AE328" t="str">
        <f>IF(Table1[[#This Row],[Vit D3 (ng/mL)]]&lt;20,"Deficiency","Normal")</f>
        <v>Normal</v>
      </c>
      <c r="AF328">
        <v>0.48</v>
      </c>
      <c r="AG328">
        <v>100</v>
      </c>
      <c r="AH328">
        <v>0</v>
      </c>
      <c r="AI328" t="str">
        <f>IF(Table1[[#This Row],[Weight gain(Y/N)]]=0,"NO","YES")</f>
        <v>NO</v>
      </c>
      <c r="AJ328">
        <v>0</v>
      </c>
      <c r="AK328" t="str">
        <f>IF(Table1[[#This Row],[hair growth(Y/N)]]=1,"YES","NO")</f>
        <v>NO</v>
      </c>
      <c r="AL328">
        <v>0</v>
      </c>
      <c r="AM328" t="str">
        <f>IF(Table1[[#This Row],[Skin darkening (Y/N)]]=1,"YES","NO")</f>
        <v>NO</v>
      </c>
      <c r="AN328">
        <v>1</v>
      </c>
      <c r="AO328" t="str">
        <f>IF(Table1[[#This Row],[Hair loss(Y/N)]]=1,"YES","NO")</f>
        <v>YES</v>
      </c>
      <c r="AP328">
        <v>1</v>
      </c>
      <c r="AQ328" t="str">
        <f>IF(Table1[[#This Row],[Pimples(Y/N)]]=1,"YES","NO")</f>
        <v>YES</v>
      </c>
      <c r="AR328">
        <v>0</v>
      </c>
      <c r="AS328" t="str">
        <f>IF(Table1[[#This Row],[Fast food (Y/N)]]=1,"YES","NO")</f>
        <v>NO</v>
      </c>
      <c r="AT328">
        <v>1</v>
      </c>
      <c r="AU328" t="str">
        <f>IF(Table1[[#This Row],[Reg.Exercise(Y/N)]]=1,"YES","NO")</f>
        <v>YES</v>
      </c>
      <c r="AV328">
        <v>120</v>
      </c>
      <c r="AW328">
        <v>80</v>
      </c>
      <c r="AX328">
        <v>2</v>
      </c>
      <c r="AY328">
        <v>4</v>
      </c>
      <c r="AZ328">
        <v>10</v>
      </c>
      <c r="BA328">
        <v>15</v>
      </c>
      <c r="BB328">
        <v>13</v>
      </c>
      <c r="BC328" t="str" cm="1">
        <f t="array" ref="BC328">_xlfn.IFS((F328/(G328*G328)*10000)&lt; 18.5,"Underweight",(F328/(G328*G328)*10000)&lt;24.9,"Normal",(F328/(G328*G328)*10000)&lt;29.9,"Overweight",(F328/(G328*G328)*10000)&gt;=30,"obesity")</f>
        <v>Normal</v>
      </c>
      <c r="BD328">
        <f>Table1[[#This Row],[Follicle No. (L)]]+Table1[[#This Row],[Follicle No. (R)]]</f>
        <v>6</v>
      </c>
      <c r="BE328">
        <f>Table1[[#This Row],[Avg. F size (L) (mm)]]+Table1[[#This Row],[Avg. F size (R) (mm)]]</f>
        <v>25</v>
      </c>
      <c r="BF328">
        <f>Table1[[#This Row],[BP _Diastolic (mmHg)]]+(Table1[[#This Row],[BP _Diastolic (mmHg)]]+Table1[[#This Row],[Follicle No. (L)]])/3</f>
        <v>107.33333333333333</v>
      </c>
      <c r="BG328" s="4" t="str" cm="1">
        <f t="array" ref="BG32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28" s="4">
        <f>SUM(Table1[[#This Row],[Pimples(Y/N)]],Table1[[#This Row],[hair growth(Y/N)]],Table1[[#This Row],[Skin darkening (Y/N)]],Table1[[#This Row],[Hair loss(Y/N)]])</f>
        <v>2</v>
      </c>
      <c r="BI328" s="4" t="str">
        <f>IF(AND(Table1[[#This Row],[Pregnant(Y/N)]]=0, Table1[[#This Row],[  I   beta-HCG(mIU/mL)]]&gt;5), "Investigation Required", "Clear")</f>
        <v>Clear</v>
      </c>
    </row>
    <row r="329" spans="1:61" ht="15.75" customHeight="1" x14ac:dyDescent="0.25">
      <c r="A329">
        <v>328</v>
      </c>
      <c r="B329">
        <v>328</v>
      </c>
      <c r="C329">
        <v>0</v>
      </c>
      <c r="D329" t="str">
        <f>IF(Table1[[#This Row],[PCOS (Y/N)]]=0,"NO","YES")</f>
        <v>NO</v>
      </c>
      <c r="E329">
        <v>31</v>
      </c>
      <c r="F329">
        <v>55</v>
      </c>
      <c r="G329">
        <v>161</v>
      </c>
      <c r="H329">
        <v>11</v>
      </c>
      <c r="I329">
        <v>74</v>
      </c>
      <c r="J329">
        <v>18</v>
      </c>
      <c r="K329">
        <v>10.199999999999999</v>
      </c>
      <c r="L329">
        <v>2</v>
      </c>
      <c r="M329">
        <v>5</v>
      </c>
      <c r="N329">
        <v>11</v>
      </c>
      <c r="O329">
        <v>1</v>
      </c>
      <c r="P329" t="str">
        <f>IF(Table1[[#This Row],[Pregnant(Y/N)]]=1,"YES","NO")</f>
        <v>YES</v>
      </c>
      <c r="Q329">
        <v>0</v>
      </c>
      <c r="R329">
        <v>204.69</v>
      </c>
      <c r="S329">
        <v>204.69</v>
      </c>
      <c r="T329">
        <v>3.83</v>
      </c>
      <c r="U329">
        <v>4.79</v>
      </c>
      <c r="V329">
        <f>Table1[[#This Row],[FSH(mIU/mL)]]/Table1[[#This Row],[LH(mIU/mL)]]</f>
        <v>0.79958246346555328</v>
      </c>
      <c r="W329" t="str">
        <f>IF(Table1[[#This Row],[FSH/LH]]&gt;=2,"Abnormal","Normal")</f>
        <v>Normal</v>
      </c>
      <c r="X329">
        <v>37</v>
      </c>
      <c r="Y329">
        <v>34</v>
      </c>
      <c r="Z329">
        <f>ROUND(Table1[[#This Row],[Waist(inch)]]/Table1[[#This Row],[Hip(inch)]],2)</f>
        <v>0.92</v>
      </c>
      <c r="AA329">
        <v>0.45</v>
      </c>
      <c r="AB329">
        <v>2.2000000000000002</v>
      </c>
      <c r="AC329">
        <v>20.32</v>
      </c>
      <c r="AD329">
        <v>32.6</v>
      </c>
      <c r="AE329" t="str">
        <f>IF(Table1[[#This Row],[Vit D3 (ng/mL)]]&lt;20,"Deficiency","Normal")</f>
        <v>Normal</v>
      </c>
      <c r="AF329">
        <v>0.34</v>
      </c>
      <c r="AG329">
        <v>85</v>
      </c>
      <c r="AH329">
        <v>0</v>
      </c>
      <c r="AI329" t="str">
        <f>IF(Table1[[#This Row],[Weight gain(Y/N)]]=0,"NO","YES")</f>
        <v>NO</v>
      </c>
      <c r="AJ329">
        <v>0</v>
      </c>
      <c r="AK329" t="str">
        <f>IF(Table1[[#This Row],[hair growth(Y/N)]]=1,"YES","NO")</f>
        <v>NO</v>
      </c>
      <c r="AL329">
        <v>0</v>
      </c>
      <c r="AM329" t="str">
        <f>IF(Table1[[#This Row],[Skin darkening (Y/N)]]=1,"YES","NO")</f>
        <v>NO</v>
      </c>
      <c r="AN329">
        <v>1</v>
      </c>
      <c r="AO329" t="str">
        <f>IF(Table1[[#This Row],[Hair loss(Y/N)]]=1,"YES","NO")</f>
        <v>YES</v>
      </c>
      <c r="AP329">
        <v>1</v>
      </c>
      <c r="AQ329" t="str">
        <f>IF(Table1[[#This Row],[Pimples(Y/N)]]=1,"YES","NO")</f>
        <v>YES</v>
      </c>
      <c r="AR329">
        <v>0</v>
      </c>
      <c r="AS329" t="str">
        <f>IF(Table1[[#This Row],[Fast food (Y/N)]]=1,"YES","NO")</f>
        <v>NO</v>
      </c>
      <c r="AT329">
        <v>1</v>
      </c>
      <c r="AU329" t="str">
        <f>IF(Table1[[#This Row],[Reg.Exercise(Y/N)]]=1,"YES","NO")</f>
        <v>YES</v>
      </c>
      <c r="AV329">
        <v>110</v>
      </c>
      <c r="AW329">
        <v>70</v>
      </c>
      <c r="AX329">
        <v>4</v>
      </c>
      <c r="AY329">
        <v>3</v>
      </c>
      <c r="AZ329">
        <v>18</v>
      </c>
      <c r="BA329">
        <v>13</v>
      </c>
      <c r="BB329">
        <v>9</v>
      </c>
      <c r="BC329" t="str" cm="1">
        <f t="array" ref="BC329">_xlfn.IFS((F329/(G329*G329)*10000)&lt; 18.5,"Underweight",(F329/(G329*G329)*10000)&lt;24.9,"Normal",(F329/(G329*G329)*10000)&lt;29.9,"Overweight",(F329/(G329*G329)*10000)&gt;=30,"obesity")</f>
        <v>Normal</v>
      </c>
      <c r="BD329">
        <f>Table1[[#This Row],[Follicle No. (L)]]+Table1[[#This Row],[Follicle No. (R)]]</f>
        <v>7</v>
      </c>
      <c r="BE329">
        <f>Table1[[#This Row],[Avg. F size (L) (mm)]]+Table1[[#This Row],[Avg. F size (R) (mm)]]</f>
        <v>31</v>
      </c>
      <c r="BF329">
        <f>Table1[[#This Row],[BP _Diastolic (mmHg)]]+(Table1[[#This Row],[BP _Diastolic (mmHg)]]+Table1[[#This Row],[Follicle No. (L)]])/3</f>
        <v>94.666666666666671</v>
      </c>
      <c r="BG329" s="4" t="str" cm="1">
        <f t="array" ref="BG32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29" s="4">
        <f>SUM(Table1[[#This Row],[Pimples(Y/N)]],Table1[[#This Row],[hair growth(Y/N)]],Table1[[#This Row],[Skin darkening (Y/N)]],Table1[[#This Row],[Hair loss(Y/N)]])</f>
        <v>2</v>
      </c>
      <c r="BI329" s="4" t="str">
        <f>IF(AND(Table1[[#This Row],[Pregnant(Y/N)]]=0, Table1[[#This Row],[  I   beta-HCG(mIU/mL)]]&gt;5), "Investigation Required", "Clear")</f>
        <v>Clear</v>
      </c>
    </row>
    <row r="330" spans="1:61" ht="15.75" customHeight="1" x14ac:dyDescent="0.25">
      <c r="A330">
        <v>329</v>
      </c>
      <c r="B330">
        <v>329</v>
      </c>
      <c r="C330">
        <v>1</v>
      </c>
      <c r="D330" t="str">
        <f>IF(Table1[[#This Row],[PCOS (Y/N)]]=0,"NO","YES")</f>
        <v>YES</v>
      </c>
      <c r="E330">
        <v>30</v>
      </c>
      <c r="F330">
        <v>65</v>
      </c>
      <c r="G330">
        <v>161</v>
      </c>
      <c r="H330">
        <v>11</v>
      </c>
      <c r="I330">
        <v>70</v>
      </c>
      <c r="J330">
        <v>18</v>
      </c>
      <c r="K330">
        <v>11</v>
      </c>
      <c r="L330">
        <v>4</v>
      </c>
      <c r="M330">
        <v>2</v>
      </c>
      <c r="N330">
        <v>7</v>
      </c>
      <c r="O330">
        <v>1</v>
      </c>
      <c r="P330" t="str">
        <f>IF(Table1[[#This Row],[Pregnant(Y/N)]]=1,"YES","NO")</f>
        <v>YES</v>
      </c>
      <c r="Q330">
        <v>0</v>
      </c>
      <c r="R330">
        <v>336.95</v>
      </c>
      <c r="S330">
        <v>12</v>
      </c>
      <c r="T330">
        <v>6.86</v>
      </c>
      <c r="U330">
        <v>14.24</v>
      </c>
      <c r="V330">
        <f>Table1[[#This Row],[FSH(mIU/mL)]]/Table1[[#This Row],[LH(mIU/mL)]]</f>
        <v>0.4817415730337079</v>
      </c>
      <c r="W330" t="str">
        <f>IF(Table1[[#This Row],[FSH/LH]]&gt;=2,"Abnormal","Normal")</f>
        <v>Normal</v>
      </c>
      <c r="X330">
        <v>39</v>
      </c>
      <c r="Y330">
        <v>34</v>
      </c>
      <c r="Z330">
        <f>ROUND(Table1[[#This Row],[Waist(inch)]]/Table1[[#This Row],[Hip(inch)]],2)</f>
        <v>0.87</v>
      </c>
      <c r="AA330">
        <v>2.3199999999999998</v>
      </c>
      <c r="AB330">
        <v>15.7</v>
      </c>
      <c r="AC330">
        <v>8.7799999999999994</v>
      </c>
      <c r="AD330">
        <v>18.7</v>
      </c>
      <c r="AE330" t="str">
        <f>IF(Table1[[#This Row],[Vit D3 (ng/mL)]]&lt;20,"Deficiency","Normal")</f>
        <v>Deficiency</v>
      </c>
      <c r="AF330">
        <v>0.32</v>
      </c>
      <c r="AG330">
        <v>100</v>
      </c>
      <c r="AH330">
        <v>1</v>
      </c>
      <c r="AI330" t="str">
        <f>IF(Table1[[#This Row],[Weight gain(Y/N)]]=0,"NO","YES")</f>
        <v>YES</v>
      </c>
      <c r="AJ330">
        <v>1</v>
      </c>
      <c r="AK330" t="str">
        <f>IF(Table1[[#This Row],[hair growth(Y/N)]]=1,"YES","NO")</f>
        <v>YES</v>
      </c>
      <c r="AL330">
        <v>1</v>
      </c>
      <c r="AM330" t="str">
        <f>IF(Table1[[#This Row],[Skin darkening (Y/N)]]=1,"YES","NO")</f>
        <v>YES</v>
      </c>
      <c r="AN330">
        <v>0</v>
      </c>
      <c r="AO330" t="str">
        <f>IF(Table1[[#This Row],[Hair loss(Y/N)]]=1,"YES","NO")</f>
        <v>NO</v>
      </c>
      <c r="AP330">
        <v>1</v>
      </c>
      <c r="AQ330" t="str">
        <f>IF(Table1[[#This Row],[Pimples(Y/N)]]=1,"YES","NO")</f>
        <v>YES</v>
      </c>
      <c r="AR330">
        <v>1</v>
      </c>
      <c r="AS330" t="str">
        <f>IF(Table1[[#This Row],[Fast food (Y/N)]]=1,"YES","NO")</f>
        <v>YES</v>
      </c>
      <c r="AT330">
        <v>0</v>
      </c>
      <c r="AU330" t="str">
        <f>IF(Table1[[#This Row],[Reg.Exercise(Y/N)]]=1,"YES","NO")</f>
        <v>NO</v>
      </c>
      <c r="AV330">
        <v>110</v>
      </c>
      <c r="AW330">
        <v>80</v>
      </c>
      <c r="AX330">
        <v>7</v>
      </c>
      <c r="AY330">
        <v>10</v>
      </c>
      <c r="AZ330">
        <v>13</v>
      </c>
      <c r="BA330">
        <v>17</v>
      </c>
      <c r="BB330">
        <v>8</v>
      </c>
      <c r="BC330" t="str" cm="1">
        <f t="array" ref="BC330">_xlfn.IFS((F330/(G330*G330)*10000)&lt; 18.5,"Underweight",(F330/(G330*G330)*10000)&lt;24.9,"Normal",(F330/(G330*G330)*10000)&lt;29.9,"Overweight",(F330/(G330*G330)*10000)&gt;=30,"obesity")</f>
        <v>Overweight</v>
      </c>
      <c r="BD330">
        <f>Table1[[#This Row],[Follicle No. (L)]]+Table1[[#This Row],[Follicle No. (R)]]</f>
        <v>17</v>
      </c>
      <c r="BE330">
        <f>Table1[[#This Row],[Avg. F size (L) (mm)]]+Table1[[#This Row],[Avg. F size (R) (mm)]]</f>
        <v>30</v>
      </c>
      <c r="BF330">
        <f>Table1[[#This Row],[BP _Diastolic (mmHg)]]+(Table1[[#This Row],[BP _Diastolic (mmHg)]]+Table1[[#This Row],[Follicle No. (L)]])/3</f>
        <v>109</v>
      </c>
      <c r="BG330" s="4" t="str" cm="1">
        <f t="array" ref="BG33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30" s="4">
        <f>SUM(Table1[[#This Row],[Pimples(Y/N)]],Table1[[#This Row],[hair growth(Y/N)]],Table1[[#This Row],[Skin darkening (Y/N)]],Table1[[#This Row],[Hair loss(Y/N)]])</f>
        <v>3</v>
      </c>
      <c r="BI330" s="4" t="str">
        <f>IF(AND(Table1[[#This Row],[Pregnant(Y/N)]]=0, Table1[[#This Row],[  I   beta-HCG(mIU/mL)]]&gt;5), "Investigation Required", "Clear")</f>
        <v>Clear</v>
      </c>
    </row>
    <row r="331" spans="1:61" ht="15.75" customHeight="1" x14ac:dyDescent="0.25">
      <c r="A331">
        <v>330</v>
      </c>
      <c r="B331">
        <v>330</v>
      </c>
      <c r="C331">
        <v>0</v>
      </c>
      <c r="D331" t="str">
        <f>IF(Table1[[#This Row],[PCOS (Y/N)]]=0,"NO","YES")</f>
        <v>NO</v>
      </c>
      <c r="E331">
        <v>29</v>
      </c>
      <c r="F331">
        <v>53</v>
      </c>
      <c r="G331">
        <v>161</v>
      </c>
      <c r="H331">
        <v>15</v>
      </c>
      <c r="I331">
        <v>72</v>
      </c>
      <c r="J331">
        <v>18</v>
      </c>
      <c r="K331">
        <v>10.199999999999999</v>
      </c>
      <c r="L331">
        <v>2</v>
      </c>
      <c r="M331">
        <v>6</v>
      </c>
      <c r="N331">
        <v>5</v>
      </c>
      <c r="O331">
        <v>1</v>
      </c>
      <c r="P331" t="str">
        <f>IF(Table1[[#This Row],[Pregnant(Y/N)]]=1,"YES","NO")</f>
        <v>YES</v>
      </c>
      <c r="Q331">
        <v>0</v>
      </c>
      <c r="R331">
        <v>900.6</v>
      </c>
      <c r="S331">
        <v>900.6</v>
      </c>
      <c r="T331">
        <v>5052</v>
      </c>
      <c r="U331">
        <v>3.68</v>
      </c>
      <c r="V331">
        <f>Table1[[#This Row],[FSH(mIU/mL)]]/Table1[[#This Row],[LH(mIU/mL)]]</f>
        <v>1372.8260869565217</v>
      </c>
      <c r="W331" t="str">
        <f>IF(Table1[[#This Row],[FSH/LH]]&gt;=2,"Abnormal","Normal")</f>
        <v>Abnormal</v>
      </c>
      <c r="X331">
        <v>38</v>
      </c>
      <c r="Y331">
        <v>35</v>
      </c>
      <c r="Z331">
        <f>ROUND(Table1[[#This Row],[Waist(inch)]]/Table1[[#This Row],[Hip(inch)]],2)</f>
        <v>0.92</v>
      </c>
      <c r="AA331">
        <v>0.83</v>
      </c>
      <c r="AB331">
        <v>3.5</v>
      </c>
      <c r="AC331">
        <v>30.58</v>
      </c>
      <c r="AD331">
        <v>28.6</v>
      </c>
      <c r="AE331" t="str">
        <f>IF(Table1[[#This Row],[Vit D3 (ng/mL)]]&lt;20,"Deficiency","Normal")</f>
        <v>Normal</v>
      </c>
      <c r="AF331">
        <v>0.3</v>
      </c>
      <c r="AG331">
        <v>108</v>
      </c>
      <c r="AH331">
        <v>0</v>
      </c>
      <c r="AI331" t="str">
        <f>IF(Table1[[#This Row],[Weight gain(Y/N)]]=0,"NO","YES")</f>
        <v>NO</v>
      </c>
      <c r="AJ331">
        <v>0</v>
      </c>
      <c r="AK331" t="str">
        <f>IF(Table1[[#This Row],[hair growth(Y/N)]]=1,"YES","NO")</f>
        <v>NO</v>
      </c>
      <c r="AL331">
        <v>0</v>
      </c>
      <c r="AM331" t="str">
        <f>IF(Table1[[#This Row],[Skin darkening (Y/N)]]=1,"YES","NO")</f>
        <v>NO</v>
      </c>
      <c r="AN331">
        <v>1</v>
      </c>
      <c r="AO331" t="str">
        <f>IF(Table1[[#This Row],[Hair loss(Y/N)]]=1,"YES","NO")</f>
        <v>YES</v>
      </c>
      <c r="AP331">
        <v>1</v>
      </c>
      <c r="AQ331" t="str">
        <f>IF(Table1[[#This Row],[Pimples(Y/N)]]=1,"YES","NO")</f>
        <v>YES</v>
      </c>
      <c r="AR331">
        <v>1</v>
      </c>
      <c r="AS331" t="str">
        <f>IF(Table1[[#This Row],[Fast food (Y/N)]]=1,"YES","NO")</f>
        <v>YES</v>
      </c>
      <c r="AT331">
        <v>0</v>
      </c>
      <c r="AU331" t="str">
        <f>IF(Table1[[#This Row],[Reg.Exercise(Y/N)]]=1,"YES","NO")</f>
        <v>NO</v>
      </c>
      <c r="AV331">
        <v>110</v>
      </c>
      <c r="AW331">
        <v>80</v>
      </c>
      <c r="AX331">
        <v>6</v>
      </c>
      <c r="AY331">
        <v>4</v>
      </c>
      <c r="AZ331">
        <v>16</v>
      </c>
      <c r="BA331">
        <v>17</v>
      </c>
      <c r="BB331">
        <v>6</v>
      </c>
      <c r="BC331" t="str" cm="1">
        <f t="array" ref="BC331">_xlfn.IFS((F331/(G331*G331)*10000)&lt; 18.5,"Underweight",(F331/(G331*G331)*10000)&lt;24.9,"Normal",(F331/(G331*G331)*10000)&lt;29.9,"Overweight",(F331/(G331*G331)*10000)&gt;=30,"obesity")</f>
        <v>Normal</v>
      </c>
      <c r="BD331">
        <f>Table1[[#This Row],[Follicle No. (L)]]+Table1[[#This Row],[Follicle No. (R)]]</f>
        <v>10</v>
      </c>
      <c r="BE331">
        <f>Table1[[#This Row],[Avg. F size (L) (mm)]]+Table1[[#This Row],[Avg. F size (R) (mm)]]</f>
        <v>33</v>
      </c>
      <c r="BF331">
        <f>Table1[[#This Row],[BP _Diastolic (mmHg)]]+(Table1[[#This Row],[BP _Diastolic (mmHg)]]+Table1[[#This Row],[Follicle No. (L)]])/3</f>
        <v>108.66666666666667</v>
      </c>
      <c r="BG331" s="4" t="str" cm="1">
        <f t="array" ref="BG33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31" s="4">
        <f>SUM(Table1[[#This Row],[Pimples(Y/N)]],Table1[[#This Row],[hair growth(Y/N)]],Table1[[#This Row],[Skin darkening (Y/N)]],Table1[[#This Row],[Hair loss(Y/N)]])</f>
        <v>2</v>
      </c>
      <c r="BI331" s="4" t="str">
        <f>IF(AND(Table1[[#This Row],[Pregnant(Y/N)]]=0, Table1[[#This Row],[  I   beta-HCG(mIU/mL)]]&gt;5), "Investigation Required", "Clear")</f>
        <v>Clear</v>
      </c>
    </row>
    <row r="332" spans="1:61" ht="15.75" customHeight="1" x14ac:dyDescent="0.25">
      <c r="A332">
        <v>331</v>
      </c>
      <c r="B332">
        <v>331</v>
      </c>
      <c r="C332">
        <v>0</v>
      </c>
      <c r="D332" t="str">
        <f>IF(Table1[[#This Row],[PCOS (Y/N)]]=0,"NO","YES")</f>
        <v>NO</v>
      </c>
      <c r="E332">
        <v>33</v>
      </c>
      <c r="F332">
        <v>60</v>
      </c>
      <c r="G332">
        <v>162</v>
      </c>
      <c r="H332">
        <v>11</v>
      </c>
      <c r="I332">
        <v>72</v>
      </c>
      <c r="J332">
        <v>18</v>
      </c>
      <c r="K332">
        <v>10.3</v>
      </c>
      <c r="L332">
        <v>2</v>
      </c>
      <c r="M332">
        <v>6</v>
      </c>
      <c r="N332">
        <v>13</v>
      </c>
      <c r="O332">
        <v>0</v>
      </c>
      <c r="P332" t="str">
        <f>IF(Table1[[#This Row],[Pregnant(Y/N)]]=1,"YES","NO")</f>
        <v>NO</v>
      </c>
      <c r="Q332">
        <v>0</v>
      </c>
      <c r="R332">
        <v>1.99</v>
      </c>
      <c r="S332">
        <v>1.99</v>
      </c>
      <c r="T332">
        <v>5.89</v>
      </c>
      <c r="U332">
        <v>1.27</v>
      </c>
      <c r="V332">
        <f>Table1[[#This Row],[FSH(mIU/mL)]]/Table1[[#This Row],[LH(mIU/mL)]]</f>
        <v>4.6377952755905509</v>
      </c>
      <c r="W332" t="str">
        <f>IF(Table1[[#This Row],[FSH/LH]]&gt;=2,"Abnormal","Normal")</f>
        <v>Abnormal</v>
      </c>
      <c r="X332">
        <v>38</v>
      </c>
      <c r="Y332">
        <v>35</v>
      </c>
      <c r="Z332">
        <f>ROUND(Table1[[#This Row],[Waist(inch)]]/Table1[[#This Row],[Hip(inch)]],2)</f>
        <v>0.92</v>
      </c>
      <c r="AA332">
        <v>0.69</v>
      </c>
      <c r="AB332">
        <v>1.1000000000000001</v>
      </c>
      <c r="AC332">
        <v>1.36</v>
      </c>
      <c r="AD332">
        <v>20.3</v>
      </c>
      <c r="AE332" t="str">
        <f>IF(Table1[[#This Row],[Vit D3 (ng/mL)]]&lt;20,"Deficiency","Normal")</f>
        <v>Normal</v>
      </c>
      <c r="AF332">
        <v>0.25</v>
      </c>
      <c r="AG332">
        <v>100</v>
      </c>
      <c r="AH332">
        <v>0</v>
      </c>
      <c r="AI332" t="str">
        <f>IF(Table1[[#This Row],[Weight gain(Y/N)]]=0,"NO","YES")</f>
        <v>NO</v>
      </c>
      <c r="AJ332">
        <v>0</v>
      </c>
      <c r="AK332" t="str">
        <f>IF(Table1[[#This Row],[hair growth(Y/N)]]=1,"YES","NO")</f>
        <v>NO</v>
      </c>
      <c r="AL332">
        <v>0</v>
      </c>
      <c r="AM332" t="str">
        <f>IF(Table1[[#This Row],[Skin darkening (Y/N)]]=1,"YES","NO")</f>
        <v>NO</v>
      </c>
      <c r="AN332">
        <v>1</v>
      </c>
      <c r="AO332" t="str">
        <f>IF(Table1[[#This Row],[Hair loss(Y/N)]]=1,"YES","NO")</f>
        <v>YES</v>
      </c>
      <c r="AP332">
        <v>1</v>
      </c>
      <c r="AQ332" t="str">
        <f>IF(Table1[[#This Row],[Pimples(Y/N)]]=1,"YES","NO")</f>
        <v>YES</v>
      </c>
      <c r="AR332">
        <v>0</v>
      </c>
      <c r="AS332" t="str">
        <f>IF(Table1[[#This Row],[Fast food (Y/N)]]=1,"YES","NO")</f>
        <v>NO</v>
      </c>
      <c r="AT332">
        <v>0</v>
      </c>
      <c r="AU332" t="str">
        <f>IF(Table1[[#This Row],[Reg.Exercise(Y/N)]]=1,"YES","NO")</f>
        <v>NO</v>
      </c>
      <c r="AV332">
        <v>120</v>
      </c>
      <c r="AW332">
        <v>80</v>
      </c>
      <c r="AX332">
        <v>1</v>
      </c>
      <c r="AY332">
        <v>2</v>
      </c>
      <c r="AZ332">
        <v>12</v>
      </c>
      <c r="BA332">
        <v>18</v>
      </c>
      <c r="BB332">
        <v>9</v>
      </c>
      <c r="BC332" t="str" cm="1">
        <f t="array" ref="BC332">_xlfn.IFS((F332/(G332*G332)*10000)&lt; 18.5,"Underweight",(F332/(G332*G332)*10000)&lt;24.9,"Normal",(F332/(G332*G332)*10000)&lt;29.9,"Overweight",(F332/(G332*G332)*10000)&gt;=30,"obesity")</f>
        <v>Normal</v>
      </c>
      <c r="BD332">
        <f>Table1[[#This Row],[Follicle No. (L)]]+Table1[[#This Row],[Follicle No. (R)]]</f>
        <v>3</v>
      </c>
      <c r="BE332">
        <f>Table1[[#This Row],[Avg. F size (L) (mm)]]+Table1[[#This Row],[Avg. F size (R) (mm)]]</f>
        <v>30</v>
      </c>
      <c r="BF332">
        <f>Table1[[#This Row],[BP _Diastolic (mmHg)]]+(Table1[[#This Row],[BP _Diastolic (mmHg)]]+Table1[[#This Row],[Follicle No. (L)]])/3</f>
        <v>107</v>
      </c>
      <c r="BG332" s="4" t="str" cm="1">
        <f t="array" ref="BG33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32" s="4">
        <f>SUM(Table1[[#This Row],[Pimples(Y/N)]],Table1[[#This Row],[hair growth(Y/N)]],Table1[[#This Row],[Skin darkening (Y/N)]],Table1[[#This Row],[Hair loss(Y/N)]])</f>
        <v>2</v>
      </c>
      <c r="BI332" s="4" t="str">
        <f>IF(AND(Table1[[#This Row],[Pregnant(Y/N)]]=0, Table1[[#This Row],[  I   beta-HCG(mIU/mL)]]&gt;5), "Investigation Required", "Clear")</f>
        <v>Clear</v>
      </c>
    </row>
    <row r="333" spans="1:61" ht="15.75" customHeight="1" x14ac:dyDescent="0.25">
      <c r="A333">
        <v>332</v>
      </c>
      <c r="B333">
        <v>332</v>
      </c>
      <c r="C333">
        <v>0</v>
      </c>
      <c r="D333" t="str">
        <f>IF(Table1[[#This Row],[PCOS (Y/N)]]=0,"NO","YES")</f>
        <v>NO</v>
      </c>
      <c r="E333">
        <v>29</v>
      </c>
      <c r="F333">
        <v>59</v>
      </c>
      <c r="G333">
        <v>155</v>
      </c>
      <c r="H333">
        <v>17</v>
      </c>
      <c r="I333">
        <v>70</v>
      </c>
      <c r="J333">
        <v>18</v>
      </c>
      <c r="K333">
        <v>10.7</v>
      </c>
      <c r="L333">
        <v>4</v>
      </c>
      <c r="M333">
        <v>3</v>
      </c>
      <c r="N333">
        <v>12</v>
      </c>
      <c r="O333">
        <v>1</v>
      </c>
      <c r="P333" t="str">
        <f>IF(Table1[[#This Row],[Pregnant(Y/N)]]=1,"YES","NO")</f>
        <v>YES</v>
      </c>
      <c r="Q333">
        <v>0</v>
      </c>
      <c r="R333">
        <v>12</v>
      </c>
      <c r="S333">
        <v>12</v>
      </c>
      <c r="T333">
        <v>6.47</v>
      </c>
      <c r="U333">
        <v>1.47</v>
      </c>
      <c r="V333">
        <f>Table1[[#This Row],[FSH(mIU/mL)]]/Table1[[#This Row],[LH(mIU/mL)]]</f>
        <v>4.4013605442176873</v>
      </c>
      <c r="W333" t="str">
        <f>IF(Table1[[#This Row],[FSH/LH]]&gt;=2,"Abnormal","Normal")</f>
        <v>Abnormal</v>
      </c>
      <c r="X333">
        <v>38</v>
      </c>
      <c r="Y333">
        <v>34</v>
      </c>
      <c r="Z333">
        <f>ROUND(Table1[[#This Row],[Waist(inch)]]/Table1[[#This Row],[Hip(inch)]],2)</f>
        <v>0.89</v>
      </c>
      <c r="AA333">
        <v>1.57</v>
      </c>
      <c r="AB333">
        <v>1.3</v>
      </c>
      <c r="AC333">
        <v>34.14</v>
      </c>
      <c r="AD333">
        <v>32.4</v>
      </c>
      <c r="AE333" t="str">
        <f>IF(Table1[[#This Row],[Vit D3 (ng/mL)]]&lt;20,"Deficiency","Normal")</f>
        <v>Normal</v>
      </c>
      <c r="AF333">
        <v>0.25</v>
      </c>
      <c r="AG333">
        <v>92</v>
      </c>
      <c r="AH333">
        <v>0</v>
      </c>
      <c r="AI333" t="str">
        <f>IF(Table1[[#This Row],[Weight gain(Y/N)]]=0,"NO","YES")</f>
        <v>NO</v>
      </c>
      <c r="AJ333">
        <v>0</v>
      </c>
      <c r="AK333" t="str">
        <f>IF(Table1[[#This Row],[hair growth(Y/N)]]=1,"YES","NO")</f>
        <v>NO</v>
      </c>
      <c r="AL333">
        <v>0</v>
      </c>
      <c r="AM333" t="str">
        <f>IF(Table1[[#This Row],[Skin darkening (Y/N)]]=1,"YES","NO")</f>
        <v>NO</v>
      </c>
      <c r="AN333">
        <v>0</v>
      </c>
      <c r="AO333" t="str">
        <f>IF(Table1[[#This Row],[Hair loss(Y/N)]]=1,"YES","NO")</f>
        <v>NO</v>
      </c>
      <c r="AP333">
        <v>0</v>
      </c>
      <c r="AQ333" t="str">
        <f>IF(Table1[[#This Row],[Pimples(Y/N)]]=1,"YES","NO")</f>
        <v>NO</v>
      </c>
      <c r="AR333">
        <v>1</v>
      </c>
      <c r="AS333" t="str">
        <f>IF(Table1[[#This Row],[Fast food (Y/N)]]=1,"YES","NO")</f>
        <v>YES</v>
      </c>
      <c r="AT333">
        <v>0</v>
      </c>
      <c r="AU333" t="str">
        <f>IF(Table1[[#This Row],[Reg.Exercise(Y/N)]]=1,"YES","NO")</f>
        <v>NO</v>
      </c>
      <c r="AV333">
        <v>110</v>
      </c>
      <c r="AW333">
        <v>80</v>
      </c>
      <c r="AX333">
        <v>3</v>
      </c>
      <c r="AY333">
        <v>3</v>
      </c>
      <c r="AZ333">
        <v>13</v>
      </c>
      <c r="BA333">
        <v>10</v>
      </c>
      <c r="BB333">
        <v>6</v>
      </c>
      <c r="BC333" t="str" cm="1">
        <f t="array" ref="BC333">_xlfn.IFS((F333/(G333*G333)*10000)&lt; 18.5,"Underweight",(F333/(G333*G333)*10000)&lt;24.9,"Normal",(F333/(G333*G333)*10000)&lt;29.9,"Overweight",(F333/(G333*G333)*10000)&gt;=30,"obesity")</f>
        <v>Normal</v>
      </c>
      <c r="BD333">
        <f>Table1[[#This Row],[Follicle No. (L)]]+Table1[[#This Row],[Follicle No. (R)]]</f>
        <v>6</v>
      </c>
      <c r="BE333">
        <f>Table1[[#This Row],[Avg. F size (L) (mm)]]+Table1[[#This Row],[Avg. F size (R) (mm)]]</f>
        <v>23</v>
      </c>
      <c r="BF333">
        <f>Table1[[#This Row],[BP _Diastolic (mmHg)]]+(Table1[[#This Row],[BP _Diastolic (mmHg)]]+Table1[[#This Row],[Follicle No. (L)]])/3</f>
        <v>107.66666666666667</v>
      </c>
      <c r="BG333" s="4" t="str" cm="1">
        <f t="array" ref="BG33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33" s="4">
        <f>SUM(Table1[[#This Row],[Pimples(Y/N)]],Table1[[#This Row],[hair growth(Y/N)]],Table1[[#This Row],[Skin darkening (Y/N)]],Table1[[#This Row],[Hair loss(Y/N)]])</f>
        <v>0</v>
      </c>
      <c r="BI333" s="4" t="str">
        <f>IF(AND(Table1[[#This Row],[Pregnant(Y/N)]]=0, Table1[[#This Row],[  I   beta-HCG(mIU/mL)]]&gt;5), "Investigation Required", "Clear")</f>
        <v>Clear</v>
      </c>
    </row>
    <row r="334" spans="1:61" ht="15.75" customHeight="1" x14ac:dyDescent="0.25">
      <c r="A334">
        <v>333</v>
      </c>
      <c r="B334">
        <v>333</v>
      </c>
      <c r="C334">
        <v>0</v>
      </c>
      <c r="D334" t="str">
        <f>IF(Table1[[#This Row],[PCOS (Y/N)]]=0,"NO","YES")</f>
        <v>NO</v>
      </c>
      <c r="E334">
        <v>27</v>
      </c>
      <c r="F334">
        <v>59</v>
      </c>
      <c r="G334">
        <v>158</v>
      </c>
      <c r="H334">
        <v>15</v>
      </c>
      <c r="I334">
        <v>72</v>
      </c>
      <c r="J334">
        <v>18</v>
      </c>
      <c r="K334">
        <v>10</v>
      </c>
      <c r="L334">
        <v>2</v>
      </c>
      <c r="M334">
        <v>6</v>
      </c>
      <c r="N334">
        <v>6</v>
      </c>
      <c r="O334">
        <v>1</v>
      </c>
      <c r="P334" t="str">
        <f>IF(Table1[[#This Row],[Pregnant(Y/N)]]=1,"YES","NO")</f>
        <v>YES</v>
      </c>
      <c r="Q334">
        <v>0</v>
      </c>
      <c r="R334">
        <v>159.71</v>
      </c>
      <c r="S334">
        <v>159.71</v>
      </c>
      <c r="T334">
        <v>1.85</v>
      </c>
      <c r="U334">
        <v>0.67</v>
      </c>
      <c r="V334">
        <f>Table1[[#This Row],[FSH(mIU/mL)]]/Table1[[#This Row],[LH(mIU/mL)]]</f>
        <v>2.761194029850746</v>
      </c>
      <c r="W334" t="str">
        <f>IF(Table1[[#This Row],[FSH/LH]]&gt;=2,"Abnormal","Normal")</f>
        <v>Abnormal</v>
      </c>
      <c r="X334">
        <v>36</v>
      </c>
      <c r="Y334">
        <v>32</v>
      </c>
      <c r="Z334">
        <f>ROUND(Table1[[#This Row],[Waist(inch)]]/Table1[[#This Row],[Hip(inch)]],2)</f>
        <v>0.89</v>
      </c>
      <c r="AA334">
        <v>2.13</v>
      </c>
      <c r="AB334">
        <v>3</v>
      </c>
      <c r="AC334">
        <v>23.15</v>
      </c>
      <c r="AD334">
        <v>34.5</v>
      </c>
      <c r="AE334" t="str">
        <f>IF(Table1[[#This Row],[Vit D3 (ng/mL)]]&lt;20,"Deficiency","Normal")</f>
        <v>Normal</v>
      </c>
      <c r="AF334">
        <v>0.25</v>
      </c>
      <c r="AG334">
        <v>92</v>
      </c>
      <c r="AH334">
        <v>0</v>
      </c>
      <c r="AI334" t="str">
        <f>IF(Table1[[#This Row],[Weight gain(Y/N)]]=0,"NO","YES")</f>
        <v>NO</v>
      </c>
      <c r="AJ334">
        <v>0</v>
      </c>
      <c r="AK334" t="str">
        <f>IF(Table1[[#This Row],[hair growth(Y/N)]]=1,"YES","NO")</f>
        <v>NO</v>
      </c>
      <c r="AL334">
        <v>0</v>
      </c>
      <c r="AM334" t="str">
        <f>IF(Table1[[#This Row],[Skin darkening (Y/N)]]=1,"YES","NO")</f>
        <v>NO</v>
      </c>
      <c r="AN334">
        <v>1</v>
      </c>
      <c r="AO334" t="str">
        <f>IF(Table1[[#This Row],[Hair loss(Y/N)]]=1,"YES","NO")</f>
        <v>YES</v>
      </c>
      <c r="AP334">
        <v>1</v>
      </c>
      <c r="AQ334" t="str">
        <f>IF(Table1[[#This Row],[Pimples(Y/N)]]=1,"YES","NO")</f>
        <v>YES</v>
      </c>
      <c r="AR334">
        <v>0</v>
      </c>
      <c r="AS334" t="str">
        <f>IF(Table1[[#This Row],[Fast food (Y/N)]]=1,"YES","NO")</f>
        <v>NO</v>
      </c>
      <c r="AT334">
        <v>0</v>
      </c>
      <c r="AU334" t="str">
        <f>IF(Table1[[#This Row],[Reg.Exercise(Y/N)]]=1,"YES","NO")</f>
        <v>NO</v>
      </c>
      <c r="AV334">
        <v>110</v>
      </c>
      <c r="AW334">
        <v>70</v>
      </c>
      <c r="AX334">
        <v>3</v>
      </c>
      <c r="AY334">
        <v>3</v>
      </c>
      <c r="AZ334">
        <v>14</v>
      </c>
      <c r="BA334">
        <v>12</v>
      </c>
      <c r="BB334">
        <v>10.5</v>
      </c>
      <c r="BC334" t="str" cm="1">
        <f t="array" ref="BC334">_xlfn.IFS((F334/(G334*G334)*10000)&lt; 18.5,"Underweight",(F334/(G334*G334)*10000)&lt;24.9,"Normal",(F334/(G334*G334)*10000)&lt;29.9,"Overweight",(F334/(G334*G334)*10000)&gt;=30,"obesity")</f>
        <v>Normal</v>
      </c>
      <c r="BD334">
        <f>Table1[[#This Row],[Follicle No. (L)]]+Table1[[#This Row],[Follicle No. (R)]]</f>
        <v>6</v>
      </c>
      <c r="BE334">
        <f>Table1[[#This Row],[Avg. F size (L) (mm)]]+Table1[[#This Row],[Avg. F size (R) (mm)]]</f>
        <v>26</v>
      </c>
      <c r="BF334">
        <f>Table1[[#This Row],[BP _Diastolic (mmHg)]]+(Table1[[#This Row],[BP _Diastolic (mmHg)]]+Table1[[#This Row],[Follicle No. (L)]])/3</f>
        <v>94.333333333333329</v>
      </c>
      <c r="BG334" s="4" t="str" cm="1">
        <f t="array" ref="BG33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34" s="4">
        <f>SUM(Table1[[#This Row],[Pimples(Y/N)]],Table1[[#This Row],[hair growth(Y/N)]],Table1[[#This Row],[Skin darkening (Y/N)]],Table1[[#This Row],[Hair loss(Y/N)]])</f>
        <v>2</v>
      </c>
      <c r="BI334" s="4" t="str">
        <f>IF(AND(Table1[[#This Row],[Pregnant(Y/N)]]=0, Table1[[#This Row],[  I   beta-HCG(mIU/mL)]]&gt;5), "Investigation Required", "Clear")</f>
        <v>Clear</v>
      </c>
    </row>
    <row r="335" spans="1:61" ht="15.75" customHeight="1" x14ac:dyDescent="0.25">
      <c r="A335">
        <v>334</v>
      </c>
      <c r="B335">
        <v>334</v>
      </c>
      <c r="C335">
        <v>0</v>
      </c>
      <c r="D335" t="str">
        <f>IF(Table1[[#This Row],[PCOS (Y/N)]]=0,"NO","YES")</f>
        <v>NO</v>
      </c>
      <c r="E335">
        <v>31</v>
      </c>
      <c r="F335">
        <v>45</v>
      </c>
      <c r="G335">
        <v>153</v>
      </c>
      <c r="H335">
        <v>13</v>
      </c>
      <c r="I335">
        <v>80</v>
      </c>
      <c r="J335">
        <v>20</v>
      </c>
      <c r="K335">
        <v>10.8</v>
      </c>
      <c r="L335">
        <v>2</v>
      </c>
      <c r="M335">
        <v>5</v>
      </c>
      <c r="N335">
        <v>8</v>
      </c>
      <c r="O335">
        <v>1</v>
      </c>
      <c r="P335" t="str">
        <f>IF(Table1[[#This Row],[Pregnant(Y/N)]]=1,"YES","NO")</f>
        <v>YES</v>
      </c>
      <c r="Q335">
        <v>0</v>
      </c>
      <c r="R335">
        <v>15</v>
      </c>
      <c r="S335">
        <v>15</v>
      </c>
      <c r="T335">
        <v>3.91</v>
      </c>
      <c r="U335">
        <v>2.5099999999999998</v>
      </c>
      <c r="V335">
        <f>Table1[[#This Row],[FSH(mIU/mL)]]/Table1[[#This Row],[LH(mIU/mL)]]</f>
        <v>1.557768924302789</v>
      </c>
      <c r="W335" t="str">
        <f>IF(Table1[[#This Row],[FSH/LH]]&gt;=2,"Abnormal","Normal")</f>
        <v>Normal</v>
      </c>
      <c r="X335">
        <v>35</v>
      </c>
      <c r="Y335">
        <v>30</v>
      </c>
      <c r="Z335">
        <f>ROUND(Table1[[#This Row],[Waist(inch)]]/Table1[[#This Row],[Hip(inch)]],2)</f>
        <v>0.86</v>
      </c>
      <c r="AA335">
        <v>2.2400000000000002</v>
      </c>
      <c r="AB335">
        <v>3</v>
      </c>
      <c r="AC335">
        <v>23.2</v>
      </c>
      <c r="AD335">
        <v>47.5</v>
      </c>
      <c r="AE335" t="str">
        <f>IF(Table1[[#This Row],[Vit D3 (ng/mL)]]&lt;20,"Deficiency","Normal")</f>
        <v>Normal</v>
      </c>
      <c r="AF335">
        <v>0.25</v>
      </c>
      <c r="AG335">
        <v>100</v>
      </c>
      <c r="AH335">
        <v>0</v>
      </c>
      <c r="AI335" t="str">
        <f>IF(Table1[[#This Row],[Weight gain(Y/N)]]=0,"NO","YES")</f>
        <v>NO</v>
      </c>
      <c r="AJ335">
        <v>0</v>
      </c>
      <c r="AK335" t="str">
        <f>IF(Table1[[#This Row],[hair growth(Y/N)]]=1,"YES","NO")</f>
        <v>NO</v>
      </c>
      <c r="AL335">
        <v>1</v>
      </c>
      <c r="AM335" t="str">
        <f>IF(Table1[[#This Row],[Skin darkening (Y/N)]]=1,"YES","NO")</f>
        <v>YES</v>
      </c>
      <c r="AN335">
        <v>1</v>
      </c>
      <c r="AO335" t="str">
        <f>IF(Table1[[#This Row],[Hair loss(Y/N)]]=1,"YES","NO")</f>
        <v>YES</v>
      </c>
      <c r="AP335">
        <v>0</v>
      </c>
      <c r="AQ335" t="str">
        <f>IF(Table1[[#This Row],[Pimples(Y/N)]]=1,"YES","NO")</f>
        <v>NO</v>
      </c>
      <c r="AR335">
        <v>0</v>
      </c>
      <c r="AS335" t="str">
        <f>IF(Table1[[#This Row],[Fast food (Y/N)]]=1,"YES","NO")</f>
        <v>NO</v>
      </c>
      <c r="AT335">
        <v>0</v>
      </c>
      <c r="AU335" t="str">
        <f>IF(Table1[[#This Row],[Reg.Exercise(Y/N)]]=1,"YES","NO")</f>
        <v>NO</v>
      </c>
      <c r="AV335">
        <v>110</v>
      </c>
      <c r="AW335">
        <v>80</v>
      </c>
      <c r="AX335">
        <v>4</v>
      </c>
      <c r="AY335">
        <v>1</v>
      </c>
      <c r="AZ335">
        <v>11</v>
      </c>
      <c r="BA335">
        <v>10</v>
      </c>
      <c r="BB335">
        <v>12</v>
      </c>
      <c r="BC335" t="str" cm="1">
        <f t="array" ref="BC335">_xlfn.IFS((F335/(G335*G335)*10000)&lt; 18.5,"Underweight",(F335/(G335*G335)*10000)&lt;24.9,"Normal",(F335/(G335*G335)*10000)&lt;29.9,"Overweight",(F335/(G335*G335)*10000)&gt;=30,"obesity")</f>
        <v>Normal</v>
      </c>
      <c r="BD335">
        <f>Table1[[#This Row],[Follicle No. (L)]]+Table1[[#This Row],[Follicle No. (R)]]</f>
        <v>5</v>
      </c>
      <c r="BE335">
        <f>Table1[[#This Row],[Avg. F size (L) (mm)]]+Table1[[#This Row],[Avg. F size (R) (mm)]]</f>
        <v>21</v>
      </c>
      <c r="BF335">
        <f>Table1[[#This Row],[BP _Diastolic (mmHg)]]+(Table1[[#This Row],[BP _Diastolic (mmHg)]]+Table1[[#This Row],[Follicle No. (L)]])/3</f>
        <v>108</v>
      </c>
      <c r="BG335" s="4" t="str" cm="1">
        <f t="array" ref="BG33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35" s="4">
        <f>SUM(Table1[[#This Row],[Pimples(Y/N)]],Table1[[#This Row],[hair growth(Y/N)]],Table1[[#This Row],[Skin darkening (Y/N)]],Table1[[#This Row],[Hair loss(Y/N)]])</f>
        <v>2</v>
      </c>
      <c r="BI335" s="4" t="str">
        <f>IF(AND(Table1[[#This Row],[Pregnant(Y/N)]]=0, Table1[[#This Row],[  I   beta-HCG(mIU/mL)]]&gt;5), "Investigation Required", "Clear")</f>
        <v>Clear</v>
      </c>
    </row>
    <row r="336" spans="1:61" ht="15.75" customHeight="1" x14ac:dyDescent="0.25">
      <c r="A336">
        <v>335</v>
      </c>
      <c r="B336">
        <v>335</v>
      </c>
      <c r="C336">
        <v>0</v>
      </c>
      <c r="D336" t="str">
        <f>IF(Table1[[#This Row],[PCOS (Y/N)]]=0,"NO","YES")</f>
        <v>NO</v>
      </c>
      <c r="E336">
        <v>30</v>
      </c>
      <c r="F336">
        <v>62</v>
      </c>
      <c r="G336">
        <v>152</v>
      </c>
      <c r="H336">
        <v>15</v>
      </c>
      <c r="I336">
        <v>74</v>
      </c>
      <c r="J336">
        <v>18</v>
      </c>
      <c r="K336">
        <v>11.5</v>
      </c>
      <c r="L336">
        <v>2</v>
      </c>
      <c r="M336">
        <v>5</v>
      </c>
      <c r="N336">
        <v>6</v>
      </c>
      <c r="O336">
        <v>1</v>
      </c>
      <c r="P336" t="str">
        <f>IF(Table1[[#This Row],[Pregnant(Y/N)]]=1,"YES","NO")</f>
        <v>YES</v>
      </c>
      <c r="Q336">
        <v>0</v>
      </c>
      <c r="R336">
        <v>296.31</v>
      </c>
      <c r="S336">
        <v>296.31</v>
      </c>
      <c r="T336">
        <v>0.21</v>
      </c>
      <c r="U336">
        <v>0.92</v>
      </c>
      <c r="V336">
        <f>Table1[[#This Row],[FSH(mIU/mL)]]/Table1[[#This Row],[LH(mIU/mL)]]</f>
        <v>0.22826086956521738</v>
      </c>
      <c r="W336" t="str">
        <f>IF(Table1[[#This Row],[FSH/LH]]&gt;=2,"Abnormal","Normal")</f>
        <v>Normal</v>
      </c>
      <c r="X336">
        <v>38</v>
      </c>
      <c r="Y336">
        <v>35</v>
      </c>
      <c r="Z336">
        <f>ROUND(Table1[[#This Row],[Waist(inch)]]/Table1[[#This Row],[Hip(inch)]],2)</f>
        <v>0.92</v>
      </c>
      <c r="AA336">
        <v>1.75</v>
      </c>
      <c r="AB336">
        <v>2.17</v>
      </c>
      <c r="AC336">
        <v>12.11</v>
      </c>
      <c r="AD336">
        <v>22.9</v>
      </c>
      <c r="AE336" t="str">
        <f>IF(Table1[[#This Row],[Vit D3 (ng/mL)]]&lt;20,"Deficiency","Normal")</f>
        <v>Normal</v>
      </c>
      <c r="AF336">
        <v>0.42</v>
      </c>
      <c r="AG336">
        <v>77</v>
      </c>
      <c r="AH336">
        <v>1</v>
      </c>
      <c r="AI336" t="str">
        <f>IF(Table1[[#This Row],[Weight gain(Y/N)]]=0,"NO","YES")</f>
        <v>YES</v>
      </c>
      <c r="AJ336">
        <v>0</v>
      </c>
      <c r="AK336" t="str">
        <f>IF(Table1[[#This Row],[hair growth(Y/N)]]=1,"YES","NO")</f>
        <v>NO</v>
      </c>
      <c r="AL336">
        <v>0</v>
      </c>
      <c r="AM336" t="str">
        <f>IF(Table1[[#This Row],[Skin darkening (Y/N)]]=1,"YES","NO")</f>
        <v>NO</v>
      </c>
      <c r="AN336">
        <v>1</v>
      </c>
      <c r="AO336" t="str">
        <f>IF(Table1[[#This Row],[Hair loss(Y/N)]]=1,"YES","NO")</f>
        <v>YES</v>
      </c>
      <c r="AP336">
        <v>1</v>
      </c>
      <c r="AQ336" t="str">
        <f>IF(Table1[[#This Row],[Pimples(Y/N)]]=1,"YES","NO")</f>
        <v>YES</v>
      </c>
      <c r="AR336">
        <v>1</v>
      </c>
      <c r="AS336" t="str">
        <f>IF(Table1[[#This Row],[Fast food (Y/N)]]=1,"YES","NO")</f>
        <v>YES</v>
      </c>
      <c r="AT336">
        <v>0</v>
      </c>
      <c r="AU336" t="str">
        <f>IF(Table1[[#This Row],[Reg.Exercise(Y/N)]]=1,"YES","NO")</f>
        <v>NO</v>
      </c>
      <c r="AV336">
        <v>120</v>
      </c>
      <c r="AW336">
        <v>80</v>
      </c>
      <c r="AX336">
        <v>6</v>
      </c>
      <c r="AY336">
        <v>7</v>
      </c>
      <c r="AZ336">
        <v>15</v>
      </c>
      <c r="BA336">
        <v>11</v>
      </c>
      <c r="BB336">
        <v>11</v>
      </c>
      <c r="BC336" t="str" cm="1">
        <f t="array" ref="BC336">_xlfn.IFS((F336/(G336*G336)*10000)&lt; 18.5,"Underweight",(F336/(G336*G336)*10000)&lt;24.9,"Normal",(F336/(G336*G336)*10000)&lt;29.9,"Overweight",(F336/(G336*G336)*10000)&gt;=30,"obesity")</f>
        <v>Overweight</v>
      </c>
      <c r="BD336">
        <f>Table1[[#This Row],[Follicle No. (L)]]+Table1[[#This Row],[Follicle No. (R)]]</f>
        <v>13</v>
      </c>
      <c r="BE336">
        <f>Table1[[#This Row],[Avg. F size (L) (mm)]]+Table1[[#This Row],[Avg. F size (R) (mm)]]</f>
        <v>26</v>
      </c>
      <c r="BF336">
        <f>Table1[[#This Row],[BP _Diastolic (mmHg)]]+(Table1[[#This Row],[BP _Diastolic (mmHg)]]+Table1[[#This Row],[Follicle No. (L)]])/3</f>
        <v>108.66666666666667</v>
      </c>
      <c r="BG336" s="4" t="str" cm="1">
        <f t="array" ref="BG33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36" s="4">
        <f>SUM(Table1[[#This Row],[Pimples(Y/N)]],Table1[[#This Row],[hair growth(Y/N)]],Table1[[#This Row],[Skin darkening (Y/N)]],Table1[[#This Row],[Hair loss(Y/N)]])</f>
        <v>2</v>
      </c>
      <c r="BI336" s="4" t="str">
        <f>IF(AND(Table1[[#This Row],[Pregnant(Y/N)]]=0, Table1[[#This Row],[  I   beta-HCG(mIU/mL)]]&gt;5), "Investigation Required", "Clear")</f>
        <v>Clear</v>
      </c>
    </row>
    <row r="337" spans="1:61" ht="15.75" customHeight="1" x14ac:dyDescent="0.25">
      <c r="A337">
        <v>336</v>
      </c>
      <c r="B337">
        <v>336</v>
      </c>
      <c r="C337">
        <v>0</v>
      </c>
      <c r="D337" t="str">
        <f>IF(Table1[[#This Row],[PCOS (Y/N)]]=0,"NO","YES")</f>
        <v>NO</v>
      </c>
      <c r="E337">
        <v>30</v>
      </c>
      <c r="F337">
        <v>46</v>
      </c>
      <c r="G337">
        <v>161</v>
      </c>
      <c r="H337">
        <v>15</v>
      </c>
      <c r="I337">
        <v>78</v>
      </c>
      <c r="J337">
        <v>22</v>
      </c>
      <c r="K337">
        <v>10.8</v>
      </c>
      <c r="L337">
        <v>2</v>
      </c>
      <c r="M337">
        <v>5</v>
      </c>
      <c r="N337">
        <v>5</v>
      </c>
      <c r="O337">
        <v>1</v>
      </c>
      <c r="P337" t="str">
        <f>IF(Table1[[#This Row],[Pregnant(Y/N)]]=1,"YES","NO")</f>
        <v>YES</v>
      </c>
      <c r="Q337">
        <v>0</v>
      </c>
      <c r="R337">
        <v>8012.99</v>
      </c>
      <c r="S337">
        <v>4176</v>
      </c>
      <c r="T337">
        <v>2.44</v>
      </c>
      <c r="U337">
        <v>0.22</v>
      </c>
      <c r="V337">
        <f>Table1[[#This Row],[FSH(mIU/mL)]]/Table1[[#This Row],[LH(mIU/mL)]]</f>
        <v>11.09090909090909</v>
      </c>
      <c r="W337" t="str">
        <f>IF(Table1[[#This Row],[FSH/LH]]&gt;=2,"Abnormal","Normal")</f>
        <v>Abnormal</v>
      </c>
      <c r="X337">
        <v>34</v>
      </c>
      <c r="Y337">
        <v>31</v>
      </c>
      <c r="Z337">
        <f>ROUND(Table1[[#This Row],[Waist(inch)]]/Table1[[#This Row],[Hip(inch)]],2)</f>
        <v>0.91</v>
      </c>
      <c r="AA337">
        <v>0.79</v>
      </c>
      <c r="AB337">
        <v>3.3</v>
      </c>
      <c r="AC337">
        <v>14.98</v>
      </c>
      <c r="AD337">
        <v>13.4</v>
      </c>
      <c r="AE337" t="str">
        <f>IF(Table1[[#This Row],[Vit D3 (ng/mL)]]&lt;20,"Deficiency","Normal")</f>
        <v>Deficiency</v>
      </c>
      <c r="AF337">
        <v>0.89</v>
      </c>
      <c r="AG337">
        <v>100</v>
      </c>
      <c r="AH337">
        <v>0</v>
      </c>
      <c r="AI337" t="str">
        <f>IF(Table1[[#This Row],[Weight gain(Y/N)]]=0,"NO","YES")</f>
        <v>NO</v>
      </c>
      <c r="AJ337">
        <v>0</v>
      </c>
      <c r="AK337" t="str">
        <f>IF(Table1[[#This Row],[hair growth(Y/N)]]=1,"YES","NO")</f>
        <v>NO</v>
      </c>
      <c r="AL337">
        <v>0</v>
      </c>
      <c r="AM337" t="str">
        <f>IF(Table1[[#This Row],[Skin darkening (Y/N)]]=1,"YES","NO")</f>
        <v>NO</v>
      </c>
      <c r="AN337">
        <v>1</v>
      </c>
      <c r="AO337" t="str">
        <f>IF(Table1[[#This Row],[Hair loss(Y/N)]]=1,"YES","NO")</f>
        <v>YES</v>
      </c>
      <c r="AP337">
        <v>1</v>
      </c>
      <c r="AQ337" t="str">
        <f>IF(Table1[[#This Row],[Pimples(Y/N)]]=1,"YES","NO")</f>
        <v>YES</v>
      </c>
      <c r="AR337">
        <v>0</v>
      </c>
      <c r="AS337" t="str">
        <f>IF(Table1[[#This Row],[Fast food (Y/N)]]=1,"YES","NO")</f>
        <v>NO</v>
      </c>
      <c r="AT337">
        <v>0</v>
      </c>
      <c r="AU337" t="str">
        <f>IF(Table1[[#This Row],[Reg.Exercise(Y/N)]]=1,"YES","NO")</f>
        <v>NO</v>
      </c>
      <c r="AV337">
        <v>110</v>
      </c>
      <c r="AW337">
        <v>80</v>
      </c>
      <c r="AX337">
        <v>2</v>
      </c>
      <c r="AY337">
        <v>2</v>
      </c>
      <c r="AZ337">
        <v>14</v>
      </c>
      <c r="BA337">
        <v>15</v>
      </c>
      <c r="BB337">
        <v>9</v>
      </c>
      <c r="BC337" t="str" cm="1">
        <f t="array" ref="BC337">_xlfn.IFS((F337/(G337*G337)*10000)&lt; 18.5,"Underweight",(F337/(G337*G337)*10000)&lt;24.9,"Normal",(F337/(G337*G337)*10000)&lt;29.9,"Overweight",(F337/(G337*G337)*10000)&gt;=30,"obesity")</f>
        <v>Underweight</v>
      </c>
      <c r="BD337">
        <f>Table1[[#This Row],[Follicle No. (L)]]+Table1[[#This Row],[Follicle No. (R)]]</f>
        <v>4</v>
      </c>
      <c r="BE337">
        <f>Table1[[#This Row],[Avg. F size (L) (mm)]]+Table1[[#This Row],[Avg. F size (R) (mm)]]</f>
        <v>29</v>
      </c>
      <c r="BF337">
        <f>Table1[[#This Row],[BP _Diastolic (mmHg)]]+(Table1[[#This Row],[BP _Diastolic (mmHg)]]+Table1[[#This Row],[Follicle No. (L)]])/3</f>
        <v>107.33333333333333</v>
      </c>
      <c r="BG337" s="4" t="str" cm="1">
        <f t="array" ref="BG33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37" s="4">
        <f>SUM(Table1[[#This Row],[Pimples(Y/N)]],Table1[[#This Row],[hair growth(Y/N)]],Table1[[#This Row],[Skin darkening (Y/N)]],Table1[[#This Row],[Hair loss(Y/N)]])</f>
        <v>2</v>
      </c>
      <c r="BI337" s="4" t="str">
        <f>IF(AND(Table1[[#This Row],[Pregnant(Y/N)]]=0, Table1[[#This Row],[  I   beta-HCG(mIU/mL)]]&gt;5), "Investigation Required", "Clear")</f>
        <v>Clear</v>
      </c>
    </row>
    <row r="338" spans="1:61" ht="15.75" customHeight="1" x14ac:dyDescent="0.25">
      <c r="A338">
        <v>337</v>
      </c>
      <c r="B338">
        <v>337</v>
      </c>
      <c r="C338">
        <v>1</v>
      </c>
      <c r="D338" t="str">
        <f>IF(Table1[[#This Row],[PCOS (Y/N)]]=0,"NO","YES")</f>
        <v>YES</v>
      </c>
      <c r="E338">
        <v>21</v>
      </c>
      <c r="F338">
        <v>82</v>
      </c>
      <c r="G338">
        <v>158</v>
      </c>
      <c r="H338">
        <v>16</v>
      </c>
      <c r="I338">
        <v>78</v>
      </c>
      <c r="J338">
        <v>24</v>
      </c>
      <c r="K338">
        <v>10.6</v>
      </c>
      <c r="L338">
        <v>4</v>
      </c>
      <c r="M338">
        <v>3</v>
      </c>
      <c r="N338">
        <v>3</v>
      </c>
      <c r="O338">
        <v>1</v>
      </c>
      <c r="P338" t="str">
        <f>IF(Table1[[#This Row],[Pregnant(Y/N)]]=1,"YES","NO")</f>
        <v>YES</v>
      </c>
      <c r="Q338">
        <v>0</v>
      </c>
      <c r="R338">
        <v>1.99</v>
      </c>
      <c r="S338">
        <v>183.06</v>
      </c>
      <c r="T338">
        <v>3.41</v>
      </c>
      <c r="U338">
        <v>1.39</v>
      </c>
      <c r="V338">
        <f>Table1[[#This Row],[FSH(mIU/mL)]]/Table1[[#This Row],[LH(mIU/mL)]]</f>
        <v>2.4532374100719427</v>
      </c>
      <c r="W338" t="str">
        <f>IF(Table1[[#This Row],[FSH/LH]]&gt;=2,"Abnormal","Normal")</f>
        <v>Abnormal</v>
      </c>
      <c r="X338">
        <v>44</v>
      </c>
      <c r="Y338">
        <v>38</v>
      </c>
      <c r="Z338">
        <f>ROUND(Table1[[#This Row],[Waist(inch)]]/Table1[[#This Row],[Hip(inch)]],2)</f>
        <v>0.86</v>
      </c>
      <c r="AA338">
        <v>5</v>
      </c>
      <c r="AB338">
        <v>14.7</v>
      </c>
      <c r="AC338">
        <v>31.7</v>
      </c>
      <c r="AD338">
        <v>33.700000000000003</v>
      </c>
      <c r="AE338" t="str">
        <f>IF(Table1[[#This Row],[Vit D3 (ng/mL)]]&lt;20,"Deficiency","Normal")</f>
        <v>Normal</v>
      </c>
      <c r="AF338">
        <v>0.25</v>
      </c>
      <c r="AG338">
        <v>85</v>
      </c>
      <c r="AH338">
        <v>1</v>
      </c>
      <c r="AI338" t="str">
        <f>IF(Table1[[#This Row],[Weight gain(Y/N)]]=0,"NO","YES")</f>
        <v>YES</v>
      </c>
      <c r="AJ338">
        <v>1</v>
      </c>
      <c r="AK338" t="str">
        <f>IF(Table1[[#This Row],[hair growth(Y/N)]]=1,"YES","NO")</f>
        <v>YES</v>
      </c>
      <c r="AL338">
        <v>1</v>
      </c>
      <c r="AM338" t="str">
        <f>IF(Table1[[#This Row],[Skin darkening (Y/N)]]=1,"YES","NO")</f>
        <v>YES</v>
      </c>
      <c r="AN338">
        <v>1</v>
      </c>
      <c r="AO338" t="str">
        <f>IF(Table1[[#This Row],[Hair loss(Y/N)]]=1,"YES","NO")</f>
        <v>YES</v>
      </c>
      <c r="AP338">
        <v>1</v>
      </c>
      <c r="AQ338" t="str">
        <f>IF(Table1[[#This Row],[Pimples(Y/N)]]=1,"YES","NO")</f>
        <v>YES</v>
      </c>
      <c r="AR338">
        <v>1</v>
      </c>
      <c r="AS338" t="str">
        <f>IF(Table1[[#This Row],[Fast food (Y/N)]]=1,"YES","NO")</f>
        <v>YES</v>
      </c>
      <c r="AT338">
        <v>0</v>
      </c>
      <c r="AU338" t="str">
        <f>IF(Table1[[#This Row],[Reg.Exercise(Y/N)]]=1,"YES","NO")</f>
        <v>NO</v>
      </c>
      <c r="AV338">
        <v>110</v>
      </c>
      <c r="AW338">
        <v>80</v>
      </c>
      <c r="AX338">
        <v>8</v>
      </c>
      <c r="AY338">
        <v>10</v>
      </c>
      <c r="AZ338">
        <v>15</v>
      </c>
      <c r="BA338">
        <v>12</v>
      </c>
      <c r="BB338">
        <v>10</v>
      </c>
      <c r="BC338" t="str" cm="1">
        <f t="array" ref="BC338">_xlfn.IFS((F338/(G338*G338)*10000)&lt; 18.5,"Underweight",(F338/(G338*G338)*10000)&lt;24.9,"Normal",(F338/(G338*G338)*10000)&lt;29.9,"Overweight",(F338/(G338*G338)*10000)&gt;=30,"obesity")</f>
        <v>obesity</v>
      </c>
      <c r="BD338">
        <f>Table1[[#This Row],[Follicle No. (L)]]+Table1[[#This Row],[Follicle No. (R)]]</f>
        <v>18</v>
      </c>
      <c r="BE338">
        <f>Table1[[#This Row],[Avg. F size (L) (mm)]]+Table1[[#This Row],[Avg. F size (R) (mm)]]</f>
        <v>27</v>
      </c>
      <c r="BF338">
        <f>Table1[[#This Row],[BP _Diastolic (mmHg)]]+(Table1[[#This Row],[BP _Diastolic (mmHg)]]+Table1[[#This Row],[Follicle No. (L)]])/3</f>
        <v>109.33333333333333</v>
      </c>
      <c r="BG338" s="4" t="str" cm="1">
        <f t="array" ref="BG33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38" s="4">
        <f>SUM(Table1[[#This Row],[Pimples(Y/N)]],Table1[[#This Row],[hair growth(Y/N)]],Table1[[#This Row],[Skin darkening (Y/N)]],Table1[[#This Row],[Hair loss(Y/N)]])</f>
        <v>4</v>
      </c>
      <c r="BI338" s="4" t="str">
        <f>IF(AND(Table1[[#This Row],[Pregnant(Y/N)]]=0, Table1[[#This Row],[  I   beta-HCG(mIU/mL)]]&gt;5), "Investigation Required", "Clear")</f>
        <v>Clear</v>
      </c>
    </row>
    <row r="339" spans="1:61" ht="15.75" customHeight="1" x14ac:dyDescent="0.25">
      <c r="A339">
        <v>338</v>
      </c>
      <c r="B339">
        <v>338</v>
      </c>
      <c r="C339">
        <v>1</v>
      </c>
      <c r="D339" t="str">
        <f>IF(Table1[[#This Row],[PCOS (Y/N)]]=0,"NO","YES")</f>
        <v>YES</v>
      </c>
      <c r="E339">
        <v>36</v>
      </c>
      <c r="F339">
        <v>89</v>
      </c>
      <c r="G339">
        <v>161</v>
      </c>
      <c r="H339">
        <v>15</v>
      </c>
      <c r="I339">
        <v>78</v>
      </c>
      <c r="J339">
        <v>24</v>
      </c>
      <c r="K339">
        <v>14</v>
      </c>
      <c r="L339">
        <v>4</v>
      </c>
      <c r="M339">
        <v>3</v>
      </c>
      <c r="N339">
        <v>5</v>
      </c>
      <c r="O339">
        <v>0</v>
      </c>
      <c r="P339" t="str">
        <f>IF(Table1[[#This Row],[Pregnant(Y/N)]]=1,"YES","NO")</f>
        <v>NO</v>
      </c>
      <c r="Q339">
        <v>0</v>
      </c>
      <c r="R339">
        <v>1.99</v>
      </c>
      <c r="S339">
        <v>1.99</v>
      </c>
      <c r="T339">
        <v>7.1</v>
      </c>
      <c r="U339">
        <v>2.2200000000000002</v>
      </c>
      <c r="V339">
        <f>Table1[[#This Row],[FSH(mIU/mL)]]/Table1[[#This Row],[LH(mIU/mL)]]</f>
        <v>3.198198198198198</v>
      </c>
      <c r="W339" t="str">
        <f>IF(Table1[[#This Row],[FSH/LH]]&gt;=2,"Abnormal","Normal")</f>
        <v>Abnormal</v>
      </c>
      <c r="X339">
        <v>44</v>
      </c>
      <c r="Y339">
        <v>40</v>
      </c>
      <c r="Z339">
        <f>ROUND(Table1[[#This Row],[Waist(inch)]]/Table1[[#This Row],[Hip(inch)]],2)</f>
        <v>0.91</v>
      </c>
      <c r="AA339">
        <v>4.2300000000000004</v>
      </c>
      <c r="AB339">
        <v>2.8</v>
      </c>
      <c r="AC339">
        <v>10.16</v>
      </c>
      <c r="AD339">
        <v>35.1</v>
      </c>
      <c r="AE339" t="str">
        <f>IF(Table1[[#This Row],[Vit D3 (ng/mL)]]&lt;20,"Deficiency","Normal")</f>
        <v>Normal</v>
      </c>
      <c r="AF339">
        <v>0.25</v>
      </c>
      <c r="AG339">
        <v>130</v>
      </c>
      <c r="AH339">
        <v>1</v>
      </c>
      <c r="AI339" t="str">
        <f>IF(Table1[[#This Row],[Weight gain(Y/N)]]=0,"NO","YES")</f>
        <v>YES</v>
      </c>
      <c r="AJ339">
        <v>1</v>
      </c>
      <c r="AK339" t="str">
        <f>IF(Table1[[#This Row],[hair growth(Y/N)]]=1,"YES","NO")</f>
        <v>YES</v>
      </c>
      <c r="AL339">
        <v>1</v>
      </c>
      <c r="AM339" t="str">
        <f>IF(Table1[[#This Row],[Skin darkening (Y/N)]]=1,"YES","NO")</f>
        <v>YES</v>
      </c>
      <c r="AN339">
        <v>1</v>
      </c>
      <c r="AO339" t="str">
        <f>IF(Table1[[#This Row],[Hair loss(Y/N)]]=1,"YES","NO")</f>
        <v>YES</v>
      </c>
      <c r="AP339">
        <v>1</v>
      </c>
      <c r="AQ339" t="str">
        <f>IF(Table1[[#This Row],[Pimples(Y/N)]]=1,"YES","NO")</f>
        <v>YES</v>
      </c>
      <c r="AR339">
        <v>1</v>
      </c>
      <c r="AS339" t="str">
        <f>IF(Table1[[#This Row],[Fast food (Y/N)]]=1,"YES","NO")</f>
        <v>YES</v>
      </c>
      <c r="AT339">
        <v>0</v>
      </c>
      <c r="AU339" t="str">
        <f>IF(Table1[[#This Row],[Reg.Exercise(Y/N)]]=1,"YES","NO")</f>
        <v>NO</v>
      </c>
      <c r="AV339">
        <v>110</v>
      </c>
      <c r="AW339">
        <v>80</v>
      </c>
      <c r="AX339">
        <v>16</v>
      </c>
      <c r="AY339">
        <v>12</v>
      </c>
      <c r="AZ339">
        <v>11</v>
      </c>
      <c r="BA339">
        <v>9</v>
      </c>
      <c r="BB339">
        <v>9</v>
      </c>
      <c r="BC339" t="str" cm="1">
        <f t="array" ref="BC339">_xlfn.IFS((F339/(G339*G339)*10000)&lt; 18.5,"Underweight",(F339/(G339*G339)*10000)&lt;24.9,"Normal",(F339/(G339*G339)*10000)&lt;29.9,"Overweight",(F339/(G339*G339)*10000)&gt;=30,"obesity")</f>
        <v>obesity</v>
      </c>
      <c r="BD339">
        <f>Table1[[#This Row],[Follicle No. (L)]]+Table1[[#This Row],[Follicle No. (R)]]</f>
        <v>28</v>
      </c>
      <c r="BE339">
        <f>Table1[[#This Row],[Avg. F size (L) (mm)]]+Table1[[#This Row],[Avg. F size (R) (mm)]]</f>
        <v>20</v>
      </c>
      <c r="BF339">
        <f>Table1[[#This Row],[BP _Diastolic (mmHg)]]+(Table1[[#This Row],[BP _Diastolic (mmHg)]]+Table1[[#This Row],[Follicle No. (L)]])/3</f>
        <v>112</v>
      </c>
      <c r="BG339" s="4" t="str" cm="1">
        <f t="array" ref="BG33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39" s="4">
        <f>SUM(Table1[[#This Row],[Pimples(Y/N)]],Table1[[#This Row],[hair growth(Y/N)]],Table1[[#This Row],[Skin darkening (Y/N)]],Table1[[#This Row],[Hair loss(Y/N)]])</f>
        <v>4</v>
      </c>
      <c r="BI339" s="4" t="str">
        <f>IF(AND(Table1[[#This Row],[Pregnant(Y/N)]]=0, Table1[[#This Row],[  I   beta-HCG(mIU/mL)]]&gt;5), "Investigation Required", "Clear")</f>
        <v>Clear</v>
      </c>
    </row>
    <row r="340" spans="1:61" ht="15.75" customHeight="1" x14ac:dyDescent="0.25">
      <c r="A340">
        <v>339</v>
      </c>
      <c r="B340">
        <v>339</v>
      </c>
      <c r="C340">
        <v>1</v>
      </c>
      <c r="D340" t="str">
        <f>IF(Table1[[#This Row],[PCOS (Y/N)]]=0,"NO","YES")</f>
        <v>YES</v>
      </c>
      <c r="E340">
        <v>31</v>
      </c>
      <c r="F340">
        <v>73</v>
      </c>
      <c r="G340">
        <v>161</v>
      </c>
      <c r="H340">
        <v>15</v>
      </c>
      <c r="I340">
        <v>78</v>
      </c>
      <c r="J340">
        <v>24</v>
      </c>
      <c r="K340">
        <v>10.7</v>
      </c>
      <c r="L340">
        <v>4</v>
      </c>
      <c r="M340">
        <v>2</v>
      </c>
      <c r="N340">
        <v>7</v>
      </c>
      <c r="O340">
        <v>0</v>
      </c>
      <c r="P340" t="str">
        <f>IF(Table1[[#This Row],[Pregnant(Y/N)]]=1,"YES","NO")</f>
        <v>NO</v>
      </c>
      <c r="Q340">
        <v>0</v>
      </c>
      <c r="R340">
        <v>1.99</v>
      </c>
      <c r="S340">
        <v>1.99</v>
      </c>
      <c r="T340">
        <v>3.61</v>
      </c>
      <c r="U340">
        <v>5.09</v>
      </c>
      <c r="V340">
        <f>Table1[[#This Row],[FSH(mIU/mL)]]/Table1[[#This Row],[LH(mIU/mL)]]</f>
        <v>0.70923379174852652</v>
      </c>
      <c r="W340" t="str">
        <f>IF(Table1[[#This Row],[FSH/LH]]&gt;=2,"Abnormal","Normal")</f>
        <v>Normal</v>
      </c>
      <c r="X340">
        <v>42</v>
      </c>
      <c r="Y340">
        <v>38</v>
      </c>
      <c r="Z340">
        <f>ROUND(Table1[[#This Row],[Waist(inch)]]/Table1[[#This Row],[Hip(inch)]],2)</f>
        <v>0.9</v>
      </c>
      <c r="AA340">
        <v>1.69</v>
      </c>
      <c r="AB340">
        <v>1.06</v>
      </c>
      <c r="AC340">
        <v>14.11</v>
      </c>
      <c r="AD340">
        <v>29.1</v>
      </c>
      <c r="AE340" t="str">
        <f>IF(Table1[[#This Row],[Vit D3 (ng/mL)]]&lt;20,"Deficiency","Normal")</f>
        <v>Normal</v>
      </c>
      <c r="AF340">
        <v>0.79</v>
      </c>
      <c r="AG340">
        <v>92</v>
      </c>
      <c r="AH340">
        <v>1</v>
      </c>
      <c r="AI340" t="str">
        <f>IF(Table1[[#This Row],[Weight gain(Y/N)]]=0,"NO","YES")</f>
        <v>YES</v>
      </c>
      <c r="AJ340">
        <v>1</v>
      </c>
      <c r="AK340" t="str">
        <f>IF(Table1[[#This Row],[hair growth(Y/N)]]=1,"YES","NO")</f>
        <v>YES</v>
      </c>
      <c r="AL340">
        <v>1</v>
      </c>
      <c r="AM340" t="str">
        <f>IF(Table1[[#This Row],[Skin darkening (Y/N)]]=1,"YES","NO")</f>
        <v>YES</v>
      </c>
      <c r="AN340">
        <v>0</v>
      </c>
      <c r="AO340" t="str">
        <f>IF(Table1[[#This Row],[Hair loss(Y/N)]]=1,"YES","NO")</f>
        <v>NO</v>
      </c>
      <c r="AP340">
        <v>0</v>
      </c>
      <c r="AQ340" t="str">
        <f>IF(Table1[[#This Row],[Pimples(Y/N)]]=1,"YES","NO")</f>
        <v>NO</v>
      </c>
      <c r="AR340">
        <v>1</v>
      </c>
      <c r="AS340" t="str">
        <f>IF(Table1[[#This Row],[Fast food (Y/N)]]=1,"YES","NO")</f>
        <v>YES</v>
      </c>
      <c r="AT340">
        <v>0</v>
      </c>
      <c r="AU340" t="str">
        <f>IF(Table1[[#This Row],[Reg.Exercise(Y/N)]]=1,"YES","NO")</f>
        <v>NO</v>
      </c>
      <c r="AV340">
        <v>110</v>
      </c>
      <c r="AW340">
        <v>80</v>
      </c>
      <c r="AX340">
        <v>12</v>
      </c>
      <c r="AY340">
        <v>10</v>
      </c>
      <c r="AZ340">
        <v>10</v>
      </c>
      <c r="BA340">
        <v>10</v>
      </c>
      <c r="BB340">
        <v>9.3000000000000007</v>
      </c>
      <c r="BC340" t="str" cm="1">
        <f t="array" ref="BC340">_xlfn.IFS((F340/(G340*G340)*10000)&lt; 18.5,"Underweight",(F340/(G340*G340)*10000)&lt;24.9,"Normal",(F340/(G340*G340)*10000)&lt;29.9,"Overweight",(F340/(G340*G340)*10000)&gt;=30,"obesity")</f>
        <v>Overweight</v>
      </c>
      <c r="BD340">
        <f>Table1[[#This Row],[Follicle No. (L)]]+Table1[[#This Row],[Follicle No. (R)]]</f>
        <v>22</v>
      </c>
      <c r="BE340">
        <f>Table1[[#This Row],[Avg. F size (L) (mm)]]+Table1[[#This Row],[Avg. F size (R) (mm)]]</f>
        <v>20</v>
      </c>
      <c r="BF340">
        <f>Table1[[#This Row],[BP _Diastolic (mmHg)]]+(Table1[[#This Row],[BP _Diastolic (mmHg)]]+Table1[[#This Row],[Follicle No. (L)]])/3</f>
        <v>110.66666666666667</v>
      </c>
      <c r="BG340" s="4" t="str" cm="1">
        <f t="array" ref="BG34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40" s="4">
        <f>SUM(Table1[[#This Row],[Pimples(Y/N)]],Table1[[#This Row],[hair growth(Y/N)]],Table1[[#This Row],[Skin darkening (Y/N)]],Table1[[#This Row],[Hair loss(Y/N)]])</f>
        <v>2</v>
      </c>
      <c r="BI340" s="4" t="str">
        <f>IF(AND(Table1[[#This Row],[Pregnant(Y/N)]]=0, Table1[[#This Row],[  I   beta-HCG(mIU/mL)]]&gt;5), "Investigation Required", "Clear")</f>
        <v>Clear</v>
      </c>
    </row>
    <row r="341" spans="1:61" ht="15.75" customHeight="1" x14ac:dyDescent="0.25">
      <c r="A341">
        <v>340</v>
      </c>
      <c r="B341">
        <v>340</v>
      </c>
      <c r="C341">
        <v>0</v>
      </c>
      <c r="D341" t="str">
        <f>IF(Table1[[#This Row],[PCOS (Y/N)]]=0,"NO","YES")</f>
        <v>NO</v>
      </c>
      <c r="E341">
        <v>29</v>
      </c>
      <c r="F341">
        <v>53</v>
      </c>
      <c r="G341">
        <v>152</v>
      </c>
      <c r="H341">
        <v>17</v>
      </c>
      <c r="I341">
        <v>78</v>
      </c>
      <c r="J341">
        <v>22</v>
      </c>
      <c r="K341">
        <v>10.6</v>
      </c>
      <c r="L341">
        <v>2</v>
      </c>
      <c r="M341">
        <v>5</v>
      </c>
      <c r="N341">
        <v>2</v>
      </c>
      <c r="O341">
        <v>1</v>
      </c>
      <c r="P341" t="str">
        <f>IF(Table1[[#This Row],[Pregnant(Y/N)]]=1,"YES","NO")</f>
        <v>YES</v>
      </c>
      <c r="Q341">
        <v>0</v>
      </c>
      <c r="R341">
        <v>1.99</v>
      </c>
      <c r="S341">
        <v>20</v>
      </c>
      <c r="T341">
        <v>5.71</v>
      </c>
      <c r="U341">
        <v>4.32</v>
      </c>
      <c r="V341">
        <f>Table1[[#This Row],[FSH(mIU/mL)]]/Table1[[#This Row],[LH(mIU/mL)]]</f>
        <v>1.3217592592592591</v>
      </c>
      <c r="W341" t="str">
        <f>IF(Table1[[#This Row],[FSH/LH]]&gt;=2,"Abnormal","Normal")</f>
        <v>Normal</v>
      </c>
      <c r="X341">
        <v>38</v>
      </c>
      <c r="Y341">
        <v>34</v>
      </c>
      <c r="Z341">
        <f>ROUND(Table1[[#This Row],[Waist(inch)]]/Table1[[#This Row],[Hip(inch)]],2)</f>
        <v>0.89</v>
      </c>
      <c r="AA341">
        <v>3.98</v>
      </c>
      <c r="AB341">
        <v>9.1</v>
      </c>
      <c r="AC341">
        <v>20.78</v>
      </c>
      <c r="AD341">
        <v>19.7</v>
      </c>
      <c r="AE341" t="str">
        <f>IF(Table1[[#This Row],[Vit D3 (ng/mL)]]&lt;20,"Deficiency","Normal")</f>
        <v>Deficiency</v>
      </c>
      <c r="AF341">
        <v>0.32</v>
      </c>
      <c r="AG341">
        <v>123</v>
      </c>
      <c r="AH341">
        <v>0</v>
      </c>
      <c r="AI341" t="str">
        <f>IF(Table1[[#This Row],[Weight gain(Y/N)]]=0,"NO","YES")</f>
        <v>NO</v>
      </c>
      <c r="AJ341">
        <v>0</v>
      </c>
      <c r="AK341" t="str">
        <f>IF(Table1[[#This Row],[hair growth(Y/N)]]=1,"YES","NO")</f>
        <v>NO</v>
      </c>
      <c r="AL341">
        <v>1</v>
      </c>
      <c r="AM341" t="str">
        <f>IF(Table1[[#This Row],[Skin darkening (Y/N)]]=1,"YES","NO")</f>
        <v>YES</v>
      </c>
      <c r="AN341">
        <v>0</v>
      </c>
      <c r="AO341" t="str">
        <f>IF(Table1[[#This Row],[Hair loss(Y/N)]]=1,"YES","NO")</f>
        <v>NO</v>
      </c>
      <c r="AP341">
        <v>0</v>
      </c>
      <c r="AQ341" t="str">
        <f>IF(Table1[[#This Row],[Pimples(Y/N)]]=1,"YES","NO")</f>
        <v>NO</v>
      </c>
      <c r="AR341">
        <v>1</v>
      </c>
      <c r="AS341" t="str">
        <f>IF(Table1[[#This Row],[Fast food (Y/N)]]=1,"YES","NO")</f>
        <v>YES</v>
      </c>
      <c r="AT341">
        <v>1</v>
      </c>
      <c r="AU341" t="str">
        <f>IF(Table1[[#This Row],[Reg.Exercise(Y/N)]]=1,"YES","NO")</f>
        <v>YES</v>
      </c>
      <c r="AV341">
        <v>110</v>
      </c>
      <c r="AW341">
        <v>80</v>
      </c>
      <c r="AX341">
        <v>1</v>
      </c>
      <c r="AY341">
        <v>1</v>
      </c>
      <c r="AZ341">
        <v>10</v>
      </c>
      <c r="BA341">
        <v>12</v>
      </c>
      <c r="BB341">
        <v>8.1999999999999993</v>
      </c>
      <c r="BC341" t="str" cm="1">
        <f t="array" ref="BC341">_xlfn.IFS((F341/(G341*G341)*10000)&lt; 18.5,"Underweight",(F341/(G341*G341)*10000)&lt;24.9,"Normal",(F341/(G341*G341)*10000)&lt;29.9,"Overweight",(F341/(G341*G341)*10000)&gt;=30,"obesity")</f>
        <v>Normal</v>
      </c>
      <c r="BD341">
        <f>Table1[[#This Row],[Follicle No. (L)]]+Table1[[#This Row],[Follicle No. (R)]]</f>
        <v>2</v>
      </c>
      <c r="BE341">
        <f>Table1[[#This Row],[Avg. F size (L) (mm)]]+Table1[[#This Row],[Avg. F size (R) (mm)]]</f>
        <v>22</v>
      </c>
      <c r="BF341">
        <f>Table1[[#This Row],[BP _Diastolic (mmHg)]]+(Table1[[#This Row],[BP _Diastolic (mmHg)]]+Table1[[#This Row],[Follicle No. (L)]])/3</f>
        <v>107</v>
      </c>
      <c r="BG341" s="4" t="str" cm="1">
        <f t="array" ref="BG34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41" s="4">
        <f>SUM(Table1[[#This Row],[Pimples(Y/N)]],Table1[[#This Row],[hair growth(Y/N)]],Table1[[#This Row],[Skin darkening (Y/N)]],Table1[[#This Row],[Hair loss(Y/N)]])</f>
        <v>1</v>
      </c>
      <c r="BI341" s="4" t="str">
        <f>IF(AND(Table1[[#This Row],[Pregnant(Y/N)]]=0, Table1[[#This Row],[  I   beta-HCG(mIU/mL)]]&gt;5), "Investigation Required", "Clear")</f>
        <v>Clear</v>
      </c>
    </row>
    <row r="342" spans="1:61" ht="15.75" customHeight="1" x14ac:dyDescent="0.25">
      <c r="A342">
        <v>341</v>
      </c>
      <c r="B342">
        <v>341</v>
      </c>
      <c r="C342">
        <v>1</v>
      </c>
      <c r="D342" t="str">
        <f>IF(Table1[[#This Row],[PCOS (Y/N)]]=0,"NO","YES")</f>
        <v>YES</v>
      </c>
      <c r="E342">
        <v>26</v>
      </c>
      <c r="F342">
        <v>60</v>
      </c>
      <c r="G342">
        <v>152</v>
      </c>
      <c r="H342">
        <v>13</v>
      </c>
      <c r="I342">
        <v>78</v>
      </c>
      <c r="J342">
        <v>22</v>
      </c>
      <c r="K342">
        <v>12.5</v>
      </c>
      <c r="L342">
        <v>4</v>
      </c>
      <c r="M342">
        <v>2</v>
      </c>
      <c r="N342">
        <v>5</v>
      </c>
      <c r="O342">
        <v>1</v>
      </c>
      <c r="P342" t="str">
        <f>IF(Table1[[#This Row],[Pregnant(Y/N)]]=1,"YES","NO")</f>
        <v>YES</v>
      </c>
      <c r="Q342">
        <v>0</v>
      </c>
      <c r="R342">
        <v>161.77000000000001</v>
      </c>
      <c r="S342">
        <v>161.77000000000001</v>
      </c>
      <c r="T342">
        <v>6.83</v>
      </c>
      <c r="U342">
        <v>4.62</v>
      </c>
      <c r="V342">
        <f>Table1[[#This Row],[FSH(mIU/mL)]]/Table1[[#This Row],[LH(mIU/mL)]]</f>
        <v>1.4783549783549783</v>
      </c>
      <c r="W342" t="str">
        <f>IF(Table1[[#This Row],[FSH/LH]]&gt;=2,"Abnormal","Normal")</f>
        <v>Normal</v>
      </c>
      <c r="X342">
        <v>40</v>
      </c>
      <c r="Y342">
        <v>36</v>
      </c>
      <c r="Z342">
        <f>ROUND(Table1[[#This Row],[Waist(inch)]]/Table1[[#This Row],[Hip(inch)]],2)</f>
        <v>0.9</v>
      </c>
      <c r="AA342">
        <v>2.39</v>
      </c>
      <c r="AB342">
        <v>5.9</v>
      </c>
      <c r="AC342">
        <v>34.200000000000003</v>
      </c>
      <c r="AD342">
        <v>38.6</v>
      </c>
      <c r="AE342" t="str">
        <f>IF(Table1[[#This Row],[Vit D3 (ng/mL)]]&lt;20,"Deficiency","Normal")</f>
        <v>Normal</v>
      </c>
      <c r="AF342">
        <v>0.3</v>
      </c>
      <c r="AG342">
        <v>76</v>
      </c>
      <c r="AH342">
        <v>1</v>
      </c>
      <c r="AI342" t="str">
        <f>IF(Table1[[#This Row],[Weight gain(Y/N)]]=0,"NO","YES")</f>
        <v>YES</v>
      </c>
      <c r="AJ342">
        <v>1</v>
      </c>
      <c r="AK342" t="str">
        <f>IF(Table1[[#This Row],[hair growth(Y/N)]]=1,"YES","NO")</f>
        <v>YES</v>
      </c>
      <c r="AL342">
        <v>0</v>
      </c>
      <c r="AM342" t="str">
        <f>IF(Table1[[#This Row],[Skin darkening (Y/N)]]=1,"YES","NO")</f>
        <v>NO</v>
      </c>
      <c r="AN342">
        <v>0</v>
      </c>
      <c r="AO342" t="str">
        <f>IF(Table1[[#This Row],[Hair loss(Y/N)]]=1,"YES","NO")</f>
        <v>NO</v>
      </c>
      <c r="AP342">
        <v>1</v>
      </c>
      <c r="AQ342" t="str">
        <f>IF(Table1[[#This Row],[Pimples(Y/N)]]=1,"YES","NO")</f>
        <v>YES</v>
      </c>
      <c r="AR342">
        <v>1</v>
      </c>
      <c r="AS342" t="str">
        <f>IF(Table1[[#This Row],[Fast food (Y/N)]]=1,"YES","NO")</f>
        <v>YES</v>
      </c>
      <c r="AT342">
        <v>0</v>
      </c>
      <c r="AU342" t="str">
        <f>IF(Table1[[#This Row],[Reg.Exercise(Y/N)]]=1,"YES","NO")</f>
        <v>NO</v>
      </c>
      <c r="AV342">
        <v>100</v>
      </c>
      <c r="AW342">
        <v>80</v>
      </c>
      <c r="AX342">
        <v>10</v>
      </c>
      <c r="AY342">
        <v>15</v>
      </c>
      <c r="AZ342">
        <v>14</v>
      </c>
      <c r="BA342">
        <v>11</v>
      </c>
      <c r="BB342">
        <v>10</v>
      </c>
      <c r="BC342" t="str" cm="1">
        <f t="array" ref="BC342">_xlfn.IFS((F342/(G342*G342)*10000)&lt; 18.5,"Underweight",(F342/(G342*G342)*10000)&lt;24.9,"Normal",(F342/(G342*G342)*10000)&lt;29.9,"Overweight",(F342/(G342*G342)*10000)&gt;=30,"obesity")</f>
        <v>Overweight</v>
      </c>
      <c r="BD342">
        <f>Table1[[#This Row],[Follicle No. (L)]]+Table1[[#This Row],[Follicle No. (R)]]</f>
        <v>25</v>
      </c>
      <c r="BE342">
        <f>Table1[[#This Row],[Avg. F size (L) (mm)]]+Table1[[#This Row],[Avg. F size (R) (mm)]]</f>
        <v>25</v>
      </c>
      <c r="BF342">
        <f>Table1[[#This Row],[BP _Diastolic (mmHg)]]+(Table1[[#This Row],[BP _Diastolic (mmHg)]]+Table1[[#This Row],[Follicle No. (L)]])/3</f>
        <v>110</v>
      </c>
      <c r="BG342" s="4" t="str" cm="1">
        <f t="array" ref="BG34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42" s="4">
        <f>SUM(Table1[[#This Row],[Pimples(Y/N)]],Table1[[#This Row],[hair growth(Y/N)]],Table1[[#This Row],[Skin darkening (Y/N)]],Table1[[#This Row],[Hair loss(Y/N)]])</f>
        <v>2</v>
      </c>
      <c r="BI342" s="4" t="str">
        <f>IF(AND(Table1[[#This Row],[Pregnant(Y/N)]]=0, Table1[[#This Row],[  I   beta-HCG(mIU/mL)]]&gt;5), "Investigation Required", "Clear")</f>
        <v>Clear</v>
      </c>
    </row>
    <row r="343" spans="1:61" ht="15.75" customHeight="1" x14ac:dyDescent="0.25">
      <c r="A343">
        <v>342</v>
      </c>
      <c r="B343">
        <v>342</v>
      </c>
      <c r="C343">
        <v>1</v>
      </c>
      <c r="D343" t="str">
        <f>IF(Table1[[#This Row],[PCOS (Y/N)]]=0,"NO","YES")</f>
        <v>YES</v>
      </c>
      <c r="E343">
        <v>26</v>
      </c>
      <c r="F343">
        <v>65</v>
      </c>
      <c r="G343">
        <v>158</v>
      </c>
      <c r="H343">
        <v>15</v>
      </c>
      <c r="I343">
        <v>75</v>
      </c>
      <c r="J343">
        <v>24</v>
      </c>
      <c r="K343">
        <v>10.5</v>
      </c>
      <c r="L343">
        <v>2</v>
      </c>
      <c r="M343">
        <v>5</v>
      </c>
      <c r="N343">
        <v>7</v>
      </c>
      <c r="O343">
        <v>1</v>
      </c>
      <c r="P343" t="str">
        <f>IF(Table1[[#This Row],[Pregnant(Y/N)]]=1,"YES","NO")</f>
        <v>YES</v>
      </c>
      <c r="Q343">
        <v>0</v>
      </c>
      <c r="R343">
        <v>61.98</v>
      </c>
      <c r="S343">
        <v>61.98</v>
      </c>
      <c r="T343">
        <v>7.12</v>
      </c>
      <c r="U343">
        <v>7.89</v>
      </c>
      <c r="V343">
        <f>Table1[[#This Row],[FSH(mIU/mL)]]/Table1[[#This Row],[LH(mIU/mL)]]</f>
        <v>0.90240811153358691</v>
      </c>
      <c r="W343" t="str">
        <f>IF(Table1[[#This Row],[FSH/LH]]&gt;=2,"Abnormal","Normal")</f>
        <v>Normal</v>
      </c>
      <c r="X343">
        <v>40</v>
      </c>
      <c r="Y343">
        <v>35</v>
      </c>
      <c r="Z343">
        <f>ROUND(Table1[[#This Row],[Waist(inch)]]/Table1[[#This Row],[Hip(inch)]],2)</f>
        <v>0.88</v>
      </c>
      <c r="AA343">
        <v>2.29</v>
      </c>
      <c r="AB343">
        <v>8.9</v>
      </c>
      <c r="AC343">
        <v>32.409999999999997</v>
      </c>
      <c r="AD343">
        <v>23.4</v>
      </c>
      <c r="AE343" t="str">
        <f>IF(Table1[[#This Row],[Vit D3 (ng/mL)]]&lt;20,"Deficiency","Normal")</f>
        <v>Normal</v>
      </c>
      <c r="AF343">
        <v>0.33</v>
      </c>
      <c r="AG343">
        <v>107</v>
      </c>
      <c r="AH343">
        <v>1</v>
      </c>
      <c r="AI343" t="str">
        <f>IF(Table1[[#This Row],[Weight gain(Y/N)]]=0,"NO","YES")</f>
        <v>YES</v>
      </c>
      <c r="AJ343">
        <v>1</v>
      </c>
      <c r="AK343" t="str">
        <f>IF(Table1[[#This Row],[hair growth(Y/N)]]=1,"YES","NO")</f>
        <v>YES</v>
      </c>
      <c r="AL343">
        <v>0</v>
      </c>
      <c r="AM343" t="str">
        <f>IF(Table1[[#This Row],[Skin darkening (Y/N)]]=1,"YES","NO")</f>
        <v>NO</v>
      </c>
      <c r="AN343">
        <v>0</v>
      </c>
      <c r="AO343" t="str">
        <f>IF(Table1[[#This Row],[Hair loss(Y/N)]]=1,"YES","NO")</f>
        <v>NO</v>
      </c>
      <c r="AP343">
        <v>1</v>
      </c>
      <c r="AQ343" t="str">
        <f>IF(Table1[[#This Row],[Pimples(Y/N)]]=1,"YES","NO")</f>
        <v>YES</v>
      </c>
      <c r="AR343">
        <v>1</v>
      </c>
      <c r="AS343" t="str">
        <f>IF(Table1[[#This Row],[Fast food (Y/N)]]=1,"YES","NO")</f>
        <v>YES</v>
      </c>
      <c r="AT343">
        <v>0</v>
      </c>
      <c r="AU343" t="str">
        <f>IF(Table1[[#This Row],[Reg.Exercise(Y/N)]]=1,"YES","NO")</f>
        <v>NO</v>
      </c>
      <c r="AV343">
        <v>110</v>
      </c>
      <c r="AW343">
        <v>80</v>
      </c>
      <c r="AX343">
        <v>10</v>
      </c>
      <c r="AY343">
        <v>7</v>
      </c>
      <c r="AZ343">
        <v>10</v>
      </c>
      <c r="BA343">
        <v>11</v>
      </c>
      <c r="BB343">
        <v>8.6999999999999993</v>
      </c>
      <c r="BC343" t="str" cm="1">
        <f t="array" ref="BC343">_xlfn.IFS((F343/(G343*G343)*10000)&lt; 18.5,"Underweight",(F343/(G343*G343)*10000)&lt;24.9,"Normal",(F343/(G343*G343)*10000)&lt;29.9,"Overweight",(F343/(G343*G343)*10000)&gt;=30,"obesity")</f>
        <v>Overweight</v>
      </c>
      <c r="BD343">
        <f>Table1[[#This Row],[Follicle No. (L)]]+Table1[[#This Row],[Follicle No. (R)]]</f>
        <v>17</v>
      </c>
      <c r="BE343">
        <f>Table1[[#This Row],[Avg. F size (L) (mm)]]+Table1[[#This Row],[Avg. F size (R) (mm)]]</f>
        <v>21</v>
      </c>
      <c r="BF343">
        <f>Table1[[#This Row],[BP _Diastolic (mmHg)]]+(Table1[[#This Row],[BP _Diastolic (mmHg)]]+Table1[[#This Row],[Follicle No. (L)]])/3</f>
        <v>110</v>
      </c>
      <c r="BG343" s="4" t="str" cm="1">
        <f t="array" ref="BG34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43" s="4">
        <f>SUM(Table1[[#This Row],[Pimples(Y/N)]],Table1[[#This Row],[hair growth(Y/N)]],Table1[[#This Row],[Skin darkening (Y/N)]],Table1[[#This Row],[Hair loss(Y/N)]])</f>
        <v>2</v>
      </c>
      <c r="BI343" s="4" t="str">
        <f>IF(AND(Table1[[#This Row],[Pregnant(Y/N)]]=0, Table1[[#This Row],[  I   beta-HCG(mIU/mL)]]&gt;5), "Investigation Required", "Clear")</f>
        <v>Clear</v>
      </c>
    </row>
    <row r="344" spans="1:61" ht="15.75" customHeight="1" x14ac:dyDescent="0.25">
      <c r="A344">
        <v>343</v>
      </c>
      <c r="B344">
        <v>343</v>
      </c>
      <c r="C344">
        <v>1</v>
      </c>
      <c r="D344" t="str">
        <f>IF(Table1[[#This Row],[PCOS (Y/N)]]=0,"NO","YES")</f>
        <v>YES</v>
      </c>
      <c r="E344">
        <v>32</v>
      </c>
      <c r="F344">
        <v>40</v>
      </c>
      <c r="G344">
        <v>158</v>
      </c>
      <c r="H344">
        <v>15</v>
      </c>
      <c r="I344">
        <v>78</v>
      </c>
      <c r="J344">
        <v>22</v>
      </c>
      <c r="K344">
        <v>11.2</v>
      </c>
      <c r="L344">
        <v>2</v>
      </c>
      <c r="M344">
        <v>5</v>
      </c>
      <c r="N344">
        <v>12</v>
      </c>
      <c r="O344">
        <v>1</v>
      </c>
      <c r="P344" t="str">
        <f>IF(Table1[[#This Row],[Pregnant(Y/N)]]=1,"YES","NO")</f>
        <v>YES</v>
      </c>
      <c r="Q344">
        <v>0</v>
      </c>
      <c r="R344">
        <v>403.85</v>
      </c>
      <c r="S344">
        <v>403.85</v>
      </c>
      <c r="T344">
        <v>6.72</v>
      </c>
      <c r="U344">
        <v>3.24</v>
      </c>
      <c r="V344">
        <f>Table1[[#This Row],[FSH(mIU/mL)]]/Table1[[#This Row],[LH(mIU/mL)]]</f>
        <v>2.074074074074074</v>
      </c>
      <c r="W344" t="str">
        <f>IF(Table1[[#This Row],[FSH/LH]]&gt;=2,"Abnormal","Normal")</f>
        <v>Abnormal</v>
      </c>
      <c r="X344">
        <v>36</v>
      </c>
      <c r="Y344">
        <v>32</v>
      </c>
      <c r="Z344">
        <f>ROUND(Table1[[#This Row],[Waist(inch)]]/Table1[[#This Row],[Hip(inch)]],2)</f>
        <v>0.89</v>
      </c>
      <c r="AA344">
        <v>1.77</v>
      </c>
      <c r="AB344">
        <v>3.6</v>
      </c>
      <c r="AC344">
        <v>13.27</v>
      </c>
      <c r="AD344">
        <v>57.7</v>
      </c>
      <c r="AE344" t="str">
        <f>IF(Table1[[#This Row],[Vit D3 (ng/mL)]]&lt;20,"Deficiency","Normal")</f>
        <v>Normal</v>
      </c>
      <c r="AF344">
        <v>0.25</v>
      </c>
      <c r="AG344">
        <v>107</v>
      </c>
      <c r="AH344">
        <v>0</v>
      </c>
      <c r="AI344" t="str">
        <f>IF(Table1[[#This Row],[Weight gain(Y/N)]]=0,"NO","YES")</f>
        <v>NO</v>
      </c>
      <c r="AJ344">
        <v>0</v>
      </c>
      <c r="AK344" t="str">
        <f>IF(Table1[[#This Row],[hair growth(Y/N)]]=1,"YES","NO")</f>
        <v>NO</v>
      </c>
      <c r="AL344">
        <v>0</v>
      </c>
      <c r="AM344" t="str">
        <f>IF(Table1[[#This Row],[Skin darkening (Y/N)]]=1,"YES","NO")</f>
        <v>NO</v>
      </c>
      <c r="AN344">
        <v>1</v>
      </c>
      <c r="AO344" t="str">
        <f>IF(Table1[[#This Row],[Hair loss(Y/N)]]=1,"YES","NO")</f>
        <v>YES</v>
      </c>
      <c r="AP344">
        <v>1</v>
      </c>
      <c r="AQ344" t="str">
        <f>IF(Table1[[#This Row],[Pimples(Y/N)]]=1,"YES","NO")</f>
        <v>YES</v>
      </c>
      <c r="AR344">
        <v>1</v>
      </c>
      <c r="AS344" t="str">
        <f>IF(Table1[[#This Row],[Fast food (Y/N)]]=1,"YES","NO")</f>
        <v>YES</v>
      </c>
      <c r="AT344">
        <v>0</v>
      </c>
      <c r="AU344" t="str">
        <f>IF(Table1[[#This Row],[Reg.Exercise(Y/N)]]=1,"YES","NO")</f>
        <v>NO</v>
      </c>
      <c r="AV344">
        <v>110</v>
      </c>
      <c r="AW344">
        <v>80</v>
      </c>
      <c r="AX344">
        <v>4</v>
      </c>
      <c r="AY344">
        <v>15</v>
      </c>
      <c r="AZ344">
        <v>15</v>
      </c>
      <c r="BA344">
        <v>12</v>
      </c>
      <c r="BB344">
        <v>11</v>
      </c>
      <c r="BC344" t="str" cm="1">
        <f t="array" ref="BC344">_xlfn.IFS((F344/(G344*G344)*10000)&lt; 18.5,"Underweight",(F344/(G344*G344)*10000)&lt;24.9,"Normal",(F344/(G344*G344)*10000)&lt;29.9,"Overweight",(F344/(G344*G344)*10000)&gt;=30,"obesity")</f>
        <v>Underweight</v>
      </c>
      <c r="BD344">
        <f>Table1[[#This Row],[Follicle No. (L)]]+Table1[[#This Row],[Follicle No. (R)]]</f>
        <v>19</v>
      </c>
      <c r="BE344">
        <f>Table1[[#This Row],[Avg. F size (L) (mm)]]+Table1[[#This Row],[Avg. F size (R) (mm)]]</f>
        <v>27</v>
      </c>
      <c r="BF344">
        <f>Table1[[#This Row],[BP _Diastolic (mmHg)]]+(Table1[[#This Row],[BP _Diastolic (mmHg)]]+Table1[[#This Row],[Follicle No. (L)]])/3</f>
        <v>108</v>
      </c>
      <c r="BG344" s="4" t="str" cm="1">
        <f t="array" ref="BG34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44" s="4">
        <f>SUM(Table1[[#This Row],[Pimples(Y/N)]],Table1[[#This Row],[hair growth(Y/N)]],Table1[[#This Row],[Skin darkening (Y/N)]],Table1[[#This Row],[Hair loss(Y/N)]])</f>
        <v>2</v>
      </c>
      <c r="BI344" s="4" t="str">
        <f>IF(AND(Table1[[#This Row],[Pregnant(Y/N)]]=0, Table1[[#This Row],[  I   beta-HCG(mIU/mL)]]&gt;5), "Investigation Required", "Clear")</f>
        <v>Clear</v>
      </c>
    </row>
    <row r="345" spans="1:61" ht="15.75" customHeight="1" x14ac:dyDescent="0.25">
      <c r="A345">
        <v>344</v>
      </c>
      <c r="B345">
        <v>344</v>
      </c>
      <c r="C345">
        <v>0</v>
      </c>
      <c r="D345" t="str">
        <f>IF(Table1[[#This Row],[PCOS (Y/N)]]=0,"NO","YES")</f>
        <v>NO</v>
      </c>
      <c r="E345">
        <v>25</v>
      </c>
      <c r="F345">
        <v>85</v>
      </c>
      <c r="G345">
        <v>161</v>
      </c>
      <c r="H345">
        <v>11</v>
      </c>
      <c r="I345">
        <v>78</v>
      </c>
      <c r="J345">
        <v>22</v>
      </c>
      <c r="K345">
        <v>10.199999999999999</v>
      </c>
      <c r="L345">
        <v>2</v>
      </c>
      <c r="M345">
        <v>5</v>
      </c>
      <c r="N345">
        <v>3</v>
      </c>
      <c r="O345">
        <v>1</v>
      </c>
      <c r="P345" t="str">
        <f>IF(Table1[[#This Row],[Pregnant(Y/N)]]=1,"YES","NO")</f>
        <v>YES</v>
      </c>
      <c r="Q345">
        <v>2</v>
      </c>
      <c r="R345">
        <v>136.71</v>
      </c>
      <c r="S345">
        <v>1.99</v>
      </c>
      <c r="T345">
        <v>7.1</v>
      </c>
      <c r="U345">
        <v>5.16</v>
      </c>
      <c r="V345">
        <f>Table1[[#This Row],[FSH(mIU/mL)]]/Table1[[#This Row],[LH(mIU/mL)]]</f>
        <v>1.375968992248062</v>
      </c>
      <c r="W345" t="str">
        <f>IF(Table1[[#This Row],[FSH/LH]]&gt;=2,"Abnormal","Normal")</f>
        <v>Normal</v>
      </c>
      <c r="X345">
        <v>42</v>
      </c>
      <c r="Y345">
        <v>38</v>
      </c>
      <c r="Z345">
        <f>ROUND(Table1[[#This Row],[Waist(inch)]]/Table1[[#This Row],[Hip(inch)]],2)</f>
        <v>0.9</v>
      </c>
      <c r="AA345">
        <v>2.15</v>
      </c>
      <c r="AB345">
        <v>2.31</v>
      </c>
      <c r="AC345">
        <v>19.21</v>
      </c>
      <c r="AD345">
        <v>31.4</v>
      </c>
      <c r="AE345" t="str">
        <f>IF(Table1[[#This Row],[Vit D3 (ng/mL)]]&lt;20,"Deficiency","Normal")</f>
        <v>Normal</v>
      </c>
      <c r="AF345">
        <v>0.25</v>
      </c>
      <c r="AG345">
        <v>100</v>
      </c>
      <c r="AH345">
        <v>1</v>
      </c>
      <c r="AI345" t="str">
        <f>IF(Table1[[#This Row],[Weight gain(Y/N)]]=0,"NO","YES")</f>
        <v>YES</v>
      </c>
      <c r="AJ345">
        <v>0</v>
      </c>
      <c r="AK345" t="str">
        <f>IF(Table1[[#This Row],[hair growth(Y/N)]]=1,"YES","NO")</f>
        <v>NO</v>
      </c>
      <c r="AL345">
        <v>0</v>
      </c>
      <c r="AM345" t="str">
        <f>IF(Table1[[#This Row],[Skin darkening (Y/N)]]=1,"YES","NO")</f>
        <v>NO</v>
      </c>
      <c r="AN345">
        <v>1</v>
      </c>
      <c r="AO345" t="str">
        <f>IF(Table1[[#This Row],[Hair loss(Y/N)]]=1,"YES","NO")</f>
        <v>YES</v>
      </c>
      <c r="AP345">
        <v>0</v>
      </c>
      <c r="AQ345" t="str">
        <f>IF(Table1[[#This Row],[Pimples(Y/N)]]=1,"YES","NO")</f>
        <v>NO</v>
      </c>
      <c r="AR345">
        <v>1</v>
      </c>
      <c r="AS345" t="str">
        <f>IF(Table1[[#This Row],[Fast food (Y/N)]]=1,"YES","NO")</f>
        <v>YES</v>
      </c>
      <c r="AT345">
        <v>0</v>
      </c>
      <c r="AU345" t="str">
        <f>IF(Table1[[#This Row],[Reg.Exercise(Y/N)]]=1,"YES","NO")</f>
        <v>NO</v>
      </c>
      <c r="AV345">
        <v>110</v>
      </c>
      <c r="AW345">
        <v>80</v>
      </c>
      <c r="AX345">
        <v>10</v>
      </c>
      <c r="AY345">
        <v>5</v>
      </c>
      <c r="AZ345">
        <v>15</v>
      </c>
      <c r="BA345">
        <v>17</v>
      </c>
      <c r="BB345">
        <v>8</v>
      </c>
      <c r="BC345" t="str" cm="1">
        <f t="array" ref="BC345">_xlfn.IFS((F345/(G345*G345)*10000)&lt; 18.5,"Underweight",(F345/(G345*G345)*10000)&lt;24.9,"Normal",(F345/(G345*G345)*10000)&lt;29.9,"Overweight",(F345/(G345*G345)*10000)&gt;=30,"obesity")</f>
        <v>obesity</v>
      </c>
      <c r="BD345">
        <f>Table1[[#This Row],[Follicle No. (L)]]+Table1[[#This Row],[Follicle No. (R)]]</f>
        <v>15</v>
      </c>
      <c r="BE345">
        <f>Table1[[#This Row],[Avg. F size (L) (mm)]]+Table1[[#This Row],[Avg. F size (R) (mm)]]</f>
        <v>32</v>
      </c>
      <c r="BF345">
        <f>Table1[[#This Row],[BP _Diastolic (mmHg)]]+(Table1[[#This Row],[BP _Diastolic (mmHg)]]+Table1[[#This Row],[Follicle No. (L)]])/3</f>
        <v>110</v>
      </c>
      <c r="BG345" s="4" t="str" cm="1">
        <f t="array" ref="BG34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45" s="4">
        <f>SUM(Table1[[#This Row],[Pimples(Y/N)]],Table1[[#This Row],[hair growth(Y/N)]],Table1[[#This Row],[Skin darkening (Y/N)]],Table1[[#This Row],[Hair loss(Y/N)]])</f>
        <v>1</v>
      </c>
      <c r="BI345" s="4" t="str">
        <f>IF(AND(Table1[[#This Row],[Pregnant(Y/N)]]=0, Table1[[#This Row],[  I   beta-HCG(mIU/mL)]]&gt;5), "Investigation Required", "Clear")</f>
        <v>Clear</v>
      </c>
    </row>
    <row r="346" spans="1:61" ht="15.75" customHeight="1" x14ac:dyDescent="0.25">
      <c r="A346">
        <v>345</v>
      </c>
      <c r="B346">
        <v>345</v>
      </c>
      <c r="C346">
        <v>0</v>
      </c>
      <c r="D346" t="str">
        <f>IF(Table1[[#This Row],[PCOS (Y/N)]]=0,"NO","YES")</f>
        <v>NO</v>
      </c>
      <c r="E346">
        <v>36</v>
      </c>
      <c r="F346">
        <v>62</v>
      </c>
      <c r="G346">
        <v>158</v>
      </c>
      <c r="H346">
        <v>13</v>
      </c>
      <c r="I346">
        <v>78</v>
      </c>
      <c r="J346">
        <v>22</v>
      </c>
      <c r="K346">
        <v>11</v>
      </c>
      <c r="L346">
        <v>2</v>
      </c>
      <c r="M346">
        <v>6</v>
      </c>
      <c r="N346">
        <v>14</v>
      </c>
      <c r="O346">
        <v>1</v>
      </c>
      <c r="P346" t="str">
        <f>IF(Table1[[#This Row],[Pregnant(Y/N)]]=1,"YES","NO")</f>
        <v>YES</v>
      </c>
      <c r="Q346">
        <v>0</v>
      </c>
      <c r="R346">
        <v>34.65</v>
      </c>
      <c r="S346">
        <v>34.65</v>
      </c>
      <c r="T346">
        <v>4.4800000000000004</v>
      </c>
      <c r="U346">
        <v>1.25</v>
      </c>
      <c r="V346">
        <f>Table1[[#This Row],[FSH(mIU/mL)]]/Table1[[#This Row],[LH(mIU/mL)]]</f>
        <v>3.5840000000000005</v>
      </c>
      <c r="W346" t="str">
        <f>IF(Table1[[#This Row],[FSH/LH]]&gt;=2,"Abnormal","Normal")</f>
        <v>Abnormal</v>
      </c>
      <c r="X346">
        <v>40</v>
      </c>
      <c r="Y346">
        <v>36</v>
      </c>
      <c r="Z346">
        <f>ROUND(Table1[[#This Row],[Waist(inch)]]/Table1[[#This Row],[Hip(inch)]],2)</f>
        <v>0.9</v>
      </c>
      <c r="AA346">
        <v>0.72</v>
      </c>
      <c r="AB346">
        <v>3.6</v>
      </c>
      <c r="AC346">
        <v>8.3800000000000008</v>
      </c>
      <c r="AD346">
        <v>30.1</v>
      </c>
      <c r="AE346" t="str">
        <f>IF(Table1[[#This Row],[Vit D3 (ng/mL)]]&lt;20,"Deficiency","Normal")</f>
        <v>Normal</v>
      </c>
      <c r="AF346">
        <v>0.25</v>
      </c>
      <c r="AG346">
        <v>107</v>
      </c>
      <c r="AH346">
        <v>0</v>
      </c>
      <c r="AI346" t="str">
        <f>IF(Table1[[#This Row],[Weight gain(Y/N)]]=0,"NO","YES")</f>
        <v>NO</v>
      </c>
      <c r="AJ346">
        <v>0</v>
      </c>
      <c r="AK346" t="str">
        <f>IF(Table1[[#This Row],[hair growth(Y/N)]]=1,"YES","NO")</f>
        <v>NO</v>
      </c>
      <c r="AL346">
        <v>0</v>
      </c>
      <c r="AM346" t="str">
        <f>IF(Table1[[#This Row],[Skin darkening (Y/N)]]=1,"YES","NO")</f>
        <v>NO</v>
      </c>
      <c r="AN346">
        <v>1</v>
      </c>
      <c r="AO346" t="str">
        <f>IF(Table1[[#This Row],[Hair loss(Y/N)]]=1,"YES","NO")</f>
        <v>YES</v>
      </c>
      <c r="AP346">
        <v>1</v>
      </c>
      <c r="AQ346" t="str">
        <f>IF(Table1[[#This Row],[Pimples(Y/N)]]=1,"YES","NO")</f>
        <v>YES</v>
      </c>
      <c r="AR346">
        <v>1</v>
      </c>
      <c r="AS346" t="str">
        <f>IF(Table1[[#This Row],[Fast food (Y/N)]]=1,"YES","NO")</f>
        <v>YES</v>
      </c>
      <c r="AT346">
        <v>0</v>
      </c>
      <c r="AU346" t="str">
        <f>IF(Table1[[#This Row],[Reg.Exercise(Y/N)]]=1,"YES","NO")</f>
        <v>NO</v>
      </c>
      <c r="AV346">
        <v>110</v>
      </c>
      <c r="AW346">
        <v>80</v>
      </c>
      <c r="AX346">
        <v>3</v>
      </c>
      <c r="AY346">
        <v>5</v>
      </c>
      <c r="AZ346">
        <v>10</v>
      </c>
      <c r="BA346">
        <v>11</v>
      </c>
      <c r="BB346">
        <v>9.1999999999999993</v>
      </c>
      <c r="BC346" t="str" cm="1">
        <f t="array" ref="BC346">_xlfn.IFS((F346/(G346*G346)*10000)&lt; 18.5,"Underweight",(F346/(G346*G346)*10000)&lt;24.9,"Normal",(F346/(G346*G346)*10000)&lt;29.9,"Overweight",(F346/(G346*G346)*10000)&gt;=30,"obesity")</f>
        <v>Normal</v>
      </c>
      <c r="BD346">
        <f>Table1[[#This Row],[Follicle No. (L)]]+Table1[[#This Row],[Follicle No. (R)]]</f>
        <v>8</v>
      </c>
      <c r="BE346">
        <f>Table1[[#This Row],[Avg. F size (L) (mm)]]+Table1[[#This Row],[Avg. F size (R) (mm)]]</f>
        <v>21</v>
      </c>
      <c r="BF346">
        <f>Table1[[#This Row],[BP _Diastolic (mmHg)]]+(Table1[[#This Row],[BP _Diastolic (mmHg)]]+Table1[[#This Row],[Follicle No. (L)]])/3</f>
        <v>107.66666666666667</v>
      </c>
      <c r="BG346" s="4" t="str" cm="1">
        <f t="array" ref="BG34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46" s="4">
        <f>SUM(Table1[[#This Row],[Pimples(Y/N)]],Table1[[#This Row],[hair growth(Y/N)]],Table1[[#This Row],[Skin darkening (Y/N)]],Table1[[#This Row],[Hair loss(Y/N)]])</f>
        <v>2</v>
      </c>
      <c r="BI346" s="4" t="str">
        <f>IF(AND(Table1[[#This Row],[Pregnant(Y/N)]]=0, Table1[[#This Row],[  I   beta-HCG(mIU/mL)]]&gt;5), "Investigation Required", "Clear")</f>
        <v>Clear</v>
      </c>
    </row>
    <row r="347" spans="1:61" ht="15.75" customHeight="1" x14ac:dyDescent="0.25">
      <c r="A347">
        <v>346</v>
      </c>
      <c r="B347">
        <v>346</v>
      </c>
      <c r="C347">
        <v>0</v>
      </c>
      <c r="D347" t="str">
        <f>IF(Table1[[#This Row],[PCOS (Y/N)]]=0,"NO","YES")</f>
        <v>NO</v>
      </c>
      <c r="E347">
        <v>30</v>
      </c>
      <c r="F347">
        <v>50</v>
      </c>
      <c r="G347">
        <v>152</v>
      </c>
      <c r="H347">
        <v>15</v>
      </c>
      <c r="I347">
        <v>78</v>
      </c>
      <c r="J347">
        <v>22</v>
      </c>
      <c r="K347">
        <v>10.5</v>
      </c>
      <c r="L347">
        <v>4</v>
      </c>
      <c r="M347">
        <v>3</v>
      </c>
      <c r="N347">
        <v>2</v>
      </c>
      <c r="O347">
        <v>1</v>
      </c>
      <c r="P347" t="str">
        <f>IF(Table1[[#This Row],[Pregnant(Y/N)]]=1,"YES","NO")</f>
        <v>YES</v>
      </c>
      <c r="Q347">
        <v>0</v>
      </c>
      <c r="R347">
        <v>48.86</v>
      </c>
      <c r="S347">
        <v>48.86</v>
      </c>
      <c r="T347">
        <v>4.63</v>
      </c>
      <c r="U347">
        <v>0.3</v>
      </c>
      <c r="V347">
        <f>Table1[[#This Row],[FSH(mIU/mL)]]/Table1[[#This Row],[LH(mIU/mL)]]</f>
        <v>15.433333333333334</v>
      </c>
      <c r="W347" t="str">
        <f>IF(Table1[[#This Row],[FSH/LH]]&gt;=2,"Abnormal","Normal")</f>
        <v>Abnormal</v>
      </c>
      <c r="X347">
        <v>38</v>
      </c>
      <c r="Y347">
        <v>35</v>
      </c>
      <c r="Z347">
        <f>ROUND(Table1[[#This Row],[Waist(inch)]]/Table1[[#This Row],[Hip(inch)]],2)</f>
        <v>0.92</v>
      </c>
      <c r="AA347">
        <v>1.1299999999999999</v>
      </c>
      <c r="AB347">
        <v>2.8</v>
      </c>
      <c r="AC347">
        <v>5.65</v>
      </c>
      <c r="AD347">
        <v>36.9</v>
      </c>
      <c r="AE347" t="str">
        <f>IF(Table1[[#This Row],[Vit D3 (ng/mL)]]&lt;20,"Deficiency","Normal")</f>
        <v>Normal</v>
      </c>
      <c r="AF347">
        <v>0.25</v>
      </c>
      <c r="AG347">
        <v>92</v>
      </c>
      <c r="AH347">
        <v>0</v>
      </c>
      <c r="AI347" t="str">
        <f>IF(Table1[[#This Row],[Weight gain(Y/N)]]=0,"NO","YES")</f>
        <v>NO</v>
      </c>
      <c r="AJ347">
        <v>0</v>
      </c>
      <c r="AK347" t="str">
        <f>IF(Table1[[#This Row],[hair growth(Y/N)]]=1,"YES","NO")</f>
        <v>NO</v>
      </c>
      <c r="AL347">
        <v>0</v>
      </c>
      <c r="AM347" t="str">
        <f>IF(Table1[[#This Row],[Skin darkening (Y/N)]]=1,"YES","NO")</f>
        <v>NO</v>
      </c>
      <c r="AN347">
        <v>0</v>
      </c>
      <c r="AO347" t="str">
        <f>IF(Table1[[#This Row],[Hair loss(Y/N)]]=1,"YES","NO")</f>
        <v>NO</v>
      </c>
      <c r="AP347">
        <v>1</v>
      </c>
      <c r="AQ347" t="str">
        <f>IF(Table1[[#This Row],[Pimples(Y/N)]]=1,"YES","NO")</f>
        <v>YES</v>
      </c>
      <c r="AR347">
        <v>1</v>
      </c>
      <c r="AS347" t="str">
        <f>IF(Table1[[#This Row],[Fast food (Y/N)]]=1,"YES","NO")</f>
        <v>YES</v>
      </c>
      <c r="AT347">
        <v>0</v>
      </c>
      <c r="AU347" t="str">
        <f>IF(Table1[[#This Row],[Reg.Exercise(Y/N)]]=1,"YES","NO")</f>
        <v>NO</v>
      </c>
      <c r="AV347">
        <v>110</v>
      </c>
      <c r="AW347">
        <v>80</v>
      </c>
      <c r="AX347">
        <v>1</v>
      </c>
      <c r="AY347">
        <v>1</v>
      </c>
      <c r="AZ347">
        <v>10</v>
      </c>
      <c r="BA347">
        <v>10</v>
      </c>
      <c r="BB347">
        <v>13</v>
      </c>
      <c r="BC347" t="str" cm="1">
        <f t="array" ref="BC347">_xlfn.IFS((F347/(G347*G347)*10000)&lt; 18.5,"Underweight",(F347/(G347*G347)*10000)&lt;24.9,"Normal",(F347/(G347*G347)*10000)&lt;29.9,"Overweight",(F347/(G347*G347)*10000)&gt;=30,"obesity")</f>
        <v>Normal</v>
      </c>
      <c r="BD347">
        <f>Table1[[#This Row],[Follicle No. (L)]]+Table1[[#This Row],[Follicle No. (R)]]</f>
        <v>2</v>
      </c>
      <c r="BE347">
        <f>Table1[[#This Row],[Avg. F size (L) (mm)]]+Table1[[#This Row],[Avg. F size (R) (mm)]]</f>
        <v>20</v>
      </c>
      <c r="BF347">
        <f>Table1[[#This Row],[BP _Diastolic (mmHg)]]+(Table1[[#This Row],[BP _Diastolic (mmHg)]]+Table1[[#This Row],[Follicle No. (L)]])/3</f>
        <v>107</v>
      </c>
      <c r="BG347" s="4" t="str" cm="1">
        <f t="array" ref="BG34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47" s="4">
        <f>SUM(Table1[[#This Row],[Pimples(Y/N)]],Table1[[#This Row],[hair growth(Y/N)]],Table1[[#This Row],[Skin darkening (Y/N)]],Table1[[#This Row],[Hair loss(Y/N)]])</f>
        <v>1</v>
      </c>
      <c r="BI347" s="4" t="str">
        <f>IF(AND(Table1[[#This Row],[Pregnant(Y/N)]]=0, Table1[[#This Row],[  I   beta-HCG(mIU/mL)]]&gt;5), "Investigation Required", "Clear")</f>
        <v>Clear</v>
      </c>
    </row>
    <row r="348" spans="1:61" ht="15.75" customHeight="1" x14ac:dyDescent="0.25">
      <c r="A348">
        <v>347</v>
      </c>
      <c r="B348">
        <v>347</v>
      </c>
      <c r="C348">
        <v>1</v>
      </c>
      <c r="D348" t="str">
        <f>IF(Table1[[#This Row],[PCOS (Y/N)]]=0,"NO","YES")</f>
        <v>YES</v>
      </c>
      <c r="E348">
        <v>28</v>
      </c>
      <c r="F348">
        <v>83</v>
      </c>
      <c r="G348">
        <v>164</v>
      </c>
      <c r="H348">
        <v>11</v>
      </c>
      <c r="I348">
        <v>74</v>
      </c>
      <c r="J348">
        <v>20</v>
      </c>
      <c r="K348">
        <v>11.1</v>
      </c>
      <c r="L348">
        <v>4</v>
      </c>
      <c r="M348">
        <v>2</v>
      </c>
      <c r="N348">
        <v>7</v>
      </c>
      <c r="O348">
        <v>0</v>
      </c>
      <c r="P348" t="str">
        <f>IF(Table1[[#This Row],[Pregnant(Y/N)]]=1,"YES","NO")</f>
        <v>NO</v>
      </c>
      <c r="Q348">
        <v>1</v>
      </c>
      <c r="R348">
        <v>1.99</v>
      </c>
      <c r="S348">
        <v>1.99</v>
      </c>
      <c r="T348">
        <v>5.5</v>
      </c>
      <c r="U348">
        <v>3.03</v>
      </c>
      <c r="V348">
        <f>Table1[[#This Row],[FSH(mIU/mL)]]/Table1[[#This Row],[LH(mIU/mL)]]</f>
        <v>1.8151815181518154</v>
      </c>
      <c r="W348" t="str">
        <f>IF(Table1[[#This Row],[FSH/LH]]&gt;=2,"Abnormal","Normal")</f>
        <v>Normal</v>
      </c>
      <c r="X348">
        <v>42</v>
      </c>
      <c r="Y348">
        <v>37</v>
      </c>
      <c r="Z348">
        <f>ROUND(Table1[[#This Row],[Waist(inch)]]/Table1[[#This Row],[Hip(inch)]],2)</f>
        <v>0.88</v>
      </c>
      <c r="AA348">
        <v>20.85</v>
      </c>
      <c r="AB348">
        <v>20.399999999999999</v>
      </c>
      <c r="AC348">
        <v>14.63</v>
      </c>
      <c r="AD348">
        <v>10.5</v>
      </c>
      <c r="AE348" t="str">
        <f>IF(Table1[[#This Row],[Vit D3 (ng/mL)]]&lt;20,"Deficiency","Normal")</f>
        <v>Deficiency</v>
      </c>
      <c r="AF348">
        <v>0.52</v>
      </c>
      <c r="AG348">
        <v>110</v>
      </c>
      <c r="AH348">
        <v>1</v>
      </c>
      <c r="AI348" t="str">
        <f>IF(Table1[[#This Row],[Weight gain(Y/N)]]=0,"NO","YES")</f>
        <v>YES</v>
      </c>
      <c r="AJ348">
        <v>1</v>
      </c>
      <c r="AK348" t="str">
        <f>IF(Table1[[#This Row],[hair growth(Y/N)]]=1,"YES","NO")</f>
        <v>YES</v>
      </c>
      <c r="AL348">
        <v>0</v>
      </c>
      <c r="AM348" t="str">
        <f>IF(Table1[[#This Row],[Skin darkening (Y/N)]]=1,"YES","NO")</f>
        <v>NO</v>
      </c>
      <c r="AN348">
        <v>1</v>
      </c>
      <c r="AO348" t="str">
        <f>IF(Table1[[#This Row],[Hair loss(Y/N)]]=1,"YES","NO")</f>
        <v>YES</v>
      </c>
      <c r="AP348">
        <v>1</v>
      </c>
      <c r="AQ348" t="str">
        <f>IF(Table1[[#This Row],[Pimples(Y/N)]]=1,"YES","NO")</f>
        <v>YES</v>
      </c>
      <c r="AR348">
        <v>1</v>
      </c>
      <c r="AS348" t="str">
        <f>IF(Table1[[#This Row],[Fast food (Y/N)]]=1,"YES","NO")</f>
        <v>YES</v>
      </c>
      <c r="AT348">
        <v>0</v>
      </c>
      <c r="AU348" t="str">
        <f>IF(Table1[[#This Row],[Reg.Exercise(Y/N)]]=1,"YES","NO")</f>
        <v>NO</v>
      </c>
      <c r="AV348">
        <v>110</v>
      </c>
      <c r="AW348">
        <v>80</v>
      </c>
      <c r="AX348">
        <v>10</v>
      </c>
      <c r="AY348">
        <v>12</v>
      </c>
      <c r="AZ348">
        <v>15</v>
      </c>
      <c r="BA348">
        <v>17</v>
      </c>
      <c r="BB348">
        <v>10</v>
      </c>
      <c r="BC348" t="str" cm="1">
        <f t="array" ref="BC348">_xlfn.IFS((F348/(G348*G348)*10000)&lt; 18.5,"Underweight",(F348/(G348*G348)*10000)&lt;24.9,"Normal",(F348/(G348*G348)*10000)&lt;29.9,"Overweight",(F348/(G348*G348)*10000)&gt;=30,"obesity")</f>
        <v>obesity</v>
      </c>
      <c r="BD348">
        <f>Table1[[#This Row],[Follicle No. (L)]]+Table1[[#This Row],[Follicle No. (R)]]</f>
        <v>22</v>
      </c>
      <c r="BE348">
        <f>Table1[[#This Row],[Avg. F size (L) (mm)]]+Table1[[#This Row],[Avg. F size (R) (mm)]]</f>
        <v>32</v>
      </c>
      <c r="BF348">
        <f>Table1[[#This Row],[BP _Diastolic (mmHg)]]+(Table1[[#This Row],[BP _Diastolic (mmHg)]]+Table1[[#This Row],[Follicle No. (L)]])/3</f>
        <v>110</v>
      </c>
      <c r="BG348" s="4" t="str" cm="1">
        <f t="array" ref="BG34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48" s="4">
        <f>SUM(Table1[[#This Row],[Pimples(Y/N)]],Table1[[#This Row],[hair growth(Y/N)]],Table1[[#This Row],[Skin darkening (Y/N)]],Table1[[#This Row],[Hair loss(Y/N)]])</f>
        <v>3</v>
      </c>
      <c r="BI348" s="4" t="str">
        <f>IF(AND(Table1[[#This Row],[Pregnant(Y/N)]]=0, Table1[[#This Row],[  I   beta-HCG(mIU/mL)]]&gt;5), "Investigation Required", "Clear")</f>
        <v>Clear</v>
      </c>
    </row>
    <row r="349" spans="1:61" ht="15.75" customHeight="1" x14ac:dyDescent="0.25">
      <c r="A349">
        <v>348</v>
      </c>
      <c r="B349">
        <v>348</v>
      </c>
      <c r="C349">
        <v>0</v>
      </c>
      <c r="D349" t="str">
        <f>IF(Table1[[#This Row],[PCOS (Y/N)]]=0,"NO","YES")</f>
        <v>NO</v>
      </c>
      <c r="E349">
        <v>31</v>
      </c>
      <c r="F349">
        <v>56</v>
      </c>
      <c r="G349">
        <v>158</v>
      </c>
      <c r="H349">
        <v>11</v>
      </c>
      <c r="I349">
        <v>72</v>
      </c>
      <c r="J349">
        <v>18</v>
      </c>
      <c r="K349">
        <v>10.199999999999999</v>
      </c>
      <c r="L349">
        <v>2</v>
      </c>
      <c r="M349">
        <v>6</v>
      </c>
      <c r="N349">
        <v>10</v>
      </c>
      <c r="O349">
        <v>1</v>
      </c>
      <c r="P349" t="str">
        <f>IF(Table1[[#This Row],[Pregnant(Y/N)]]=1,"YES","NO")</f>
        <v>YES</v>
      </c>
      <c r="Q349">
        <v>0</v>
      </c>
      <c r="R349">
        <v>371.74</v>
      </c>
      <c r="S349">
        <v>371.74</v>
      </c>
      <c r="T349">
        <v>1.8</v>
      </c>
      <c r="U349">
        <v>0.35</v>
      </c>
      <c r="V349">
        <f>Table1[[#This Row],[FSH(mIU/mL)]]/Table1[[#This Row],[LH(mIU/mL)]]</f>
        <v>5.1428571428571432</v>
      </c>
      <c r="W349" t="str">
        <f>IF(Table1[[#This Row],[FSH/LH]]&gt;=2,"Abnormal","Normal")</f>
        <v>Abnormal</v>
      </c>
      <c r="X349">
        <v>38</v>
      </c>
      <c r="Y349">
        <v>35</v>
      </c>
      <c r="Z349">
        <f>ROUND(Table1[[#This Row],[Waist(inch)]]/Table1[[#This Row],[Hip(inch)]],2)</f>
        <v>0.92</v>
      </c>
      <c r="AA349">
        <v>0.53</v>
      </c>
      <c r="AB349">
        <v>1.5</v>
      </c>
      <c r="AC349">
        <v>20.9</v>
      </c>
      <c r="AD349">
        <v>34</v>
      </c>
      <c r="AE349" t="str">
        <f>IF(Table1[[#This Row],[Vit D3 (ng/mL)]]&lt;20,"Deficiency","Normal")</f>
        <v>Normal</v>
      </c>
      <c r="AF349">
        <v>0.25</v>
      </c>
      <c r="AG349">
        <v>100</v>
      </c>
      <c r="AH349">
        <v>0</v>
      </c>
      <c r="AI349" t="str">
        <f>IF(Table1[[#This Row],[Weight gain(Y/N)]]=0,"NO","YES")</f>
        <v>NO</v>
      </c>
      <c r="AJ349">
        <v>0</v>
      </c>
      <c r="AK349" t="str">
        <f>IF(Table1[[#This Row],[hair growth(Y/N)]]=1,"YES","NO")</f>
        <v>NO</v>
      </c>
      <c r="AL349">
        <v>0</v>
      </c>
      <c r="AM349" t="str">
        <f>IF(Table1[[#This Row],[Skin darkening (Y/N)]]=1,"YES","NO")</f>
        <v>NO</v>
      </c>
      <c r="AN349">
        <v>1</v>
      </c>
      <c r="AO349" t="str">
        <f>IF(Table1[[#This Row],[Hair loss(Y/N)]]=1,"YES","NO")</f>
        <v>YES</v>
      </c>
      <c r="AP349">
        <v>1</v>
      </c>
      <c r="AQ349" t="str">
        <f>IF(Table1[[#This Row],[Pimples(Y/N)]]=1,"YES","NO")</f>
        <v>YES</v>
      </c>
      <c r="AR349">
        <v>1</v>
      </c>
      <c r="AS349" t="str">
        <f>IF(Table1[[#This Row],[Fast food (Y/N)]]=1,"YES","NO")</f>
        <v>YES</v>
      </c>
      <c r="AT349">
        <v>0</v>
      </c>
      <c r="AU349" t="str">
        <f>IF(Table1[[#This Row],[Reg.Exercise(Y/N)]]=1,"YES","NO")</f>
        <v>NO</v>
      </c>
      <c r="AV349">
        <v>110</v>
      </c>
      <c r="AW349">
        <v>70</v>
      </c>
      <c r="AX349">
        <v>6</v>
      </c>
      <c r="AY349">
        <v>4</v>
      </c>
      <c r="AZ349">
        <v>10</v>
      </c>
      <c r="BA349">
        <v>11</v>
      </c>
      <c r="BB349">
        <v>11</v>
      </c>
      <c r="BC349" t="str" cm="1">
        <f t="array" ref="BC349">_xlfn.IFS((F349/(G349*G349)*10000)&lt; 18.5,"Underweight",(F349/(G349*G349)*10000)&lt;24.9,"Normal",(F349/(G349*G349)*10000)&lt;29.9,"Overweight",(F349/(G349*G349)*10000)&gt;=30,"obesity")</f>
        <v>Normal</v>
      </c>
      <c r="BD349">
        <f>Table1[[#This Row],[Follicle No. (L)]]+Table1[[#This Row],[Follicle No. (R)]]</f>
        <v>10</v>
      </c>
      <c r="BE349">
        <f>Table1[[#This Row],[Avg. F size (L) (mm)]]+Table1[[#This Row],[Avg. F size (R) (mm)]]</f>
        <v>21</v>
      </c>
      <c r="BF349">
        <f>Table1[[#This Row],[BP _Diastolic (mmHg)]]+(Table1[[#This Row],[BP _Diastolic (mmHg)]]+Table1[[#This Row],[Follicle No. (L)]])/3</f>
        <v>95.333333333333329</v>
      </c>
      <c r="BG349" s="4" t="str" cm="1">
        <f t="array" ref="BG34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49" s="4">
        <f>SUM(Table1[[#This Row],[Pimples(Y/N)]],Table1[[#This Row],[hair growth(Y/N)]],Table1[[#This Row],[Skin darkening (Y/N)]],Table1[[#This Row],[Hair loss(Y/N)]])</f>
        <v>2</v>
      </c>
      <c r="BI349" s="4" t="str">
        <f>IF(AND(Table1[[#This Row],[Pregnant(Y/N)]]=0, Table1[[#This Row],[  I   beta-HCG(mIU/mL)]]&gt;5), "Investigation Required", "Clear")</f>
        <v>Clear</v>
      </c>
    </row>
    <row r="350" spans="1:61" ht="15.75" customHeight="1" x14ac:dyDescent="0.25">
      <c r="A350">
        <v>349</v>
      </c>
      <c r="B350">
        <v>349</v>
      </c>
      <c r="C350">
        <v>0</v>
      </c>
      <c r="D350" t="str">
        <f>IF(Table1[[#This Row],[PCOS (Y/N)]]=0,"NO","YES")</f>
        <v>NO</v>
      </c>
      <c r="E350">
        <v>32</v>
      </c>
      <c r="F350">
        <v>57</v>
      </c>
      <c r="G350">
        <v>157</v>
      </c>
      <c r="H350">
        <v>13</v>
      </c>
      <c r="I350">
        <v>72</v>
      </c>
      <c r="J350">
        <v>20</v>
      </c>
      <c r="K350">
        <v>10.8</v>
      </c>
      <c r="L350">
        <v>2</v>
      </c>
      <c r="M350">
        <v>5</v>
      </c>
      <c r="N350">
        <v>4</v>
      </c>
      <c r="O350">
        <v>0</v>
      </c>
      <c r="P350" t="str">
        <f>IF(Table1[[#This Row],[Pregnant(Y/N)]]=1,"YES","NO")</f>
        <v>NO</v>
      </c>
      <c r="Q350">
        <v>0</v>
      </c>
      <c r="R350">
        <v>1.99</v>
      </c>
      <c r="S350">
        <v>1.99</v>
      </c>
      <c r="T350">
        <v>3.98</v>
      </c>
      <c r="U350">
        <v>1.43</v>
      </c>
      <c r="V350">
        <f>Table1[[#This Row],[FSH(mIU/mL)]]/Table1[[#This Row],[LH(mIU/mL)]]</f>
        <v>2.7832167832167833</v>
      </c>
      <c r="W350" t="str">
        <f>IF(Table1[[#This Row],[FSH/LH]]&gt;=2,"Abnormal","Normal")</f>
        <v>Abnormal</v>
      </c>
      <c r="X350">
        <v>38</v>
      </c>
      <c r="Y350">
        <v>34</v>
      </c>
      <c r="Z350">
        <f>ROUND(Table1[[#This Row],[Waist(inch)]]/Table1[[#This Row],[Hip(inch)]],2)</f>
        <v>0.89</v>
      </c>
      <c r="AA350">
        <v>4.29</v>
      </c>
      <c r="AB350">
        <v>4.5999999999999996</v>
      </c>
      <c r="AC350">
        <v>15.39</v>
      </c>
      <c r="AD350">
        <v>26.1</v>
      </c>
      <c r="AE350" t="str">
        <f>IF(Table1[[#This Row],[Vit D3 (ng/mL)]]&lt;20,"Deficiency","Normal")</f>
        <v>Normal</v>
      </c>
      <c r="AF350">
        <v>0.45</v>
      </c>
      <c r="AG350">
        <v>80</v>
      </c>
      <c r="AH350">
        <v>0</v>
      </c>
      <c r="AI350" t="str">
        <f>IF(Table1[[#This Row],[Weight gain(Y/N)]]=0,"NO","YES")</f>
        <v>NO</v>
      </c>
      <c r="AJ350">
        <v>0</v>
      </c>
      <c r="AK350" t="str">
        <f>IF(Table1[[#This Row],[hair growth(Y/N)]]=1,"YES","NO")</f>
        <v>NO</v>
      </c>
      <c r="AL350">
        <v>1</v>
      </c>
      <c r="AM350" t="str">
        <f>IF(Table1[[#This Row],[Skin darkening (Y/N)]]=1,"YES","NO")</f>
        <v>YES</v>
      </c>
      <c r="AN350">
        <v>0</v>
      </c>
      <c r="AO350" t="str">
        <f>IF(Table1[[#This Row],[Hair loss(Y/N)]]=1,"YES","NO")</f>
        <v>NO</v>
      </c>
      <c r="AP350">
        <v>1</v>
      </c>
      <c r="AQ350" t="str">
        <f>IF(Table1[[#This Row],[Pimples(Y/N)]]=1,"YES","NO")</f>
        <v>YES</v>
      </c>
      <c r="AR350">
        <v>1</v>
      </c>
      <c r="AS350" t="str">
        <f>IF(Table1[[#This Row],[Fast food (Y/N)]]=1,"YES","NO")</f>
        <v>YES</v>
      </c>
      <c r="AT350">
        <v>1</v>
      </c>
      <c r="AU350" t="str">
        <f>IF(Table1[[#This Row],[Reg.Exercise(Y/N)]]=1,"YES","NO")</f>
        <v>YES</v>
      </c>
      <c r="AV350">
        <v>110</v>
      </c>
      <c r="AW350">
        <v>70</v>
      </c>
      <c r="AX350">
        <v>4</v>
      </c>
      <c r="AY350">
        <v>8</v>
      </c>
      <c r="AZ350">
        <v>11</v>
      </c>
      <c r="BA350">
        <v>15</v>
      </c>
      <c r="BB350">
        <v>10.8</v>
      </c>
      <c r="BC350" t="str" cm="1">
        <f t="array" ref="BC350">_xlfn.IFS((F350/(G350*G350)*10000)&lt; 18.5,"Underweight",(F350/(G350*G350)*10000)&lt;24.9,"Normal",(F350/(G350*G350)*10000)&lt;29.9,"Overweight",(F350/(G350*G350)*10000)&gt;=30,"obesity")</f>
        <v>Normal</v>
      </c>
      <c r="BD350">
        <f>Table1[[#This Row],[Follicle No. (L)]]+Table1[[#This Row],[Follicle No. (R)]]</f>
        <v>12</v>
      </c>
      <c r="BE350">
        <f>Table1[[#This Row],[Avg. F size (L) (mm)]]+Table1[[#This Row],[Avg. F size (R) (mm)]]</f>
        <v>26</v>
      </c>
      <c r="BF350">
        <f>Table1[[#This Row],[BP _Diastolic (mmHg)]]+(Table1[[#This Row],[BP _Diastolic (mmHg)]]+Table1[[#This Row],[Follicle No. (L)]])/3</f>
        <v>94.666666666666671</v>
      </c>
      <c r="BG350" s="4" t="str" cm="1">
        <f t="array" ref="BG35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50" s="4">
        <f>SUM(Table1[[#This Row],[Pimples(Y/N)]],Table1[[#This Row],[hair growth(Y/N)]],Table1[[#This Row],[Skin darkening (Y/N)]],Table1[[#This Row],[Hair loss(Y/N)]])</f>
        <v>2</v>
      </c>
      <c r="BI350" s="4" t="str">
        <f>IF(AND(Table1[[#This Row],[Pregnant(Y/N)]]=0, Table1[[#This Row],[  I   beta-HCG(mIU/mL)]]&gt;5), "Investigation Required", "Clear")</f>
        <v>Clear</v>
      </c>
    </row>
    <row r="351" spans="1:61" ht="15.75" customHeight="1" x14ac:dyDescent="0.25">
      <c r="A351">
        <v>350</v>
      </c>
      <c r="B351">
        <v>350</v>
      </c>
      <c r="C351">
        <v>0</v>
      </c>
      <c r="D351" t="str">
        <f>IF(Table1[[#This Row],[PCOS (Y/N)]]=0,"NO","YES")</f>
        <v>NO</v>
      </c>
      <c r="E351">
        <v>30</v>
      </c>
      <c r="F351">
        <v>71</v>
      </c>
      <c r="G351">
        <v>157</v>
      </c>
      <c r="H351">
        <v>13</v>
      </c>
      <c r="I351">
        <v>72</v>
      </c>
      <c r="J351">
        <v>18</v>
      </c>
      <c r="K351">
        <v>11</v>
      </c>
      <c r="L351">
        <v>4</v>
      </c>
      <c r="M351">
        <v>2</v>
      </c>
      <c r="N351">
        <v>5</v>
      </c>
      <c r="O351">
        <v>0</v>
      </c>
      <c r="P351" t="str">
        <f>IF(Table1[[#This Row],[Pregnant(Y/N)]]=1,"YES","NO")</f>
        <v>NO</v>
      </c>
      <c r="Q351">
        <v>0</v>
      </c>
      <c r="R351">
        <v>1.99</v>
      </c>
      <c r="S351">
        <v>1.99</v>
      </c>
      <c r="T351">
        <v>7.57</v>
      </c>
      <c r="U351">
        <v>4.6500000000000004</v>
      </c>
      <c r="V351">
        <f>Table1[[#This Row],[FSH(mIU/mL)]]/Table1[[#This Row],[LH(mIU/mL)]]</f>
        <v>1.6279569892473118</v>
      </c>
      <c r="W351" t="str">
        <f>IF(Table1[[#This Row],[FSH/LH]]&gt;=2,"Abnormal","Normal")</f>
        <v>Normal</v>
      </c>
      <c r="X351">
        <v>42</v>
      </c>
      <c r="Y351">
        <v>36</v>
      </c>
      <c r="Z351">
        <f>ROUND(Table1[[#This Row],[Waist(inch)]]/Table1[[#This Row],[Hip(inch)]],2)</f>
        <v>0.86</v>
      </c>
      <c r="AA351">
        <v>1.42</v>
      </c>
      <c r="AB351">
        <v>5</v>
      </c>
      <c r="AC351">
        <v>20.45</v>
      </c>
      <c r="AD351">
        <v>13.9</v>
      </c>
      <c r="AE351" t="str">
        <f>IF(Table1[[#This Row],[Vit D3 (ng/mL)]]&lt;20,"Deficiency","Normal")</f>
        <v>Deficiency</v>
      </c>
      <c r="AF351">
        <v>0.59</v>
      </c>
      <c r="AG351">
        <v>92</v>
      </c>
      <c r="AH351">
        <v>1</v>
      </c>
      <c r="AI351" t="str">
        <f>IF(Table1[[#This Row],[Weight gain(Y/N)]]=0,"NO","YES")</f>
        <v>YES</v>
      </c>
      <c r="AJ351">
        <v>0</v>
      </c>
      <c r="AK351" t="str">
        <f>IF(Table1[[#This Row],[hair growth(Y/N)]]=1,"YES","NO")</f>
        <v>NO</v>
      </c>
      <c r="AL351">
        <v>0</v>
      </c>
      <c r="AM351" t="str">
        <f>IF(Table1[[#This Row],[Skin darkening (Y/N)]]=1,"YES","NO")</f>
        <v>NO</v>
      </c>
      <c r="AN351">
        <v>1</v>
      </c>
      <c r="AO351" t="str">
        <f>IF(Table1[[#This Row],[Hair loss(Y/N)]]=1,"YES","NO")</f>
        <v>YES</v>
      </c>
      <c r="AP351">
        <v>1</v>
      </c>
      <c r="AQ351" t="str">
        <f>IF(Table1[[#This Row],[Pimples(Y/N)]]=1,"YES","NO")</f>
        <v>YES</v>
      </c>
      <c r="AR351">
        <v>1</v>
      </c>
      <c r="AS351" t="str">
        <f>IF(Table1[[#This Row],[Fast food (Y/N)]]=1,"YES","NO")</f>
        <v>YES</v>
      </c>
      <c r="AT351">
        <v>0</v>
      </c>
      <c r="AU351" t="str">
        <f>IF(Table1[[#This Row],[Reg.Exercise(Y/N)]]=1,"YES","NO")</f>
        <v>NO</v>
      </c>
      <c r="AV351">
        <v>110</v>
      </c>
      <c r="AW351">
        <v>80</v>
      </c>
      <c r="AX351">
        <v>1</v>
      </c>
      <c r="AY351">
        <v>3</v>
      </c>
      <c r="AZ351">
        <v>12</v>
      </c>
      <c r="BA351">
        <v>15</v>
      </c>
      <c r="BB351">
        <v>14</v>
      </c>
      <c r="BC351" t="str" cm="1">
        <f t="array" ref="BC351">_xlfn.IFS((F351/(G351*G351)*10000)&lt; 18.5,"Underweight",(F351/(G351*G351)*10000)&lt;24.9,"Normal",(F351/(G351*G351)*10000)&lt;29.9,"Overweight",(F351/(G351*G351)*10000)&gt;=30,"obesity")</f>
        <v>Overweight</v>
      </c>
      <c r="BD351">
        <f>Table1[[#This Row],[Follicle No. (L)]]+Table1[[#This Row],[Follicle No. (R)]]</f>
        <v>4</v>
      </c>
      <c r="BE351">
        <f>Table1[[#This Row],[Avg. F size (L) (mm)]]+Table1[[#This Row],[Avg. F size (R) (mm)]]</f>
        <v>27</v>
      </c>
      <c r="BF351">
        <f>Table1[[#This Row],[BP _Diastolic (mmHg)]]+(Table1[[#This Row],[BP _Diastolic (mmHg)]]+Table1[[#This Row],[Follicle No. (L)]])/3</f>
        <v>107</v>
      </c>
      <c r="BG351" s="4" t="str" cm="1">
        <f t="array" ref="BG35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51" s="4">
        <f>SUM(Table1[[#This Row],[Pimples(Y/N)]],Table1[[#This Row],[hair growth(Y/N)]],Table1[[#This Row],[Skin darkening (Y/N)]],Table1[[#This Row],[Hair loss(Y/N)]])</f>
        <v>2</v>
      </c>
      <c r="BI351" s="4" t="str">
        <f>IF(AND(Table1[[#This Row],[Pregnant(Y/N)]]=0, Table1[[#This Row],[  I   beta-HCG(mIU/mL)]]&gt;5), "Investigation Required", "Clear")</f>
        <v>Clear</v>
      </c>
    </row>
    <row r="352" spans="1:61" ht="15.75" customHeight="1" x14ac:dyDescent="0.25">
      <c r="A352">
        <v>351</v>
      </c>
      <c r="B352">
        <v>351</v>
      </c>
      <c r="C352">
        <v>0</v>
      </c>
      <c r="D352" t="str">
        <f>IF(Table1[[#This Row],[PCOS (Y/N)]]=0,"NO","YES")</f>
        <v>NO</v>
      </c>
      <c r="E352">
        <v>22</v>
      </c>
      <c r="F352">
        <v>56</v>
      </c>
      <c r="G352">
        <v>154</v>
      </c>
      <c r="H352">
        <v>13</v>
      </c>
      <c r="I352">
        <v>72</v>
      </c>
      <c r="J352">
        <v>18</v>
      </c>
      <c r="K352">
        <v>10.8</v>
      </c>
      <c r="L352">
        <v>2</v>
      </c>
      <c r="M352">
        <v>6</v>
      </c>
      <c r="N352">
        <v>1</v>
      </c>
      <c r="O352">
        <v>1</v>
      </c>
      <c r="P352" t="str">
        <f>IF(Table1[[#This Row],[Pregnant(Y/N)]]=1,"YES","NO")</f>
        <v>YES</v>
      </c>
      <c r="Q352">
        <v>0</v>
      </c>
      <c r="R352">
        <v>213.49</v>
      </c>
      <c r="S352">
        <v>1.99</v>
      </c>
      <c r="T352">
        <v>4.6900000000000004</v>
      </c>
      <c r="U352">
        <v>3.67</v>
      </c>
      <c r="V352">
        <f>Table1[[#This Row],[FSH(mIU/mL)]]/Table1[[#This Row],[LH(mIU/mL)]]</f>
        <v>1.2779291553133516</v>
      </c>
      <c r="W352" t="str">
        <f>IF(Table1[[#This Row],[FSH/LH]]&gt;=2,"Abnormal","Normal")</f>
        <v>Normal</v>
      </c>
      <c r="X352">
        <v>39</v>
      </c>
      <c r="Y352">
        <v>34</v>
      </c>
      <c r="Z352">
        <f>ROUND(Table1[[#This Row],[Waist(inch)]]/Table1[[#This Row],[Hip(inch)]],2)</f>
        <v>0.87</v>
      </c>
      <c r="AA352">
        <v>3.62</v>
      </c>
      <c r="AB352">
        <v>3.9</v>
      </c>
      <c r="AC352">
        <v>25.5</v>
      </c>
      <c r="AD352">
        <v>35.5</v>
      </c>
      <c r="AE352" t="str">
        <f>IF(Table1[[#This Row],[Vit D3 (ng/mL)]]&lt;20,"Deficiency","Normal")</f>
        <v>Normal</v>
      </c>
      <c r="AF352">
        <v>1.24</v>
      </c>
      <c r="AG352">
        <v>100</v>
      </c>
      <c r="AH352">
        <v>0</v>
      </c>
      <c r="AI352" t="str">
        <f>IF(Table1[[#This Row],[Weight gain(Y/N)]]=0,"NO","YES")</f>
        <v>NO</v>
      </c>
      <c r="AJ352">
        <v>0</v>
      </c>
      <c r="AK352" t="str">
        <f>IF(Table1[[#This Row],[hair growth(Y/N)]]=1,"YES","NO")</f>
        <v>NO</v>
      </c>
      <c r="AL352">
        <v>0</v>
      </c>
      <c r="AM352" t="str">
        <f>IF(Table1[[#This Row],[Skin darkening (Y/N)]]=1,"YES","NO")</f>
        <v>NO</v>
      </c>
      <c r="AN352">
        <v>1</v>
      </c>
      <c r="AO352" t="str">
        <f>IF(Table1[[#This Row],[Hair loss(Y/N)]]=1,"YES","NO")</f>
        <v>YES</v>
      </c>
      <c r="AP352">
        <v>1</v>
      </c>
      <c r="AQ352" t="str">
        <f>IF(Table1[[#This Row],[Pimples(Y/N)]]=1,"YES","NO")</f>
        <v>YES</v>
      </c>
      <c r="AR352">
        <v>1</v>
      </c>
      <c r="AS352" t="str">
        <f>IF(Table1[[#This Row],[Fast food (Y/N)]]=1,"YES","NO")</f>
        <v>YES</v>
      </c>
      <c r="AT352">
        <v>0</v>
      </c>
      <c r="AU352" t="str">
        <f>IF(Table1[[#This Row],[Reg.Exercise(Y/N)]]=1,"YES","NO")</f>
        <v>NO</v>
      </c>
      <c r="AV352">
        <v>110</v>
      </c>
      <c r="AW352">
        <v>80</v>
      </c>
      <c r="AX352">
        <v>10</v>
      </c>
      <c r="AY352">
        <v>6</v>
      </c>
      <c r="AZ352">
        <v>15</v>
      </c>
      <c r="BA352">
        <v>12</v>
      </c>
      <c r="BB352">
        <v>9</v>
      </c>
      <c r="BC352" t="str" cm="1">
        <f t="array" ref="BC352">_xlfn.IFS((F352/(G352*G352)*10000)&lt; 18.5,"Underweight",(F352/(G352*G352)*10000)&lt;24.9,"Normal",(F352/(G352*G352)*10000)&lt;29.9,"Overweight",(F352/(G352*G352)*10000)&gt;=30,"obesity")</f>
        <v>Normal</v>
      </c>
      <c r="BD352">
        <f>Table1[[#This Row],[Follicle No. (L)]]+Table1[[#This Row],[Follicle No. (R)]]</f>
        <v>16</v>
      </c>
      <c r="BE352">
        <f>Table1[[#This Row],[Avg. F size (L) (mm)]]+Table1[[#This Row],[Avg. F size (R) (mm)]]</f>
        <v>27</v>
      </c>
      <c r="BF352">
        <f>Table1[[#This Row],[BP _Diastolic (mmHg)]]+(Table1[[#This Row],[BP _Diastolic (mmHg)]]+Table1[[#This Row],[Follicle No. (L)]])/3</f>
        <v>110</v>
      </c>
      <c r="BG352" s="4" t="str" cm="1">
        <f t="array" ref="BG35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52" s="4">
        <f>SUM(Table1[[#This Row],[Pimples(Y/N)]],Table1[[#This Row],[hair growth(Y/N)]],Table1[[#This Row],[Skin darkening (Y/N)]],Table1[[#This Row],[Hair loss(Y/N)]])</f>
        <v>2</v>
      </c>
      <c r="BI352" s="4" t="str">
        <f>IF(AND(Table1[[#This Row],[Pregnant(Y/N)]]=0, Table1[[#This Row],[  I   beta-HCG(mIU/mL)]]&gt;5), "Investigation Required", "Clear")</f>
        <v>Clear</v>
      </c>
    </row>
    <row r="353" spans="1:61" ht="15.75" customHeight="1" x14ac:dyDescent="0.25">
      <c r="A353">
        <v>352</v>
      </c>
      <c r="B353">
        <v>352</v>
      </c>
      <c r="C353">
        <v>1</v>
      </c>
      <c r="D353" t="str">
        <f>IF(Table1[[#This Row],[PCOS (Y/N)]]=0,"NO","YES")</f>
        <v>YES</v>
      </c>
      <c r="E353">
        <v>36</v>
      </c>
      <c r="F353">
        <v>54</v>
      </c>
      <c r="G353">
        <v>148</v>
      </c>
      <c r="H353">
        <v>13</v>
      </c>
      <c r="I353">
        <v>78</v>
      </c>
      <c r="J353">
        <v>24</v>
      </c>
      <c r="K353">
        <v>10.199999999999999</v>
      </c>
      <c r="L353">
        <v>4</v>
      </c>
      <c r="M353">
        <v>2</v>
      </c>
      <c r="N353">
        <v>15</v>
      </c>
      <c r="O353">
        <v>1</v>
      </c>
      <c r="P353" t="str">
        <f>IF(Table1[[#This Row],[Pregnant(Y/N)]]=1,"YES","NO")</f>
        <v>YES</v>
      </c>
      <c r="Q353">
        <v>0</v>
      </c>
      <c r="R353">
        <v>970.75</v>
      </c>
      <c r="S353">
        <v>970.75</v>
      </c>
      <c r="T353">
        <v>5.26</v>
      </c>
      <c r="U353">
        <v>9.8699999999999992</v>
      </c>
      <c r="V353">
        <f>Table1[[#This Row],[FSH(mIU/mL)]]/Table1[[#This Row],[LH(mIU/mL)]]</f>
        <v>0.53292806484295852</v>
      </c>
      <c r="W353" t="str">
        <f>IF(Table1[[#This Row],[FSH/LH]]&gt;=2,"Abnormal","Normal")</f>
        <v>Normal</v>
      </c>
      <c r="X353">
        <v>38</v>
      </c>
      <c r="Y353">
        <v>33</v>
      </c>
      <c r="Z353">
        <f>ROUND(Table1[[#This Row],[Waist(inch)]]/Table1[[#This Row],[Hip(inch)]],2)</f>
        <v>0.87</v>
      </c>
      <c r="AA353">
        <v>1.45</v>
      </c>
      <c r="AB353">
        <v>9.8000000000000007</v>
      </c>
      <c r="AC353">
        <v>8.1</v>
      </c>
      <c r="AD353">
        <v>42.1</v>
      </c>
      <c r="AE353" t="str">
        <f>IF(Table1[[#This Row],[Vit D3 (ng/mL)]]&lt;20,"Deficiency","Normal")</f>
        <v>Normal</v>
      </c>
      <c r="AF353">
        <v>0.48</v>
      </c>
      <c r="AG353">
        <v>85</v>
      </c>
      <c r="AH353">
        <v>0</v>
      </c>
      <c r="AI353" t="str">
        <f>IF(Table1[[#This Row],[Weight gain(Y/N)]]=0,"NO","YES")</f>
        <v>NO</v>
      </c>
      <c r="AJ353">
        <v>1</v>
      </c>
      <c r="AK353" t="str">
        <f>IF(Table1[[#This Row],[hair growth(Y/N)]]=1,"YES","NO")</f>
        <v>YES</v>
      </c>
      <c r="AL353">
        <v>0</v>
      </c>
      <c r="AM353" t="str">
        <f>IF(Table1[[#This Row],[Skin darkening (Y/N)]]=1,"YES","NO")</f>
        <v>NO</v>
      </c>
      <c r="AN353">
        <v>1</v>
      </c>
      <c r="AO353" t="str">
        <f>IF(Table1[[#This Row],[Hair loss(Y/N)]]=1,"YES","NO")</f>
        <v>YES</v>
      </c>
      <c r="AP353">
        <v>1</v>
      </c>
      <c r="AQ353" t="str">
        <f>IF(Table1[[#This Row],[Pimples(Y/N)]]=1,"YES","NO")</f>
        <v>YES</v>
      </c>
      <c r="AR353">
        <v>1</v>
      </c>
      <c r="AS353" t="str">
        <f>IF(Table1[[#This Row],[Fast food (Y/N)]]=1,"YES","NO")</f>
        <v>YES</v>
      </c>
      <c r="AT353">
        <v>0</v>
      </c>
      <c r="AU353" t="str">
        <f>IF(Table1[[#This Row],[Reg.Exercise(Y/N)]]=1,"YES","NO")</f>
        <v>NO</v>
      </c>
      <c r="AV353">
        <v>100</v>
      </c>
      <c r="AW353">
        <v>80</v>
      </c>
      <c r="AX353">
        <v>10</v>
      </c>
      <c r="AY353">
        <v>7</v>
      </c>
      <c r="AZ353">
        <v>13</v>
      </c>
      <c r="BA353">
        <v>15</v>
      </c>
      <c r="BB353">
        <v>9</v>
      </c>
      <c r="BC353" t="str" cm="1">
        <f t="array" ref="BC353">_xlfn.IFS((F353/(G353*G353)*10000)&lt; 18.5,"Underweight",(F353/(G353*G353)*10000)&lt;24.9,"Normal",(F353/(G353*G353)*10000)&lt;29.9,"Overweight",(F353/(G353*G353)*10000)&gt;=30,"obesity")</f>
        <v>Normal</v>
      </c>
      <c r="BD353">
        <f>Table1[[#This Row],[Follicle No. (L)]]+Table1[[#This Row],[Follicle No. (R)]]</f>
        <v>17</v>
      </c>
      <c r="BE353">
        <f>Table1[[#This Row],[Avg. F size (L) (mm)]]+Table1[[#This Row],[Avg. F size (R) (mm)]]</f>
        <v>28</v>
      </c>
      <c r="BF353">
        <f>Table1[[#This Row],[BP _Diastolic (mmHg)]]+(Table1[[#This Row],[BP _Diastolic (mmHg)]]+Table1[[#This Row],[Follicle No. (L)]])/3</f>
        <v>110</v>
      </c>
      <c r="BG353" s="4" t="str" cm="1">
        <f t="array" ref="BG35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53" s="4">
        <f>SUM(Table1[[#This Row],[Pimples(Y/N)]],Table1[[#This Row],[hair growth(Y/N)]],Table1[[#This Row],[Skin darkening (Y/N)]],Table1[[#This Row],[Hair loss(Y/N)]])</f>
        <v>3</v>
      </c>
      <c r="BI353" s="4" t="str">
        <f>IF(AND(Table1[[#This Row],[Pregnant(Y/N)]]=0, Table1[[#This Row],[  I   beta-HCG(mIU/mL)]]&gt;5), "Investigation Required", "Clear")</f>
        <v>Clear</v>
      </c>
    </row>
    <row r="354" spans="1:61" ht="15.75" customHeight="1" x14ac:dyDescent="0.25">
      <c r="A354">
        <v>353</v>
      </c>
      <c r="B354">
        <v>353</v>
      </c>
      <c r="C354">
        <v>1</v>
      </c>
      <c r="D354" t="str">
        <f>IF(Table1[[#This Row],[PCOS (Y/N)]]=0,"NO","YES")</f>
        <v>YES</v>
      </c>
      <c r="E354">
        <v>27</v>
      </c>
      <c r="F354">
        <v>60</v>
      </c>
      <c r="G354">
        <v>164</v>
      </c>
      <c r="H354">
        <v>15</v>
      </c>
      <c r="I354">
        <v>72</v>
      </c>
      <c r="J354">
        <v>18</v>
      </c>
      <c r="K354">
        <v>10.7</v>
      </c>
      <c r="L354">
        <v>2</v>
      </c>
      <c r="M354">
        <v>6</v>
      </c>
      <c r="N354">
        <v>2.5</v>
      </c>
      <c r="O354">
        <v>1</v>
      </c>
      <c r="P354" t="str">
        <f>IF(Table1[[#This Row],[Pregnant(Y/N)]]=1,"YES","NO")</f>
        <v>YES</v>
      </c>
      <c r="Q354">
        <v>0</v>
      </c>
      <c r="R354">
        <v>109.06</v>
      </c>
      <c r="S354">
        <v>109.06</v>
      </c>
      <c r="T354">
        <v>3.19</v>
      </c>
      <c r="U354">
        <v>2.96</v>
      </c>
      <c r="V354">
        <f>Table1[[#This Row],[FSH(mIU/mL)]]/Table1[[#This Row],[LH(mIU/mL)]]</f>
        <v>1.0777027027027026</v>
      </c>
      <c r="W354" t="str">
        <f>IF(Table1[[#This Row],[FSH/LH]]&gt;=2,"Abnormal","Normal")</f>
        <v>Normal</v>
      </c>
      <c r="X354">
        <v>40</v>
      </c>
      <c r="Y354">
        <v>35</v>
      </c>
      <c r="Z354">
        <f>ROUND(Table1[[#This Row],[Waist(inch)]]/Table1[[#This Row],[Hip(inch)]],2)</f>
        <v>0.88</v>
      </c>
      <c r="AA354">
        <v>2.96</v>
      </c>
      <c r="AB354">
        <v>3.65</v>
      </c>
      <c r="AC354">
        <v>18.920000000000002</v>
      </c>
      <c r="AD354">
        <v>36.4</v>
      </c>
      <c r="AE354" t="str">
        <f>IF(Table1[[#This Row],[Vit D3 (ng/mL)]]&lt;20,"Deficiency","Normal")</f>
        <v>Normal</v>
      </c>
      <c r="AF354">
        <v>0.25</v>
      </c>
      <c r="AG354">
        <v>100</v>
      </c>
      <c r="AH354">
        <v>0</v>
      </c>
      <c r="AI354" t="str">
        <f>IF(Table1[[#This Row],[Weight gain(Y/N)]]=0,"NO","YES")</f>
        <v>NO</v>
      </c>
      <c r="AJ354">
        <v>1</v>
      </c>
      <c r="AK354" t="str">
        <f>IF(Table1[[#This Row],[hair growth(Y/N)]]=1,"YES","NO")</f>
        <v>YES</v>
      </c>
      <c r="AL354">
        <v>1</v>
      </c>
      <c r="AM354" t="str">
        <f>IF(Table1[[#This Row],[Skin darkening (Y/N)]]=1,"YES","NO")</f>
        <v>YES</v>
      </c>
      <c r="AN354">
        <v>0</v>
      </c>
      <c r="AO354" t="str">
        <f>IF(Table1[[#This Row],[Hair loss(Y/N)]]=1,"YES","NO")</f>
        <v>NO</v>
      </c>
      <c r="AP354">
        <v>0</v>
      </c>
      <c r="AQ354" t="str">
        <f>IF(Table1[[#This Row],[Pimples(Y/N)]]=1,"YES","NO")</f>
        <v>NO</v>
      </c>
      <c r="AR354">
        <v>1</v>
      </c>
      <c r="AS354" t="str">
        <f>IF(Table1[[#This Row],[Fast food (Y/N)]]=1,"YES","NO")</f>
        <v>YES</v>
      </c>
      <c r="AT354">
        <v>0</v>
      </c>
      <c r="AU354" t="str">
        <f>IF(Table1[[#This Row],[Reg.Exercise(Y/N)]]=1,"YES","NO")</f>
        <v>NO</v>
      </c>
      <c r="AV354">
        <v>120</v>
      </c>
      <c r="AW354">
        <v>80</v>
      </c>
      <c r="AX354">
        <v>4</v>
      </c>
      <c r="AY354">
        <v>5</v>
      </c>
      <c r="AZ354">
        <v>15</v>
      </c>
      <c r="BA354">
        <v>18</v>
      </c>
      <c r="BB354">
        <v>8</v>
      </c>
      <c r="BC354" t="str" cm="1">
        <f t="array" ref="BC354">_xlfn.IFS((F354/(G354*G354)*10000)&lt; 18.5,"Underweight",(F354/(G354*G354)*10000)&lt;24.9,"Normal",(F354/(G354*G354)*10000)&lt;29.9,"Overweight",(F354/(G354*G354)*10000)&gt;=30,"obesity")</f>
        <v>Normal</v>
      </c>
      <c r="BD354">
        <f>Table1[[#This Row],[Follicle No. (L)]]+Table1[[#This Row],[Follicle No. (R)]]</f>
        <v>9</v>
      </c>
      <c r="BE354">
        <f>Table1[[#This Row],[Avg. F size (L) (mm)]]+Table1[[#This Row],[Avg. F size (R) (mm)]]</f>
        <v>33</v>
      </c>
      <c r="BF354">
        <f>Table1[[#This Row],[BP _Diastolic (mmHg)]]+(Table1[[#This Row],[BP _Diastolic (mmHg)]]+Table1[[#This Row],[Follicle No. (L)]])/3</f>
        <v>108</v>
      </c>
      <c r="BG354" s="4" t="str" cm="1">
        <f t="array" ref="BG35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54" s="4">
        <f>SUM(Table1[[#This Row],[Pimples(Y/N)]],Table1[[#This Row],[hair growth(Y/N)]],Table1[[#This Row],[Skin darkening (Y/N)]],Table1[[#This Row],[Hair loss(Y/N)]])</f>
        <v>2</v>
      </c>
      <c r="BI354" s="4" t="str">
        <f>IF(AND(Table1[[#This Row],[Pregnant(Y/N)]]=0, Table1[[#This Row],[  I   beta-HCG(mIU/mL)]]&gt;5), "Investigation Required", "Clear")</f>
        <v>Clear</v>
      </c>
    </row>
    <row r="355" spans="1:61" ht="15.75" customHeight="1" x14ac:dyDescent="0.25">
      <c r="A355">
        <v>354</v>
      </c>
      <c r="B355">
        <v>354</v>
      </c>
      <c r="C355">
        <v>0</v>
      </c>
      <c r="D355" t="str">
        <f>IF(Table1[[#This Row],[PCOS (Y/N)]]=0,"NO","YES")</f>
        <v>NO</v>
      </c>
      <c r="E355">
        <v>30</v>
      </c>
      <c r="F355">
        <v>55</v>
      </c>
      <c r="G355">
        <v>164</v>
      </c>
      <c r="H355">
        <v>13</v>
      </c>
      <c r="I355">
        <v>74</v>
      </c>
      <c r="J355">
        <v>22</v>
      </c>
      <c r="K355">
        <v>10.199999999999999</v>
      </c>
      <c r="L355">
        <v>2</v>
      </c>
      <c r="M355">
        <v>6</v>
      </c>
      <c r="N355">
        <v>7</v>
      </c>
      <c r="O355">
        <v>1</v>
      </c>
      <c r="P355" t="str">
        <f>IF(Table1[[#This Row],[Pregnant(Y/N)]]=1,"YES","NO")</f>
        <v>YES</v>
      </c>
      <c r="Q355">
        <v>1</v>
      </c>
      <c r="R355">
        <v>1082.82</v>
      </c>
      <c r="S355">
        <v>1082.82</v>
      </c>
      <c r="T355">
        <v>5.74</v>
      </c>
      <c r="U355">
        <v>2.81</v>
      </c>
      <c r="V355">
        <f>Table1[[#This Row],[FSH(mIU/mL)]]/Table1[[#This Row],[LH(mIU/mL)]]</f>
        <v>2.0427046263345194</v>
      </c>
      <c r="W355" t="str">
        <f>IF(Table1[[#This Row],[FSH/LH]]&gt;=2,"Abnormal","Normal")</f>
        <v>Abnormal</v>
      </c>
      <c r="X355">
        <v>37</v>
      </c>
      <c r="Y355">
        <v>34</v>
      </c>
      <c r="Z355">
        <f>ROUND(Table1[[#This Row],[Waist(inch)]]/Table1[[#This Row],[Hip(inch)]],2)</f>
        <v>0.92</v>
      </c>
      <c r="AA355">
        <v>1.84</v>
      </c>
      <c r="AB355">
        <v>3.5</v>
      </c>
      <c r="AC355">
        <v>24.52</v>
      </c>
      <c r="AD355">
        <v>31.2</v>
      </c>
      <c r="AE355" t="str">
        <f>IF(Table1[[#This Row],[Vit D3 (ng/mL)]]&lt;20,"Deficiency","Normal")</f>
        <v>Normal</v>
      </c>
      <c r="AF355">
        <v>0.25</v>
      </c>
      <c r="AG355">
        <v>92</v>
      </c>
      <c r="AH355">
        <v>0</v>
      </c>
      <c r="AI355" t="str">
        <f>IF(Table1[[#This Row],[Weight gain(Y/N)]]=0,"NO","YES")</f>
        <v>NO</v>
      </c>
      <c r="AJ355">
        <v>0</v>
      </c>
      <c r="AK355" t="str">
        <f>IF(Table1[[#This Row],[hair growth(Y/N)]]=1,"YES","NO")</f>
        <v>NO</v>
      </c>
      <c r="AL355">
        <v>0</v>
      </c>
      <c r="AM355" t="str">
        <f>IF(Table1[[#This Row],[Skin darkening (Y/N)]]=1,"YES","NO")</f>
        <v>NO</v>
      </c>
      <c r="AN355">
        <v>1</v>
      </c>
      <c r="AO355" t="str">
        <f>IF(Table1[[#This Row],[Hair loss(Y/N)]]=1,"YES","NO")</f>
        <v>YES</v>
      </c>
      <c r="AP355">
        <v>1</v>
      </c>
      <c r="AQ355" t="str">
        <f>IF(Table1[[#This Row],[Pimples(Y/N)]]=1,"YES","NO")</f>
        <v>YES</v>
      </c>
      <c r="AR355">
        <v>1</v>
      </c>
      <c r="AS355" t="str">
        <f>IF(Table1[[#This Row],[Fast food (Y/N)]]=1,"YES","NO")</f>
        <v>YES</v>
      </c>
      <c r="AT355">
        <v>0</v>
      </c>
      <c r="AU355" t="str">
        <f>IF(Table1[[#This Row],[Reg.Exercise(Y/N)]]=1,"YES","NO")</f>
        <v>NO</v>
      </c>
      <c r="AV355">
        <v>110</v>
      </c>
      <c r="AW355">
        <v>80</v>
      </c>
      <c r="AX355">
        <v>6</v>
      </c>
      <c r="AY355">
        <v>4</v>
      </c>
      <c r="AZ355">
        <v>13</v>
      </c>
      <c r="BA355">
        <v>15</v>
      </c>
      <c r="BB355">
        <v>5.6</v>
      </c>
      <c r="BC355" t="str" cm="1">
        <f t="array" ref="BC355">_xlfn.IFS((F355/(G355*G355)*10000)&lt; 18.5,"Underweight",(F355/(G355*G355)*10000)&lt;24.9,"Normal",(F355/(G355*G355)*10000)&lt;29.9,"Overweight",(F355/(G355*G355)*10000)&gt;=30,"obesity")</f>
        <v>Normal</v>
      </c>
      <c r="BD355">
        <f>Table1[[#This Row],[Follicle No. (L)]]+Table1[[#This Row],[Follicle No. (R)]]</f>
        <v>10</v>
      </c>
      <c r="BE355">
        <f>Table1[[#This Row],[Avg. F size (L) (mm)]]+Table1[[#This Row],[Avg. F size (R) (mm)]]</f>
        <v>28</v>
      </c>
      <c r="BF355">
        <f>Table1[[#This Row],[BP _Diastolic (mmHg)]]+(Table1[[#This Row],[BP _Diastolic (mmHg)]]+Table1[[#This Row],[Follicle No. (L)]])/3</f>
        <v>108.66666666666667</v>
      </c>
      <c r="BG355" s="4" t="str" cm="1">
        <f t="array" ref="BG35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55" s="4">
        <f>SUM(Table1[[#This Row],[Pimples(Y/N)]],Table1[[#This Row],[hair growth(Y/N)]],Table1[[#This Row],[Skin darkening (Y/N)]],Table1[[#This Row],[Hair loss(Y/N)]])</f>
        <v>2</v>
      </c>
      <c r="BI355" s="4" t="str">
        <f>IF(AND(Table1[[#This Row],[Pregnant(Y/N)]]=0, Table1[[#This Row],[  I   beta-HCG(mIU/mL)]]&gt;5), "Investigation Required", "Clear")</f>
        <v>Clear</v>
      </c>
    </row>
    <row r="356" spans="1:61" ht="15.75" customHeight="1" x14ac:dyDescent="0.25">
      <c r="A356">
        <v>355</v>
      </c>
      <c r="B356">
        <v>355</v>
      </c>
      <c r="C356">
        <v>0</v>
      </c>
      <c r="D356" t="str">
        <f>IF(Table1[[#This Row],[PCOS (Y/N)]]=0,"NO","YES")</f>
        <v>NO</v>
      </c>
      <c r="E356">
        <v>33</v>
      </c>
      <c r="F356">
        <v>50</v>
      </c>
      <c r="G356">
        <v>152</v>
      </c>
      <c r="H356">
        <v>15</v>
      </c>
      <c r="I356">
        <v>80</v>
      </c>
      <c r="J356">
        <v>20</v>
      </c>
      <c r="K356">
        <v>9.8000000000000007</v>
      </c>
      <c r="L356">
        <v>4</v>
      </c>
      <c r="M356">
        <v>2</v>
      </c>
      <c r="N356">
        <v>12</v>
      </c>
      <c r="O356">
        <v>1</v>
      </c>
      <c r="P356" t="str">
        <f>IF(Table1[[#This Row],[Pregnant(Y/N)]]=1,"YES","NO")</f>
        <v>YES</v>
      </c>
      <c r="Q356">
        <v>0</v>
      </c>
      <c r="R356">
        <v>739.13</v>
      </c>
      <c r="S356">
        <v>739.13</v>
      </c>
      <c r="T356">
        <v>6.68</v>
      </c>
      <c r="U356">
        <v>4.03</v>
      </c>
      <c r="V356">
        <f>Table1[[#This Row],[FSH(mIU/mL)]]/Table1[[#This Row],[LH(mIU/mL)]]</f>
        <v>1.6575682382133994</v>
      </c>
      <c r="W356" t="str">
        <f>IF(Table1[[#This Row],[FSH/LH]]&gt;=2,"Abnormal","Normal")</f>
        <v>Normal</v>
      </c>
      <c r="X356">
        <v>38</v>
      </c>
      <c r="Y356">
        <v>35</v>
      </c>
      <c r="Z356">
        <f>ROUND(Table1[[#This Row],[Waist(inch)]]/Table1[[#This Row],[Hip(inch)]],2)</f>
        <v>0.92</v>
      </c>
      <c r="AA356">
        <v>2.38</v>
      </c>
      <c r="AB356">
        <v>10.7</v>
      </c>
      <c r="AC356">
        <v>24.52</v>
      </c>
      <c r="AD356">
        <v>45.4</v>
      </c>
      <c r="AE356" t="str">
        <f>IF(Table1[[#This Row],[Vit D3 (ng/mL)]]&lt;20,"Deficiency","Normal")</f>
        <v>Normal</v>
      </c>
      <c r="AF356">
        <v>0.32</v>
      </c>
      <c r="AG356">
        <v>85</v>
      </c>
      <c r="AH356">
        <v>0</v>
      </c>
      <c r="AI356" t="str">
        <f>IF(Table1[[#This Row],[Weight gain(Y/N)]]=0,"NO","YES")</f>
        <v>NO</v>
      </c>
      <c r="AJ356">
        <v>0</v>
      </c>
      <c r="AK356" t="str">
        <f>IF(Table1[[#This Row],[hair growth(Y/N)]]=1,"YES","NO")</f>
        <v>NO</v>
      </c>
      <c r="AL356">
        <v>0</v>
      </c>
      <c r="AM356" t="str">
        <f>IF(Table1[[#This Row],[Skin darkening (Y/N)]]=1,"YES","NO")</f>
        <v>NO</v>
      </c>
      <c r="AN356">
        <v>1</v>
      </c>
      <c r="AO356" t="str">
        <f>IF(Table1[[#This Row],[Hair loss(Y/N)]]=1,"YES","NO")</f>
        <v>YES</v>
      </c>
      <c r="AP356">
        <v>1</v>
      </c>
      <c r="AQ356" t="str">
        <f>IF(Table1[[#This Row],[Pimples(Y/N)]]=1,"YES","NO")</f>
        <v>YES</v>
      </c>
      <c r="AR356">
        <v>1</v>
      </c>
      <c r="AS356" t="str">
        <f>IF(Table1[[#This Row],[Fast food (Y/N)]]=1,"YES","NO")</f>
        <v>YES</v>
      </c>
      <c r="AT356">
        <v>0</v>
      </c>
      <c r="AU356" t="str">
        <f>IF(Table1[[#This Row],[Reg.Exercise(Y/N)]]=1,"YES","NO")</f>
        <v>NO</v>
      </c>
      <c r="AV356">
        <v>110</v>
      </c>
      <c r="AW356">
        <v>80</v>
      </c>
      <c r="AX356">
        <v>7</v>
      </c>
      <c r="AY356">
        <v>4</v>
      </c>
      <c r="AZ356">
        <v>15</v>
      </c>
      <c r="BA356">
        <v>18</v>
      </c>
      <c r="BB356">
        <v>10.6</v>
      </c>
      <c r="BC356" t="str" cm="1">
        <f t="array" ref="BC356">_xlfn.IFS((F356/(G356*G356)*10000)&lt; 18.5,"Underweight",(F356/(G356*G356)*10000)&lt;24.9,"Normal",(F356/(G356*G356)*10000)&lt;29.9,"Overweight",(F356/(G356*G356)*10000)&gt;=30,"obesity")</f>
        <v>Normal</v>
      </c>
      <c r="BD356">
        <f>Table1[[#This Row],[Follicle No. (L)]]+Table1[[#This Row],[Follicle No. (R)]]</f>
        <v>11</v>
      </c>
      <c r="BE356">
        <f>Table1[[#This Row],[Avg. F size (L) (mm)]]+Table1[[#This Row],[Avg. F size (R) (mm)]]</f>
        <v>33</v>
      </c>
      <c r="BF356">
        <f>Table1[[#This Row],[BP _Diastolic (mmHg)]]+(Table1[[#This Row],[BP _Diastolic (mmHg)]]+Table1[[#This Row],[Follicle No. (L)]])/3</f>
        <v>109</v>
      </c>
      <c r="BG356" s="4" t="str" cm="1">
        <f t="array" ref="BG35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56" s="4">
        <f>SUM(Table1[[#This Row],[Pimples(Y/N)]],Table1[[#This Row],[hair growth(Y/N)]],Table1[[#This Row],[Skin darkening (Y/N)]],Table1[[#This Row],[Hair loss(Y/N)]])</f>
        <v>2</v>
      </c>
      <c r="BI356" s="4" t="str">
        <f>IF(AND(Table1[[#This Row],[Pregnant(Y/N)]]=0, Table1[[#This Row],[  I   beta-HCG(mIU/mL)]]&gt;5), "Investigation Required", "Clear")</f>
        <v>Clear</v>
      </c>
    </row>
    <row r="357" spans="1:61" ht="15.75" customHeight="1" x14ac:dyDescent="0.25">
      <c r="A357">
        <v>356</v>
      </c>
      <c r="B357">
        <v>356</v>
      </c>
      <c r="C357">
        <v>0</v>
      </c>
      <c r="D357" t="str">
        <f>IF(Table1[[#This Row],[PCOS (Y/N)]]=0,"NO","YES")</f>
        <v>NO</v>
      </c>
      <c r="E357">
        <v>28</v>
      </c>
      <c r="F357">
        <v>61</v>
      </c>
      <c r="G357">
        <v>158</v>
      </c>
      <c r="H357">
        <v>15</v>
      </c>
      <c r="I357">
        <v>72</v>
      </c>
      <c r="J357">
        <v>18</v>
      </c>
      <c r="K357">
        <v>10.5</v>
      </c>
      <c r="L357">
        <v>2</v>
      </c>
      <c r="M357">
        <v>6</v>
      </c>
      <c r="N357">
        <v>6</v>
      </c>
      <c r="O357">
        <v>1</v>
      </c>
      <c r="P357" t="str">
        <f>IF(Table1[[#This Row],[Pregnant(Y/N)]]=1,"YES","NO")</f>
        <v>YES</v>
      </c>
      <c r="Q357">
        <v>0</v>
      </c>
      <c r="R357">
        <v>288.72000000000003</v>
      </c>
      <c r="S357">
        <v>288.72000000000003</v>
      </c>
      <c r="T357">
        <v>4.16</v>
      </c>
      <c r="U357">
        <v>0.27</v>
      </c>
      <c r="V357">
        <f>Table1[[#This Row],[FSH(mIU/mL)]]/Table1[[#This Row],[LH(mIU/mL)]]</f>
        <v>15.407407407407407</v>
      </c>
      <c r="W357" t="str">
        <f>IF(Table1[[#This Row],[FSH/LH]]&gt;=2,"Abnormal","Normal")</f>
        <v>Abnormal</v>
      </c>
      <c r="X357">
        <v>40</v>
      </c>
      <c r="Y357">
        <v>35</v>
      </c>
      <c r="Z357">
        <f>ROUND(Table1[[#This Row],[Waist(inch)]]/Table1[[#This Row],[Hip(inch)]],2)</f>
        <v>0.88</v>
      </c>
      <c r="AA357">
        <v>6.31</v>
      </c>
      <c r="AB357">
        <v>4.8</v>
      </c>
      <c r="AC357">
        <v>54.88</v>
      </c>
      <c r="AD357">
        <v>17.399999999999999</v>
      </c>
      <c r="AE357" t="str">
        <f>IF(Table1[[#This Row],[Vit D3 (ng/mL)]]&lt;20,"Deficiency","Normal")</f>
        <v>Deficiency</v>
      </c>
      <c r="AF357">
        <v>0.25</v>
      </c>
      <c r="AG357">
        <v>100</v>
      </c>
      <c r="AH357">
        <v>0</v>
      </c>
      <c r="AI357" t="str">
        <f>IF(Table1[[#This Row],[Weight gain(Y/N)]]=0,"NO","YES")</f>
        <v>NO</v>
      </c>
      <c r="AJ357">
        <v>1</v>
      </c>
      <c r="AK357" t="str">
        <f>IF(Table1[[#This Row],[hair growth(Y/N)]]=1,"YES","NO")</f>
        <v>YES</v>
      </c>
      <c r="AL357">
        <v>0</v>
      </c>
      <c r="AM357" t="str">
        <f>IF(Table1[[#This Row],[Skin darkening (Y/N)]]=1,"YES","NO")</f>
        <v>NO</v>
      </c>
      <c r="AN357">
        <v>0</v>
      </c>
      <c r="AO357" t="str">
        <f>IF(Table1[[#This Row],[Hair loss(Y/N)]]=1,"YES","NO")</f>
        <v>NO</v>
      </c>
      <c r="AP357">
        <v>1</v>
      </c>
      <c r="AQ357" t="str">
        <f>IF(Table1[[#This Row],[Pimples(Y/N)]]=1,"YES","NO")</f>
        <v>YES</v>
      </c>
      <c r="AR357">
        <v>0</v>
      </c>
      <c r="AS357" t="str">
        <f>IF(Table1[[#This Row],[Fast food (Y/N)]]=1,"YES","NO")</f>
        <v>NO</v>
      </c>
      <c r="AT357">
        <v>1</v>
      </c>
      <c r="AU357" t="str">
        <f>IF(Table1[[#This Row],[Reg.Exercise(Y/N)]]=1,"YES","NO")</f>
        <v>YES</v>
      </c>
      <c r="AV357">
        <v>110</v>
      </c>
      <c r="AW357">
        <v>80</v>
      </c>
      <c r="AX357">
        <v>5</v>
      </c>
      <c r="AY357">
        <v>7</v>
      </c>
      <c r="AZ357">
        <v>15</v>
      </c>
      <c r="BA357">
        <v>18</v>
      </c>
      <c r="BB357">
        <v>7</v>
      </c>
      <c r="BC357" t="str" cm="1">
        <f t="array" ref="BC357">_xlfn.IFS((F357/(G357*G357)*10000)&lt; 18.5,"Underweight",(F357/(G357*G357)*10000)&lt;24.9,"Normal",(F357/(G357*G357)*10000)&lt;29.9,"Overweight",(F357/(G357*G357)*10000)&gt;=30,"obesity")</f>
        <v>Normal</v>
      </c>
      <c r="BD357">
        <f>Table1[[#This Row],[Follicle No. (L)]]+Table1[[#This Row],[Follicle No. (R)]]</f>
        <v>12</v>
      </c>
      <c r="BE357">
        <f>Table1[[#This Row],[Avg. F size (L) (mm)]]+Table1[[#This Row],[Avg. F size (R) (mm)]]</f>
        <v>33</v>
      </c>
      <c r="BF357">
        <f>Table1[[#This Row],[BP _Diastolic (mmHg)]]+(Table1[[#This Row],[BP _Diastolic (mmHg)]]+Table1[[#This Row],[Follicle No. (L)]])/3</f>
        <v>108.33333333333333</v>
      </c>
      <c r="BG357" s="4" t="str" cm="1">
        <f t="array" ref="BG35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57" s="4">
        <f>SUM(Table1[[#This Row],[Pimples(Y/N)]],Table1[[#This Row],[hair growth(Y/N)]],Table1[[#This Row],[Skin darkening (Y/N)]],Table1[[#This Row],[Hair loss(Y/N)]])</f>
        <v>2</v>
      </c>
      <c r="BI357" s="4" t="str">
        <f>IF(AND(Table1[[#This Row],[Pregnant(Y/N)]]=0, Table1[[#This Row],[  I   beta-HCG(mIU/mL)]]&gt;5), "Investigation Required", "Clear")</f>
        <v>Clear</v>
      </c>
    </row>
    <row r="358" spans="1:61" ht="15.75" customHeight="1" x14ac:dyDescent="0.25">
      <c r="A358">
        <v>357</v>
      </c>
      <c r="B358">
        <v>357</v>
      </c>
      <c r="C358">
        <v>1</v>
      </c>
      <c r="D358" t="str">
        <f>IF(Table1[[#This Row],[PCOS (Y/N)]]=0,"NO","YES")</f>
        <v>YES</v>
      </c>
      <c r="E358">
        <v>32</v>
      </c>
      <c r="F358">
        <v>80.400000000000006</v>
      </c>
      <c r="G358">
        <v>165</v>
      </c>
      <c r="H358">
        <v>18</v>
      </c>
      <c r="I358">
        <v>72</v>
      </c>
      <c r="J358">
        <v>18</v>
      </c>
      <c r="K358">
        <v>11.5</v>
      </c>
      <c r="L358">
        <v>4</v>
      </c>
      <c r="M358">
        <v>3</v>
      </c>
      <c r="N358">
        <v>10</v>
      </c>
      <c r="O358">
        <v>0</v>
      </c>
      <c r="P358" t="str">
        <f>IF(Table1[[#This Row],[Pregnant(Y/N)]]=1,"YES","NO")</f>
        <v>NO</v>
      </c>
      <c r="Q358">
        <v>0</v>
      </c>
      <c r="R358">
        <v>4.68</v>
      </c>
      <c r="S358">
        <v>1.99</v>
      </c>
      <c r="T358">
        <v>4.4800000000000004</v>
      </c>
      <c r="U358">
        <v>0.21</v>
      </c>
      <c r="V358">
        <f>Table1[[#This Row],[FSH(mIU/mL)]]/Table1[[#This Row],[LH(mIU/mL)]]</f>
        <v>21.333333333333336</v>
      </c>
      <c r="W358" t="str">
        <f>IF(Table1[[#This Row],[FSH/LH]]&gt;=2,"Abnormal","Normal")</f>
        <v>Abnormal</v>
      </c>
      <c r="X358">
        <v>42</v>
      </c>
      <c r="Y358">
        <v>38</v>
      </c>
      <c r="Z358">
        <f>ROUND(Table1[[#This Row],[Waist(inch)]]/Table1[[#This Row],[Hip(inch)]],2)</f>
        <v>0.9</v>
      </c>
      <c r="AA358">
        <v>2.06</v>
      </c>
      <c r="AB358">
        <v>4.5</v>
      </c>
      <c r="AC358">
        <v>48.57</v>
      </c>
      <c r="AD358">
        <v>19.3</v>
      </c>
      <c r="AE358" t="str">
        <f>IF(Table1[[#This Row],[Vit D3 (ng/mL)]]&lt;20,"Deficiency","Normal")</f>
        <v>Deficiency</v>
      </c>
      <c r="AF358">
        <v>0.27</v>
      </c>
      <c r="AG358">
        <v>105</v>
      </c>
      <c r="AH358">
        <v>1</v>
      </c>
      <c r="AI358" t="str">
        <f>IF(Table1[[#This Row],[Weight gain(Y/N)]]=0,"NO","YES")</f>
        <v>YES</v>
      </c>
      <c r="AJ358">
        <v>1</v>
      </c>
      <c r="AK358" t="str">
        <f>IF(Table1[[#This Row],[hair growth(Y/N)]]=1,"YES","NO")</f>
        <v>YES</v>
      </c>
      <c r="AL358">
        <v>1</v>
      </c>
      <c r="AM358" t="str">
        <f>IF(Table1[[#This Row],[Skin darkening (Y/N)]]=1,"YES","NO")</f>
        <v>YES</v>
      </c>
      <c r="AN358">
        <v>0</v>
      </c>
      <c r="AO358" t="str">
        <f>IF(Table1[[#This Row],[Hair loss(Y/N)]]=1,"YES","NO")</f>
        <v>NO</v>
      </c>
      <c r="AP358">
        <v>1</v>
      </c>
      <c r="AQ358" t="str">
        <f>IF(Table1[[#This Row],[Pimples(Y/N)]]=1,"YES","NO")</f>
        <v>YES</v>
      </c>
      <c r="AR358">
        <v>1</v>
      </c>
      <c r="AS358" t="str">
        <f>IF(Table1[[#This Row],[Fast food (Y/N)]]=1,"YES","NO")</f>
        <v>YES</v>
      </c>
      <c r="AT358">
        <v>0</v>
      </c>
      <c r="AU358" t="str">
        <f>IF(Table1[[#This Row],[Reg.Exercise(Y/N)]]=1,"YES","NO")</f>
        <v>NO</v>
      </c>
      <c r="AV358">
        <v>120</v>
      </c>
      <c r="AW358">
        <v>80</v>
      </c>
      <c r="AX358">
        <v>9</v>
      </c>
      <c r="AY358">
        <v>12</v>
      </c>
      <c r="AZ358">
        <v>15</v>
      </c>
      <c r="BA358">
        <v>15</v>
      </c>
      <c r="BB358">
        <v>11</v>
      </c>
      <c r="BC358" t="str" cm="1">
        <f t="array" ref="BC358">_xlfn.IFS((F358/(G358*G358)*10000)&lt; 18.5,"Underweight",(F358/(G358*G358)*10000)&lt;24.9,"Normal",(F358/(G358*G358)*10000)&lt;29.9,"Overweight",(F358/(G358*G358)*10000)&gt;=30,"obesity")</f>
        <v>Overweight</v>
      </c>
      <c r="BD358">
        <f>Table1[[#This Row],[Follicle No. (L)]]+Table1[[#This Row],[Follicle No. (R)]]</f>
        <v>21</v>
      </c>
      <c r="BE358">
        <f>Table1[[#This Row],[Avg. F size (L) (mm)]]+Table1[[#This Row],[Avg. F size (R) (mm)]]</f>
        <v>30</v>
      </c>
      <c r="BF358">
        <f>Table1[[#This Row],[BP _Diastolic (mmHg)]]+(Table1[[#This Row],[BP _Diastolic (mmHg)]]+Table1[[#This Row],[Follicle No. (L)]])/3</f>
        <v>109.66666666666667</v>
      </c>
      <c r="BG358" s="4" t="str" cm="1">
        <f t="array" ref="BG35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58" s="4">
        <f>SUM(Table1[[#This Row],[Pimples(Y/N)]],Table1[[#This Row],[hair growth(Y/N)]],Table1[[#This Row],[Skin darkening (Y/N)]],Table1[[#This Row],[Hair loss(Y/N)]])</f>
        <v>3</v>
      </c>
      <c r="BI358" s="4" t="str">
        <f>IF(AND(Table1[[#This Row],[Pregnant(Y/N)]]=0, Table1[[#This Row],[  I   beta-HCG(mIU/mL)]]&gt;5), "Investigation Required", "Clear")</f>
        <v>Clear</v>
      </c>
    </row>
    <row r="359" spans="1:61" ht="15.75" customHeight="1" x14ac:dyDescent="0.25">
      <c r="A359">
        <v>358</v>
      </c>
      <c r="B359">
        <v>358</v>
      </c>
      <c r="C359">
        <v>0</v>
      </c>
      <c r="D359" t="str">
        <f>IF(Table1[[#This Row],[PCOS (Y/N)]]=0,"NO","YES")</f>
        <v>NO</v>
      </c>
      <c r="E359">
        <v>32</v>
      </c>
      <c r="F359">
        <v>47</v>
      </c>
      <c r="G359">
        <v>158</v>
      </c>
      <c r="H359">
        <v>15</v>
      </c>
      <c r="I359">
        <v>74</v>
      </c>
      <c r="J359">
        <v>20</v>
      </c>
      <c r="K359">
        <v>10.199999999999999</v>
      </c>
      <c r="L359">
        <v>2</v>
      </c>
      <c r="M359">
        <v>6</v>
      </c>
      <c r="N359">
        <v>7</v>
      </c>
      <c r="O359">
        <v>1</v>
      </c>
      <c r="P359" t="str">
        <f>IF(Table1[[#This Row],[Pregnant(Y/N)]]=1,"YES","NO")</f>
        <v>YES</v>
      </c>
      <c r="Q359">
        <v>0</v>
      </c>
      <c r="R359">
        <v>18.489999999999998</v>
      </c>
      <c r="S359">
        <v>18.489999999999998</v>
      </c>
      <c r="T359">
        <v>4.5199999999999996</v>
      </c>
      <c r="U359">
        <v>3.27</v>
      </c>
      <c r="V359">
        <f>Table1[[#This Row],[FSH(mIU/mL)]]/Table1[[#This Row],[LH(mIU/mL)]]</f>
        <v>1.3822629969418958</v>
      </c>
      <c r="W359" t="str">
        <f>IF(Table1[[#This Row],[FSH/LH]]&gt;=2,"Abnormal","Normal")</f>
        <v>Normal</v>
      </c>
      <c r="X359">
        <v>37</v>
      </c>
      <c r="Y359">
        <v>33</v>
      </c>
      <c r="Z359">
        <f>ROUND(Table1[[#This Row],[Waist(inch)]]/Table1[[#This Row],[Hip(inch)]],2)</f>
        <v>0.89</v>
      </c>
      <c r="AA359">
        <v>1.4</v>
      </c>
      <c r="AB359">
        <v>2.6</v>
      </c>
      <c r="AC359">
        <v>19.78</v>
      </c>
      <c r="AD359">
        <v>18.8</v>
      </c>
      <c r="AE359" t="str">
        <f>IF(Table1[[#This Row],[Vit D3 (ng/mL)]]&lt;20,"Deficiency","Normal")</f>
        <v>Deficiency</v>
      </c>
      <c r="AF359">
        <v>1</v>
      </c>
      <c r="AG359">
        <v>115</v>
      </c>
      <c r="AH359">
        <v>0</v>
      </c>
      <c r="AI359" t="str">
        <f>IF(Table1[[#This Row],[Weight gain(Y/N)]]=0,"NO","YES")</f>
        <v>NO</v>
      </c>
      <c r="AJ359">
        <v>1</v>
      </c>
      <c r="AK359" t="str">
        <f>IF(Table1[[#This Row],[hair growth(Y/N)]]=1,"YES","NO")</f>
        <v>YES</v>
      </c>
      <c r="AL359">
        <v>0</v>
      </c>
      <c r="AM359" t="str">
        <f>IF(Table1[[#This Row],[Skin darkening (Y/N)]]=1,"YES","NO")</f>
        <v>NO</v>
      </c>
      <c r="AN359">
        <v>0</v>
      </c>
      <c r="AO359" t="str">
        <f>IF(Table1[[#This Row],[Hair loss(Y/N)]]=1,"YES","NO")</f>
        <v>NO</v>
      </c>
      <c r="AP359">
        <v>1</v>
      </c>
      <c r="AQ359" t="str">
        <f>IF(Table1[[#This Row],[Pimples(Y/N)]]=1,"YES","NO")</f>
        <v>YES</v>
      </c>
      <c r="AR359">
        <v>0</v>
      </c>
      <c r="AS359" t="str">
        <f>IF(Table1[[#This Row],[Fast food (Y/N)]]=1,"YES","NO")</f>
        <v>NO</v>
      </c>
      <c r="AT359">
        <v>0</v>
      </c>
      <c r="AU359" t="str">
        <f>IF(Table1[[#This Row],[Reg.Exercise(Y/N)]]=1,"YES","NO")</f>
        <v>NO</v>
      </c>
      <c r="AV359">
        <v>110</v>
      </c>
      <c r="AW359">
        <v>80</v>
      </c>
      <c r="AX359">
        <v>1</v>
      </c>
      <c r="AY359">
        <v>1</v>
      </c>
      <c r="AZ359">
        <v>14</v>
      </c>
      <c r="BA359">
        <v>16</v>
      </c>
      <c r="BB359">
        <v>6.4</v>
      </c>
      <c r="BC359" t="str" cm="1">
        <f t="array" ref="BC359">_xlfn.IFS((F359/(G359*G359)*10000)&lt; 18.5,"Underweight",(F359/(G359*G359)*10000)&lt;24.9,"Normal",(F359/(G359*G359)*10000)&lt;29.9,"Overweight",(F359/(G359*G359)*10000)&gt;=30,"obesity")</f>
        <v>Normal</v>
      </c>
      <c r="BD359">
        <f>Table1[[#This Row],[Follicle No. (L)]]+Table1[[#This Row],[Follicle No. (R)]]</f>
        <v>2</v>
      </c>
      <c r="BE359">
        <f>Table1[[#This Row],[Avg. F size (L) (mm)]]+Table1[[#This Row],[Avg. F size (R) (mm)]]</f>
        <v>30</v>
      </c>
      <c r="BF359">
        <f>Table1[[#This Row],[BP _Diastolic (mmHg)]]+(Table1[[#This Row],[BP _Diastolic (mmHg)]]+Table1[[#This Row],[Follicle No. (L)]])/3</f>
        <v>107</v>
      </c>
      <c r="BG359" s="4" t="str" cm="1">
        <f t="array" ref="BG35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59" s="4">
        <f>SUM(Table1[[#This Row],[Pimples(Y/N)]],Table1[[#This Row],[hair growth(Y/N)]],Table1[[#This Row],[Skin darkening (Y/N)]],Table1[[#This Row],[Hair loss(Y/N)]])</f>
        <v>2</v>
      </c>
      <c r="BI359" s="4" t="str">
        <f>IF(AND(Table1[[#This Row],[Pregnant(Y/N)]]=0, Table1[[#This Row],[  I   beta-HCG(mIU/mL)]]&gt;5), "Investigation Required", "Clear")</f>
        <v>Clear</v>
      </c>
    </row>
    <row r="360" spans="1:61" ht="15.75" customHeight="1" x14ac:dyDescent="0.25">
      <c r="A360">
        <v>359</v>
      </c>
      <c r="B360">
        <v>359</v>
      </c>
      <c r="C360">
        <v>0</v>
      </c>
      <c r="D360" t="str">
        <f>IF(Table1[[#This Row],[PCOS (Y/N)]]=0,"NO","YES")</f>
        <v>NO</v>
      </c>
      <c r="E360">
        <v>34</v>
      </c>
      <c r="F360">
        <v>53</v>
      </c>
      <c r="G360">
        <v>145</v>
      </c>
      <c r="H360">
        <v>12</v>
      </c>
      <c r="I360">
        <v>78</v>
      </c>
      <c r="J360">
        <v>20</v>
      </c>
      <c r="K360">
        <v>10.8</v>
      </c>
      <c r="L360">
        <v>2</v>
      </c>
      <c r="M360">
        <v>6</v>
      </c>
      <c r="N360">
        <v>10</v>
      </c>
      <c r="O360">
        <v>1</v>
      </c>
      <c r="P360" t="str">
        <f>IF(Table1[[#This Row],[Pregnant(Y/N)]]=1,"YES","NO")</f>
        <v>YES</v>
      </c>
      <c r="Q360">
        <v>0</v>
      </c>
      <c r="R360">
        <v>169.33</v>
      </c>
      <c r="S360">
        <v>169.33</v>
      </c>
      <c r="T360">
        <v>3.27</v>
      </c>
      <c r="U360">
        <v>0.63</v>
      </c>
      <c r="V360">
        <f>Table1[[#This Row],[FSH(mIU/mL)]]/Table1[[#This Row],[LH(mIU/mL)]]</f>
        <v>5.1904761904761907</v>
      </c>
      <c r="W360" t="str">
        <f>IF(Table1[[#This Row],[FSH/LH]]&gt;=2,"Abnormal","Normal")</f>
        <v>Abnormal</v>
      </c>
      <c r="X360">
        <v>38</v>
      </c>
      <c r="Y360">
        <v>35</v>
      </c>
      <c r="Z360">
        <f>ROUND(Table1[[#This Row],[Waist(inch)]]/Table1[[#This Row],[Hip(inch)]],2)</f>
        <v>0.92</v>
      </c>
      <c r="AA360">
        <v>1.46</v>
      </c>
      <c r="AB360">
        <v>3.9</v>
      </c>
      <c r="AC360">
        <v>31.77</v>
      </c>
      <c r="AD360">
        <v>23.9</v>
      </c>
      <c r="AE360" t="str">
        <f>IF(Table1[[#This Row],[Vit D3 (ng/mL)]]&lt;20,"Deficiency","Normal")</f>
        <v>Normal</v>
      </c>
      <c r="AF360">
        <v>0.4</v>
      </c>
      <c r="AG360">
        <v>115</v>
      </c>
      <c r="AH360">
        <v>1</v>
      </c>
      <c r="AI360" t="str">
        <f>IF(Table1[[#This Row],[Weight gain(Y/N)]]=0,"NO","YES")</f>
        <v>YES</v>
      </c>
      <c r="AJ360">
        <v>0</v>
      </c>
      <c r="AK360" t="str">
        <f>IF(Table1[[#This Row],[hair growth(Y/N)]]=1,"YES","NO")</f>
        <v>NO</v>
      </c>
      <c r="AL360">
        <v>1</v>
      </c>
      <c r="AM360" t="str">
        <f>IF(Table1[[#This Row],[Skin darkening (Y/N)]]=1,"YES","NO")</f>
        <v>YES</v>
      </c>
      <c r="AN360">
        <v>0</v>
      </c>
      <c r="AO360" t="str">
        <f>IF(Table1[[#This Row],[Hair loss(Y/N)]]=1,"YES","NO")</f>
        <v>NO</v>
      </c>
      <c r="AP360">
        <v>0</v>
      </c>
      <c r="AQ360" t="str">
        <f>IF(Table1[[#This Row],[Pimples(Y/N)]]=1,"YES","NO")</f>
        <v>NO</v>
      </c>
      <c r="AR360">
        <v>1</v>
      </c>
      <c r="AS360" t="str">
        <f>IF(Table1[[#This Row],[Fast food (Y/N)]]=1,"YES","NO")</f>
        <v>YES</v>
      </c>
      <c r="AT360">
        <v>0</v>
      </c>
      <c r="AU360" t="str">
        <f>IF(Table1[[#This Row],[Reg.Exercise(Y/N)]]=1,"YES","NO")</f>
        <v>NO</v>
      </c>
      <c r="AV360">
        <v>120</v>
      </c>
      <c r="AW360">
        <v>70</v>
      </c>
      <c r="AX360">
        <v>2</v>
      </c>
      <c r="AY360">
        <v>2</v>
      </c>
      <c r="AZ360">
        <v>10</v>
      </c>
      <c r="BA360">
        <v>15</v>
      </c>
      <c r="BB360">
        <v>12</v>
      </c>
      <c r="BC360" t="str" cm="1">
        <f t="array" ref="BC360">_xlfn.IFS((F360/(G360*G360)*10000)&lt; 18.5,"Underweight",(F360/(G360*G360)*10000)&lt;24.9,"Normal",(F360/(G360*G360)*10000)&lt;29.9,"Overweight",(F360/(G360*G360)*10000)&gt;=30,"obesity")</f>
        <v>Overweight</v>
      </c>
      <c r="BD360">
        <f>Table1[[#This Row],[Follicle No. (L)]]+Table1[[#This Row],[Follicle No. (R)]]</f>
        <v>4</v>
      </c>
      <c r="BE360">
        <f>Table1[[#This Row],[Avg. F size (L) (mm)]]+Table1[[#This Row],[Avg. F size (R) (mm)]]</f>
        <v>25</v>
      </c>
      <c r="BF360">
        <f>Table1[[#This Row],[BP _Diastolic (mmHg)]]+(Table1[[#This Row],[BP _Diastolic (mmHg)]]+Table1[[#This Row],[Follicle No. (L)]])/3</f>
        <v>94</v>
      </c>
      <c r="BG360" s="4" t="str" cm="1">
        <f t="array" ref="BG36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60" s="4">
        <f>SUM(Table1[[#This Row],[Pimples(Y/N)]],Table1[[#This Row],[hair growth(Y/N)]],Table1[[#This Row],[Skin darkening (Y/N)]],Table1[[#This Row],[Hair loss(Y/N)]])</f>
        <v>1</v>
      </c>
      <c r="BI360" s="4" t="str">
        <f>IF(AND(Table1[[#This Row],[Pregnant(Y/N)]]=0, Table1[[#This Row],[  I   beta-HCG(mIU/mL)]]&gt;5), "Investigation Required", "Clear")</f>
        <v>Clear</v>
      </c>
    </row>
    <row r="361" spans="1:61" ht="15.75" customHeight="1" x14ac:dyDescent="0.25">
      <c r="A361">
        <v>360</v>
      </c>
      <c r="B361">
        <v>360</v>
      </c>
      <c r="C361">
        <v>0</v>
      </c>
      <c r="D361" t="str">
        <f>IF(Table1[[#This Row],[PCOS (Y/N)]]=0,"NO","YES")</f>
        <v>NO</v>
      </c>
      <c r="E361">
        <v>36</v>
      </c>
      <c r="F361">
        <v>61</v>
      </c>
      <c r="G361">
        <v>154</v>
      </c>
      <c r="H361">
        <v>13</v>
      </c>
      <c r="I361">
        <v>70</v>
      </c>
      <c r="J361">
        <v>18</v>
      </c>
      <c r="K361">
        <v>10.5</v>
      </c>
      <c r="L361">
        <v>2</v>
      </c>
      <c r="M361">
        <v>6</v>
      </c>
      <c r="N361">
        <v>12</v>
      </c>
      <c r="O361">
        <v>1</v>
      </c>
      <c r="P361" t="str">
        <f>IF(Table1[[#This Row],[Pregnant(Y/N)]]=1,"YES","NO")</f>
        <v>YES</v>
      </c>
      <c r="Q361">
        <v>0</v>
      </c>
      <c r="R361">
        <v>418.9</v>
      </c>
      <c r="S361">
        <v>418.9</v>
      </c>
      <c r="T361">
        <v>2.85</v>
      </c>
      <c r="U361">
        <v>1.71</v>
      </c>
      <c r="V361">
        <f>Table1[[#This Row],[FSH(mIU/mL)]]/Table1[[#This Row],[LH(mIU/mL)]]</f>
        <v>1.6666666666666667</v>
      </c>
      <c r="W361" t="str">
        <f>IF(Table1[[#This Row],[FSH/LH]]&gt;=2,"Abnormal","Normal")</f>
        <v>Normal</v>
      </c>
      <c r="X361">
        <v>38</v>
      </c>
      <c r="Y361">
        <v>35</v>
      </c>
      <c r="Z361">
        <f>ROUND(Table1[[#This Row],[Waist(inch)]]/Table1[[#This Row],[Hip(inch)]],2)</f>
        <v>0.92</v>
      </c>
      <c r="AA361">
        <v>1.54</v>
      </c>
      <c r="AB361">
        <v>3.09</v>
      </c>
      <c r="AC361">
        <v>26.09</v>
      </c>
      <c r="AD361">
        <v>20.16</v>
      </c>
      <c r="AE361" t="str">
        <f>IF(Table1[[#This Row],[Vit D3 (ng/mL)]]&lt;20,"Deficiency","Normal")</f>
        <v>Normal</v>
      </c>
      <c r="AF361">
        <v>0.31</v>
      </c>
      <c r="AG361">
        <v>95</v>
      </c>
      <c r="AH361">
        <v>1</v>
      </c>
      <c r="AI361" t="str">
        <f>IF(Table1[[#This Row],[Weight gain(Y/N)]]=0,"NO","YES")</f>
        <v>YES</v>
      </c>
      <c r="AJ361">
        <v>0</v>
      </c>
      <c r="AK361" t="str">
        <f>IF(Table1[[#This Row],[hair growth(Y/N)]]=1,"YES","NO")</f>
        <v>NO</v>
      </c>
      <c r="AL361">
        <v>0</v>
      </c>
      <c r="AM361" t="str">
        <f>IF(Table1[[#This Row],[Skin darkening (Y/N)]]=1,"YES","NO")</f>
        <v>NO</v>
      </c>
      <c r="AN361">
        <v>1</v>
      </c>
      <c r="AO361" t="str">
        <f>IF(Table1[[#This Row],[Hair loss(Y/N)]]=1,"YES","NO")</f>
        <v>YES</v>
      </c>
      <c r="AP361">
        <v>1</v>
      </c>
      <c r="AQ361" t="str">
        <f>IF(Table1[[#This Row],[Pimples(Y/N)]]=1,"YES","NO")</f>
        <v>YES</v>
      </c>
      <c r="AR361">
        <v>0</v>
      </c>
      <c r="AS361" t="str">
        <f>IF(Table1[[#This Row],[Fast food (Y/N)]]=1,"YES","NO")</f>
        <v>NO</v>
      </c>
      <c r="AT361">
        <v>1</v>
      </c>
      <c r="AU361" t="str">
        <f>IF(Table1[[#This Row],[Reg.Exercise(Y/N)]]=1,"YES","NO")</f>
        <v>YES</v>
      </c>
      <c r="AV361">
        <v>120</v>
      </c>
      <c r="AW361">
        <v>80</v>
      </c>
      <c r="AX361">
        <v>2</v>
      </c>
      <c r="AY361">
        <v>3</v>
      </c>
      <c r="AZ361">
        <v>13</v>
      </c>
      <c r="BA361">
        <v>11</v>
      </c>
      <c r="BB361">
        <v>6.8</v>
      </c>
      <c r="BC361" t="str" cm="1">
        <f t="array" ref="BC361">_xlfn.IFS((F361/(G361*G361)*10000)&lt; 18.5,"Underweight",(F361/(G361*G361)*10000)&lt;24.9,"Normal",(F361/(G361*G361)*10000)&lt;29.9,"Overweight",(F361/(G361*G361)*10000)&gt;=30,"obesity")</f>
        <v>Overweight</v>
      </c>
      <c r="BD361">
        <f>Table1[[#This Row],[Follicle No. (L)]]+Table1[[#This Row],[Follicle No. (R)]]</f>
        <v>5</v>
      </c>
      <c r="BE361">
        <f>Table1[[#This Row],[Avg. F size (L) (mm)]]+Table1[[#This Row],[Avg. F size (R) (mm)]]</f>
        <v>24</v>
      </c>
      <c r="BF361">
        <f>Table1[[#This Row],[BP _Diastolic (mmHg)]]+(Table1[[#This Row],[BP _Diastolic (mmHg)]]+Table1[[#This Row],[Follicle No. (L)]])/3</f>
        <v>107.33333333333333</v>
      </c>
      <c r="BG361" s="4" t="str" cm="1">
        <f t="array" ref="BG36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61" s="4">
        <f>SUM(Table1[[#This Row],[Pimples(Y/N)]],Table1[[#This Row],[hair growth(Y/N)]],Table1[[#This Row],[Skin darkening (Y/N)]],Table1[[#This Row],[Hair loss(Y/N)]])</f>
        <v>2</v>
      </c>
      <c r="BI361" s="4" t="str">
        <f>IF(AND(Table1[[#This Row],[Pregnant(Y/N)]]=0, Table1[[#This Row],[  I   beta-HCG(mIU/mL)]]&gt;5), "Investigation Required", "Clear")</f>
        <v>Clear</v>
      </c>
    </row>
    <row r="362" spans="1:61" ht="15.75" customHeight="1" x14ac:dyDescent="0.25">
      <c r="A362">
        <v>361</v>
      </c>
      <c r="B362">
        <v>361</v>
      </c>
      <c r="C362">
        <v>0</v>
      </c>
      <c r="D362" t="str">
        <f>IF(Table1[[#This Row],[PCOS (Y/N)]]=0,"NO","YES")</f>
        <v>NO</v>
      </c>
      <c r="E362">
        <v>34</v>
      </c>
      <c r="F362">
        <v>61</v>
      </c>
      <c r="G362">
        <v>154</v>
      </c>
      <c r="H362">
        <v>15</v>
      </c>
      <c r="I362">
        <v>72</v>
      </c>
      <c r="J362">
        <v>18</v>
      </c>
      <c r="K362">
        <v>10.5</v>
      </c>
      <c r="L362">
        <v>2</v>
      </c>
      <c r="M362">
        <v>5</v>
      </c>
      <c r="N362">
        <v>7</v>
      </c>
      <c r="O362">
        <v>0</v>
      </c>
      <c r="P362" t="str">
        <f>IF(Table1[[#This Row],[Pregnant(Y/N)]]=1,"YES","NO")</f>
        <v>NO</v>
      </c>
      <c r="Q362">
        <v>0</v>
      </c>
      <c r="R362">
        <v>1.99</v>
      </c>
      <c r="S362">
        <v>1.99</v>
      </c>
      <c r="T362">
        <v>6.42</v>
      </c>
      <c r="U362">
        <v>3.45</v>
      </c>
      <c r="V362">
        <f>Table1[[#This Row],[FSH(mIU/mL)]]/Table1[[#This Row],[LH(mIU/mL)]]</f>
        <v>1.8608695652173912</v>
      </c>
      <c r="W362" t="str">
        <f>IF(Table1[[#This Row],[FSH/LH]]&gt;=2,"Abnormal","Normal")</f>
        <v>Normal</v>
      </c>
      <c r="X362">
        <v>39</v>
      </c>
      <c r="Y362">
        <v>34</v>
      </c>
      <c r="Z362">
        <f>ROUND(Table1[[#This Row],[Waist(inch)]]/Table1[[#This Row],[Hip(inch)]],2)</f>
        <v>0.87</v>
      </c>
      <c r="AA362">
        <v>2.64</v>
      </c>
      <c r="AB362">
        <v>10.9</v>
      </c>
      <c r="AC362">
        <v>14.52</v>
      </c>
      <c r="AD362">
        <v>39.1</v>
      </c>
      <c r="AE362" t="str">
        <f>IF(Table1[[#This Row],[Vit D3 (ng/mL)]]&lt;20,"Deficiency","Normal")</f>
        <v>Normal</v>
      </c>
      <c r="AF362">
        <v>0.25</v>
      </c>
      <c r="AG362">
        <v>100</v>
      </c>
      <c r="AH362">
        <v>1</v>
      </c>
      <c r="AI362" t="str">
        <f>IF(Table1[[#This Row],[Weight gain(Y/N)]]=0,"NO","YES")</f>
        <v>YES</v>
      </c>
      <c r="AJ362">
        <v>0</v>
      </c>
      <c r="AK362" t="str">
        <f>IF(Table1[[#This Row],[hair growth(Y/N)]]=1,"YES","NO")</f>
        <v>NO</v>
      </c>
      <c r="AL362">
        <v>0</v>
      </c>
      <c r="AM362" t="str">
        <f>IF(Table1[[#This Row],[Skin darkening (Y/N)]]=1,"YES","NO")</f>
        <v>NO</v>
      </c>
      <c r="AN362">
        <v>1</v>
      </c>
      <c r="AO362" t="str">
        <f>IF(Table1[[#This Row],[Hair loss(Y/N)]]=1,"YES","NO")</f>
        <v>YES</v>
      </c>
      <c r="AP362">
        <v>0</v>
      </c>
      <c r="AQ362" t="str">
        <f>IF(Table1[[#This Row],[Pimples(Y/N)]]=1,"YES","NO")</f>
        <v>NO</v>
      </c>
      <c r="AR362">
        <v>0</v>
      </c>
      <c r="AS362" t="str">
        <f>IF(Table1[[#This Row],[Fast food (Y/N)]]=1,"YES","NO")</f>
        <v>NO</v>
      </c>
      <c r="AT362">
        <v>0</v>
      </c>
      <c r="AU362" t="str">
        <f>IF(Table1[[#This Row],[Reg.Exercise(Y/N)]]=1,"YES","NO")</f>
        <v>NO</v>
      </c>
      <c r="AV362">
        <v>120</v>
      </c>
      <c r="AW362">
        <v>70</v>
      </c>
      <c r="AX362">
        <v>3</v>
      </c>
      <c r="AY362">
        <v>3</v>
      </c>
      <c r="AZ362">
        <v>13</v>
      </c>
      <c r="BA362">
        <v>14</v>
      </c>
      <c r="BB362">
        <v>13.5</v>
      </c>
      <c r="BC362" t="str" cm="1">
        <f t="array" ref="BC362">_xlfn.IFS((F362/(G362*G362)*10000)&lt; 18.5,"Underweight",(F362/(G362*G362)*10000)&lt;24.9,"Normal",(F362/(G362*G362)*10000)&lt;29.9,"Overweight",(F362/(G362*G362)*10000)&gt;=30,"obesity")</f>
        <v>Overweight</v>
      </c>
      <c r="BD362">
        <f>Table1[[#This Row],[Follicle No. (L)]]+Table1[[#This Row],[Follicle No. (R)]]</f>
        <v>6</v>
      </c>
      <c r="BE362">
        <f>Table1[[#This Row],[Avg. F size (L) (mm)]]+Table1[[#This Row],[Avg. F size (R) (mm)]]</f>
        <v>27</v>
      </c>
      <c r="BF362">
        <f>Table1[[#This Row],[BP _Diastolic (mmHg)]]+(Table1[[#This Row],[BP _Diastolic (mmHg)]]+Table1[[#This Row],[Follicle No. (L)]])/3</f>
        <v>94.333333333333329</v>
      </c>
      <c r="BG362" s="4" t="str" cm="1">
        <f t="array" ref="BG36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62" s="4">
        <f>SUM(Table1[[#This Row],[Pimples(Y/N)]],Table1[[#This Row],[hair growth(Y/N)]],Table1[[#This Row],[Skin darkening (Y/N)]],Table1[[#This Row],[Hair loss(Y/N)]])</f>
        <v>1</v>
      </c>
      <c r="BI362" s="4" t="str">
        <f>IF(AND(Table1[[#This Row],[Pregnant(Y/N)]]=0, Table1[[#This Row],[  I   beta-HCG(mIU/mL)]]&gt;5), "Investigation Required", "Clear")</f>
        <v>Clear</v>
      </c>
    </row>
    <row r="363" spans="1:61" ht="15.75" customHeight="1" x14ac:dyDescent="0.25">
      <c r="A363">
        <v>362</v>
      </c>
      <c r="B363">
        <v>362</v>
      </c>
      <c r="C363">
        <v>0</v>
      </c>
      <c r="D363" t="str">
        <f>IF(Table1[[#This Row],[PCOS (Y/N)]]=0,"NO","YES")</f>
        <v>NO</v>
      </c>
      <c r="E363">
        <v>35</v>
      </c>
      <c r="F363">
        <v>62</v>
      </c>
      <c r="G363">
        <v>148</v>
      </c>
      <c r="H363">
        <v>13</v>
      </c>
      <c r="I363">
        <v>78</v>
      </c>
      <c r="J363">
        <v>20</v>
      </c>
      <c r="K363">
        <v>10.8</v>
      </c>
      <c r="L363">
        <v>2</v>
      </c>
      <c r="M363">
        <v>6</v>
      </c>
      <c r="N363">
        <v>17</v>
      </c>
      <c r="O363">
        <v>0</v>
      </c>
      <c r="P363" t="str">
        <f>IF(Table1[[#This Row],[Pregnant(Y/N)]]=1,"YES","NO")</f>
        <v>NO</v>
      </c>
      <c r="Q363">
        <v>1</v>
      </c>
      <c r="R363">
        <v>1.99</v>
      </c>
      <c r="S363">
        <v>1.99</v>
      </c>
      <c r="T363">
        <v>2.71</v>
      </c>
      <c r="U363">
        <v>1.41</v>
      </c>
      <c r="V363">
        <f>Table1[[#This Row],[FSH(mIU/mL)]]/Table1[[#This Row],[LH(mIU/mL)]]</f>
        <v>1.9219858156028369</v>
      </c>
      <c r="W363" t="str">
        <f>IF(Table1[[#This Row],[FSH/LH]]&gt;=2,"Abnormal","Normal")</f>
        <v>Normal</v>
      </c>
      <c r="X363">
        <v>40</v>
      </c>
      <c r="Y363">
        <v>36</v>
      </c>
      <c r="Z363">
        <f>ROUND(Table1[[#This Row],[Waist(inch)]]/Table1[[#This Row],[Hip(inch)]],2)</f>
        <v>0.9</v>
      </c>
      <c r="AA363">
        <v>1.87</v>
      </c>
      <c r="AB363">
        <v>5.2</v>
      </c>
      <c r="AC363">
        <v>28.27</v>
      </c>
      <c r="AD363">
        <v>30.9</v>
      </c>
      <c r="AE363" t="str">
        <f>IF(Table1[[#This Row],[Vit D3 (ng/mL)]]&lt;20,"Deficiency","Normal")</f>
        <v>Normal</v>
      </c>
      <c r="AF363">
        <v>0.3</v>
      </c>
      <c r="AG363">
        <v>92</v>
      </c>
      <c r="AH363">
        <v>1</v>
      </c>
      <c r="AI363" t="str">
        <f>IF(Table1[[#This Row],[Weight gain(Y/N)]]=0,"NO","YES")</f>
        <v>YES</v>
      </c>
      <c r="AJ363">
        <v>0</v>
      </c>
      <c r="AK363" t="str">
        <f>IF(Table1[[#This Row],[hair growth(Y/N)]]=1,"YES","NO")</f>
        <v>NO</v>
      </c>
      <c r="AL363">
        <v>0</v>
      </c>
      <c r="AM363" t="str">
        <f>IF(Table1[[#This Row],[Skin darkening (Y/N)]]=1,"YES","NO")</f>
        <v>NO</v>
      </c>
      <c r="AN363">
        <v>1</v>
      </c>
      <c r="AO363" t="str">
        <f>IF(Table1[[#This Row],[Hair loss(Y/N)]]=1,"YES","NO")</f>
        <v>YES</v>
      </c>
      <c r="AP363">
        <v>1</v>
      </c>
      <c r="AQ363" t="str">
        <f>IF(Table1[[#This Row],[Pimples(Y/N)]]=1,"YES","NO")</f>
        <v>YES</v>
      </c>
      <c r="AR363">
        <v>0</v>
      </c>
      <c r="AS363" t="str">
        <f>IF(Table1[[#This Row],[Fast food (Y/N)]]=1,"YES","NO")</f>
        <v>NO</v>
      </c>
      <c r="AT363">
        <v>1</v>
      </c>
      <c r="AU363" t="str">
        <f>IF(Table1[[#This Row],[Reg.Exercise(Y/N)]]=1,"YES","NO")</f>
        <v>YES</v>
      </c>
      <c r="AV363">
        <v>120</v>
      </c>
      <c r="AW363">
        <v>70</v>
      </c>
      <c r="AX363">
        <v>2</v>
      </c>
      <c r="AY363">
        <v>3</v>
      </c>
      <c r="AZ363">
        <v>10</v>
      </c>
      <c r="BA363">
        <v>10</v>
      </c>
      <c r="BB363">
        <v>7</v>
      </c>
      <c r="BC363" t="str" cm="1">
        <f t="array" ref="BC363">_xlfn.IFS((F363/(G363*G363)*10000)&lt; 18.5,"Underweight",(F363/(G363*G363)*10000)&lt;24.9,"Normal",(F363/(G363*G363)*10000)&lt;29.9,"Overweight",(F363/(G363*G363)*10000)&gt;=30,"obesity")</f>
        <v>Overweight</v>
      </c>
      <c r="BD363">
        <f>Table1[[#This Row],[Follicle No. (L)]]+Table1[[#This Row],[Follicle No. (R)]]</f>
        <v>5</v>
      </c>
      <c r="BE363">
        <f>Table1[[#This Row],[Avg. F size (L) (mm)]]+Table1[[#This Row],[Avg. F size (R) (mm)]]</f>
        <v>20</v>
      </c>
      <c r="BF363">
        <f>Table1[[#This Row],[BP _Diastolic (mmHg)]]+(Table1[[#This Row],[BP _Diastolic (mmHg)]]+Table1[[#This Row],[Follicle No. (L)]])/3</f>
        <v>94</v>
      </c>
      <c r="BG363" s="4" t="str" cm="1">
        <f t="array" ref="BG36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63" s="4">
        <f>SUM(Table1[[#This Row],[Pimples(Y/N)]],Table1[[#This Row],[hair growth(Y/N)]],Table1[[#This Row],[Skin darkening (Y/N)]],Table1[[#This Row],[Hair loss(Y/N)]])</f>
        <v>2</v>
      </c>
      <c r="BI363" s="4" t="str">
        <f>IF(AND(Table1[[#This Row],[Pregnant(Y/N)]]=0, Table1[[#This Row],[  I   beta-HCG(mIU/mL)]]&gt;5), "Investigation Required", "Clear")</f>
        <v>Clear</v>
      </c>
    </row>
    <row r="364" spans="1:61" ht="15.75" customHeight="1" x14ac:dyDescent="0.25">
      <c r="A364">
        <v>363</v>
      </c>
      <c r="B364">
        <v>363</v>
      </c>
      <c r="C364">
        <v>0</v>
      </c>
      <c r="D364" t="str">
        <f>IF(Table1[[#This Row],[PCOS (Y/N)]]=0,"NO","YES")</f>
        <v>NO</v>
      </c>
      <c r="E364">
        <v>42</v>
      </c>
      <c r="F364">
        <v>50</v>
      </c>
      <c r="G364">
        <v>161</v>
      </c>
      <c r="H364">
        <v>15</v>
      </c>
      <c r="I364">
        <v>74</v>
      </c>
      <c r="J364">
        <v>16</v>
      </c>
      <c r="K364">
        <v>10</v>
      </c>
      <c r="L364">
        <v>4</v>
      </c>
      <c r="M364">
        <v>3</v>
      </c>
      <c r="N364">
        <v>5</v>
      </c>
      <c r="O364">
        <v>1</v>
      </c>
      <c r="P364" t="str">
        <f>IF(Table1[[#This Row],[Pregnant(Y/N)]]=1,"YES","NO")</f>
        <v>YES</v>
      </c>
      <c r="Q364">
        <v>0</v>
      </c>
      <c r="R364">
        <v>14.83</v>
      </c>
      <c r="S364">
        <v>53.82</v>
      </c>
      <c r="T364">
        <v>4.91</v>
      </c>
      <c r="U364">
        <v>0.67</v>
      </c>
      <c r="V364">
        <f>Table1[[#This Row],[FSH(mIU/mL)]]/Table1[[#This Row],[LH(mIU/mL)]]</f>
        <v>7.3283582089552235</v>
      </c>
      <c r="W364" t="str">
        <f>IF(Table1[[#This Row],[FSH/LH]]&gt;=2,"Abnormal","Normal")</f>
        <v>Abnormal</v>
      </c>
      <c r="X364">
        <v>37</v>
      </c>
      <c r="Y364">
        <v>32</v>
      </c>
      <c r="Z364">
        <f>ROUND(Table1[[#This Row],[Waist(inch)]]/Table1[[#This Row],[Hip(inch)]],2)</f>
        <v>0.86</v>
      </c>
      <c r="AA364">
        <v>0.97</v>
      </c>
      <c r="AB364">
        <v>1.6</v>
      </c>
      <c r="AC364">
        <v>23.58</v>
      </c>
      <c r="AD364">
        <v>21.3</v>
      </c>
      <c r="AE364" t="str">
        <f>IF(Table1[[#This Row],[Vit D3 (ng/mL)]]&lt;20,"Deficiency","Normal")</f>
        <v>Normal</v>
      </c>
      <c r="AF364">
        <v>0.25</v>
      </c>
      <c r="AG364">
        <v>82</v>
      </c>
      <c r="AH364">
        <v>0</v>
      </c>
      <c r="AI364" t="str">
        <f>IF(Table1[[#This Row],[Weight gain(Y/N)]]=0,"NO","YES")</f>
        <v>NO</v>
      </c>
      <c r="AJ364">
        <v>0</v>
      </c>
      <c r="AK364" t="str">
        <f>IF(Table1[[#This Row],[hair growth(Y/N)]]=1,"YES","NO")</f>
        <v>NO</v>
      </c>
      <c r="AL364">
        <v>0</v>
      </c>
      <c r="AM364" t="str">
        <f>IF(Table1[[#This Row],[Skin darkening (Y/N)]]=1,"YES","NO")</f>
        <v>NO</v>
      </c>
      <c r="AN364">
        <v>1</v>
      </c>
      <c r="AO364" t="str">
        <f>IF(Table1[[#This Row],[Hair loss(Y/N)]]=1,"YES","NO")</f>
        <v>YES</v>
      </c>
      <c r="AP364">
        <v>0</v>
      </c>
      <c r="AQ364" t="str">
        <f>IF(Table1[[#This Row],[Pimples(Y/N)]]=1,"YES","NO")</f>
        <v>NO</v>
      </c>
      <c r="AR364">
        <v>0</v>
      </c>
      <c r="AS364" t="str">
        <f>IF(Table1[[#This Row],[Fast food (Y/N)]]=1,"YES","NO")</f>
        <v>NO</v>
      </c>
      <c r="AT364">
        <v>0</v>
      </c>
      <c r="AU364" t="str">
        <f>IF(Table1[[#This Row],[Reg.Exercise(Y/N)]]=1,"YES","NO")</f>
        <v>NO</v>
      </c>
      <c r="AV364">
        <v>120</v>
      </c>
      <c r="AW364">
        <v>80</v>
      </c>
      <c r="AX364">
        <v>1</v>
      </c>
      <c r="AY364">
        <v>1</v>
      </c>
      <c r="AZ364">
        <v>14</v>
      </c>
      <c r="BA364">
        <v>13</v>
      </c>
      <c r="BB364">
        <v>9.1999999999999993</v>
      </c>
      <c r="BC364" t="str" cm="1">
        <f t="array" ref="BC364">_xlfn.IFS((F364/(G364*G364)*10000)&lt; 18.5,"Underweight",(F364/(G364*G364)*10000)&lt;24.9,"Normal",(F364/(G364*G364)*10000)&lt;29.9,"Overweight",(F364/(G364*G364)*10000)&gt;=30,"obesity")</f>
        <v>Normal</v>
      </c>
      <c r="BD364">
        <f>Table1[[#This Row],[Follicle No. (L)]]+Table1[[#This Row],[Follicle No. (R)]]</f>
        <v>2</v>
      </c>
      <c r="BE364">
        <f>Table1[[#This Row],[Avg. F size (L) (mm)]]+Table1[[#This Row],[Avg. F size (R) (mm)]]</f>
        <v>27</v>
      </c>
      <c r="BF364">
        <f>Table1[[#This Row],[BP _Diastolic (mmHg)]]+(Table1[[#This Row],[BP _Diastolic (mmHg)]]+Table1[[#This Row],[Follicle No. (L)]])/3</f>
        <v>107</v>
      </c>
      <c r="BG364" s="4" t="str" cm="1">
        <f t="array" ref="BG36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64" s="4">
        <f>SUM(Table1[[#This Row],[Pimples(Y/N)]],Table1[[#This Row],[hair growth(Y/N)]],Table1[[#This Row],[Skin darkening (Y/N)]],Table1[[#This Row],[Hair loss(Y/N)]])</f>
        <v>1</v>
      </c>
      <c r="BI364" s="4" t="str">
        <f>IF(AND(Table1[[#This Row],[Pregnant(Y/N)]]=0, Table1[[#This Row],[  I   beta-HCG(mIU/mL)]]&gt;5), "Investigation Required", "Clear")</f>
        <v>Clear</v>
      </c>
    </row>
    <row r="365" spans="1:61" ht="15.75" customHeight="1" x14ac:dyDescent="0.25">
      <c r="A365">
        <v>364</v>
      </c>
      <c r="B365">
        <v>364</v>
      </c>
      <c r="C365">
        <v>0</v>
      </c>
      <c r="D365" t="str">
        <f>IF(Table1[[#This Row],[PCOS (Y/N)]]=0,"NO","YES")</f>
        <v>NO</v>
      </c>
      <c r="E365">
        <v>31</v>
      </c>
      <c r="F365">
        <v>48</v>
      </c>
      <c r="G365">
        <v>152</v>
      </c>
      <c r="H365">
        <v>17</v>
      </c>
      <c r="I365">
        <v>72</v>
      </c>
      <c r="J365">
        <v>18</v>
      </c>
      <c r="K365">
        <v>11</v>
      </c>
      <c r="L365">
        <v>2</v>
      </c>
      <c r="M365">
        <v>6</v>
      </c>
      <c r="N365">
        <v>8</v>
      </c>
      <c r="O365">
        <v>0</v>
      </c>
      <c r="P365" t="str">
        <f>IF(Table1[[#This Row],[Pregnant(Y/N)]]=1,"YES","NO")</f>
        <v>NO</v>
      </c>
      <c r="Q365">
        <v>0</v>
      </c>
      <c r="R365">
        <v>1.99</v>
      </c>
      <c r="S365">
        <v>1.99</v>
      </c>
      <c r="T365">
        <v>5.98</v>
      </c>
      <c r="U365">
        <v>1</v>
      </c>
      <c r="V365">
        <f>Table1[[#This Row],[FSH(mIU/mL)]]/Table1[[#This Row],[LH(mIU/mL)]]</f>
        <v>5.98</v>
      </c>
      <c r="W365" t="str">
        <f>IF(Table1[[#This Row],[FSH/LH]]&gt;=2,"Abnormal","Normal")</f>
        <v>Abnormal</v>
      </c>
      <c r="X365">
        <v>35</v>
      </c>
      <c r="Y365">
        <v>30</v>
      </c>
      <c r="Z365">
        <f>ROUND(Table1[[#This Row],[Waist(inch)]]/Table1[[#This Row],[Hip(inch)]],2)</f>
        <v>0.86</v>
      </c>
      <c r="AA365">
        <v>3.13</v>
      </c>
      <c r="AB365">
        <v>1</v>
      </c>
      <c r="AC365">
        <v>20.83</v>
      </c>
      <c r="AD365">
        <v>43.4</v>
      </c>
      <c r="AE365" t="str">
        <f>IF(Table1[[#This Row],[Vit D3 (ng/mL)]]&lt;20,"Deficiency","Normal")</f>
        <v>Normal</v>
      </c>
      <c r="AF365">
        <v>0.56000000000000005</v>
      </c>
      <c r="AG365">
        <v>100</v>
      </c>
      <c r="AH365">
        <v>0</v>
      </c>
      <c r="AI365" t="str">
        <f>IF(Table1[[#This Row],[Weight gain(Y/N)]]=0,"NO","YES")</f>
        <v>NO</v>
      </c>
      <c r="AJ365">
        <v>0</v>
      </c>
      <c r="AK365" t="str">
        <f>IF(Table1[[#This Row],[hair growth(Y/N)]]=1,"YES","NO")</f>
        <v>NO</v>
      </c>
      <c r="AL365">
        <v>0</v>
      </c>
      <c r="AM365" t="str">
        <f>IF(Table1[[#This Row],[Skin darkening (Y/N)]]=1,"YES","NO")</f>
        <v>NO</v>
      </c>
      <c r="AN365">
        <v>1</v>
      </c>
      <c r="AO365" t="str">
        <f>IF(Table1[[#This Row],[Hair loss(Y/N)]]=1,"YES","NO")</f>
        <v>YES</v>
      </c>
      <c r="AP365">
        <v>1</v>
      </c>
      <c r="AQ365" t="str">
        <f>IF(Table1[[#This Row],[Pimples(Y/N)]]=1,"YES","NO")</f>
        <v>YES</v>
      </c>
      <c r="AR365">
        <v>1</v>
      </c>
      <c r="AS365" t="str">
        <f>IF(Table1[[#This Row],[Fast food (Y/N)]]=1,"YES","NO")</f>
        <v>YES</v>
      </c>
      <c r="AT365">
        <v>0</v>
      </c>
      <c r="AU365" t="str">
        <f>IF(Table1[[#This Row],[Reg.Exercise(Y/N)]]=1,"YES","NO")</f>
        <v>NO</v>
      </c>
      <c r="AV365">
        <v>110</v>
      </c>
      <c r="AW365">
        <v>80</v>
      </c>
      <c r="AX365">
        <v>1</v>
      </c>
      <c r="AY365">
        <v>3</v>
      </c>
      <c r="AZ365">
        <v>13</v>
      </c>
      <c r="BA365">
        <v>13</v>
      </c>
      <c r="BB365">
        <v>7</v>
      </c>
      <c r="BC365" t="str" cm="1">
        <f t="array" ref="BC365">_xlfn.IFS((F365/(G365*G365)*10000)&lt; 18.5,"Underweight",(F365/(G365*G365)*10000)&lt;24.9,"Normal",(F365/(G365*G365)*10000)&lt;29.9,"Overweight",(F365/(G365*G365)*10000)&gt;=30,"obesity")</f>
        <v>Normal</v>
      </c>
      <c r="BD365">
        <f>Table1[[#This Row],[Follicle No. (L)]]+Table1[[#This Row],[Follicle No. (R)]]</f>
        <v>4</v>
      </c>
      <c r="BE365">
        <f>Table1[[#This Row],[Avg. F size (L) (mm)]]+Table1[[#This Row],[Avg. F size (R) (mm)]]</f>
        <v>26</v>
      </c>
      <c r="BF365">
        <f>Table1[[#This Row],[BP _Diastolic (mmHg)]]+(Table1[[#This Row],[BP _Diastolic (mmHg)]]+Table1[[#This Row],[Follicle No. (L)]])/3</f>
        <v>107</v>
      </c>
      <c r="BG365" s="4" t="str" cm="1">
        <f t="array" ref="BG36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65" s="4">
        <f>SUM(Table1[[#This Row],[Pimples(Y/N)]],Table1[[#This Row],[hair growth(Y/N)]],Table1[[#This Row],[Skin darkening (Y/N)]],Table1[[#This Row],[Hair loss(Y/N)]])</f>
        <v>2</v>
      </c>
      <c r="BI365" s="4" t="str">
        <f>IF(AND(Table1[[#This Row],[Pregnant(Y/N)]]=0, Table1[[#This Row],[  I   beta-HCG(mIU/mL)]]&gt;5), "Investigation Required", "Clear")</f>
        <v>Clear</v>
      </c>
    </row>
    <row r="366" spans="1:61" ht="15.75" customHeight="1" x14ac:dyDescent="0.25">
      <c r="A366">
        <v>365</v>
      </c>
      <c r="B366">
        <v>365</v>
      </c>
      <c r="C366">
        <v>0</v>
      </c>
      <c r="D366" t="str">
        <f>IF(Table1[[#This Row],[PCOS (Y/N)]]=0,"NO","YES")</f>
        <v>NO</v>
      </c>
      <c r="E366">
        <v>35</v>
      </c>
      <c r="F366">
        <v>48</v>
      </c>
      <c r="G366">
        <v>158</v>
      </c>
      <c r="H366">
        <v>15</v>
      </c>
      <c r="I366">
        <v>72</v>
      </c>
      <c r="J366">
        <v>20</v>
      </c>
      <c r="K366">
        <v>10.8</v>
      </c>
      <c r="L366">
        <v>2</v>
      </c>
      <c r="M366">
        <v>5</v>
      </c>
      <c r="N366">
        <v>10</v>
      </c>
      <c r="O366">
        <v>1</v>
      </c>
      <c r="P366" t="str">
        <f>IF(Table1[[#This Row],[Pregnant(Y/N)]]=1,"YES","NO")</f>
        <v>YES</v>
      </c>
      <c r="Q366">
        <v>1</v>
      </c>
      <c r="R366">
        <v>650.71</v>
      </c>
      <c r="S366">
        <v>1.99</v>
      </c>
      <c r="T366">
        <v>7.77</v>
      </c>
      <c r="U366">
        <v>3.64</v>
      </c>
      <c r="V366">
        <f>Table1[[#This Row],[FSH(mIU/mL)]]/Table1[[#This Row],[LH(mIU/mL)]]</f>
        <v>2.1346153846153846</v>
      </c>
      <c r="W366" t="str">
        <f>IF(Table1[[#This Row],[FSH/LH]]&gt;=2,"Abnormal","Normal")</f>
        <v>Abnormal</v>
      </c>
      <c r="X366">
        <v>36</v>
      </c>
      <c r="Y366">
        <v>30</v>
      </c>
      <c r="Z366">
        <f>ROUND(Table1[[#This Row],[Waist(inch)]]/Table1[[#This Row],[Hip(inch)]],2)</f>
        <v>0.83</v>
      </c>
      <c r="AA366">
        <v>1.45</v>
      </c>
      <c r="AB366">
        <v>6.4</v>
      </c>
      <c r="AC366">
        <v>29.56</v>
      </c>
      <c r="AD366">
        <v>24.6</v>
      </c>
      <c r="AE366" t="str">
        <f>IF(Table1[[#This Row],[Vit D3 (ng/mL)]]&lt;20,"Deficiency","Normal")</f>
        <v>Normal</v>
      </c>
      <c r="AF366">
        <v>0.55000000000000004</v>
      </c>
      <c r="AG366">
        <v>110</v>
      </c>
      <c r="AH366">
        <v>0</v>
      </c>
      <c r="AI366" t="str">
        <f>IF(Table1[[#This Row],[Weight gain(Y/N)]]=0,"NO","YES")</f>
        <v>NO</v>
      </c>
      <c r="AJ366">
        <v>0</v>
      </c>
      <c r="AK366" t="str">
        <f>IF(Table1[[#This Row],[hair growth(Y/N)]]=1,"YES","NO")</f>
        <v>NO</v>
      </c>
      <c r="AL366">
        <v>1</v>
      </c>
      <c r="AM366" t="str">
        <f>IF(Table1[[#This Row],[Skin darkening (Y/N)]]=1,"YES","NO")</f>
        <v>YES</v>
      </c>
      <c r="AN366">
        <v>0</v>
      </c>
      <c r="AO366" t="str">
        <f>IF(Table1[[#This Row],[Hair loss(Y/N)]]=1,"YES","NO")</f>
        <v>NO</v>
      </c>
      <c r="AP366">
        <v>0</v>
      </c>
      <c r="AQ366" t="str">
        <f>IF(Table1[[#This Row],[Pimples(Y/N)]]=1,"YES","NO")</f>
        <v>NO</v>
      </c>
      <c r="AR366">
        <v>1</v>
      </c>
      <c r="AS366" t="str">
        <f>IF(Table1[[#This Row],[Fast food (Y/N)]]=1,"YES","NO")</f>
        <v>YES</v>
      </c>
      <c r="AT366">
        <v>0</v>
      </c>
      <c r="AU366" t="str">
        <f>IF(Table1[[#This Row],[Reg.Exercise(Y/N)]]=1,"YES","NO")</f>
        <v>NO</v>
      </c>
      <c r="AV366">
        <v>120</v>
      </c>
      <c r="AW366">
        <v>80</v>
      </c>
      <c r="AX366">
        <v>3</v>
      </c>
      <c r="AY366">
        <v>3</v>
      </c>
      <c r="AZ366">
        <v>16</v>
      </c>
      <c r="BA366">
        <v>15</v>
      </c>
      <c r="BB366">
        <v>9</v>
      </c>
      <c r="BC366" t="str" cm="1">
        <f t="array" ref="BC366">_xlfn.IFS((F366/(G366*G366)*10000)&lt; 18.5,"Underweight",(F366/(G366*G366)*10000)&lt;24.9,"Normal",(F366/(G366*G366)*10000)&lt;29.9,"Overweight",(F366/(G366*G366)*10000)&gt;=30,"obesity")</f>
        <v>Normal</v>
      </c>
      <c r="BD366">
        <f>Table1[[#This Row],[Follicle No. (L)]]+Table1[[#This Row],[Follicle No. (R)]]</f>
        <v>6</v>
      </c>
      <c r="BE366">
        <f>Table1[[#This Row],[Avg. F size (L) (mm)]]+Table1[[#This Row],[Avg. F size (R) (mm)]]</f>
        <v>31</v>
      </c>
      <c r="BF366">
        <f>Table1[[#This Row],[BP _Diastolic (mmHg)]]+(Table1[[#This Row],[BP _Diastolic (mmHg)]]+Table1[[#This Row],[Follicle No. (L)]])/3</f>
        <v>107.66666666666667</v>
      </c>
      <c r="BG366" s="4" t="str" cm="1">
        <f t="array" ref="BG36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66" s="4">
        <f>SUM(Table1[[#This Row],[Pimples(Y/N)]],Table1[[#This Row],[hair growth(Y/N)]],Table1[[#This Row],[Skin darkening (Y/N)]],Table1[[#This Row],[Hair loss(Y/N)]])</f>
        <v>1</v>
      </c>
      <c r="BI366" s="4" t="str">
        <f>IF(AND(Table1[[#This Row],[Pregnant(Y/N)]]=0, Table1[[#This Row],[  I   beta-HCG(mIU/mL)]]&gt;5), "Investigation Required", "Clear")</f>
        <v>Clear</v>
      </c>
    </row>
    <row r="367" spans="1:61" ht="15.75" customHeight="1" x14ac:dyDescent="0.25">
      <c r="A367">
        <v>366</v>
      </c>
      <c r="B367">
        <v>366</v>
      </c>
      <c r="C367">
        <v>0</v>
      </c>
      <c r="D367" t="str">
        <f>IF(Table1[[#This Row],[PCOS (Y/N)]]=0,"NO","YES")</f>
        <v>NO</v>
      </c>
      <c r="E367">
        <v>38</v>
      </c>
      <c r="F367">
        <v>77.900000000000006</v>
      </c>
      <c r="G367">
        <v>161</v>
      </c>
      <c r="H367">
        <v>15</v>
      </c>
      <c r="I367">
        <v>72</v>
      </c>
      <c r="J367">
        <v>24</v>
      </c>
      <c r="K367">
        <v>11.1</v>
      </c>
      <c r="L367">
        <v>2</v>
      </c>
      <c r="M367">
        <v>5</v>
      </c>
      <c r="N367">
        <v>2</v>
      </c>
      <c r="O367">
        <v>0</v>
      </c>
      <c r="P367" t="str">
        <f>IF(Table1[[#This Row],[Pregnant(Y/N)]]=1,"YES","NO")</f>
        <v>NO</v>
      </c>
      <c r="Q367">
        <v>0</v>
      </c>
      <c r="R367">
        <v>1.99</v>
      </c>
      <c r="S367">
        <v>1.99</v>
      </c>
      <c r="T367">
        <v>4.32</v>
      </c>
      <c r="U367">
        <v>1.35</v>
      </c>
      <c r="V367">
        <f>Table1[[#This Row],[FSH(mIU/mL)]]/Table1[[#This Row],[LH(mIU/mL)]]</f>
        <v>3.2</v>
      </c>
      <c r="W367" t="str">
        <f>IF(Table1[[#This Row],[FSH/LH]]&gt;=2,"Abnormal","Normal")</f>
        <v>Abnormal</v>
      </c>
      <c r="X367">
        <v>42</v>
      </c>
      <c r="Y367">
        <v>37</v>
      </c>
      <c r="Z367">
        <f>ROUND(Table1[[#This Row],[Waist(inch)]]/Table1[[#This Row],[Hip(inch)]],2)</f>
        <v>0.88</v>
      </c>
      <c r="AA367">
        <v>1.1200000000000001</v>
      </c>
      <c r="AB367">
        <v>2.8</v>
      </c>
      <c r="AC367">
        <v>19.2</v>
      </c>
      <c r="AD367">
        <v>20.5</v>
      </c>
      <c r="AE367" t="str">
        <f>IF(Table1[[#This Row],[Vit D3 (ng/mL)]]&lt;20,"Deficiency","Normal")</f>
        <v>Normal</v>
      </c>
      <c r="AF367">
        <v>0.34</v>
      </c>
      <c r="AG367">
        <v>100</v>
      </c>
      <c r="AH367">
        <v>1</v>
      </c>
      <c r="AI367" t="str">
        <f>IF(Table1[[#This Row],[Weight gain(Y/N)]]=0,"NO","YES")</f>
        <v>YES</v>
      </c>
      <c r="AJ367">
        <v>1</v>
      </c>
      <c r="AK367" t="str">
        <f>IF(Table1[[#This Row],[hair growth(Y/N)]]=1,"YES","NO")</f>
        <v>YES</v>
      </c>
      <c r="AL367">
        <v>0</v>
      </c>
      <c r="AM367" t="str">
        <f>IF(Table1[[#This Row],[Skin darkening (Y/N)]]=1,"YES","NO")</f>
        <v>NO</v>
      </c>
      <c r="AN367">
        <v>0</v>
      </c>
      <c r="AO367" t="str">
        <f>IF(Table1[[#This Row],[Hair loss(Y/N)]]=1,"YES","NO")</f>
        <v>NO</v>
      </c>
      <c r="AP367">
        <v>1</v>
      </c>
      <c r="AQ367" t="str">
        <f>IF(Table1[[#This Row],[Pimples(Y/N)]]=1,"YES","NO")</f>
        <v>YES</v>
      </c>
      <c r="AR367">
        <v>1</v>
      </c>
      <c r="AS367" t="str">
        <f>IF(Table1[[#This Row],[Fast food (Y/N)]]=1,"YES","NO")</f>
        <v>YES</v>
      </c>
      <c r="AT367">
        <v>0</v>
      </c>
      <c r="AU367" t="str">
        <f>IF(Table1[[#This Row],[Reg.Exercise(Y/N)]]=1,"YES","NO")</f>
        <v>NO</v>
      </c>
      <c r="AV367">
        <v>140</v>
      </c>
      <c r="AW367">
        <v>100</v>
      </c>
      <c r="AX367">
        <v>2</v>
      </c>
      <c r="AY367">
        <v>2</v>
      </c>
      <c r="AZ367">
        <v>15</v>
      </c>
      <c r="BA367">
        <v>14</v>
      </c>
      <c r="BB367">
        <v>8.5</v>
      </c>
      <c r="BC367" t="str" cm="1">
        <f t="array" ref="BC367">_xlfn.IFS((F367/(G367*G367)*10000)&lt; 18.5,"Underweight",(F367/(G367*G367)*10000)&lt;24.9,"Normal",(F367/(G367*G367)*10000)&lt;29.9,"Overweight",(F367/(G367*G367)*10000)&gt;=30,"obesity")</f>
        <v>obesity</v>
      </c>
      <c r="BD367">
        <f>Table1[[#This Row],[Follicle No. (L)]]+Table1[[#This Row],[Follicle No. (R)]]</f>
        <v>4</v>
      </c>
      <c r="BE367">
        <f>Table1[[#This Row],[Avg. F size (L) (mm)]]+Table1[[#This Row],[Avg. F size (R) (mm)]]</f>
        <v>29</v>
      </c>
      <c r="BF367">
        <f>Table1[[#This Row],[BP _Diastolic (mmHg)]]+(Table1[[#This Row],[BP _Diastolic (mmHg)]]+Table1[[#This Row],[Follicle No. (L)]])/3</f>
        <v>134</v>
      </c>
      <c r="BG367" s="4" t="str" cm="1">
        <f t="array" ref="BG36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67" s="4">
        <f>SUM(Table1[[#This Row],[Pimples(Y/N)]],Table1[[#This Row],[hair growth(Y/N)]],Table1[[#This Row],[Skin darkening (Y/N)]],Table1[[#This Row],[Hair loss(Y/N)]])</f>
        <v>2</v>
      </c>
      <c r="BI367" s="4" t="str">
        <f>IF(AND(Table1[[#This Row],[Pregnant(Y/N)]]=0, Table1[[#This Row],[  I   beta-HCG(mIU/mL)]]&gt;5), "Investigation Required", "Clear")</f>
        <v>Clear</v>
      </c>
    </row>
    <row r="368" spans="1:61" ht="15.75" customHeight="1" x14ac:dyDescent="0.25">
      <c r="A368">
        <v>367</v>
      </c>
      <c r="B368">
        <v>367</v>
      </c>
      <c r="C368">
        <v>1</v>
      </c>
      <c r="D368" t="str">
        <f>IF(Table1[[#This Row],[PCOS (Y/N)]]=0,"NO","YES")</f>
        <v>YES</v>
      </c>
      <c r="E368">
        <v>23</v>
      </c>
      <c r="F368">
        <v>67</v>
      </c>
      <c r="G368">
        <v>152</v>
      </c>
      <c r="H368">
        <v>11</v>
      </c>
      <c r="I368">
        <v>72</v>
      </c>
      <c r="J368">
        <v>20</v>
      </c>
      <c r="K368">
        <v>10</v>
      </c>
      <c r="L368">
        <v>4</v>
      </c>
      <c r="M368">
        <v>2</v>
      </c>
      <c r="N368">
        <v>2</v>
      </c>
      <c r="O368">
        <v>0</v>
      </c>
      <c r="P368" t="str">
        <f>IF(Table1[[#This Row],[Pregnant(Y/N)]]=1,"YES","NO")</f>
        <v>NO</v>
      </c>
      <c r="Q368">
        <v>0</v>
      </c>
      <c r="R368">
        <v>1.99</v>
      </c>
      <c r="S368">
        <v>1.99</v>
      </c>
      <c r="T368">
        <v>3.23</v>
      </c>
      <c r="U368">
        <v>2.34</v>
      </c>
      <c r="V368">
        <f>Table1[[#This Row],[FSH(mIU/mL)]]/Table1[[#This Row],[LH(mIU/mL)]]</f>
        <v>1.3803418803418803</v>
      </c>
      <c r="W368" t="str">
        <f>IF(Table1[[#This Row],[FSH/LH]]&gt;=2,"Abnormal","Normal")</f>
        <v>Normal</v>
      </c>
      <c r="X368">
        <v>38</v>
      </c>
      <c r="Y368">
        <v>32</v>
      </c>
      <c r="Z368">
        <f>ROUND(Table1[[#This Row],[Waist(inch)]]/Table1[[#This Row],[Hip(inch)]],2)</f>
        <v>0.84</v>
      </c>
      <c r="AA368">
        <v>1.27</v>
      </c>
      <c r="AB368">
        <v>6.4</v>
      </c>
      <c r="AC368">
        <v>22.99</v>
      </c>
      <c r="AD368">
        <v>15.9</v>
      </c>
      <c r="AE368" t="str">
        <f>IF(Table1[[#This Row],[Vit D3 (ng/mL)]]&lt;20,"Deficiency","Normal")</f>
        <v>Deficiency</v>
      </c>
      <c r="AF368">
        <v>0.32</v>
      </c>
      <c r="AG368">
        <v>92</v>
      </c>
      <c r="AH368">
        <v>1</v>
      </c>
      <c r="AI368" t="str">
        <f>IF(Table1[[#This Row],[Weight gain(Y/N)]]=0,"NO","YES")</f>
        <v>YES</v>
      </c>
      <c r="AJ368">
        <v>0</v>
      </c>
      <c r="AK368" t="str">
        <f>IF(Table1[[#This Row],[hair growth(Y/N)]]=1,"YES","NO")</f>
        <v>NO</v>
      </c>
      <c r="AL368">
        <v>1</v>
      </c>
      <c r="AM368" t="str">
        <f>IF(Table1[[#This Row],[Skin darkening (Y/N)]]=1,"YES","NO")</f>
        <v>YES</v>
      </c>
      <c r="AN368">
        <v>1</v>
      </c>
      <c r="AO368" t="str">
        <f>IF(Table1[[#This Row],[Hair loss(Y/N)]]=1,"YES","NO")</f>
        <v>YES</v>
      </c>
      <c r="AP368">
        <v>1</v>
      </c>
      <c r="AQ368" t="str">
        <f>IF(Table1[[#This Row],[Pimples(Y/N)]]=1,"YES","NO")</f>
        <v>YES</v>
      </c>
      <c r="AR368">
        <v>0</v>
      </c>
      <c r="AS368" t="str">
        <f>IF(Table1[[#This Row],[Fast food (Y/N)]]=1,"YES","NO")</f>
        <v>NO</v>
      </c>
      <c r="AT368">
        <v>0</v>
      </c>
      <c r="AU368" t="str">
        <f>IF(Table1[[#This Row],[Reg.Exercise(Y/N)]]=1,"YES","NO")</f>
        <v>NO</v>
      </c>
      <c r="AV368">
        <v>120</v>
      </c>
      <c r="AW368">
        <v>80</v>
      </c>
      <c r="AX368">
        <v>8</v>
      </c>
      <c r="AY368">
        <v>11</v>
      </c>
      <c r="AZ368">
        <v>13</v>
      </c>
      <c r="BA368">
        <v>15</v>
      </c>
      <c r="BB368">
        <v>9.8000000000000007</v>
      </c>
      <c r="BC368" t="str" cm="1">
        <f t="array" ref="BC368">_xlfn.IFS((F368/(G368*G368)*10000)&lt; 18.5,"Underweight",(F368/(G368*G368)*10000)&lt;24.9,"Normal",(F368/(G368*G368)*10000)&lt;29.9,"Overweight",(F368/(G368*G368)*10000)&gt;=30,"obesity")</f>
        <v>Overweight</v>
      </c>
      <c r="BD368">
        <f>Table1[[#This Row],[Follicle No. (L)]]+Table1[[#This Row],[Follicle No. (R)]]</f>
        <v>19</v>
      </c>
      <c r="BE368">
        <f>Table1[[#This Row],[Avg. F size (L) (mm)]]+Table1[[#This Row],[Avg. F size (R) (mm)]]</f>
        <v>28</v>
      </c>
      <c r="BF368">
        <f>Table1[[#This Row],[BP _Diastolic (mmHg)]]+(Table1[[#This Row],[BP _Diastolic (mmHg)]]+Table1[[#This Row],[Follicle No. (L)]])/3</f>
        <v>109.33333333333333</v>
      </c>
      <c r="BG368" s="4" t="str" cm="1">
        <f t="array" ref="BG36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68" s="4">
        <f>SUM(Table1[[#This Row],[Pimples(Y/N)]],Table1[[#This Row],[hair growth(Y/N)]],Table1[[#This Row],[Skin darkening (Y/N)]],Table1[[#This Row],[Hair loss(Y/N)]])</f>
        <v>3</v>
      </c>
      <c r="BI368" s="4" t="str">
        <f>IF(AND(Table1[[#This Row],[Pregnant(Y/N)]]=0, Table1[[#This Row],[  I   beta-HCG(mIU/mL)]]&gt;5), "Investigation Required", "Clear")</f>
        <v>Clear</v>
      </c>
    </row>
    <row r="369" spans="1:61" ht="15.75" customHeight="1" x14ac:dyDescent="0.25">
      <c r="A369">
        <v>368</v>
      </c>
      <c r="B369">
        <v>368</v>
      </c>
      <c r="C369">
        <v>0</v>
      </c>
      <c r="D369" t="str">
        <f>IF(Table1[[#This Row],[PCOS (Y/N)]]=0,"NO","YES")</f>
        <v>NO</v>
      </c>
      <c r="E369">
        <v>20</v>
      </c>
      <c r="F369">
        <v>64</v>
      </c>
      <c r="G369">
        <v>165</v>
      </c>
      <c r="H369">
        <v>15</v>
      </c>
      <c r="I369">
        <v>72</v>
      </c>
      <c r="J369">
        <v>18</v>
      </c>
      <c r="K369">
        <v>11.5</v>
      </c>
      <c r="L369">
        <v>2</v>
      </c>
      <c r="M369">
        <v>6</v>
      </c>
      <c r="N369">
        <v>8</v>
      </c>
      <c r="O369">
        <v>1</v>
      </c>
      <c r="P369" t="str">
        <f>IF(Table1[[#This Row],[Pregnant(Y/N)]]=1,"YES","NO")</f>
        <v>YES</v>
      </c>
      <c r="Q369">
        <v>0</v>
      </c>
      <c r="R369">
        <v>10.45</v>
      </c>
      <c r="S369">
        <v>10.45</v>
      </c>
      <c r="T369">
        <v>2.08</v>
      </c>
      <c r="U369">
        <v>0.15</v>
      </c>
      <c r="V369">
        <f>Table1[[#This Row],[FSH(mIU/mL)]]/Table1[[#This Row],[LH(mIU/mL)]]</f>
        <v>13.866666666666667</v>
      </c>
      <c r="W369" t="str">
        <f>IF(Table1[[#This Row],[FSH/LH]]&gt;=2,"Abnormal","Normal")</f>
        <v>Abnormal</v>
      </c>
      <c r="X369">
        <v>38</v>
      </c>
      <c r="Y369">
        <v>35</v>
      </c>
      <c r="Z369">
        <f>ROUND(Table1[[#This Row],[Waist(inch)]]/Table1[[#This Row],[Hip(inch)]],2)</f>
        <v>0.92</v>
      </c>
      <c r="AA369">
        <v>5</v>
      </c>
      <c r="AB369">
        <v>2.19</v>
      </c>
      <c r="AC369">
        <v>50.51</v>
      </c>
      <c r="AD369">
        <v>28.7</v>
      </c>
      <c r="AE369" t="str">
        <f>IF(Table1[[#This Row],[Vit D3 (ng/mL)]]&lt;20,"Deficiency","Normal")</f>
        <v>Normal</v>
      </c>
      <c r="AF369">
        <v>0.25</v>
      </c>
      <c r="AG369">
        <v>86</v>
      </c>
      <c r="AH369">
        <v>0</v>
      </c>
      <c r="AI369" t="str">
        <f>IF(Table1[[#This Row],[Weight gain(Y/N)]]=0,"NO","YES")</f>
        <v>NO</v>
      </c>
      <c r="AJ369">
        <v>0</v>
      </c>
      <c r="AK369" t="str">
        <f>IF(Table1[[#This Row],[hair growth(Y/N)]]=1,"YES","NO")</f>
        <v>NO</v>
      </c>
      <c r="AL369">
        <v>0</v>
      </c>
      <c r="AM369" t="str">
        <f>IF(Table1[[#This Row],[Skin darkening (Y/N)]]=1,"YES","NO")</f>
        <v>NO</v>
      </c>
      <c r="AN369">
        <v>1</v>
      </c>
      <c r="AO369" t="str">
        <f>IF(Table1[[#This Row],[Hair loss(Y/N)]]=1,"YES","NO")</f>
        <v>YES</v>
      </c>
      <c r="AP369">
        <v>1</v>
      </c>
      <c r="AQ369" t="str">
        <f>IF(Table1[[#This Row],[Pimples(Y/N)]]=1,"YES","NO")</f>
        <v>YES</v>
      </c>
      <c r="AR369">
        <v>1</v>
      </c>
      <c r="AS369" t="str">
        <f>IF(Table1[[#This Row],[Fast food (Y/N)]]=1,"YES","NO")</f>
        <v>YES</v>
      </c>
      <c r="AT369">
        <v>0</v>
      </c>
      <c r="AU369" t="str">
        <f>IF(Table1[[#This Row],[Reg.Exercise(Y/N)]]=1,"YES","NO")</f>
        <v>NO</v>
      </c>
      <c r="AV369">
        <v>120</v>
      </c>
      <c r="AW369">
        <v>80</v>
      </c>
      <c r="AX369">
        <v>5</v>
      </c>
      <c r="AY369">
        <v>7</v>
      </c>
      <c r="AZ369">
        <v>15</v>
      </c>
      <c r="BA369">
        <v>14</v>
      </c>
      <c r="BB369">
        <v>11</v>
      </c>
      <c r="BC369" t="str" cm="1">
        <f t="array" ref="BC369">_xlfn.IFS((F369/(G369*G369)*10000)&lt; 18.5,"Underweight",(F369/(G369*G369)*10000)&lt;24.9,"Normal",(F369/(G369*G369)*10000)&lt;29.9,"Overweight",(F369/(G369*G369)*10000)&gt;=30,"obesity")</f>
        <v>Normal</v>
      </c>
      <c r="BD369">
        <f>Table1[[#This Row],[Follicle No. (L)]]+Table1[[#This Row],[Follicle No. (R)]]</f>
        <v>12</v>
      </c>
      <c r="BE369">
        <f>Table1[[#This Row],[Avg. F size (L) (mm)]]+Table1[[#This Row],[Avg. F size (R) (mm)]]</f>
        <v>29</v>
      </c>
      <c r="BF369">
        <f>Table1[[#This Row],[BP _Diastolic (mmHg)]]+(Table1[[#This Row],[BP _Diastolic (mmHg)]]+Table1[[#This Row],[Follicle No. (L)]])/3</f>
        <v>108.33333333333333</v>
      </c>
      <c r="BG369" s="4" t="str" cm="1">
        <f t="array" ref="BG36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69" s="4">
        <f>SUM(Table1[[#This Row],[Pimples(Y/N)]],Table1[[#This Row],[hair growth(Y/N)]],Table1[[#This Row],[Skin darkening (Y/N)]],Table1[[#This Row],[Hair loss(Y/N)]])</f>
        <v>2</v>
      </c>
      <c r="BI369" s="4" t="str">
        <f>IF(AND(Table1[[#This Row],[Pregnant(Y/N)]]=0, Table1[[#This Row],[  I   beta-HCG(mIU/mL)]]&gt;5), "Investigation Required", "Clear")</f>
        <v>Clear</v>
      </c>
    </row>
    <row r="370" spans="1:61" ht="15.75" customHeight="1" x14ac:dyDescent="0.25">
      <c r="A370">
        <v>369</v>
      </c>
      <c r="B370">
        <v>369</v>
      </c>
      <c r="C370">
        <v>1</v>
      </c>
      <c r="D370" t="str">
        <f>IF(Table1[[#This Row],[PCOS (Y/N)]]=0,"NO","YES")</f>
        <v>YES</v>
      </c>
      <c r="E370">
        <v>22</v>
      </c>
      <c r="F370">
        <v>58</v>
      </c>
      <c r="G370">
        <v>161</v>
      </c>
      <c r="H370">
        <v>13</v>
      </c>
      <c r="I370">
        <v>74</v>
      </c>
      <c r="J370">
        <v>22</v>
      </c>
      <c r="K370">
        <v>10</v>
      </c>
      <c r="L370">
        <v>4</v>
      </c>
      <c r="M370">
        <v>3</v>
      </c>
      <c r="N370">
        <v>5</v>
      </c>
      <c r="O370">
        <v>1</v>
      </c>
      <c r="P370" t="str">
        <f>IF(Table1[[#This Row],[Pregnant(Y/N)]]=1,"YES","NO")</f>
        <v>YES</v>
      </c>
      <c r="Q370">
        <v>0</v>
      </c>
      <c r="R370">
        <v>764.83</v>
      </c>
      <c r="S370">
        <v>764.83</v>
      </c>
      <c r="T370">
        <v>4.0599999999999996</v>
      </c>
      <c r="U370">
        <v>3.92</v>
      </c>
      <c r="V370">
        <f>Table1[[#This Row],[FSH(mIU/mL)]]/Table1[[#This Row],[LH(mIU/mL)]]</f>
        <v>1.0357142857142856</v>
      </c>
      <c r="W370" t="str">
        <f>IF(Table1[[#This Row],[FSH/LH]]&gt;=2,"Abnormal","Normal")</f>
        <v>Normal</v>
      </c>
      <c r="X370">
        <v>38</v>
      </c>
      <c r="Y370">
        <v>34</v>
      </c>
      <c r="Z370">
        <f>ROUND(Table1[[#This Row],[Waist(inch)]]/Table1[[#This Row],[Hip(inch)]],2)</f>
        <v>0.89</v>
      </c>
      <c r="AA370">
        <v>5</v>
      </c>
      <c r="AB370">
        <v>15</v>
      </c>
      <c r="AC370">
        <v>37.49</v>
      </c>
      <c r="AD370">
        <v>22</v>
      </c>
      <c r="AE370" t="str">
        <f>IF(Table1[[#This Row],[Vit D3 (ng/mL)]]&lt;20,"Deficiency","Normal")</f>
        <v>Normal</v>
      </c>
      <c r="AF370">
        <v>0.56000000000000005</v>
      </c>
      <c r="AG370">
        <v>92</v>
      </c>
      <c r="AH370">
        <v>0</v>
      </c>
      <c r="AI370" t="str">
        <f>IF(Table1[[#This Row],[Weight gain(Y/N)]]=0,"NO","YES")</f>
        <v>NO</v>
      </c>
      <c r="AJ370">
        <v>1</v>
      </c>
      <c r="AK370" t="str">
        <f>IF(Table1[[#This Row],[hair growth(Y/N)]]=1,"YES","NO")</f>
        <v>YES</v>
      </c>
      <c r="AL370">
        <v>0</v>
      </c>
      <c r="AM370" t="str">
        <f>IF(Table1[[#This Row],[Skin darkening (Y/N)]]=1,"YES","NO")</f>
        <v>NO</v>
      </c>
      <c r="AN370">
        <v>1</v>
      </c>
      <c r="AO370" t="str">
        <f>IF(Table1[[#This Row],[Hair loss(Y/N)]]=1,"YES","NO")</f>
        <v>YES</v>
      </c>
      <c r="AP370">
        <v>1</v>
      </c>
      <c r="AQ370" t="str">
        <f>IF(Table1[[#This Row],[Pimples(Y/N)]]=1,"YES","NO")</f>
        <v>YES</v>
      </c>
      <c r="AR370">
        <v>1</v>
      </c>
      <c r="AS370" t="str">
        <f>IF(Table1[[#This Row],[Fast food (Y/N)]]=1,"YES","NO")</f>
        <v>YES</v>
      </c>
      <c r="AT370">
        <v>0</v>
      </c>
      <c r="AU370" t="str">
        <f>IF(Table1[[#This Row],[Reg.Exercise(Y/N)]]=1,"YES","NO")</f>
        <v>NO</v>
      </c>
      <c r="AV370">
        <v>120</v>
      </c>
      <c r="AW370">
        <v>80</v>
      </c>
      <c r="AX370">
        <v>8</v>
      </c>
      <c r="AY370">
        <v>11</v>
      </c>
      <c r="AZ370">
        <v>15</v>
      </c>
      <c r="BA370">
        <v>14</v>
      </c>
      <c r="BB370">
        <v>10</v>
      </c>
      <c r="BC370" t="str" cm="1">
        <f t="array" ref="BC370">_xlfn.IFS((F370/(G370*G370)*10000)&lt; 18.5,"Underweight",(F370/(G370*G370)*10000)&lt;24.9,"Normal",(F370/(G370*G370)*10000)&lt;29.9,"Overweight",(F370/(G370*G370)*10000)&gt;=30,"obesity")</f>
        <v>Normal</v>
      </c>
      <c r="BD370">
        <f>Table1[[#This Row],[Follicle No. (L)]]+Table1[[#This Row],[Follicle No. (R)]]</f>
        <v>19</v>
      </c>
      <c r="BE370">
        <f>Table1[[#This Row],[Avg. F size (L) (mm)]]+Table1[[#This Row],[Avg. F size (R) (mm)]]</f>
        <v>29</v>
      </c>
      <c r="BF370">
        <f>Table1[[#This Row],[BP _Diastolic (mmHg)]]+(Table1[[#This Row],[BP _Diastolic (mmHg)]]+Table1[[#This Row],[Follicle No. (L)]])/3</f>
        <v>109.33333333333333</v>
      </c>
      <c r="BG370" s="4" t="str" cm="1">
        <f t="array" ref="BG37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70" s="4">
        <f>SUM(Table1[[#This Row],[Pimples(Y/N)]],Table1[[#This Row],[hair growth(Y/N)]],Table1[[#This Row],[Skin darkening (Y/N)]],Table1[[#This Row],[Hair loss(Y/N)]])</f>
        <v>3</v>
      </c>
      <c r="BI370" s="4" t="str">
        <f>IF(AND(Table1[[#This Row],[Pregnant(Y/N)]]=0, Table1[[#This Row],[  I   beta-HCG(mIU/mL)]]&gt;5), "Investigation Required", "Clear")</f>
        <v>Clear</v>
      </c>
    </row>
    <row r="371" spans="1:61" ht="15.75" customHeight="1" x14ac:dyDescent="0.25">
      <c r="A371">
        <v>370</v>
      </c>
      <c r="B371">
        <v>370</v>
      </c>
      <c r="C371">
        <v>0</v>
      </c>
      <c r="D371" t="str">
        <f>IF(Table1[[#This Row],[PCOS (Y/N)]]=0,"NO","YES")</f>
        <v>NO</v>
      </c>
      <c r="E371">
        <v>35</v>
      </c>
      <c r="F371">
        <v>60</v>
      </c>
      <c r="G371">
        <v>152</v>
      </c>
      <c r="H371">
        <v>15</v>
      </c>
      <c r="I371">
        <v>74</v>
      </c>
      <c r="J371">
        <v>18</v>
      </c>
      <c r="K371">
        <v>10</v>
      </c>
      <c r="L371">
        <v>2</v>
      </c>
      <c r="M371">
        <v>5</v>
      </c>
      <c r="N371">
        <v>3</v>
      </c>
      <c r="O371">
        <v>1</v>
      </c>
      <c r="P371" t="str">
        <f>IF(Table1[[#This Row],[Pregnant(Y/N)]]=1,"YES","NO")</f>
        <v>YES</v>
      </c>
      <c r="Q371">
        <v>0</v>
      </c>
      <c r="R371">
        <v>116.31</v>
      </c>
      <c r="S371">
        <v>116.31</v>
      </c>
      <c r="T371">
        <v>6.52</v>
      </c>
      <c r="U371">
        <v>3.42</v>
      </c>
      <c r="V371">
        <f>Table1[[#This Row],[FSH(mIU/mL)]]/Table1[[#This Row],[LH(mIU/mL)]]</f>
        <v>1.9064327485380117</v>
      </c>
      <c r="W371" t="str">
        <f>IF(Table1[[#This Row],[FSH/LH]]&gt;=2,"Abnormal","Normal")</f>
        <v>Normal</v>
      </c>
      <c r="X371">
        <v>39</v>
      </c>
      <c r="Y371">
        <v>36</v>
      </c>
      <c r="Z371">
        <f>ROUND(Table1[[#This Row],[Waist(inch)]]/Table1[[#This Row],[Hip(inch)]],2)</f>
        <v>0.92</v>
      </c>
      <c r="AA371">
        <v>0.77</v>
      </c>
      <c r="AB371">
        <v>2.5</v>
      </c>
      <c r="AC371">
        <v>40.729999999999997</v>
      </c>
      <c r="AD371">
        <v>20</v>
      </c>
      <c r="AE371" t="str">
        <f>IF(Table1[[#This Row],[Vit D3 (ng/mL)]]&lt;20,"Deficiency","Normal")</f>
        <v>Normal</v>
      </c>
      <c r="AF371">
        <v>0.3</v>
      </c>
      <c r="AG371">
        <v>92</v>
      </c>
      <c r="AH371">
        <v>1</v>
      </c>
      <c r="AI371" t="str">
        <f>IF(Table1[[#This Row],[Weight gain(Y/N)]]=0,"NO","YES")</f>
        <v>YES</v>
      </c>
      <c r="AJ371">
        <v>0</v>
      </c>
      <c r="AK371" t="str">
        <f>IF(Table1[[#This Row],[hair growth(Y/N)]]=1,"YES","NO")</f>
        <v>NO</v>
      </c>
      <c r="AL371">
        <v>0</v>
      </c>
      <c r="AM371" t="str">
        <f>IF(Table1[[#This Row],[Skin darkening (Y/N)]]=1,"YES","NO")</f>
        <v>NO</v>
      </c>
      <c r="AN371">
        <v>1</v>
      </c>
      <c r="AO371" t="str">
        <f>IF(Table1[[#This Row],[Hair loss(Y/N)]]=1,"YES","NO")</f>
        <v>YES</v>
      </c>
      <c r="AP371">
        <v>0</v>
      </c>
      <c r="AQ371" t="str">
        <f>IF(Table1[[#This Row],[Pimples(Y/N)]]=1,"YES","NO")</f>
        <v>NO</v>
      </c>
      <c r="AR371">
        <v>1</v>
      </c>
      <c r="AS371" t="str">
        <f>IF(Table1[[#This Row],[Fast food (Y/N)]]=1,"YES","NO")</f>
        <v>YES</v>
      </c>
      <c r="AT371">
        <v>0</v>
      </c>
      <c r="AU371" t="str">
        <f>IF(Table1[[#This Row],[Reg.Exercise(Y/N)]]=1,"YES","NO")</f>
        <v>NO</v>
      </c>
      <c r="AV371">
        <v>110</v>
      </c>
      <c r="AW371">
        <v>80</v>
      </c>
      <c r="AX371">
        <v>3</v>
      </c>
      <c r="AY371">
        <v>4</v>
      </c>
      <c r="AZ371">
        <v>12</v>
      </c>
      <c r="BA371">
        <v>15</v>
      </c>
      <c r="BB371">
        <v>8</v>
      </c>
      <c r="BC371" t="str" cm="1">
        <f t="array" ref="BC371">_xlfn.IFS((F371/(G371*G371)*10000)&lt; 18.5,"Underweight",(F371/(G371*G371)*10000)&lt;24.9,"Normal",(F371/(G371*G371)*10000)&lt;29.9,"Overweight",(F371/(G371*G371)*10000)&gt;=30,"obesity")</f>
        <v>Overweight</v>
      </c>
      <c r="BD371">
        <f>Table1[[#This Row],[Follicle No. (L)]]+Table1[[#This Row],[Follicle No. (R)]]</f>
        <v>7</v>
      </c>
      <c r="BE371">
        <f>Table1[[#This Row],[Avg. F size (L) (mm)]]+Table1[[#This Row],[Avg. F size (R) (mm)]]</f>
        <v>27</v>
      </c>
      <c r="BF371">
        <f>Table1[[#This Row],[BP _Diastolic (mmHg)]]+(Table1[[#This Row],[BP _Diastolic (mmHg)]]+Table1[[#This Row],[Follicle No. (L)]])/3</f>
        <v>107.66666666666667</v>
      </c>
      <c r="BG371" s="4" t="str" cm="1">
        <f t="array" ref="BG37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71" s="4">
        <f>SUM(Table1[[#This Row],[Pimples(Y/N)]],Table1[[#This Row],[hair growth(Y/N)]],Table1[[#This Row],[Skin darkening (Y/N)]],Table1[[#This Row],[Hair loss(Y/N)]])</f>
        <v>1</v>
      </c>
      <c r="BI371" s="4" t="str">
        <f>IF(AND(Table1[[#This Row],[Pregnant(Y/N)]]=0, Table1[[#This Row],[  I   beta-HCG(mIU/mL)]]&gt;5), "Investigation Required", "Clear")</f>
        <v>Clear</v>
      </c>
    </row>
    <row r="372" spans="1:61" ht="15.75" customHeight="1" x14ac:dyDescent="0.25">
      <c r="A372">
        <v>371</v>
      </c>
      <c r="B372">
        <v>371</v>
      </c>
      <c r="C372">
        <v>1</v>
      </c>
      <c r="D372" t="str">
        <f>IF(Table1[[#This Row],[PCOS (Y/N)]]=0,"NO","YES")</f>
        <v>YES</v>
      </c>
      <c r="E372">
        <v>28</v>
      </c>
      <c r="F372">
        <v>58</v>
      </c>
      <c r="G372">
        <v>164</v>
      </c>
      <c r="H372">
        <v>13</v>
      </c>
      <c r="I372">
        <v>72</v>
      </c>
      <c r="J372">
        <v>18</v>
      </c>
      <c r="K372">
        <v>11.5</v>
      </c>
      <c r="L372">
        <v>2</v>
      </c>
      <c r="M372">
        <v>6</v>
      </c>
      <c r="N372">
        <v>1</v>
      </c>
      <c r="O372">
        <v>1</v>
      </c>
      <c r="P372" t="str">
        <f>IF(Table1[[#This Row],[Pregnant(Y/N)]]=1,"YES","NO")</f>
        <v>YES</v>
      </c>
      <c r="Q372">
        <v>0</v>
      </c>
      <c r="R372">
        <v>785.42</v>
      </c>
      <c r="S372">
        <v>300.13</v>
      </c>
      <c r="T372">
        <v>6.22</v>
      </c>
      <c r="U372">
        <v>4.4400000000000004</v>
      </c>
      <c r="V372">
        <f>Table1[[#This Row],[FSH(mIU/mL)]]/Table1[[#This Row],[LH(mIU/mL)]]</f>
        <v>1.4009009009009008</v>
      </c>
      <c r="W372" t="str">
        <f>IF(Table1[[#This Row],[FSH/LH]]&gt;=2,"Abnormal","Normal")</f>
        <v>Normal</v>
      </c>
      <c r="X372">
        <v>37</v>
      </c>
      <c r="Y372">
        <v>34</v>
      </c>
      <c r="Z372">
        <f>ROUND(Table1[[#This Row],[Waist(inch)]]/Table1[[#This Row],[Hip(inch)]],2)</f>
        <v>0.92</v>
      </c>
      <c r="AA372">
        <v>0.64</v>
      </c>
      <c r="AB372">
        <v>4.2</v>
      </c>
      <c r="AC372">
        <v>27.24</v>
      </c>
      <c r="AD372">
        <v>26</v>
      </c>
      <c r="AE372" t="str">
        <f>IF(Table1[[#This Row],[Vit D3 (ng/mL)]]&lt;20,"Deficiency","Normal")</f>
        <v>Normal</v>
      </c>
      <c r="AF372">
        <v>0.28999999999999998</v>
      </c>
      <c r="AG372">
        <v>100</v>
      </c>
      <c r="AH372">
        <v>0</v>
      </c>
      <c r="AI372" t="str">
        <f>IF(Table1[[#This Row],[Weight gain(Y/N)]]=0,"NO","YES")</f>
        <v>NO</v>
      </c>
      <c r="AJ372">
        <v>1</v>
      </c>
      <c r="AK372" t="str">
        <f>IF(Table1[[#This Row],[hair growth(Y/N)]]=1,"YES","NO")</f>
        <v>YES</v>
      </c>
      <c r="AL372">
        <v>1</v>
      </c>
      <c r="AM372" t="str">
        <f>IF(Table1[[#This Row],[Skin darkening (Y/N)]]=1,"YES","NO")</f>
        <v>YES</v>
      </c>
      <c r="AN372">
        <v>0</v>
      </c>
      <c r="AO372" t="str">
        <f>IF(Table1[[#This Row],[Hair loss(Y/N)]]=1,"YES","NO")</f>
        <v>NO</v>
      </c>
      <c r="AP372">
        <v>1</v>
      </c>
      <c r="AQ372" t="str">
        <f>IF(Table1[[#This Row],[Pimples(Y/N)]]=1,"YES","NO")</f>
        <v>YES</v>
      </c>
      <c r="AR372">
        <v>1</v>
      </c>
      <c r="AS372" t="str">
        <f>IF(Table1[[#This Row],[Fast food (Y/N)]]=1,"YES","NO")</f>
        <v>YES</v>
      </c>
      <c r="AT372">
        <v>1</v>
      </c>
      <c r="AU372" t="str">
        <f>IF(Table1[[#This Row],[Reg.Exercise(Y/N)]]=1,"YES","NO")</f>
        <v>YES</v>
      </c>
      <c r="AV372">
        <v>110</v>
      </c>
      <c r="AW372">
        <v>80</v>
      </c>
      <c r="AX372">
        <v>15</v>
      </c>
      <c r="AY372">
        <v>12</v>
      </c>
      <c r="AZ372">
        <v>18</v>
      </c>
      <c r="BA372">
        <v>20</v>
      </c>
      <c r="BB372">
        <v>12</v>
      </c>
      <c r="BC372" t="str" cm="1">
        <f t="array" ref="BC372">_xlfn.IFS((F372/(G372*G372)*10000)&lt; 18.5,"Underweight",(F372/(G372*G372)*10000)&lt;24.9,"Normal",(F372/(G372*G372)*10000)&lt;29.9,"Overweight",(F372/(G372*G372)*10000)&gt;=30,"obesity")</f>
        <v>Normal</v>
      </c>
      <c r="BD372">
        <f>Table1[[#This Row],[Follicle No. (L)]]+Table1[[#This Row],[Follicle No. (R)]]</f>
        <v>27</v>
      </c>
      <c r="BE372">
        <f>Table1[[#This Row],[Avg. F size (L) (mm)]]+Table1[[#This Row],[Avg. F size (R) (mm)]]</f>
        <v>38</v>
      </c>
      <c r="BF372">
        <f>Table1[[#This Row],[BP _Diastolic (mmHg)]]+(Table1[[#This Row],[BP _Diastolic (mmHg)]]+Table1[[#This Row],[Follicle No. (L)]])/3</f>
        <v>111.66666666666667</v>
      </c>
      <c r="BG372" s="4" t="str" cm="1">
        <f t="array" ref="BG37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72" s="4">
        <f>SUM(Table1[[#This Row],[Pimples(Y/N)]],Table1[[#This Row],[hair growth(Y/N)]],Table1[[#This Row],[Skin darkening (Y/N)]],Table1[[#This Row],[Hair loss(Y/N)]])</f>
        <v>3</v>
      </c>
      <c r="BI372" s="4" t="str">
        <f>IF(AND(Table1[[#This Row],[Pregnant(Y/N)]]=0, Table1[[#This Row],[  I   beta-HCG(mIU/mL)]]&gt;5), "Investigation Required", "Clear")</f>
        <v>Clear</v>
      </c>
    </row>
    <row r="373" spans="1:61" ht="15.75" customHeight="1" x14ac:dyDescent="0.25">
      <c r="A373">
        <v>372</v>
      </c>
      <c r="B373">
        <v>372</v>
      </c>
      <c r="C373">
        <v>0</v>
      </c>
      <c r="D373" t="str">
        <f>IF(Table1[[#This Row],[PCOS (Y/N)]]=0,"NO","YES")</f>
        <v>NO</v>
      </c>
      <c r="E373">
        <v>31</v>
      </c>
      <c r="F373">
        <v>68</v>
      </c>
      <c r="G373">
        <v>161</v>
      </c>
      <c r="H373">
        <v>15</v>
      </c>
      <c r="I373">
        <v>72</v>
      </c>
      <c r="J373">
        <v>18</v>
      </c>
      <c r="K373">
        <v>12.8</v>
      </c>
      <c r="L373">
        <v>2</v>
      </c>
      <c r="M373">
        <v>6</v>
      </c>
      <c r="N373">
        <v>6</v>
      </c>
      <c r="O373">
        <v>1</v>
      </c>
      <c r="P373" t="str">
        <f>IF(Table1[[#This Row],[Pregnant(Y/N)]]=1,"YES","NO")</f>
        <v>YES</v>
      </c>
      <c r="Q373">
        <v>0</v>
      </c>
      <c r="R373">
        <v>96.22</v>
      </c>
      <c r="S373">
        <v>5.39</v>
      </c>
      <c r="T373">
        <v>1.58</v>
      </c>
      <c r="U373">
        <v>0.24</v>
      </c>
      <c r="V373">
        <f>Table1[[#This Row],[FSH(mIU/mL)]]/Table1[[#This Row],[LH(mIU/mL)]]</f>
        <v>6.5833333333333339</v>
      </c>
      <c r="W373" t="str">
        <f>IF(Table1[[#This Row],[FSH/LH]]&gt;=2,"Abnormal","Normal")</f>
        <v>Abnormal</v>
      </c>
      <c r="X373">
        <v>39</v>
      </c>
      <c r="Y373">
        <v>35</v>
      </c>
      <c r="Z373">
        <f>ROUND(Table1[[#This Row],[Waist(inch)]]/Table1[[#This Row],[Hip(inch)]],2)</f>
        <v>0.9</v>
      </c>
      <c r="AA373">
        <v>6.91</v>
      </c>
      <c r="AB373">
        <v>5.0999999999999996</v>
      </c>
      <c r="AC373">
        <v>15.85</v>
      </c>
      <c r="AD373">
        <v>25.6</v>
      </c>
      <c r="AE373" t="str">
        <f>IF(Table1[[#This Row],[Vit D3 (ng/mL)]]&lt;20,"Deficiency","Normal")</f>
        <v>Normal</v>
      </c>
      <c r="AF373">
        <v>0.5</v>
      </c>
      <c r="AG373">
        <v>87</v>
      </c>
      <c r="AH373">
        <v>1</v>
      </c>
      <c r="AI373" t="str">
        <f>IF(Table1[[#This Row],[Weight gain(Y/N)]]=0,"NO","YES")</f>
        <v>YES</v>
      </c>
      <c r="AJ373">
        <v>0</v>
      </c>
      <c r="AK373" t="str">
        <f>IF(Table1[[#This Row],[hair growth(Y/N)]]=1,"YES","NO")</f>
        <v>NO</v>
      </c>
      <c r="AL373">
        <v>0</v>
      </c>
      <c r="AM373" t="str">
        <f>IF(Table1[[#This Row],[Skin darkening (Y/N)]]=1,"YES","NO")</f>
        <v>NO</v>
      </c>
      <c r="AN373">
        <v>1</v>
      </c>
      <c r="AO373" t="str">
        <f>IF(Table1[[#This Row],[Hair loss(Y/N)]]=1,"YES","NO")</f>
        <v>YES</v>
      </c>
      <c r="AP373">
        <v>1</v>
      </c>
      <c r="AQ373" t="str">
        <f>IF(Table1[[#This Row],[Pimples(Y/N)]]=1,"YES","NO")</f>
        <v>YES</v>
      </c>
      <c r="AR373">
        <v>1</v>
      </c>
      <c r="AS373" t="str">
        <f>IF(Table1[[#This Row],[Fast food (Y/N)]]=1,"YES","NO")</f>
        <v>YES</v>
      </c>
      <c r="AT373">
        <v>0</v>
      </c>
      <c r="AU373" t="str">
        <f>IF(Table1[[#This Row],[Reg.Exercise(Y/N)]]=1,"YES","NO")</f>
        <v>NO</v>
      </c>
      <c r="AV373">
        <v>110</v>
      </c>
      <c r="AW373">
        <v>80</v>
      </c>
      <c r="AX373">
        <v>4</v>
      </c>
      <c r="AY373">
        <v>9</v>
      </c>
      <c r="AZ373">
        <v>12</v>
      </c>
      <c r="BA373">
        <v>17</v>
      </c>
      <c r="BB373">
        <v>9</v>
      </c>
      <c r="BC373" t="str" cm="1">
        <f t="array" ref="BC373">_xlfn.IFS((F373/(G373*G373)*10000)&lt; 18.5,"Underweight",(F373/(G373*G373)*10000)&lt;24.9,"Normal",(F373/(G373*G373)*10000)&lt;29.9,"Overweight",(F373/(G373*G373)*10000)&gt;=30,"obesity")</f>
        <v>Overweight</v>
      </c>
      <c r="BD373">
        <f>Table1[[#This Row],[Follicle No. (L)]]+Table1[[#This Row],[Follicle No. (R)]]</f>
        <v>13</v>
      </c>
      <c r="BE373">
        <f>Table1[[#This Row],[Avg. F size (L) (mm)]]+Table1[[#This Row],[Avg. F size (R) (mm)]]</f>
        <v>29</v>
      </c>
      <c r="BF373">
        <f>Table1[[#This Row],[BP _Diastolic (mmHg)]]+(Table1[[#This Row],[BP _Diastolic (mmHg)]]+Table1[[#This Row],[Follicle No. (L)]])/3</f>
        <v>108</v>
      </c>
      <c r="BG373" s="4" t="str" cm="1">
        <f t="array" ref="BG37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73" s="4">
        <f>SUM(Table1[[#This Row],[Pimples(Y/N)]],Table1[[#This Row],[hair growth(Y/N)]],Table1[[#This Row],[Skin darkening (Y/N)]],Table1[[#This Row],[Hair loss(Y/N)]])</f>
        <v>2</v>
      </c>
      <c r="BI373" s="4" t="str">
        <f>IF(AND(Table1[[#This Row],[Pregnant(Y/N)]]=0, Table1[[#This Row],[  I   beta-HCG(mIU/mL)]]&gt;5), "Investigation Required", "Clear")</f>
        <v>Clear</v>
      </c>
    </row>
    <row r="374" spans="1:61" ht="15.75" customHeight="1" x14ac:dyDescent="0.25">
      <c r="A374">
        <v>373</v>
      </c>
      <c r="B374">
        <v>373</v>
      </c>
      <c r="C374">
        <v>1</v>
      </c>
      <c r="D374" t="str">
        <f>IF(Table1[[#This Row],[PCOS (Y/N)]]=0,"NO","YES")</f>
        <v>YES</v>
      </c>
      <c r="E374">
        <v>29</v>
      </c>
      <c r="F374">
        <v>74</v>
      </c>
      <c r="G374">
        <v>159</v>
      </c>
      <c r="H374">
        <v>11</v>
      </c>
      <c r="I374">
        <v>72</v>
      </c>
      <c r="J374">
        <v>20</v>
      </c>
      <c r="K374">
        <v>10.199999999999999</v>
      </c>
      <c r="L374">
        <v>4</v>
      </c>
      <c r="M374">
        <v>3</v>
      </c>
      <c r="N374">
        <v>3</v>
      </c>
      <c r="O374">
        <v>1</v>
      </c>
      <c r="P374" t="str">
        <f>IF(Table1[[#This Row],[Pregnant(Y/N)]]=1,"YES","NO")</f>
        <v>YES</v>
      </c>
      <c r="Q374">
        <v>1</v>
      </c>
      <c r="R374">
        <v>346.59</v>
      </c>
      <c r="S374">
        <v>346.59</v>
      </c>
      <c r="T374">
        <v>5.76</v>
      </c>
      <c r="U374">
        <v>6.42</v>
      </c>
      <c r="V374">
        <f>Table1[[#This Row],[FSH(mIU/mL)]]/Table1[[#This Row],[LH(mIU/mL)]]</f>
        <v>0.89719626168224298</v>
      </c>
      <c r="W374" t="str">
        <f>IF(Table1[[#This Row],[FSH/LH]]&gt;=2,"Abnormal","Normal")</f>
        <v>Normal</v>
      </c>
      <c r="X374">
        <v>40</v>
      </c>
      <c r="Y374">
        <v>37</v>
      </c>
      <c r="Z374">
        <f>ROUND(Table1[[#This Row],[Waist(inch)]]/Table1[[#This Row],[Hip(inch)]],2)</f>
        <v>0.93</v>
      </c>
      <c r="AA374">
        <v>0.95</v>
      </c>
      <c r="AB374">
        <v>6</v>
      </c>
      <c r="AC374">
        <v>45.54</v>
      </c>
      <c r="AD374">
        <v>36.200000000000003</v>
      </c>
      <c r="AE374" t="str">
        <f>IF(Table1[[#This Row],[Vit D3 (ng/mL)]]&lt;20,"Deficiency","Normal")</f>
        <v>Normal</v>
      </c>
      <c r="AF374">
        <v>0.32</v>
      </c>
      <c r="AG374">
        <v>92</v>
      </c>
      <c r="AH374">
        <v>1</v>
      </c>
      <c r="AI374" t="str">
        <f>IF(Table1[[#This Row],[Weight gain(Y/N)]]=0,"NO","YES")</f>
        <v>YES</v>
      </c>
      <c r="AJ374">
        <v>1</v>
      </c>
      <c r="AK374" t="str">
        <f>IF(Table1[[#This Row],[hair growth(Y/N)]]=1,"YES","NO")</f>
        <v>YES</v>
      </c>
      <c r="AL374">
        <v>1</v>
      </c>
      <c r="AM374" t="str">
        <f>IF(Table1[[#This Row],[Skin darkening (Y/N)]]=1,"YES","NO")</f>
        <v>YES</v>
      </c>
      <c r="AN374">
        <v>0</v>
      </c>
      <c r="AO374" t="str">
        <f>IF(Table1[[#This Row],[Hair loss(Y/N)]]=1,"YES","NO")</f>
        <v>NO</v>
      </c>
      <c r="AP374">
        <v>0</v>
      </c>
      <c r="AQ374" t="str">
        <f>IF(Table1[[#This Row],[Pimples(Y/N)]]=1,"YES","NO")</f>
        <v>NO</v>
      </c>
      <c r="AR374">
        <v>1</v>
      </c>
      <c r="AS374" t="str">
        <f>IF(Table1[[#This Row],[Fast food (Y/N)]]=1,"YES","NO")</f>
        <v>YES</v>
      </c>
      <c r="AT374">
        <v>0</v>
      </c>
      <c r="AU374" t="str">
        <f>IF(Table1[[#This Row],[Reg.Exercise(Y/N)]]=1,"YES","NO")</f>
        <v>NO</v>
      </c>
      <c r="AV374">
        <v>120</v>
      </c>
      <c r="AW374">
        <v>80</v>
      </c>
      <c r="AX374">
        <v>12</v>
      </c>
      <c r="AY374">
        <v>9</v>
      </c>
      <c r="AZ374">
        <v>17</v>
      </c>
      <c r="BA374">
        <v>19</v>
      </c>
      <c r="BB374">
        <v>8</v>
      </c>
      <c r="BC374" t="str" cm="1">
        <f t="array" ref="BC374">_xlfn.IFS((F374/(G374*G374)*10000)&lt; 18.5,"Underweight",(F374/(G374*G374)*10000)&lt;24.9,"Normal",(F374/(G374*G374)*10000)&lt;29.9,"Overweight",(F374/(G374*G374)*10000)&gt;=30,"obesity")</f>
        <v>Overweight</v>
      </c>
      <c r="BD374">
        <f>Table1[[#This Row],[Follicle No. (L)]]+Table1[[#This Row],[Follicle No. (R)]]</f>
        <v>21</v>
      </c>
      <c r="BE374">
        <f>Table1[[#This Row],[Avg. F size (L) (mm)]]+Table1[[#This Row],[Avg. F size (R) (mm)]]</f>
        <v>36</v>
      </c>
      <c r="BF374">
        <f>Table1[[#This Row],[BP _Diastolic (mmHg)]]+(Table1[[#This Row],[BP _Diastolic (mmHg)]]+Table1[[#This Row],[Follicle No. (L)]])/3</f>
        <v>110.66666666666667</v>
      </c>
      <c r="BG374" s="4" t="str" cm="1">
        <f t="array" ref="BG37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74" s="4">
        <f>SUM(Table1[[#This Row],[Pimples(Y/N)]],Table1[[#This Row],[hair growth(Y/N)]],Table1[[#This Row],[Skin darkening (Y/N)]],Table1[[#This Row],[Hair loss(Y/N)]])</f>
        <v>2</v>
      </c>
      <c r="BI374" s="4" t="str">
        <f>IF(AND(Table1[[#This Row],[Pregnant(Y/N)]]=0, Table1[[#This Row],[  I   beta-HCG(mIU/mL)]]&gt;5), "Investigation Required", "Clear")</f>
        <v>Clear</v>
      </c>
    </row>
    <row r="375" spans="1:61" ht="15.75" customHeight="1" x14ac:dyDescent="0.25">
      <c r="A375">
        <v>374</v>
      </c>
      <c r="B375">
        <v>374</v>
      </c>
      <c r="C375">
        <v>0</v>
      </c>
      <c r="D375" t="str">
        <f>IF(Table1[[#This Row],[PCOS (Y/N)]]=0,"NO","YES")</f>
        <v>NO</v>
      </c>
      <c r="E375">
        <v>28</v>
      </c>
      <c r="F375">
        <v>42</v>
      </c>
      <c r="G375">
        <v>163</v>
      </c>
      <c r="H375">
        <v>13</v>
      </c>
      <c r="I375">
        <v>70</v>
      </c>
      <c r="J375">
        <v>18</v>
      </c>
      <c r="K375">
        <v>12</v>
      </c>
      <c r="L375">
        <v>2</v>
      </c>
      <c r="M375">
        <v>5</v>
      </c>
      <c r="N375">
        <v>7</v>
      </c>
      <c r="O375">
        <v>1</v>
      </c>
      <c r="P375" t="str">
        <f>IF(Table1[[#This Row],[Pregnant(Y/N)]]=1,"YES","NO")</f>
        <v>YES</v>
      </c>
      <c r="Q375">
        <v>0</v>
      </c>
      <c r="R375">
        <v>347.98</v>
      </c>
      <c r="S375">
        <v>1.99</v>
      </c>
      <c r="T375">
        <v>2.59</v>
      </c>
      <c r="U375">
        <v>0.63</v>
      </c>
      <c r="V375">
        <f>Table1[[#This Row],[FSH(mIU/mL)]]/Table1[[#This Row],[LH(mIU/mL)]]</f>
        <v>4.1111111111111107</v>
      </c>
      <c r="W375" t="str">
        <f>IF(Table1[[#This Row],[FSH/LH]]&gt;=2,"Abnormal","Normal")</f>
        <v>Abnormal</v>
      </c>
      <c r="X375">
        <v>35</v>
      </c>
      <c r="Y375">
        <v>30</v>
      </c>
      <c r="Z375">
        <f>ROUND(Table1[[#This Row],[Waist(inch)]]/Table1[[#This Row],[Hip(inch)]],2)</f>
        <v>0.86</v>
      </c>
      <c r="AA375">
        <v>5.74</v>
      </c>
      <c r="AB375">
        <v>5.8</v>
      </c>
      <c r="AC375">
        <v>33.04</v>
      </c>
      <c r="AD375">
        <v>39.299999999999997</v>
      </c>
      <c r="AE375" t="str">
        <f>IF(Table1[[#This Row],[Vit D3 (ng/mL)]]&lt;20,"Deficiency","Normal")</f>
        <v>Normal</v>
      </c>
      <c r="AF375">
        <v>0.39500000000000002</v>
      </c>
      <c r="AG375">
        <v>84</v>
      </c>
      <c r="AH375">
        <v>0</v>
      </c>
      <c r="AI375" t="str">
        <f>IF(Table1[[#This Row],[Weight gain(Y/N)]]=0,"NO","YES")</f>
        <v>NO</v>
      </c>
      <c r="AJ375">
        <v>0</v>
      </c>
      <c r="AK375" t="str">
        <f>IF(Table1[[#This Row],[hair growth(Y/N)]]=1,"YES","NO")</f>
        <v>NO</v>
      </c>
      <c r="AL375">
        <v>0</v>
      </c>
      <c r="AM375" t="str">
        <f>IF(Table1[[#This Row],[Skin darkening (Y/N)]]=1,"YES","NO")</f>
        <v>NO</v>
      </c>
      <c r="AN375">
        <v>1</v>
      </c>
      <c r="AO375" t="str">
        <f>IF(Table1[[#This Row],[Hair loss(Y/N)]]=1,"YES","NO")</f>
        <v>YES</v>
      </c>
      <c r="AP375">
        <v>1</v>
      </c>
      <c r="AQ375" t="str">
        <f>IF(Table1[[#This Row],[Pimples(Y/N)]]=1,"YES","NO")</f>
        <v>YES</v>
      </c>
      <c r="AR375">
        <v>0</v>
      </c>
      <c r="AS375" t="str">
        <f>IF(Table1[[#This Row],[Fast food (Y/N)]]=1,"YES","NO")</f>
        <v>NO</v>
      </c>
      <c r="AT375">
        <v>0</v>
      </c>
      <c r="AU375" t="str">
        <f>IF(Table1[[#This Row],[Reg.Exercise(Y/N)]]=1,"YES","NO")</f>
        <v>NO</v>
      </c>
      <c r="AV375">
        <v>120</v>
      </c>
      <c r="AW375">
        <v>70</v>
      </c>
      <c r="AX375">
        <v>8</v>
      </c>
      <c r="AY375">
        <v>7</v>
      </c>
      <c r="AZ375">
        <v>15</v>
      </c>
      <c r="BA375">
        <v>15</v>
      </c>
      <c r="BB375">
        <v>11</v>
      </c>
      <c r="BC375" t="str" cm="1">
        <f t="array" ref="BC375">_xlfn.IFS((F375/(G375*G375)*10000)&lt; 18.5,"Underweight",(F375/(G375*G375)*10000)&lt;24.9,"Normal",(F375/(G375*G375)*10000)&lt;29.9,"Overweight",(F375/(G375*G375)*10000)&gt;=30,"obesity")</f>
        <v>Underweight</v>
      </c>
      <c r="BD375">
        <f>Table1[[#This Row],[Follicle No. (L)]]+Table1[[#This Row],[Follicle No. (R)]]</f>
        <v>15</v>
      </c>
      <c r="BE375">
        <f>Table1[[#This Row],[Avg. F size (L) (mm)]]+Table1[[#This Row],[Avg. F size (R) (mm)]]</f>
        <v>30</v>
      </c>
      <c r="BF375">
        <f>Table1[[#This Row],[BP _Diastolic (mmHg)]]+(Table1[[#This Row],[BP _Diastolic (mmHg)]]+Table1[[#This Row],[Follicle No. (L)]])/3</f>
        <v>96</v>
      </c>
      <c r="BG375" s="4" t="str" cm="1">
        <f t="array" ref="BG37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75" s="4">
        <f>SUM(Table1[[#This Row],[Pimples(Y/N)]],Table1[[#This Row],[hair growth(Y/N)]],Table1[[#This Row],[Skin darkening (Y/N)]],Table1[[#This Row],[Hair loss(Y/N)]])</f>
        <v>2</v>
      </c>
      <c r="BI375" s="4" t="str">
        <f>IF(AND(Table1[[#This Row],[Pregnant(Y/N)]]=0, Table1[[#This Row],[  I   beta-HCG(mIU/mL)]]&gt;5), "Investigation Required", "Clear")</f>
        <v>Clear</v>
      </c>
    </row>
    <row r="376" spans="1:61" ht="15.75" customHeight="1" x14ac:dyDescent="0.25">
      <c r="A376">
        <v>375</v>
      </c>
      <c r="B376">
        <v>375</v>
      </c>
      <c r="C376">
        <v>0</v>
      </c>
      <c r="D376" t="str">
        <f>IF(Table1[[#This Row],[PCOS (Y/N)]]=0,"NO","YES")</f>
        <v>NO</v>
      </c>
      <c r="E376">
        <v>32</v>
      </c>
      <c r="F376">
        <v>65</v>
      </c>
      <c r="G376">
        <v>161</v>
      </c>
      <c r="H376">
        <v>11</v>
      </c>
      <c r="I376">
        <v>74</v>
      </c>
      <c r="J376">
        <v>20</v>
      </c>
      <c r="K376">
        <v>10.199999999999999</v>
      </c>
      <c r="L376">
        <v>2</v>
      </c>
      <c r="M376">
        <v>6</v>
      </c>
      <c r="N376">
        <v>11</v>
      </c>
      <c r="O376">
        <v>1</v>
      </c>
      <c r="P376" t="str">
        <f>IF(Table1[[#This Row],[Pregnant(Y/N)]]=1,"YES","NO")</f>
        <v>YES</v>
      </c>
      <c r="Q376">
        <v>0</v>
      </c>
      <c r="R376">
        <v>6.19</v>
      </c>
      <c r="S376">
        <v>6.19</v>
      </c>
      <c r="T376">
        <v>2.17</v>
      </c>
      <c r="U376">
        <v>2.02</v>
      </c>
      <c r="V376">
        <f>Table1[[#This Row],[FSH(mIU/mL)]]/Table1[[#This Row],[LH(mIU/mL)]]</f>
        <v>1.0742574257425743</v>
      </c>
      <c r="W376" t="str">
        <f>IF(Table1[[#This Row],[FSH/LH]]&gt;=2,"Abnormal","Normal")</f>
        <v>Normal</v>
      </c>
      <c r="X376">
        <v>38</v>
      </c>
      <c r="Y376">
        <v>34</v>
      </c>
      <c r="Z376">
        <f>ROUND(Table1[[#This Row],[Waist(inch)]]/Table1[[#This Row],[Hip(inch)]],2)</f>
        <v>0.89</v>
      </c>
      <c r="AA376">
        <v>4.78</v>
      </c>
      <c r="AB376">
        <v>0.2</v>
      </c>
      <c r="AC376">
        <v>99.93</v>
      </c>
      <c r="AD376">
        <v>17.3</v>
      </c>
      <c r="AE376" t="str">
        <f>IF(Table1[[#This Row],[Vit D3 (ng/mL)]]&lt;20,"Deficiency","Normal")</f>
        <v>Deficiency</v>
      </c>
      <c r="AF376">
        <v>0.25</v>
      </c>
      <c r="AG376">
        <v>115</v>
      </c>
      <c r="AH376">
        <v>1</v>
      </c>
      <c r="AI376" t="str">
        <f>IF(Table1[[#This Row],[Weight gain(Y/N)]]=0,"NO","YES")</f>
        <v>YES</v>
      </c>
      <c r="AJ376">
        <v>0</v>
      </c>
      <c r="AK376" t="str">
        <f>IF(Table1[[#This Row],[hair growth(Y/N)]]=1,"YES","NO")</f>
        <v>NO</v>
      </c>
      <c r="AL376">
        <v>0</v>
      </c>
      <c r="AM376" t="str">
        <f>IF(Table1[[#This Row],[Skin darkening (Y/N)]]=1,"YES","NO")</f>
        <v>NO</v>
      </c>
      <c r="AN376">
        <v>0</v>
      </c>
      <c r="AO376" t="str">
        <f>IF(Table1[[#This Row],[Hair loss(Y/N)]]=1,"YES","NO")</f>
        <v>NO</v>
      </c>
      <c r="AP376">
        <v>1</v>
      </c>
      <c r="AQ376" t="str">
        <f>IF(Table1[[#This Row],[Pimples(Y/N)]]=1,"YES","NO")</f>
        <v>YES</v>
      </c>
      <c r="AR376">
        <v>1</v>
      </c>
      <c r="AS376" t="str">
        <f>IF(Table1[[#This Row],[Fast food (Y/N)]]=1,"YES","NO")</f>
        <v>YES</v>
      </c>
      <c r="AT376">
        <v>0</v>
      </c>
      <c r="AU376" t="str">
        <f>IF(Table1[[#This Row],[Reg.Exercise(Y/N)]]=1,"YES","NO")</f>
        <v>NO</v>
      </c>
      <c r="AV376">
        <v>110</v>
      </c>
      <c r="AW376">
        <v>70</v>
      </c>
      <c r="AX376">
        <v>1</v>
      </c>
      <c r="AY376">
        <v>2</v>
      </c>
      <c r="AZ376">
        <v>13</v>
      </c>
      <c r="BA376">
        <v>14</v>
      </c>
      <c r="BB376">
        <v>7.5</v>
      </c>
      <c r="BC376" t="str" cm="1">
        <f t="array" ref="BC376">_xlfn.IFS((F376/(G376*G376)*10000)&lt; 18.5,"Underweight",(F376/(G376*G376)*10000)&lt;24.9,"Normal",(F376/(G376*G376)*10000)&lt;29.9,"Overweight",(F376/(G376*G376)*10000)&gt;=30,"obesity")</f>
        <v>Overweight</v>
      </c>
      <c r="BD376">
        <f>Table1[[#This Row],[Follicle No. (L)]]+Table1[[#This Row],[Follicle No. (R)]]</f>
        <v>3</v>
      </c>
      <c r="BE376">
        <f>Table1[[#This Row],[Avg. F size (L) (mm)]]+Table1[[#This Row],[Avg. F size (R) (mm)]]</f>
        <v>27</v>
      </c>
      <c r="BF376">
        <f>Table1[[#This Row],[BP _Diastolic (mmHg)]]+(Table1[[#This Row],[BP _Diastolic (mmHg)]]+Table1[[#This Row],[Follicle No. (L)]])/3</f>
        <v>93.666666666666671</v>
      </c>
      <c r="BG376" s="4" t="str" cm="1">
        <f t="array" ref="BG37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76" s="4">
        <f>SUM(Table1[[#This Row],[Pimples(Y/N)]],Table1[[#This Row],[hair growth(Y/N)]],Table1[[#This Row],[Skin darkening (Y/N)]],Table1[[#This Row],[Hair loss(Y/N)]])</f>
        <v>1</v>
      </c>
      <c r="BI376" s="4" t="str">
        <f>IF(AND(Table1[[#This Row],[Pregnant(Y/N)]]=0, Table1[[#This Row],[  I   beta-HCG(mIU/mL)]]&gt;5), "Investigation Required", "Clear")</f>
        <v>Clear</v>
      </c>
    </row>
    <row r="377" spans="1:61" ht="15.75" customHeight="1" x14ac:dyDescent="0.25">
      <c r="A377">
        <v>376</v>
      </c>
      <c r="B377">
        <v>376</v>
      </c>
      <c r="C377">
        <v>1</v>
      </c>
      <c r="D377" t="str">
        <f>IF(Table1[[#This Row],[PCOS (Y/N)]]=0,"NO","YES")</f>
        <v>YES</v>
      </c>
      <c r="E377">
        <v>27</v>
      </c>
      <c r="F377">
        <v>60</v>
      </c>
      <c r="G377">
        <v>158</v>
      </c>
      <c r="H377">
        <v>14</v>
      </c>
      <c r="I377">
        <v>72</v>
      </c>
      <c r="J377">
        <v>20</v>
      </c>
      <c r="K377">
        <v>11.2</v>
      </c>
      <c r="L377">
        <v>2</v>
      </c>
      <c r="M377">
        <v>4</v>
      </c>
      <c r="N377">
        <v>8</v>
      </c>
      <c r="O377">
        <v>1</v>
      </c>
      <c r="P377" t="str">
        <f>IF(Table1[[#This Row],[Pregnant(Y/N)]]=1,"YES","NO")</f>
        <v>YES</v>
      </c>
      <c r="Q377">
        <v>0</v>
      </c>
      <c r="R377">
        <v>187.79</v>
      </c>
      <c r="S377">
        <v>187.79</v>
      </c>
      <c r="T377">
        <v>5.4</v>
      </c>
      <c r="U377">
        <v>3.07</v>
      </c>
      <c r="V377">
        <f>Table1[[#This Row],[FSH(mIU/mL)]]/Table1[[#This Row],[LH(mIU/mL)]]</f>
        <v>1.7589576547231272</v>
      </c>
      <c r="W377" t="str">
        <f>IF(Table1[[#This Row],[FSH/LH]]&gt;=2,"Abnormal","Normal")</f>
        <v>Normal</v>
      </c>
      <c r="X377">
        <v>36</v>
      </c>
      <c r="Y377">
        <v>32</v>
      </c>
      <c r="Z377">
        <f>ROUND(Table1[[#This Row],[Waist(inch)]]/Table1[[#This Row],[Hip(inch)]],2)</f>
        <v>0.89</v>
      </c>
      <c r="AA377">
        <v>6.75</v>
      </c>
      <c r="AB377">
        <v>9</v>
      </c>
      <c r="AC377">
        <v>40.43</v>
      </c>
      <c r="AD377">
        <v>23.1</v>
      </c>
      <c r="AE377" t="str">
        <f>IF(Table1[[#This Row],[Vit D3 (ng/mL)]]&lt;20,"Deficiency","Normal")</f>
        <v>Normal</v>
      </c>
      <c r="AF377">
        <v>0.46</v>
      </c>
      <c r="AG377">
        <v>100</v>
      </c>
      <c r="AH377">
        <v>0</v>
      </c>
      <c r="AI377" t="str">
        <f>IF(Table1[[#This Row],[Weight gain(Y/N)]]=0,"NO","YES")</f>
        <v>NO</v>
      </c>
      <c r="AJ377">
        <v>1</v>
      </c>
      <c r="AK377" t="str">
        <f>IF(Table1[[#This Row],[hair growth(Y/N)]]=1,"YES","NO")</f>
        <v>YES</v>
      </c>
      <c r="AL377">
        <v>0</v>
      </c>
      <c r="AM377" t="str">
        <f>IF(Table1[[#This Row],[Skin darkening (Y/N)]]=1,"YES","NO")</f>
        <v>NO</v>
      </c>
      <c r="AN377">
        <v>0</v>
      </c>
      <c r="AO377" t="str">
        <f>IF(Table1[[#This Row],[Hair loss(Y/N)]]=1,"YES","NO")</f>
        <v>NO</v>
      </c>
      <c r="AP377">
        <v>1</v>
      </c>
      <c r="AQ377" t="str">
        <f>IF(Table1[[#This Row],[Pimples(Y/N)]]=1,"YES","NO")</f>
        <v>YES</v>
      </c>
      <c r="AR377">
        <v>0</v>
      </c>
      <c r="AS377" t="str">
        <f>IF(Table1[[#This Row],[Fast food (Y/N)]]=1,"YES","NO")</f>
        <v>NO</v>
      </c>
      <c r="AT377">
        <v>1</v>
      </c>
      <c r="AU377" t="str">
        <f>IF(Table1[[#This Row],[Reg.Exercise(Y/N)]]=1,"YES","NO")</f>
        <v>YES</v>
      </c>
      <c r="AV377">
        <v>120</v>
      </c>
      <c r="AW377">
        <v>80</v>
      </c>
      <c r="AX377">
        <v>9</v>
      </c>
      <c r="AY377">
        <v>10</v>
      </c>
      <c r="AZ377">
        <v>14</v>
      </c>
      <c r="BA377">
        <v>12</v>
      </c>
      <c r="BB377">
        <v>10.3</v>
      </c>
      <c r="BC377" t="str" cm="1">
        <f t="array" ref="BC377">_xlfn.IFS((F377/(G377*G377)*10000)&lt; 18.5,"Underweight",(F377/(G377*G377)*10000)&lt;24.9,"Normal",(F377/(G377*G377)*10000)&lt;29.9,"Overweight",(F377/(G377*G377)*10000)&gt;=30,"obesity")</f>
        <v>Normal</v>
      </c>
      <c r="BD377">
        <f>Table1[[#This Row],[Follicle No. (L)]]+Table1[[#This Row],[Follicle No. (R)]]</f>
        <v>19</v>
      </c>
      <c r="BE377">
        <f>Table1[[#This Row],[Avg. F size (L) (mm)]]+Table1[[#This Row],[Avg. F size (R) (mm)]]</f>
        <v>26</v>
      </c>
      <c r="BF377">
        <f>Table1[[#This Row],[BP _Diastolic (mmHg)]]+(Table1[[#This Row],[BP _Diastolic (mmHg)]]+Table1[[#This Row],[Follicle No. (L)]])/3</f>
        <v>109.66666666666667</v>
      </c>
      <c r="BG377" s="4" t="str" cm="1">
        <f t="array" ref="BG37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77" s="4">
        <f>SUM(Table1[[#This Row],[Pimples(Y/N)]],Table1[[#This Row],[hair growth(Y/N)]],Table1[[#This Row],[Skin darkening (Y/N)]],Table1[[#This Row],[Hair loss(Y/N)]])</f>
        <v>2</v>
      </c>
      <c r="BI377" s="4" t="str">
        <f>IF(AND(Table1[[#This Row],[Pregnant(Y/N)]]=0, Table1[[#This Row],[  I   beta-HCG(mIU/mL)]]&gt;5), "Investigation Required", "Clear")</f>
        <v>Clear</v>
      </c>
    </row>
    <row r="378" spans="1:61" ht="15.75" customHeight="1" x14ac:dyDescent="0.25">
      <c r="A378">
        <v>377</v>
      </c>
      <c r="B378">
        <v>377</v>
      </c>
      <c r="C378">
        <v>0</v>
      </c>
      <c r="D378" t="str">
        <f>IF(Table1[[#This Row],[PCOS (Y/N)]]=0,"NO","YES")</f>
        <v>NO</v>
      </c>
      <c r="E378">
        <v>35</v>
      </c>
      <c r="F378">
        <v>60</v>
      </c>
      <c r="G378">
        <v>152</v>
      </c>
      <c r="H378">
        <v>11</v>
      </c>
      <c r="I378">
        <v>72</v>
      </c>
      <c r="J378">
        <v>18</v>
      </c>
      <c r="K378">
        <v>10</v>
      </c>
      <c r="L378">
        <v>2</v>
      </c>
      <c r="M378">
        <v>6</v>
      </c>
      <c r="N378">
        <v>10</v>
      </c>
      <c r="O378">
        <v>1</v>
      </c>
      <c r="P378" t="str">
        <f>IF(Table1[[#This Row],[Pregnant(Y/N)]]=1,"YES","NO")</f>
        <v>YES</v>
      </c>
      <c r="Q378">
        <v>0</v>
      </c>
      <c r="R378">
        <v>459.63</v>
      </c>
      <c r="S378">
        <v>459.63</v>
      </c>
      <c r="T378">
        <v>3.91</v>
      </c>
      <c r="U378">
        <v>1.01</v>
      </c>
      <c r="V378">
        <f>Table1[[#This Row],[FSH(mIU/mL)]]/Table1[[#This Row],[LH(mIU/mL)]]</f>
        <v>3.8712871287128712</v>
      </c>
      <c r="W378" t="str">
        <f>IF(Table1[[#This Row],[FSH/LH]]&gt;=2,"Abnormal","Normal")</f>
        <v>Abnormal</v>
      </c>
      <c r="X378">
        <v>38</v>
      </c>
      <c r="Y378">
        <v>35</v>
      </c>
      <c r="Z378">
        <f>ROUND(Table1[[#This Row],[Waist(inch)]]/Table1[[#This Row],[Hip(inch)]],2)</f>
        <v>0.92</v>
      </c>
      <c r="AA378">
        <v>2.4500000000000002</v>
      </c>
      <c r="AB378">
        <v>1.2</v>
      </c>
      <c r="AC378">
        <v>8.6</v>
      </c>
      <c r="AD378">
        <v>20.7</v>
      </c>
      <c r="AE378" t="str">
        <f>IF(Table1[[#This Row],[Vit D3 (ng/mL)]]&lt;20,"Deficiency","Normal")</f>
        <v>Normal</v>
      </c>
      <c r="AF378">
        <v>0.3</v>
      </c>
      <c r="AG378">
        <v>115</v>
      </c>
      <c r="AH378">
        <v>0</v>
      </c>
      <c r="AI378" t="str">
        <f>IF(Table1[[#This Row],[Weight gain(Y/N)]]=0,"NO","YES")</f>
        <v>NO</v>
      </c>
      <c r="AJ378">
        <v>0</v>
      </c>
      <c r="AK378" t="str">
        <f>IF(Table1[[#This Row],[hair growth(Y/N)]]=1,"YES","NO")</f>
        <v>NO</v>
      </c>
      <c r="AL378">
        <v>1</v>
      </c>
      <c r="AM378" t="str">
        <f>IF(Table1[[#This Row],[Skin darkening (Y/N)]]=1,"YES","NO")</f>
        <v>YES</v>
      </c>
      <c r="AN378">
        <v>0</v>
      </c>
      <c r="AO378" t="str">
        <f>IF(Table1[[#This Row],[Hair loss(Y/N)]]=1,"YES","NO")</f>
        <v>NO</v>
      </c>
      <c r="AP378">
        <v>1</v>
      </c>
      <c r="AQ378" t="str">
        <f>IF(Table1[[#This Row],[Pimples(Y/N)]]=1,"YES","NO")</f>
        <v>YES</v>
      </c>
      <c r="AR378">
        <v>1</v>
      </c>
      <c r="AS378" t="str">
        <f>IF(Table1[[#This Row],[Fast food (Y/N)]]=1,"YES","NO")</f>
        <v>YES</v>
      </c>
      <c r="AT378">
        <v>0</v>
      </c>
      <c r="AU378" t="str">
        <f>IF(Table1[[#This Row],[Reg.Exercise(Y/N)]]=1,"YES","NO")</f>
        <v>NO</v>
      </c>
      <c r="AV378">
        <v>120</v>
      </c>
      <c r="AW378">
        <v>80</v>
      </c>
      <c r="AX378">
        <v>1</v>
      </c>
      <c r="AY378">
        <v>2</v>
      </c>
      <c r="AZ378">
        <v>18</v>
      </c>
      <c r="BA378">
        <v>11</v>
      </c>
      <c r="BB378">
        <v>9</v>
      </c>
      <c r="BC378" t="str" cm="1">
        <f t="array" ref="BC378">_xlfn.IFS((F378/(G378*G378)*10000)&lt; 18.5,"Underweight",(F378/(G378*G378)*10000)&lt;24.9,"Normal",(F378/(G378*G378)*10000)&lt;29.9,"Overweight",(F378/(G378*G378)*10000)&gt;=30,"obesity")</f>
        <v>Overweight</v>
      </c>
      <c r="BD378">
        <f>Table1[[#This Row],[Follicle No. (L)]]+Table1[[#This Row],[Follicle No. (R)]]</f>
        <v>3</v>
      </c>
      <c r="BE378">
        <f>Table1[[#This Row],[Avg. F size (L) (mm)]]+Table1[[#This Row],[Avg. F size (R) (mm)]]</f>
        <v>29</v>
      </c>
      <c r="BF378">
        <f>Table1[[#This Row],[BP _Diastolic (mmHg)]]+(Table1[[#This Row],[BP _Diastolic (mmHg)]]+Table1[[#This Row],[Follicle No. (L)]])/3</f>
        <v>107</v>
      </c>
      <c r="BG378" s="4" t="str" cm="1">
        <f t="array" ref="BG37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78" s="4">
        <f>SUM(Table1[[#This Row],[Pimples(Y/N)]],Table1[[#This Row],[hair growth(Y/N)]],Table1[[#This Row],[Skin darkening (Y/N)]],Table1[[#This Row],[Hair loss(Y/N)]])</f>
        <v>2</v>
      </c>
      <c r="BI378" s="4" t="str">
        <f>IF(AND(Table1[[#This Row],[Pregnant(Y/N)]]=0, Table1[[#This Row],[  I   beta-HCG(mIU/mL)]]&gt;5), "Investigation Required", "Clear")</f>
        <v>Clear</v>
      </c>
    </row>
    <row r="379" spans="1:61" ht="15.75" customHeight="1" x14ac:dyDescent="0.25">
      <c r="A379">
        <v>378</v>
      </c>
      <c r="B379">
        <v>378</v>
      </c>
      <c r="C379">
        <v>0</v>
      </c>
      <c r="D379" t="str">
        <f>IF(Table1[[#This Row],[PCOS (Y/N)]]=0,"NO","YES")</f>
        <v>NO</v>
      </c>
      <c r="E379">
        <v>28</v>
      </c>
      <c r="F379">
        <v>61</v>
      </c>
      <c r="G379">
        <v>152</v>
      </c>
      <c r="H379">
        <v>15</v>
      </c>
      <c r="I379">
        <v>74</v>
      </c>
      <c r="J379">
        <v>22</v>
      </c>
      <c r="K379">
        <v>10.5</v>
      </c>
      <c r="L379">
        <v>4</v>
      </c>
      <c r="M379">
        <v>3</v>
      </c>
      <c r="N379">
        <v>3</v>
      </c>
      <c r="O379">
        <v>0</v>
      </c>
      <c r="P379" t="str">
        <f>IF(Table1[[#This Row],[Pregnant(Y/N)]]=1,"YES","NO")</f>
        <v>NO</v>
      </c>
      <c r="Q379">
        <v>0</v>
      </c>
      <c r="R379">
        <v>2</v>
      </c>
      <c r="S379">
        <v>3.01</v>
      </c>
      <c r="T379">
        <v>3.3</v>
      </c>
      <c r="U379">
        <v>0.59</v>
      </c>
      <c r="V379">
        <f>Table1[[#This Row],[FSH(mIU/mL)]]/Table1[[#This Row],[LH(mIU/mL)]]</f>
        <v>5.593220338983051</v>
      </c>
      <c r="W379" t="str">
        <f>IF(Table1[[#This Row],[FSH/LH]]&gt;=2,"Abnormal","Normal")</f>
        <v>Abnormal</v>
      </c>
      <c r="X379">
        <v>39</v>
      </c>
      <c r="Y379">
        <v>35</v>
      </c>
      <c r="Z379">
        <f>ROUND(Table1[[#This Row],[Waist(inch)]]/Table1[[#This Row],[Hip(inch)]],2)</f>
        <v>0.9</v>
      </c>
      <c r="AA379">
        <v>2.78</v>
      </c>
      <c r="AB379">
        <v>9.1</v>
      </c>
      <c r="AC379">
        <v>7.81</v>
      </c>
      <c r="AD379">
        <v>10.1</v>
      </c>
      <c r="AE379" t="str">
        <f>IF(Table1[[#This Row],[Vit D3 (ng/mL)]]&lt;20,"Deficiency","Normal")</f>
        <v>Deficiency</v>
      </c>
      <c r="AF379">
        <v>0.27</v>
      </c>
      <c r="AG379">
        <v>92</v>
      </c>
      <c r="AH379">
        <v>1</v>
      </c>
      <c r="AI379" t="str">
        <f>IF(Table1[[#This Row],[Weight gain(Y/N)]]=0,"NO","YES")</f>
        <v>YES</v>
      </c>
      <c r="AJ379">
        <v>0</v>
      </c>
      <c r="AK379" t="str">
        <f>IF(Table1[[#This Row],[hair growth(Y/N)]]=1,"YES","NO")</f>
        <v>NO</v>
      </c>
      <c r="AL379">
        <v>0</v>
      </c>
      <c r="AM379" t="str">
        <f>IF(Table1[[#This Row],[Skin darkening (Y/N)]]=1,"YES","NO")</f>
        <v>NO</v>
      </c>
      <c r="AN379">
        <v>0</v>
      </c>
      <c r="AO379" t="str">
        <f>IF(Table1[[#This Row],[Hair loss(Y/N)]]=1,"YES","NO")</f>
        <v>NO</v>
      </c>
      <c r="AP379">
        <v>1</v>
      </c>
      <c r="AQ379" t="str">
        <f>IF(Table1[[#This Row],[Pimples(Y/N)]]=1,"YES","NO")</f>
        <v>YES</v>
      </c>
      <c r="AR379">
        <v>1</v>
      </c>
      <c r="AS379" t="str">
        <f>IF(Table1[[#This Row],[Fast food (Y/N)]]=1,"YES","NO")</f>
        <v>YES</v>
      </c>
      <c r="AT379">
        <v>0</v>
      </c>
      <c r="AU379" t="str">
        <f>IF(Table1[[#This Row],[Reg.Exercise(Y/N)]]=1,"YES","NO")</f>
        <v>NO</v>
      </c>
      <c r="AV379">
        <v>120</v>
      </c>
      <c r="AW379">
        <v>80</v>
      </c>
      <c r="AX379">
        <v>8</v>
      </c>
      <c r="AY379">
        <v>7</v>
      </c>
      <c r="AZ379">
        <v>19</v>
      </c>
      <c r="BA379">
        <v>15</v>
      </c>
      <c r="BB379">
        <v>5.5</v>
      </c>
      <c r="BC379" t="str" cm="1">
        <f t="array" ref="BC379">_xlfn.IFS((F379/(G379*G379)*10000)&lt; 18.5,"Underweight",(F379/(G379*G379)*10000)&lt;24.9,"Normal",(F379/(G379*G379)*10000)&lt;29.9,"Overweight",(F379/(G379*G379)*10000)&gt;=30,"obesity")</f>
        <v>Overweight</v>
      </c>
      <c r="BD379">
        <f>Table1[[#This Row],[Follicle No. (L)]]+Table1[[#This Row],[Follicle No. (R)]]</f>
        <v>15</v>
      </c>
      <c r="BE379">
        <f>Table1[[#This Row],[Avg. F size (L) (mm)]]+Table1[[#This Row],[Avg. F size (R) (mm)]]</f>
        <v>34</v>
      </c>
      <c r="BF379">
        <f>Table1[[#This Row],[BP _Diastolic (mmHg)]]+(Table1[[#This Row],[BP _Diastolic (mmHg)]]+Table1[[#This Row],[Follicle No. (L)]])/3</f>
        <v>109.33333333333333</v>
      </c>
      <c r="BG379" s="4" t="str" cm="1">
        <f t="array" ref="BG37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79" s="4">
        <f>SUM(Table1[[#This Row],[Pimples(Y/N)]],Table1[[#This Row],[hair growth(Y/N)]],Table1[[#This Row],[Skin darkening (Y/N)]],Table1[[#This Row],[Hair loss(Y/N)]])</f>
        <v>1</v>
      </c>
      <c r="BI379" s="4" t="str">
        <f>IF(AND(Table1[[#This Row],[Pregnant(Y/N)]]=0, Table1[[#This Row],[  I   beta-HCG(mIU/mL)]]&gt;5), "Investigation Required", "Clear")</f>
        <v>Clear</v>
      </c>
    </row>
    <row r="380" spans="1:61" ht="15.75" customHeight="1" x14ac:dyDescent="0.25">
      <c r="A380">
        <v>379</v>
      </c>
      <c r="B380">
        <v>379</v>
      </c>
      <c r="C380">
        <v>0</v>
      </c>
      <c r="D380" t="str">
        <f>IF(Table1[[#This Row],[PCOS (Y/N)]]=0,"NO","YES")</f>
        <v>NO</v>
      </c>
      <c r="E380">
        <v>23</v>
      </c>
      <c r="F380">
        <v>50</v>
      </c>
      <c r="G380">
        <v>155</v>
      </c>
      <c r="H380">
        <v>15</v>
      </c>
      <c r="I380">
        <v>72</v>
      </c>
      <c r="J380">
        <v>18</v>
      </c>
      <c r="K380">
        <v>10.8</v>
      </c>
      <c r="L380">
        <v>4</v>
      </c>
      <c r="M380">
        <v>6</v>
      </c>
      <c r="N380">
        <v>3</v>
      </c>
      <c r="O380">
        <v>0</v>
      </c>
      <c r="P380" t="str">
        <f>IF(Table1[[#This Row],[Pregnant(Y/N)]]=1,"YES","NO")</f>
        <v>NO</v>
      </c>
      <c r="Q380">
        <v>0</v>
      </c>
      <c r="R380">
        <v>2</v>
      </c>
      <c r="S380">
        <v>2</v>
      </c>
      <c r="T380">
        <v>9.59</v>
      </c>
      <c r="U380">
        <v>5.98</v>
      </c>
      <c r="V380">
        <f>Table1[[#This Row],[FSH(mIU/mL)]]/Table1[[#This Row],[LH(mIU/mL)]]</f>
        <v>1.6036789297658862</v>
      </c>
      <c r="W380" t="str">
        <f>IF(Table1[[#This Row],[FSH/LH]]&gt;=2,"Abnormal","Normal")</f>
        <v>Normal</v>
      </c>
      <c r="X380">
        <v>37</v>
      </c>
      <c r="Y380">
        <v>34</v>
      </c>
      <c r="Z380">
        <f>ROUND(Table1[[#This Row],[Waist(inch)]]/Table1[[#This Row],[Hip(inch)]],2)</f>
        <v>0.92</v>
      </c>
      <c r="AA380">
        <v>3.63</v>
      </c>
      <c r="AB380">
        <v>2.9</v>
      </c>
      <c r="AC380">
        <v>30.85</v>
      </c>
      <c r="AD380">
        <v>21.1</v>
      </c>
      <c r="AE380" t="str">
        <f>IF(Table1[[#This Row],[Vit D3 (ng/mL)]]&lt;20,"Deficiency","Normal")</f>
        <v>Normal</v>
      </c>
      <c r="AF380">
        <v>0.75</v>
      </c>
      <c r="AG380">
        <v>92</v>
      </c>
      <c r="AH380">
        <v>0</v>
      </c>
      <c r="AI380" t="str">
        <f>IF(Table1[[#This Row],[Weight gain(Y/N)]]=0,"NO","YES")</f>
        <v>NO</v>
      </c>
      <c r="AJ380">
        <v>0</v>
      </c>
      <c r="AK380" t="str">
        <f>IF(Table1[[#This Row],[hair growth(Y/N)]]=1,"YES","NO")</f>
        <v>NO</v>
      </c>
      <c r="AL380">
        <v>0</v>
      </c>
      <c r="AM380" t="str">
        <f>IF(Table1[[#This Row],[Skin darkening (Y/N)]]=1,"YES","NO")</f>
        <v>NO</v>
      </c>
      <c r="AN380">
        <v>1</v>
      </c>
      <c r="AO380" t="str">
        <f>IF(Table1[[#This Row],[Hair loss(Y/N)]]=1,"YES","NO")</f>
        <v>YES</v>
      </c>
      <c r="AP380">
        <v>1</v>
      </c>
      <c r="AQ380" t="str">
        <f>IF(Table1[[#This Row],[Pimples(Y/N)]]=1,"YES","NO")</f>
        <v>YES</v>
      </c>
      <c r="AR380">
        <v>0</v>
      </c>
      <c r="AS380" t="str">
        <f>IF(Table1[[#This Row],[Fast food (Y/N)]]=1,"YES","NO")</f>
        <v>NO</v>
      </c>
      <c r="AT380">
        <v>0</v>
      </c>
      <c r="AU380" t="str">
        <f>IF(Table1[[#This Row],[Reg.Exercise(Y/N)]]=1,"YES","NO")</f>
        <v>NO</v>
      </c>
      <c r="AV380">
        <v>110</v>
      </c>
      <c r="AW380">
        <v>70</v>
      </c>
      <c r="AX380">
        <v>3</v>
      </c>
      <c r="AY380">
        <v>5</v>
      </c>
      <c r="AZ380">
        <v>18</v>
      </c>
      <c r="BA380">
        <v>18</v>
      </c>
      <c r="BB380">
        <v>11.2</v>
      </c>
      <c r="BC380" t="str" cm="1">
        <f t="array" ref="BC380">_xlfn.IFS((F380/(G380*G380)*10000)&lt; 18.5,"Underweight",(F380/(G380*G380)*10000)&lt;24.9,"Normal",(F380/(G380*G380)*10000)&lt;29.9,"Overweight",(F380/(G380*G380)*10000)&gt;=30,"obesity")</f>
        <v>Normal</v>
      </c>
      <c r="BD380">
        <f>Table1[[#This Row],[Follicle No. (L)]]+Table1[[#This Row],[Follicle No. (R)]]</f>
        <v>8</v>
      </c>
      <c r="BE380">
        <f>Table1[[#This Row],[Avg. F size (L) (mm)]]+Table1[[#This Row],[Avg. F size (R) (mm)]]</f>
        <v>36</v>
      </c>
      <c r="BF380">
        <f>Table1[[#This Row],[BP _Diastolic (mmHg)]]+(Table1[[#This Row],[BP _Diastolic (mmHg)]]+Table1[[#This Row],[Follicle No. (L)]])/3</f>
        <v>94.333333333333329</v>
      </c>
      <c r="BG380" s="4" t="str" cm="1">
        <f t="array" ref="BG38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80" s="4">
        <f>SUM(Table1[[#This Row],[Pimples(Y/N)]],Table1[[#This Row],[hair growth(Y/N)]],Table1[[#This Row],[Skin darkening (Y/N)]],Table1[[#This Row],[Hair loss(Y/N)]])</f>
        <v>2</v>
      </c>
      <c r="BI380" s="4" t="str">
        <f>IF(AND(Table1[[#This Row],[Pregnant(Y/N)]]=0, Table1[[#This Row],[  I   beta-HCG(mIU/mL)]]&gt;5), "Investigation Required", "Clear")</f>
        <v>Clear</v>
      </c>
    </row>
    <row r="381" spans="1:61" ht="15.75" customHeight="1" x14ac:dyDescent="0.25">
      <c r="A381">
        <v>380</v>
      </c>
      <c r="B381">
        <v>380</v>
      </c>
      <c r="C381">
        <v>0</v>
      </c>
      <c r="D381" t="str">
        <f>IF(Table1[[#This Row],[PCOS (Y/N)]]=0,"NO","YES")</f>
        <v>NO</v>
      </c>
      <c r="E381">
        <v>31</v>
      </c>
      <c r="F381">
        <v>55.5</v>
      </c>
      <c r="G381">
        <v>151</v>
      </c>
      <c r="H381">
        <v>15</v>
      </c>
      <c r="I381">
        <v>74</v>
      </c>
      <c r="J381">
        <v>18</v>
      </c>
      <c r="K381">
        <v>11.1</v>
      </c>
      <c r="L381">
        <v>2</v>
      </c>
      <c r="M381">
        <v>6</v>
      </c>
      <c r="N381">
        <v>5</v>
      </c>
      <c r="O381">
        <v>1</v>
      </c>
      <c r="P381" t="str">
        <f>IF(Table1[[#This Row],[Pregnant(Y/N)]]=1,"YES","NO")</f>
        <v>YES</v>
      </c>
      <c r="Q381">
        <v>0</v>
      </c>
      <c r="R381">
        <v>278.32</v>
      </c>
      <c r="S381">
        <v>278.52</v>
      </c>
      <c r="T381">
        <v>2.4900000000000002</v>
      </c>
      <c r="U381">
        <v>3.39</v>
      </c>
      <c r="V381">
        <f>Table1[[#This Row],[FSH(mIU/mL)]]/Table1[[#This Row],[LH(mIU/mL)]]</f>
        <v>0.73451327433628322</v>
      </c>
      <c r="W381" t="str">
        <f>IF(Table1[[#This Row],[FSH/LH]]&gt;=2,"Abnormal","Normal")</f>
        <v>Normal</v>
      </c>
      <c r="X381">
        <v>38</v>
      </c>
      <c r="Y381">
        <v>34</v>
      </c>
      <c r="Z381">
        <f>ROUND(Table1[[#This Row],[Waist(inch)]]/Table1[[#This Row],[Hip(inch)]],2)</f>
        <v>0.89</v>
      </c>
      <c r="AA381">
        <v>1.62</v>
      </c>
      <c r="AB381">
        <v>3.1</v>
      </c>
      <c r="AC381">
        <v>24.33</v>
      </c>
      <c r="AD381">
        <v>24.1</v>
      </c>
      <c r="AE381" t="str">
        <f>IF(Table1[[#This Row],[Vit D3 (ng/mL)]]&lt;20,"Deficiency","Normal")</f>
        <v>Normal</v>
      </c>
      <c r="AF381">
        <v>0.25</v>
      </c>
      <c r="AG381">
        <v>92</v>
      </c>
      <c r="AH381">
        <v>0</v>
      </c>
      <c r="AI381" t="str">
        <f>IF(Table1[[#This Row],[Weight gain(Y/N)]]=0,"NO","YES")</f>
        <v>NO</v>
      </c>
      <c r="AJ381">
        <v>0</v>
      </c>
      <c r="AK381" t="str">
        <f>IF(Table1[[#This Row],[hair growth(Y/N)]]=1,"YES","NO")</f>
        <v>NO</v>
      </c>
      <c r="AL381">
        <v>1</v>
      </c>
      <c r="AM381" t="str">
        <f>IF(Table1[[#This Row],[Skin darkening (Y/N)]]=1,"YES","NO")</f>
        <v>YES</v>
      </c>
      <c r="AN381">
        <v>0</v>
      </c>
      <c r="AO381" t="str">
        <f>IF(Table1[[#This Row],[Hair loss(Y/N)]]=1,"YES","NO")</f>
        <v>NO</v>
      </c>
      <c r="AP381">
        <v>1</v>
      </c>
      <c r="AQ381" t="str">
        <f>IF(Table1[[#This Row],[Pimples(Y/N)]]=1,"YES","NO")</f>
        <v>YES</v>
      </c>
      <c r="AR381">
        <v>1</v>
      </c>
      <c r="AS381" t="str">
        <f>IF(Table1[[#This Row],[Fast food (Y/N)]]=1,"YES","NO")</f>
        <v>YES</v>
      </c>
      <c r="AT381">
        <v>0</v>
      </c>
      <c r="AU381" t="str">
        <f>IF(Table1[[#This Row],[Reg.Exercise(Y/N)]]=1,"YES","NO")</f>
        <v>NO</v>
      </c>
      <c r="AV381">
        <v>110</v>
      </c>
      <c r="AW381">
        <v>80</v>
      </c>
      <c r="AX381">
        <v>6</v>
      </c>
      <c r="AY381">
        <v>7</v>
      </c>
      <c r="AZ381">
        <v>18</v>
      </c>
      <c r="BA381">
        <v>22</v>
      </c>
      <c r="BB381">
        <v>9</v>
      </c>
      <c r="BC381" t="str" cm="1">
        <f t="array" ref="BC381">_xlfn.IFS((F381/(G381*G381)*10000)&lt; 18.5,"Underweight",(F381/(G381*G381)*10000)&lt;24.9,"Normal",(F381/(G381*G381)*10000)&lt;29.9,"Overweight",(F381/(G381*G381)*10000)&gt;=30,"obesity")</f>
        <v>Normal</v>
      </c>
      <c r="BD381">
        <f>Table1[[#This Row],[Follicle No. (L)]]+Table1[[#This Row],[Follicle No. (R)]]</f>
        <v>13</v>
      </c>
      <c r="BE381">
        <f>Table1[[#This Row],[Avg. F size (L) (mm)]]+Table1[[#This Row],[Avg. F size (R) (mm)]]</f>
        <v>40</v>
      </c>
      <c r="BF381">
        <f>Table1[[#This Row],[BP _Diastolic (mmHg)]]+(Table1[[#This Row],[BP _Diastolic (mmHg)]]+Table1[[#This Row],[Follicle No. (L)]])/3</f>
        <v>108.66666666666667</v>
      </c>
      <c r="BG381" s="4" t="str" cm="1">
        <f t="array" ref="BG38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81" s="4">
        <f>SUM(Table1[[#This Row],[Pimples(Y/N)]],Table1[[#This Row],[hair growth(Y/N)]],Table1[[#This Row],[Skin darkening (Y/N)]],Table1[[#This Row],[Hair loss(Y/N)]])</f>
        <v>2</v>
      </c>
      <c r="BI381" s="4" t="str">
        <f>IF(AND(Table1[[#This Row],[Pregnant(Y/N)]]=0, Table1[[#This Row],[  I   beta-HCG(mIU/mL)]]&gt;5), "Investigation Required", "Clear")</f>
        <v>Clear</v>
      </c>
    </row>
    <row r="382" spans="1:61" ht="15.75" customHeight="1" x14ac:dyDescent="0.25">
      <c r="A382">
        <v>381</v>
      </c>
      <c r="B382">
        <v>381</v>
      </c>
      <c r="C382">
        <v>0</v>
      </c>
      <c r="D382" t="str">
        <f>IF(Table1[[#This Row],[PCOS (Y/N)]]=0,"NO","YES")</f>
        <v>NO</v>
      </c>
      <c r="E382">
        <v>37</v>
      </c>
      <c r="F382">
        <v>65</v>
      </c>
      <c r="G382">
        <v>161</v>
      </c>
      <c r="H382">
        <v>15</v>
      </c>
      <c r="I382">
        <v>72</v>
      </c>
      <c r="J382">
        <v>20</v>
      </c>
      <c r="K382">
        <v>10.3</v>
      </c>
      <c r="L382">
        <v>2</v>
      </c>
      <c r="M382">
        <v>5</v>
      </c>
      <c r="N382">
        <v>6</v>
      </c>
      <c r="O382">
        <v>0</v>
      </c>
      <c r="P382" t="str">
        <f>IF(Table1[[#This Row],[Pregnant(Y/N)]]=1,"YES","NO")</f>
        <v>NO</v>
      </c>
      <c r="Q382">
        <v>0</v>
      </c>
      <c r="R382">
        <v>1.99</v>
      </c>
      <c r="S382">
        <v>1.99</v>
      </c>
      <c r="T382">
        <v>6.46</v>
      </c>
      <c r="U382">
        <v>1.43</v>
      </c>
      <c r="V382">
        <f>Table1[[#This Row],[FSH(mIU/mL)]]/Table1[[#This Row],[LH(mIU/mL)]]</f>
        <v>4.5174825174825175</v>
      </c>
      <c r="W382" t="str">
        <f>IF(Table1[[#This Row],[FSH/LH]]&gt;=2,"Abnormal","Normal")</f>
        <v>Abnormal</v>
      </c>
      <c r="X382">
        <v>38</v>
      </c>
      <c r="Y382">
        <v>34</v>
      </c>
      <c r="Z382">
        <f>ROUND(Table1[[#This Row],[Waist(inch)]]/Table1[[#This Row],[Hip(inch)]],2)</f>
        <v>0.89</v>
      </c>
      <c r="AA382">
        <v>1.44</v>
      </c>
      <c r="AB382">
        <v>5.6</v>
      </c>
      <c r="AC382">
        <v>19.32</v>
      </c>
      <c r="AD382">
        <v>24.1</v>
      </c>
      <c r="AE382" t="str">
        <f>IF(Table1[[#This Row],[Vit D3 (ng/mL)]]&lt;20,"Deficiency","Normal")</f>
        <v>Normal</v>
      </c>
      <c r="AF382">
        <v>0.25</v>
      </c>
      <c r="AG382">
        <v>82</v>
      </c>
      <c r="AH382">
        <v>1</v>
      </c>
      <c r="AI382" t="str">
        <f>IF(Table1[[#This Row],[Weight gain(Y/N)]]=0,"NO","YES")</f>
        <v>YES</v>
      </c>
      <c r="AJ382">
        <v>0</v>
      </c>
      <c r="AK382" t="str">
        <f>IF(Table1[[#This Row],[hair growth(Y/N)]]=1,"YES","NO")</f>
        <v>NO</v>
      </c>
      <c r="AL382">
        <v>0</v>
      </c>
      <c r="AM382" t="str">
        <f>IF(Table1[[#This Row],[Skin darkening (Y/N)]]=1,"YES","NO")</f>
        <v>NO</v>
      </c>
      <c r="AN382">
        <v>0</v>
      </c>
      <c r="AO382" t="str">
        <f>IF(Table1[[#This Row],[Hair loss(Y/N)]]=1,"YES","NO")</f>
        <v>NO</v>
      </c>
      <c r="AP382">
        <v>1</v>
      </c>
      <c r="AQ382" t="str">
        <f>IF(Table1[[#This Row],[Pimples(Y/N)]]=1,"YES","NO")</f>
        <v>YES</v>
      </c>
      <c r="AR382">
        <v>1</v>
      </c>
      <c r="AS382" t="str">
        <f>IF(Table1[[#This Row],[Fast food (Y/N)]]=1,"YES","NO")</f>
        <v>YES</v>
      </c>
      <c r="AT382">
        <v>0</v>
      </c>
      <c r="AU382" t="str">
        <f>IF(Table1[[#This Row],[Reg.Exercise(Y/N)]]=1,"YES","NO")</f>
        <v>NO</v>
      </c>
      <c r="AV382">
        <v>120</v>
      </c>
      <c r="AW382">
        <v>80</v>
      </c>
      <c r="AX382">
        <v>6</v>
      </c>
      <c r="AY382">
        <v>6</v>
      </c>
      <c r="AZ382">
        <v>12</v>
      </c>
      <c r="BA382">
        <v>15</v>
      </c>
      <c r="BB382">
        <v>10</v>
      </c>
      <c r="BC382" t="str" cm="1">
        <f t="array" ref="BC382">_xlfn.IFS((F382/(G382*G382)*10000)&lt; 18.5,"Underweight",(F382/(G382*G382)*10000)&lt;24.9,"Normal",(F382/(G382*G382)*10000)&lt;29.9,"Overweight",(F382/(G382*G382)*10000)&gt;=30,"obesity")</f>
        <v>Overweight</v>
      </c>
      <c r="BD382">
        <f>Table1[[#This Row],[Follicle No. (L)]]+Table1[[#This Row],[Follicle No. (R)]]</f>
        <v>12</v>
      </c>
      <c r="BE382">
        <f>Table1[[#This Row],[Avg. F size (L) (mm)]]+Table1[[#This Row],[Avg. F size (R) (mm)]]</f>
        <v>27</v>
      </c>
      <c r="BF382">
        <f>Table1[[#This Row],[BP _Diastolic (mmHg)]]+(Table1[[#This Row],[BP _Diastolic (mmHg)]]+Table1[[#This Row],[Follicle No. (L)]])/3</f>
        <v>108.66666666666667</v>
      </c>
      <c r="BG382" s="4" t="str" cm="1">
        <f t="array" ref="BG38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82" s="4">
        <f>SUM(Table1[[#This Row],[Pimples(Y/N)]],Table1[[#This Row],[hair growth(Y/N)]],Table1[[#This Row],[Skin darkening (Y/N)]],Table1[[#This Row],[Hair loss(Y/N)]])</f>
        <v>1</v>
      </c>
      <c r="BI382" s="4" t="str">
        <f>IF(AND(Table1[[#This Row],[Pregnant(Y/N)]]=0, Table1[[#This Row],[  I   beta-HCG(mIU/mL)]]&gt;5), "Investigation Required", "Clear")</f>
        <v>Clear</v>
      </c>
    </row>
    <row r="383" spans="1:61" ht="15.75" customHeight="1" x14ac:dyDescent="0.25">
      <c r="A383">
        <v>382</v>
      </c>
      <c r="B383">
        <v>382</v>
      </c>
      <c r="C383">
        <v>0</v>
      </c>
      <c r="D383" t="str">
        <f>IF(Table1[[#This Row],[PCOS (Y/N)]]=0,"NO","YES")</f>
        <v>NO</v>
      </c>
      <c r="E383">
        <v>35</v>
      </c>
      <c r="F383">
        <v>60</v>
      </c>
      <c r="G383">
        <v>146</v>
      </c>
      <c r="H383">
        <v>15</v>
      </c>
      <c r="I383">
        <v>82</v>
      </c>
      <c r="J383">
        <v>20</v>
      </c>
      <c r="K383">
        <v>10</v>
      </c>
      <c r="L383">
        <v>4</v>
      </c>
      <c r="M383">
        <v>3</v>
      </c>
      <c r="N383">
        <v>10</v>
      </c>
      <c r="O383">
        <v>0</v>
      </c>
      <c r="P383" t="str">
        <f>IF(Table1[[#This Row],[Pregnant(Y/N)]]=1,"YES","NO")</f>
        <v>NO</v>
      </c>
      <c r="Q383">
        <v>0</v>
      </c>
      <c r="R383">
        <v>1.99</v>
      </c>
      <c r="S383">
        <v>1.99</v>
      </c>
      <c r="T383">
        <v>2.75</v>
      </c>
      <c r="U383">
        <v>2.78</v>
      </c>
      <c r="V383">
        <f>Table1[[#This Row],[FSH(mIU/mL)]]/Table1[[#This Row],[LH(mIU/mL)]]</f>
        <v>0.98920863309352525</v>
      </c>
      <c r="W383" t="str">
        <f>IF(Table1[[#This Row],[FSH/LH]]&gt;=2,"Abnormal","Normal")</f>
        <v>Normal</v>
      </c>
      <c r="X383">
        <v>37</v>
      </c>
      <c r="Y383">
        <v>35</v>
      </c>
      <c r="Z383">
        <f>ROUND(Table1[[#This Row],[Waist(inch)]]/Table1[[#This Row],[Hip(inch)]],2)</f>
        <v>0.95</v>
      </c>
      <c r="AA383">
        <v>1.57</v>
      </c>
      <c r="AB383">
        <v>7.9</v>
      </c>
      <c r="AC383">
        <v>15.38</v>
      </c>
      <c r="AD383">
        <v>21.7</v>
      </c>
      <c r="AE383" t="str">
        <f>IF(Table1[[#This Row],[Vit D3 (ng/mL)]]&lt;20,"Deficiency","Normal")</f>
        <v>Normal</v>
      </c>
      <c r="AF383">
        <v>0.25</v>
      </c>
      <c r="AG383">
        <v>110</v>
      </c>
      <c r="AH383">
        <v>1</v>
      </c>
      <c r="AI383" t="str">
        <f>IF(Table1[[#This Row],[Weight gain(Y/N)]]=0,"NO","YES")</f>
        <v>YES</v>
      </c>
      <c r="AJ383">
        <v>0</v>
      </c>
      <c r="AK383" t="str">
        <f>IF(Table1[[#This Row],[hair growth(Y/N)]]=1,"YES","NO")</f>
        <v>NO</v>
      </c>
      <c r="AL383">
        <v>0</v>
      </c>
      <c r="AM383" t="str">
        <f>IF(Table1[[#This Row],[Skin darkening (Y/N)]]=1,"YES","NO")</f>
        <v>NO</v>
      </c>
      <c r="AN383">
        <v>1</v>
      </c>
      <c r="AO383" t="str">
        <f>IF(Table1[[#This Row],[Hair loss(Y/N)]]=1,"YES","NO")</f>
        <v>YES</v>
      </c>
      <c r="AP383">
        <v>0</v>
      </c>
      <c r="AQ383" t="str">
        <f>IF(Table1[[#This Row],[Pimples(Y/N)]]=1,"YES","NO")</f>
        <v>NO</v>
      </c>
      <c r="AR383">
        <v>1</v>
      </c>
      <c r="AS383" t="str">
        <f>IF(Table1[[#This Row],[Fast food (Y/N)]]=1,"YES","NO")</f>
        <v>YES</v>
      </c>
      <c r="AT383">
        <v>0</v>
      </c>
      <c r="AU383" t="str">
        <f>IF(Table1[[#This Row],[Reg.Exercise(Y/N)]]=1,"YES","NO")</f>
        <v>NO</v>
      </c>
      <c r="AV383">
        <v>120</v>
      </c>
      <c r="AW383">
        <v>80</v>
      </c>
      <c r="AX383">
        <v>5</v>
      </c>
      <c r="AY383">
        <v>5</v>
      </c>
      <c r="AZ383">
        <v>13</v>
      </c>
      <c r="BA383">
        <v>15</v>
      </c>
      <c r="BB383">
        <v>6.5</v>
      </c>
      <c r="BC383" t="str" cm="1">
        <f t="array" ref="BC383">_xlfn.IFS((F383/(G383*G383)*10000)&lt; 18.5,"Underweight",(F383/(G383*G383)*10000)&lt;24.9,"Normal",(F383/(G383*G383)*10000)&lt;29.9,"Overweight",(F383/(G383*G383)*10000)&gt;=30,"obesity")</f>
        <v>Overweight</v>
      </c>
      <c r="BD383">
        <f>Table1[[#This Row],[Follicle No. (L)]]+Table1[[#This Row],[Follicle No. (R)]]</f>
        <v>10</v>
      </c>
      <c r="BE383">
        <f>Table1[[#This Row],[Avg. F size (L) (mm)]]+Table1[[#This Row],[Avg. F size (R) (mm)]]</f>
        <v>28</v>
      </c>
      <c r="BF383">
        <f>Table1[[#This Row],[BP _Diastolic (mmHg)]]+(Table1[[#This Row],[BP _Diastolic (mmHg)]]+Table1[[#This Row],[Follicle No. (L)]])/3</f>
        <v>108.33333333333333</v>
      </c>
      <c r="BG383" s="4" t="str" cm="1">
        <f t="array" ref="BG38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83" s="4">
        <f>SUM(Table1[[#This Row],[Pimples(Y/N)]],Table1[[#This Row],[hair growth(Y/N)]],Table1[[#This Row],[Skin darkening (Y/N)]],Table1[[#This Row],[Hair loss(Y/N)]])</f>
        <v>1</v>
      </c>
      <c r="BI383" s="4" t="str">
        <f>IF(AND(Table1[[#This Row],[Pregnant(Y/N)]]=0, Table1[[#This Row],[  I   beta-HCG(mIU/mL)]]&gt;5), "Investigation Required", "Clear")</f>
        <v>Clear</v>
      </c>
    </row>
    <row r="384" spans="1:61" ht="15.75" customHeight="1" x14ac:dyDescent="0.25">
      <c r="A384">
        <v>383</v>
      </c>
      <c r="B384">
        <v>383</v>
      </c>
      <c r="C384">
        <v>0</v>
      </c>
      <c r="D384" t="str">
        <f>IF(Table1[[#This Row],[PCOS (Y/N)]]=0,"NO","YES")</f>
        <v>NO</v>
      </c>
      <c r="E384">
        <v>29</v>
      </c>
      <c r="F384">
        <v>46</v>
      </c>
      <c r="G384">
        <v>150</v>
      </c>
      <c r="H384">
        <v>11</v>
      </c>
      <c r="I384">
        <v>72</v>
      </c>
      <c r="J384">
        <v>20</v>
      </c>
      <c r="K384">
        <v>10.8</v>
      </c>
      <c r="L384">
        <v>2</v>
      </c>
      <c r="M384">
        <v>6</v>
      </c>
      <c r="N384">
        <v>6</v>
      </c>
      <c r="O384">
        <v>1</v>
      </c>
      <c r="P384" t="str">
        <f>IF(Table1[[#This Row],[Pregnant(Y/N)]]=1,"YES","NO")</f>
        <v>YES</v>
      </c>
      <c r="Q384">
        <v>1</v>
      </c>
      <c r="R384">
        <v>10.84</v>
      </c>
      <c r="S384">
        <v>10.84</v>
      </c>
      <c r="T384">
        <v>5.08</v>
      </c>
      <c r="U384">
        <v>1.06</v>
      </c>
      <c r="V384">
        <f>Table1[[#This Row],[FSH(mIU/mL)]]/Table1[[#This Row],[LH(mIU/mL)]]</f>
        <v>4.7924528301886795</v>
      </c>
      <c r="W384" t="str">
        <f>IF(Table1[[#This Row],[FSH/LH]]&gt;=2,"Abnormal","Normal")</f>
        <v>Abnormal</v>
      </c>
      <c r="X384">
        <v>34</v>
      </c>
      <c r="Y384">
        <v>33</v>
      </c>
      <c r="Z384">
        <f>ROUND(Table1[[#This Row],[Waist(inch)]]/Table1[[#This Row],[Hip(inch)]],2)</f>
        <v>0.97</v>
      </c>
      <c r="AA384">
        <v>2.66</v>
      </c>
      <c r="AB384">
        <v>18.899999999999999</v>
      </c>
      <c r="AC384">
        <v>52.31</v>
      </c>
      <c r="AD384">
        <v>40.299999999999997</v>
      </c>
      <c r="AE384" t="str">
        <f>IF(Table1[[#This Row],[Vit D3 (ng/mL)]]&lt;20,"Deficiency","Normal")</f>
        <v>Normal</v>
      </c>
      <c r="AF384">
        <v>0.28999999999999998</v>
      </c>
      <c r="AG384">
        <v>110</v>
      </c>
      <c r="AH384">
        <v>0</v>
      </c>
      <c r="AI384" t="str">
        <f>IF(Table1[[#This Row],[Weight gain(Y/N)]]=0,"NO","YES")</f>
        <v>NO</v>
      </c>
      <c r="AJ384">
        <v>0</v>
      </c>
      <c r="AK384" t="str">
        <f>IF(Table1[[#This Row],[hair growth(Y/N)]]=1,"YES","NO")</f>
        <v>NO</v>
      </c>
      <c r="AL384">
        <v>0</v>
      </c>
      <c r="AM384" t="str">
        <f>IF(Table1[[#This Row],[Skin darkening (Y/N)]]=1,"YES","NO")</f>
        <v>NO</v>
      </c>
      <c r="AN384">
        <v>1</v>
      </c>
      <c r="AO384" t="str">
        <f>IF(Table1[[#This Row],[Hair loss(Y/N)]]=1,"YES","NO")</f>
        <v>YES</v>
      </c>
      <c r="AP384">
        <v>1</v>
      </c>
      <c r="AQ384" t="str">
        <f>IF(Table1[[#This Row],[Pimples(Y/N)]]=1,"YES","NO")</f>
        <v>YES</v>
      </c>
      <c r="AR384">
        <v>1</v>
      </c>
      <c r="AS384" t="str">
        <f>IF(Table1[[#This Row],[Fast food (Y/N)]]=1,"YES","NO")</f>
        <v>YES</v>
      </c>
      <c r="AT384">
        <v>0</v>
      </c>
      <c r="AU384" t="str">
        <f>IF(Table1[[#This Row],[Reg.Exercise(Y/N)]]=1,"YES","NO")</f>
        <v>NO</v>
      </c>
      <c r="AV384">
        <v>120</v>
      </c>
      <c r="AW384">
        <v>80</v>
      </c>
      <c r="AX384">
        <v>8</v>
      </c>
      <c r="AY384">
        <v>5</v>
      </c>
      <c r="AZ384">
        <v>16</v>
      </c>
      <c r="BA384">
        <v>12</v>
      </c>
      <c r="BB384">
        <v>7</v>
      </c>
      <c r="BC384" t="str" cm="1">
        <f t="array" ref="BC384">_xlfn.IFS((F384/(G384*G384)*10000)&lt; 18.5,"Underweight",(F384/(G384*G384)*10000)&lt;24.9,"Normal",(F384/(G384*G384)*10000)&lt;29.9,"Overweight",(F384/(G384*G384)*10000)&gt;=30,"obesity")</f>
        <v>Normal</v>
      </c>
      <c r="BD384">
        <f>Table1[[#This Row],[Follicle No. (L)]]+Table1[[#This Row],[Follicle No. (R)]]</f>
        <v>13</v>
      </c>
      <c r="BE384">
        <f>Table1[[#This Row],[Avg. F size (L) (mm)]]+Table1[[#This Row],[Avg. F size (R) (mm)]]</f>
        <v>28</v>
      </c>
      <c r="BF384">
        <f>Table1[[#This Row],[BP _Diastolic (mmHg)]]+(Table1[[#This Row],[BP _Diastolic (mmHg)]]+Table1[[#This Row],[Follicle No. (L)]])/3</f>
        <v>109.33333333333333</v>
      </c>
      <c r="BG384" s="4" t="str" cm="1">
        <f t="array" ref="BG38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84" s="4">
        <f>SUM(Table1[[#This Row],[Pimples(Y/N)]],Table1[[#This Row],[hair growth(Y/N)]],Table1[[#This Row],[Skin darkening (Y/N)]],Table1[[#This Row],[Hair loss(Y/N)]])</f>
        <v>2</v>
      </c>
      <c r="BI384" s="4" t="str">
        <f>IF(AND(Table1[[#This Row],[Pregnant(Y/N)]]=0, Table1[[#This Row],[  I   beta-HCG(mIU/mL)]]&gt;5), "Investigation Required", "Clear")</f>
        <v>Clear</v>
      </c>
    </row>
    <row r="385" spans="1:61" ht="15.75" customHeight="1" x14ac:dyDescent="0.25">
      <c r="A385">
        <v>384</v>
      </c>
      <c r="B385">
        <v>384</v>
      </c>
      <c r="C385">
        <v>0</v>
      </c>
      <c r="D385" t="str">
        <f>IF(Table1[[#This Row],[PCOS (Y/N)]]=0,"NO","YES")</f>
        <v>NO</v>
      </c>
      <c r="E385">
        <v>32</v>
      </c>
      <c r="F385">
        <v>60.5</v>
      </c>
      <c r="G385">
        <v>158</v>
      </c>
      <c r="H385">
        <v>13</v>
      </c>
      <c r="I385">
        <v>72</v>
      </c>
      <c r="J385">
        <v>18</v>
      </c>
      <c r="K385">
        <v>11</v>
      </c>
      <c r="L385">
        <v>2</v>
      </c>
      <c r="M385">
        <v>6</v>
      </c>
      <c r="N385">
        <v>9</v>
      </c>
      <c r="O385">
        <v>0</v>
      </c>
      <c r="P385" t="str">
        <f>IF(Table1[[#This Row],[Pregnant(Y/N)]]=1,"YES","NO")</f>
        <v>NO</v>
      </c>
      <c r="Q385">
        <v>2</v>
      </c>
      <c r="R385">
        <v>1.99</v>
      </c>
      <c r="S385">
        <v>1.99</v>
      </c>
      <c r="T385">
        <v>4.6100000000000003</v>
      </c>
      <c r="U385">
        <v>1.52</v>
      </c>
      <c r="V385">
        <f>Table1[[#This Row],[FSH(mIU/mL)]]/Table1[[#This Row],[LH(mIU/mL)]]</f>
        <v>3.0328947368421053</v>
      </c>
      <c r="W385" t="str">
        <f>IF(Table1[[#This Row],[FSH/LH]]&gt;=2,"Abnormal","Normal")</f>
        <v>Abnormal</v>
      </c>
      <c r="X385">
        <v>38</v>
      </c>
      <c r="Y385">
        <v>34</v>
      </c>
      <c r="Z385">
        <f>ROUND(Table1[[#This Row],[Waist(inch)]]/Table1[[#This Row],[Hip(inch)]],2)</f>
        <v>0.89</v>
      </c>
      <c r="AA385">
        <v>1.4</v>
      </c>
      <c r="AB385">
        <v>11.4</v>
      </c>
      <c r="AC385">
        <v>25.54</v>
      </c>
      <c r="AD385">
        <v>20.100000000000001</v>
      </c>
      <c r="AE385" t="str">
        <f>IF(Table1[[#This Row],[Vit D3 (ng/mL)]]&lt;20,"Deficiency","Normal")</f>
        <v>Normal</v>
      </c>
      <c r="AF385">
        <v>0.25</v>
      </c>
      <c r="AG385">
        <v>100</v>
      </c>
      <c r="AH385">
        <v>1</v>
      </c>
      <c r="AI385" t="str">
        <f>IF(Table1[[#This Row],[Weight gain(Y/N)]]=0,"NO","YES")</f>
        <v>YES</v>
      </c>
      <c r="AJ385">
        <v>0</v>
      </c>
      <c r="AK385" t="str">
        <f>IF(Table1[[#This Row],[hair growth(Y/N)]]=1,"YES","NO")</f>
        <v>NO</v>
      </c>
      <c r="AL385">
        <v>0</v>
      </c>
      <c r="AM385" t="str">
        <f>IF(Table1[[#This Row],[Skin darkening (Y/N)]]=1,"YES","NO")</f>
        <v>NO</v>
      </c>
      <c r="AN385">
        <v>0</v>
      </c>
      <c r="AO385" t="str">
        <f>IF(Table1[[#This Row],[Hair loss(Y/N)]]=1,"YES","NO")</f>
        <v>NO</v>
      </c>
      <c r="AP385">
        <v>1</v>
      </c>
      <c r="AQ385" t="str">
        <f>IF(Table1[[#This Row],[Pimples(Y/N)]]=1,"YES","NO")</f>
        <v>YES</v>
      </c>
      <c r="AR385">
        <v>0</v>
      </c>
      <c r="AS385" t="str">
        <f>IF(Table1[[#This Row],[Fast food (Y/N)]]=1,"YES","NO")</f>
        <v>NO</v>
      </c>
      <c r="AT385">
        <v>1</v>
      </c>
      <c r="AU385" t="str">
        <f>IF(Table1[[#This Row],[Reg.Exercise(Y/N)]]=1,"YES","NO")</f>
        <v>YES</v>
      </c>
      <c r="AV385">
        <v>120</v>
      </c>
      <c r="AW385">
        <v>80</v>
      </c>
      <c r="AX385">
        <v>2</v>
      </c>
      <c r="AY385">
        <v>3</v>
      </c>
      <c r="AZ385">
        <v>18</v>
      </c>
      <c r="BA385">
        <v>20</v>
      </c>
      <c r="BB385">
        <v>8</v>
      </c>
      <c r="BC385" t="str" cm="1">
        <f t="array" ref="BC385">_xlfn.IFS((F385/(G385*G385)*10000)&lt; 18.5,"Underweight",(F385/(G385*G385)*10000)&lt;24.9,"Normal",(F385/(G385*G385)*10000)&lt;29.9,"Overweight",(F385/(G385*G385)*10000)&gt;=30,"obesity")</f>
        <v>Normal</v>
      </c>
      <c r="BD385">
        <f>Table1[[#This Row],[Follicle No. (L)]]+Table1[[#This Row],[Follicle No. (R)]]</f>
        <v>5</v>
      </c>
      <c r="BE385">
        <f>Table1[[#This Row],[Avg. F size (L) (mm)]]+Table1[[#This Row],[Avg. F size (R) (mm)]]</f>
        <v>38</v>
      </c>
      <c r="BF385">
        <f>Table1[[#This Row],[BP _Diastolic (mmHg)]]+(Table1[[#This Row],[BP _Diastolic (mmHg)]]+Table1[[#This Row],[Follicle No. (L)]])/3</f>
        <v>107.33333333333333</v>
      </c>
      <c r="BG385" s="4" t="str" cm="1">
        <f t="array" ref="BG38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85" s="4">
        <f>SUM(Table1[[#This Row],[Pimples(Y/N)]],Table1[[#This Row],[hair growth(Y/N)]],Table1[[#This Row],[Skin darkening (Y/N)]],Table1[[#This Row],[Hair loss(Y/N)]])</f>
        <v>1</v>
      </c>
      <c r="BI385" s="4" t="str">
        <f>IF(AND(Table1[[#This Row],[Pregnant(Y/N)]]=0, Table1[[#This Row],[  I   beta-HCG(mIU/mL)]]&gt;5), "Investigation Required", "Clear")</f>
        <v>Clear</v>
      </c>
    </row>
    <row r="386" spans="1:61" ht="15.75" customHeight="1" x14ac:dyDescent="0.25">
      <c r="A386">
        <v>385</v>
      </c>
      <c r="B386">
        <v>385</v>
      </c>
      <c r="C386">
        <v>0</v>
      </c>
      <c r="D386" t="str">
        <f>IF(Table1[[#This Row],[PCOS (Y/N)]]=0,"NO","YES")</f>
        <v>NO</v>
      </c>
      <c r="E386">
        <v>37</v>
      </c>
      <c r="F386">
        <v>50</v>
      </c>
      <c r="G386">
        <v>148</v>
      </c>
      <c r="H386">
        <v>15</v>
      </c>
      <c r="I386">
        <v>72</v>
      </c>
      <c r="J386">
        <v>18</v>
      </c>
      <c r="K386">
        <v>10.199999999999999</v>
      </c>
      <c r="L386">
        <v>2</v>
      </c>
      <c r="M386">
        <v>7</v>
      </c>
      <c r="N386">
        <v>5</v>
      </c>
      <c r="O386">
        <v>1</v>
      </c>
      <c r="P386" t="str">
        <f>IF(Table1[[#This Row],[Pregnant(Y/N)]]=1,"YES","NO")</f>
        <v>YES</v>
      </c>
      <c r="Q386">
        <v>0</v>
      </c>
      <c r="R386">
        <v>184.42</v>
      </c>
      <c r="S386">
        <v>184.42</v>
      </c>
      <c r="T386">
        <v>4.41</v>
      </c>
      <c r="U386">
        <v>1.43</v>
      </c>
      <c r="V386">
        <f>Table1[[#This Row],[FSH(mIU/mL)]]/Table1[[#This Row],[LH(mIU/mL)]]</f>
        <v>3.0839160839160842</v>
      </c>
      <c r="W386" t="str">
        <f>IF(Table1[[#This Row],[FSH/LH]]&gt;=2,"Abnormal","Normal")</f>
        <v>Abnormal</v>
      </c>
      <c r="X386">
        <v>37</v>
      </c>
      <c r="Y386">
        <v>33</v>
      </c>
      <c r="Z386">
        <f>ROUND(Table1[[#This Row],[Waist(inch)]]/Table1[[#This Row],[Hip(inch)]],2)</f>
        <v>0.89</v>
      </c>
      <c r="AA386">
        <v>2.73</v>
      </c>
      <c r="AB386">
        <v>3.8</v>
      </c>
      <c r="AC386">
        <v>18.93</v>
      </c>
      <c r="AD386">
        <v>19.5</v>
      </c>
      <c r="AE386" t="str">
        <f>IF(Table1[[#This Row],[Vit D3 (ng/mL)]]&lt;20,"Deficiency","Normal")</f>
        <v>Deficiency</v>
      </c>
      <c r="AF386">
        <v>0.44</v>
      </c>
      <c r="AG386">
        <v>100</v>
      </c>
      <c r="AH386">
        <v>0</v>
      </c>
      <c r="AI386" t="str">
        <f>IF(Table1[[#This Row],[Weight gain(Y/N)]]=0,"NO","YES")</f>
        <v>NO</v>
      </c>
      <c r="AJ386">
        <v>0</v>
      </c>
      <c r="AK386" t="str">
        <f>IF(Table1[[#This Row],[hair growth(Y/N)]]=1,"YES","NO")</f>
        <v>NO</v>
      </c>
      <c r="AL386">
        <v>0</v>
      </c>
      <c r="AM386" t="str">
        <f>IF(Table1[[#This Row],[Skin darkening (Y/N)]]=1,"YES","NO")</f>
        <v>NO</v>
      </c>
      <c r="AN386">
        <v>1</v>
      </c>
      <c r="AO386" t="str">
        <f>IF(Table1[[#This Row],[Hair loss(Y/N)]]=1,"YES","NO")</f>
        <v>YES</v>
      </c>
      <c r="AP386">
        <v>0</v>
      </c>
      <c r="AQ386" t="str">
        <f>IF(Table1[[#This Row],[Pimples(Y/N)]]=1,"YES","NO")</f>
        <v>NO</v>
      </c>
      <c r="AR386">
        <v>1</v>
      </c>
      <c r="AS386" t="str">
        <f>IF(Table1[[#This Row],[Fast food (Y/N)]]=1,"YES","NO")</f>
        <v>YES</v>
      </c>
      <c r="AT386">
        <v>0</v>
      </c>
      <c r="AU386" t="str">
        <f>IF(Table1[[#This Row],[Reg.Exercise(Y/N)]]=1,"YES","NO")</f>
        <v>NO</v>
      </c>
      <c r="AV386">
        <v>110</v>
      </c>
      <c r="AW386">
        <v>80</v>
      </c>
      <c r="AX386">
        <v>5</v>
      </c>
      <c r="AY386">
        <v>3</v>
      </c>
      <c r="AZ386">
        <v>15</v>
      </c>
      <c r="BA386">
        <v>17</v>
      </c>
      <c r="BB386">
        <v>7.5</v>
      </c>
      <c r="BC386" t="str" cm="1">
        <f t="array" ref="BC386">_xlfn.IFS((F386/(G386*G386)*10000)&lt; 18.5,"Underweight",(F386/(G386*G386)*10000)&lt;24.9,"Normal",(F386/(G386*G386)*10000)&lt;29.9,"Overweight",(F386/(G386*G386)*10000)&gt;=30,"obesity")</f>
        <v>Normal</v>
      </c>
      <c r="BD386">
        <f>Table1[[#This Row],[Follicle No. (L)]]+Table1[[#This Row],[Follicle No. (R)]]</f>
        <v>8</v>
      </c>
      <c r="BE386">
        <f>Table1[[#This Row],[Avg. F size (L) (mm)]]+Table1[[#This Row],[Avg. F size (R) (mm)]]</f>
        <v>32</v>
      </c>
      <c r="BF386">
        <f>Table1[[#This Row],[BP _Diastolic (mmHg)]]+(Table1[[#This Row],[BP _Diastolic (mmHg)]]+Table1[[#This Row],[Follicle No. (L)]])/3</f>
        <v>108.33333333333333</v>
      </c>
      <c r="BG386" s="4" t="str" cm="1">
        <f t="array" ref="BG38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86" s="4">
        <f>SUM(Table1[[#This Row],[Pimples(Y/N)]],Table1[[#This Row],[hair growth(Y/N)]],Table1[[#This Row],[Skin darkening (Y/N)]],Table1[[#This Row],[Hair loss(Y/N)]])</f>
        <v>1</v>
      </c>
      <c r="BI386" s="4" t="str">
        <f>IF(AND(Table1[[#This Row],[Pregnant(Y/N)]]=0, Table1[[#This Row],[  I   beta-HCG(mIU/mL)]]&gt;5), "Investigation Required", "Clear")</f>
        <v>Clear</v>
      </c>
    </row>
    <row r="387" spans="1:61" ht="15.75" customHeight="1" x14ac:dyDescent="0.25">
      <c r="A387">
        <v>386</v>
      </c>
      <c r="B387">
        <v>386</v>
      </c>
      <c r="C387">
        <v>0</v>
      </c>
      <c r="D387" t="str">
        <f>IF(Table1[[#This Row],[PCOS (Y/N)]]=0,"NO","YES")</f>
        <v>NO</v>
      </c>
      <c r="E387">
        <v>41</v>
      </c>
      <c r="F387">
        <v>76.900000000000006</v>
      </c>
      <c r="G387">
        <v>165</v>
      </c>
      <c r="H387">
        <v>15</v>
      </c>
      <c r="I387">
        <v>72</v>
      </c>
      <c r="J387">
        <v>18</v>
      </c>
      <c r="K387">
        <v>11</v>
      </c>
      <c r="L387">
        <v>4</v>
      </c>
      <c r="M387">
        <v>3</v>
      </c>
      <c r="N387">
        <v>14</v>
      </c>
      <c r="O387">
        <v>0</v>
      </c>
      <c r="P387" t="str">
        <f>IF(Table1[[#This Row],[Pregnant(Y/N)]]=1,"YES","NO")</f>
        <v>NO</v>
      </c>
      <c r="Q387">
        <v>0</v>
      </c>
      <c r="R387">
        <v>4.2</v>
      </c>
      <c r="S387">
        <v>4.2</v>
      </c>
      <c r="T387">
        <v>6.52</v>
      </c>
      <c r="U387">
        <v>6.65</v>
      </c>
      <c r="V387">
        <f>Table1[[#This Row],[FSH(mIU/mL)]]/Table1[[#This Row],[LH(mIU/mL)]]</f>
        <v>0.9804511278195488</v>
      </c>
      <c r="W387" t="str">
        <f>IF(Table1[[#This Row],[FSH/LH]]&gt;=2,"Abnormal","Normal")</f>
        <v>Normal</v>
      </c>
      <c r="X387">
        <v>42</v>
      </c>
      <c r="Y387">
        <v>38</v>
      </c>
      <c r="Z387">
        <f>ROUND(Table1[[#This Row],[Waist(inch)]]/Table1[[#This Row],[Hip(inch)]],2)</f>
        <v>0.9</v>
      </c>
      <c r="AA387">
        <v>0.57999999999999996</v>
      </c>
      <c r="AB387">
        <v>4.5</v>
      </c>
      <c r="AC387">
        <v>19.809999999999999</v>
      </c>
      <c r="AD387">
        <v>18.600000000000001</v>
      </c>
      <c r="AE387" t="str">
        <f>IF(Table1[[#This Row],[Vit D3 (ng/mL)]]&lt;20,"Deficiency","Normal")</f>
        <v>Deficiency</v>
      </c>
      <c r="AF387">
        <v>0.48</v>
      </c>
      <c r="AG387">
        <v>100</v>
      </c>
      <c r="AH387">
        <v>1</v>
      </c>
      <c r="AI387" t="str">
        <f>IF(Table1[[#This Row],[Weight gain(Y/N)]]=0,"NO","YES")</f>
        <v>YES</v>
      </c>
      <c r="AJ387">
        <v>0</v>
      </c>
      <c r="AK387" t="str">
        <f>IF(Table1[[#This Row],[hair growth(Y/N)]]=1,"YES","NO")</f>
        <v>NO</v>
      </c>
      <c r="AL387">
        <v>1</v>
      </c>
      <c r="AM387" t="str">
        <f>IF(Table1[[#This Row],[Skin darkening (Y/N)]]=1,"YES","NO")</f>
        <v>YES</v>
      </c>
      <c r="AN387">
        <v>1</v>
      </c>
      <c r="AO387" t="str">
        <f>IF(Table1[[#This Row],[Hair loss(Y/N)]]=1,"YES","NO")</f>
        <v>YES</v>
      </c>
      <c r="AP387">
        <v>0</v>
      </c>
      <c r="AQ387" t="str">
        <f>IF(Table1[[#This Row],[Pimples(Y/N)]]=1,"YES","NO")</f>
        <v>NO</v>
      </c>
      <c r="AR387">
        <v>1</v>
      </c>
      <c r="AS387" t="str">
        <f>IF(Table1[[#This Row],[Fast food (Y/N)]]=1,"YES","NO")</f>
        <v>YES</v>
      </c>
      <c r="AT387">
        <v>0</v>
      </c>
      <c r="AU387" t="str">
        <f>IF(Table1[[#This Row],[Reg.Exercise(Y/N)]]=1,"YES","NO")</f>
        <v>NO</v>
      </c>
      <c r="AV387">
        <v>130</v>
      </c>
      <c r="AW387">
        <v>80</v>
      </c>
      <c r="AX387">
        <v>4</v>
      </c>
      <c r="AY387">
        <v>2</v>
      </c>
      <c r="AZ387">
        <v>14</v>
      </c>
      <c r="BA387">
        <v>11</v>
      </c>
      <c r="BB387">
        <v>7</v>
      </c>
      <c r="BC387" t="str" cm="1">
        <f t="array" ref="BC387">_xlfn.IFS((F387/(G387*G387)*10000)&lt; 18.5,"Underweight",(F387/(G387*G387)*10000)&lt;24.9,"Normal",(F387/(G387*G387)*10000)&lt;29.9,"Overweight",(F387/(G387*G387)*10000)&gt;=30,"obesity")</f>
        <v>Overweight</v>
      </c>
      <c r="BD387">
        <f>Table1[[#This Row],[Follicle No. (L)]]+Table1[[#This Row],[Follicle No. (R)]]</f>
        <v>6</v>
      </c>
      <c r="BE387">
        <f>Table1[[#This Row],[Avg. F size (L) (mm)]]+Table1[[#This Row],[Avg. F size (R) (mm)]]</f>
        <v>25</v>
      </c>
      <c r="BF387">
        <f>Table1[[#This Row],[BP _Diastolic (mmHg)]]+(Table1[[#This Row],[BP _Diastolic (mmHg)]]+Table1[[#This Row],[Follicle No. (L)]])/3</f>
        <v>108</v>
      </c>
      <c r="BG387" s="4" t="str" cm="1">
        <f t="array" ref="BG38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87" s="4">
        <f>SUM(Table1[[#This Row],[Pimples(Y/N)]],Table1[[#This Row],[hair growth(Y/N)]],Table1[[#This Row],[Skin darkening (Y/N)]],Table1[[#This Row],[Hair loss(Y/N)]])</f>
        <v>2</v>
      </c>
      <c r="BI387" s="4" t="str">
        <f>IF(AND(Table1[[#This Row],[Pregnant(Y/N)]]=0, Table1[[#This Row],[  I   beta-HCG(mIU/mL)]]&gt;5), "Investigation Required", "Clear")</f>
        <v>Clear</v>
      </c>
    </row>
    <row r="388" spans="1:61" ht="15.75" customHeight="1" x14ac:dyDescent="0.25">
      <c r="A388">
        <v>387</v>
      </c>
      <c r="B388">
        <v>387</v>
      </c>
      <c r="C388">
        <v>0</v>
      </c>
      <c r="D388" t="str">
        <f>IF(Table1[[#This Row],[PCOS (Y/N)]]=0,"NO","YES")</f>
        <v>NO</v>
      </c>
      <c r="E388">
        <v>40</v>
      </c>
      <c r="F388">
        <v>63</v>
      </c>
      <c r="G388">
        <v>171</v>
      </c>
      <c r="H388">
        <v>15</v>
      </c>
      <c r="I388">
        <v>72</v>
      </c>
      <c r="J388">
        <v>18</v>
      </c>
      <c r="K388">
        <v>11</v>
      </c>
      <c r="L388">
        <v>2</v>
      </c>
      <c r="M388">
        <v>6</v>
      </c>
      <c r="N388">
        <v>17</v>
      </c>
      <c r="O388">
        <v>0</v>
      </c>
      <c r="P388" t="str">
        <f>IF(Table1[[#This Row],[Pregnant(Y/N)]]=1,"YES","NO")</f>
        <v>NO</v>
      </c>
      <c r="Q388">
        <v>0</v>
      </c>
      <c r="R388">
        <v>1.99</v>
      </c>
      <c r="S388">
        <v>1.99</v>
      </c>
      <c r="T388">
        <v>1.94</v>
      </c>
      <c r="U388">
        <v>0.49</v>
      </c>
      <c r="V388">
        <f>Table1[[#This Row],[FSH(mIU/mL)]]/Table1[[#This Row],[LH(mIU/mL)]]</f>
        <v>3.9591836734693877</v>
      </c>
      <c r="W388" t="str">
        <f>IF(Table1[[#This Row],[FSH/LH]]&gt;=2,"Abnormal","Normal")</f>
        <v>Abnormal</v>
      </c>
      <c r="X388">
        <v>38</v>
      </c>
      <c r="Y388">
        <v>34</v>
      </c>
      <c r="Z388">
        <f>ROUND(Table1[[#This Row],[Waist(inch)]]/Table1[[#This Row],[Hip(inch)]],2)</f>
        <v>0.89</v>
      </c>
      <c r="AA388">
        <v>5</v>
      </c>
      <c r="AB388">
        <v>2</v>
      </c>
      <c r="AC388">
        <v>42.66</v>
      </c>
      <c r="AD388">
        <v>20.8</v>
      </c>
      <c r="AE388" t="str">
        <f>IF(Table1[[#This Row],[Vit D3 (ng/mL)]]&lt;20,"Deficiency","Normal")</f>
        <v>Normal</v>
      </c>
      <c r="AF388">
        <v>0.79</v>
      </c>
      <c r="AG388">
        <v>138</v>
      </c>
      <c r="AH388">
        <v>0</v>
      </c>
      <c r="AI388" t="str">
        <f>IF(Table1[[#This Row],[Weight gain(Y/N)]]=0,"NO","YES")</f>
        <v>NO</v>
      </c>
      <c r="AJ388">
        <v>0</v>
      </c>
      <c r="AK388" t="str">
        <f>IF(Table1[[#This Row],[hair growth(Y/N)]]=1,"YES","NO")</f>
        <v>NO</v>
      </c>
      <c r="AL388">
        <v>1</v>
      </c>
      <c r="AM388" t="str">
        <f>IF(Table1[[#This Row],[Skin darkening (Y/N)]]=1,"YES","NO")</f>
        <v>YES</v>
      </c>
      <c r="AN388">
        <v>0</v>
      </c>
      <c r="AO388" t="str">
        <f>IF(Table1[[#This Row],[Hair loss(Y/N)]]=1,"YES","NO")</f>
        <v>NO</v>
      </c>
      <c r="AP388">
        <v>0</v>
      </c>
      <c r="AQ388" t="str">
        <f>IF(Table1[[#This Row],[Pimples(Y/N)]]=1,"YES","NO")</f>
        <v>NO</v>
      </c>
      <c r="AR388">
        <v>1</v>
      </c>
      <c r="AS388" t="str">
        <f>IF(Table1[[#This Row],[Fast food (Y/N)]]=1,"YES","NO")</f>
        <v>YES</v>
      </c>
      <c r="AT388">
        <v>0</v>
      </c>
      <c r="AU388" t="str">
        <f>IF(Table1[[#This Row],[Reg.Exercise(Y/N)]]=1,"YES","NO")</f>
        <v>NO</v>
      </c>
      <c r="AV388">
        <v>110</v>
      </c>
      <c r="AW388">
        <v>70</v>
      </c>
      <c r="AX388">
        <v>3</v>
      </c>
      <c r="AY388">
        <v>1</v>
      </c>
      <c r="AZ388">
        <v>11</v>
      </c>
      <c r="BA388">
        <v>12</v>
      </c>
      <c r="BB388">
        <v>8.3000000000000007</v>
      </c>
      <c r="BC388" t="str" cm="1">
        <f t="array" ref="BC388">_xlfn.IFS((F388/(G388*G388)*10000)&lt; 18.5,"Underweight",(F388/(G388*G388)*10000)&lt;24.9,"Normal",(F388/(G388*G388)*10000)&lt;29.9,"Overweight",(F388/(G388*G388)*10000)&gt;=30,"obesity")</f>
        <v>Normal</v>
      </c>
      <c r="BD388">
        <f>Table1[[#This Row],[Follicle No. (L)]]+Table1[[#This Row],[Follicle No. (R)]]</f>
        <v>4</v>
      </c>
      <c r="BE388">
        <f>Table1[[#This Row],[Avg. F size (L) (mm)]]+Table1[[#This Row],[Avg. F size (R) (mm)]]</f>
        <v>23</v>
      </c>
      <c r="BF388">
        <f>Table1[[#This Row],[BP _Diastolic (mmHg)]]+(Table1[[#This Row],[BP _Diastolic (mmHg)]]+Table1[[#This Row],[Follicle No. (L)]])/3</f>
        <v>94.333333333333329</v>
      </c>
      <c r="BG388" s="4" t="str" cm="1">
        <f t="array" ref="BG38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88" s="4">
        <f>SUM(Table1[[#This Row],[Pimples(Y/N)]],Table1[[#This Row],[hair growth(Y/N)]],Table1[[#This Row],[Skin darkening (Y/N)]],Table1[[#This Row],[Hair loss(Y/N)]])</f>
        <v>1</v>
      </c>
      <c r="BI388" s="4" t="str">
        <f>IF(AND(Table1[[#This Row],[Pregnant(Y/N)]]=0, Table1[[#This Row],[  I   beta-HCG(mIU/mL)]]&gt;5), "Investigation Required", "Clear")</f>
        <v>Clear</v>
      </c>
    </row>
    <row r="389" spans="1:61" ht="15.75" customHeight="1" x14ac:dyDescent="0.25">
      <c r="A389">
        <v>388</v>
      </c>
      <c r="B389">
        <v>388</v>
      </c>
      <c r="C389">
        <v>1</v>
      </c>
      <c r="D389" t="str">
        <f>IF(Table1[[#This Row],[PCOS (Y/N)]]=0,"NO","YES")</f>
        <v>YES</v>
      </c>
      <c r="E389">
        <v>24</v>
      </c>
      <c r="F389">
        <v>60</v>
      </c>
      <c r="G389">
        <v>152</v>
      </c>
      <c r="H389">
        <v>11</v>
      </c>
      <c r="I389">
        <v>74</v>
      </c>
      <c r="J389">
        <v>16</v>
      </c>
      <c r="K389">
        <v>11</v>
      </c>
      <c r="L389">
        <v>2</v>
      </c>
      <c r="M389">
        <v>5</v>
      </c>
      <c r="N389">
        <v>8</v>
      </c>
      <c r="O389">
        <v>1</v>
      </c>
      <c r="P389" t="str">
        <f>IF(Table1[[#This Row],[Pregnant(Y/N)]]=1,"YES","NO")</f>
        <v>YES</v>
      </c>
      <c r="Q389">
        <v>0</v>
      </c>
      <c r="R389">
        <v>305.76</v>
      </c>
      <c r="S389">
        <v>1.99</v>
      </c>
      <c r="T389">
        <v>5.97</v>
      </c>
      <c r="U389">
        <v>2.73</v>
      </c>
      <c r="V389">
        <f>Table1[[#This Row],[FSH(mIU/mL)]]/Table1[[#This Row],[LH(mIU/mL)]]</f>
        <v>2.1868131868131866</v>
      </c>
      <c r="W389" t="str">
        <f>IF(Table1[[#This Row],[FSH/LH]]&gt;=2,"Abnormal","Normal")</f>
        <v>Abnormal</v>
      </c>
      <c r="X389">
        <v>38</v>
      </c>
      <c r="Y389">
        <v>32</v>
      </c>
      <c r="Z389">
        <f>ROUND(Table1[[#This Row],[Waist(inch)]]/Table1[[#This Row],[Hip(inch)]],2)</f>
        <v>0.84</v>
      </c>
      <c r="AA389">
        <v>3.3</v>
      </c>
      <c r="AB389">
        <v>4.5</v>
      </c>
      <c r="AC389">
        <v>27.96</v>
      </c>
      <c r="AD389">
        <v>19.3</v>
      </c>
      <c r="AE389" t="str">
        <f>IF(Table1[[#This Row],[Vit D3 (ng/mL)]]&lt;20,"Deficiency","Normal")</f>
        <v>Deficiency</v>
      </c>
      <c r="AF389">
        <v>0.25</v>
      </c>
      <c r="AG389">
        <v>125</v>
      </c>
      <c r="AH389">
        <v>1</v>
      </c>
      <c r="AI389" t="str">
        <f>IF(Table1[[#This Row],[Weight gain(Y/N)]]=0,"NO","YES")</f>
        <v>YES</v>
      </c>
      <c r="AJ389">
        <v>0</v>
      </c>
      <c r="AK389" t="str">
        <f>IF(Table1[[#This Row],[hair growth(Y/N)]]=1,"YES","NO")</f>
        <v>NO</v>
      </c>
      <c r="AL389">
        <v>1</v>
      </c>
      <c r="AM389" t="str">
        <f>IF(Table1[[#This Row],[Skin darkening (Y/N)]]=1,"YES","NO")</f>
        <v>YES</v>
      </c>
      <c r="AN389">
        <v>1</v>
      </c>
      <c r="AO389" t="str">
        <f>IF(Table1[[#This Row],[Hair loss(Y/N)]]=1,"YES","NO")</f>
        <v>YES</v>
      </c>
      <c r="AP389">
        <v>1</v>
      </c>
      <c r="AQ389" t="str">
        <f>IF(Table1[[#This Row],[Pimples(Y/N)]]=1,"YES","NO")</f>
        <v>YES</v>
      </c>
      <c r="AR389">
        <v>1</v>
      </c>
      <c r="AS389" t="str">
        <f>IF(Table1[[#This Row],[Fast food (Y/N)]]=1,"YES","NO")</f>
        <v>YES</v>
      </c>
      <c r="AT389">
        <v>0</v>
      </c>
      <c r="AU389" t="str">
        <f>IF(Table1[[#This Row],[Reg.Exercise(Y/N)]]=1,"YES","NO")</f>
        <v>NO</v>
      </c>
      <c r="AV389">
        <v>110</v>
      </c>
      <c r="AW389">
        <v>70</v>
      </c>
      <c r="AX389">
        <v>16</v>
      </c>
      <c r="AY389">
        <v>14</v>
      </c>
      <c r="AZ389">
        <v>12</v>
      </c>
      <c r="BA389">
        <v>15</v>
      </c>
      <c r="BB389">
        <v>7.5</v>
      </c>
      <c r="BC389" t="str" cm="1">
        <f t="array" ref="BC389">_xlfn.IFS((F389/(G389*G389)*10000)&lt; 18.5,"Underweight",(F389/(G389*G389)*10000)&lt;24.9,"Normal",(F389/(G389*G389)*10000)&lt;29.9,"Overweight",(F389/(G389*G389)*10000)&gt;=30,"obesity")</f>
        <v>Overweight</v>
      </c>
      <c r="BD389">
        <f>Table1[[#This Row],[Follicle No. (L)]]+Table1[[#This Row],[Follicle No. (R)]]</f>
        <v>30</v>
      </c>
      <c r="BE389">
        <f>Table1[[#This Row],[Avg. F size (L) (mm)]]+Table1[[#This Row],[Avg. F size (R) (mm)]]</f>
        <v>27</v>
      </c>
      <c r="BF389">
        <f>Table1[[#This Row],[BP _Diastolic (mmHg)]]+(Table1[[#This Row],[BP _Diastolic (mmHg)]]+Table1[[#This Row],[Follicle No. (L)]])/3</f>
        <v>98.666666666666671</v>
      </c>
      <c r="BG389" s="4" t="str" cm="1">
        <f t="array" ref="BG38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89" s="4">
        <f>SUM(Table1[[#This Row],[Pimples(Y/N)]],Table1[[#This Row],[hair growth(Y/N)]],Table1[[#This Row],[Skin darkening (Y/N)]],Table1[[#This Row],[Hair loss(Y/N)]])</f>
        <v>3</v>
      </c>
      <c r="BI389" s="4" t="str">
        <f>IF(AND(Table1[[#This Row],[Pregnant(Y/N)]]=0, Table1[[#This Row],[  I   beta-HCG(mIU/mL)]]&gt;5), "Investigation Required", "Clear")</f>
        <v>Clear</v>
      </c>
    </row>
    <row r="390" spans="1:61" ht="15.75" customHeight="1" x14ac:dyDescent="0.25">
      <c r="A390">
        <v>389</v>
      </c>
      <c r="B390">
        <v>389</v>
      </c>
      <c r="C390">
        <v>0</v>
      </c>
      <c r="D390" t="str">
        <f>IF(Table1[[#This Row],[PCOS (Y/N)]]=0,"NO","YES")</f>
        <v>NO</v>
      </c>
      <c r="E390">
        <v>31</v>
      </c>
      <c r="F390">
        <v>55.5</v>
      </c>
      <c r="G390">
        <v>151</v>
      </c>
      <c r="H390">
        <v>15</v>
      </c>
      <c r="I390">
        <v>74</v>
      </c>
      <c r="J390">
        <v>18</v>
      </c>
      <c r="K390">
        <v>11.1</v>
      </c>
      <c r="L390">
        <v>2</v>
      </c>
      <c r="M390">
        <v>5</v>
      </c>
      <c r="N390">
        <v>5</v>
      </c>
      <c r="O390">
        <v>1</v>
      </c>
      <c r="P390" t="str">
        <f>IF(Table1[[#This Row],[Pregnant(Y/N)]]=1,"YES","NO")</f>
        <v>YES</v>
      </c>
      <c r="Q390">
        <v>0</v>
      </c>
      <c r="R390">
        <v>278.32</v>
      </c>
      <c r="S390">
        <v>278.32</v>
      </c>
      <c r="T390">
        <v>2.4900000000000002</v>
      </c>
      <c r="U390">
        <v>3.39</v>
      </c>
      <c r="V390">
        <f>Table1[[#This Row],[FSH(mIU/mL)]]/Table1[[#This Row],[LH(mIU/mL)]]</f>
        <v>0.73451327433628322</v>
      </c>
      <c r="W390" t="str">
        <f>IF(Table1[[#This Row],[FSH/LH]]&gt;=2,"Abnormal","Normal")</f>
        <v>Normal</v>
      </c>
      <c r="X390">
        <v>37</v>
      </c>
      <c r="Y390">
        <v>34</v>
      </c>
      <c r="Z390">
        <f>ROUND(Table1[[#This Row],[Waist(inch)]]/Table1[[#This Row],[Hip(inch)]],2)</f>
        <v>0.92</v>
      </c>
      <c r="AA390">
        <v>1.62</v>
      </c>
      <c r="AB390">
        <v>3.1</v>
      </c>
      <c r="AC390">
        <v>24.33</v>
      </c>
      <c r="AD390">
        <v>24.1</v>
      </c>
      <c r="AE390" t="str">
        <f>IF(Table1[[#This Row],[Vit D3 (ng/mL)]]&lt;20,"Deficiency","Normal")</f>
        <v>Normal</v>
      </c>
      <c r="AF390">
        <v>0.25</v>
      </c>
      <c r="AG390">
        <v>92</v>
      </c>
      <c r="AH390">
        <v>0</v>
      </c>
      <c r="AI390" t="str">
        <f>IF(Table1[[#This Row],[Weight gain(Y/N)]]=0,"NO","YES")</f>
        <v>NO</v>
      </c>
      <c r="AJ390">
        <v>0</v>
      </c>
      <c r="AK390" t="str">
        <f>IF(Table1[[#This Row],[hair growth(Y/N)]]=1,"YES","NO")</f>
        <v>NO</v>
      </c>
      <c r="AL390">
        <v>0</v>
      </c>
      <c r="AM390" t="str">
        <f>IF(Table1[[#This Row],[Skin darkening (Y/N)]]=1,"YES","NO")</f>
        <v>NO</v>
      </c>
      <c r="AN390">
        <v>0</v>
      </c>
      <c r="AO390" t="str">
        <f>IF(Table1[[#This Row],[Hair loss(Y/N)]]=1,"YES","NO")</f>
        <v>NO</v>
      </c>
      <c r="AP390">
        <v>1</v>
      </c>
      <c r="AQ390" t="str">
        <f>IF(Table1[[#This Row],[Pimples(Y/N)]]=1,"YES","NO")</f>
        <v>YES</v>
      </c>
      <c r="AR390">
        <v>1</v>
      </c>
      <c r="AS390" t="str">
        <f>IF(Table1[[#This Row],[Fast food (Y/N)]]=1,"YES","NO")</f>
        <v>YES</v>
      </c>
      <c r="AT390">
        <v>1</v>
      </c>
      <c r="AU390" t="str">
        <f>IF(Table1[[#This Row],[Reg.Exercise(Y/N)]]=1,"YES","NO")</f>
        <v>YES</v>
      </c>
      <c r="AV390">
        <v>110</v>
      </c>
      <c r="AW390">
        <v>80</v>
      </c>
      <c r="AX390">
        <v>6</v>
      </c>
      <c r="AY390">
        <v>7</v>
      </c>
      <c r="AZ390">
        <v>18</v>
      </c>
      <c r="BA390">
        <v>12</v>
      </c>
      <c r="BB390">
        <v>9</v>
      </c>
      <c r="BC390" t="str" cm="1">
        <f t="array" ref="BC390">_xlfn.IFS((F390/(G390*G390)*10000)&lt; 18.5,"Underweight",(F390/(G390*G390)*10000)&lt;24.9,"Normal",(F390/(G390*G390)*10000)&lt;29.9,"Overweight",(F390/(G390*G390)*10000)&gt;=30,"obesity")</f>
        <v>Normal</v>
      </c>
      <c r="BD390">
        <f>Table1[[#This Row],[Follicle No. (L)]]+Table1[[#This Row],[Follicle No. (R)]]</f>
        <v>13</v>
      </c>
      <c r="BE390">
        <f>Table1[[#This Row],[Avg. F size (L) (mm)]]+Table1[[#This Row],[Avg. F size (R) (mm)]]</f>
        <v>30</v>
      </c>
      <c r="BF390">
        <f>Table1[[#This Row],[BP _Diastolic (mmHg)]]+(Table1[[#This Row],[BP _Diastolic (mmHg)]]+Table1[[#This Row],[Follicle No. (L)]])/3</f>
        <v>108.66666666666667</v>
      </c>
      <c r="BG390" s="4" t="str" cm="1">
        <f t="array" ref="BG39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90" s="4">
        <f>SUM(Table1[[#This Row],[Pimples(Y/N)]],Table1[[#This Row],[hair growth(Y/N)]],Table1[[#This Row],[Skin darkening (Y/N)]],Table1[[#This Row],[Hair loss(Y/N)]])</f>
        <v>1</v>
      </c>
      <c r="BI390" s="4" t="str">
        <f>IF(AND(Table1[[#This Row],[Pregnant(Y/N)]]=0, Table1[[#This Row],[  I   beta-HCG(mIU/mL)]]&gt;5), "Investigation Required", "Clear")</f>
        <v>Clear</v>
      </c>
    </row>
    <row r="391" spans="1:61" ht="15.75" customHeight="1" x14ac:dyDescent="0.25">
      <c r="A391">
        <v>390</v>
      </c>
      <c r="B391">
        <v>390</v>
      </c>
      <c r="C391">
        <v>0</v>
      </c>
      <c r="D391" t="str">
        <f>IF(Table1[[#This Row],[PCOS (Y/N)]]=0,"NO","YES")</f>
        <v>NO</v>
      </c>
      <c r="E391">
        <v>23</v>
      </c>
      <c r="F391">
        <v>50</v>
      </c>
      <c r="G391">
        <v>155</v>
      </c>
      <c r="H391">
        <v>15</v>
      </c>
      <c r="I391">
        <v>72</v>
      </c>
      <c r="J391">
        <v>18</v>
      </c>
      <c r="K391">
        <v>10.8</v>
      </c>
      <c r="L391">
        <v>4</v>
      </c>
      <c r="M391">
        <v>2</v>
      </c>
      <c r="N391">
        <v>3</v>
      </c>
      <c r="O391">
        <v>0</v>
      </c>
      <c r="P391" t="str">
        <f>IF(Table1[[#This Row],[Pregnant(Y/N)]]=1,"YES","NO")</f>
        <v>NO</v>
      </c>
      <c r="Q391">
        <v>0</v>
      </c>
      <c r="R391">
        <v>2</v>
      </c>
      <c r="S391">
        <v>2</v>
      </c>
      <c r="T391">
        <v>9.59</v>
      </c>
      <c r="U391">
        <v>5.98</v>
      </c>
      <c r="V391">
        <f>Table1[[#This Row],[FSH(mIU/mL)]]/Table1[[#This Row],[LH(mIU/mL)]]</f>
        <v>1.6036789297658862</v>
      </c>
      <c r="W391" t="str">
        <f>IF(Table1[[#This Row],[FSH/LH]]&gt;=2,"Abnormal","Normal")</f>
        <v>Normal</v>
      </c>
      <c r="X391">
        <v>36</v>
      </c>
      <c r="Y391">
        <v>32</v>
      </c>
      <c r="Z391">
        <f>ROUND(Table1[[#This Row],[Waist(inch)]]/Table1[[#This Row],[Hip(inch)]],2)</f>
        <v>0.89</v>
      </c>
      <c r="AA391">
        <v>3.63</v>
      </c>
      <c r="AB391">
        <v>2.9</v>
      </c>
      <c r="AC391">
        <v>30.85</v>
      </c>
      <c r="AD391">
        <v>21.1</v>
      </c>
      <c r="AE391" t="str">
        <f>IF(Table1[[#This Row],[Vit D3 (ng/mL)]]&lt;20,"Deficiency","Normal")</f>
        <v>Normal</v>
      </c>
      <c r="AF391">
        <v>0.75</v>
      </c>
      <c r="AG391">
        <v>92</v>
      </c>
      <c r="AH391">
        <v>0</v>
      </c>
      <c r="AI391" t="str">
        <f>IF(Table1[[#This Row],[Weight gain(Y/N)]]=0,"NO","YES")</f>
        <v>NO</v>
      </c>
      <c r="AJ391">
        <v>0</v>
      </c>
      <c r="AK391" t="str">
        <f>IF(Table1[[#This Row],[hair growth(Y/N)]]=1,"YES","NO")</f>
        <v>NO</v>
      </c>
      <c r="AL391">
        <v>0</v>
      </c>
      <c r="AM391" t="str">
        <f>IF(Table1[[#This Row],[Skin darkening (Y/N)]]=1,"YES","NO")</f>
        <v>NO</v>
      </c>
      <c r="AN391">
        <v>1</v>
      </c>
      <c r="AO391" t="str">
        <f>IF(Table1[[#This Row],[Hair loss(Y/N)]]=1,"YES","NO")</f>
        <v>YES</v>
      </c>
      <c r="AP391">
        <v>0</v>
      </c>
      <c r="AQ391" t="str">
        <f>IF(Table1[[#This Row],[Pimples(Y/N)]]=1,"YES","NO")</f>
        <v>NO</v>
      </c>
      <c r="AR391">
        <v>0</v>
      </c>
      <c r="AS391" t="str">
        <f>IF(Table1[[#This Row],[Fast food (Y/N)]]=1,"YES","NO")</f>
        <v>NO</v>
      </c>
      <c r="AT391">
        <v>1</v>
      </c>
      <c r="AU391" t="str">
        <f>IF(Table1[[#This Row],[Reg.Exercise(Y/N)]]=1,"YES","NO")</f>
        <v>YES</v>
      </c>
      <c r="AV391">
        <v>110</v>
      </c>
      <c r="AW391">
        <v>70</v>
      </c>
      <c r="AX391">
        <v>3</v>
      </c>
      <c r="AY391">
        <v>5</v>
      </c>
      <c r="AZ391">
        <v>15</v>
      </c>
      <c r="BA391">
        <v>12</v>
      </c>
      <c r="BB391">
        <v>11.2</v>
      </c>
      <c r="BC391" t="str" cm="1">
        <f t="array" ref="BC391">_xlfn.IFS((F391/(G391*G391)*10000)&lt; 18.5,"Underweight",(F391/(G391*G391)*10000)&lt;24.9,"Normal",(F391/(G391*G391)*10000)&lt;29.9,"Overweight",(F391/(G391*G391)*10000)&gt;=30,"obesity")</f>
        <v>Normal</v>
      </c>
      <c r="BD391">
        <f>Table1[[#This Row],[Follicle No. (L)]]+Table1[[#This Row],[Follicle No. (R)]]</f>
        <v>8</v>
      </c>
      <c r="BE391">
        <f>Table1[[#This Row],[Avg. F size (L) (mm)]]+Table1[[#This Row],[Avg. F size (R) (mm)]]</f>
        <v>27</v>
      </c>
      <c r="BF391">
        <f>Table1[[#This Row],[BP _Diastolic (mmHg)]]+(Table1[[#This Row],[BP _Diastolic (mmHg)]]+Table1[[#This Row],[Follicle No. (L)]])/3</f>
        <v>94.333333333333329</v>
      </c>
      <c r="BG391" s="4" t="str" cm="1">
        <f t="array" ref="BG39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91" s="4">
        <f>SUM(Table1[[#This Row],[Pimples(Y/N)]],Table1[[#This Row],[hair growth(Y/N)]],Table1[[#This Row],[Skin darkening (Y/N)]],Table1[[#This Row],[Hair loss(Y/N)]])</f>
        <v>1</v>
      </c>
      <c r="BI391" s="4" t="str">
        <f>IF(AND(Table1[[#This Row],[Pregnant(Y/N)]]=0, Table1[[#This Row],[  I   beta-HCG(mIU/mL)]]&gt;5), "Investigation Required", "Clear")</f>
        <v>Clear</v>
      </c>
    </row>
    <row r="392" spans="1:61" ht="15.75" customHeight="1" x14ac:dyDescent="0.25">
      <c r="A392">
        <v>391</v>
      </c>
      <c r="B392">
        <v>391</v>
      </c>
      <c r="C392">
        <v>1</v>
      </c>
      <c r="D392" t="str">
        <f>IF(Table1[[#This Row],[PCOS (Y/N)]]=0,"NO","YES")</f>
        <v>YES</v>
      </c>
      <c r="E392">
        <v>28</v>
      </c>
      <c r="F392">
        <v>61</v>
      </c>
      <c r="G392">
        <v>152</v>
      </c>
      <c r="H392">
        <v>15</v>
      </c>
      <c r="I392">
        <v>74</v>
      </c>
      <c r="J392">
        <v>20</v>
      </c>
      <c r="K392">
        <v>10.5</v>
      </c>
      <c r="L392">
        <v>4</v>
      </c>
      <c r="M392">
        <v>2</v>
      </c>
      <c r="N392">
        <v>3</v>
      </c>
      <c r="O392">
        <v>0</v>
      </c>
      <c r="P392" t="str">
        <f>IF(Table1[[#This Row],[Pregnant(Y/N)]]=1,"YES","NO")</f>
        <v>NO</v>
      </c>
      <c r="Q392">
        <v>0</v>
      </c>
      <c r="R392">
        <v>2</v>
      </c>
      <c r="S392">
        <v>3.01</v>
      </c>
      <c r="T392">
        <v>3.3</v>
      </c>
      <c r="U392">
        <v>0.59</v>
      </c>
      <c r="V392">
        <f>Table1[[#This Row],[FSH(mIU/mL)]]/Table1[[#This Row],[LH(mIU/mL)]]</f>
        <v>5.593220338983051</v>
      </c>
      <c r="W392" t="str">
        <f>IF(Table1[[#This Row],[FSH/LH]]&gt;=2,"Abnormal","Normal")</f>
        <v>Abnormal</v>
      </c>
      <c r="X392">
        <v>38</v>
      </c>
      <c r="Y392">
        <v>35</v>
      </c>
      <c r="Z392">
        <f>ROUND(Table1[[#This Row],[Waist(inch)]]/Table1[[#This Row],[Hip(inch)]],2)</f>
        <v>0.92</v>
      </c>
      <c r="AA392">
        <v>2.78</v>
      </c>
      <c r="AB392">
        <v>9.1</v>
      </c>
      <c r="AC392">
        <v>7.81</v>
      </c>
      <c r="AD392">
        <v>10.1</v>
      </c>
      <c r="AE392" t="str">
        <f>IF(Table1[[#This Row],[Vit D3 (ng/mL)]]&lt;20,"Deficiency","Normal")</f>
        <v>Deficiency</v>
      </c>
      <c r="AF392">
        <v>0.27</v>
      </c>
      <c r="AG392">
        <v>92</v>
      </c>
      <c r="AH392">
        <v>1</v>
      </c>
      <c r="AI392" t="str">
        <f>IF(Table1[[#This Row],[Weight gain(Y/N)]]=0,"NO","YES")</f>
        <v>YES</v>
      </c>
      <c r="AJ392">
        <v>0</v>
      </c>
      <c r="AK392" t="str">
        <f>IF(Table1[[#This Row],[hair growth(Y/N)]]=1,"YES","NO")</f>
        <v>NO</v>
      </c>
      <c r="AL392">
        <v>0</v>
      </c>
      <c r="AM392" t="str">
        <f>IF(Table1[[#This Row],[Skin darkening (Y/N)]]=1,"YES","NO")</f>
        <v>NO</v>
      </c>
      <c r="AN392">
        <v>1</v>
      </c>
      <c r="AO392" t="str">
        <f>IF(Table1[[#This Row],[Hair loss(Y/N)]]=1,"YES","NO")</f>
        <v>YES</v>
      </c>
      <c r="AP392">
        <v>1</v>
      </c>
      <c r="AQ392" t="str">
        <f>IF(Table1[[#This Row],[Pimples(Y/N)]]=1,"YES","NO")</f>
        <v>YES</v>
      </c>
      <c r="AR392">
        <v>1</v>
      </c>
      <c r="AS392" t="str">
        <f>IF(Table1[[#This Row],[Fast food (Y/N)]]=1,"YES","NO")</f>
        <v>YES</v>
      </c>
      <c r="AT392">
        <v>0</v>
      </c>
      <c r="AU392" t="str">
        <f>IF(Table1[[#This Row],[Reg.Exercise(Y/N)]]=1,"YES","NO")</f>
        <v>NO</v>
      </c>
      <c r="AV392">
        <v>120</v>
      </c>
      <c r="AW392">
        <v>80</v>
      </c>
      <c r="AX392">
        <v>10</v>
      </c>
      <c r="AY392">
        <v>9</v>
      </c>
      <c r="AZ392">
        <v>19</v>
      </c>
      <c r="BA392">
        <v>15</v>
      </c>
      <c r="BB392">
        <v>10</v>
      </c>
      <c r="BC392" t="str" cm="1">
        <f t="array" ref="BC392">_xlfn.IFS((F392/(G392*G392)*10000)&lt; 18.5,"Underweight",(F392/(G392*G392)*10000)&lt;24.9,"Normal",(F392/(G392*G392)*10000)&lt;29.9,"Overweight",(F392/(G392*G392)*10000)&gt;=30,"obesity")</f>
        <v>Overweight</v>
      </c>
      <c r="BD392">
        <f>Table1[[#This Row],[Follicle No. (L)]]+Table1[[#This Row],[Follicle No. (R)]]</f>
        <v>19</v>
      </c>
      <c r="BE392">
        <f>Table1[[#This Row],[Avg. F size (L) (mm)]]+Table1[[#This Row],[Avg. F size (R) (mm)]]</f>
        <v>34</v>
      </c>
      <c r="BF392">
        <f>Table1[[#This Row],[BP _Diastolic (mmHg)]]+(Table1[[#This Row],[BP _Diastolic (mmHg)]]+Table1[[#This Row],[Follicle No. (L)]])/3</f>
        <v>110</v>
      </c>
      <c r="BG392" s="4" t="str" cm="1">
        <f t="array" ref="BG39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92" s="4">
        <f>SUM(Table1[[#This Row],[Pimples(Y/N)]],Table1[[#This Row],[hair growth(Y/N)]],Table1[[#This Row],[Skin darkening (Y/N)]],Table1[[#This Row],[Hair loss(Y/N)]])</f>
        <v>2</v>
      </c>
      <c r="BI392" s="4" t="str">
        <f>IF(AND(Table1[[#This Row],[Pregnant(Y/N)]]=0, Table1[[#This Row],[  I   beta-HCG(mIU/mL)]]&gt;5), "Investigation Required", "Clear")</f>
        <v>Clear</v>
      </c>
    </row>
    <row r="393" spans="1:61" ht="15.75" customHeight="1" x14ac:dyDescent="0.25">
      <c r="A393">
        <v>392</v>
      </c>
      <c r="B393">
        <v>392</v>
      </c>
      <c r="C393">
        <v>0</v>
      </c>
      <c r="D393" t="str">
        <f>IF(Table1[[#This Row],[PCOS (Y/N)]]=0,"NO","YES")</f>
        <v>NO</v>
      </c>
      <c r="E393">
        <v>35</v>
      </c>
      <c r="F393">
        <v>60</v>
      </c>
      <c r="G393">
        <v>152</v>
      </c>
      <c r="H393">
        <v>11</v>
      </c>
      <c r="I393">
        <v>72</v>
      </c>
      <c r="J393">
        <v>18</v>
      </c>
      <c r="K393">
        <v>10</v>
      </c>
      <c r="L393">
        <v>2</v>
      </c>
      <c r="M393">
        <v>6</v>
      </c>
      <c r="N393">
        <v>10</v>
      </c>
      <c r="O393">
        <v>1</v>
      </c>
      <c r="P393" t="str">
        <f>IF(Table1[[#This Row],[Pregnant(Y/N)]]=1,"YES","NO")</f>
        <v>YES</v>
      </c>
      <c r="Q393">
        <v>0</v>
      </c>
      <c r="R393">
        <v>459.63</v>
      </c>
      <c r="S393">
        <v>459.63</v>
      </c>
      <c r="T393">
        <v>3.91</v>
      </c>
      <c r="U393">
        <v>1.01</v>
      </c>
      <c r="V393">
        <f>Table1[[#This Row],[FSH(mIU/mL)]]/Table1[[#This Row],[LH(mIU/mL)]]</f>
        <v>3.8712871287128712</v>
      </c>
      <c r="W393" t="str">
        <f>IF(Table1[[#This Row],[FSH/LH]]&gt;=2,"Abnormal","Normal")</f>
        <v>Abnormal</v>
      </c>
      <c r="X393">
        <v>39</v>
      </c>
      <c r="Y393">
        <v>36</v>
      </c>
      <c r="Z393">
        <f>ROUND(Table1[[#This Row],[Waist(inch)]]/Table1[[#This Row],[Hip(inch)]],2)</f>
        <v>0.92</v>
      </c>
      <c r="AA393">
        <v>2.4500000000000002</v>
      </c>
      <c r="AB393">
        <v>1.2</v>
      </c>
      <c r="AC393">
        <v>8.6</v>
      </c>
      <c r="AD393">
        <v>20.7</v>
      </c>
      <c r="AE393" t="str">
        <f>IF(Table1[[#This Row],[Vit D3 (ng/mL)]]&lt;20,"Deficiency","Normal")</f>
        <v>Normal</v>
      </c>
      <c r="AF393">
        <v>0.3</v>
      </c>
      <c r="AG393">
        <v>115</v>
      </c>
      <c r="AH393">
        <v>1</v>
      </c>
      <c r="AI393" t="str">
        <f>IF(Table1[[#This Row],[Weight gain(Y/N)]]=0,"NO","YES")</f>
        <v>YES</v>
      </c>
      <c r="AJ393">
        <v>0</v>
      </c>
      <c r="AK393" t="str">
        <f>IF(Table1[[#This Row],[hair growth(Y/N)]]=1,"YES","NO")</f>
        <v>NO</v>
      </c>
      <c r="AL393">
        <v>0</v>
      </c>
      <c r="AM393" t="str">
        <f>IF(Table1[[#This Row],[Skin darkening (Y/N)]]=1,"YES","NO")</f>
        <v>NO</v>
      </c>
      <c r="AN393">
        <v>1</v>
      </c>
      <c r="AO393" t="str">
        <f>IF(Table1[[#This Row],[Hair loss(Y/N)]]=1,"YES","NO")</f>
        <v>YES</v>
      </c>
      <c r="AP393">
        <v>0</v>
      </c>
      <c r="AQ393" t="str">
        <f>IF(Table1[[#This Row],[Pimples(Y/N)]]=1,"YES","NO")</f>
        <v>NO</v>
      </c>
      <c r="AR393">
        <v>0</v>
      </c>
      <c r="AS393" t="str">
        <f>IF(Table1[[#This Row],[Fast food (Y/N)]]=1,"YES","NO")</f>
        <v>NO</v>
      </c>
      <c r="AT393">
        <v>0</v>
      </c>
      <c r="AU393" t="str">
        <f>IF(Table1[[#This Row],[Reg.Exercise(Y/N)]]=1,"YES","NO")</f>
        <v>NO</v>
      </c>
      <c r="AV393">
        <v>120</v>
      </c>
      <c r="AW393">
        <v>80</v>
      </c>
      <c r="AX393">
        <v>1</v>
      </c>
      <c r="AY393">
        <v>2</v>
      </c>
      <c r="AZ393">
        <v>15</v>
      </c>
      <c r="BA393">
        <v>11</v>
      </c>
      <c r="BB393">
        <v>9</v>
      </c>
      <c r="BC393" t="str" cm="1">
        <f t="array" ref="BC393">_xlfn.IFS((F393/(G393*G393)*10000)&lt; 18.5,"Underweight",(F393/(G393*G393)*10000)&lt;24.9,"Normal",(F393/(G393*G393)*10000)&lt;29.9,"Overweight",(F393/(G393*G393)*10000)&gt;=30,"obesity")</f>
        <v>Overweight</v>
      </c>
      <c r="BD393">
        <f>Table1[[#This Row],[Follicle No. (L)]]+Table1[[#This Row],[Follicle No. (R)]]</f>
        <v>3</v>
      </c>
      <c r="BE393">
        <f>Table1[[#This Row],[Avg. F size (L) (mm)]]+Table1[[#This Row],[Avg. F size (R) (mm)]]</f>
        <v>26</v>
      </c>
      <c r="BF393">
        <f>Table1[[#This Row],[BP _Diastolic (mmHg)]]+(Table1[[#This Row],[BP _Diastolic (mmHg)]]+Table1[[#This Row],[Follicle No. (L)]])/3</f>
        <v>107</v>
      </c>
      <c r="BG393" s="4" t="str" cm="1">
        <f t="array" ref="BG39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93" s="4">
        <f>SUM(Table1[[#This Row],[Pimples(Y/N)]],Table1[[#This Row],[hair growth(Y/N)]],Table1[[#This Row],[Skin darkening (Y/N)]],Table1[[#This Row],[Hair loss(Y/N)]])</f>
        <v>1</v>
      </c>
      <c r="BI393" s="4" t="str">
        <f>IF(AND(Table1[[#This Row],[Pregnant(Y/N)]]=0, Table1[[#This Row],[  I   beta-HCG(mIU/mL)]]&gt;5), "Investigation Required", "Clear")</f>
        <v>Clear</v>
      </c>
    </row>
    <row r="394" spans="1:61" ht="15.75" customHeight="1" x14ac:dyDescent="0.25">
      <c r="A394">
        <v>393</v>
      </c>
      <c r="B394">
        <v>393</v>
      </c>
      <c r="C394">
        <v>1</v>
      </c>
      <c r="D394" t="str">
        <f>IF(Table1[[#This Row],[PCOS (Y/N)]]=0,"NO","YES")</f>
        <v>YES</v>
      </c>
      <c r="E394">
        <v>27</v>
      </c>
      <c r="F394">
        <v>45</v>
      </c>
      <c r="G394">
        <v>158</v>
      </c>
      <c r="H394">
        <v>14</v>
      </c>
      <c r="I394">
        <v>72</v>
      </c>
      <c r="J394">
        <v>20</v>
      </c>
      <c r="K394">
        <v>11.2</v>
      </c>
      <c r="L394">
        <v>2</v>
      </c>
      <c r="M394">
        <v>5</v>
      </c>
      <c r="N394">
        <v>8</v>
      </c>
      <c r="O394">
        <v>1</v>
      </c>
      <c r="P394" t="str">
        <f>IF(Table1[[#This Row],[Pregnant(Y/N)]]=1,"YES","NO")</f>
        <v>YES</v>
      </c>
      <c r="Q394">
        <v>0</v>
      </c>
      <c r="R394">
        <v>187.79</v>
      </c>
      <c r="S394">
        <v>187.79</v>
      </c>
      <c r="T394">
        <v>5.4</v>
      </c>
      <c r="U394">
        <v>3.07</v>
      </c>
      <c r="V394">
        <f>Table1[[#This Row],[FSH(mIU/mL)]]/Table1[[#This Row],[LH(mIU/mL)]]</f>
        <v>1.7589576547231272</v>
      </c>
      <c r="W394" t="str">
        <f>IF(Table1[[#This Row],[FSH/LH]]&gt;=2,"Abnormal","Normal")</f>
        <v>Normal</v>
      </c>
      <c r="X394">
        <v>36</v>
      </c>
      <c r="Y394">
        <v>32</v>
      </c>
      <c r="Z394">
        <f>ROUND(Table1[[#This Row],[Waist(inch)]]/Table1[[#This Row],[Hip(inch)]],2)</f>
        <v>0.89</v>
      </c>
      <c r="AA394">
        <v>6.75</v>
      </c>
      <c r="AB394">
        <v>9</v>
      </c>
      <c r="AC394">
        <v>40.43</v>
      </c>
      <c r="AD394">
        <v>23.1</v>
      </c>
      <c r="AE394" t="str">
        <f>IF(Table1[[#This Row],[Vit D3 (ng/mL)]]&lt;20,"Deficiency","Normal")</f>
        <v>Normal</v>
      </c>
      <c r="AF394">
        <v>0.46</v>
      </c>
      <c r="AG394">
        <v>100</v>
      </c>
      <c r="AH394">
        <v>0</v>
      </c>
      <c r="AI394" t="str">
        <f>IF(Table1[[#This Row],[Weight gain(Y/N)]]=0,"NO","YES")</f>
        <v>NO</v>
      </c>
      <c r="AJ394">
        <v>0</v>
      </c>
      <c r="AK394" t="str">
        <f>IF(Table1[[#This Row],[hair growth(Y/N)]]=1,"YES","NO")</f>
        <v>NO</v>
      </c>
      <c r="AL394">
        <v>1</v>
      </c>
      <c r="AM394" t="str">
        <f>IF(Table1[[#This Row],[Skin darkening (Y/N)]]=1,"YES","NO")</f>
        <v>YES</v>
      </c>
      <c r="AN394">
        <v>0</v>
      </c>
      <c r="AO394" t="str">
        <f>IF(Table1[[#This Row],[Hair loss(Y/N)]]=1,"YES","NO")</f>
        <v>NO</v>
      </c>
      <c r="AP394">
        <v>0</v>
      </c>
      <c r="AQ394" t="str">
        <f>IF(Table1[[#This Row],[Pimples(Y/N)]]=1,"YES","NO")</f>
        <v>NO</v>
      </c>
      <c r="AR394">
        <v>1</v>
      </c>
      <c r="AS394" t="str">
        <f>IF(Table1[[#This Row],[Fast food (Y/N)]]=1,"YES","NO")</f>
        <v>YES</v>
      </c>
      <c r="AT394">
        <v>1</v>
      </c>
      <c r="AU394" t="str">
        <f>IF(Table1[[#This Row],[Reg.Exercise(Y/N)]]=1,"YES","NO")</f>
        <v>YES</v>
      </c>
      <c r="AV394">
        <v>120</v>
      </c>
      <c r="AW394">
        <v>80</v>
      </c>
      <c r="AX394">
        <v>10</v>
      </c>
      <c r="AY394">
        <v>11</v>
      </c>
      <c r="AZ394">
        <v>15</v>
      </c>
      <c r="BA394">
        <v>13</v>
      </c>
      <c r="BB394">
        <v>10.3</v>
      </c>
      <c r="BC394" t="str" cm="1">
        <f t="array" ref="BC394">_xlfn.IFS((F394/(G394*G394)*10000)&lt; 18.5,"Underweight",(F394/(G394*G394)*10000)&lt;24.9,"Normal",(F394/(G394*G394)*10000)&lt;29.9,"Overweight",(F394/(G394*G394)*10000)&gt;=30,"obesity")</f>
        <v>Underweight</v>
      </c>
      <c r="BD394">
        <f>Table1[[#This Row],[Follicle No. (L)]]+Table1[[#This Row],[Follicle No. (R)]]</f>
        <v>21</v>
      </c>
      <c r="BE394">
        <f>Table1[[#This Row],[Avg. F size (L) (mm)]]+Table1[[#This Row],[Avg. F size (R) (mm)]]</f>
        <v>28</v>
      </c>
      <c r="BF394">
        <f>Table1[[#This Row],[BP _Diastolic (mmHg)]]+(Table1[[#This Row],[BP _Diastolic (mmHg)]]+Table1[[#This Row],[Follicle No. (L)]])/3</f>
        <v>110</v>
      </c>
      <c r="BG394" s="4" t="str" cm="1">
        <f t="array" ref="BG39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94" s="4">
        <f>SUM(Table1[[#This Row],[Pimples(Y/N)]],Table1[[#This Row],[hair growth(Y/N)]],Table1[[#This Row],[Skin darkening (Y/N)]],Table1[[#This Row],[Hair loss(Y/N)]])</f>
        <v>1</v>
      </c>
      <c r="BI394" s="4" t="str">
        <f>IF(AND(Table1[[#This Row],[Pregnant(Y/N)]]=0, Table1[[#This Row],[  I   beta-HCG(mIU/mL)]]&gt;5), "Investigation Required", "Clear")</f>
        <v>Clear</v>
      </c>
    </row>
    <row r="395" spans="1:61" ht="15.75" customHeight="1" x14ac:dyDescent="0.25">
      <c r="A395">
        <v>394</v>
      </c>
      <c r="B395">
        <v>394</v>
      </c>
      <c r="C395">
        <v>0</v>
      </c>
      <c r="D395" t="str">
        <f>IF(Table1[[#This Row],[PCOS (Y/N)]]=0,"NO","YES")</f>
        <v>NO</v>
      </c>
      <c r="E395">
        <v>32</v>
      </c>
      <c r="F395">
        <v>65</v>
      </c>
      <c r="G395">
        <v>161</v>
      </c>
      <c r="H395">
        <v>11</v>
      </c>
      <c r="I395">
        <v>74</v>
      </c>
      <c r="J395">
        <v>20</v>
      </c>
      <c r="K395">
        <v>10.199999999999999</v>
      </c>
      <c r="L395">
        <v>2</v>
      </c>
      <c r="M395">
        <v>5</v>
      </c>
      <c r="N395">
        <v>11</v>
      </c>
      <c r="O395">
        <v>1</v>
      </c>
      <c r="P395" t="str">
        <f>IF(Table1[[#This Row],[Pregnant(Y/N)]]=1,"YES","NO")</f>
        <v>YES</v>
      </c>
      <c r="Q395">
        <v>0</v>
      </c>
      <c r="R395">
        <v>6.19</v>
      </c>
      <c r="S395">
        <v>6.19</v>
      </c>
      <c r="T395">
        <v>2.17</v>
      </c>
      <c r="U395">
        <v>2.02</v>
      </c>
      <c r="V395">
        <f>Table1[[#This Row],[FSH(mIU/mL)]]/Table1[[#This Row],[LH(mIU/mL)]]</f>
        <v>1.0742574257425743</v>
      </c>
      <c r="W395" t="str">
        <f>IF(Table1[[#This Row],[FSH/LH]]&gt;=2,"Abnormal","Normal")</f>
        <v>Normal</v>
      </c>
      <c r="X395">
        <v>38</v>
      </c>
      <c r="Y395">
        <v>35</v>
      </c>
      <c r="Z395">
        <f>ROUND(Table1[[#This Row],[Waist(inch)]]/Table1[[#This Row],[Hip(inch)]],2)</f>
        <v>0.92</v>
      </c>
      <c r="AA395">
        <v>4.78</v>
      </c>
      <c r="AB395">
        <v>0.2</v>
      </c>
      <c r="AC395">
        <v>99.93</v>
      </c>
      <c r="AD395">
        <v>17.3</v>
      </c>
      <c r="AE395" t="str">
        <f>IF(Table1[[#This Row],[Vit D3 (ng/mL)]]&lt;20,"Deficiency","Normal")</f>
        <v>Deficiency</v>
      </c>
      <c r="AF395">
        <v>0.25</v>
      </c>
      <c r="AG395">
        <v>115</v>
      </c>
      <c r="AH395">
        <v>1</v>
      </c>
      <c r="AI395" t="str">
        <f>IF(Table1[[#This Row],[Weight gain(Y/N)]]=0,"NO","YES")</f>
        <v>YES</v>
      </c>
      <c r="AJ395">
        <v>0</v>
      </c>
      <c r="AK395" t="str">
        <f>IF(Table1[[#This Row],[hair growth(Y/N)]]=1,"YES","NO")</f>
        <v>NO</v>
      </c>
      <c r="AL395">
        <v>0</v>
      </c>
      <c r="AM395" t="str">
        <f>IF(Table1[[#This Row],[Skin darkening (Y/N)]]=1,"YES","NO")</f>
        <v>NO</v>
      </c>
      <c r="AN395">
        <v>0</v>
      </c>
      <c r="AO395" t="str">
        <f>IF(Table1[[#This Row],[Hair loss(Y/N)]]=1,"YES","NO")</f>
        <v>NO</v>
      </c>
      <c r="AP395">
        <v>0</v>
      </c>
      <c r="AQ395" t="str">
        <f>IF(Table1[[#This Row],[Pimples(Y/N)]]=1,"YES","NO")</f>
        <v>NO</v>
      </c>
      <c r="AR395">
        <v>1</v>
      </c>
      <c r="AS395" t="str">
        <f>IF(Table1[[#This Row],[Fast food (Y/N)]]=1,"YES","NO")</f>
        <v>YES</v>
      </c>
      <c r="AT395">
        <v>0</v>
      </c>
      <c r="AU395" t="str">
        <f>IF(Table1[[#This Row],[Reg.Exercise(Y/N)]]=1,"YES","NO")</f>
        <v>NO</v>
      </c>
      <c r="AV395">
        <v>110</v>
      </c>
      <c r="AW395">
        <v>70</v>
      </c>
      <c r="AX395">
        <v>1</v>
      </c>
      <c r="AY395">
        <v>2</v>
      </c>
      <c r="AZ395">
        <v>13</v>
      </c>
      <c r="BA395">
        <v>15</v>
      </c>
      <c r="BB395">
        <v>7.5</v>
      </c>
      <c r="BC395" t="str" cm="1">
        <f t="array" ref="BC395">_xlfn.IFS((F395/(G395*G395)*10000)&lt; 18.5,"Underweight",(F395/(G395*G395)*10000)&lt;24.9,"Normal",(F395/(G395*G395)*10000)&lt;29.9,"Overweight",(F395/(G395*G395)*10000)&gt;=30,"obesity")</f>
        <v>Overweight</v>
      </c>
      <c r="BD395">
        <f>Table1[[#This Row],[Follicle No. (L)]]+Table1[[#This Row],[Follicle No. (R)]]</f>
        <v>3</v>
      </c>
      <c r="BE395">
        <f>Table1[[#This Row],[Avg. F size (L) (mm)]]+Table1[[#This Row],[Avg. F size (R) (mm)]]</f>
        <v>28</v>
      </c>
      <c r="BF395">
        <f>Table1[[#This Row],[BP _Diastolic (mmHg)]]+(Table1[[#This Row],[BP _Diastolic (mmHg)]]+Table1[[#This Row],[Follicle No. (L)]])/3</f>
        <v>93.666666666666671</v>
      </c>
      <c r="BG395" s="4" t="str" cm="1">
        <f t="array" ref="BG39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95" s="4">
        <f>SUM(Table1[[#This Row],[Pimples(Y/N)]],Table1[[#This Row],[hair growth(Y/N)]],Table1[[#This Row],[Skin darkening (Y/N)]],Table1[[#This Row],[Hair loss(Y/N)]])</f>
        <v>0</v>
      </c>
      <c r="BI395" s="4" t="str">
        <f>IF(AND(Table1[[#This Row],[Pregnant(Y/N)]]=0, Table1[[#This Row],[  I   beta-HCG(mIU/mL)]]&gt;5), "Investigation Required", "Clear")</f>
        <v>Clear</v>
      </c>
    </row>
    <row r="396" spans="1:61" ht="15.75" customHeight="1" x14ac:dyDescent="0.25">
      <c r="A396">
        <v>395</v>
      </c>
      <c r="B396">
        <v>395</v>
      </c>
      <c r="C396">
        <v>0</v>
      </c>
      <c r="D396" t="str">
        <f>IF(Table1[[#This Row],[PCOS (Y/N)]]=0,"NO","YES")</f>
        <v>NO</v>
      </c>
      <c r="E396">
        <v>28</v>
      </c>
      <c r="F396">
        <v>42</v>
      </c>
      <c r="G396">
        <v>163</v>
      </c>
      <c r="H396">
        <v>13</v>
      </c>
      <c r="I396">
        <v>70</v>
      </c>
      <c r="J396">
        <v>18</v>
      </c>
      <c r="K396">
        <v>12</v>
      </c>
      <c r="L396">
        <v>2</v>
      </c>
      <c r="M396">
        <v>6</v>
      </c>
      <c r="N396">
        <v>7</v>
      </c>
      <c r="O396">
        <v>1</v>
      </c>
      <c r="P396" t="str">
        <f>IF(Table1[[#This Row],[Pregnant(Y/N)]]=1,"YES","NO")</f>
        <v>YES</v>
      </c>
      <c r="Q396">
        <v>0</v>
      </c>
      <c r="R396">
        <v>347.98</v>
      </c>
      <c r="S396">
        <v>1.99</v>
      </c>
      <c r="T396">
        <v>2.59</v>
      </c>
      <c r="U396">
        <v>0.63</v>
      </c>
      <c r="V396">
        <f>Table1[[#This Row],[FSH(mIU/mL)]]/Table1[[#This Row],[LH(mIU/mL)]]</f>
        <v>4.1111111111111107</v>
      </c>
      <c r="W396" t="str">
        <f>IF(Table1[[#This Row],[FSH/LH]]&gt;=2,"Abnormal","Normal")</f>
        <v>Abnormal</v>
      </c>
      <c r="X396">
        <v>35</v>
      </c>
      <c r="Y396">
        <v>30</v>
      </c>
      <c r="Z396">
        <f>ROUND(Table1[[#This Row],[Waist(inch)]]/Table1[[#This Row],[Hip(inch)]],2)</f>
        <v>0.86</v>
      </c>
      <c r="AA396">
        <v>5.74</v>
      </c>
      <c r="AB396">
        <v>5.8</v>
      </c>
      <c r="AC396">
        <v>33.04</v>
      </c>
      <c r="AD396">
        <v>39.299999999999997</v>
      </c>
      <c r="AE396" t="str">
        <f>IF(Table1[[#This Row],[Vit D3 (ng/mL)]]&lt;20,"Deficiency","Normal")</f>
        <v>Normal</v>
      </c>
      <c r="AF396">
        <v>0.39500000000000002</v>
      </c>
      <c r="AG396">
        <v>84</v>
      </c>
      <c r="AH396">
        <v>0</v>
      </c>
      <c r="AI396" t="str">
        <f>IF(Table1[[#This Row],[Weight gain(Y/N)]]=0,"NO","YES")</f>
        <v>NO</v>
      </c>
      <c r="AJ396">
        <v>0</v>
      </c>
      <c r="AK396" t="str">
        <f>IF(Table1[[#This Row],[hair growth(Y/N)]]=1,"YES","NO")</f>
        <v>NO</v>
      </c>
      <c r="AL396">
        <v>1</v>
      </c>
      <c r="AM396" t="str">
        <f>IF(Table1[[#This Row],[Skin darkening (Y/N)]]=1,"YES","NO")</f>
        <v>YES</v>
      </c>
      <c r="AN396">
        <v>0</v>
      </c>
      <c r="AO396" t="str">
        <f>IF(Table1[[#This Row],[Hair loss(Y/N)]]=1,"YES","NO")</f>
        <v>NO</v>
      </c>
      <c r="AP396">
        <v>1</v>
      </c>
      <c r="AQ396" t="str">
        <f>IF(Table1[[#This Row],[Pimples(Y/N)]]=1,"YES","NO")</f>
        <v>YES</v>
      </c>
      <c r="AR396">
        <v>1</v>
      </c>
      <c r="AS396" t="str">
        <f>IF(Table1[[#This Row],[Fast food (Y/N)]]=1,"YES","NO")</f>
        <v>YES</v>
      </c>
      <c r="AT396">
        <v>0</v>
      </c>
      <c r="AU396" t="str">
        <f>IF(Table1[[#This Row],[Reg.Exercise(Y/N)]]=1,"YES","NO")</f>
        <v>NO</v>
      </c>
      <c r="AV396">
        <v>120</v>
      </c>
      <c r="AW396">
        <v>70</v>
      </c>
      <c r="AX396">
        <v>8</v>
      </c>
      <c r="AY396">
        <v>7</v>
      </c>
      <c r="AZ396">
        <v>16</v>
      </c>
      <c r="BA396">
        <v>15</v>
      </c>
      <c r="BB396">
        <v>11</v>
      </c>
      <c r="BC396" t="str" cm="1">
        <f t="array" ref="BC396">_xlfn.IFS((F396/(G396*G396)*10000)&lt; 18.5,"Underweight",(F396/(G396*G396)*10000)&lt;24.9,"Normal",(F396/(G396*G396)*10000)&lt;29.9,"Overweight",(F396/(G396*G396)*10000)&gt;=30,"obesity")</f>
        <v>Underweight</v>
      </c>
      <c r="BD396">
        <f>Table1[[#This Row],[Follicle No. (L)]]+Table1[[#This Row],[Follicle No. (R)]]</f>
        <v>15</v>
      </c>
      <c r="BE396">
        <f>Table1[[#This Row],[Avg. F size (L) (mm)]]+Table1[[#This Row],[Avg. F size (R) (mm)]]</f>
        <v>31</v>
      </c>
      <c r="BF396">
        <f>Table1[[#This Row],[BP _Diastolic (mmHg)]]+(Table1[[#This Row],[BP _Diastolic (mmHg)]]+Table1[[#This Row],[Follicle No. (L)]])/3</f>
        <v>96</v>
      </c>
      <c r="BG396" s="4" t="str" cm="1">
        <f t="array" ref="BG39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96" s="4">
        <f>SUM(Table1[[#This Row],[Pimples(Y/N)]],Table1[[#This Row],[hair growth(Y/N)]],Table1[[#This Row],[Skin darkening (Y/N)]],Table1[[#This Row],[Hair loss(Y/N)]])</f>
        <v>2</v>
      </c>
      <c r="BI396" s="4" t="str">
        <f>IF(AND(Table1[[#This Row],[Pregnant(Y/N)]]=0, Table1[[#This Row],[  I   beta-HCG(mIU/mL)]]&gt;5), "Investigation Required", "Clear")</f>
        <v>Clear</v>
      </c>
    </row>
    <row r="397" spans="1:61" ht="15.75" customHeight="1" x14ac:dyDescent="0.25">
      <c r="A397">
        <v>396</v>
      </c>
      <c r="B397">
        <v>396</v>
      </c>
      <c r="C397">
        <v>1</v>
      </c>
      <c r="D397" t="str">
        <f>IF(Table1[[#This Row],[PCOS (Y/N)]]=0,"NO","YES")</f>
        <v>YES</v>
      </c>
      <c r="E397">
        <v>29</v>
      </c>
      <c r="F397">
        <v>74</v>
      </c>
      <c r="G397">
        <v>159</v>
      </c>
      <c r="H397">
        <v>11</v>
      </c>
      <c r="I397">
        <v>72</v>
      </c>
      <c r="J397">
        <v>20</v>
      </c>
      <c r="K397">
        <v>10.8</v>
      </c>
      <c r="L397">
        <v>4</v>
      </c>
      <c r="M397">
        <v>3</v>
      </c>
      <c r="N397">
        <v>3</v>
      </c>
      <c r="O397">
        <v>1</v>
      </c>
      <c r="P397" t="str">
        <f>IF(Table1[[#This Row],[Pregnant(Y/N)]]=1,"YES","NO")</f>
        <v>YES</v>
      </c>
      <c r="Q397">
        <v>0</v>
      </c>
      <c r="R397">
        <v>346.59</v>
      </c>
      <c r="S397">
        <v>346.59</v>
      </c>
      <c r="T397">
        <v>5.76</v>
      </c>
      <c r="U397">
        <v>6.42</v>
      </c>
      <c r="V397">
        <f>Table1[[#This Row],[FSH(mIU/mL)]]/Table1[[#This Row],[LH(mIU/mL)]]</f>
        <v>0.89719626168224298</v>
      </c>
      <c r="W397" t="str">
        <f>IF(Table1[[#This Row],[FSH/LH]]&gt;=2,"Abnormal","Normal")</f>
        <v>Normal</v>
      </c>
      <c r="X397">
        <v>42</v>
      </c>
      <c r="Y397">
        <v>38</v>
      </c>
      <c r="Z397">
        <f>ROUND(Table1[[#This Row],[Waist(inch)]]/Table1[[#This Row],[Hip(inch)]],2)</f>
        <v>0.9</v>
      </c>
      <c r="AA397">
        <v>0.95</v>
      </c>
      <c r="AB397">
        <v>6</v>
      </c>
      <c r="AC397">
        <v>45.54</v>
      </c>
      <c r="AD397">
        <v>36.200000000000003</v>
      </c>
      <c r="AE397" t="str">
        <f>IF(Table1[[#This Row],[Vit D3 (ng/mL)]]&lt;20,"Deficiency","Normal")</f>
        <v>Normal</v>
      </c>
      <c r="AF397">
        <v>0.32</v>
      </c>
      <c r="AG397">
        <v>92</v>
      </c>
      <c r="AH397">
        <v>1</v>
      </c>
      <c r="AI397" t="str">
        <f>IF(Table1[[#This Row],[Weight gain(Y/N)]]=0,"NO","YES")</f>
        <v>YES</v>
      </c>
      <c r="AJ397">
        <v>0</v>
      </c>
      <c r="AK397" t="str">
        <f>IF(Table1[[#This Row],[hair growth(Y/N)]]=1,"YES","NO")</f>
        <v>NO</v>
      </c>
      <c r="AL397">
        <v>1</v>
      </c>
      <c r="AM397" t="str">
        <f>IF(Table1[[#This Row],[Skin darkening (Y/N)]]=1,"YES","NO")</f>
        <v>YES</v>
      </c>
      <c r="AN397">
        <v>1</v>
      </c>
      <c r="AO397" t="str">
        <f>IF(Table1[[#This Row],[Hair loss(Y/N)]]=1,"YES","NO")</f>
        <v>YES</v>
      </c>
      <c r="AP397">
        <v>1</v>
      </c>
      <c r="AQ397" t="str">
        <f>IF(Table1[[#This Row],[Pimples(Y/N)]]=1,"YES","NO")</f>
        <v>YES</v>
      </c>
      <c r="AR397">
        <v>1</v>
      </c>
      <c r="AS397" t="str">
        <f>IF(Table1[[#This Row],[Fast food (Y/N)]]=1,"YES","NO")</f>
        <v>YES</v>
      </c>
      <c r="AT397">
        <v>0</v>
      </c>
      <c r="AU397" t="str">
        <f>IF(Table1[[#This Row],[Reg.Exercise(Y/N)]]=1,"YES","NO")</f>
        <v>NO</v>
      </c>
      <c r="AV397">
        <v>120</v>
      </c>
      <c r="AW397">
        <v>80</v>
      </c>
      <c r="AX397">
        <v>10</v>
      </c>
      <c r="AY397">
        <v>9</v>
      </c>
      <c r="AZ397">
        <v>15</v>
      </c>
      <c r="BA397">
        <v>14</v>
      </c>
      <c r="BB397">
        <v>8</v>
      </c>
      <c r="BC397" t="str" cm="1">
        <f t="array" ref="BC397">_xlfn.IFS((F397/(G397*G397)*10000)&lt; 18.5,"Underweight",(F397/(G397*G397)*10000)&lt;24.9,"Normal",(F397/(G397*G397)*10000)&lt;29.9,"Overweight",(F397/(G397*G397)*10000)&gt;=30,"obesity")</f>
        <v>Overweight</v>
      </c>
      <c r="BD397">
        <f>Table1[[#This Row],[Follicle No. (L)]]+Table1[[#This Row],[Follicle No. (R)]]</f>
        <v>19</v>
      </c>
      <c r="BE397">
        <f>Table1[[#This Row],[Avg. F size (L) (mm)]]+Table1[[#This Row],[Avg. F size (R) (mm)]]</f>
        <v>29</v>
      </c>
      <c r="BF397">
        <f>Table1[[#This Row],[BP _Diastolic (mmHg)]]+(Table1[[#This Row],[BP _Diastolic (mmHg)]]+Table1[[#This Row],[Follicle No. (L)]])/3</f>
        <v>110</v>
      </c>
      <c r="BG397" s="4" t="str" cm="1">
        <f t="array" ref="BG39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397" s="4">
        <f>SUM(Table1[[#This Row],[Pimples(Y/N)]],Table1[[#This Row],[hair growth(Y/N)]],Table1[[#This Row],[Skin darkening (Y/N)]],Table1[[#This Row],[Hair loss(Y/N)]])</f>
        <v>3</v>
      </c>
      <c r="BI397" s="4" t="str">
        <f>IF(AND(Table1[[#This Row],[Pregnant(Y/N)]]=0, Table1[[#This Row],[  I   beta-HCG(mIU/mL)]]&gt;5), "Investigation Required", "Clear")</f>
        <v>Clear</v>
      </c>
    </row>
    <row r="398" spans="1:61" ht="15.75" customHeight="1" x14ac:dyDescent="0.25">
      <c r="A398">
        <v>397</v>
      </c>
      <c r="B398">
        <v>397</v>
      </c>
      <c r="C398">
        <v>0</v>
      </c>
      <c r="D398" t="str">
        <f>IF(Table1[[#This Row],[PCOS (Y/N)]]=0,"NO","YES")</f>
        <v>NO</v>
      </c>
      <c r="E398">
        <v>31</v>
      </c>
      <c r="F398">
        <v>68</v>
      </c>
      <c r="G398">
        <v>161</v>
      </c>
      <c r="H398">
        <v>15</v>
      </c>
      <c r="I398">
        <v>72</v>
      </c>
      <c r="J398">
        <v>18</v>
      </c>
      <c r="K398">
        <v>12.8</v>
      </c>
      <c r="L398">
        <v>2</v>
      </c>
      <c r="M398">
        <v>6</v>
      </c>
      <c r="N398">
        <v>6</v>
      </c>
      <c r="O398">
        <v>1</v>
      </c>
      <c r="P398" t="str">
        <f>IF(Table1[[#This Row],[Pregnant(Y/N)]]=1,"YES","NO")</f>
        <v>YES</v>
      </c>
      <c r="Q398">
        <v>0</v>
      </c>
      <c r="R398">
        <v>96.22</v>
      </c>
      <c r="S398">
        <v>5.39</v>
      </c>
      <c r="T398">
        <v>1.58</v>
      </c>
      <c r="U398">
        <v>0.24</v>
      </c>
      <c r="V398">
        <f>Table1[[#This Row],[FSH(mIU/mL)]]/Table1[[#This Row],[LH(mIU/mL)]]</f>
        <v>6.5833333333333339</v>
      </c>
      <c r="W398" t="str">
        <f>IF(Table1[[#This Row],[FSH/LH]]&gt;=2,"Abnormal","Normal")</f>
        <v>Abnormal</v>
      </c>
      <c r="X398">
        <v>40</v>
      </c>
      <c r="Y398">
        <v>37</v>
      </c>
      <c r="Z398">
        <f>ROUND(Table1[[#This Row],[Waist(inch)]]/Table1[[#This Row],[Hip(inch)]],2)</f>
        <v>0.93</v>
      </c>
      <c r="AA398">
        <v>6.91</v>
      </c>
      <c r="AB398">
        <v>5.0999999999999996</v>
      </c>
      <c r="AC398">
        <v>15.85</v>
      </c>
      <c r="AD398">
        <v>25.6</v>
      </c>
      <c r="AE398" t="str">
        <f>IF(Table1[[#This Row],[Vit D3 (ng/mL)]]&lt;20,"Deficiency","Normal")</f>
        <v>Normal</v>
      </c>
      <c r="AF398">
        <v>0.5</v>
      </c>
      <c r="AG398">
        <v>87</v>
      </c>
      <c r="AH398">
        <v>1</v>
      </c>
      <c r="AI398" t="str">
        <f>IF(Table1[[#This Row],[Weight gain(Y/N)]]=0,"NO","YES")</f>
        <v>YES</v>
      </c>
      <c r="AJ398">
        <v>0</v>
      </c>
      <c r="AK398" t="str">
        <f>IF(Table1[[#This Row],[hair growth(Y/N)]]=1,"YES","NO")</f>
        <v>NO</v>
      </c>
      <c r="AL398">
        <v>0</v>
      </c>
      <c r="AM398" t="str">
        <f>IF(Table1[[#This Row],[Skin darkening (Y/N)]]=1,"YES","NO")</f>
        <v>NO</v>
      </c>
      <c r="AN398">
        <v>1</v>
      </c>
      <c r="AO398" t="str">
        <f>IF(Table1[[#This Row],[Hair loss(Y/N)]]=1,"YES","NO")</f>
        <v>YES</v>
      </c>
      <c r="AP398">
        <v>1</v>
      </c>
      <c r="AQ398" t="str">
        <f>IF(Table1[[#This Row],[Pimples(Y/N)]]=1,"YES","NO")</f>
        <v>YES</v>
      </c>
      <c r="AR398">
        <v>0</v>
      </c>
      <c r="AS398" t="str">
        <f>IF(Table1[[#This Row],[Fast food (Y/N)]]=1,"YES","NO")</f>
        <v>NO</v>
      </c>
      <c r="AT398">
        <v>0</v>
      </c>
      <c r="AU398" t="str">
        <f>IF(Table1[[#This Row],[Reg.Exercise(Y/N)]]=1,"YES","NO")</f>
        <v>NO</v>
      </c>
      <c r="AV398">
        <v>110</v>
      </c>
      <c r="AW398">
        <v>80</v>
      </c>
      <c r="AX398">
        <v>4</v>
      </c>
      <c r="AY398">
        <v>9</v>
      </c>
      <c r="AZ398">
        <v>12</v>
      </c>
      <c r="BA398">
        <v>15</v>
      </c>
      <c r="BB398">
        <v>7</v>
      </c>
      <c r="BC398" t="str" cm="1">
        <f t="array" ref="BC398">_xlfn.IFS((F398/(G398*G398)*10000)&lt; 18.5,"Underweight",(F398/(G398*G398)*10000)&lt;24.9,"Normal",(F398/(G398*G398)*10000)&lt;29.9,"Overweight",(F398/(G398*G398)*10000)&gt;=30,"obesity")</f>
        <v>Overweight</v>
      </c>
      <c r="BD398">
        <f>Table1[[#This Row],[Follicle No. (L)]]+Table1[[#This Row],[Follicle No. (R)]]</f>
        <v>13</v>
      </c>
      <c r="BE398">
        <f>Table1[[#This Row],[Avg. F size (L) (mm)]]+Table1[[#This Row],[Avg. F size (R) (mm)]]</f>
        <v>27</v>
      </c>
      <c r="BF398">
        <f>Table1[[#This Row],[BP _Diastolic (mmHg)]]+(Table1[[#This Row],[BP _Diastolic (mmHg)]]+Table1[[#This Row],[Follicle No. (L)]])/3</f>
        <v>108</v>
      </c>
      <c r="BG398" s="4" t="str" cm="1">
        <f t="array" ref="BG39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398" s="4">
        <f>SUM(Table1[[#This Row],[Pimples(Y/N)]],Table1[[#This Row],[hair growth(Y/N)]],Table1[[#This Row],[Skin darkening (Y/N)]],Table1[[#This Row],[Hair loss(Y/N)]])</f>
        <v>2</v>
      </c>
      <c r="BI398" s="4" t="str">
        <f>IF(AND(Table1[[#This Row],[Pregnant(Y/N)]]=0, Table1[[#This Row],[  I   beta-HCG(mIU/mL)]]&gt;5), "Investigation Required", "Clear")</f>
        <v>Clear</v>
      </c>
    </row>
    <row r="399" spans="1:61" ht="15.75" customHeight="1" x14ac:dyDescent="0.25">
      <c r="A399">
        <v>398</v>
      </c>
      <c r="B399">
        <v>398</v>
      </c>
      <c r="C399">
        <v>0</v>
      </c>
      <c r="D399" t="str">
        <f>IF(Table1[[#This Row],[PCOS (Y/N)]]=0,"NO","YES")</f>
        <v>NO</v>
      </c>
      <c r="E399">
        <v>35</v>
      </c>
      <c r="F399">
        <v>60</v>
      </c>
      <c r="G399">
        <v>152</v>
      </c>
      <c r="H399">
        <v>15</v>
      </c>
      <c r="I399">
        <v>74</v>
      </c>
      <c r="J399">
        <v>18</v>
      </c>
      <c r="K399">
        <v>10</v>
      </c>
      <c r="L399">
        <v>2</v>
      </c>
      <c r="M399">
        <v>6</v>
      </c>
      <c r="N399">
        <v>3</v>
      </c>
      <c r="O399">
        <v>1</v>
      </c>
      <c r="P399" t="str">
        <f>IF(Table1[[#This Row],[Pregnant(Y/N)]]=1,"YES","NO")</f>
        <v>YES</v>
      </c>
      <c r="Q399">
        <v>0</v>
      </c>
      <c r="R399">
        <v>116.31</v>
      </c>
      <c r="S399">
        <v>116.31</v>
      </c>
      <c r="T399">
        <v>6.52</v>
      </c>
      <c r="U399">
        <v>3.42</v>
      </c>
      <c r="V399">
        <f>Table1[[#This Row],[FSH(mIU/mL)]]/Table1[[#This Row],[LH(mIU/mL)]]</f>
        <v>1.9064327485380117</v>
      </c>
      <c r="W399" t="str">
        <f>IF(Table1[[#This Row],[FSH/LH]]&gt;=2,"Abnormal","Normal")</f>
        <v>Normal</v>
      </c>
      <c r="X399">
        <v>38</v>
      </c>
      <c r="Y399">
        <v>34</v>
      </c>
      <c r="Z399">
        <f>ROUND(Table1[[#This Row],[Waist(inch)]]/Table1[[#This Row],[Hip(inch)]],2)</f>
        <v>0.89</v>
      </c>
      <c r="AA399">
        <v>0.77</v>
      </c>
      <c r="AB399">
        <v>2.5</v>
      </c>
      <c r="AC399">
        <v>40.729999999999997</v>
      </c>
      <c r="AD399">
        <v>20</v>
      </c>
      <c r="AE399" t="str">
        <f>IF(Table1[[#This Row],[Vit D3 (ng/mL)]]&lt;20,"Deficiency","Normal")</f>
        <v>Normal</v>
      </c>
      <c r="AF399">
        <v>0.3</v>
      </c>
      <c r="AG399">
        <v>92</v>
      </c>
      <c r="AH399">
        <v>1</v>
      </c>
      <c r="AI399" t="str">
        <f>IF(Table1[[#This Row],[Weight gain(Y/N)]]=0,"NO","YES")</f>
        <v>YES</v>
      </c>
      <c r="AJ399">
        <v>0</v>
      </c>
      <c r="AK399" t="str">
        <f>IF(Table1[[#This Row],[hair growth(Y/N)]]=1,"YES","NO")</f>
        <v>NO</v>
      </c>
      <c r="AL399">
        <v>0</v>
      </c>
      <c r="AM399" t="str">
        <f>IF(Table1[[#This Row],[Skin darkening (Y/N)]]=1,"YES","NO")</f>
        <v>NO</v>
      </c>
      <c r="AN399">
        <v>0</v>
      </c>
      <c r="AO399" t="str">
        <f>IF(Table1[[#This Row],[Hair loss(Y/N)]]=1,"YES","NO")</f>
        <v>NO</v>
      </c>
      <c r="AP399">
        <v>1</v>
      </c>
      <c r="AQ399" t="str">
        <f>IF(Table1[[#This Row],[Pimples(Y/N)]]=1,"YES","NO")</f>
        <v>YES</v>
      </c>
      <c r="AR399">
        <v>0</v>
      </c>
      <c r="AS399" t="str">
        <f>IF(Table1[[#This Row],[Fast food (Y/N)]]=1,"YES","NO")</f>
        <v>NO</v>
      </c>
      <c r="AT399">
        <v>1</v>
      </c>
      <c r="AU399" t="str">
        <f>IF(Table1[[#This Row],[Reg.Exercise(Y/N)]]=1,"YES","NO")</f>
        <v>YES</v>
      </c>
      <c r="AV399">
        <v>110</v>
      </c>
      <c r="AW399">
        <v>80</v>
      </c>
      <c r="AX399">
        <v>3</v>
      </c>
      <c r="AY399">
        <v>4</v>
      </c>
      <c r="AZ399">
        <v>12</v>
      </c>
      <c r="BA399">
        <v>11</v>
      </c>
      <c r="BB399">
        <v>8</v>
      </c>
      <c r="BC399" t="str" cm="1">
        <f t="array" ref="BC399">_xlfn.IFS((F399/(G399*G399)*10000)&lt; 18.5,"Underweight",(F399/(G399*G399)*10000)&lt;24.9,"Normal",(F399/(G399*G399)*10000)&lt;29.9,"Overweight",(F399/(G399*G399)*10000)&gt;=30,"obesity")</f>
        <v>Overweight</v>
      </c>
      <c r="BD399">
        <f>Table1[[#This Row],[Follicle No. (L)]]+Table1[[#This Row],[Follicle No. (R)]]</f>
        <v>7</v>
      </c>
      <c r="BE399">
        <f>Table1[[#This Row],[Avg. F size (L) (mm)]]+Table1[[#This Row],[Avg. F size (R) (mm)]]</f>
        <v>23</v>
      </c>
      <c r="BF399">
        <f>Table1[[#This Row],[BP _Diastolic (mmHg)]]+(Table1[[#This Row],[BP _Diastolic (mmHg)]]+Table1[[#This Row],[Follicle No. (L)]])/3</f>
        <v>107.66666666666667</v>
      </c>
      <c r="BG399" s="4" t="str" cm="1">
        <f t="array" ref="BG39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399" s="4">
        <f>SUM(Table1[[#This Row],[Pimples(Y/N)]],Table1[[#This Row],[hair growth(Y/N)]],Table1[[#This Row],[Skin darkening (Y/N)]],Table1[[#This Row],[Hair loss(Y/N)]])</f>
        <v>1</v>
      </c>
      <c r="BI399" s="4" t="str">
        <f>IF(AND(Table1[[#This Row],[Pregnant(Y/N)]]=0, Table1[[#This Row],[  I   beta-HCG(mIU/mL)]]&gt;5), "Investigation Required", "Clear")</f>
        <v>Clear</v>
      </c>
    </row>
    <row r="400" spans="1:61" ht="15.75" customHeight="1" x14ac:dyDescent="0.25">
      <c r="A400">
        <v>399</v>
      </c>
      <c r="B400">
        <v>399</v>
      </c>
      <c r="C400">
        <v>1</v>
      </c>
      <c r="D400" t="str">
        <f>IF(Table1[[#This Row],[PCOS (Y/N)]]=0,"NO","YES")</f>
        <v>YES</v>
      </c>
      <c r="E400">
        <v>36</v>
      </c>
      <c r="F400">
        <v>60</v>
      </c>
      <c r="G400">
        <v>154</v>
      </c>
      <c r="H400">
        <v>11</v>
      </c>
      <c r="I400">
        <v>72</v>
      </c>
      <c r="J400">
        <v>18</v>
      </c>
      <c r="K400">
        <v>11.2</v>
      </c>
      <c r="L400">
        <v>2</v>
      </c>
      <c r="M400">
        <v>4</v>
      </c>
      <c r="N400">
        <v>5</v>
      </c>
      <c r="O400">
        <v>1</v>
      </c>
      <c r="P400" t="str">
        <f>IF(Table1[[#This Row],[Pregnant(Y/N)]]=1,"YES","NO")</f>
        <v>YES</v>
      </c>
      <c r="Q400">
        <v>1</v>
      </c>
      <c r="R400">
        <v>232.64</v>
      </c>
      <c r="S400">
        <v>232.64</v>
      </c>
      <c r="T400">
        <v>3.72</v>
      </c>
      <c r="U400">
        <v>1.6</v>
      </c>
      <c r="V400">
        <f>Table1[[#This Row],[FSH(mIU/mL)]]/Table1[[#This Row],[LH(mIU/mL)]]</f>
        <v>2.3250000000000002</v>
      </c>
      <c r="W400" t="str">
        <f>IF(Table1[[#This Row],[FSH/LH]]&gt;=2,"Abnormal","Normal")</f>
        <v>Abnormal</v>
      </c>
      <c r="X400">
        <v>38</v>
      </c>
      <c r="Y400">
        <v>35</v>
      </c>
      <c r="Z400">
        <f>ROUND(Table1[[#This Row],[Waist(inch)]]/Table1[[#This Row],[Hip(inch)]],2)</f>
        <v>0.92</v>
      </c>
      <c r="AA400">
        <v>1.6</v>
      </c>
      <c r="AB400">
        <v>1.6</v>
      </c>
      <c r="AC400">
        <v>18.350000000000001</v>
      </c>
      <c r="AD400">
        <v>24.6</v>
      </c>
      <c r="AE400" t="str">
        <f>IF(Table1[[#This Row],[Vit D3 (ng/mL)]]&lt;20,"Deficiency","Normal")</f>
        <v>Normal</v>
      </c>
      <c r="AF400">
        <v>0.48</v>
      </c>
      <c r="AG400">
        <v>92</v>
      </c>
      <c r="AH400">
        <v>1</v>
      </c>
      <c r="AI400" t="str">
        <f>IF(Table1[[#This Row],[Weight gain(Y/N)]]=0,"NO","YES")</f>
        <v>YES</v>
      </c>
      <c r="AJ400">
        <v>1</v>
      </c>
      <c r="AK400" t="str">
        <f>IF(Table1[[#This Row],[hair growth(Y/N)]]=1,"YES","NO")</f>
        <v>YES</v>
      </c>
      <c r="AL400">
        <v>0</v>
      </c>
      <c r="AM400" t="str">
        <f>IF(Table1[[#This Row],[Skin darkening (Y/N)]]=1,"YES","NO")</f>
        <v>NO</v>
      </c>
      <c r="AN400">
        <v>0</v>
      </c>
      <c r="AO400" t="str">
        <f>IF(Table1[[#This Row],[Hair loss(Y/N)]]=1,"YES","NO")</f>
        <v>NO</v>
      </c>
      <c r="AP400">
        <v>1</v>
      </c>
      <c r="AQ400" t="str">
        <f>IF(Table1[[#This Row],[Pimples(Y/N)]]=1,"YES","NO")</f>
        <v>YES</v>
      </c>
      <c r="AR400">
        <v>1</v>
      </c>
      <c r="AS400" t="str">
        <f>IF(Table1[[#This Row],[Fast food (Y/N)]]=1,"YES","NO")</f>
        <v>YES</v>
      </c>
      <c r="AT400">
        <v>0</v>
      </c>
      <c r="AU400" t="str">
        <f>IF(Table1[[#This Row],[Reg.Exercise(Y/N)]]=1,"YES","NO")</f>
        <v>NO</v>
      </c>
      <c r="AV400">
        <v>110</v>
      </c>
      <c r="AW400">
        <v>80</v>
      </c>
      <c r="AX400">
        <v>6</v>
      </c>
      <c r="AY400">
        <v>9</v>
      </c>
      <c r="AZ400">
        <v>19</v>
      </c>
      <c r="BA400">
        <v>17</v>
      </c>
      <c r="BB400">
        <v>5.8</v>
      </c>
      <c r="BC400" t="str" cm="1">
        <f t="array" ref="BC400">_xlfn.IFS((F400/(G400*G400)*10000)&lt; 18.5,"Underweight",(F400/(G400*G400)*10000)&lt;24.9,"Normal",(F400/(G400*G400)*10000)&lt;29.9,"Overweight",(F400/(G400*G400)*10000)&gt;=30,"obesity")</f>
        <v>Overweight</v>
      </c>
      <c r="BD400">
        <f>Table1[[#This Row],[Follicle No. (L)]]+Table1[[#This Row],[Follicle No. (R)]]</f>
        <v>15</v>
      </c>
      <c r="BE400">
        <f>Table1[[#This Row],[Avg. F size (L) (mm)]]+Table1[[#This Row],[Avg. F size (R) (mm)]]</f>
        <v>36</v>
      </c>
      <c r="BF400">
        <f>Table1[[#This Row],[BP _Diastolic (mmHg)]]+(Table1[[#This Row],[BP _Diastolic (mmHg)]]+Table1[[#This Row],[Follicle No. (L)]])/3</f>
        <v>108.66666666666667</v>
      </c>
      <c r="BG400" s="4" t="str" cm="1">
        <f t="array" ref="BG40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00" s="4">
        <f>SUM(Table1[[#This Row],[Pimples(Y/N)]],Table1[[#This Row],[hair growth(Y/N)]],Table1[[#This Row],[Skin darkening (Y/N)]],Table1[[#This Row],[Hair loss(Y/N)]])</f>
        <v>2</v>
      </c>
      <c r="BI400" s="4" t="str">
        <f>IF(AND(Table1[[#This Row],[Pregnant(Y/N)]]=0, Table1[[#This Row],[  I   beta-HCG(mIU/mL)]]&gt;5), "Investigation Required", "Clear")</f>
        <v>Clear</v>
      </c>
    </row>
    <row r="401" spans="1:61" ht="15.75" customHeight="1" x14ac:dyDescent="0.25">
      <c r="A401">
        <v>400</v>
      </c>
      <c r="B401">
        <v>400</v>
      </c>
      <c r="C401">
        <v>0</v>
      </c>
      <c r="D401" t="str">
        <f>IF(Table1[[#This Row],[PCOS (Y/N)]]=0,"NO","YES")</f>
        <v>NO</v>
      </c>
      <c r="E401">
        <v>30</v>
      </c>
      <c r="F401">
        <v>67</v>
      </c>
      <c r="G401">
        <v>165</v>
      </c>
      <c r="H401">
        <v>13</v>
      </c>
      <c r="I401">
        <v>80</v>
      </c>
      <c r="J401">
        <v>20</v>
      </c>
      <c r="K401">
        <v>10</v>
      </c>
      <c r="L401">
        <v>2</v>
      </c>
      <c r="M401">
        <v>6</v>
      </c>
      <c r="N401">
        <v>5</v>
      </c>
      <c r="O401">
        <v>1</v>
      </c>
      <c r="P401" t="str">
        <f>IF(Table1[[#This Row],[Pregnant(Y/N)]]=1,"YES","NO")</f>
        <v>YES</v>
      </c>
      <c r="Q401">
        <v>0</v>
      </c>
      <c r="R401">
        <v>167.41</v>
      </c>
      <c r="S401">
        <v>167.41</v>
      </c>
      <c r="T401">
        <v>5.73</v>
      </c>
      <c r="U401">
        <v>2.42</v>
      </c>
      <c r="V401">
        <f>Table1[[#This Row],[FSH(mIU/mL)]]/Table1[[#This Row],[LH(mIU/mL)]]</f>
        <v>2.3677685950413228</v>
      </c>
      <c r="W401" t="str">
        <f>IF(Table1[[#This Row],[FSH/LH]]&gt;=2,"Abnormal","Normal")</f>
        <v>Abnormal</v>
      </c>
      <c r="X401">
        <v>39</v>
      </c>
      <c r="Y401">
        <v>35</v>
      </c>
      <c r="Z401">
        <f>ROUND(Table1[[#This Row],[Waist(inch)]]/Table1[[#This Row],[Hip(inch)]],2)</f>
        <v>0.9</v>
      </c>
      <c r="AA401">
        <v>2.31</v>
      </c>
      <c r="AB401">
        <v>1.9</v>
      </c>
      <c r="AC401">
        <v>25.13</v>
      </c>
      <c r="AD401">
        <v>12.4</v>
      </c>
      <c r="AE401" t="str">
        <f>IF(Table1[[#This Row],[Vit D3 (ng/mL)]]&lt;20,"Deficiency","Normal")</f>
        <v>Deficiency</v>
      </c>
      <c r="AF401">
        <v>0.57999999999999996</v>
      </c>
      <c r="AG401">
        <v>100</v>
      </c>
      <c r="AH401">
        <v>0</v>
      </c>
      <c r="AI401" t="str">
        <f>IF(Table1[[#This Row],[Weight gain(Y/N)]]=0,"NO","YES")</f>
        <v>NO</v>
      </c>
      <c r="AJ401">
        <v>0</v>
      </c>
      <c r="AK401" t="str">
        <f>IF(Table1[[#This Row],[hair growth(Y/N)]]=1,"YES","NO")</f>
        <v>NO</v>
      </c>
      <c r="AL401">
        <v>0</v>
      </c>
      <c r="AM401" t="str">
        <f>IF(Table1[[#This Row],[Skin darkening (Y/N)]]=1,"YES","NO")</f>
        <v>NO</v>
      </c>
      <c r="AN401">
        <v>1</v>
      </c>
      <c r="AO401" t="str">
        <f>IF(Table1[[#This Row],[Hair loss(Y/N)]]=1,"YES","NO")</f>
        <v>YES</v>
      </c>
      <c r="AP401">
        <v>0</v>
      </c>
      <c r="AQ401" t="str">
        <f>IF(Table1[[#This Row],[Pimples(Y/N)]]=1,"YES","NO")</f>
        <v>NO</v>
      </c>
      <c r="AR401">
        <v>1</v>
      </c>
      <c r="AS401" t="str">
        <f>IF(Table1[[#This Row],[Fast food (Y/N)]]=1,"YES","NO")</f>
        <v>YES</v>
      </c>
      <c r="AT401">
        <v>0</v>
      </c>
      <c r="AU401" t="str">
        <f>IF(Table1[[#This Row],[Reg.Exercise(Y/N)]]=1,"YES","NO")</f>
        <v>NO</v>
      </c>
      <c r="AV401">
        <v>120</v>
      </c>
      <c r="AW401">
        <v>70</v>
      </c>
      <c r="AX401">
        <v>3</v>
      </c>
      <c r="AY401">
        <v>3</v>
      </c>
      <c r="AZ401">
        <v>18</v>
      </c>
      <c r="BA401">
        <v>19</v>
      </c>
      <c r="BB401">
        <v>9.6</v>
      </c>
      <c r="BC401" t="str" cm="1">
        <f t="array" ref="BC401">_xlfn.IFS((F401/(G401*G401)*10000)&lt; 18.5,"Underweight",(F401/(G401*G401)*10000)&lt;24.9,"Normal",(F401/(G401*G401)*10000)&lt;29.9,"Overweight",(F401/(G401*G401)*10000)&gt;=30,"obesity")</f>
        <v>Normal</v>
      </c>
      <c r="BD401">
        <f>Table1[[#This Row],[Follicle No. (L)]]+Table1[[#This Row],[Follicle No. (R)]]</f>
        <v>6</v>
      </c>
      <c r="BE401">
        <f>Table1[[#This Row],[Avg. F size (L) (mm)]]+Table1[[#This Row],[Avg. F size (R) (mm)]]</f>
        <v>37</v>
      </c>
      <c r="BF401">
        <f>Table1[[#This Row],[BP _Diastolic (mmHg)]]+(Table1[[#This Row],[BP _Diastolic (mmHg)]]+Table1[[#This Row],[Follicle No. (L)]])/3</f>
        <v>94.333333333333329</v>
      </c>
      <c r="BG401" s="4" t="str" cm="1">
        <f t="array" ref="BG40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01" s="4">
        <f>SUM(Table1[[#This Row],[Pimples(Y/N)]],Table1[[#This Row],[hair growth(Y/N)]],Table1[[#This Row],[Skin darkening (Y/N)]],Table1[[#This Row],[Hair loss(Y/N)]])</f>
        <v>1</v>
      </c>
      <c r="BI401" s="4" t="str">
        <f>IF(AND(Table1[[#This Row],[Pregnant(Y/N)]]=0, Table1[[#This Row],[  I   beta-HCG(mIU/mL)]]&gt;5), "Investigation Required", "Clear")</f>
        <v>Clear</v>
      </c>
    </row>
    <row r="402" spans="1:61" ht="15.75" customHeight="1" x14ac:dyDescent="0.25">
      <c r="A402">
        <v>401</v>
      </c>
      <c r="B402">
        <v>401</v>
      </c>
      <c r="C402">
        <v>0</v>
      </c>
      <c r="D402" t="str">
        <f>IF(Table1[[#This Row],[PCOS (Y/N)]]=0,"NO","YES")</f>
        <v>NO</v>
      </c>
      <c r="E402">
        <v>27</v>
      </c>
      <c r="F402">
        <v>58</v>
      </c>
      <c r="G402">
        <v>161</v>
      </c>
      <c r="H402">
        <v>13</v>
      </c>
      <c r="I402">
        <v>74</v>
      </c>
      <c r="J402">
        <v>18</v>
      </c>
      <c r="K402">
        <v>10.5</v>
      </c>
      <c r="L402">
        <v>2</v>
      </c>
      <c r="M402">
        <v>5</v>
      </c>
      <c r="N402">
        <v>8</v>
      </c>
      <c r="O402">
        <v>0</v>
      </c>
      <c r="P402" t="str">
        <f>IF(Table1[[#This Row],[Pregnant(Y/N)]]=1,"YES","NO")</f>
        <v>NO</v>
      </c>
      <c r="Q402">
        <v>0</v>
      </c>
      <c r="R402">
        <v>1.99</v>
      </c>
      <c r="S402">
        <v>1.99</v>
      </c>
      <c r="T402">
        <v>2.1</v>
      </c>
      <c r="U402">
        <v>1.08</v>
      </c>
      <c r="V402">
        <f>Table1[[#This Row],[FSH(mIU/mL)]]/Table1[[#This Row],[LH(mIU/mL)]]</f>
        <v>1.9444444444444444</v>
      </c>
      <c r="W402" t="str">
        <f>IF(Table1[[#This Row],[FSH/LH]]&gt;=2,"Abnormal","Normal")</f>
        <v>Normal</v>
      </c>
      <c r="X402">
        <v>37</v>
      </c>
      <c r="Y402">
        <v>34</v>
      </c>
      <c r="Z402">
        <f>ROUND(Table1[[#This Row],[Waist(inch)]]/Table1[[#This Row],[Hip(inch)]],2)</f>
        <v>0.92</v>
      </c>
      <c r="AA402">
        <v>3.4</v>
      </c>
      <c r="AB402">
        <v>1.1399999999999999</v>
      </c>
      <c r="AC402">
        <v>10.76</v>
      </c>
      <c r="AD402">
        <v>25.4</v>
      </c>
      <c r="AE402" t="str">
        <f>IF(Table1[[#This Row],[Vit D3 (ng/mL)]]&lt;20,"Deficiency","Normal")</f>
        <v>Normal</v>
      </c>
      <c r="AF402">
        <v>0.25</v>
      </c>
      <c r="AG402">
        <v>100</v>
      </c>
      <c r="AH402">
        <v>0</v>
      </c>
      <c r="AI402" t="str">
        <f>IF(Table1[[#This Row],[Weight gain(Y/N)]]=0,"NO","YES")</f>
        <v>NO</v>
      </c>
      <c r="AJ402">
        <v>0</v>
      </c>
      <c r="AK402" t="str">
        <f>IF(Table1[[#This Row],[hair growth(Y/N)]]=1,"YES","NO")</f>
        <v>NO</v>
      </c>
      <c r="AL402">
        <v>0</v>
      </c>
      <c r="AM402" t="str">
        <f>IF(Table1[[#This Row],[Skin darkening (Y/N)]]=1,"YES","NO")</f>
        <v>NO</v>
      </c>
      <c r="AN402">
        <v>1</v>
      </c>
      <c r="AO402" t="str">
        <f>IF(Table1[[#This Row],[Hair loss(Y/N)]]=1,"YES","NO")</f>
        <v>YES</v>
      </c>
      <c r="AP402">
        <v>1</v>
      </c>
      <c r="AQ402" t="str">
        <f>IF(Table1[[#This Row],[Pimples(Y/N)]]=1,"YES","NO")</f>
        <v>YES</v>
      </c>
      <c r="AR402">
        <v>0</v>
      </c>
      <c r="AS402" t="str">
        <f>IF(Table1[[#This Row],[Fast food (Y/N)]]=1,"YES","NO")</f>
        <v>NO</v>
      </c>
      <c r="AT402">
        <v>0</v>
      </c>
      <c r="AU402" t="str">
        <f>IF(Table1[[#This Row],[Reg.Exercise(Y/N)]]=1,"YES","NO")</f>
        <v>NO</v>
      </c>
      <c r="AV402">
        <v>120</v>
      </c>
      <c r="AW402">
        <v>70</v>
      </c>
      <c r="AX402">
        <v>4</v>
      </c>
      <c r="AY402">
        <v>4</v>
      </c>
      <c r="AZ402">
        <v>14</v>
      </c>
      <c r="BA402">
        <v>16</v>
      </c>
      <c r="BB402">
        <v>7</v>
      </c>
      <c r="BC402" t="str" cm="1">
        <f t="array" ref="BC402">_xlfn.IFS((F402/(G402*G402)*10000)&lt; 18.5,"Underweight",(F402/(G402*G402)*10000)&lt;24.9,"Normal",(F402/(G402*G402)*10000)&lt;29.9,"Overweight",(F402/(G402*G402)*10000)&gt;=30,"obesity")</f>
        <v>Normal</v>
      </c>
      <c r="BD402">
        <f>Table1[[#This Row],[Follicle No. (L)]]+Table1[[#This Row],[Follicle No. (R)]]</f>
        <v>8</v>
      </c>
      <c r="BE402">
        <f>Table1[[#This Row],[Avg. F size (L) (mm)]]+Table1[[#This Row],[Avg. F size (R) (mm)]]</f>
        <v>30</v>
      </c>
      <c r="BF402">
        <f>Table1[[#This Row],[BP _Diastolic (mmHg)]]+(Table1[[#This Row],[BP _Diastolic (mmHg)]]+Table1[[#This Row],[Follicle No. (L)]])/3</f>
        <v>94.666666666666671</v>
      </c>
      <c r="BG402" s="4" t="str" cm="1">
        <f t="array" ref="BG40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02" s="4">
        <f>SUM(Table1[[#This Row],[Pimples(Y/N)]],Table1[[#This Row],[hair growth(Y/N)]],Table1[[#This Row],[Skin darkening (Y/N)]],Table1[[#This Row],[Hair loss(Y/N)]])</f>
        <v>2</v>
      </c>
      <c r="BI402" s="4" t="str">
        <f>IF(AND(Table1[[#This Row],[Pregnant(Y/N)]]=0, Table1[[#This Row],[  I   beta-HCG(mIU/mL)]]&gt;5), "Investigation Required", "Clear")</f>
        <v>Clear</v>
      </c>
    </row>
    <row r="403" spans="1:61" ht="15.75" customHeight="1" x14ac:dyDescent="0.25">
      <c r="A403">
        <v>402</v>
      </c>
      <c r="B403">
        <v>402</v>
      </c>
      <c r="C403">
        <v>0</v>
      </c>
      <c r="D403" t="str">
        <f>IF(Table1[[#This Row],[PCOS (Y/N)]]=0,"NO","YES")</f>
        <v>NO</v>
      </c>
      <c r="E403">
        <v>28</v>
      </c>
      <c r="F403">
        <v>65.599999999999994</v>
      </c>
      <c r="G403">
        <v>159</v>
      </c>
      <c r="H403">
        <v>11</v>
      </c>
      <c r="I403">
        <v>72</v>
      </c>
      <c r="J403">
        <v>20</v>
      </c>
      <c r="K403">
        <v>10.5</v>
      </c>
      <c r="L403">
        <v>2</v>
      </c>
      <c r="M403">
        <v>6</v>
      </c>
      <c r="N403">
        <v>5</v>
      </c>
      <c r="O403">
        <v>0</v>
      </c>
      <c r="P403" t="str">
        <f>IF(Table1[[#This Row],[Pregnant(Y/N)]]=1,"YES","NO")</f>
        <v>NO</v>
      </c>
      <c r="Q403">
        <v>0</v>
      </c>
      <c r="R403">
        <v>2</v>
      </c>
      <c r="S403">
        <v>2</v>
      </c>
      <c r="T403">
        <v>4.4400000000000004</v>
      </c>
      <c r="U403">
        <v>1.03</v>
      </c>
      <c r="V403">
        <f>Table1[[#This Row],[FSH(mIU/mL)]]/Table1[[#This Row],[LH(mIU/mL)]]</f>
        <v>4.3106796116504853</v>
      </c>
      <c r="W403" t="str">
        <f>IF(Table1[[#This Row],[FSH/LH]]&gt;=2,"Abnormal","Normal")</f>
        <v>Abnormal</v>
      </c>
      <c r="X403">
        <v>39</v>
      </c>
      <c r="Y403">
        <v>36</v>
      </c>
      <c r="Z403">
        <f>ROUND(Table1[[#This Row],[Waist(inch)]]/Table1[[#This Row],[Hip(inch)]],2)</f>
        <v>0.92</v>
      </c>
      <c r="AA403">
        <v>3.67</v>
      </c>
      <c r="AB403">
        <v>5.7</v>
      </c>
      <c r="AC403">
        <v>23.65</v>
      </c>
      <c r="AD403">
        <v>15.5</v>
      </c>
      <c r="AE403" t="str">
        <f>IF(Table1[[#This Row],[Vit D3 (ng/mL)]]&lt;20,"Deficiency","Normal")</f>
        <v>Deficiency</v>
      </c>
      <c r="AF403">
        <v>0.57999999999999996</v>
      </c>
      <c r="AG403">
        <v>130</v>
      </c>
      <c r="AH403">
        <v>1</v>
      </c>
      <c r="AI403" t="str">
        <f>IF(Table1[[#This Row],[Weight gain(Y/N)]]=0,"NO","YES")</f>
        <v>YES</v>
      </c>
      <c r="AJ403">
        <v>0</v>
      </c>
      <c r="AK403" t="str">
        <f>IF(Table1[[#This Row],[hair growth(Y/N)]]=1,"YES","NO")</f>
        <v>NO</v>
      </c>
      <c r="AL403">
        <v>0</v>
      </c>
      <c r="AM403" t="str">
        <f>IF(Table1[[#This Row],[Skin darkening (Y/N)]]=1,"YES","NO")</f>
        <v>NO</v>
      </c>
      <c r="AN403">
        <v>1</v>
      </c>
      <c r="AO403" t="str">
        <f>IF(Table1[[#This Row],[Hair loss(Y/N)]]=1,"YES","NO")</f>
        <v>YES</v>
      </c>
      <c r="AP403">
        <v>0</v>
      </c>
      <c r="AQ403" t="str">
        <f>IF(Table1[[#This Row],[Pimples(Y/N)]]=1,"YES","NO")</f>
        <v>NO</v>
      </c>
      <c r="AR403">
        <v>1</v>
      </c>
      <c r="AS403" t="str">
        <f>IF(Table1[[#This Row],[Fast food (Y/N)]]=1,"YES","NO")</f>
        <v>YES</v>
      </c>
      <c r="AT403">
        <v>0</v>
      </c>
      <c r="AU403" t="str">
        <f>IF(Table1[[#This Row],[Reg.Exercise(Y/N)]]=1,"YES","NO")</f>
        <v>NO</v>
      </c>
      <c r="AV403">
        <v>120</v>
      </c>
      <c r="AW403">
        <v>80</v>
      </c>
      <c r="AX403">
        <v>5</v>
      </c>
      <c r="AY403">
        <v>5</v>
      </c>
      <c r="AZ403">
        <v>14</v>
      </c>
      <c r="BA403">
        <v>16</v>
      </c>
      <c r="BB403">
        <v>8</v>
      </c>
      <c r="BC403" t="str" cm="1">
        <f t="array" ref="BC403">_xlfn.IFS((F403/(G403*G403)*10000)&lt; 18.5,"Underweight",(F403/(G403*G403)*10000)&lt;24.9,"Normal",(F403/(G403*G403)*10000)&lt;29.9,"Overweight",(F403/(G403*G403)*10000)&gt;=30,"obesity")</f>
        <v>Overweight</v>
      </c>
      <c r="BD403">
        <f>Table1[[#This Row],[Follicle No. (L)]]+Table1[[#This Row],[Follicle No. (R)]]</f>
        <v>10</v>
      </c>
      <c r="BE403">
        <f>Table1[[#This Row],[Avg. F size (L) (mm)]]+Table1[[#This Row],[Avg. F size (R) (mm)]]</f>
        <v>30</v>
      </c>
      <c r="BF403">
        <f>Table1[[#This Row],[BP _Diastolic (mmHg)]]+(Table1[[#This Row],[BP _Diastolic (mmHg)]]+Table1[[#This Row],[Follicle No. (L)]])/3</f>
        <v>108.33333333333333</v>
      </c>
      <c r="BG403" s="4" t="str" cm="1">
        <f t="array" ref="BG40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03" s="4">
        <f>SUM(Table1[[#This Row],[Pimples(Y/N)]],Table1[[#This Row],[hair growth(Y/N)]],Table1[[#This Row],[Skin darkening (Y/N)]],Table1[[#This Row],[Hair loss(Y/N)]])</f>
        <v>1</v>
      </c>
      <c r="BI403" s="4" t="str">
        <f>IF(AND(Table1[[#This Row],[Pregnant(Y/N)]]=0, Table1[[#This Row],[  I   beta-HCG(mIU/mL)]]&gt;5), "Investigation Required", "Clear")</f>
        <v>Clear</v>
      </c>
    </row>
    <row r="404" spans="1:61" ht="15.75" customHeight="1" x14ac:dyDescent="0.25">
      <c r="A404">
        <v>403</v>
      </c>
      <c r="B404">
        <v>403</v>
      </c>
      <c r="C404">
        <v>1</v>
      </c>
      <c r="D404" t="str">
        <f>IF(Table1[[#This Row],[PCOS (Y/N)]]=0,"NO","YES")</f>
        <v>YES</v>
      </c>
      <c r="E404">
        <v>28</v>
      </c>
      <c r="F404">
        <v>65</v>
      </c>
      <c r="G404">
        <v>158</v>
      </c>
      <c r="H404">
        <v>11</v>
      </c>
      <c r="I404">
        <v>74</v>
      </c>
      <c r="J404">
        <v>20</v>
      </c>
      <c r="K404">
        <v>10.5</v>
      </c>
      <c r="L404">
        <v>4</v>
      </c>
      <c r="M404">
        <v>3</v>
      </c>
      <c r="N404">
        <v>4.5</v>
      </c>
      <c r="O404">
        <v>1</v>
      </c>
      <c r="P404" t="str">
        <f>IF(Table1[[#This Row],[Pregnant(Y/N)]]=1,"YES","NO")</f>
        <v>YES</v>
      </c>
      <c r="Q404">
        <v>0</v>
      </c>
      <c r="R404">
        <v>230.53</v>
      </c>
      <c r="S404">
        <v>230.53</v>
      </c>
      <c r="T404">
        <v>5.18</v>
      </c>
      <c r="U404">
        <v>6.02</v>
      </c>
      <c r="V404">
        <f>Table1[[#This Row],[FSH(mIU/mL)]]/Table1[[#This Row],[LH(mIU/mL)]]</f>
        <v>0.86046511627906974</v>
      </c>
      <c r="W404" t="str">
        <f>IF(Table1[[#This Row],[FSH/LH]]&gt;=2,"Abnormal","Normal")</f>
        <v>Normal</v>
      </c>
      <c r="X404">
        <v>36</v>
      </c>
      <c r="Y404">
        <v>32</v>
      </c>
      <c r="Z404">
        <f>ROUND(Table1[[#This Row],[Waist(inch)]]/Table1[[#This Row],[Hip(inch)]],2)</f>
        <v>0.89</v>
      </c>
      <c r="AA404">
        <v>1.57</v>
      </c>
      <c r="AB404">
        <v>28.6</v>
      </c>
      <c r="AC404">
        <v>12.62</v>
      </c>
      <c r="AD404">
        <v>21.2</v>
      </c>
      <c r="AE404" t="str">
        <f>IF(Table1[[#This Row],[Vit D3 (ng/mL)]]&lt;20,"Deficiency","Normal")</f>
        <v>Normal</v>
      </c>
      <c r="AF404">
        <v>0.25</v>
      </c>
      <c r="AG404">
        <v>125</v>
      </c>
      <c r="AH404">
        <v>1</v>
      </c>
      <c r="AI404" t="str">
        <f>IF(Table1[[#This Row],[Weight gain(Y/N)]]=0,"NO","YES")</f>
        <v>YES</v>
      </c>
      <c r="AJ404">
        <v>0</v>
      </c>
      <c r="AK404" t="str">
        <f>IF(Table1[[#This Row],[hair growth(Y/N)]]=1,"YES","NO")</f>
        <v>NO</v>
      </c>
      <c r="AL404">
        <v>1</v>
      </c>
      <c r="AM404" t="str">
        <f>IF(Table1[[#This Row],[Skin darkening (Y/N)]]=1,"YES","NO")</f>
        <v>YES</v>
      </c>
      <c r="AN404">
        <v>1</v>
      </c>
      <c r="AO404" t="str">
        <f>IF(Table1[[#This Row],[Hair loss(Y/N)]]=1,"YES","NO")</f>
        <v>YES</v>
      </c>
      <c r="AP404">
        <v>1</v>
      </c>
      <c r="AQ404" t="str">
        <f>IF(Table1[[#This Row],[Pimples(Y/N)]]=1,"YES","NO")</f>
        <v>YES</v>
      </c>
      <c r="AR404">
        <v>1</v>
      </c>
      <c r="AS404" t="str">
        <f>IF(Table1[[#This Row],[Fast food (Y/N)]]=1,"YES","NO")</f>
        <v>YES</v>
      </c>
      <c r="AT404">
        <v>0</v>
      </c>
      <c r="AU404" t="str">
        <f>IF(Table1[[#This Row],[Reg.Exercise(Y/N)]]=1,"YES","NO")</f>
        <v>NO</v>
      </c>
      <c r="AV404">
        <v>110</v>
      </c>
      <c r="AW404">
        <v>70</v>
      </c>
      <c r="AX404">
        <v>11</v>
      </c>
      <c r="AY404">
        <v>12</v>
      </c>
      <c r="AZ404">
        <v>19</v>
      </c>
      <c r="BA404">
        <v>17</v>
      </c>
      <c r="BB404">
        <v>11</v>
      </c>
      <c r="BC404" t="str" cm="1">
        <f t="array" ref="BC404">_xlfn.IFS((F404/(G404*G404)*10000)&lt; 18.5,"Underweight",(F404/(G404*G404)*10000)&lt;24.9,"Normal",(F404/(G404*G404)*10000)&lt;29.9,"Overweight",(F404/(G404*G404)*10000)&gt;=30,"obesity")</f>
        <v>Overweight</v>
      </c>
      <c r="BD404">
        <f>Table1[[#This Row],[Follicle No. (L)]]+Table1[[#This Row],[Follicle No. (R)]]</f>
        <v>23</v>
      </c>
      <c r="BE404">
        <f>Table1[[#This Row],[Avg. F size (L) (mm)]]+Table1[[#This Row],[Avg. F size (R) (mm)]]</f>
        <v>36</v>
      </c>
      <c r="BF404">
        <f>Table1[[#This Row],[BP _Diastolic (mmHg)]]+(Table1[[#This Row],[BP _Diastolic (mmHg)]]+Table1[[#This Row],[Follicle No. (L)]])/3</f>
        <v>97</v>
      </c>
      <c r="BG404" s="4" t="str" cm="1">
        <f t="array" ref="BG40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04" s="4">
        <f>SUM(Table1[[#This Row],[Pimples(Y/N)]],Table1[[#This Row],[hair growth(Y/N)]],Table1[[#This Row],[Skin darkening (Y/N)]],Table1[[#This Row],[Hair loss(Y/N)]])</f>
        <v>3</v>
      </c>
      <c r="BI404" s="4" t="str">
        <f>IF(AND(Table1[[#This Row],[Pregnant(Y/N)]]=0, Table1[[#This Row],[  I   beta-HCG(mIU/mL)]]&gt;5), "Investigation Required", "Clear")</f>
        <v>Clear</v>
      </c>
    </row>
    <row r="405" spans="1:61" ht="15.75" customHeight="1" x14ac:dyDescent="0.25">
      <c r="A405">
        <v>404</v>
      </c>
      <c r="B405">
        <v>404</v>
      </c>
      <c r="C405">
        <v>1</v>
      </c>
      <c r="D405" t="str">
        <f>IF(Table1[[#This Row],[PCOS (Y/N)]]=0,"NO","YES")</f>
        <v>YES</v>
      </c>
      <c r="E405">
        <v>27</v>
      </c>
      <c r="F405">
        <v>64</v>
      </c>
      <c r="G405">
        <v>160</v>
      </c>
      <c r="H405">
        <v>13</v>
      </c>
      <c r="I405">
        <v>78</v>
      </c>
      <c r="J405">
        <v>22</v>
      </c>
      <c r="K405">
        <v>10.8</v>
      </c>
      <c r="L405">
        <v>2</v>
      </c>
      <c r="M405">
        <v>5</v>
      </c>
      <c r="N405">
        <v>3</v>
      </c>
      <c r="O405">
        <v>0</v>
      </c>
      <c r="P405" t="str">
        <f>IF(Table1[[#This Row],[Pregnant(Y/N)]]=1,"YES","NO")</f>
        <v>NO</v>
      </c>
      <c r="Q405">
        <v>0</v>
      </c>
      <c r="R405">
        <v>2</v>
      </c>
      <c r="S405">
        <v>2</v>
      </c>
      <c r="T405">
        <v>3.07</v>
      </c>
      <c r="U405">
        <v>0.55000000000000004</v>
      </c>
      <c r="V405">
        <f>Table1[[#This Row],[FSH(mIU/mL)]]/Table1[[#This Row],[LH(mIU/mL)]]</f>
        <v>5.5818181818181811</v>
      </c>
      <c r="W405" t="str">
        <f>IF(Table1[[#This Row],[FSH/LH]]&gt;=2,"Abnormal","Normal")</f>
        <v>Abnormal</v>
      </c>
      <c r="X405">
        <v>36</v>
      </c>
      <c r="Y405">
        <v>32</v>
      </c>
      <c r="Z405">
        <f>ROUND(Table1[[#This Row],[Waist(inch)]]/Table1[[#This Row],[Hip(inch)]],2)</f>
        <v>0.89</v>
      </c>
      <c r="AA405">
        <v>2.2799999999999998</v>
      </c>
      <c r="AB405">
        <v>5.5</v>
      </c>
      <c r="AC405">
        <v>28.89</v>
      </c>
      <c r="AD405">
        <v>25.1</v>
      </c>
      <c r="AE405" t="str">
        <f>IF(Table1[[#This Row],[Vit D3 (ng/mL)]]&lt;20,"Deficiency","Normal")</f>
        <v>Normal</v>
      </c>
      <c r="AF405">
        <v>0.25</v>
      </c>
      <c r="AG405">
        <v>80</v>
      </c>
      <c r="AH405">
        <v>1</v>
      </c>
      <c r="AI405" t="str">
        <f>IF(Table1[[#This Row],[Weight gain(Y/N)]]=0,"NO","YES")</f>
        <v>YES</v>
      </c>
      <c r="AJ405">
        <v>0</v>
      </c>
      <c r="AK405" t="str">
        <f>IF(Table1[[#This Row],[hair growth(Y/N)]]=1,"YES","NO")</f>
        <v>NO</v>
      </c>
      <c r="AL405">
        <v>1</v>
      </c>
      <c r="AM405" t="str">
        <f>IF(Table1[[#This Row],[Skin darkening (Y/N)]]=1,"YES","NO")</f>
        <v>YES</v>
      </c>
      <c r="AN405">
        <v>1</v>
      </c>
      <c r="AO405" t="str">
        <f>IF(Table1[[#This Row],[Hair loss(Y/N)]]=1,"YES","NO")</f>
        <v>YES</v>
      </c>
      <c r="AP405">
        <v>0</v>
      </c>
      <c r="AQ405" t="str">
        <f>IF(Table1[[#This Row],[Pimples(Y/N)]]=1,"YES","NO")</f>
        <v>NO</v>
      </c>
      <c r="AR405">
        <v>1</v>
      </c>
      <c r="AS405" t="str">
        <f>IF(Table1[[#This Row],[Fast food (Y/N)]]=1,"YES","NO")</f>
        <v>YES</v>
      </c>
      <c r="AT405">
        <v>0</v>
      </c>
      <c r="AU405" t="str">
        <f>IF(Table1[[#This Row],[Reg.Exercise(Y/N)]]=1,"YES","NO")</f>
        <v>NO</v>
      </c>
      <c r="AV405">
        <v>120</v>
      </c>
      <c r="AW405">
        <v>80</v>
      </c>
      <c r="AX405">
        <v>4</v>
      </c>
      <c r="AY405">
        <v>11</v>
      </c>
      <c r="AZ405">
        <v>18</v>
      </c>
      <c r="BA405">
        <v>20</v>
      </c>
      <c r="BB405">
        <v>7</v>
      </c>
      <c r="BC405" t="str" cm="1">
        <f t="array" ref="BC405">_xlfn.IFS((F405/(G405*G405)*10000)&lt; 18.5,"Underweight",(F405/(G405*G405)*10000)&lt;24.9,"Normal",(F405/(G405*G405)*10000)&lt;29.9,"Overweight",(F405/(G405*G405)*10000)&gt;=30,"obesity")</f>
        <v>Overweight</v>
      </c>
      <c r="BD405">
        <f>Table1[[#This Row],[Follicle No. (L)]]+Table1[[#This Row],[Follicle No. (R)]]</f>
        <v>15</v>
      </c>
      <c r="BE405">
        <f>Table1[[#This Row],[Avg. F size (L) (mm)]]+Table1[[#This Row],[Avg. F size (R) (mm)]]</f>
        <v>38</v>
      </c>
      <c r="BF405">
        <f>Table1[[#This Row],[BP _Diastolic (mmHg)]]+(Table1[[#This Row],[BP _Diastolic (mmHg)]]+Table1[[#This Row],[Follicle No. (L)]])/3</f>
        <v>108</v>
      </c>
      <c r="BG405" s="4" t="str" cm="1">
        <f t="array" ref="BG40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05" s="4">
        <f>SUM(Table1[[#This Row],[Pimples(Y/N)]],Table1[[#This Row],[hair growth(Y/N)]],Table1[[#This Row],[Skin darkening (Y/N)]],Table1[[#This Row],[Hair loss(Y/N)]])</f>
        <v>2</v>
      </c>
      <c r="BI405" s="4" t="str">
        <f>IF(AND(Table1[[#This Row],[Pregnant(Y/N)]]=0, Table1[[#This Row],[  I   beta-HCG(mIU/mL)]]&gt;5), "Investigation Required", "Clear")</f>
        <v>Clear</v>
      </c>
    </row>
    <row r="406" spans="1:61" ht="15.75" customHeight="1" x14ac:dyDescent="0.25">
      <c r="A406">
        <v>405</v>
      </c>
      <c r="B406">
        <v>405</v>
      </c>
      <c r="C406">
        <v>0</v>
      </c>
      <c r="D406" t="str">
        <f>IF(Table1[[#This Row],[PCOS (Y/N)]]=0,"NO","YES")</f>
        <v>NO</v>
      </c>
      <c r="E406">
        <v>26</v>
      </c>
      <c r="F406">
        <v>38</v>
      </c>
      <c r="G406">
        <v>148</v>
      </c>
      <c r="H406">
        <v>15</v>
      </c>
      <c r="I406">
        <v>72</v>
      </c>
      <c r="J406">
        <v>18</v>
      </c>
      <c r="K406">
        <v>10.5</v>
      </c>
      <c r="L406">
        <v>2</v>
      </c>
      <c r="M406">
        <v>6</v>
      </c>
      <c r="N406">
        <v>3</v>
      </c>
      <c r="O406">
        <v>1</v>
      </c>
      <c r="P406" t="str">
        <f>IF(Table1[[#This Row],[Pregnant(Y/N)]]=1,"YES","NO")</f>
        <v>YES</v>
      </c>
      <c r="Q406">
        <v>0</v>
      </c>
      <c r="R406">
        <v>10.4</v>
      </c>
      <c r="S406">
        <v>10.4</v>
      </c>
      <c r="T406">
        <v>2.72</v>
      </c>
      <c r="U406">
        <v>2.5299999999999998</v>
      </c>
      <c r="V406">
        <f>Table1[[#This Row],[FSH(mIU/mL)]]/Table1[[#This Row],[LH(mIU/mL)]]</f>
        <v>1.0750988142292492</v>
      </c>
      <c r="W406" t="str">
        <f>IF(Table1[[#This Row],[FSH/LH]]&gt;=2,"Abnormal","Normal")</f>
        <v>Normal</v>
      </c>
      <c r="X406">
        <v>28</v>
      </c>
      <c r="Y406">
        <v>25</v>
      </c>
      <c r="Z406">
        <f>ROUND(Table1[[#This Row],[Waist(inch)]]/Table1[[#This Row],[Hip(inch)]],2)</f>
        <v>0.89</v>
      </c>
      <c r="AA406">
        <v>1.5</v>
      </c>
      <c r="AB406">
        <v>3.8</v>
      </c>
      <c r="AC406">
        <v>42.01</v>
      </c>
      <c r="AD406">
        <v>47.8</v>
      </c>
      <c r="AE406" t="str">
        <f>IF(Table1[[#This Row],[Vit D3 (ng/mL)]]&lt;20,"Deficiency","Normal")</f>
        <v>Normal</v>
      </c>
      <c r="AF406">
        <v>0.46</v>
      </c>
      <c r="AG406">
        <v>130</v>
      </c>
      <c r="AH406">
        <v>0</v>
      </c>
      <c r="AI406" t="str">
        <f>IF(Table1[[#This Row],[Weight gain(Y/N)]]=0,"NO","YES")</f>
        <v>NO</v>
      </c>
      <c r="AJ406">
        <v>0</v>
      </c>
      <c r="AK406" t="str">
        <f>IF(Table1[[#This Row],[hair growth(Y/N)]]=1,"YES","NO")</f>
        <v>NO</v>
      </c>
      <c r="AL406">
        <v>1</v>
      </c>
      <c r="AM406" t="str">
        <f>IF(Table1[[#This Row],[Skin darkening (Y/N)]]=1,"YES","NO")</f>
        <v>YES</v>
      </c>
      <c r="AN406">
        <v>0</v>
      </c>
      <c r="AO406" t="str">
        <f>IF(Table1[[#This Row],[Hair loss(Y/N)]]=1,"YES","NO")</f>
        <v>NO</v>
      </c>
      <c r="AP406">
        <v>0</v>
      </c>
      <c r="AQ406" t="str">
        <f>IF(Table1[[#This Row],[Pimples(Y/N)]]=1,"YES","NO")</f>
        <v>NO</v>
      </c>
      <c r="AR406">
        <v>0</v>
      </c>
      <c r="AS406" t="str">
        <f>IF(Table1[[#This Row],[Fast food (Y/N)]]=1,"YES","NO")</f>
        <v>NO</v>
      </c>
      <c r="AT406">
        <v>0</v>
      </c>
      <c r="AU406" t="str">
        <f>IF(Table1[[#This Row],[Reg.Exercise(Y/N)]]=1,"YES","NO")</f>
        <v>NO</v>
      </c>
      <c r="AV406">
        <v>120</v>
      </c>
      <c r="AW406">
        <v>70</v>
      </c>
      <c r="AX406">
        <v>4</v>
      </c>
      <c r="AY406">
        <v>5</v>
      </c>
      <c r="AZ406">
        <v>18</v>
      </c>
      <c r="BA406">
        <v>20</v>
      </c>
      <c r="BB406">
        <v>9.5</v>
      </c>
      <c r="BC406" t="str" cm="1">
        <f t="array" ref="BC406">_xlfn.IFS((F406/(G406*G406)*10000)&lt; 18.5,"Underweight",(F406/(G406*G406)*10000)&lt;24.9,"Normal",(F406/(G406*G406)*10000)&lt;29.9,"Overweight",(F406/(G406*G406)*10000)&gt;=30,"obesity")</f>
        <v>Underweight</v>
      </c>
      <c r="BD406">
        <f>Table1[[#This Row],[Follicle No. (L)]]+Table1[[#This Row],[Follicle No. (R)]]</f>
        <v>9</v>
      </c>
      <c r="BE406">
        <f>Table1[[#This Row],[Avg. F size (L) (mm)]]+Table1[[#This Row],[Avg. F size (R) (mm)]]</f>
        <v>38</v>
      </c>
      <c r="BF406">
        <f>Table1[[#This Row],[BP _Diastolic (mmHg)]]+(Table1[[#This Row],[BP _Diastolic (mmHg)]]+Table1[[#This Row],[Follicle No. (L)]])/3</f>
        <v>94.666666666666671</v>
      </c>
      <c r="BG406" s="4" t="str" cm="1">
        <f t="array" ref="BG40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06" s="4">
        <f>SUM(Table1[[#This Row],[Pimples(Y/N)]],Table1[[#This Row],[hair growth(Y/N)]],Table1[[#This Row],[Skin darkening (Y/N)]],Table1[[#This Row],[Hair loss(Y/N)]])</f>
        <v>1</v>
      </c>
      <c r="BI406" s="4" t="str">
        <f>IF(AND(Table1[[#This Row],[Pregnant(Y/N)]]=0, Table1[[#This Row],[  I   beta-HCG(mIU/mL)]]&gt;5), "Investigation Required", "Clear")</f>
        <v>Clear</v>
      </c>
    </row>
    <row r="407" spans="1:61" ht="15.75" customHeight="1" x14ac:dyDescent="0.25">
      <c r="A407">
        <v>406</v>
      </c>
      <c r="B407">
        <v>406</v>
      </c>
      <c r="C407">
        <v>0</v>
      </c>
      <c r="D407" t="str">
        <f>IF(Table1[[#This Row],[PCOS (Y/N)]]=0,"NO","YES")</f>
        <v>NO</v>
      </c>
      <c r="E407">
        <v>33</v>
      </c>
      <c r="F407">
        <v>50</v>
      </c>
      <c r="G407">
        <v>158</v>
      </c>
      <c r="H407">
        <v>15</v>
      </c>
      <c r="I407">
        <v>74</v>
      </c>
      <c r="J407">
        <v>18</v>
      </c>
      <c r="K407">
        <v>10.199999999999999</v>
      </c>
      <c r="L407">
        <v>2</v>
      </c>
      <c r="M407">
        <v>5</v>
      </c>
      <c r="N407">
        <v>2</v>
      </c>
      <c r="O407">
        <v>1</v>
      </c>
      <c r="P407" t="str">
        <f>IF(Table1[[#This Row],[Pregnant(Y/N)]]=1,"YES","NO")</f>
        <v>YES</v>
      </c>
      <c r="Q407">
        <v>0</v>
      </c>
      <c r="R407">
        <v>465.01</v>
      </c>
      <c r="S407">
        <v>465.01</v>
      </c>
      <c r="T407">
        <v>3.39</v>
      </c>
      <c r="U407">
        <v>2.77</v>
      </c>
      <c r="V407">
        <f>Table1[[#This Row],[FSH(mIU/mL)]]/Table1[[#This Row],[LH(mIU/mL)]]</f>
        <v>1.2238267148014441</v>
      </c>
      <c r="W407" t="str">
        <f>IF(Table1[[#This Row],[FSH/LH]]&gt;=2,"Abnormal","Normal")</f>
        <v>Normal</v>
      </c>
      <c r="X407">
        <v>35</v>
      </c>
      <c r="Y407">
        <v>31</v>
      </c>
      <c r="Z407">
        <f>ROUND(Table1[[#This Row],[Waist(inch)]]/Table1[[#This Row],[Hip(inch)]],2)</f>
        <v>0.89</v>
      </c>
      <c r="AA407">
        <v>2.77</v>
      </c>
      <c r="AB407">
        <v>4.2</v>
      </c>
      <c r="AC407">
        <v>19.059999999999999</v>
      </c>
      <c r="AD407">
        <v>43.3</v>
      </c>
      <c r="AE407" t="str">
        <f>IF(Table1[[#This Row],[Vit D3 (ng/mL)]]&lt;20,"Deficiency","Normal")</f>
        <v>Normal</v>
      </c>
      <c r="AF407">
        <v>0.31</v>
      </c>
      <c r="AG407">
        <v>82</v>
      </c>
      <c r="AH407">
        <v>0</v>
      </c>
      <c r="AI407" t="str">
        <f>IF(Table1[[#This Row],[Weight gain(Y/N)]]=0,"NO","YES")</f>
        <v>NO</v>
      </c>
      <c r="AJ407">
        <v>0</v>
      </c>
      <c r="AK407" t="str">
        <f>IF(Table1[[#This Row],[hair growth(Y/N)]]=1,"YES","NO")</f>
        <v>NO</v>
      </c>
      <c r="AL407">
        <v>0</v>
      </c>
      <c r="AM407" t="str">
        <f>IF(Table1[[#This Row],[Skin darkening (Y/N)]]=1,"YES","NO")</f>
        <v>NO</v>
      </c>
      <c r="AN407">
        <v>1</v>
      </c>
      <c r="AO407" t="str">
        <f>IF(Table1[[#This Row],[Hair loss(Y/N)]]=1,"YES","NO")</f>
        <v>YES</v>
      </c>
      <c r="AP407">
        <v>1</v>
      </c>
      <c r="AQ407" t="str">
        <f>IF(Table1[[#This Row],[Pimples(Y/N)]]=1,"YES","NO")</f>
        <v>YES</v>
      </c>
      <c r="AR407">
        <v>1</v>
      </c>
      <c r="AS407" t="str">
        <f>IF(Table1[[#This Row],[Fast food (Y/N)]]=1,"YES","NO")</f>
        <v>YES</v>
      </c>
      <c r="AT407">
        <v>0</v>
      </c>
      <c r="AU407" t="str">
        <f>IF(Table1[[#This Row],[Reg.Exercise(Y/N)]]=1,"YES","NO")</f>
        <v>NO</v>
      </c>
      <c r="AV407">
        <v>120</v>
      </c>
      <c r="AW407">
        <v>80</v>
      </c>
      <c r="AX407">
        <v>2</v>
      </c>
      <c r="AY407">
        <v>3</v>
      </c>
      <c r="AZ407">
        <v>14</v>
      </c>
      <c r="BA407">
        <v>24</v>
      </c>
      <c r="BB407">
        <v>6.8</v>
      </c>
      <c r="BC407" t="str" cm="1">
        <f t="array" ref="BC407">_xlfn.IFS((F407/(G407*G407)*10000)&lt; 18.5,"Underweight",(F407/(G407*G407)*10000)&lt;24.9,"Normal",(F407/(G407*G407)*10000)&lt;29.9,"Overweight",(F407/(G407*G407)*10000)&gt;=30,"obesity")</f>
        <v>Normal</v>
      </c>
      <c r="BD407">
        <f>Table1[[#This Row],[Follicle No. (L)]]+Table1[[#This Row],[Follicle No. (R)]]</f>
        <v>5</v>
      </c>
      <c r="BE407">
        <f>Table1[[#This Row],[Avg. F size (L) (mm)]]+Table1[[#This Row],[Avg. F size (R) (mm)]]</f>
        <v>38</v>
      </c>
      <c r="BF407">
        <f>Table1[[#This Row],[BP _Diastolic (mmHg)]]+(Table1[[#This Row],[BP _Diastolic (mmHg)]]+Table1[[#This Row],[Follicle No. (L)]])/3</f>
        <v>107.33333333333333</v>
      </c>
      <c r="BG407" s="4" t="str" cm="1">
        <f t="array" ref="BG40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07" s="4">
        <f>SUM(Table1[[#This Row],[Pimples(Y/N)]],Table1[[#This Row],[hair growth(Y/N)]],Table1[[#This Row],[Skin darkening (Y/N)]],Table1[[#This Row],[Hair loss(Y/N)]])</f>
        <v>2</v>
      </c>
      <c r="BI407" s="4" t="str">
        <f>IF(AND(Table1[[#This Row],[Pregnant(Y/N)]]=0, Table1[[#This Row],[  I   beta-HCG(mIU/mL)]]&gt;5), "Investigation Required", "Clear")</f>
        <v>Clear</v>
      </c>
    </row>
    <row r="408" spans="1:61" ht="15.75" customHeight="1" x14ac:dyDescent="0.25">
      <c r="A408">
        <v>407</v>
      </c>
      <c r="B408">
        <v>407</v>
      </c>
      <c r="C408">
        <v>0</v>
      </c>
      <c r="D408" t="str">
        <f>IF(Table1[[#This Row],[PCOS (Y/N)]]=0,"NO","YES")</f>
        <v>NO</v>
      </c>
      <c r="E408">
        <v>33</v>
      </c>
      <c r="F408">
        <v>45</v>
      </c>
      <c r="G408">
        <v>142</v>
      </c>
      <c r="H408">
        <v>11</v>
      </c>
      <c r="I408">
        <v>72</v>
      </c>
      <c r="J408">
        <v>20</v>
      </c>
      <c r="K408">
        <v>11.5</v>
      </c>
      <c r="L408">
        <v>2</v>
      </c>
      <c r="M408">
        <v>6</v>
      </c>
      <c r="N408">
        <v>9</v>
      </c>
      <c r="O408">
        <v>0</v>
      </c>
      <c r="P408" t="str">
        <f>IF(Table1[[#This Row],[Pregnant(Y/N)]]=1,"YES","NO")</f>
        <v>NO</v>
      </c>
      <c r="Q408">
        <v>0</v>
      </c>
      <c r="R408">
        <v>1.99</v>
      </c>
      <c r="S408">
        <v>1.99</v>
      </c>
      <c r="T408">
        <v>2.39</v>
      </c>
      <c r="U408">
        <v>0.89</v>
      </c>
      <c r="V408">
        <f>Table1[[#This Row],[FSH(mIU/mL)]]/Table1[[#This Row],[LH(mIU/mL)]]</f>
        <v>2.6853932584269664</v>
      </c>
      <c r="W408" t="str">
        <f>IF(Table1[[#This Row],[FSH/LH]]&gt;=2,"Abnormal","Normal")</f>
        <v>Abnormal</v>
      </c>
      <c r="X408">
        <v>35</v>
      </c>
      <c r="Y408">
        <v>31</v>
      </c>
      <c r="Z408">
        <f>ROUND(Table1[[#This Row],[Waist(inch)]]/Table1[[#This Row],[Hip(inch)]],2)</f>
        <v>0.89</v>
      </c>
      <c r="AA408">
        <v>1.67</v>
      </c>
      <c r="AB408">
        <v>0.5</v>
      </c>
      <c r="AC408">
        <v>38.450000000000003</v>
      </c>
      <c r="AD408">
        <v>23.7</v>
      </c>
      <c r="AE408" t="str">
        <f>IF(Table1[[#This Row],[Vit D3 (ng/mL)]]&lt;20,"Deficiency","Normal")</f>
        <v>Normal</v>
      </c>
      <c r="AF408">
        <v>0.28000000000000003</v>
      </c>
      <c r="AG408">
        <v>85</v>
      </c>
      <c r="AH408">
        <v>0</v>
      </c>
      <c r="AI408" t="str">
        <f>IF(Table1[[#This Row],[Weight gain(Y/N)]]=0,"NO","YES")</f>
        <v>NO</v>
      </c>
      <c r="AJ408">
        <v>0</v>
      </c>
      <c r="AK408" t="str">
        <f>IF(Table1[[#This Row],[hair growth(Y/N)]]=1,"YES","NO")</f>
        <v>NO</v>
      </c>
      <c r="AL408">
        <v>0</v>
      </c>
      <c r="AM408" t="str">
        <f>IF(Table1[[#This Row],[Skin darkening (Y/N)]]=1,"YES","NO")</f>
        <v>NO</v>
      </c>
      <c r="AN408">
        <v>1</v>
      </c>
      <c r="AO408" t="str">
        <f>IF(Table1[[#This Row],[Hair loss(Y/N)]]=1,"YES","NO")</f>
        <v>YES</v>
      </c>
      <c r="AP408">
        <v>0</v>
      </c>
      <c r="AQ408" t="str">
        <f>IF(Table1[[#This Row],[Pimples(Y/N)]]=1,"YES","NO")</f>
        <v>NO</v>
      </c>
      <c r="AR408">
        <v>1</v>
      </c>
      <c r="AS408" t="str">
        <f>IF(Table1[[#This Row],[Fast food (Y/N)]]=1,"YES","NO")</f>
        <v>YES</v>
      </c>
      <c r="AT408">
        <v>0</v>
      </c>
      <c r="AU408" t="str">
        <f>IF(Table1[[#This Row],[Reg.Exercise(Y/N)]]=1,"YES","NO")</f>
        <v>NO</v>
      </c>
      <c r="AV408">
        <v>120</v>
      </c>
      <c r="AW408">
        <v>80</v>
      </c>
      <c r="AX408">
        <v>1</v>
      </c>
      <c r="AY408">
        <v>3</v>
      </c>
      <c r="AZ408">
        <v>17</v>
      </c>
      <c r="BA408">
        <v>20</v>
      </c>
      <c r="BB408">
        <v>9</v>
      </c>
      <c r="BC408" t="str" cm="1">
        <f t="array" ref="BC408">_xlfn.IFS((F408/(G408*G408)*10000)&lt; 18.5,"Underweight",(F408/(G408*G408)*10000)&lt;24.9,"Normal",(F408/(G408*G408)*10000)&lt;29.9,"Overweight",(F408/(G408*G408)*10000)&gt;=30,"obesity")</f>
        <v>Normal</v>
      </c>
      <c r="BD408">
        <f>Table1[[#This Row],[Follicle No. (L)]]+Table1[[#This Row],[Follicle No. (R)]]</f>
        <v>4</v>
      </c>
      <c r="BE408">
        <f>Table1[[#This Row],[Avg. F size (L) (mm)]]+Table1[[#This Row],[Avg. F size (R) (mm)]]</f>
        <v>37</v>
      </c>
      <c r="BF408">
        <f>Table1[[#This Row],[BP _Diastolic (mmHg)]]+(Table1[[#This Row],[BP _Diastolic (mmHg)]]+Table1[[#This Row],[Follicle No. (L)]])/3</f>
        <v>107</v>
      </c>
      <c r="BG408" s="4" t="str" cm="1">
        <f t="array" ref="BG40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08" s="4">
        <f>SUM(Table1[[#This Row],[Pimples(Y/N)]],Table1[[#This Row],[hair growth(Y/N)]],Table1[[#This Row],[Skin darkening (Y/N)]],Table1[[#This Row],[Hair loss(Y/N)]])</f>
        <v>1</v>
      </c>
      <c r="BI408" s="4" t="str">
        <f>IF(AND(Table1[[#This Row],[Pregnant(Y/N)]]=0, Table1[[#This Row],[  I   beta-HCG(mIU/mL)]]&gt;5), "Investigation Required", "Clear")</f>
        <v>Clear</v>
      </c>
    </row>
    <row r="409" spans="1:61" ht="15.75" customHeight="1" x14ac:dyDescent="0.25">
      <c r="A409">
        <v>408</v>
      </c>
      <c r="B409">
        <v>408</v>
      </c>
      <c r="C409">
        <v>0</v>
      </c>
      <c r="D409" t="str">
        <f>IF(Table1[[#This Row],[PCOS (Y/N)]]=0,"NO","YES")</f>
        <v>NO</v>
      </c>
      <c r="E409">
        <v>36</v>
      </c>
      <c r="F409">
        <v>59</v>
      </c>
      <c r="G409">
        <v>155</v>
      </c>
      <c r="H409">
        <v>15</v>
      </c>
      <c r="I409">
        <v>74</v>
      </c>
      <c r="J409">
        <v>20</v>
      </c>
      <c r="K409">
        <v>10</v>
      </c>
      <c r="L409">
        <v>2</v>
      </c>
      <c r="M409">
        <v>5</v>
      </c>
      <c r="N409">
        <v>17</v>
      </c>
      <c r="O409">
        <v>0</v>
      </c>
      <c r="P409" t="str">
        <f>IF(Table1[[#This Row],[Pregnant(Y/N)]]=1,"YES","NO")</f>
        <v>NO</v>
      </c>
      <c r="Q409">
        <v>0</v>
      </c>
      <c r="R409">
        <v>2</v>
      </c>
      <c r="S409">
        <v>2</v>
      </c>
      <c r="T409">
        <v>5.21</v>
      </c>
      <c r="U409">
        <v>1.78</v>
      </c>
      <c r="V409">
        <f>Table1[[#This Row],[FSH(mIU/mL)]]/Table1[[#This Row],[LH(mIU/mL)]]</f>
        <v>2.9269662921348316</v>
      </c>
      <c r="W409" t="str">
        <f>IF(Table1[[#This Row],[FSH/LH]]&gt;=2,"Abnormal","Normal")</f>
        <v>Abnormal</v>
      </c>
      <c r="X409">
        <v>38</v>
      </c>
      <c r="Y409">
        <v>34</v>
      </c>
      <c r="Z409">
        <f>ROUND(Table1[[#This Row],[Waist(inch)]]/Table1[[#This Row],[Hip(inch)]],2)</f>
        <v>0.89</v>
      </c>
      <c r="AA409">
        <v>1.87</v>
      </c>
      <c r="AB409">
        <v>0.9</v>
      </c>
      <c r="AC409">
        <v>22.83</v>
      </c>
      <c r="AD409">
        <v>25.9</v>
      </c>
      <c r="AE409" t="str">
        <f>IF(Table1[[#This Row],[Vit D3 (ng/mL)]]&lt;20,"Deficiency","Normal")</f>
        <v>Normal</v>
      </c>
      <c r="AF409">
        <v>0.38</v>
      </c>
      <c r="AG409">
        <v>100</v>
      </c>
      <c r="AH409">
        <v>0</v>
      </c>
      <c r="AI409" t="str">
        <f>IF(Table1[[#This Row],[Weight gain(Y/N)]]=0,"NO","YES")</f>
        <v>NO</v>
      </c>
      <c r="AJ409">
        <v>0</v>
      </c>
      <c r="AK409" t="str">
        <f>IF(Table1[[#This Row],[hair growth(Y/N)]]=1,"YES","NO")</f>
        <v>NO</v>
      </c>
      <c r="AL409">
        <v>0</v>
      </c>
      <c r="AM409" t="str">
        <f>IF(Table1[[#This Row],[Skin darkening (Y/N)]]=1,"YES","NO")</f>
        <v>NO</v>
      </c>
      <c r="AN409">
        <v>0</v>
      </c>
      <c r="AO409" t="str">
        <f>IF(Table1[[#This Row],[Hair loss(Y/N)]]=1,"YES","NO")</f>
        <v>NO</v>
      </c>
      <c r="AP409">
        <v>1</v>
      </c>
      <c r="AQ409" t="str">
        <f>IF(Table1[[#This Row],[Pimples(Y/N)]]=1,"YES","NO")</f>
        <v>YES</v>
      </c>
      <c r="AR409">
        <v>1</v>
      </c>
      <c r="AS409" t="str">
        <f>IF(Table1[[#This Row],[Fast food (Y/N)]]=1,"YES","NO")</f>
        <v>YES</v>
      </c>
      <c r="AT409">
        <v>0</v>
      </c>
      <c r="AU409" t="str">
        <f>IF(Table1[[#This Row],[Reg.Exercise(Y/N)]]=1,"YES","NO")</f>
        <v>NO</v>
      </c>
      <c r="AV409">
        <v>120</v>
      </c>
      <c r="AW409">
        <v>80</v>
      </c>
      <c r="AX409">
        <v>2</v>
      </c>
      <c r="AY409">
        <v>3</v>
      </c>
      <c r="AZ409">
        <v>17</v>
      </c>
      <c r="BA409">
        <v>18</v>
      </c>
      <c r="BB409">
        <v>11</v>
      </c>
      <c r="BC409" t="str" cm="1">
        <f t="array" ref="BC409">_xlfn.IFS((F409/(G409*G409)*10000)&lt; 18.5,"Underweight",(F409/(G409*G409)*10000)&lt;24.9,"Normal",(F409/(G409*G409)*10000)&lt;29.9,"Overweight",(F409/(G409*G409)*10000)&gt;=30,"obesity")</f>
        <v>Normal</v>
      </c>
      <c r="BD409">
        <f>Table1[[#This Row],[Follicle No. (L)]]+Table1[[#This Row],[Follicle No. (R)]]</f>
        <v>5</v>
      </c>
      <c r="BE409">
        <f>Table1[[#This Row],[Avg. F size (L) (mm)]]+Table1[[#This Row],[Avg. F size (R) (mm)]]</f>
        <v>35</v>
      </c>
      <c r="BF409">
        <f>Table1[[#This Row],[BP _Diastolic (mmHg)]]+(Table1[[#This Row],[BP _Diastolic (mmHg)]]+Table1[[#This Row],[Follicle No. (L)]])/3</f>
        <v>107.33333333333333</v>
      </c>
      <c r="BG409" s="4" t="str" cm="1">
        <f t="array" ref="BG40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09" s="4">
        <f>SUM(Table1[[#This Row],[Pimples(Y/N)]],Table1[[#This Row],[hair growth(Y/N)]],Table1[[#This Row],[Skin darkening (Y/N)]],Table1[[#This Row],[Hair loss(Y/N)]])</f>
        <v>1</v>
      </c>
      <c r="BI409" s="4" t="str">
        <f>IF(AND(Table1[[#This Row],[Pregnant(Y/N)]]=0, Table1[[#This Row],[  I   beta-HCG(mIU/mL)]]&gt;5), "Investigation Required", "Clear")</f>
        <v>Clear</v>
      </c>
    </row>
    <row r="410" spans="1:61" ht="15.75" customHeight="1" x14ac:dyDescent="0.25">
      <c r="A410">
        <v>409</v>
      </c>
      <c r="B410">
        <v>409</v>
      </c>
      <c r="C410">
        <v>0</v>
      </c>
      <c r="D410" t="str">
        <f>IF(Table1[[#This Row],[PCOS (Y/N)]]=0,"NO","YES")</f>
        <v>NO</v>
      </c>
      <c r="E410">
        <v>45</v>
      </c>
      <c r="F410">
        <v>57</v>
      </c>
      <c r="G410">
        <v>160</v>
      </c>
      <c r="H410">
        <v>15</v>
      </c>
      <c r="I410">
        <v>72</v>
      </c>
      <c r="J410">
        <v>22</v>
      </c>
      <c r="K410">
        <v>10.3</v>
      </c>
      <c r="L410">
        <v>2</v>
      </c>
      <c r="M410">
        <v>6</v>
      </c>
      <c r="N410">
        <v>23</v>
      </c>
      <c r="O410">
        <v>0</v>
      </c>
      <c r="P410" t="str">
        <f>IF(Table1[[#This Row],[Pregnant(Y/N)]]=1,"YES","NO")</f>
        <v>NO</v>
      </c>
      <c r="Q410">
        <v>0</v>
      </c>
      <c r="R410">
        <v>1.99</v>
      </c>
      <c r="S410">
        <v>1.99</v>
      </c>
      <c r="T410">
        <v>4.08</v>
      </c>
      <c r="U410">
        <v>3.6</v>
      </c>
      <c r="V410">
        <f>Table1[[#This Row],[FSH(mIU/mL)]]/Table1[[#This Row],[LH(mIU/mL)]]</f>
        <v>1.1333333333333333</v>
      </c>
      <c r="W410" t="str">
        <f>IF(Table1[[#This Row],[FSH/LH]]&gt;=2,"Abnormal","Normal")</f>
        <v>Normal</v>
      </c>
      <c r="X410">
        <v>38</v>
      </c>
      <c r="Y410">
        <v>35</v>
      </c>
      <c r="Z410">
        <f>ROUND(Table1[[#This Row],[Waist(inch)]]/Table1[[#This Row],[Hip(inch)]],2)</f>
        <v>0.92</v>
      </c>
      <c r="AA410">
        <v>1.96</v>
      </c>
      <c r="AB410">
        <v>4.8</v>
      </c>
      <c r="AC410">
        <v>20.190000000000001</v>
      </c>
      <c r="AD410">
        <v>17.399999999999999</v>
      </c>
      <c r="AE410" t="str">
        <f>IF(Table1[[#This Row],[Vit D3 (ng/mL)]]&lt;20,"Deficiency","Normal")</f>
        <v>Deficiency</v>
      </c>
      <c r="AF410">
        <v>0.4</v>
      </c>
      <c r="AG410">
        <v>130</v>
      </c>
      <c r="AH410">
        <v>0</v>
      </c>
      <c r="AI410" t="str">
        <f>IF(Table1[[#This Row],[Weight gain(Y/N)]]=0,"NO","YES")</f>
        <v>NO</v>
      </c>
      <c r="AJ410">
        <v>0</v>
      </c>
      <c r="AK410" t="str">
        <f>IF(Table1[[#This Row],[hair growth(Y/N)]]=1,"YES","NO")</f>
        <v>NO</v>
      </c>
      <c r="AL410">
        <v>1</v>
      </c>
      <c r="AM410" t="str">
        <f>IF(Table1[[#This Row],[Skin darkening (Y/N)]]=1,"YES","NO")</f>
        <v>YES</v>
      </c>
      <c r="AN410">
        <v>0</v>
      </c>
      <c r="AO410" t="str">
        <f>IF(Table1[[#This Row],[Hair loss(Y/N)]]=1,"YES","NO")</f>
        <v>NO</v>
      </c>
      <c r="AP410">
        <v>1</v>
      </c>
      <c r="AQ410" t="str">
        <f>IF(Table1[[#This Row],[Pimples(Y/N)]]=1,"YES","NO")</f>
        <v>YES</v>
      </c>
      <c r="AR410">
        <v>1</v>
      </c>
      <c r="AS410" t="str">
        <f>IF(Table1[[#This Row],[Fast food (Y/N)]]=1,"YES","NO")</f>
        <v>YES</v>
      </c>
      <c r="AT410">
        <v>0</v>
      </c>
      <c r="AU410" t="str">
        <f>IF(Table1[[#This Row],[Reg.Exercise(Y/N)]]=1,"YES","NO")</f>
        <v>NO</v>
      </c>
      <c r="AV410">
        <v>110</v>
      </c>
      <c r="AW410">
        <v>70</v>
      </c>
      <c r="AX410">
        <v>3</v>
      </c>
      <c r="AY410">
        <v>6</v>
      </c>
      <c r="AZ410">
        <v>14</v>
      </c>
      <c r="BA410">
        <v>12</v>
      </c>
      <c r="BB410">
        <v>9</v>
      </c>
      <c r="BC410" t="str" cm="1">
        <f t="array" ref="BC410">_xlfn.IFS((F410/(G410*G410)*10000)&lt; 18.5,"Underweight",(F410/(G410*G410)*10000)&lt;24.9,"Normal",(F410/(G410*G410)*10000)&lt;29.9,"Overweight",(F410/(G410*G410)*10000)&gt;=30,"obesity")</f>
        <v>Normal</v>
      </c>
      <c r="BD410">
        <f>Table1[[#This Row],[Follicle No. (L)]]+Table1[[#This Row],[Follicle No. (R)]]</f>
        <v>9</v>
      </c>
      <c r="BE410">
        <f>Table1[[#This Row],[Avg. F size (L) (mm)]]+Table1[[#This Row],[Avg. F size (R) (mm)]]</f>
        <v>26</v>
      </c>
      <c r="BF410">
        <f>Table1[[#This Row],[BP _Diastolic (mmHg)]]+(Table1[[#This Row],[BP _Diastolic (mmHg)]]+Table1[[#This Row],[Follicle No. (L)]])/3</f>
        <v>94.333333333333329</v>
      </c>
      <c r="BG410" s="4" t="str" cm="1">
        <f t="array" ref="BG41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10" s="4">
        <f>SUM(Table1[[#This Row],[Pimples(Y/N)]],Table1[[#This Row],[hair growth(Y/N)]],Table1[[#This Row],[Skin darkening (Y/N)]],Table1[[#This Row],[Hair loss(Y/N)]])</f>
        <v>2</v>
      </c>
      <c r="BI410" s="4" t="str">
        <f>IF(AND(Table1[[#This Row],[Pregnant(Y/N)]]=0, Table1[[#This Row],[  I   beta-HCG(mIU/mL)]]&gt;5), "Investigation Required", "Clear")</f>
        <v>Clear</v>
      </c>
    </row>
    <row r="411" spans="1:61" ht="15.75" customHeight="1" x14ac:dyDescent="0.25">
      <c r="A411">
        <v>410</v>
      </c>
      <c r="B411">
        <v>410</v>
      </c>
      <c r="C411">
        <v>0</v>
      </c>
      <c r="D411" t="str">
        <f>IF(Table1[[#This Row],[PCOS (Y/N)]]=0,"NO","YES")</f>
        <v>NO</v>
      </c>
      <c r="E411">
        <v>40</v>
      </c>
      <c r="F411">
        <v>60</v>
      </c>
      <c r="G411">
        <v>161</v>
      </c>
      <c r="H411">
        <v>13</v>
      </c>
      <c r="I411">
        <v>74</v>
      </c>
      <c r="J411">
        <v>20</v>
      </c>
      <c r="K411">
        <v>11.2</v>
      </c>
      <c r="L411">
        <v>2</v>
      </c>
      <c r="M411">
        <v>6</v>
      </c>
      <c r="N411">
        <v>13</v>
      </c>
      <c r="O411">
        <v>1</v>
      </c>
      <c r="P411" t="str">
        <f>IF(Table1[[#This Row],[Pregnant(Y/N)]]=1,"YES","NO")</f>
        <v>YES</v>
      </c>
      <c r="Q411">
        <v>0</v>
      </c>
      <c r="R411">
        <v>41.75</v>
      </c>
      <c r="S411">
        <v>41.75</v>
      </c>
      <c r="T411">
        <v>5.13</v>
      </c>
      <c r="U411">
        <v>2.97</v>
      </c>
      <c r="V411">
        <f>Table1[[#This Row],[FSH(mIU/mL)]]/Table1[[#This Row],[LH(mIU/mL)]]</f>
        <v>1.7272727272727271</v>
      </c>
      <c r="W411" t="str">
        <f>IF(Table1[[#This Row],[FSH/LH]]&gt;=2,"Abnormal","Normal")</f>
        <v>Normal</v>
      </c>
      <c r="X411">
        <v>38</v>
      </c>
      <c r="Y411">
        <v>35</v>
      </c>
      <c r="Z411">
        <f>ROUND(Table1[[#This Row],[Waist(inch)]]/Table1[[#This Row],[Hip(inch)]],2)</f>
        <v>0.92</v>
      </c>
      <c r="AA411">
        <v>2.78</v>
      </c>
      <c r="AB411">
        <v>1.3</v>
      </c>
      <c r="AC411">
        <v>11.81</v>
      </c>
      <c r="AD411">
        <v>16.100000000000001</v>
      </c>
      <c r="AE411" t="str">
        <f>IF(Table1[[#This Row],[Vit D3 (ng/mL)]]&lt;20,"Deficiency","Normal")</f>
        <v>Deficiency</v>
      </c>
      <c r="AF411">
        <v>0.25</v>
      </c>
      <c r="AG411">
        <v>146</v>
      </c>
      <c r="AH411">
        <v>0</v>
      </c>
      <c r="AI411" t="str">
        <f>IF(Table1[[#This Row],[Weight gain(Y/N)]]=0,"NO","YES")</f>
        <v>NO</v>
      </c>
      <c r="AJ411">
        <v>0</v>
      </c>
      <c r="AK411" t="str">
        <f>IF(Table1[[#This Row],[hair growth(Y/N)]]=1,"YES","NO")</f>
        <v>NO</v>
      </c>
      <c r="AL411">
        <v>0</v>
      </c>
      <c r="AM411" t="str">
        <f>IF(Table1[[#This Row],[Skin darkening (Y/N)]]=1,"YES","NO")</f>
        <v>NO</v>
      </c>
      <c r="AN411">
        <v>1</v>
      </c>
      <c r="AO411" t="str">
        <f>IF(Table1[[#This Row],[Hair loss(Y/N)]]=1,"YES","NO")</f>
        <v>YES</v>
      </c>
      <c r="AP411">
        <v>1</v>
      </c>
      <c r="AQ411" t="str">
        <f>IF(Table1[[#This Row],[Pimples(Y/N)]]=1,"YES","NO")</f>
        <v>YES</v>
      </c>
      <c r="AR411">
        <v>0</v>
      </c>
      <c r="AS411" t="str">
        <f>IF(Table1[[#This Row],[Fast food (Y/N)]]=1,"YES","NO")</f>
        <v>NO</v>
      </c>
      <c r="AT411">
        <v>0</v>
      </c>
      <c r="AU411" t="str">
        <f>IF(Table1[[#This Row],[Reg.Exercise(Y/N)]]=1,"YES","NO")</f>
        <v>NO</v>
      </c>
      <c r="AV411">
        <v>110</v>
      </c>
      <c r="AW411">
        <v>70</v>
      </c>
      <c r="AX411">
        <v>3</v>
      </c>
      <c r="AY411">
        <v>0</v>
      </c>
      <c r="AZ411">
        <v>10</v>
      </c>
      <c r="BA411">
        <v>11</v>
      </c>
      <c r="BB411">
        <v>4</v>
      </c>
      <c r="BC411" t="str" cm="1">
        <f t="array" ref="BC411">_xlfn.IFS((F411/(G411*G411)*10000)&lt; 18.5,"Underweight",(F411/(G411*G411)*10000)&lt;24.9,"Normal",(F411/(G411*G411)*10000)&lt;29.9,"Overweight",(F411/(G411*G411)*10000)&gt;=30,"obesity")</f>
        <v>Normal</v>
      </c>
      <c r="BD411">
        <f>Table1[[#This Row],[Follicle No. (L)]]+Table1[[#This Row],[Follicle No. (R)]]</f>
        <v>3</v>
      </c>
      <c r="BE411">
        <f>Table1[[#This Row],[Avg. F size (L) (mm)]]+Table1[[#This Row],[Avg. F size (R) (mm)]]</f>
        <v>21</v>
      </c>
      <c r="BF411">
        <f>Table1[[#This Row],[BP _Diastolic (mmHg)]]+(Table1[[#This Row],[BP _Diastolic (mmHg)]]+Table1[[#This Row],[Follicle No. (L)]])/3</f>
        <v>94.333333333333329</v>
      </c>
      <c r="BG411" s="4" t="str" cm="1">
        <f t="array" ref="BG41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11" s="4">
        <f>SUM(Table1[[#This Row],[Pimples(Y/N)]],Table1[[#This Row],[hair growth(Y/N)]],Table1[[#This Row],[Skin darkening (Y/N)]],Table1[[#This Row],[Hair loss(Y/N)]])</f>
        <v>2</v>
      </c>
      <c r="BI411" s="4" t="str">
        <f>IF(AND(Table1[[#This Row],[Pregnant(Y/N)]]=0, Table1[[#This Row],[  I   beta-HCG(mIU/mL)]]&gt;5), "Investigation Required", "Clear")</f>
        <v>Clear</v>
      </c>
    </row>
    <row r="412" spans="1:61" ht="15.75" customHeight="1" x14ac:dyDescent="0.25">
      <c r="A412">
        <v>411</v>
      </c>
      <c r="B412">
        <v>411</v>
      </c>
      <c r="C412">
        <v>0</v>
      </c>
      <c r="D412" t="str">
        <f>IF(Table1[[#This Row],[PCOS (Y/N)]]=0,"NO","YES")</f>
        <v>NO</v>
      </c>
      <c r="E412">
        <v>34</v>
      </c>
      <c r="F412">
        <v>54.7</v>
      </c>
      <c r="G412">
        <v>158</v>
      </c>
      <c r="H412">
        <v>13</v>
      </c>
      <c r="I412">
        <v>72</v>
      </c>
      <c r="J412">
        <v>20</v>
      </c>
      <c r="K412">
        <v>10.4</v>
      </c>
      <c r="L412">
        <v>2</v>
      </c>
      <c r="M412">
        <v>5</v>
      </c>
      <c r="N412">
        <v>9</v>
      </c>
      <c r="O412">
        <v>1</v>
      </c>
      <c r="P412" t="str">
        <f>IF(Table1[[#This Row],[Pregnant(Y/N)]]=1,"YES","NO")</f>
        <v>YES</v>
      </c>
      <c r="Q412">
        <v>0</v>
      </c>
      <c r="R412">
        <v>363.08</v>
      </c>
      <c r="S412">
        <v>8.5399999999999991</v>
      </c>
      <c r="T412">
        <v>6.71</v>
      </c>
      <c r="U412">
        <v>8.7100000000000009</v>
      </c>
      <c r="V412">
        <f>Table1[[#This Row],[FSH(mIU/mL)]]/Table1[[#This Row],[LH(mIU/mL)]]</f>
        <v>0.77037887485648671</v>
      </c>
      <c r="W412" t="str">
        <f>IF(Table1[[#This Row],[FSH/LH]]&gt;=2,"Abnormal","Normal")</f>
        <v>Normal</v>
      </c>
      <c r="X412">
        <v>37</v>
      </c>
      <c r="Y412">
        <v>33</v>
      </c>
      <c r="Z412">
        <f>ROUND(Table1[[#This Row],[Waist(inch)]]/Table1[[#This Row],[Hip(inch)]],2)</f>
        <v>0.89</v>
      </c>
      <c r="AA412">
        <v>3.65</v>
      </c>
      <c r="AB412">
        <v>6.4</v>
      </c>
      <c r="AC412">
        <v>12.31</v>
      </c>
      <c r="AD412">
        <v>25.8</v>
      </c>
      <c r="AE412" t="str">
        <f>IF(Table1[[#This Row],[Vit D3 (ng/mL)]]&lt;20,"Deficiency","Normal")</f>
        <v>Normal</v>
      </c>
      <c r="AF412">
        <v>4.25</v>
      </c>
      <c r="AG412">
        <v>100</v>
      </c>
      <c r="AH412">
        <v>0</v>
      </c>
      <c r="AI412" t="str">
        <f>IF(Table1[[#This Row],[Weight gain(Y/N)]]=0,"NO","YES")</f>
        <v>NO</v>
      </c>
      <c r="AJ412">
        <v>0</v>
      </c>
      <c r="AK412" t="str">
        <f>IF(Table1[[#This Row],[hair growth(Y/N)]]=1,"YES","NO")</f>
        <v>NO</v>
      </c>
      <c r="AL412">
        <v>0</v>
      </c>
      <c r="AM412" t="str">
        <f>IF(Table1[[#This Row],[Skin darkening (Y/N)]]=1,"YES","NO")</f>
        <v>NO</v>
      </c>
      <c r="AN412">
        <v>1</v>
      </c>
      <c r="AO412" t="str">
        <f>IF(Table1[[#This Row],[Hair loss(Y/N)]]=1,"YES","NO")</f>
        <v>YES</v>
      </c>
      <c r="AP412">
        <v>1</v>
      </c>
      <c r="AQ412" t="str">
        <f>IF(Table1[[#This Row],[Pimples(Y/N)]]=1,"YES","NO")</f>
        <v>YES</v>
      </c>
      <c r="AR412">
        <v>1</v>
      </c>
      <c r="AS412" t="str">
        <f>IF(Table1[[#This Row],[Fast food (Y/N)]]=1,"YES","NO")</f>
        <v>YES</v>
      </c>
      <c r="AT412">
        <v>1</v>
      </c>
      <c r="AU412" t="str">
        <f>IF(Table1[[#This Row],[Reg.Exercise(Y/N)]]=1,"YES","NO")</f>
        <v>YES</v>
      </c>
      <c r="AV412">
        <v>120</v>
      </c>
      <c r="AW412">
        <v>80</v>
      </c>
      <c r="AX412">
        <v>1</v>
      </c>
      <c r="AY412">
        <v>1</v>
      </c>
      <c r="AZ412">
        <v>13</v>
      </c>
      <c r="BA412">
        <v>15</v>
      </c>
      <c r="BB412">
        <v>8</v>
      </c>
      <c r="BC412" t="str" cm="1">
        <f t="array" ref="BC412">_xlfn.IFS((F412/(G412*G412)*10000)&lt; 18.5,"Underweight",(F412/(G412*G412)*10000)&lt;24.9,"Normal",(F412/(G412*G412)*10000)&lt;29.9,"Overweight",(F412/(G412*G412)*10000)&gt;=30,"obesity")</f>
        <v>Normal</v>
      </c>
      <c r="BD412">
        <f>Table1[[#This Row],[Follicle No. (L)]]+Table1[[#This Row],[Follicle No. (R)]]</f>
        <v>2</v>
      </c>
      <c r="BE412">
        <f>Table1[[#This Row],[Avg. F size (L) (mm)]]+Table1[[#This Row],[Avg. F size (R) (mm)]]</f>
        <v>28</v>
      </c>
      <c r="BF412">
        <f>Table1[[#This Row],[BP _Diastolic (mmHg)]]+(Table1[[#This Row],[BP _Diastolic (mmHg)]]+Table1[[#This Row],[Follicle No. (L)]])/3</f>
        <v>107</v>
      </c>
      <c r="BG412" s="4" t="str" cm="1">
        <f t="array" ref="BG41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12" s="4">
        <f>SUM(Table1[[#This Row],[Pimples(Y/N)]],Table1[[#This Row],[hair growth(Y/N)]],Table1[[#This Row],[Skin darkening (Y/N)]],Table1[[#This Row],[Hair loss(Y/N)]])</f>
        <v>2</v>
      </c>
      <c r="BI412" s="4" t="str">
        <f>IF(AND(Table1[[#This Row],[Pregnant(Y/N)]]=0, Table1[[#This Row],[  I   beta-HCG(mIU/mL)]]&gt;5), "Investigation Required", "Clear")</f>
        <v>Clear</v>
      </c>
    </row>
    <row r="413" spans="1:61" ht="15.75" customHeight="1" x14ac:dyDescent="0.25">
      <c r="A413">
        <v>412</v>
      </c>
      <c r="B413">
        <v>412</v>
      </c>
      <c r="C413">
        <v>0</v>
      </c>
      <c r="D413" t="str">
        <f>IF(Table1[[#This Row],[PCOS (Y/N)]]=0,"NO","YES")</f>
        <v>NO</v>
      </c>
      <c r="E413">
        <v>40</v>
      </c>
      <c r="F413">
        <v>53</v>
      </c>
      <c r="G413">
        <v>150</v>
      </c>
      <c r="H413">
        <v>15</v>
      </c>
      <c r="I413">
        <v>78</v>
      </c>
      <c r="J413">
        <v>20</v>
      </c>
      <c r="K413">
        <v>11.4</v>
      </c>
      <c r="L413">
        <v>2</v>
      </c>
      <c r="M413">
        <v>5</v>
      </c>
      <c r="N413">
        <v>14</v>
      </c>
      <c r="O413">
        <v>1</v>
      </c>
      <c r="P413" t="str">
        <f>IF(Table1[[#This Row],[Pregnant(Y/N)]]=1,"YES","NO")</f>
        <v>YES</v>
      </c>
      <c r="Q413">
        <v>0</v>
      </c>
      <c r="R413">
        <v>382.36</v>
      </c>
      <c r="S413">
        <v>382.36</v>
      </c>
      <c r="T413">
        <v>4.8</v>
      </c>
      <c r="U413">
        <v>3.83</v>
      </c>
      <c r="V413">
        <f>Table1[[#This Row],[FSH(mIU/mL)]]/Table1[[#This Row],[LH(mIU/mL)]]</f>
        <v>1.2532637075718014</v>
      </c>
      <c r="W413" t="str">
        <f>IF(Table1[[#This Row],[FSH/LH]]&gt;=2,"Abnormal","Normal")</f>
        <v>Normal</v>
      </c>
      <c r="X413">
        <v>34</v>
      </c>
      <c r="Y413">
        <v>30</v>
      </c>
      <c r="Z413">
        <f>ROUND(Table1[[#This Row],[Waist(inch)]]/Table1[[#This Row],[Hip(inch)]],2)</f>
        <v>0.88</v>
      </c>
      <c r="AA413">
        <v>1.98</v>
      </c>
      <c r="AB413">
        <v>8.1</v>
      </c>
      <c r="AC413">
        <v>8.1</v>
      </c>
      <c r="AD413">
        <v>44.1</v>
      </c>
      <c r="AE413" t="str">
        <f>IF(Table1[[#This Row],[Vit D3 (ng/mL)]]&lt;20,"Deficiency","Normal")</f>
        <v>Normal</v>
      </c>
      <c r="AF413">
        <v>0.25</v>
      </c>
      <c r="AG413">
        <v>115</v>
      </c>
      <c r="AH413">
        <v>0</v>
      </c>
      <c r="AI413" t="str">
        <f>IF(Table1[[#This Row],[Weight gain(Y/N)]]=0,"NO","YES")</f>
        <v>NO</v>
      </c>
      <c r="AJ413">
        <v>0</v>
      </c>
      <c r="AK413" t="str">
        <f>IF(Table1[[#This Row],[hair growth(Y/N)]]=1,"YES","NO")</f>
        <v>NO</v>
      </c>
      <c r="AL413">
        <v>0</v>
      </c>
      <c r="AM413" t="str">
        <f>IF(Table1[[#This Row],[Skin darkening (Y/N)]]=1,"YES","NO")</f>
        <v>NO</v>
      </c>
      <c r="AN413">
        <v>1</v>
      </c>
      <c r="AO413" t="str">
        <f>IF(Table1[[#This Row],[Hair loss(Y/N)]]=1,"YES","NO")</f>
        <v>YES</v>
      </c>
      <c r="AP413">
        <v>0</v>
      </c>
      <c r="AQ413" t="str">
        <f>IF(Table1[[#This Row],[Pimples(Y/N)]]=1,"YES","NO")</f>
        <v>NO</v>
      </c>
      <c r="AR413">
        <v>1</v>
      </c>
      <c r="AS413" t="str">
        <f>IF(Table1[[#This Row],[Fast food (Y/N)]]=1,"YES","NO")</f>
        <v>YES</v>
      </c>
      <c r="AT413">
        <v>0</v>
      </c>
      <c r="AU413" t="str">
        <f>IF(Table1[[#This Row],[Reg.Exercise(Y/N)]]=1,"YES","NO")</f>
        <v>NO</v>
      </c>
      <c r="AV413">
        <v>120</v>
      </c>
      <c r="AW413">
        <v>70</v>
      </c>
      <c r="AX413">
        <v>3</v>
      </c>
      <c r="AY413">
        <v>4</v>
      </c>
      <c r="AZ413">
        <v>2</v>
      </c>
      <c r="BA413">
        <v>13</v>
      </c>
      <c r="BB413">
        <v>11</v>
      </c>
      <c r="BC413" t="str" cm="1">
        <f t="array" ref="BC413">_xlfn.IFS((F413/(G413*G413)*10000)&lt; 18.5,"Underweight",(F413/(G413*G413)*10000)&lt;24.9,"Normal",(F413/(G413*G413)*10000)&lt;29.9,"Overweight",(F413/(G413*G413)*10000)&gt;=30,"obesity")</f>
        <v>Normal</v>
      </c>
      <c r="BD413">
        <f>Table1[[#This Row],[Follicle No. (L)]]+Table1[[#This Row],[Follicle No. (R)]]</f>
        <v>7</v>
      </c>
      <c r="BE413">
        <f>Table1[[#This Row],[Avg. F size (L) (mm)]]+Table1[[#This Row],[Avg. F size (R) (mm)]]</f>
        <v>15</v>
      </c>
      <c r="BF413">
        <f>Table1[[#This Row],[BP _Diastolic (mmHg)]]+(Table1[[#This Row],[BP _Diastolic (mmHg)]]+Table1[[#This Row],[Follicle No. (L)]])/3</f>
        <v>94.333333333333329</v>
      </c>
      <c r="BG413" s="4" t="str" cm="1">
        <f t="array" ref="BG41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13" s="4">
        <f>SUM(Table1[[#This Row],[Pimples(Y/N)]],Table1[[#This Row],[hair growth(Y/N)]],Table1[[#This Row],[Skin darkening (Y/N)]],Table1[[#This Row],[Hair loss(Y/N)]])</f>
        <v>1</v>
      </c>
      <c r="BI413" s="4" t="str">
        <f>IF(AND(Table1[[#This Row],[Pregnant(Y/N)]]=0, Table1[[#This Row],[  I   beta-HCG(mIU/mL)]]&gt;5), "Investigation Required", "Clear")</f>
        <v>Clear</v>
      </c>
    </row>
    <row r="414" spans="1:61" ht="15.75" customHeight="1" x14ac:dyDescent="0.25">
      <c r="A414">
        <v>413</v>
      </c>
      <c r="B414">
        <v>413</v>
      </c>
      <c r="C414">
        <v>1</v>
      </c>
      <c r="D414" t="str">
        <f>IF(Table1[[#This Row],[PCOS (Y/N)]]=0,"NO","YES")</f>
        <v>YES</v>
      </c>
      <c r="E414">
        <v>23</v>
      </c>
      <c r="F414">
        <v>55</v>
      </c>
      <c r="G414">
        <v>152</v>
      </c>
      <c r="H414">
        <v>13</v>
      </c>
      <c r="I414">
        <v>78</v>
      </c>
      <c r="J414">
        <v>18</v>
      </c>
      <c r="K414">
        <v>10.8</v>
      </c>
      <c r="L414">
        <v>2</v>
      </c>
      <c r="M414">
        <v>5</v>
      </c>
      <c r="N414">
        <v>3</v>
      </c>
      <c r="O414">
        <v>0</v>
      </c>
      <c r="P414" t="str">
        <f>IF(Table1[[#This Row],[Pregnant(Y/N)]]=1,"YES","NO")</f>
        <v>NO</v>
      </c>
      <c r="Q414">
        <v>0</v>
      </c>
      <c r="R414">
        <v>1.99</v>
      </c>
      <c r="S414">
        <v>1.99</v>
      </c>
      <c r="T414">
        <v>40.08</v>
      </c>
      <c r="U414">
        <v>1.99</v>
      </c>
      <c r="V414">
        <f>Table1[[#This Row],[FSH(mIU/mL)]]/Table1[[#This Row],[LH(mIU/mL)]]</f>
        <v>20.140703517587937</v>
      </c>
      <c r="W414" t="str">
        <f>IF(Table1[[#This Row],[FSH/LH]]&gt;=2,"Abnormal","Normal")</f>
        <v>Abnormal</v>
      </c>
      <c r="X414">
        <v>36</v>
      </c>
      <c r="Y414">
        <v>32</v>
      </c>
      <c r="Z414">
        <f>ROUND(Table1[[#This Row],[Waist(inch)]]/Table1[[#This Row],[Hip(inch)]],2)</f>
        <v>0.89</v>
      </c>
      <c r="AA414">
        <v>1.35</v>
      </c>
      <c r="AB414">
        <v>10.8</v>
      </c>
      <c r="AC414">
        <v>43.94</v>
      </c>
      <c r="AD414">
        <v>29.4</v>
      </c>
      <c r="AE414" t="str">
        <f>IF(Table1[[#This Row],[Vit D3 (ng/mL)]]&lt;20,"Deficiency","Normal")</f>
        <v>Normal</v>
      </c>
      <c r="AF414">
        <v>0.4</v>
      </c>
      <c r="AG414">
        <v>108</v>
      </c>
      <c r="AH414">
        <v>0</v>
      </c>
      <c r="AI414" t="str">
        <f>IF(Table1[[#This Row],[Weight gain(Y/N)]]=0,"NO","YES")</f>
        <v>NO</v>
      </c>
      <c r="AJ414">
        <v>1</v>
      </c>
      <c r="AK414" t="str">
        <f>IF(Table1[[#This Row],[hair growth(Y/N)]]=1,"YES","NO")</f>
        <v>YES</v>
      </c>
      <c r="AL414">
        <v>1</v>
      </c>
      <c r="AM414" t="str">
        <f>IF(Table1[[#This Row],[Skin darkening (Y/N)]]=1,"YES","NO")</f>
        <v>YES</v>
      </c>
      <c r="AN414">
        <v>1</v>
      </c>
      <c r="AO414" t="str">
        <f>IF(Table1[[#This Row],[Hair loss(Y/N)]]=1,"YES","NO")</f>
        <v>YES</v>
      </c>
      <c r="AP414">
        <v>1</v>
      </c>
      <c r="AQ414" t="str">
        <f>IF(Table1[[#This Row],[Pimples(Y/N)]]=1,"YES","NO")</f>
        <v>YES</v>
      </c>
      <c r="AR414">
        <v>0</v>
      </c>
      <c r="AS414" t="str">
        <f>IF(Table1[[#This Row],[Fast food (Y/N)]]=1,"YES","NO")</f>
        <v>NO</v>
      </c>
      <c r="AT414">
        <v>1</v>
      </c>
      <c r="AU414" t="str">
        <f>IF(Table1[[#This Row],[Reg.Exercise(Y/N)]]=1,"YES","NO")</f>
        <v>YES</v>
      </c>
      <c r="AV414">
        <v>110</v>
      </c>
      <c r="AW414">
        <v>70</v>
      </c>
      <c r="AX414">
        <v>10</v>
      </c>
      <c r="AY414">
        <v>18</v>
      </c>
      <c r="AZ414">
        <v>14</v>
      </c>
      <c r="BA414">
        <v>14</v>
      </c>
      <c r="BB414">
        <v>10.3</v>
      </c>
      <c r="BC414" t="str" cm="1">
        <f t="array" ref="BC414">_xlfn.IFS((F414/(G414*G414)*10000)&lt; 18.5,"Underweight",(F414/(G414*G414)*10000)&lt;24.9,"Normal",(F414/(G414*G414)*10000)&lt;29.9,"Overweight",(F414/(G414*G414)*10000)&gt;=30,"obesity")</f>
        <v>Normal</v>
      </c>
      <c r="BD414">
        <f>Table1[[#This Row],[Follicle No. (L)]]+Table1[[#This Row],[Follicle No. (R)]]</f>
        <v>28</v>
      </c>
      <c r="BE414">
        <f>Table1[[#This Row],[Avg. F size (L) (mm)]]+Table1[[#This Row],[Avg. F size (R) (mm)]]</f>
        <v>28</v>
      </c>
      <c r="BF414">
        <f>Table1[[#This Row],[BP _Diastolic (mmHg)]]+(Table1[[#This Row],[BP _Diastolic (mmHg)]]+Table1[[#This Row],[Follicle No. (L)]])/3</f>
        <v>96.666666666666671</v>
      </c>
      <c r="BG414" s="4" t="str" cm="1">
        <f t="array" ref="BG41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14" s="4">
        <f>SUM(Table1[[#This Row],[Pimples(Y/N)]],Table1[[#This Row],[hair growth(Y/N)]],Table1[[#This Row],[Skin darkening (Y/N)]],Table1[[#This Row],[Hair loss(Y/N)]])</f>
        <v>4</v>
      </c>
      <c r="BI414" s="4" t="str">
        <f>IF(AND(Table1[[#This Row],[Pregnant(Y/N)]]=0, Table1[[#This Row],[  I   beta-HCG(mIU/mL)]]&gt;5), "Investigation Required", "Clear")</f>
        <v>Clear</v>
      </c>
    </row>
    <row r="415" spans="1:61" ht="15.75" customHeight="1" x14ac:dyDescent="0.25">
      <c r="A415">
        <v>414</v>
      </c>
      <c r="B415">
        <v>414</v>
      </c>
      <c r="C415">
        <v>0</v>
      </c>
      <c r="D415" t="str">
        <f>IF(Table1[[#This Row],[PCOS (Y/N)]]=0,"NO","YES")</f>
        <v>NO</v>
      </c>
      <c r="E415">
        <v>26</v>
      </c>
      <c r="F415">
        <v>52</v>
      </c>
      <c r="G415">
        <v>150</v>
      </c>
      <c r="H415">
        <v>15</v>
      </c>
      <c r="I415">
        <v>74</v>
      </c>
      <c r="J415">
        <v>20</v>
      </c>
      <c r="K415">
        <v>10</v>
      </c>
      <c r="L415">
        <v>2</v>
      </c>
      <c r="M415">
        <v>5</v>
      </c>
      <c r="N415">
        <v>9</v>
      </c>
      <c r="O415">
        <v>0</v>
      </c>
      <c r="P415" t="str">
        <f>IF(Table1[[#This Row],[Pregnant(Y/N)]]=1,"YES","NO")</f>
        <v>NO</v>
      </c>
      <c r="Q415">
        <v>0</v>
      </c>
      <c r="R415">
        <v>1.99</v>
      </c>
      <c r="S415">
        <v>1.99</v>
      </c>
      <c r="T415">
        <v>3.52</v>
      </c>
      <c r="U415">
        <v>2.14</v>
      </c>
      <c r="V415">
        <f>Table1[[#This Row],[FSH(mIU/mL)]]/Table1[[#This Row],[LH(mIU/mL)]]</f>
        <v>1.6448598130841121</v>
      </c>
      <c r="W415" t="str">
        <f>IF(Table1[[#This Row],[FSH/LH]]&gt;=2,"Abnormal","Normal")</f>
        <v>Normal</v>
      </c>
      <c r="X415">
        <v>35</v>
      </c>
      <c r="Y415">
        <v>31</v>
      </c>
      <c r="Z415">
        <f>ROUND(Table1[[#This Row],[Waist(inch)]]/Table1[[#This Row],[Hip(inch)]],2)</f>
        <v>0.89</v>
      </c>
      <c r="AA415">
        <v>0.74</v>
      </c>
      <c r="AB415">
        <v>5.2</v>
      </c>
      <c r="AC415">
        <v>15.59</v>
      </c>
      <c r="AD415">
        <v>30.1</v>
      </c>
      <c r="AE415" t="str">
        <f>IF(Table1[[#This Row],[Vit D3 (ng/mL)]]&lt;20,"Deficiency","Normal")</f>
        <v>Normal</v>
      </c>
      <c r="AF415">
        <v>0.3</v>
      </c>
      <c r="AG415">
        <v>115</v>
      </c>
      <c r="AH415">
        <v>0</v>
      </c>
      <c r="AI415" t="str">
        <f>IF(Table1[[#This Row],[Weight gain(Y/N)]]=0,"NO","YES")</f>
        <v>NO</v>
      </c>
      <c r="AJ415">
        <v>0</v>
      </c>
      <c r="AK415" t="str">
        <f>IF(Table1[[#This Row],[hair growth(Y/N)]]=1,"YES","NO")</f>
        <v>NO</v>
      </c>
      <c r="AL415">
        <v>0</v>
      </c>
      <c r="AM415" t="str">
        <f>IF(Table1[[#This Row],[Skin darkening (Y/N)]]=1,"YES","NO")</f>
        <v>NO</v>
      </c>
      <c r="AN415">
        <v>1</v>
      </c>
      <c r="AO415" t="str">
        <f>IF(Table1[[#This Row],[Hair loss(Y/N)]]=1,"YES","NO")</f>
        <v>YES</v>
      </c>
      <c r="AP415">
        <v>1</v>
      </c>
      <c r="AQ415" t="str">
        <f>IF(Table1[[#This Row],[Pimples(Y/N)]]=1,"YES","NO")</f>
        <v>YES</v>
      </c>
      <c r="AR415">
        <v>1</v>
      </c>
      <c r="AS415" t="str">
        <f>IF(Table1[[#This Row],[Fast food (Y/N)]]=1,"YES","NO")</f>
        <v>YES</v>
      </c>
      <c r="AT415">
        <v>0</v>
      </c>
      <c r="AU415" t="str">
        <f>IF(Table1[[#This Row],[Reg.Exercise(Y/N)]]=1,"YES","NO")</f>
        <v>NO</v>
      </c>
      <c r="AV415">
        <v>110</v>
      </c>
      <c r="AW415">
        <v>70</v>
      </c>
      <c r="AX415">
        <v>1</v>
      </c>
      <c r="AY415">
        <v>1</v>
      </c>
      <c r="AZ415">
        <v>13</v>
      </c>
      <c r="BA415">
        <v>14</v>
      </c>
      <c r="BB415">
        <v>13</v>
      </c>
      <c r="BC415" t="str" cm="1">
        <f t="array" ref="BC415">_xlfn.IFS((F415/(G415*G415)*10000)&lt; 18.5,"Underweight",(F415/(G415*G415)*10000)&lt;24.9,"Normal",(F415/(G415*G415)*10000)&lt;29.9,"Overweight",(F415/(G415*G415)*10000)&gt;=30,"obesity")</f>
        <v>Normal</v>
      </c>
      <c r="BD415">
        <f>Table1[[#This Row],[Follicle No. (L)]]+Table1[[#This Row],[Follicle No. (R)]]</f>
        <v>2</v>
      </c>
      <c r="BE415">
        <f>Table1[[#This Row],[Avg. F size (L) (mm)]]+Table1[[#This Row],[Avg. F size (R) (mm)]]</f>
        <v>27</v>
      </c>
      <c r="BF415">
        <f>Table1[[#This Row],[BP _Diastolic (mmHg)]]+(Table1[[#This Row],[BP _Diastolic (mmHg)]]+Table1[[#This Row],[Follicle No. (L)]])/3</f>
        <v>93.666666666666671</v>
      </c>
      <c r="BG415" s="4" t="str" cm="1">
        <f t="array" ref="BG41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15" s="4">
        <f>SUM(Table1[[#This Row],[Pimples(Y/N)]],Table1[[#This Row],[hair growth(Y/N)]],Table1[[#This Row],[Skin darkening (Y/N)]],Table1[[#This Row],[Hair loss(Y/N)]])</f>
        <v>2</v>
      </c>
      <c r="BI415" s="4" t="str">
        <f>IF(AND(Table1[[#This Row],[Pregnant(Y/N)]]=0, Table1[[#This Row],[  I   beta-HCG(mIU/mL)]]&gt;5), "Investigation Required", "Clear")</f>
        <v>Clear</v>
      </c>
    </row>
    <row r="416" spans="1:61" ht="15.75" customHeight="1" x14ac:dyDescent="0.25">
      <c r="A416">
        <v>415</v>
      </c>
      <c r="B416">
        <v>415</v>
      </c>
      <c r="C416">
        <v>1</v>
      </c>
      <c r="D416" t="str">
        <f>IF(Table1[[#This Row],[PCOS (Y/N)]]=0,"NO","YES")</f>
        <v>YES</v>
      </c>
      <c r="E416">
        <v>30</v>
      </c>
      <c r="F416">
        <v>64</v>
      </c>
      <c r="G416">
        <v>158</v>
      </c>
      <c r="H416">
        <v>11</v>
      </c>
      <c r="I416">
        <v>74</v>
      </c>
      <c r="J416">
        <v>22</v>
      </c>
      <c r="K416">
        <v>10.199999999999999</v>
      </c>
      <c r="L416">
        <v>2</v>
      </c>
      <c r="M416">
        <v>4</v>
      </c>
      <c r="N416">
        <v>2.2000000000000002</v>
      </c>
      <c r="O416">
        <v>1</v>
      </c>
      <c r="P416" t="str">
        <f>IF(Table1[[#This Row],[Pregnant(Y/N)]]=1,"YES","NO")</f>
        <v>YES</v>
      </c>
      <c r="Q416">
        <v>0</v>
      </c>
      <c r="R416">
        <v>2229.81</v>
      </c>
      <c r="S416">
        <v>10.98</v>
      </c>
      <c r="T416">
        <v>4.75</v>
      </c>
      <c r="U416">
        <v>7.2</v>
      </c>
      <c r="V416">
        <f>Table1[[#This Row],[FSH(mIU/mL)]]/Table1[[#This Row],[LH(mIU/mL)]]</f>
        <v>0.65972222222222221</v>
      </c>
      <c r="W416" t="str">
        <f>IF(Table1[[#This Row],[FSH/LH]]&gt;=2,"Abnormal","Normal")</f>
        <v>Normal</v>
      </c>
      <c r="X416">
        <v>38</v>
      </c>
      <c r="Y416">
        <v>35</v>
      </c>
      <c r="Z416">
        <f>ROUND(Table1[[#This Row],[Waist(inch)]]/Table1[[#This Row],[Hip(inch)]],2)</f>
        <v>0.92</v>
      </c>
      <c r="AA416">
        <v>4.75</v>
      </c>
      <c r="AB416">
        <v>7.2</v>
      </c>
      <c r="AC416">
        <v>32.06</v>
      </c>
      <c r="AD416">
        <v>33.799999999999997</v>
      </c>
      <c r="AE416" t="str">
        <f>IF(Table1[[#This Row],[Vit D3 (ng/mL)]]&lt;20,"Deficiency","Normal")</f>
        <v>Normal</v>
      </c>
      <c r="AF416">
        <v>0.25</v>
      </c>
      <c r="AG416">
        <v>92</v>
      </c>
      <c r="AH416">
        <v>1</v>
      </c>
      <c r="AI416" t="str">
        <f>IF(Table1[[#This Row],[Weight gain(Y/N)]]=0,"NO","YES")</f>
        <v>YES</v>
      </c>
      <c r="AJ416">
        <v>0</v>
      </c>
      <c r="AK416" t="str">
        <f>IF(Table1[[#This Row],[hair growth(Y/N)]]=1,"YES","NO")</f>
        <v>NO</v>
      </c>
      <c r="AL416">
        <v>1</v>
      </c>
      <c r="AM416" t="str">
        <f>IF(Table1[[#This Row],[Skin darkening (Y/N)]]=1,"YES","NO")</f>
        <v>YES</v>
      </c>
      <c r="AN416">
        <v>0</v>
      </c>
      <c r="AO416" t="str">
        <f>IF(Table1[[#This Row],[Hair loss(Y/N)]]=1,"YES","NO")</f>
        <v>NO</v>
      </c>
      <c r="AP416">
        <v>1</v>
      </c>
      <c r="AQ416" t="str">
        <f>IF(Table1[[#This Row],[Pimples(Y/N)]]=1,"YES","NO")</f>
        <v>YES</v>
      </c>
      <c r="AR416">
        <v>1</v>
      </c>
      <c r="AS416" t="str">
        <f>IF(Table1[[#This Row],[Fast food (Y/N)]]=1,"YES","NO")</f>
        <v>YES</v>
      </c>
      <c r="AT416">
        <v>0</v>
      </c>
      <c r="AU416" t="str">
        <f>IF(Table1[[#This Row],[Reg.Exercise(Y/N)]]=1,"YES","NO")</f>
        <v>NO</v>
      </c>
      <c r="AV416">
        <v>110</v>
      </c>
      <c r="AW416">
        <v>70</v>
      </c>
      <c r="AX416">
        <v>12</v>
      </c>
      <c r="AY416">
        <v>14</v>
      </c>
      <c r="AZ416">
        <v>14</v>
      </c>
      <c r="BA416">
        <v>14</v>
      </c>
      <c r="BB416">
        <v>9.5</v>
      </c>
      <c r="BC416" t="str" cm="1">
        <f t="array" ref="BC416">_xlfn.IFS((F416/(G416*G416)*10000)&lt; 18.5,"Underweight",(F416/(G416*G416)*10000)&lt;24.9,"Normal",(F416/(G416*G416)*10000)&lt;29.9,"Overweight",(F416/(G416*G416)*10000)&gt;=30,"obesity")</f>
        <v>Overweight</v>
      </c>
      <c r="BD416">
        <f>Table1[[#This Row],[Follicle No. (L)]]+Table1[[#This Row],[Follicle No. (R)]]</f>
        <v>26</v>
      </c>
      <c r="BE416">
        <f>Table1[[#This Row],[Avg. F size (L) (mm)]]+Table1[[#This Row],[Avg. F size (R) (mm)]]</f>
        <v>28</v>
      </c>
      <c r="BF416">
        <f>Table1[[#This Row],[BP _Diastolic (mmHg)]]+(Table1[[#This Row],[BP _Diastolic (mmHg)]]+Table1[[#This Row],[Follicle No. (L)]])/3</f>
        <v>97.333333333333329</v>
      </c>
      <c r="BG416" s="4" t="str" cm="1">
        <f t="array" ref="BG41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16" s="4">
        <f>SUM(Table1[[#This Row],[Pimples(Y/N)]],Table1[[#This Row],[hair growth(Y/N)]],Table1[[#This Row],[Skin darkening (Y/N)]],Table1[[#This Row],[Hair loss(Y/N)]])</f>
        <v>2</v>
      </c>
      <c r="BI416" s="4" t="str">
        <f>IF(AND(Table1[[#This Row],[Pregnant(Y/N)]]=0, Table1[[#This Row],[  I   beta-HCG(mIU/mL)]]&gt;5), "Investigation Required", "Clear")</f>
        <v>Clear</v>
      </c>
    </row>
    <row r="417" spans="1:61" ht="15.75" customHeight="1" x14ac:dyDescent="0.25">
      <c r="A417">
        <v>416</v>
      </c>
      <c r="B417">
        <v>416</v>
      </c>
      <c r="C417">
        <v>1</v>
      </c>
      <c r="D417" t="str">
        <f>IF(Table1[[#This Row],[PCOS (Y/N)]]=0,"NO","YES")</f>
        <v>YES</v>
      </c>
      <c r="E417">
        <v>31</v>
      </c>
      <c r="F417">
        <v>60</v>
      </c>
      <c r="G417">
        <v>160</v>
      </c>
      <c r="H417">
        <v>15</v>
      </c>
      <c r="I417">
        <v>80</v>
      </c>
      <c r="J417">
        <v>20</v>
      </c>
      <c r="K417">
        <v>10.8</v>
      </c>
      <c r="L417">
        <v>4</v>
      </c>
      <c r="M417">
        <v>2</v>
      </c>
      <c r="N417">
        <v>7</v>
      </c>
      <c r="O417">
        <v>1</v>
      </c>
      <c r="P417" t="str">
        <f>IF(Table1[[#This Row],[Pregnant(Y/N)]]=1,"YES","NO")</f>
        <v>YES</v>
      </c>
      <c r="Q417">
        <v>0</v>
      </c>
      <c r="R417">
        <v>252.72</v>
      </c>
      <c r="S417">
        <v>252.72</v>
      </c>
      <c r="T417">
        <v>1.8</v>
      </c>
      <c r="U417">
        <v>0.9</v>
      </c>
      <c r="V417">
        <f>Table1[[#This Row],[FSH(mIU/mL)]]/Table1[[#This Row],[LH(mIU/mL)]]</f>
        <v>2</v>
      </c>
      <c r="W417" t="str">
        <f>IF(Table1[[#This Row],[FSH/LH]]&gt;=2,"Abnormal","Normal")</f>
        <v>Abnormal</v>
      </c>
      <c r="X417">
        <v>39</v>
      </c>
      <c r="Y417">
        <v>35</v>
      </c>
      <c r="Z417">
        <f>ROUND(Table1[[#This Row],[Waist(inch)]]/Table1[[#This Row],[Hip(inch)]],2)</f>
        <v>0.9</v>
      </c>
      <c r="AA417">
        <v>1.86</v>
      </c>
      <c r="AB417">
        <v>15</v>
      </c>
      <c r="AC417">
        <v>41.94</v>
      </c>
      <c r="AD417">
        <v>23.6</v>
      </c>
      <c r="AE417" t="str">
        <f>IF(Table1[[#This Row],[Vit D3 (ng/mL)]]&lt;20,"Deficiency","Normal")</f>
        <v>Normal</v>
      </c>
      <c r="AF417">
        <v>0.25</v>
      </c>
      <c r="AG417">
        <v>92</v>
      </c>
      <c r="AH417">
        <v>0</v>
      </c>
      <c r="AI417" t="str">
        <f>IF(Table1[[#This Row],[Weight gain(Y/N)]]=0,"NO","YES")</f>
        <v>NO</v>
      </c>
      <c r="AJ417">
        <v>1</v>
      </c>
      <c r="AK417" t="str">
        <f>IF(Table1[[#This Row],[hair growth(Y/N)]]=1,"YES","NO")</f>
        <v>YES</v>
      </c>
      <c r="AL417">
        <v>1</v>
      </c>
      <c r="AM417" t="str">
        <f>IF(Table1[[#This Row],[Skin darkening (Y/N)]]=1,"YES","NO")</f>
        <v>YES</v>
      </c>
      <c r="AN417">
        <v>0</v>
      </c>
      <c r="AO417" t="str">
        <f>IF(Table1[[#This Row],[Hair loss(Y/N)]]=1,"YES","NO")</f>
        <v>NO</v>
      </c>
      <c r="AP417">
        <v>1</v>
      </c>
      <c r="AQ417" t="str">
        <f>IF(Table1[[#This Row],[Pimples(Y/N)]]=1,"YES","NO")</f>
        <v>YES</v>
      </c>
      <c r="AR417">
        <v>1</v>
      </c>
      <c r="AS417" t="str">
        <f>IF(Table1[[#This Row],[Fast food (Y/N)]]=1,"YES","NO")</f>
        <v>YES</v>
      </c>
      <c r="AT417">
        <v>0</v>
      </c>
      <c r="AU417" t="str">
        <f>IF(Table1[[#This Row],[Reg.Exercise(Y/N)]]=1,"YES","NO")</f>
        <v>NO</v>
      </c>
      <c r="AV417">
        <v>120</v>
      </c>
      <c r="AW417">
        <v>80</v>
      </c>
      <c r="AX417">
        <v>8</v>
      </c>
      <c r="AY417">
        <v>12</v>
      </c>
      <c r="AZ417">
        <v>12</v>
      </c>
      <c r="BA417">
        <v>16</v>
      </c>
      <c r="BB417">
        <v>6.5</v>
      </c>
      <c r="BC417" t="str" cm="1">
        <f t="array" ref="BC417">_xlfn.IFS((F417/(G417*G417)*10000)&lt; 18.5,"Underweight",(F417/(G417*G417)*10000)&lt;24.9,"Normal",(F417/(G417*G417)*10000)&lt;29.9,"Overweight",(F417/(G417*G417)*10000)&gt;=30,"obesity")</f>
        <v>Normal</v>
      </c>
      <c r="BD417">
        <f>Table1[[#This Row],[Follicle No. (L)]]+Table1[[#This Row],[Follicle No. (R)]]</f>
        <v>20</v>
      </c>
      <c r="BE417">
        <f>Table1[[#This Row],[Avg. F size (L) (mm)]]+Table1[[#This Row],[Avg. F size (R) (mm)]]</f>
        <v>28</v>
      </c>
      <c r="BF417">
        <f>Table1[[#This Row],[BP _Diastolic (mmHg)]]+(Table1[[#This Row],[BP _Diastolic (mmHg)]]+Table1[[#This Row],[Follicle No. (L)]])/3</f>
        <v>109.33333333333333</v>
      </c>
      <c r="BG417" s="4" t="str" cm="1">
        <f t="array" ref="BG41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17" s="4">
        <f>SUM(Table1[[#This Row],[Pimples(Y/N)]],Table1[[#This Row],[hair growth(Y/N)]],Table1[[#This Row],[Skin darkening (Y/N)]],Table1[[#This Row],[Hair loss(Y/N)]])</f>
        <v>3</v>
      </c>
      <c r="BI417" s="4" t="str">
        <f>IF(AND(Table1[[#This Row],[Pregnant(Y/N)]]=0, Table1[[#This Row],[  I   beta-HCG(mIU/mL)]]&gt;5), "Investigation Required", "Clear")</f>
        <v>Clear</v>
      </c>
    </row>
    <row r="418" spans="1:61" ht="15.75" customHeight="1" x14ac:dyDescent="0.25">
      <c r="A418">
        <v>417</v>
      </c>
      <c r="B418">
        <v>417</v>
      </c>
      <c r="C418">
        <v>0</v>
      </c>
      <c r="D418" t="str">
        <f>IF(Table1[[#This Row],[PCOS (Y/N)]]=0,"NO","YES")</f>
        <v>NO</v>
      </c>
      <c r="E418">
        <v>26</v>
      </c>
      <c r="F418">
        <v>45</v>
      </c>
      <c r="G418">
        <v>149</v>
      </c>
      <c r="H418">
        <v>13</v>
      </c>
      <c r="I418">
        <v>74</v>
      </c>
      <c r="J418">
        <v>20</v>
      </c>
      <c r="K418">
        <v>10.199999999999999</v>
      </c>
      <c r="L418">
        <v>2</v>
      </c>
      <c r="M418">
        <v>5</v>
      </c>
      <c r="N418">
        <v>8</v>
      </c>
      <c r="O418">
        <v>1</v>
      </c>
      <c r="P418" t="str">
        <f>IF(Table1[[#This Row],[Pregnant(Y/N)]]=1,"YES","NO")</f>
        <v>YES</v>
      </c>
      <c r="Q418">
        <v>0</v>
      </c>
      <c r="R418">
        <v>67.2</v>
      </c>
      <c r="S418">
        <v>67.2</v>
      </c>
      <c r="T418">
        <v>7.14</v>
      </c>
      <c r="U418">
        <v>3.79</v>
      </c>
      <c r="V418">
        <f>Table1[[#This Row],[FSH(mIU/mL)]]/Table1[[#This Row],[LH(mIU/mL)]]</f>
        <v>1.8839050131926121</v>
      </c>
      <c r="W418" t="str">
        <f>IF(Table1[[#This Row],[FSH/LH]]&gt;=2,"Abnormal","Normal")</f>
        <v>Normal</v>
      </c>
      <c r="X418">
        <v>32</v>
      </c>
      <c r="Y418">
        <v>28</v>
      </c>
      <c r="Z418">
        <f>ROUND(Table1[[#This Row],[Waist(inch)]]/Table1[[#This Row],[Hip(inch)]],2)</f>
        <v>0.88</v>
      </c>
      <c r="AA418">
        <v>1</v>
      </c>
      <c r="AB418">
        <v>3.4</v>
      </c>
      <c r="AC418">
        <v>10.8</v>
      </c>
      <c r="AD418">
        <v>28.1</v>
      </c>
      <c r="AE418" t="str">
        <f>IF(Table1[[#This Row],[Vit D3 (ng/mL)]]&lt;20,"Deficiency","Normal")</f>
        <v>Normal</v>
      </c>
      <c r="AF418">
        <v>0.25</v>
      </c>
      <c r="AG418">
        <v>100</v>
      </c>
      <c r="AH418">
        <v>0</v>
      </c>
      <c r="AI418" t="str">
        <f>IF(Table1[[#This Row],[Weight gain(Y/N)]]=0,"NO","YES")</f>
        <v>NO</v>
      </c>
      <c r="AJ418">
        <v>0</v>
      </c>
      <c r="AK418" t="str">
        <f>IF(Table1[[#This Row],[hair growth(Y/N)]]=1,"YES","NO")</f>
        <v>NO</v>
      </c>
      <c r="AL418">
        <v>0</v>
      </c>
      <c r="AM418" t="str">
        <f>IF(Table1[[#This Row],[Skin darkening (Y/N)]]=1,"YES","NO")</f>
        <v>NO</v>
      </c>
      <c r="AN418">
        <v>1</v>
      </c>
      <c r="AO418" t="str">
        <f>IF(Table1[[#This Row],[Hair loss(Y/N)]]=1,"YES","NO")</f>
        <v>YES</v>
      </c>
      <c r="AP418">
        <v>0</v>
      </c>
      <c r="AQ418" t="str">
        <f>IF(Table1[[#This Row],[Pimples(Y/N)]]=1,"YES","NO")</f>
        <v>NO</v>
      </c>
      <c r="AR418">
        <v>1</v>
      </c>
      <c r="AS418" t="str">
        <f>IF(Table1[[#This Row],[Fast food (Y/N)]]=1,"YES","NO")</f>
        <v>YES</v>
      </c>
      <c r="AT418">
        <v>0</v>
      </c>
      <c r="AU418" t="str">
        <f>IF(Table1[[#This Row],[Reg.Exercise(Y/N)]]=1,"YES","NO")</f>
        <v>NO</v>
      </c>
      <c r="AV418">
        <v>120</v>
      </c>
      <c r="AW418">
        <v>80</v>
      </c>
      <c r="AX418">
        <v>6</v>
      </c>
      <c r="AY418">
        <v>2</v>
      </c>
      <c r="AZ418">
        <v>14</v>
      </c>
      <c r="BA418">
        <v>13</v>
      </c>
      <c r="BB418">
        <v>8</v>
      </c>
      <c r="BC418" t="str" cm="1">
        <f t="array" ref="BC418">_xlfn.IFS((F418/(G418*G418)*10000)&lt; 18.5,"Underweight",(F418/(G418*G418)*10000)&lt;24.9,"Normal",(F418/(G418*G418)*10000)&lt;29.9,"Overweight",(F418/(G418*G418)*10000)&gt;=30,"obesity")</f>
        <v>Normal</v>
      </c>
      <c r="BD418">
        <f>Table1[[#This Row],[Follicle No. (L)]]+Table1[[#This Row],[Follicle No. (R)]]</f>
        <v>8</v>
      </c>
      <c r="BE418">
        <f>Table1[[#This Row],[Avg. F size (L) (mm)]]+Table1[[#This Row],[Avg. F size (R) (mm)]]</f>
        <v>27</v>
      </c>
      <c r="BF418">
        <f>Table1[[#This Row],[BP _Diastolic (mmHg)]]+(Table1[[#This Row],[BP _Diastolic (mmHg)]]+Table1[[#This Row],[Follicle No. (L)]])/3</f>
        <v>108.66666666666667</v>
      </c>
      <c r="BG418" s="4" t="str" cm="1">
        <f t="array" ref="BG41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18" s="4">
        <f>SUM(Table1[[#This Row],[Pimples(Y/N)]],Table1[[#This Row],[hair growth(Y/N)]],Table1[[#This Row],[Skin darkening (Y/N)]],Table1[[#This Row],[Hair loss(Y/N)]])</f>
        <v>1</v>
      </c>
      <c r="BI418" s="4" t="str">
        <f>IF(AND(Table1[[#This Row],[Pregnant(Y/N)]]=0, Table1[[#This Row],[  I   beta-HCG(mIU/mL)]]&gt;5), "Investigation Required", "Clear")</f>
        <v>Clear</v>
      </c>
    </row>
    <row r="419" spans="1:61" ht="15.75" customHeight="1" x14ac:dyDescent="0.25">
      <c r="A419">
        <v>418</v>
      </c>
      <c r="B419">
        <v>418</v>
      </c>
      <c r="C419">
        <v>0</v>
      </c>
      <c r="D419" t="str">
        <f>IF(Table1[[#This Row],[PCOS (Y/N)]]=0,"NO","YES")</f>
        <v>NO</v>
      </c>
      <c r="E419">
        <v>32</v>
      </c>
      <c r="F419">
        <v>71.8</v>
      </c>
      <c r="G419">
        <v>162</v>
      </c>
      <c r="H419">
        <v>11</v>
      </c>
      <c r="I419">
        <v>72</v>
      </c>
      <c r="J419">
        <v>18</v>
      </c>
      <c r="K419">
        <v>10.8</v>
      </c>
      <c r="L419">
        <v>2</v>
      </c>
      <c r="M419">
        <v>6</v>
      </c>
      <c r="N419">
        <v>4</v>
      </c>
      <c r="O419">
        <v>0</v>
      </c>
      <c r="P419" t="str">
        <f>IF(Table1[[#This Row],[Pregnant(Y/N)]]=1,"YES","NO")</f>
        <v>NO</v>
      </c>
      <c r="Q419">
        <v>0</v>
      </c>
      <c r="R419">
        <v>1.99</v>
      </c>
      <c r="S419">
        <v>1.99</v>
      </c>
      <c r="T419">
        <v>3.68</v>
      </c>
      <c r="U419">
        <v>0.13</v>
      </c>
      <c r="V419">
        <f>Table1[[#This Row],[FSH(mIU/mL)]]/Table1[[#This Row],[LH(mIU/mL)]]</f>
        <v>28.307692307692307</v>
      </c>
      <c r="W419" t="str">
        <f>IF(Table1[[#This Row],[FSH/LH]]&gt;=2,"Abnormal","Normal")</f>
        <v>Abnormal</v>
      </c>
      <c r="X419">
        <v>41</v>
      </c>
      <c r="Y419">
        <v>38</v>
      </c>
      <c r="Z419">
        <f>ROUND(Table1[[#This Row],[Waist(inch)]]/Table1[[#This Row],[Hip(inch)]],2)</f>
        <v>0.93</v>
      </c>
      <c r="AA419">
        <v>2.64</v>
      </c>
      <c r="AB419">
        <v>2.2799999999999998</v>
      </c>
      <c r="AC419">
        <v>20.93</v>
      </c>
      <c r="AD419">
        <v>27.1</v>
      </c>
      <c r="AE419" t="str">
        <f>IF(Table1[[#This Row],[Vit D3 (ng/mL)]]&lt;20,"Deficiency","Normal")</f>
        <v>Normal</v>
      </c>
      <c r="AF419">
        <v>0.25</v>
      </c>
      <c r="AG419">
        <v>92</v>
      </c>
      <c r="AH419">
        <v>1</v>
      </c>
      <c r="AI419" t="str">
        <f>IF(Table1[[#This Row],[Weight gain(Y/N)]]=0,"NO","YES")</f>
        <v>YES</v>
      </c>
      <c r="AJ419">
        <v>0</v>
      </c>
      <c r="AK419" t="str">
        <f>IF(Table1[[#This Row],[hair growth(Y/N)]]=1,"YES","NO")</f>
        <v>NO</v>
      </c>
      <c r="AL419">
        <v>1</v>
      </c>
      <c r="AM419" t="str">
        <f>IF(Table1[[#This Row],[Skin darkening (Y/N)]]=1,"YES","NO")</f>
        <v>YES</v>
      </c>
      <c r="AN419">
        <v>0</v>
      </c>
      <c r="AO419" t="str">
        <f>IF(Table1[[#This Row],[Hair loss(Y/N)]]=1,"YES","NO")</f>
        <v>NO</v>
      </c>
      <c r="AP419">
        <v>1</v>
      </c>
      <c r="AQ419" t="str">
        <f>IF(Table1[[#This Row],[Pimples(Y/N)]]=1,"YES","NO")</f>
        <v>YES</v>
      </c>
      <c r="AR419">
        <v>0</v>
      </c>
      <c r="AS419" t="str">
        <f>IF(Table1[[#This Row],[Fast food (Y/N)]]=1,"YES","NO")</f>
        <v>NO</v>
      </c>
      <c r="AT419">
        <v>1</v>
      </c>
      <c r="AU419" t="str">
        <f>IF(Table1[[#This Row],[Reg.Exercise(Y/N)]]=1,"YES","NO")</f>
        <v>YES</v>
      </c>
      <c r="AV419">
        <v>120</v>
      </c>
      <c r="AW419">
        <v>80</v>
      </c>
      <c r="AX419">
        <v>3</v>
      </c>
      <c r="AY419">
        <v>3</v>
      </c>
      <c r="AZ419">
        <v>14</v>
      </c>
      <c r="BA419">
        <v>13</v>
      </c>
      <c r="BB419">
        <v>9</v>
      </c>
      <c r="BC419" t="str" cm="1">
        <f t="array" ref="BC419">_xlfn.IFS((F419/(G419*G419)*10000)&lt; 18.5,"Underweight",(F419/(G419*G419)*10000)&lt;24.9,"Normal",(F419/(G419*G419)*10000)&lt;29.9,"Overweight",(F419/(G419*G419)*10000)&gt;=30,"obesity")</f>
        <v>Overweight</v>
      </c>
      <c r="BD419">
        <f>Table1[[#This Row],[Follicle No. (L)]]+Table1[[#This Row],[Follicle No. (R)]]</f>
        <v>6</v>
      </c>
      <c r="BE419">
        <f>Table1[[#This Row],[Avg. F size (L) (mm)]]+Table1[[#This Row],[Avg. F size (R) (mm)]]</f>
        <v>27</v>
      </c>
      <c r="BF419">
        <f>Table1[[#This Row],[BP _Diastolic (mmHg)]]+(Table1[[#This Row],[BP _Diastolic (mmHg)]]+Table1[[#This Row],[Follicle No. (L)]])/3</f>
        <v>107.66666666666667</v>
      </c>
      <c r="BG419" s="4" t="str" cm="1">
        <f t="array" ref="BG41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19" s="4">
        <f>SUM(Table1[[#This Row],[Pimples(Y/N)]],Table1[[#This Row],[hair growth(Y/N)]],Table1[[#This Row],[Skin darkening (Y/N)]],Table1[[#This Row],[Hair loss(Y/N)]])</f>
        <v>2</v>
      </c>
      <c r="BI419" s="4" t="str">
        <f>IF(AND(Table1[[#This Row],[Pregnant(Y/N)]]=0, Table1[[#This Row],[  I   beta-HCG(mIU/mL)]]&gt;5), "Investigation Required", "Clear")</f>
        <v>Clear</v>
      </c>
    </row>
    <row r="420" spans="1:61" ht="15.75" customHeight="1" x14ac:dyDescent="0.25">
      <c r="A420">
        <v>419</v>
      </c>
      <c r="B420">
        <v>419</v>
      </c>
      <c r="C420">
        <v>1</v>
      </c>
      <c r="D420" t="str">
        <f>IF(Table1[[#This Row],[PCOS (Y/N)]]=0,"NO","YES")</f>
        <v>YES</v>
      </c>
      <c r="E420">
        <v>27</v>
      </c>
      <c r="F420">
        <v>65</v>
      </c>
      <c r="G420">
        <v>160</v>
      </c>
      <c r="H420">
        <v>15</v>
      </c>
      <c r="I420">
        <v>74</v>
      </c>
      <c r="J420">
        <v>20</v>
      </c>
      <c r="K420">
        <v>11.2</v>
      </c>
      <c r="L420">
        <v>2</v>
      </c>
      <c r="M420">
        <v>4</v>
      </c>
      <c r="N420">
        <v>2</v>
      </c>
      <c r="O420">
        <v>0</v>
      </c>
      <c r="P420" t="str">
        <f>IF(Table1[[#This Row],[Pregnant(Y/N)]]=1,"YES","NO")</f>
        <v>NO</v>
      </c>
      <c r="Q420">
        <v>0</v>
      </c>
      <c r="R420">
        <v>1.99</v>
      </c>
      <c r="S420">
        <v>1.99</v>
      </c>
      <c r="T420">
        <v>3.85</v>
      </c>
      <c r="U420">
        <v>1.02</v>
      </c>
      <c r="V420">
        <f>Table1[[#This Row],[FSH(mIU/mL)]]/Table1[[#This Row],[LH(mIU/mL)]]</f>
        <v>3.7745098039215685</v>
      </c>
      <c r="W420" t="str">
        <f>IF(Table1[[#This Row],[FSH/LH]]&gt;=2,"Abnormal","Normal")</f>
        <v>Abnormal</v>
      </c>
      <c r="X420">
        <v>37</v>
      </c>
      <c r="Y420">
        <v>34</v>
      </c>
      <c r="Z420">
        <f>ROUND(Table1[[#This Row],[Waist(inch)]]/Table1[[#This Row],[Hip(inch)]],2)</f>
        <v>0.92</v>
      </c>
      <c r="AA420">
        <v>2.39</v>
      </c>
      <c r="AB420">
        <v>2.6</v>
      </c>
      <c r="AC420">
        <v>9.34</v>
      </c>
      <c r="AD420">
        <v>15.6</v>
      </c>
      <c r="AE420" t="str">
        <f>IF(Table1[[#This Row],[Vit D3 (ng/mL)]]&lt;20,"Deficiency","Normal")</f>
        <v>Deficiency</v>
      </c>
      <c r="AF420">
        <v>0.25</v>
      </c>
      <c r="AG420">
        <v>110</v>
      </c>
      <c r="AH420">
        <v>1</v>
      </c>
      <c r="AI420" t="str">
        <f>IF(Table1[[#This Row],[Weight gain(Y/N)]]=0,"NO","YES")</f>
        <v>YES</v>
      </c>
      <c r="AJ420">
        <v>0</v>
      </c>
      <c r="AK420" t="str">
        <f>IF(Table1[[#This Row],[hair growth(Y/N)]]=1,"YES","NO")</f>
        <v>NO</v>
      </c>
      <c r="AL420">
        <v>1</v>
      </c>
      <c r="AM420" t="str">
        <f>IF(Table1[[#This Row],[Skin darkening (Y/N)]]=1,"YES","NO")</f>
        <v>YES</v>
      </c>
      <c r="AN420">
        <v>0</v>
      </c>
      <c r="AO420" t="str">
        <f>IF(Table1[[#This Row],[Hair loss(Y/N)]]=1,"YES","NO")</f>
        <v>NO</v>
      </c>
      <c r="AP420">
        <v>1</v>
      </c>
      <c r="AQ420" t="str">
        <f>IF(Table1[[#This Row],[Pimples(Y/N)]]=1,"YES","NO")</f>
        <v>YES</v>
      </c>
      <c r="AR420">
        <v>1</v>
      </c>
      <c r="AS420" t="str">
        <f>IF(Table1[[#This Row],[Fast food (Y/N)]]=1,"YES","NO")</f>
        <v>YES</v>
      </c>
      <c r="AT420">
        <v>0</v>
      </c>
      <c r="AU420" t="str">
        <f>IF(Table1[[#This Row],[Reg.Exercise(Y/N)]]=1,"YES","NO")</f>
        <v>NO</v>
      </c>
      <c r="AV420">
        <v>110</v>
      </c>
      <c r="AW420">
        <v>80</v>
      </c>
      <c r="AX420">
        <v>4</v>
      </c>
      <c r="AY420">
        <v>9</v>
      </c>
      <c r="AZ420">
        <v>10</v>
      </c>
      <c r="BA420">
        <v>15</v>
      </c>
      <c r="BB420">
        <v>6.7</v>
      </c>
      <c r="BC420" t="str" cm="1">
        <f t="array" ref="BC420">_xlfn.IFS((F420/(G420*G420)*10000)&lt; 18.5,"Underweight",(F420/(G420*G420)*10000)&lt;24.9,"Normal",(F420/(G420*G420)*10000)&lt;29.9,"Overweight",(F420/(G420*G420)*10000)&gt;=30,"obesity")</f>
        <v>Overweight</v>
      </c>
      <c r="BD420">
        <f>Table1[[#This Row],[Follicle No. (L)]]+Table1[[#This Row],[Follicle No. (R)]]</f>
        <v>13</v>
      </c>
      <c r="BE420">
        <f>Table1[[#This Row],[Avg. F size (L) (mm)]]+Table1[[#This Row],[Avg. F size (R) (mm)]]</f>
        <v>25</v>
      </c>
      <c r="BF420">
        <f>Table1[[#This Row],[BP _Diastolic (mmHg)]]+(Table1[[#This Row],[BP _Diastolic (mmHg)]]+Table1[[#This Row],[Follicle No. (L)]])/3</f>
        <v>108</v>
      </c>
      <c r="BG420" s="4" t="str" cm="1">
        <f t="array" ref="BG42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20" s="4">
        <f>SUM(Table1[[#This Row],[Pimples(Y/N)]],Table1[[#This Row],[hair growth(Y/N)]],Table1[[#This Row],[Skin darkening (Y/N)]],Table1[[#This Row],[Hair loss(Y/N)]])</f>
        <v>2</v>
      </c>
      <c r="BI420" s="4" t="str">
        <f>IF(AND(Table1[[#This Row],[Pregnant(Y/N)]]=0, Table1[[#This Row],[  I   beta-HCG(mIU/mL)]]&gt;5), "Investigation Required", "Clear")</f>
        <v>Clear</v>
      </c>
    </row>
    <row r="421" spans="1:61" ht="15.75" customHeight="1" x14ac:dyDescent="0.25">
      <c r="A421">
        <v>420</v>
      </c>
      <c r="B421">
        <v>420</v>
      </c>
      <c r="C421">
        <v>0</v>
      </c>
      <c r="D421" t="str">
        <f>IF(Table1[[#This Row],[PCOS (Y/N)]]=0,"NO","YES")</f>
        <v>NO</v>
      </c>
      <c r="E421">
        <v>36</v>
      </c>
      <c r="F421">
        <v>58</v>
      </c>
      <c r="G421">
        <v>154</v>
      </c>
      <c r="H421">
        <v>15</v>
      </c>
      <c r="I421">
        <v>72</v>
      </c>
      <c r="J421">
        <v>18</v>
      </c>
      <c r="K421">
        <v>11</v>
      </c>
      <c r="L421">
        <v>2</v>
      </c>
      <c r="M421">
        <v>5</v>
      </c>
      <c r="N421">
        <v>12</v>
      </c>
      <c r="O421">
        <v>0</v>
      </c>
      <c r="P421" t="str">
        <f>IF(Table1[[#This Row],[Pregnant(Y/N)]]=1,"YES","NO")</f>
        <v>NO</v>
      </c>
      <c r="Q421">
        <v>0</v>
      </c>
      <c r="R421">
        <v>1.99</v>
      </c>
      <c r="S421">
        <v>1.99</v>
      </c>
      <c r="T421">
        <v>4.75</v>
      </c>
      <c r="U421">
        <v>2.46</v>
      </c>
      <c r="V421">
        <f>Table1[[#This Row],[FSH(mIU/mL)]]/Table1[[#This Row],[LH(mIU/mL)]]</f>
        <v>1.9308943089430894</v>
      </c>
      <c r="W421" t="str">
        <f>IF(Table1[[#This Row],[FSH/LH]]&gt;=2,"Abnormal","Normal")</f>
        <v>Normal</v>
      </c>
      <c r="X421">
        <v>36</v>
      </c>
      <c r="Y421">
        <v>32</v>
      </c>
      <c r="Z421">
        <f>ROUND(Table1[[#This Row],[Waist(inch)]]/Table1[[#This Row],[Hip(inch)]],2)</f>
        <v>0.89</v>
      </c>
      <c r="AA421">
        <v>0.95</v>
      </c>
      <c r="AB421">
        <v>4.8</v>
      </c>
      <c r="AC421">
        <v>26.39</v>
      </c>
      <c r="AD421">
        <v>25.4</v>
      </c>
      <c r="AE421" t="str">
        <f>IF(Table1[[#This Row],[Vit D3 (ng/mL)]]&lt;20,"Deficiency","Normal")</f>
        <v>Normal</v>
      </c>
      <c r="AF421">
        <v>0.35</v>
      </c>
      <c r="AG421">
        <v>92</v>
      </c>
      <c r="AH421">
        <v>0</v>
      </c>
      <c r="AI421" t="str">
        <f>IF(Table1[[#This Row],[Weight gain(Y/N)]]=0,"NO","YES")</f>
        <v>NO</v>
      </c>
      <c r="AJ421">
        <v>0</v>
      </c>
      <c r="AK421" t="str">
        <f>IF(Table1[[#This Row],[hair growth(Y/N)]]=1,"YES","NO")</f>
        <v>NO</v>
      </c>
      <c r="AL421">
        <v>0</v>
      </c>
      <c r="AM421" t="str">
        <f>IF(Table1[[#This Row],[Skin darkening (Y/N)]]=1,"YES","NO")</f>
        <v>NO</v>
      </c>
      <c r="AN421">
        <v>1</v>
      </c>
      <c r="AO421" t="str">
        <f>IF(Table1[[#This Row],[Hair loss(Y/N)]]=1,"YES","NO")</f>
        <v>YES</v>
      </c>
      <c r="AP421">
        <v>1</v>
      </c>
      <c r="AQ421" t="str">
        <f>IF(Table1[[#This Row],[Pimples(Y/N)]]=1,"YES","NO")</f>
        <v>YES</v>
      </c>
      <c r="AR421">
        <v>1</v>
      </c>
      <c r="AS421" t="str">
        <f>IF(Table1[[#This Row],[Fast food (Y/N)]]=1,"YES","NO")</f>
        <v>YES</v>
      </c>
      <c r="AT421">
        <v>0</v>
      </c>
      <c r="AU421" t="str">
        <f>IF(Table1[[#This Row],[Reg.Exercise(Y/N)]]=1,"YES","NO")</f>
        <v>NO</v>
      </c>
      <c r="AV421">
        <v>110</v>
      </c>
      <c r="AW421">
        <v>80</v>
      </c>
      <c r="AX421">
        <v>3</v>
      </c>
      <c r="AY421">
        <v>3</v>
      </c>
      <c r="AZ421">
        <v>13</v>
      </c>
      <c r="BA421">
        <v>15</v>
      </c>
      <c r="BB421">
        <v>7.8</v>
      </c>
      <c r="BC421" t="str" cm="1">
        <f t="array" ref="BC421">_xlfn.IFS((F421/(G421*G421)*10000)&lt; 18.5,"Underweight",(F421/(G421*G421)*10000)&lt;24.9,"Normal",(F421/(G421*G421)*10000)&lt;29.9,"Overweight",(F421/(G421*G421)*10000)&gt;=30,"obesity")</f>
        <v>Normal</v>
      </c>
      <c r="BD421">
        <f>Table1[[#This Row],[Follicle No. (L)]]+Table1[[#This Row],[Follicle No. (R)]]</f>
        <v>6</v>
      </c>
      <c r="BE421">
        <f>Table1[[#This Row],[Avg. F size (L) (mm)]]+Table1[[#This Row],[Avg. F size (R) (mm)]]</f>
        <v>28</v>
      </c>
      <c r="BF421">
        <f>Table1[[#This Row],[BP _Diastolic (mmHg)]]+(Table1[[#This Row],[BP _Diastolic (mmHg)]]+Table1[[#This Row],[Follicle No. (L)]])/3</f>
        <v>107.66666666666667</v>
      </c>
      <c r="BG421" s="4" t="str" cm="1">
        <f t="array" ref="BG42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21" s="4">
        <f>SUM(Table1[[#This Row],[Pimples(Y/N)]],Table1[[#This Row],[hair growth(Y/N)]],Table1[[#This Row],[Skin darkening (Y/N)]],Table1[[#This Row],[Hair loss(Y/N)]])</f>
        <v>2</v>
      </c>
      <c r="BI421" s="4" t="str">
        <f>IF(AND(Table1[[#This Row],[Pregnant(Y/N)]]=0, Table1[[#This Row],[  I   beta-HCG(mIU/mL)]]&gt;5), "Investigation Required", "Clear")</f>
        <v>Clear</v>
      </c>
    </row>
    <row r="422" spans="1:61" ht="15.75" customHeight="1" x14ac:dyDescent="0.25">
      <c r="A422">
        <v>421</v>
      </c>
      <c r="B422">
        <v>421</v>
      </c>
      <c r="C422">
        <v>1</v>
      </c>
      <c r="D422" t="str">
        <f>IF(Table1[[#This Row],[PCOS (Y/N)]]=0,"NO","YES")</f>
        <v>YES</v>
      </c>
      <c r="E422">
        <v>25</v>
      </c>
      <c r="F422">
        <v>45.6</v>
      </c>
      <c r="G422">
        <v>152</v>
      </c>
      <c r="H422">
        <v>11</v>
      </c>
      <c r="I422">
        <v>74</v>
      </c>
      <c r="J422">
        <v>20</v>
      </c>
      <c r="K422">
        <v>11</v>
      </c>
      <c r="L422">
        <v>2</v>
      </c>
      <c r="M422">
        <v>5</v>
      </c>
      <c r="N422">
        <v>1</v>
      </c>
      <c r="O422">
        <v>1</v>
      </c>
      <c r="P422" t="str">
        <f>IF(Table1[[#This Row],[Pregnant(Y/N)]]=1,"YES","NO")</f>
        <v>YES</v>
      </c>
      <c r="Q422">
        <v>0</v>
      </c>
      <c r="R422">
        <v>6.9210000000000003</v>
      </c>
      <c r="S422">
        <v>6.9210000000000003</v>
      </c>
      <c r="T422">
        <v>5.12</v>
      </c>
      <c r="U422">
        <v>3.6</v>
      </c>
      <c r="V422">
        <f>Table1[[#This Row],[FSH(mIU/mL)]]/Table1[[#This Row],[LH(mIU/mL)]]</f>
        <v>1.4222222222222223</v>
      </c>
      <c r="W422" t="str">
        <f>IF(Table1[[#This Row],[FSH/LH]]&gt;=2,"Abnormal","Normal")</f>
        <v>Normal</v>
      </c>
      <c r="X422">
        <v>30</v>
      </c>
      <c r="Y422">
        <v>26</v>
      </c>
      <c r="Z422">
        <f>ROUND(Table1[[#This Row],[Waist(inch)]]/Table1[[#This Row],[Hip(inch)]],2)</f>
        <v>0.87</v>
      </c>
      <c r="AA422">
        <v>1.88</v>
      </c>
      <c r="AB422">
        <v>11.9</v>
      </c>
      <c r="AC422">
        <v>20.52</v>
      </c>
      <c r="AD422">
        <v>29.3</v>
      </c>
      <c r="AE422" t="str">
        <f>IF(Table1[[#This Row],[Vit D3 (ng/mL)]]&lt;20,"Deficiency","Normal")</f>
        <v>Normal</v>
      </c>
      <c r="AF422">
        <v>0.25</v>
      </c>
      <c r="AG422">
        <v>115</v>
      </c>
      <c r="AH422">
        <v>0</v>
      </c>
      <c r="AI422" t="str">
        <f>IF(Table1[[#This Row],[Weight gain(Y/N)]]=0,"NO","YES")</f>
        <v>NO</v>
      </c>
      <c r="AJ422">
        <v>1</v>
      </c>
      <c r="AK422" t="str">
        <f>IF(Table1[[#This Row],[hair growth(Y/N)]]=1,"YES","NO")</f>
        <v>YES</v>
      </c>
      <c r="AL422">
        <v>0</v>
      </c>
      <c r="AM422" t="str">
        <f>IF(Table1[[#This Row],[Skin darkening (Y/N)]]=1,"YES","NO")</f>
        <v>NO</v>
      </c>
      <c r="AN422">
        <v>1</v>
      </c>
      <c r="AO422" t="str">
        <f>IF(Table1[[#This Row],[Hair loss(Y/N)]]=1,"YES","NO")</f>
        <v>YES</v>
      </c>
      <c r="AP422">
        <v>1</v>
      </c>
      <c r="AQ422" t="str">
        <f>IF(Table1[[#This Row],[Pimples(Y/N)]]=1,"YES","NO")</f>
        <v>YES</v>
      </c>
      <c r="AR422">
        <v>1</v>
      </c>
      <c r="AS422" t="str">
        <f>IF(Table1[[#This Row],[Fast food (Y/N)]]=1,"YES","NO")</f>
        <v>YES</v>
      </c>
      <c r="AT422">
        <v>0</v>
      </c>
      <c r="AU422" t="str">
        <f>IF(Table1[[#This Row],[Reg.Exercise(Y/N)]]=1,"YES","NO")</f>
        <v>NO</v>
      </c>
      <c r="AV422">
        <v>120</v>
      </c>
      <c r="AW422">
        <v>80</v>
      </c>
      <c r="AX422">
        <v>14</v>
      </c>
      <c r="AY422">
        <v>10</v>
      </c>
      <c r="AZ422">
        <v>15</v>
      </c>
      <c r="BA422">
        <v>15</v>
      </c>
      <c r="BB422">
        <v>10</v>
      </c>
      <c r="BC422" t="str" cm="1">
        <f t="array" ref="BC422">_xlfn.IFS((F422/(G422*G422)*10000)&lt; 18.5,"Underweight",(F422/(G422*G422)*10000)&lt;24.9,"Normal",(F422/(G422*G422)*10000)&lt;29.9,"Overweight",(F422/(G422*G422)*10000)&gt;=30,"obesity")</f>
        <v>Normal</v>
      </c>
      <c r="BD422">
        <f>Table1[[#This Row],[Follicle No. (L)]]+Table1[[#This Row],[Follicle No. (R)]]</f>
        <v>24</v>
      </c>
      <c r="BE422">
        <f>Table1[[#This Row],[Avg. F size (L) (mm)]]+Table1[[#This Row],[Avg. F size (R) (mm)]]</f>
        <v>30</v>
      </c>
      <c r="BF422">
        <f>Table1[[#This Row],[BP _Diastolic (mmHg)]]+(Table1[[#This Row],[BP _Diastolic (mmHg)]]+Table1[[#This Row],[Follicle No. (L)]])/3</f>
        <v>111.33333333333333</v>
      </c>
      <c r="BG422" s="4" t="str" cm="1">
        <f t="array" ref="BG42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22" s="4">
        <f>SUM(Table1[[#This Row],[Pimples(Y/N)]],Table1[[#This Row],[hair growth(Y/N)]],Table1[[#This Row],[Skin darkening (Y/N)]],Table1[[#This Row],[Hair loss(Y/N)]])</f>
        <v>3</v>
      </c>
      <c r="BI422" s="4" t="str">
        <f>IF(AND(Table1[[#This Row],[Pregnant(Y/N)]]=0, Table1[[#This Row],[  I   beta-HCG(mIU/mL)]]&gt;5), "Investigation Required", "Clear")</f>
        <v>Clear</v>
      </c>
    </row>
    <row r="423" spans="1:61" ht="15.75" customHeight="1" x14ac:dyDescent="0.25">
      <c r="A423">
        <v>422</v>
      </c>
      <c r="B423">
        <v>422</v>
      </c>
      <c r="C423">
        <v>0</v>
      </c>
      <c r="D423" t="str">
        <f>IF(Table1[[#This Row],[PCOS (Y/N)]]=0,"NO","YES")</f>
        <v>NO</v>
      </c>
      <c r="E423">
        <v>40</v>
      </c>
      <c r="F423">
        <v>74.099999999999994</v>
      </c>
      <c r="G423">
        <v>164</v>
      </c>
      <c r="H423">
        <v>15</v>
      </c>
      <c r="I423">
        <v>78</v>
      </c>
      <c r="J423">
        <v>20</v>
      </c>
      <c r="K423">
        <v>11.5</v>
      </c>
      <c r="L423">
        <v>2</v>
      </c>
      <c r="M423">
        <v>6</v>
      </c>
      <c r="N423">
        <v>18</v>
      </c>
      <c r="O423">
        <v>0</v>
      </c>
      <c r="P423" t="str">
        <f>IF(Table1[[#This Row],[Pregnant(Y/N)]]=1,"YES","NO")</f>
        <v>NO</v>
      </c>
      <c r="Q423">
        <v>0</v>
      </c>
      <c r="R423">
        <v>1.99</v>
      </c>
      <c r="S423">
        <v>1.99</v>
      </c>
      <c r="T423">
        <v>1</v>
      </c>
      <c r="U423">
        <v>0.6</v>
      </c>
      <c r="V423">
        <f>Table1[[#This Row],[FSH(mIU/mL)]]/Table1[[#This Row],[LH(mIU/mL)]]</f>
        <v>1.6666666666666667</v>
      </c>
      <c r="W423" t="str">
        <f>IF(Table1[[#This Row],[FSH/LH]]&gt;=2,"Abnormal","Normal")</f>
        <v>Normal</v>
      </c>
      <c r="X423">
        <v>42</v>
      </c>
      <c r="Y423">
        <v>38</v>
      </c>
      <c r="Z423">
        <f>ROUND(Table1[[#This Row],[Waist(inch)]]/Table1[[#This Row],[Hip(inch)]],2)</f>
        <v>0.9</v>
      </c>
      <c r="AA423">
        <v>4.45</v>
      </c>
      <c r="AB423">
        <v>6.9</v>
      </c>
      <c r="AC423">
        <v>26.35</v>
      </c>
      <c r="AD423">
        <v>17.100000000000001</v>
      </c>
      <c r="AE423" t="str">
        <f>IF(Table1[[#This Row],[Vit D3 (ng/mL)]]&lt;20,"Deficiency","Normal")</f>
        <v>Deficiency</v>
      </c>
      <c r="AF423">
        <v>0.35</v>
      </c>
      <c r="AG423">
        <v>92</v>
      </c>
      <c r="AH423">
        <v>1</v>
      </c>
      <c r="AI423" t="str">
        <f>IF(Table1[[#This Row],[Weight gain(Y/N)]]=0,"NO","YES")</f>
        <v>YES</v>
      </c>
      <c r="AJ423">
        <v>0</v>
      </c>
      <c r="AK423" t="str">
        <f>IF(Table1[[#This Row],[hair growth(Y/N)]]=1,"YES","NO")</f>
        <v>NO</v>
      </c>
      <c r="AL423">
        <v>1</v>
      </c>
      <c r="AM423" t="str">
        <f>IF(Table1[[#This Row],[Skin darkening (Y/N)]]=1,"YES","NO")</f>
        <v>YES</v>
      </c>
      <c r="AN423">
        <v>0</v>
      </c>
      <c r="AO423" t="str">
        <f>IF(Table1[[#This Row],[Hair loss(Y/N)]]=1,"YES","NO")</f>
        <v>NO</v>
      </c>
      <c r="AP423">
        <v>1</v>
      </c>
      <c r="AQ423" t="str">
        <f>IF(Table1[[#This Row],[Pimples(Y/N)]]=1,"YES","NO")</f>
        <v>YES</v>
      </c>
      <c r="AR423">
        <v>1</v>
      </c>
      <c r="AS423" t="str">
        <f>IF(Table1[[#This Row],[Fast food (Y/N)]]=1,"YES","NO")</f>
        <v>YES</v>
      </c>
      <c r="AT423">
        <v>1</v>
      </c>
      <c r="AU423" t="str">
        <f>IF(Table1[[#This Row],[Reg.Exercise(Y/N)]]=1,"YES","NO")</f>
        <v>YES</v>
      </c>
      <c r="AV423">
        <v>120</v>
      </c>
      <c r="AW423">
        <v>80</v>
      </c>
      <c r="AX423">
        <v>2</v>
      </c>
      <c r="AY423">
        <v>4</v>
      </c>
      <c r="AZ423">
        <v>10</v>
      </c>
      <c r="BA423">
        <v>16</v>
      </c>
      <c r="BB423">
        <v>7.2</v>
      </c>
      <c r="BC423" t="str" cm="1">
        <f t="array" ref="BC423">_xlfn.IFS((F423/(G423*G423)*10000)&lt; 18.5,"Underweight",(F423/(G423*G423)*10000)&lt;24.9,"Normal",(F423/(G423*G423)*10000)&lt;29.9,"Overweight",(F423/(G423*G423)*10000)&gt;=30,"obesity")</f>
        <v>Overweight</v>
      </c>
      <c r="BD423">
        <f>Table1[[#This Row],[Follicle No. (L)]]+Table1[[#This Row],[Follicle No. (R)]]</f>
        <v>6</v>
      </c>
      <c r="BE423">
        <f>Table1[[#This Row],[Avg. F size (L) (mm)]]+Table1[[#This Row],[Avg. F size (R) (mm)]]</f>
        <v>26</v>
      </c>
      <c r="BF423">
        <f>Table1[[#This Row],[BP _Diastolic (mmHg)]]+(Table1[[#This Row],[BP _Diastolic (mmHg)]]+Table1[[#This Row],[Follicle No. (L)]])/3</f>
        <v>107.33333333333333</v>
      </c>
      <c r="BG423" s="4" t="str" cm="1">
        <f t="array" ref="BG42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23" s="4">
        <f>SUM(Table1[[#This Row],[Pimples(Y/N)]],Table1[[#This Row],[hair growth(Y/N)]],Table1[[#This Row],[Skin darkening (Y/N)]],Table1[[#This Row],[Hair loss(Y/N)]])</f>
        <v>2</v>
      </c>
      <c r="BI423" s="4" t="str">
        <f>IF(AND(Table1[[#This Row],[Pregnant(Y/N)]]=0, Table1[[#This Row],[  I   beta-HCG(mIU/mL)]]&gt;5), "Investigation Required", "Clear")</f>
        <v>Clear</v>
      </c>
    </row>
    <row r="424" spans="1:61" ht="15.75" customHeight="1" x14ac:dyDescent="0.25">
      <c r="A424">
        <v>423</v>
      </c>
      <c r="B424">
        <v>423</v>
      </c>
      <c r="C424">
        <v>1</v>
      </c>
      <c r="D424" t="str">
        <f>IF(Table1[[#This Row],[PCOS (Y/N)]]=0,"NO","YES")</f>
        <v>YES</v>
      </c>
      <c r="E424">
        <v>38</v>
      </c>
      <c r="F424">
        <v>68</v>
      </c>
      <c r="G424">
        <v>164</v>
      </c>
      <c r="H424">
        <v>15</v>
      </c>
      <c r="I424">
        <v>74</v>
      </c>
      <c r="J424">
        <v>20</v>
      </c>
      <c r="K424">
        <v>10.4</v>
      </c>
      <c r="L424">
        <v>4</v>
      </c>
      <c r="M424">
        <v>2</v>
      </c>
      <c r="N424">
        <v>1</v>
      </c>
      <c r="O424">
        <v>1</v>
      </c>
      <c r="P424" t="str">
        <f>IF(Table1[[#This Row],[Pregnant(Y/N)]]=1,"YES","NO")</f>
        <v>YES</v>
      </c>
      <c r="Q424">
        <v>0</v>
      </c>
      <c r="R424">
        <v>482.21</v>
      </c>
      <c r="S424">
        <v>482.21</v>
      </c>
      <c r="T424">
        <v>7.1</v>
      </c>
      <c r="U424">
        <v>4.2699999999999996</v>
      </c>
      <c r="V424">
        <f>Table1[[#This Row],[FSH(mIU/mL)]]/Table1[[#This Row],[LH(mIU/mL)]]</f>
        <v>1.6627634660421546</v>
      </c>
      <c r="W424" t="str">
        <f>IF(Table1[[#This Row],[FSH/LH]]&gt;=2,"Abnormal","Normal")</f>
        <v>Normal</v>
      </c>
      <c r="X424">
        <v>38</v>
      </c>
      <c r="Y424">
        <v>35</v>
      </c>
      <c r="Z424">
        <f>ROUND(Table1[[#This Row],[Waist(inch)]]/Table1[[#This Row],[Hip(inch)]],2)</f>
        <v>0.92</v>
      </c>
      <c r="AA424">
        <v>3.98</v>
      </c>
      <c r="AB424">
        <v>0.1</v>
      </c>
      <c r="AC424">
        <v>6.18</v>
      </c>
      <c r="AD424">
        <v>25.3</v>
      </c>
      <c r="AE424" t="str">
        <f>IF(Table1[[#This Row],[Vit D3 (ng/mL)]]&lt;20,"Deficiency","Normal")</f>
        <v>Normal</v>
      </c>
      <c r="AF424">
        <v>0.37</v>
      </c>
      <c r="AG424">
        <v>107</v>
      </c>
      <c r="AH424">
        <v>1</v>
      </c>
      <c r="AI424" t="str">
        <f>IF(Table1[[#This Row],[Weight gain(Y/N)]]=0,"NO","YES")</f>
        <v>YES</v>
      </c>
      <c r="AJ424">
        <v>0</v>
      </c>
      <c r="AK424" t="str">
        <f>IF(Table1[[#This Row],[hair growth(Y/N)]]=1,"YES","NO")</f>
        <v>NO</v>
      </c>
      <c r="AL424">
        <v>1</v>
      </c>
      <c r="AM424" t="str">
        <f>IF(Table1[[#This Row],[Skin darkening (Y/N)]]=1,"YES","NO")</f>
        <v>YES</v>
      </c>
      <c r="AN424">
        <v>1</v>
      </c>
      <c r="AO424" t="str">
        <f>IF(Table1[[#This Row],[Hair loss(Y/N)]]=1,"YES","NO")</f>
        <v>YES</v>
      </c>
      <c r="AP424">
        <v>1</v>
      </c>
      <c r="AQ424" t="str">
        <f>IF(Table1[[#This Row],[Pimples(Y/N)]]=1,"YES","NO")</f>
        <v>YES</v>
      </c>
      <c r="AR424">
        <v>1</v>
      </c>
      <c r="AS424" t="str">
        <f>IF(Table1[[#This Row],[Fast food (Y/N)]]=1,"YES","NO")</f>
        <v>YES</v>
      </c>
      <c r="AT424">
        <v>0</v>
      </c>
      <c r="AU424" t="str">
        <f>IF(Table1[[#This Row],[Reg.Exercise(Y/N)]]=1,"YES","NO")</f>
        <v>NO</v>
      </c>
      <c r="AV424">
        <v>120</v>
      </c>
      <c r="AW424">
        <v>80</v>
      </c>
      <c r="AX424">
        <v>13</v>
      </c>
      <c r="AY424">
        <v>12</v>
      </c>
      <c r="AZ424">
        <v>15</v>
      </c>
      <c r="BA424">
        <v>15</v>
      </c>
      <c r="BB424">
        <v>8.1999999999999993</v>
      </c>
      <c r="BC424" t="str" cm="1">
        <f t="array" ref="BC424">_xlfn.IFS((F424/(G424*G424)*10000)&lt; 18.5,"Underweight",(F424/(G424*G424)*10000)&lt;24.9,"Normal",(F424/(G424*G424)*10000)&lt;29.9,"Overweight",(F424/(G424*G424)*10000)&gt;=30,"obesity")</f>
        <v>Overweight</v>
      </c>
      <c r="BD424">
        <f>Table1[[#This Row],[Follicle No. (L)]]+Table1[[#This Row],[Follicle No. (R)]]</f>
        <v>25</v>
      </c>
      <c r="BE424">
        <f>Table1[[#This Row],[Avg. F size (L) (mm)]]+Table1[[#This Row],[Avg. F size (R) (mm)]]</f>
        <v>30</v>
      </c>
      <c r="BF424">
        <f>Table1[[#This Row],[BP _Diastolic (mmHg)]]+(Table1[[#This Row],[BP _Diastolic (mmHg)]]+Table1[[#This Row],[Follicle No. (L)]])/3</f>
        <v>111</v>
      </c>
      <c r="BG424" s="4" t="str" cm="1">
        <f t="array" ref="BG42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24" s="4">
        <f>SUM(Table1[[#This Row],[Pimples(Y/N)]],Table1[[#This Row],[hair growth(Y/N)]],Table1[[#This Row],[Skin darkening (Y/N)]],Table1[[#This Row],[Hair loss(Y/N)]])</f>
        <v>3</v>
      </c>
      <c r="BI424" s="4" t="str">
        <f>IF(AND(Table1[[#This Row],[Pregnant(Y/N)]]=0, Table1[[#This Row],[  I   beta-HCG(mIU/mL)]]&gt;5), "Investigation Required", "Clear")</f>
        <v>Clear</v>
      </c>
    </row>
    <row r="425" spans="1:61" ht="15.75" customHeight="1" x14ac:dyDescent="0.25">
      <c r="A425">
        <v>424</v>
      </c>
      <c r="B425">
        <v>424</v>
      </c>
      <c r="C425">
        <v>0</v>
      </c>
      <c r="D425" t="str">
        <f>IF(Table1[[#This Row],[PCOS (Y/N)]]=0,"NO","YES")</f>
        <v>NO</v>
      </c>
      <c r="E425">
        <v>42</v>
      </c>
      <c r="F425">
        <v>55</v>
      </c>
      <c r="G425">
        <v>150</v>
      </c>
      <c r="H425">
        <v>13</v>
      </c>
      <c r="I425">
        <v>74</v>
      </c>
      <c r="J425">
        <v>20</v>
      </c>
      <c r="K425">
        <v>10.7</v>
      </c>
      <c r="L425">
        <v>2</v>
      </c>
      <c r="M425">
        <v>5</v>
      </c>
      <c r="N425">
        <v>5</v>
      </c>
      <c r="O425">
        <v>1</v>
      </c>
      <c r="P425" t="str">
        <f>IF(Table1[[#This Row],[Pregnant(Y/N)]]=1,"YES","NO")</f>
        <v>YES</v>
      </c>
      <c r="Q425">
        <v>0</v>
      </c>
      <c r="R425">
        <v>40.22</v>
      </c>
      <c r="S425">
        <v>1.99</v>
      </c>
      <c r="T425">
        <v>2.97</v>
      </c>
      <c r="U425">
        <v>0.2</v>
      </c>
      <c r="V425">
        <f>Table1[[#This Row],[FSH(mIU/mL)]]/Table1[[#This Row],[LH(mIU/mL)]]</f>
        <v>14.85</v>
      </c>
      <c r="W425" t="str">
        <f>IF(Table1[[#This Row],[FSH/LH]]&gt;=2,"Abnormal","Normal")</f>
        <v>Abnormal</v>
      </c>
      <c r="X425">
        <v>36</v>
      </c>
      <c r="Y425">
        <v>32</v>
      </c>
      <c r="Z425">
        <f>ROUND(Table1[[#This Row],[Waist(inch)]]/Table1[[#This Row],[Hip(inch)]],2)</f>
        <v>0.89</v>
      </c>
      <c r="AA425">
        <v>3.58</v>
      </c>
      <c r="AB425">
        <v>12.8</v>
      </c>
      <c r="AC425">
        <v>37.9</v>
      </c>
      <c r="AD425">
        <v>23.1</v>
      </c>
      <c r="AE425" t="str">
        <f>IF(Table1[[#This Row],[Vit D3 (ng/mL)]]&lt;20,"Deficiency","Normal")</f>
        <v>Normal</v>
      </c>
      <c r="AF425">
        <v>0.3</v>
      </c>
      <c r="AG425">
        <v>107</v>
      </c>
      <c r="AH425">
        <v>0</v>
      </c>
      <c r="AI425" t="str">
        <f>IF(Table1[[#This Row],[Weight gain(Y/N)]]=0,"NO","YES")</f>
        <v>NO</v>
      </c>
      <c r="AJ425">
        <v>0</v>
      </c>
      <c r="AK425" t="str">
        <f>IF(Table1[[#This Row],[hair growth(Y/N)]]=1,"YES","NO")</f>
        <v>NO</v>
      </c>
      <c r="AL425">
        <v>0</v>
      </c>
      <c r="AM425" t="str">
        <f>IF(Table1[[#This Row],[Skin darkening (Y/N)]]=1,"YES","NO")</f>
        <v>NO</v>
      </c>
      <c r="AN425">
        <v>1</v>
      </c>
      <c r="AO425" t="str">
        <f>IF(Table1[[#This Row],[Hair loss(Y/N)]]=1,"YES","NO")</f>
        <v>YES</v>
      </c>
      <c r="AP425">
        <v>1</v>
      </c>
      <c r="AQ425" t="str">
        <f>IF(Table1[[#This Row],[Pimples(Y/N)]]=1,"YES","NO")</f>
        <v>YES</v>
      </c>
      <c r="AR425">
        <v>1</v>
      </c>
      <c r="AS425" t="str">
        <f>IF(Table1[[#This Row],[Fast food (Y/N)]]=1,"YES","NO")</f>
        <v>YES</v>
      </c>
      <c r="AT425">
        <v>0</v>
      </c>
      <c r="AU425" t="str">
        <f>IF(Table1[[#This Row],[Reg.Exercise(Y/N)]]=1,"YES","NO")</f>
        <v>NO</v>
      </c>
      <c r="AV425">
        <v>120</v>
      </c>
      <c r="AW425">
        <v>80</v>
      </c>
      <c r="AX425">
        <v>4</v>
      </c>
      <c r="AY425">
        <v>5</v>
      </c>
      <c r="AZ425">
        <v>14</v>
      </c>
      <c r="BA425">
        <v>10</v>
      </c>
      <c r="BB425">
        <v>11</v>
      </c>
      <c r="BC425" t="str" cm="1">
        <f t="array" ref="BC425">_xlfn.IFS((F425/(G425*G425)*10000)&lt; 18.5,"Underweight",(F425/(G425*G425)*10000)&lt;24.9,"Normal",(F425/(G425*G425)*10000)&lt;29.9,"Overweight",(F425/(G425*G425)*10000)&gt;=30,"obesity")</f>
        <v>Normal</v>
      </c>
      <c r="BD425">
        <f>Table1[[#This Row],[Follicle No. (L)]]+Table1[[#This Row],[Follicle No. (R)]]</f>
        <v>9</v>
      </c>
      <c r="BE425">
        <f>Table1[[#This Row],[Avg. F size (L) (mm)]]+Table1[[#This Row],[Avg. F size (R) (mm)]]</f>
        <v>24</v>
      </c>
      <c r="BF425">
        <f>Table1[[#This Row],[BP _Diastolic (mmHg)]]+(Table1[[#This Row],[BP _Diastolic (mmHg)]]+Table1[[#This Row],[Follicle No. (L)]])/3</f>
        <v>108</v>
      </c>
      <c r="BG425" s="4" t="str" cm="1">
        <f t="array" ref="BG42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25" s="4">
        <f>SUM(Table1[[#This Row],[Pimples(Y/N)]],Table1[[#This Row],[hair growth(Y/N)]],Table1[[#This Row],[Skin darkening (Y/N)]],Table1[[#This Row],[Hair loss(Y/N)]])</f>
        <v>2</v>
      </c>
      <c r="BI425" s="4" t="str">
        <f>IF(AND(Table1[[#This Row],[Pregnant(Y/N)]]=0, Table1[[#This Row],[  I   beta-HCG(mIU/mL)]]&gt;5), "Investigation Required", "Clear")</f>
        <v>Clear</v>
      </c>
    </row>
    <row r="426" spans="1:61" ht="15.75" customHeight="1" x14ac:dyDescent="0.25">
      <c r="A426">
        <v>425</v>
      </c>
      <c r="B426">
        <v>425</v>
      </c>
      <c r="C426">
        <v>0</v>
      </c>
      <c r="D426" t="str">
        <f>IF(Table1[[#This Row],[PCOS (Y/N)]]=0,"NO","YES")</f>
        <v>NO</v>
      </c>
      <c r="E426">
        <v>29</v>
      </c>
      <c r="F426">
        <v>51</v>
      </c>
      <c r="G426">
        <v>158</v>
      </c>
      <c r="H426">
        <v>15</v>
      </c>
      <c r="I426">
        <v>72</v>
      </c>
      <c r="J426">
        <v>20</v>
      </c>
      <c r="K426">
        <v>11</v>
      </c>
      <c r="L426">
        <v>2</v>
      </c>
      <c r="M426">
        <v>5</v>
      </c>
      <c r="N426">
        <v>7</v>
      </c>
      <c r="O426">
        <v>1</v>
      </c>
      <c r="P426" t="str">
        <f>IF(Table1[[#This Row],[Pregnant(Y/N)]]=1,"YES","NO")</f>
        <v>YES</v>
      </c>
      <c r="Q426">
        <v>0</v>
      </c>
      <c r="R426">
        <v>50.11</v>
      </c>
      <c r="S426">
        <v>0.99</v>
      </c>
      <c r="T426">
        <v>2.0099999999999998</v>
      </c>
      <c r="U426">
        <v>1.81</v>
      </c>
      <c r="V426">
        <f>Table1[[#This Row],[FSH(mIU/mL)]]/Table1[[#This Row],[LH(mIU/mL)]]</f>
        <v>1.1104972375690607</v>
      </c>
      <c r="W426" t="str">
        <f>IF(Table1[[#This Row],[FSH/LH]]&gt;=2,"Abnormal","Normal")</f>
        <v>Normal</v>
      </c>
      <c r="X426">
        <v>32</v>
      </c>
      <c r="Y426">
        <v>28</v>
      </c>
      <c r="Z426">
        <f>ROUND(Table1[[#This Row],[Waist(inch)]]/Table1[[#This Row],[Hip(inch)]],2)</f>
        <v>0.88</v>
      </c>
      <c r="AA426">
        <v>1.34</v>
      </c>
      <c r="AB426">
        <v>2.7</v>
      </c>
      <c r="AC426">
        <v>71.77</v>
      </c>
      <c r="AD426">
        <v>23.5</v>
      </c>
      <c r="AE426" t="str">
        <f>IF(Table1[[#This Row],[Vit D3 (ng/mL)]]&lt;20,"Deficiency","Normal")</f>
        <v>Normal</v>
      </c>
      <c r="AF426">
        <v>0.25</v>
      </c>
      <c r="AG426">
        <v>100</v>
      </c>
      <c r="AH426">
        <v>0</v>
      </c>
      <c r="AI426" t="str">
        <f>IF(Table1[[#This Row],[Weight gain(Y/N)]]=0,"NO","YES")</f>
        <v>NO</v>
      </c>
      <c r="AJ426">
        <v>0</v>
      </c>
      <c r="AK426" t="str">
        <f>IF(Table1[[#This Row],[hair growth(Y/N)]]=1,"YES","NO")</f>
        <v>NO</v>
      </c>
      <c r="AL426">
        <v>0</v>
      </c>
      <c r="AM426" t="str">
        <f>IF(Table1[[#This Row],[Skin darkening (Y/N)]]=1,"YES","NO")</f>
        <v>NO</v>
      </c>
      <c r="AN426">
        <v>0</v>
      </c>
      <c r="AO426" t="str">
        <f>IF(Table1[[#This Row],[Hair loss(Y/N)]]=1,"YES","NO")</f>
        <v>NO</v>
      </c>
      <c r="AP426">
        <v>0</v>
      </c>
      <c r="AQ426" t="str">
        <f>IF(Table1[[#This Row],[Pimples(Y/N)]]=1,"YES","NO")</f>
        <v>NO</v>
      </c>
      <c r="AR426">
        <v>1</v>
      </c>
      <c r="AS426" t="str">
        <f>IF(Table1[[#This Row],[Fast food (Y/N)]]=1,"YES","NO")</f>
        <v>YES</v>
      </c>
      <c r="AT426">
        <v>1</v>
      </c>
      <c r="AU426" t="str">
        <f>IF(Table1[[#This Row],[Reg.Exercise(Y/N)]]=1,"YES","NO")</f>
        <v>YES</v>
      </c>
      <c r="AV426">
        <v>110</v>
      </c>
      <c r="AW426">
        <v>80</v>
      </c>
      <c r="AX426">
        <v>6</v>
      </c>
      <c r="AY426">
        <v>3</v>
      </c>
      <c r="AZ426">
        <v>12</v>
      </c>
      <c r="BA426">
        <v>11</v>
      </c>
      <c r="BB426">
        <v>8.5</v>
      </c>
      <c r="BC426" t="str" cm="1">
        <f t="array" ref="BC426">_xlfn.IFS((F426/(G426*G426)*10000)&lt; 18.5,"Underweight",(F426/(G426*G426)*10000)&lt;24.9,"Normal",(F426/(G426*G426)*10000)&lt;29.9,"Overweight",(F426/(G426*G426)*10000)&gt;=30,"obesity")</f>
        <v>Normal</v>
      </c>
      <c r="BD426">
        <f>Table1[[#This Row],[Follicle No. (L)]]+Table1[[#This Row],[Follicle No. (R)]]</f>
        <v>9</v>
      </c>
      <c r="BE426">
        <f>Table1[[#This Row],[Avg. F size (L) (mm)]]+Table1[[#This Row],[Avg. F size (R) (mm)]]</f>
        <v>23</v>
      </c>
      <c r="BF426">
        <f>Table1[[#This Row],[BP _Diastolic (mmHg)]]+(Table1[[#This Row],[BP _Diastolic (mmHg)]]+Table1[[#This Row],[Follicle No. (L)]])/3</f>
        <v>108.66666666666667</v>
      </c>
      <c r="BG426" s="4" t="str" cm="1">
        <f t="array" ref="BG42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26" s="4">
        <f>SUM(Table1[[#This Row],[Pimples(Y/N)]],Table1[[#This Row],[hair growth(Y/N)]],Table1[[#This Row],[Skin darkening (Y/N)]],Table1[[#This Row],[Hair loss(Y/N)]])</f>
        <v>0</v>
      </c>
      <c r="BI426" s="4" t="str">
        <f>IF(AND(Table1[[#This Row],[Pregnant(Y/N)]]=0, Table1[[#This Row],[  I   beta-HCG(mIU/mL)]]&gt;5), "Investigation Required", "Clear")</f>
        <v>Clear</v>
      </c>
    </row>
    <row r="427" spans="1:61" ht="15.75" customHeight="1" x14ac:dyDescent="0.25">
      <c r="A427">
        <v>426</v>
      </c>
      <c r="B427">
        <v>426</v>
      </c>
      <c r="C427">
        <v>1</v>
      </c>
      <c r="D427" t="str">
        <f>IF(Table1[[#This Row],[PCOS (Y/N)]]=0,"NO","YES")</f>
        <v>YES</v>
      </c>
      <c r="E427">
        <v>37</v>
      </c>
      <c r="F427">
        <v>59</v>
      </c>
      <c r="G427">
        <v>148</v>
      </c>
      <c r="H427">
        <v>11</v>
      </c>
      <c r="I427">
        <v>74</v>
      </c>
      <c r="J427">
        <v>20</v>
      </c>
      <c r="K427">
        <v>10.8</v>
      </c>
      <c r="L427">
        <v>4</v>
      </c>
      <c r="M427">
        <v>3</v>
      </c>
      <c r="N427">
        <v>4</v>
      </c>
      <c r="O427">
        <v>0</v>
      </c>
      <c r="P427" t="str">
        <f>IF(Table1[[#This Row],[Pregnant(Y/N)]]=1,"YES","NO")</f>
        <v>NO</v>
      </c>
      <c r="Q427">
        <v>0</v>
      </c>
      <c r="R427">
        <v>1.99</v>
      </c>
      <c r="S427">
        <v>1.99</v>
      </c>
      <c r="T427">
        <v>7.61</v>
      </c>
      <c r="U427">
        <v>4.55</v>
      </c>
      <c r="V427">
        <f>Table1[[#This Row],[FSH(mIU/mL)]]/Table1[[#This Row],[LH(mIU/mL)]]</f>
        <v>1.6725274725274726</v>
      </c>
      <c r="W427" t="str">
        <f>IF(Table1[[#This Row],[FSH/LH]]&gt;=2,"Abnormal","Normal")</f>
        <v>Normal</v>
      </c>
      <c r="X427">
        <v>36</v>
      </c>
      <c r="Y427">
        <v>32</v>
      </c>
      <c r="Z427">
        <f>ROUND(Table1[[#This Row],[Waist(inch)]]/Table1[[#This Row],[Hip(inch)]],2)</f>
        <v>0.89</v>
      </c>
      <c r="AA427">
        <v>3.51</v>
      </c>
      <c r="AB427">
        <v>6</v>
      </c>
      <c r="AC427">
        <v>13.62</v>
      </c>
      <c r="AD427">
        <v>26.4</v>
      </c>
      <c r="AE427" t="str">
        <f>IF(Table1[[#This Row],[Vit D3 (ng/mL)]]&lt;20,"Deficiency","Normal")</f>
        <v>Normal</v>
      </c>
      <c r="AF427">
        <v>0.28999999999999998</v>
      </c>
      <c r="AG427">
        <v>92</v>
      </c>
      <c r="AH427">
        <v>1</v>
      </c>
      <c r="AI427" t="str">
        <f>IF(Table1[[#This Row],[Weight gain(Y/N)]]=0,"NO","YES")</f>
        <v>YES</v>
      </c>
      <c r="AJ427">
        <v>0</v>
      </c>
      <c r="AK427" t="str">
        <f>IF(Table1[[#This Row],[hair growth(Y/N)]]=1,"YES","NO")</f>
        <v>NO</v>
      </c>
      <c r="AL427">
        <v>1</v>
      </c>
      <c r="AM427" t="str">
        <f>IF(Table1[[#This Row],[Skin darkening (Y/N)]]=1,"YES","NO")</f>
        <v>YES</v>
      </c>
      <c r="AN427">
        <v>0</v>
      </c>
      <c r="AO427" t="str">
        <f>IF(Table1[[#This Row],[Hair loss(Y/N)]]=1,"YES","NO")</f>
        <v>NO</v>
      </c>
      <c r="AP427">
        <v>1</v>
      </c>
      <c r="AQ427" t="str">
        <f>IF(Table1[[#This Row],[Pimples(Y/N)]]=1,"YES","NO")</f>
        <v>YES</v>
      </c>
      <c r="AR427">
        <v>1</v>
      </c>
      <c r="AS427" t="str">
        <f>IF(Table1[[#This Row],[Fast food (Y/N)]]=1,"YES","NO")</f>
        <v>YES</v>
      </c>
      <c r="AT427">
        <v>0</v>
      </c>
      <c r="AU427" t="str">
        <f>IF(Table1[[#This Row],[Reg.Exercise(Y/N)]]=1,"YES","NO")</f>
        <v>NO</v>
      </c>
      <c r="AV427">
        <v>120</v>
      </c>
      <c r="AW427">
        <v>80</v>
      </c>
      <c r="AX427">
        <v>8</v>
      </c>
      <c r="AY427">
        <v>12</v>
      </c>
      <c r="AZ427">
        <v>17</v>
      </c>
      <c r="BA427">
        <v>0.17</v>
      </c>
      <c r="BB427">
        <v>11.2</v>
      </c>
      <c r="BC427" t="str" cm="1">
        <f t="array" ref="BC427">_xlfn.IFS((F427/(G427*G427)*10000)&lt; 18.5,"Underweight",(F427/(G427*G427)*10000)&lt;24.9,"Normal",(F427/(G427*G427)*10000)&lt;29.9,"Overweight",(F427/(G427*G427)*10000)&gt;=30,"obesity")</f>
        <v>Overweight</v>
      </c>
      <c r="BD427">
        <f>Table1[[#This Row],[Follicle No. (L)]]+Table1[[#This Row],[Follicle No. (R)]]</f>
        <v>20</v>
      </c>
      <c r="BE427">
        <f>Table1[[#This Row],[Avg. F size (L) (mm)]]+Table1[[#This Row],[Avg. F size (R) (mm)]]</f>
        <v>17.170000000000002</v>
      </c>
      <c r="BF427">
        <f>Table1[[#This Row],[BP _Diastolic (mmHg)]]+(Table1[[#This Row],[BP _Diastolic (mmHg)]]+Table1[[#This Row],[Follicle No. (L)]])/3</f>
        <v>109.33333333333333</v>
      </c>
      <c r="BG427" s="4" t="str" cm="1">
        <f t="array" ref="BG42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27" s="4">
        <f>SUM(Table1[[#This Row],[Pimples(Y/N)]],Table1[[#This Row],[hair growth(Y/N)]],Table1[[#This Row],[Skin darkening (Y/N)]],Table1[[#This Row],[Hair loss(Y/N)]])</f>
        <v>2</v>
      </c>
      <c r="BI427" s="4" t="str">
        <f>IF(AND(Table1[[#This Row],[Pregnant(Y/N)]]=0, Table1[[#This Row],[  I   beta-HCG(mIU/mL)]]&gt;5), "Investigation Required", "Clear")</f>
        <v>Clear</v>
      </c>
    </row>
    <row r="428" spans="1:61" ht="15.75" customHeight="1" x14ac:dyDescent="0.25">
      <c r="A428">
        <v>427</v>
      </c>
      <c r="B428">
        <v>427</v>
      </c>
      <c r="C428">
        <v>0</v>
      </c>
      <c r="D428" t="str">
        <f>IF(Table1[[#This Row],[PCOS (Y/N)]]=0,"NO","YES")</f>
        <v>NO</v>
      </c>
      <c r="E428">
        <v>33</v>
      </c>
      <c r="F428">
        <v>64</v>
      </c>
      <c r="G428">
        <v>158</v>
      </c>
      <c r="H428">
        <v>13</v>
      </c>
      <c r="I428">
        <v>74</v>
      </c>
      <c r="J428">
        <v>20</v>
      </c>
      <c r="K428">
        <v>11</v>
      </c>
      <c r="L428">
        <v>2</v>
      </c>
      <c r="M428">
        <v>5</v>
      </c>
      <c r="N428">
        <v>12</v>
      </c>
      <c r="O428">
        <v>1</v>
      </c>
      <c r="P428" t="str">
        <f>IF(Table1[[#This Row],[Pregnant(Y/N)]]=1,"YES","NO")</f>
        <v>YES</v>
      </c>
      <c r="Q428">
        <v>1</v>
      </c>
      <c r="R428">
        <v>103.5</v>
      </c>
      <c r="S428">
        <v>103.5</v>
      </c>
      <c r="T428">
        <v>3.35</v>
      </c>
      <c r="U428">
        <v>0.56000000000000005</v>
      </c>
      <c r="V428">
        <f>Table1[[#This Row],[FSH(mIU/mL)]]/Table1[[#This Row],[LH(mIU/mL)]]</f>
        <v>5.9821428571428568</v>
      </c>
      <c r="W428" t="str">
        <f>IF(Table1[[#This Row],[FSH/LH]]&gt;=2,"Abnormal","Normal")</f>
        <v>Abnormal</v>
      </c>
      <c r="X428">
        <v>36</v>
      </c>
      <c r="Y428">
        <v>32</v>
      </c>
      <c r="Z428">
        <f>ROUND(Table1[[#This Row],[Waist(inch)]]/Table1[[#This Row],[Hip(inch)]],2)</f>
        <v>0.89</v>
      </c>
      <c r="AA428">
        <v>2.98</v>
      </c>
      <c r="AB428">
        <v>0.84</v>
      </c>
      <c r="AC428">
        <v>25.97</v>
      </c>
      <c r="AD428">
        <v>23.8</v>
      </c>
      <c r="AE428" t="str">
        <f>IF(Table1[[#This Row],[Vit D3 (ng/mL)]]&lt;20,"Deficiency","Normal")</f>
        <v>Normal</v>
      </c>
      <c r="AF428">
        <v>0.25</v>
      </c>
      <c r="AG428">
        <v>106</v>
      </c>
      <c r="AH428">
        <v>1</v>
      </c>
      <c r="AI428" t="str">
        <f>IF(Table1[[#This Row],[Weight gain(Y/N)]]=0,"NO","YES")</f>
        <v>YES</v>
      </c>
      <c r="AJ428">
        <v>0</v>
      </c>
      <c r="AK428" t="str">
        <f>IF(Table1[[#This Row],[hair growth(Y/N)]]=1,"YES","NO")</f>
        <v>NO</v>
      </c>
      <c r="AL428">
        <v>0</v>
      </c>
      <c r="AM428" t="str">
        <f>IF(Table1[[#This Row],[Skin darkening (Y/N)]]=1,"YES","NO")</f>
        <v>NO</v>
      </c>
      <c r="AN428">
        <v>1</v>
      </c>
      <c r="AO428" t="str">
        <f>IF(Table1[[#This Row],[Hair loss(Y/N)]]=1,"YES","NO")</f>
        <v>YES</v>
      </c>
      <c r="AP428">
        <v>0</v>
      </c>
      <c r="AQ428" t="str">
        <f>IF(Table1[[#This Row],[Pimples(Y/N)]]=1,"YES","NO")</f>
        <v>NO</v>
      </c>
      <c r="AR428">
        <v>0</v>
      </c>
      <c r="AS428" t="str">
        <f>IF(Table1[[#This Row],[Fast food (Y/N)]]=1,"YES","NO")</f>
        <v>NO</v>
      </c>
      <c r="AT428">
        <v>1</v>
      </c>
      <c r="AU428" t="str">
        <f>IF(Table1[[#This Row],[Reg.Exercise(Y/N)]]=1,"YES","NO")</f>
        <v>YES</v>
      </c>
      <c r="AV428">
        <v>110</v>
      </c>
      <c r="AW428">
        <v>80</v>
      </c>
      <c r="AX428">
        <v>7</v>
      </c>
      <c r="AY428">
        <v>3</v>
      </c>
      <c r="AZ428">
        <v>19</v>
      </c>
      <c r="BA428">
        <v>17</v>
      </c>
      <c r="BB428">
        <v>9</v>
      </c>
      <c r="BC428" t="str" cm="1">
        <f t="array" ref="BC428">_xlfn.IFS((F428/(G428*G428)*10000)&lt; 18.5,"Underweight",(F428/(G428*G428)*10000)&lt;24.9,"Normal",(F428/(G428*G428)*10000)&lt;29.9,"Overweight",(F428/(G428*G428)*10000)&gt;=30,"obesity")</f>
        <v>Overweight</v>
      </c>
      <c r="BD428">
        <f>Table1[[#This Row],[Follicle No. (L)]]+Table1[[#This Row],[Follicle No. (R)]]</f>
        <v>10</v>
      </c>
      <c r="BE428">
        <f>Table1[[#This Row],[Avg. F size (L) (mm)]]+Table1[[#This Row],[Avg. F size (R) (mm)]]</f>
        <v>36</v>
      </c>
      <c r="BF428">
        <f>Table1[[#This Row],[BP _Diastolic (mmHg)]]+(Table1[[#This Row],[BP _Diastolic (mmHg)]]+Table1[[#This Row],[Follicle No. (L)]])/3</f>
        <v>109</v>
      </c>
      <c r="BG428" s="4" t="str" cm="1">
        <f t="array" ref="BG42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28" s="4">
        <f>SUM(Table1[[#This Row],[Pimples(Y/N)]],Table1[[#This Row],[hair growth(Y/N)]],Table1[[#This Row],[Skin darkening (Y/N)]],Table1[[#This Row],[Hair loss(Y/N)]])</f>
        <v>1</v>
      </c>
      <c r="BI428" s="4" t="str">
        <f>IF(AND(Table1[[#This Row],[Pregnant(Y/N)]]=0, Table1[[#This Row],[  I   beta-HCG(mIU/mL)]]&gt;5), "Investigation Required", "Clear")</f>
        <v>Clear</v>
      </c>
    </row>
    <row r="429" spans="1:61" ht="15.75" customHeight="1" x14ac:dyDescent="0.25">
      <c r="A429">
        <v>428</v>
      </c>
      <c r="B429">
        <v>428</v>
      </c>
      <c r="C429">
        <v>1</v>
      </c>
      <c r="D429" t="str">
        <f>IF(Table1[[#This Row],[PCOS (Y/N)]]=0,"NO","YES")</f>
        <v>YES</v>
      </c>
      <c r="E429">
        <v>32</v>
      </c>
      <c r="F429">
        <v>63</v>
      </c>
      <c r="G429">
        <v>158</v>
      </c>
      <c r="H429">
        <v>11</v>
      </c>
      <c r="I429">
        <v>72</v>
      </c>
      <c r="J429">
        <v>18</v>
      </c>
      <c r="K429">
        <v>10.6</v>
      </c>
      <c r="L429">
        <v>4</v>
      </c>
      <c r="M429">
        <v>2</v>
      </c>
      <c r="N429">
        <v>10</v>
      </c>
      <c r="O429">
        <v>1</v>
      </c>
      <c r="P429" t="str">
        <f>IF(Table1[[#This Row],[Pregnant(Y/N)]]=1,"YES","NO")</f>
        <v>YES</v>
      </c>
      <c r="Q429">
        <v>1</v>
      </c>
      <c r="R429">
        <v>102.87</v>
      </c>
      <c r="S429">
        <v>102.87</v>
      </c>
      <c r="T429">
        <v>3.27</v>
      </c>
      <c r="U429">
        <v>2.2999999999999998</v>
      </c>
      <c r="V429">
        <f>Table1[[#This Row],[FSH(mIU/mL)]]/Table1[[#This Row],[LH(mIU/mL)]]</f>
        <v>1.4217391304347826</v>
      </c>
      <c r="W429" t="str">
        <f>IF(Table1[[#This Row],[FSH/LH]]&gt;=2,"Abnormal","Normal")</f>
        <v>Normal</v>
      </c>
      <c r="X429">
        <v>36</v>
      </c>
      <c r="Y429">
        <v>31</v>
      </c>
      <c r="Z429">
        <f>ROUND(Table1[[#This Row],[Waist(inch)]]/Table1[[#This Row],[Hip(inch)]],2)</f>
        <v>0.86</v>
      </c>
      <c r="AA429">
        <v>0.86</v>
      </c>
      <c r="AB429">
        <v>2.9</v>
      </c>
      <c r="AC429">
        <v>67.97</v>
      </c>
      <c r="AD429">
        <v>18.100000000000001</v>
      </c>
      <c r="AE429" t="str">
        <f>IF(Table1[[#This Row],[Vit D3 (ng/mL)]]&lt;20,"Deficiency","Normal")</f>
        <v>Deficiency</v>
      </c>
      <c r="AF429">
        <v>0.38</v>
      </c>
      <c r="AG429">
        <v>115</v>
      </c>
      <c r="AH429">
        <v>1</v>
      </c>
      <c r="AI429" t="str">
        <f>IF(Table1[[#This Row],[Weight gain(Y/N)]]=0,"NO","YES")</f>
        <v>YES</v>
      </c>
      <c r="AJ429">
        <v>0</v>
      </c>
      <c r="AK429" t="str">
        <f>IF(Table1[[#This Row],[hair growth(Y/N)]]=1,"YES","NO")</f>
        <v>NO</v>
      </c>
      <c r="AL429">
        <v>1</v>
      </c>
      <c r="AM429" t="str">
        <f>IF(Table1[[#This Row],[Skin darkening (Y/N)]]=1,"YES","NO")</f>
        <v>YES</v>
      </c>
      <c r="AN429">
        <v>1</v>
      </c>
      <c r="AO429" t="str">
        <f>IF(Table1[[#This Row],[Hair loss(Y/N)]]=1,"YES","NO")</f>
        <v>YES</v>
      </c>
      <c r="AP429">
        <v>1</v>
      </c>
      <c r="AQ429" t="str">
        <f>IF(Table1[[#This Row],[Pimples(Y/N)]]=1,"YES","NO")</f>
        <v>YES</v>
      </c>
      <c r="AR429">
        <v>0</v>
      </c>
      <c r="AS429" t="str">
        <f>IF(Table1[[#This Row],[Fast food (Y/N)]]=1,"YES","NO")</f>
        <v>NO</v>
      </c>
      <c r="AT429">
        <v>0</v>
      </c>
      <c r="AU429" t="str">
        <f>IF(Table1[[#This Row],[Reg.Exercise(Y/N)]]=1,"YES","NO")</f>
        <v>NO</v>
      </c>
      <c r="AV429">
        <v>110</v>
      </c>
      <c r="AW429">
        <v>70</v>
      </c>
      <c r="AX429">
        <v>3</v>
      </c>
      <c r="AY429">
        <v>11</v>
      </c>
      <c r="AZ429">
        <v>19</v>
      </c>
      <c r="BA429">
        <v>17</v>
      </c>
      <c r="BB429">
        <v>8.9</v>
      </c>
      <c r="BC429" t="str" cm="1">
        <f t="array" ref="BC429">_xlfn.IFS((F429/(G429*G429)*10000)&lt; 18.5,"Underweight",(F429/(G429*G429)*10000)&lt;24.9,"Normal",(F429/(G429*G429)*10000)&lt;29.9,"Overweight",(F429/(G429*G429)*10000)&gt;=30,"obesity")</f>
        <v>Overweight</v>
      </c>
      <c r="BD429">
        <f>Table1[[#This Row],[Follicle No. (L)]]+Table1[[#This Row],[Follicle No. (R)]]</f>
        <v>14</v>
      </c>
      <c r="BE429">
        <f>Table1[[#This Row],[Avg. F size (L) (mm)]]+Table1[[#This Row],[Avg. F size (R) (mm)]]</f>
        <v>36</v>
      </c>
      <c r="BF429">
        <f>Table1[[#This Row],[BP _Diastolic (mmHg)]]+(Table1[[#This Row],[BP _Diastolic (mmHg)]]+Table1[[#This Row],[Follicle No. (L)]])/3</f>
        <v>94.333333333333329</v>
      </c>
      <c r="BG429" s="4" t="str" cm="1">
        <f t="array" ref="BG42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29" s="4">
        <f>SUM(Table1[[#This Row],[Pimples(Y/N)]],Table1[[#This Row],[hair growth(Y/N)]],Table1[[#This Row],[Skin darkening (Y/N)]],Table1[[#This Row],[Hair loss(Y/N)]])</f>
        <v>3</v>
      </c>
      <c r="BI429" s="4" t="str">
        <f>IF(AND(Table1[[#This Row],[Pregnant(Y/N)]]=0, Table1[[#This Row],[  I   beta-HCG(mIU/mL)]]&gt;5), "Investigation Required", "Clear")</f>
        <v>Clear</v>
      </c>
    </row>
    <row r="430" spans="1:61" ht="15.75" customHeight="1" x14ac:dyDescent="0.25">
      <c r="A430">
        <v>429</v>
      </c>
      <c r="B430">
        <v>429</v>
      </c>
      <c r="C430">
        <v>1</v>
      </c>
      <c r="D430" t="str">
        <f>IF(Table1[[#This Row],[PCOS (Y/N)]]=0,"NO","YES")</f>
        <v>YES</v>
      </c>
      <c r="E430">
        <v>28</v>
      </c>
      <c r="F430">
        <v>48</v>
      </c>
      <c r="G430">
        <v>148</v>
      </c>
      <c r="H430">
        <v>11</v>
      </c>
      <c r="I430">
        <v>74</v>
      </c>
      <c r="J430">
        <v>20</v>
      </c>
      <c r="K430">
        <v>10.199999999999999</v>
      </c>
      <c r="L430">
        <v>2</v>
      </c>
      <c r="M430">
        <v>6</v>
      </c>
      <c r="N430">
        <v>4</v>
      </c>
      <c r="O430">
        <v>1</v>
      </c>
      <c r="P430" t="str">
        <f>IF(Table1[[#This Row],[Pregnant(Y/N)]]=1,"YES","NO")</f>
        <v>YES</v>
      </c>
      <c r="Q430">
        <v>0</v>
      </c>
      <c r="R430">
        <v>90.67</v>
      </c>
      <c r="S430">
        <v>90.67</v>
      </c>
      <c r="T430">
        <v>4</v>
      </c>
      <c r="U430">
        <v>1.61</v>
      </c>
      <c r="V430">
        <f>Table1[[#This Row],[FSH(mIU/mL)]]/Table1[[#This Row],[LH(mIU/mL)]]</f>
        <v>2.4844720496894408</v>
      </c>
      <c r="W430" t="str">
        <f>IF(Table1[[#This Row],[FSH/LH]]&gt;=2,"Abnormal","Normal")</f>
        <v>Abnormal</v>
      </c>
      <c r="X430">
        <v>30</v>
      </c>
      <c r="Y430">
        <v>26</v>
      </c>
      <c r="Z430">
        <f>ROUND(Table1[[#This Row],[Waist(inch)]]/Table1[[#This Row],[Hip(inch)]],2)</f>
        <v>0.87</v>
      </c>
      <c r="AA430">
        <v>1.1499999999999999</v>
      </c>
      <c r="AB430">
        <v>4.5999999999999996</v>
      </c>
      <c r="AC430">
        <v>64.47</v>
      </c>
      <c r="AD430">
        <v>34.4</v>
      </c>
      <c r="AE430" t="str">
        <f>IF(Table1[[#This Row],[Vit D3 (ng/mL)]]&lt;20,"Deficiency","Normal")</f>
        <v>Normal</v>
      </c>
      <c r="AF430">
        <v>0.25</v>
      </c>
      <c r="AG430">
        <v>100</v>
      </c>
      <c r="AH430">
        <v>0</v>
      </c>
      <c r="AI430" t="str">
        <f>IF(Table1[[#This Row],[Weight gain(Y/N)]]=0,"NO","YES")</f>
        <v>NO</v>
      </c>
      <c r="AJ430">
        <v>0</v>
      </c>
      <c r="AK430" t="str">
        <f>IF(Table1[[#This Row],[hair growth(Y/N)]]=1,"YES","NO")</f>
        <v>NO</v>
      </c>
      <c r="AL430">
        <v>1</v>
      </c>
      <c r="AM430" t="str">
        <f>IF(Table1[[#This Row],[Skin darkening (Y/N)]]=1,"YES","NO")</f>
        <v>YES</v>
      </c>
      <c r="AN430">
        <v>1</v>
      </c>
      <c r="AO430" t="str">
        <f>IF(Table1[[#This Row],[Hair loss(Y/N)]]=1,"YES","NO")</f>
        <v>YES</v>
      </c>
      <c r="AP430">
        <v>1</v>
      </c>
      <c r="AQ430" t="str">
        <f>IF(Table1[[#This Row],[Pimples(Y/N)]]=1,"YES","NO")</f>
        <v>YES</v>
      </c>
      <c r="AR430">
        <v>1</v>
      </c>
      <c r="AS430" t="str">
        <f>IF(Table1[[#This Row],[Fast food (Y/N)]]=1,"YES","NO")</f>
        <v>YES</v>
      </c>
      <c r="AT430">
        <v>0</v>
      </c>
      <c r="AU430" t="str">
        <f>IF(Table1[[#This Row],[Reg.Exercise(Y/N)]]=1,"YES","NO")</f>
        <v>NO</v>
      </c>
      <c r="AV430">
        <v>110</v>
      </c>
      <c r="AW430">
        <v>70</v>
      </c>
      <c r="AX430">
        <v>11</v>
      </c>
      <c r="AY430">
        <v>9</v>
      </c>
      <c r="AZ430">
        <v>19</v>
      </c>
      <c r="BA430">
        <v>15</v>
      </c>
      <c r="BB430">
        <v>11.5</v>
      </c>
      <c r="BC430" t="str" cm="1">
        <f t="array" ref="BC430">_xlfn.IFS((F430/(G430*G430)*10000)&lt; 18.5,"Underweight",(F430/(G430*G430)*10000)&lt;24.9,"Normal",(F430/(G430*G430)*10000)&lt;29.9,"Overweight",(F430/(G430*G430)*10000)&gt;=30,"obesity")</f>
        <v>Normal</v>
      </c>
      <c r="BD430">
        <f>Table1[[#This Row],[Follicle No. (L)]]+Table1[[#This Row],[Follicle No. (R)]]</f>
        <v>20</v>
      </c>
      <c r="BE430">
        <f>Table1[[#This Row],[Avg. F size (L) (mm)]]+Table1[[#This Row],[Avg. F size (R) (mm)]]</f>
        <v>34</v>
      </c>
      <c r="BF430">
        <f>Table1[[#This Row],[BP _Diastolic (mmHg)]]+(Table1[[#This Row],[BP _Diastolic (mmHg)]]+Table1[[#This Row],[Follicle No. (L)]])/3</f>
        <v>97</v>
      </c>
      <c r="BG430" s="4" t="str" cm="1">
        <f t="array" ref="BG43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30" s="4">
        <f>SUM(Table1[[#This Row],[Pimples(Y/N)]],Table1[[#This Row],[hair growth(Y/N)]],Table1[[#This Row],[Skin darkening (Y/N)]],Table1[[#This Row],[Hair loss(Y/N)]])</f>
        <v>3</v>
      </c>
      <c r="BI430" s="4" t="str">
        <f>IF(AND(Table1[[#This Row],[Pregnant(Y/N)]]=0, Table1[[#This Row],[  I   beta-HCG(mIU/mL)]]&gt;5), "Investigation Required", "Clear")</f>
        <v>Clear</v>
      </c>
    </row>
    <row r="431" spans="1:61" ht="15.75" customHeight="1" x14ac:dyDescent="0.25">
      <c r="A431">
        <v>430</v>
      </c>
      <c r="B431">
        <v>430</v>
      </c>
      <c r="C431">
        <v>1</v>
      </c>
      <c r="D431" t="str">
        <f>IF(Table1[[#This Row],[PCOS (Y/N)]]=0,"NO","YES")</f>
        <v>YES</v>
      </c>
      <c r="E431">
        <v>33</v>
      </c>
      <c r="F431">
        <v>60</v>
      </c>
      <c r="G431">
        <v>152</v>
      </c>
      <c r="H431">
        <v>13</v>
      </c>
      <c r="I431">
        <v>72</v>
      </c>
      <c r="J431">
        <v>18</v>
      </c>
      <c r="K431">
        <v>12.5</v>
      </c>
      <c r="L431">
        <v>2</v>
      </c>
      <c r="M431">
        <v>5</v>
      </c>
      <c r="N431">
        <v>6</v>
      </c>
      <c r="O431">
        <v>1</v>
      </c>
      <c r="P431" t="str">
        <f>IF(Table1[[#This Row],[Pregnant(Y/N)]]=1,"YES","NO")</f>
        <v>YES</v>
      </c>
      <c r="Q431">
        <v>0</v>
      </c>
      <c r="R431">
        <v>375.18</v>
      </c>
      <c r="S431">
        <v>375.18</v>
      </c>
      <c r="T431">
        <v>2.5</v>
      </c>
      <c r="U431">
        <v>1.17</v>
      </c>
      <c r="V431">
        <f>Table1[[#This Row],[FSH(mIU/mL)]]/Table1[[#This Row],[LH(mIU/mL)]]</f>
        <v>2.1367521367521367</v>
      </c>
      <c r="W431" t="str">
        <f>IF(Table1[[#This Row],[FSH/LH]]&gt;=2,"Abnormal","Normal")</f>
        <v>Abnormal</v>
      </c>
      <c r="X431">
        <v>38</v>
      </c>
      <c r="Y431">
        <v>34</v>
      </c>
      <c r="Z431">
        <f>ROUND(Table1[[#This Row],[Waist(inch)]]/Table1[[#This Row],[Hip(inch)]],2)</f>
        <v>0.89</v>
      </c>
      <c r="AA431">
        <v>2.5299999999999998</v>
      </c>
      <c r="AB431">
        <v>20</v>
      </c>
      <c r="AC431">
        <v>25.37</v>
      </c>
      <c r="AD431">
        <v>35.1</v>
      </c>
      <c r="AE431" t="str">
        <f>IF(Table1[[#This Row],[Vit D3 (ng/mL)]]&lt;20,"Deficiency","Normal")</f>
        <v>Normal</v>
      </c>
      <c r="AF431">
        <v>0.25</v>
      </c>
      <c r="AG431">
        <v>92</v>
      </c>
      <c r="AH431">
        <v>1</v>
      </c>
      <c r="AI431" t="str">
        <f>IF(Table1[[#This Row],[Weight gain(Y/N)]]=0,"NO","YES")</f>
        <v>YES</v>
      </c>
      <c r="AJ431">
        <v>0</v>
      </c>
      <c r="AK431" t="str">
        <f>IF(Table1[[#This Row],[hair growth(Y/N)]]=1,"YES","NO")</f>
        <v>NO</v>
      </c>
      <c r="AL431">
        <v>1</v>
      </c>
      <c r="AM431" t="str">
        <f>IF(Table1[[#This Row],[Skin darkening (Y/N)]]=1,"YES","NO")</f>
        <v>YES</v>
      </c>
      <c r="AN431">
        <v>1</v>
      </c>
      <c r="AO431" t="str">
        <f>IF(Table1[[#This Row],[Hair loss(Y/N)]]=1,"YES","NO")</f>
        <v>YES</v>
      </c>
      <c r="AP431">
        <v>1</v>
      </c>
      <c r="AQ431" t="str">
        <f>IF(Table1[[#This Row],[Pimples(Y/N)]]=1,"YES","NO")</f>
        <v>YES</v>
      </c>
      <c r="AR431">
        <v>1</v>
      </c>
      <c r="AS431" t="str">
        <f>IF(Table1[[#This Row],[Fast food (Y/N)]]=1,"YES","NO")</f>
        <v>YES</v>
      </c>
      <c r="AT431">
        <v>0</v>
      </c>
      <c r="AU431" t="str">
        <f>IF(Table1[[#This Row],[Reg.Exercise(Y/N)]]=1,"YES","NO")</f>
        <v>NO</v>
      </c>
      <c r="AV431">
        <v>130</v>
      </c>
      <c r="AW431">
        <v>80</v>
      </c>
      <c r="AX431">
        <v>14</v>
      </c>
      <c r="AY431">
        <v>16</v>
      </c>
      <c r="AZ431">
        <v>16</v>
      </c>
      <c r="BA431">
        <v>16</v>
      </c>
      <c r="BB431">
        <v>10.199999999999999</v>
      </c>
      <c r="BC431" t="str" cm="1">
        <f t="array" ref="BC431">_xlfn.IFS((F431/(G431*G431)*10000)&lt; 18.5,"Underweight",(F431/(G431*G431)*10000)&lt;24.9,"Normal",(F431/(G431*G431)*10000)&lt;29.9,"Overweight",(F431/(G431*G431)*10000)&gt;=30,"obesity")</f>
        <v>Overweight</v>
      </c>
      <c r="BD431">
        <f>Table1[[#This Row],[Follicle No. (L)]]+Table1[[#This Row],[Follicle No. (R)]]</f>
        <v>30</v>
      </c>
      <c r="BE431">
        <f>Table1[[#This Row],[Avg. F size (L) (mm)]]+Table1[[#This Row],[Avg. F size (R) (mm)]]</f>
        <v>32</v>
      </c>
      <c r="BF431">
        <f>Table1[[#This Row],[BP _Diastolic (mmHg)]]+(Table1[[#This Row],[BP _Diastolic (mmHg)]]+Table1[[#This Row],[Follicle No. (L)]])/3</f>
        <v>111.33333333333333</v>
      </c>
      <c r="BG431" s="4" t="str" cm="1">
        <f t="array" ref="BG43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31" s="4">
        <f>SUM(Table1[[#This Row],[Pimples(Y/N)]],Table1[[#This Row],[hair growth(Y/N)]],Table1[[#This Row],[Skin darkening (Y/N)]],Table1[[#This Row],[Hair loss(Y/N)]])</f>
        <v>3</v>
      </c>
      <c r="BI431" s="4" t="str">
        <f>IF(AND(Table1[[#This Row],[Pregnant(Y/N)]]=0, Table1[[#This Row],[  I   beta-HCG(mIU/mL)]]&gt;5), "Investigation Required", "Clear")</f>
        <v>Clear</v>
      </c>
    </row>
    <row r="432" spans="1:61" ht="15.75" customHeight="1" x14ac:dyDescent="0.25">
      <c r="A432">
        <v>431</v>
      </c>
      <c r="B432">
        <v>431</v>
      </c>
      <c r="C432">
        <v>1</v>
      </c>
      <c r="D432" t="str">
        <f>IF(Table1[[#This Row],[PCOS (Y/N)]]=0,"NO","YES")</f>
        <v>YES</v>
      </c>
      <c r="E432">
        <v>25</v>
      </c>
      <c r="F432">
        <v>65</v>
      </c>
      <c r="G432">
        <v>154</v>
      </c>
      <c r="H432">
        <v>13</v>
      </c>
      <c r="I432">
        <v>72</v>
      </c>
      <c r="J432">
        <v>20</v>
      </c>
      <c r="K432">
        <v>11</v>
      </c>
      <c r="L432">
        <v>4</v>
      </c>
      <c r="M432">
        <v>3</v>
      </c>
      <c r="N432">
        <v>5</v>
      </c>
      <c r="O432">
        <v>1</v>
      </c>
      <c r="P432" t="str">
        <f>IF(Table1[[#This Row],[Pregnant(Y/N)]]=1,"YES","NO")</f>
        <v>YES</v>
      </c>
      <c r="Q432">
        <v>0</v>
      </c>
      <c r="R432">
        <v>728.01</v>
      </c>
      <c r="S432">
        <v>728.01</v>
      </c>
      <c r="T432">
        <v>4.59</v>
      </c>
      <c r="U432">
        <v>2.34</v>
      </c>
      <c r="V432">
        <f>Table1[[#This Row],[FSH(mIU/mL)]]/Table1[[#This Row],[LH(mIU/mL)]]</f>
        <v>1.9615384615384617</v>
      </c>
      <c r="W432" t="str">
        <f>IF(Table1[[#This Row],[FSH/LH]]&gt;=2,"Abnormal","Normal")</f>
        <v>Normal</v>
      </c>
      <c r="X432">
        <v>36</v>
      </c>
      <c r="Y432">
        <v>32</v>
      </c>
      <c r="Z432">
        <f>ROUND(Table1[[#This Row],[Waist(inch)]]/Table1[[#This Row],[Hip(inch)]],2)</f>
        <v>0.89</v>
      </c>
      <c r="AA432">
        <v>2.38</v>
      </c>
      <c r="AB432">
        <v>8.9</v>
      </c>
      <c r="AC432">
        <v>24.84</v>
      </c>
      <c r="AD432">
        <v>18.7</v>
      </c>
      <c r="AE432" t="str">
        <f>IF(Table1[[#This Row],[Vit D3 (ng/mL)]]&lt;20,"Deficiency","Normal")</f>
        <v>Deficiency</v>
      </c>
      <c r="AF432">
        <v>0.46</v>
      </c>
      <c r="AG432">
        <v>72</v>
      </c>
      <c r="AH432">
        <v>1</v>
      </c>
      <c r="AI432" t="str">
        <f>IF(Table1[[#This Row],[Weight gain(Y/N)]]=0,"NO","YES")</f>
        <v>YES</v>
      </c>
      <c r="AJ432">
        <v>0</v>
      </c>
      <c r="AK432" t="str">
        <f>IF(Table1[[#This Row],[hair growth(Y/N)]]=1,"YES","NO")</f>
        <v>NO</v>
      </c>
      <c r="AL432">
        <v>1</v>
      </c>
      <c r="AM432" t="str">
        <f>IF(Table1[[#This Row],[Skin darkening (Y/N)]]=1,"YES","NO")</f>
        <v>YES</v>
      </c>
      <c r="AN432">
        <v>0</v>
      </c>
      <c r="AO432" t="str">
        <f>IF(Table1[[#This Row],[Hair loss(Y/N)]]=1,"YES","NO")</f>
        <v>NO</v>
      </c>
      <c r="AP432">
        <v>0</v>
      </c>
      <c r="AQ432" t="str">
        <f>IF(Table1[[#This Row],[Pimples(Y/N)]]=1,"YES","NO")</f>
        <v>NO</v>
      </c>
      <c r="AR432">
        <v>0</v>
      </c>
      <c r="AS432" t="str">
        <f>IF(Table1[[#This Row],[Fast food (Y/N)]]=1,"YES","NO")</f>
        <v>NO</v>
      </c>
      <c r="AT432">
        <v>1</v>
      </c>
      <c r="AU432" t="str">
        <f>IF(Table1[[#This Row],[Reg.Exercise(Y/N)]]=1,"YES","NO")</f>
        <v>YES</v>
      </c>
      <c r="AV432">
        <v>120</v>
      </c>
      <c r="AW432">
        <v>80</v>
      </c>
      <c r="AX432">
        <v>4</v>
      </c>
      <c r="AY432">
        <v>6</v>
      </c>
      <c r="AZ432">
        <v>13</v>
      </c>
      <c r="BA432">
        <v>14</v>
      </c>
      <c r="BB432">
        <v>7.6</v>
      </c>
      <c r="BC432" t="str" cm="1">
        <f t="array" ref="BC432">_xlfn.IFS((F432/(G432*G432)*10000)&lt; 18.5,"Underweight",(F432/(G432*G432)*10000)&lt;24.9,"Normal",(F432/(G432*G432)*10000)&lt;29.9,"Overweight",(F432/(G432*G432)*10000)&gt;=30,"obesity")</f>
        <v>Overweight</v>
      </c>
      <c r="BD432">
        <f>Table1[[#This Row],[Follicle No. (L)]]+Table1[[#This Row],[Follicle No. (R)]]</f>
        <v>10</v>
      </c>
      <c r="BE432">
        <f>Table1[[#This Row],[Avg. F size (L) (mm)]]+Table1[[#This Row],[Avg. F size (R) (mm)]]</f>
        <v>27</v>
      </c>
      <c r="BF432">
        <f>Table1[[#This Row],[BP _Diastolic (mmHg)]]+(Table1[[#This Row],[BP _Diastolic (mmHg)]]+Table1[[#This Row],[Follicle No. (L)]])/3</f>
        <v>108</v>
      </c>
      <c r="BG432" s="4" t="str" cm="1">
        <f t="array" ref="BG43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32" s="4">
        <f>SUM(Table1[[#This Row],[Pimples(Y/N)]],Table1[[#This Row],[hair growth(Y/N)]],Table1[[#This Row],[Skin darkening (Y/N)]],Table1[[#This Row],[Hair loss(Y/N)]])</f>
        <v>1</v>
      </c>
      <c r="BI432" s="4" t="str">
        <f>IF(AND(Table1[[#This Row],[Pregnant(Y/N)]]=0, Table1[[#This Row],[  I   beta-HCG(mIU/mL)]]&gt;5), "Investigation Required", "Clear")</f>
        <v>Clear</v>
      </c>
    </row>
    <row r="433" spans="1:61" ht="15.75" customHeight="1" x14ac:dyDescent="0.25">
      <c r="A433">
        <v>432</v>
      </c>
      <c r="B433">
        <v>432</v>
      </c>
      <c r="C433">
        <v>0</v>
      </c>
      <c r="D433" t="str">
        <f>IF(Table1[[#This Row],[PCOS (Y/N)]]=0,"NO","YES")</f>
        <v>NO</v>
      </c>
      <c r="E433">
        <v>42</v>
      </c>
      <c r="F433">
        <v>65</v>
      </c>
      <c r="G433">
        <v>158</v>
      </c>
      <c r="H433">
        <v>11</v>
      </c>
      <c r="I433">
        <v>72</v>
      </c>
      <c r="J433">
        <v>18</v>
      </c>
      <c r="K433">
        <v>10.5</v>
      </c>
      <c r="L433">
        <v>2</v>
      </c>
      <c r="M433">
        <v>6</v>
      </c>
      <c r="N433">
        <v>2</v>
      </c>
      <c r="O433">
        <v>1</v>
      </c>
      <c r="P433" t="str">
        <f>IF(Table1[[#This Row],[Pregnant(Y/N)]]=1,"YES","NO")</f>
        <v>YES</v>
      </c>
      <c r="Q433">
        <v>0</v>
      </c>
      <c r="R433">
        <v>433.97</v>
      </c>
      <c r="S433">
        <v>433.97</v>
      </c>
      <c r="T433">
        <v>6.76</v>
      </c>
      <c r="U433">
        <v>1.76</v>
      </c>
      <c r="V433">
        <f>Table1[[#This Row],[FSH(mIU/mL)]]/Table1[[#This Row],[LH(mIU/mL)]]</f>
        <v>3.8409090909090908</v>
      </c>
      <c r="W433" t="str">
        <f>IF(Table1[[#This Row],[FSH/LH]]&gt;=2,"Abnormal","Normal")</f>
        <v>Abnormal</v>
      </c>
      <c r="X433">
        <v>38</v>
      </c>
      <c r="Y433">
        <v>35</v>
      </c>
      <c r="Z433">
        <f>ROUND(Table1[[#This Row],[Waist(inch)]]/Table1[[#This Row],[Hip(inch)]],2)</f>
        <v>0.92</v>
      </c>
      <c r="AA433">
        <v>3.5049999999999999</v>
      </c>
      <c r="AB433">
        <v>1.2</v>
      </c>
      <c r="AC433">
        <v>12.4</v>
      </c>
      <c r="AD433">
        <v>22.7</v>
      </c>
      <c r="AE433" t="str">
        <f>IF(Table1[[#This Row],[Vit D3 (ng/mL)]]&lt;20,"Deficiency","Normal")</f>
        <v>Normal</v>
      </c>
      <c r="AF433">
        <v>0.35</v>
      </c>
      <c r="AG433">
        <v>115</v>
      </c>
      <c r="AH433">
        <v>1</v>
      </c>
      <c r="AI433" t="str">
        <f>IF(Table1[[#This Row],[Weight gain(Y/N)]]=0,"NO","YES")</f>
        <v>YES</v>
      </c>
      <c r="AJ433">
        <v>0</v>
      </c>
      <c r="AK433" t="str">
        <f>IF(Table1[[#This Row],[hair growth(Y/N)]]=1,"YES","NO")</f>
        <v>NO</v>
      </c>
      <c r="AL433">
        <v>0</v>
      </c>
      <c r="AM433" t="str">
        <f>IF(Table1[[#This Row],[Skin darkening (Y/N)]]=1,"YES","NO")</f>
        <v>NO</v>
      </c>
      <c r="AN433">
        <v>0</v>
      </c>
      <c r="AO433" t="str">
        <f>IF(Table1[[#This Row],[Hair loss(Y/N)]]=1,"YES","NO")</f>
        <v>NO</v>
      </c>
      <c r="AP433">
        <v>1</v>
      </c>
      <c r="AQ433" t="str">
        <f>IF(Table1[[#This Row],[Pimples(Y/N)]]=1,"YES","NO")</f>
        <v>YES</v>
      </c>
      <c r="AR433">
        <v>1</v>
      </c>
      <c r="AS433" t="str">
        <f>IF(Table1[[#This Row],[Fast food (Y/N)]]=1,"YES","NO")</f>
        <v>YES</v>
      </c>
      <c r="AT433">
        <v>0</v>
      </c>
      <c r="AU433" t="str">
        <f>IF(Table1[[#This Row],[Reg.Exercise(Y/N)]]=1,"YES","NO")</f>
        <v>NO</v>
      </c>
      <c r="AV433">
        <v>110</v>
      </c>
      <c r="AW433">
        <v>70</v>
      </c>
      <c r="AX433">
        <v>5</v>
      </c>
      <c r="AY433">
        <v>7</v>
      </c>
      <c r="AZ433">
        <v>14</v>
      </c>
      <c r="BA433">
        <v>15</v>
      </c>
      <c r="BB433">
        <v>7</v>
      </c>
      <c r="BC433" t="str" cm="1">
        <f t="array" ref="BC433">_xlfn.IFS((F433/(G433*G433)*10000)&lt; 18.5,"Underweight",(F433/(G433*G433)*10000)&lt;24.9,"Normal",(F433/(G433*G433)*10000)&lt;29.9,"Overweight",(F433/(G433*G433)*10000)&gt;=30,"obesity")</f>
        <v>Overweight</v>
      </c>
      <c r="BD433">
        <f>Table1[[#This Row],[Follicle No. (L)]]+Table1[[#This Row],[Follicle No. (R)]]</f>
        <v>12</v>
      </c>
      <c r="BE433">
        <f>Table1[[#This Row],[Avg. F size (L) (mm)]]+Table1[[#This Row],[Avg. F size (R) (mm)]]</f>
        <v>29</v>
      </c>
      <c r="BF433">
        <f>Table1[[#This Row],[BP _Diastolic (mmHg)]]+(Table1[[#This Row],[BP _Diastolic (mmHg)]]+Table1[[#This Row],[Follicle No. (L)]])/3</f>
        <v>95</v>
      </c>
      <c r="BG433" s="4" t="str" cm="1">
        <f t="array" ref="BG43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33" s="4">
        <f>SUM(Table1[[#This Row],[Pimples(Y/N)]],Table1[[#This Row],[hair growth(Y/N)]],Table1[[#This Row],[Skin darkening (Y/N)]],Table1[[#This Row],[Hair loss(Y/N)]])</f>
        <v>1</v>
      </c>
      <c r="BI433" s="4" t="str">
        <f>IF(AND(Table1[[#This Row],[Pregnant(Y/N)]]=0, Table1[[#This Row],[  I   beta-HCG(mIU/mL)]]&gt;5), "Investigation Required", "Clear")</f>
        <v>Clear</v>
      </c>
    </row>
    <row r="434" spans="1:61" ht="15.75" customHeight="1" x14ac:dyDescent="0.25">
      <c r="A434">
        <v>433</v>
      </c>
      <c r="B434">
        <v>433</v>
      </c>
      <c r="C434">
        <v>0</v>
      </c>
      <c r="D434" t="str">
        <f>IF(Table1[[#This Row],[PCOS (Y/N)]]=0,"NO","YES")</f>
        <v>NO</v>
      </c>
      <c r="E434">
        <v>29</v>
      </c>
      <c r="F434">
        <v>50</v>
      </c>
      <c r="G434">
        <v>148</v>
      </c>
      <c r="H434">
        <v>15</v>
      </c>
      <c r="I434">
        <v>72</v>
      </c>
      <c r="J434">
        <v>22</v>
      </c>
      <c r="K434">
        <v>11</v>
      </c>
      <c r="L434">
        <v>2</v>
      </c>
      <c r="M434">
        <v>5</v>
      </c>
      <c r="N434">
        <v>5</v>
      </c>
      <c r="O434">
        <v>0</v>
      </c>
      <c r="P434" t="str">
        <f>IF(Table1[[#This Row],[Pregnant(Y/N)]]=1,"YES","NO")</f>
        <v>NO</v>
      </c>
      <c r="Q434">
        <v>0</v>
      </c>
      <c r="R434">
        <v>1.99</v>
      </c>
      <c r="S434">
        <v>1.99</v>
      </c>
      <c r="T434">
        <v>5.64</v>
      </c>
      <c r="U434">
        <v>2.71</v>
      </c>
      <c r="V434">
        <f>Table1[[#This Row],[FSH(mIU/mL)]]/Table1[[#This Row],[LH(mIU/mL)]]</f>
        <v>2.0811808118081179</v>
      </c>
      <c r="W434" t="str">
        <f>IF(Table1[[#This Row],[FSH/LH]]&gt;=2,"Abnormal","Normal")</f>
        <v>Abnormal</v>
      </c>
      <c r="X434">
        <v>32</v>
      </c>
      <c r="Y434">
        <v>28</v>
      </c>
      <c r="Z434">
        <f>ROUND(Table1[[#This Row],[Waist(inch)]]/Table1[[#This Row],[Hip(inch)]],2)</f>
        <v>0.88</v>
      </c>
      <c r="AA434">
        <v>1.24</v>
      </c>
      <c r="AB434">
        <v>2.8</v>
      </c>
      <c r="AC434">
        <v>15.31</v>
      </c>
      <c r="AD434">
        <v>32.700000000000003</v>
      </c>
      <c r="AE434" t="str">
        <f>IF(Table1[[#This Row],[Vit D3 (ng/mL)]]&lt;20,"Deficiency","Normal")</f>
        <v>Normal</v>
      </c>
      <c r="AF434">
        <v>0.25</v>
      </c>
      <c r="AG434">
        <v>225</v>
      </c>
      <c r="AH434">
        <v>0</v>
      </c>
      <c r="AI434" t="str">
        <f>IF(Table1[[#This Row],[Weight gain(Y/N)]]=0,"NO","YES")</f>
        <v>NO</v>
      </c>
      <c r="AJ434">
        <v>0</v>
      </c>
      <c r="AK434" t="str">
        <f>IF(Table1[[#This Row],[hair growth(Y/N)]]=1,"YES","NO")</f>
        <v>NO</v>
      </c>
      <c r="AL434">
        <v>0</v>
      </c>
      <c r="AM434" t="str">
        <f>IF(Table1[[#This Row],[Skin darkening (Y/N)]]=1,"YES","NO")</f>
        <v>NO</v>
      </c>
      <c r="AN434">
        <v>1</v>
      </c>
      <c r="AO434" t="str">
        <f>IF(Table1[[#This Row],[Hair loss(Y/N)]]=1,"YES","NO")</f>
        <v>YES</v>
      </c>
      <c r="AP434">
        <v>1</v>
      </c>
      <c r="AQ434" t="str">
        <f>IF(Table1[[#This Row],[Pimples(Y/N)]]=1,"YES","NO")</f>
        <v>YES</v>
      </c>
      <c r="AR434">
        <v>0</v>
      </c>
      <c r="AS434" t="str">
        <f>IF(Table1[[#This Row],[Fast food (Y/N)]]=1,"YES","NO")</f>
        <v>NO</v>
      </c>
      <c r="AT434">
        <v>0</v>
      </c>
      <c r="AU434" t="str">
        <f>IF(Table1[[#This Row],[Reg.Exercise(Y/N)]]=1,"YES","NO")</f>
        <v>NO</v>
      </c>
      <c r="AV434">
        <v>120</v>
      </c>
      <c r="AW434">
        <v>70</v>
      </c>
      <c r="AX434">
        <v>4</v>
      </c>
      <c r="AY434">
        <v>6</v>
      </c>
      <c r="AZ434">
        <v>10</v>
      </c>
      <c r="BA434">
        <v>13</v>
      </c>
      <c r="BB434">
        <v>7</v>
      </c>
      <c r="BC434" t="str" cm="1">
        <f t="array" ref="BC434">_xlfn.IFS((F434/(G434*G434)*10000)&lt; 18.5,"Underweight",(F434/(G434*G434)*10000)&lt;24.9,"Normal",(F434/(G434*G434)*10000)&lt;29.9,"Overweight",(F434/(G434*G434)*10000)&gt;=30,"obesity")</f>
        <v>Normal</v>
      </c>
      <c r="BD434">
        <f>Table1[[#This Row],[Follicle No. (L)]]+Table1[[#This Row],[Follicle No. (R)]]</f>
        <v>10</v>
      </c>
      <c r="BE434">
        <f>Table1[[#This Row],[Avg. F size (L) (mm)]]+Table1[[#This Row],[Avg. F size (R) (mm)]]</f>
        <v>23</v>
      </c>
      <c r="BF434">
        <f>Table1[[#This Row],[BP _Diastolic (mmHg)]]+(Table1[[#This Row],[BP _Diastolic (mmHg)]]+Table1[[#This Row],[Follicle No. (L)]])/3</f>
        <v>94.666666666666671</v>
      </c>
      <c r="BG434" s="4" t="str" cm="1">
        <f t="array" ref="BG43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34" s="4">
        <f>SUM(Table1[[#This Row],[Pimples(Y/N)]],Table1[[#This Row],[hair growth(Y/N)]],Table1[[#This Row],[Skin darkening (Y/N)]],Table1[[#This Row],[Hair loss(Y/N)]])</f>
        <v>2</v>
      </c>
      <c r="BI434" s="4" t="str">
        <f>IF(AND(Table1[[#This Row],[Pregnant(Y/N)]]=0, Table1[[#This Row],[  I   beta-HCG(mIU/mL)]]&gt;5), "Investigation Required", "Clear")</f>
        <v>Clear</v>
      </c>
    </row>
    <row r="435" spans="1:61" ht="15.75" customHeight="1" x14ac:dyDescent="0.25">
      <c r="A435">
        <v>434</v>
      </c>
      <c r="B435">
        <v>434</v>
      </c>
      <c r="C435">
        <v>0</v>
      </c>
      <c r="D435" t="str">
        <f>IF(Table1[[#This Row],[PCOS (Y/N)]]=0,"NO","YES")</f>
        <v>NO</v>
      </c>
      <c r="E435">
        <v>33</v>
      </c>
      <c r="F435">
        <v>57</v>
      </c>
      <c r="G435">
        <v>163</v>
      </c>
      <c r="H435">
        <v>15</v>
      </c>
      <c r="I435">
        <v>72</v>
      </c>
      <c r="J435">
        <v>18</v>
      </c>
      <c r="K435">
        <v>11.5</v>
      </c>
      <c r="L435">
        <v>2</v>
      </c>
      <c r="M435">
        <v>6</v>
      </c>
      <c r="N435">
        <v>10</v>
      </c>
      <c r="O435">
        <v>0</v>
      </c>
      <c r="P435" t="str">
        <f>IF(Table1[[#This Row],[Pregnant(Y/N)]]=1,"YES","NO")</f>
        <v>NO</v>
      </c>
      <c r="Q435">
        <v>0</v>
      </c>
      <c r="R435">
        <v>1.99</v>
      </c>
      <c r="S435">
        <v>1.99</v>
      </c>
      <c r="T435">
        <v>4.09</v>
      </c>
      <c r="U435">
        <v>2.63</v>
      </c>
      <c r="V435">
        <f>Table1[[#This Row],[FSH(mIU/mL)]]/Table1[[#This Row],[LH(mIU/mL)]]</f>
        <v>1.5551330798479088</v>
      </c>
      <c r="W435" t="str">
        <f>IF(Table1[[#This Row],[FSH/LH]]&gt;=2,"Abnormal","Normal")</f>
        <v>Normal</v>
      </c>
      <c r="X435">
        <v>32</v>
      </c>
      <c r="Y435">
        <v>28</v>
      </c>
      <c r="Z435">
        <f>ROUND(Table1[[#This Row],[Waist(inch)]]/Table1[[#This Row],[Hip(inch)]],2)</f>
        <v>0.88</v>
      </c>
      <c r="AA435">
        <v>1.08</v>
      </c>
      <c r="AB435">
        <v>10.3</v>
      </c>
      <c r="AC435">
        <v>10.62</v>
      </c>
      <c r="AD435">
        <v>27.2</v>
      </c>
      <c r="AE435" t="str">
        <f>IF(Table1[[#This Row],[Vit D3 (ng/mL)]]&lt;20,"Deficiency","Normal")</f>
        <v>Normal</v>
      </c>
      <c r="AF435">
        <v>0.25</v>
      </c>
      <c r="AG435">
        <v>100</v>
      </c>
      <c r="AH435">
        <v>0</v>
      </c>
      <c r="AI435" t="str">
        <f>IF(Table1[[#This Row],[Weight gain(Y/N)]]=0,"NO","YES")</f>
        <v>NO</v>
      </c>
      <c r="AJ435">
        <v>0</v>
      </c>
      <c r="AK435" t="str">
        <f>IF(Table1[[#This Row],[hair growth(Y/N)]]=1,"YES","NO")</f>
        <v>NO</v>
      </c>
      <c r="AL435">
        <v>0</v>
      </c>
      <c r="AM435" t="str">
        <f>IF(Table1[[#This Row],[Skin darkening (Y/N)]]=1,"YES","NO")</f>
        <v>NO</v>
      </c>
      <c r="AN435">
        <v>1</v>
      </c>
      <c r="AO435" t="str">
        <f>IF(Table1[[#This Row],[Hair loss(Y/N)]]=1,"YES","NO")</f>
        <v>YES</v>
      </c>
      <c r="AP435">
        <v>1</v>
      </c>
      <c r="AQ435" t="str">
        <f>IF(Table1[[#This Row],[Pimples(Y/N)]]=1,"YES","NO")</f>
        <v>YES</v>
      </c>
      <c r="AR435">
        <v>1</v>
      </c>
      <c r="AS435" t="str">
        <f>IF(Table1[[#This Row],[Fast food (Y/N)]]=1,"YES","NO")</f>
        <v>YES</v>
      </c>
      <c r="AT435">
        <v>1</v>
      </c>
      <c r="AU435" t="str">
        <f>IF(Table1[[#This Row],[Reg.Exercise(Y/N)]]=1,"YES","NO")</f>
        <v>YES</v>
      </c>
      <c r="AV435">
        <v>110</v>
      </c>
      <c r="AW435">
        <v>70</v>
      </c>
      <c r="AX435">
        <v>5</v>
      </c>
      <c r="AY435">
        <v>7</v>
      </c>
      <c r="AZ435">
        <v>13</v>
      </c>
      <c r="BA435">
        <v>11</v>
      </c>
      <c r="BB435">
        <v>10</v>
      </c>
      <c r="BC435" t="str" cm="1">
        <f t="array" ref="BC435">_xlfn.IFS((F435/(G435*G435)*10000)&lt; 18.5,"Underweight",(F435/(G435*G435)*10000)&lt;24.9,"Normal",(F435/(G435*G435)*10000)&lt;29.9,"Overweight",(F435/(G435*G435)*10000)&gt;=30,"obesity")</f>
        <v>Normal</v>
      </c>
      <c r="BD435">
        <f>Table1[[#This Row],[Follicle No. (L)]]+Table1[[#This Row],[Follicle No. (R)]]</f>
        <v>12</v>
      </c>
      <c r="BE435">
        <f>Table1[[#This Row],[Avg. F size (L) (mm)]]+Table1[[#This Row],[Avg. F size (R) (mm)]]</f>
        <v>24</v>
      </c>
      <c r="BF435">
        <f>Table1[[#This Row],[BP _Diastolic (mmHg)]]+(Table1[[#This Row],[BP _Diastolic (mmHg)]]+Table1[[#This Row],[Follicle No. (L)]])/3</f>
        <v>95</v>
      </c>
      <c r="BG435" s="4" t="str" cm="1">
        <f t="array" ref="BG43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35" s="4">
        <f>SUM(Table1[[#This Row],[Pimples(Y/N)]],Table1[[#This Row],[hair growth(Y/N)]],Table1[[#This Row],[Skin darkening (Y/N)]],Table1[[#This Row],[Hair loss(Y/N)]])</f>
        <v>2</v>
      </c>
      <c r="BI435" s="4" t="str">
        <f>IF(AND(Table1[[#This Row],[Pregnant(Y/N)]]=0, Table1[[#This Row],[  I   beta-HCG(mIU/mL)]]&gt;5), "Investigation Required", "Clear")</f>
        <v>Clear</v>
      </c>
    </row>
    <row r="436" spans="1:61" ht="15.75" customHeight="1" x14ac:dyDescent="0.25">
      <c r="A436">
        <v>435</v>
      </c>
      <c r="B436">
        <v>435</v>
      </c>
      <c r="C436">
        <v>1</v>
      </c>
      <c r="D436" t="str">
        <f>IF(Table1[[#This Row],[PCOS (Y/N)]]=0,"NO","YES")</f>
        <v>YES</v>
      </c>
      <c r="E436">
        <v>23</v>
      </c>
      <c r="F436">
        <v>70</v>
      </c>
      <c r="G436">
        <v>158</v>
      </c>
      <c r="H436">
        <v>13</v>
      </c>
      <c r="I436">
        <v>72</v>
      </c>
      <c r="J436">
        <v>18</v>
      </c>
      <c r="K436">
        <v>11</v>
      </c>
      <c r="L436">
        <v>2</v>
      </c>
      <c r="M436">
        <v>5</v>
      </c>
      <c r="N436">
        <v>2</v>
      </c>
      <c r="O436">
        <v>0</v>
      </c>
      <c r="P436" t="str">
        <f>IF(Table1[[#This Row],[Pregnant(Y/N)]]=1,"YES","NO")</f>
        <v>NO</v>
      </c>
      <c r="Q436">
        <v>0</v>
      </c>
      <c r="R436">
        <v>1.99</v>
      </c>
      <c r="S436">
        <v>1.99</v>
      </c>
      <c r="T436">
        <v>4.5</v>
      </c>
      <c r="U436">
        <v>1.5</v>
      </c>
      <c r="V436">
        <f>Table1[[#This Row],[FSH(mIU/mL)]]/Table1[[#This Row],[LH(mIU/mL)]]</f>
        <v>3</v>
      </c>
      <c r="W436" t="str">
        <f>IF(Table1[[#This Row],[FSH/LH]]&gt;=2,"Abnormal","Normal")</f>
        <v>Abnormal</v>
      </c>
      <c r="X436">
        <v>42</v>
      </c>
      <c r="Y436">
        <v>38</v>
      </c>
      <c r="Z436">
        <f>ROUND(Table1[[#This Row],[Waist(inch)]]/Table1[[#This Row],[Hip(inch)]],2)</f>
        <v>0.9</v>
      </c>
      <c r="AA436">
        <v>2.04</v>
      </c>
      <c r="AB436">
        <v>9.9</v>
      </c>
      <c r="AC436">
        <v>17.5</v>
      </c>
      <c r="AD436">
        <v>18</v>
      </c>
      <c r="AE436" t="str">
        <f>IF(Table1[[#This Row],[Vit D3 (ng/mL)]]&lt;20,"Deficiency","Normal")</f>
        <v>Deficiency</v>
      </c>
      <c r="AF436">
        <v>0.5</v>
      </c>
      <c r="AG436">
        <v>92</v>
      </c>
      <c r="AH436">
        <v>1</v>
      </c>
      <c r="AI436" t="str">
        <f>IF(Table1[[#This Row],[Weight gain(Y/N)]]=0,"NO","YES")</f>
        <v>YES</v>
      </c>
      <c r="AJ436">
        <v>0</v>
      </c>
      <c r="AK436" t="str">
        <f>IF(Table1[[#This Row],[hair growth(Y/N)]]=1,"YES","NO")</f>
        <v>NO</v>
      </c>
      <c r="AL436">
        <v>1</v>
      </c>
      <c r="AM436" t="str">
        <f>IF(Table1[[#This Row],[Skin darkening (Y/N)]]=1,"YES","NO")</f>
        <v>YES</v>
      </c>
      <c r="AN436">
        <v>1</v>
      </c>
      <c r="AO436" t="str">
        <f>IF(Table1[[#This Row],[Hair loss(Y/N)]]=1,"YES","NO")</f>
        <v>YES</v>
      </c>
      <c r="AP436">
        <v>1</v>
      </c>
      <c r="AQ436" t="str">
        <f>IF(Table1[[#This Row],[Pimples(Y/N)]]=1,"YES","NO")</f>
        <v>YES</v>
      </c>
      <c r="AR436">
        <v>1</v>
      </c>
      <c r="AS436" t="str">
        <f>IF(Table1[[#This Row],[Fast food (Y/N)]]=1,"YES","NO")</f>
        <v>YES</v>
      </c>
      <c r="AT436">
        <v>0</v>
      </c>
      <c r="AU436" t="str">
        <f>IF(Table1[[#This Row],[Reg.Exercise(Y/N)]]=1,"YES","NO")</f>
        <v>NO</v>
      </c>
      <c r="AV436">
        <v>110</v>
      </c>
      <c r="AW436">
        <v>70</v>
      </c>
      <c r="AX436">
        <v>8</v>
      </c>
      <c r="AY436">
        <v>11</v>
      </c>
      <c r="AZ436">
        <v>14</v>
      </c>
      <c r="BA436">
        <v>15</v>
      </c>
      <c r="BB436">
        <v>11</v>
      </c>
      <c r="BC436" t="str" cm="1">
        <f t="array" ref="BC436">_xlfn.IFS((F436/(G436*G436)*10000)&lt; 18.5,"Underweight",(F436/(G436*G436)*10000)&lt;24.9,"Normal",(F436/(G436*G436)*10000)&lt;29.9,"Overweight",(F436/(G436*G436)*10000)&gt;=30,"obesity")</f>
        <v>Overweight</v>
      </c>
      <c r="BD436">
        <f>Table1[[#This Row],[Follicle No. (L)]]+Table1[[#This Row],[Follicle No. (R)]]</f>
        <v>19</v>
      </c>
      <c r="BE436">
        <f>Table1[[#This Row],[Avg. F size (L) (mm)]]+Table1[[#This Row],[Avg. F size (R) (mm)]]</f>
        <v>29</v>
      </c>
      <c r="BF436">
        <f>Table1[[#This Row],[BP _Diastolic (mmHg)]]+(Table1[[#This Row],[BP _Diastolic (mmHg)]]+Table1[[#This Row],[Follicle No. (L)]])/3</f>
        <v>96</v>
      </c>
      <c r="BG436" s="4" t="str" cm="1">
        <f t="array" ref="BG43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36" s="4">
        <f>SUM(Table1[[#This Row],[Pimples(Y/N)]],Table1[[#This Row],[hair growth(Y/N)]],Table1[[#This Row],[Skin darkening (Y/N)]],Table1[[#This Row],[Hair loss(Y/N)]])</f>
        <v>3</v>
      </c>
      <c r="BI436" s="4" t="str">
        <f>IF(AND(Table1[[#This Row],[Pregnant(Y/N)]]=0, Table1[[#This Row],[  I   beta-HCG(mIU/mL)]]&gt;5), "Investigation Required", "Clear")</f>
        <v>Clear</v>
      </c>
    </row>
    <row r="437" spans="1:61" ht="15.75" customHeight="1" x14ac:dyDescent="0.25">
      <c r="A437">
        <v>436</v>
      </c>
      <c r="B437">
        <v>436</v>
      </c>
      <c r="C437">
        <v>0</v>
      </c>
      <c r="D437" t="str">
        <f>IF(Table1[[#This Row],[PCOS (Y/N)]]=0,"NO","YES")</f>
        <v>NO</v>
      </c>
      <c r="E437">
        <v>30</v>
      </c>
      <c r="F437">
        <v>64</v>
      </c>
      <c r="G437">
        <v>170</v>
      </c>
      <c r="H437">
        <v>15</v>
      </c>
      <c r="I437">
        <v>72</v>
      </c>
      <c r="J437">
        <v>18</v>
      </c>
      <c r="K437">
        <v>11.1</v>
      </c>
      <c r="L437">
        <v>2</v>
      </c>
      <c r="M437">
        <v>5</v>
      </c>
      <c r="N437">
        <v>6</v>
      </c>
      <c r="O437">
        <v>0</v>
      </c>
      <c r="P437" t="str">
        <f>IF(Table1[[#This Row],[Pregnant(Y/N)]]=1,"YES","NO")</f>
        <v>NO</v>
      </c>
      <c r="Q437">
        <v>0</v>
      </c>
      <c r="R437">
        <v>1399</v>
      </c>
      <c r="S437">
        <v>1.99</v>
      </c>
      <c r="T437">
        <v>3.75</v>
      </c>
      <c r="U437">
        <v>1.57</v>
      </c>
      <c r="V437">
        <f>Table1[[#This Row],[FSH(mIU/mL)]]/Table1[[#This Row],[LH(mIU/mL)]]</f>
        <v>2.3885350318471334</v>
      </c>
      <c r="W437" t="str">
        <f>IF(Table1[[#This Row],[FSH/LH]]&gt;=2,"Abnormal","Normal")</f>
        <v>Abnormal</v>
      </c>
      <c r="X437">
        <v>40</v>
      </c>
      <c r="Y437">
        <v>36</v>
      </c>
      <c r="Z437">
        <f>ROUND(Table1[[#This Row],[Waist(inch)]]/Table1[[#This Row],[Hip(inch)]],2)</f>
        <v>0.9</v>
      </c>
      <c r="AA437">
        <v>1.51</v>
      </c>
      <c r="AB437">
        <v>2.5</v>
      </c>
      <c r="AC437">
        <v>27.72</v>
      </c>
      <c r="AD437">
        <v>31.8</v>
      </c>
      <c r="AE437" t="str">
        <f>IF(Table1[[#This Row],[Vit D3 (ng/mL)]]&lt;20,"Deficiency","Normal")</f>
        <v>Normal</v>
      </c>
      <c r="AF437">
        <v>0.25</v>
      </c>
      <c r="AG437">
        <v>94</v>
      </c>
      <c r="AH437">
        <v>0</v>
      </c>
      <c r="AI437" t="str">
        <f>IF(Table1[[#This Row],[Weight gain(Y/N)]]=0,"NO","YES")</f>
        <v>NO</v>
      </c>
      <c r="AJ437">
        <v>0</v>
      </c>
      <c r="AK437" t="str">
        <f>IF(Table1[[#This Row],[hair growth(Y/N)]]=1,"YES","NO")</f>
        <v>NO</v>
      </c>
      <c r="AL437">
        <v>0</v>
      </c>
      <c r="AM437" t="str">
        <f>IF(Table1[[#This Row],[Skin darkening (Y/N)]]=1,"YES","NO")</f>
        <v>NO</v>
      </c>
      <c r="AN437">
        <v>1</v>
      </c>
      <c r="AO437" t="str">
        <f>IF(Table1[[#This Row],[Hair loss(Y/N)]]=1,"YES","NO")</f>
        <v>YES</v>
      </c>
      <c r="AP437">
        <v>1</v>
      </c>
      <c r="AQ437" t="str">
        <f>IF(Table1[[#This Row],[Pimples(Y/N)]]=1,"YES","NO")</f>
        <v>YES</v>
      </c>
      <c r="AR437">
        <v>0</v>
      </c>
      <c r="AS437" t="str">
        <f>IF(Table1[[#This Row],[Fast food (Y/N)]]=1,"YES","NO")</f>
        <v>NO</v>
      </c>
      <c r="AT437">
        <v>1</v>
      </c>
      <c r="AU437" t="str">
        <f>IF(Table1[[#This Row],[Reg.Exercise(Y/N)]]=1,"YES","NO")</f>
        <v>YES</v>
      </c>
      <c r="AV437">
        <v>110</v>
      </c>
      <c r="AW437">
        <v>80</v>
      </c>
      <c r="AX437">
        <v>4</v>
      </c>
      <c r="AY437">
        <v>3</v>
      </c>
      <c r="AZ437">
        <v>11</v>
      </c>
      <c r="BA437">
        <v>16</v>
      </c>
      <c r="BB437">
        <v>9</v>
      </c>
      <c r="BC437" t="str" cm="1">
        <f t="array" ref="BC437">_xlfn.IFS((F437/(G437*G437)*10000)&lt; 18.5,"Underweight",(F437/(G437*G437)*10000)&lt;24.9,"Normal",(F437/(G437*G437)*10000)&lt;29.9,"Overweight",(F437/(G437*G437)*10000)&gt;=30,"obesity")</f>
        <v>Normal</v>
      </c>
      <c r="BD437">
        <f>Table1[[#This Row],[Follicle No. (L)]]+Table1[[#This Row],[Follicle No. (R)]]</f>
        <v>7</v>
      </c>
      <c r="BE437">
        <f>Table1[[#This Row],[Avg. F size (L) (mm)]]+Table1[[#This Row],[Avg. F size (R) (mm)]]</f>
        <v>27</v>
      </c>
      <c r="BF437">
        <f>Table1[[#This Row],[BP _Diastolic (mmHg)]]+(Table1[[#This Row],[BP _Diastolic (mmHg)]]+Table1[[#This Row],[Follicle No. (L)]])/3</f>
        <v>108</v>
      </c>
      <c r="BG437" s="4" t="str" cm="1">
        <f t="array" ref="BG43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37" s="4">
        <f>SUM(Table1[[#This Row],[Pimples(Y/N)]],Table1[[#This Row],[hair growth(Y/N)]],Table1[[#This Row],[Skin darkening (Y/N)]],Table1[[#This Row],[Hair loss(Y/N)]])</f>
        <v>2</v>
      </c>
      <c r="BI437" s="4" t="str">
        <f>IF(AND(Table1[[#This Row],[Pregnant(Y/N)]]=0, Table1[[#This Row],[  I   beta-HCG(mIU/mL)]]&gt;5), "Investigation Required", "Clear")</f>
        <v>Investigation Required</v>
      </c>
    </row>
    <row r="438" spans="1:61" ht="15.75" customHeight="1" x14ac:dyDescent="0.25">
      <c r="A438">
        <v>437</v>
      </c>
      <c r="B438">
        <v>437</v>
      </c>
      <c r="C438">
        <v>0</v>
      </c>
      <c r="D438" t="str">
        <f>IF(Table1[[#This Row],[PCOS (Y/N)]]=0,"NO","YES")</f>
        <v>NO</v>
      </c>
      <c r="E438">
        <v>29</v>
      </c>
      <c r="F438">
        <v>48</v>
      </c>
      <c r="G438">
        <v>150</v>
      </c>
      <c r="H438">
        <v>15</v>
      </c>
      <c r="I438">
        <v>70</v>
      </c>
      <c r="J438">
        <v>18</v>
      </c>
      <c r="K438">
        <v>10.199999999999999</v>
      </c>
      <c r="L438">
        <v>2</v>
      </c>
      <c r="M438">
        <v>6</v>
      </c>
      <c r="N438">
        <v>6</v>
      </c>
      <c r="O438">
        <v>1</v>
      </c>
      <c r="P438" t="str">
        <f>IF(Table1[[#This Row],[Pregnant(Y/N)]]=1,"YES","NO")</f>
        <v>YES</v>
      </c>
      <c r="Q438">
        <v>0</v>
      </c>
      <c r="R438">
        <v>213.14</v>
      </c>
      <c r="S438">
        <v>213.14</v>
      </c>
      <c r="T438">
        <v>13.9</v>
      </c>
      <c r="U438">
        <v>0.5</v>
      </c>
      <c r="V438">
        <f>Table1[[#This Row],[FSH(mIU/mL)]]/Table1[[#This Row],[LH(mIU/mL)]]</f>
        <v>27.8</v>
      </c>
      <c r="W438" t="str">
        <f>IF(Table1[[#This Row],[FSH/LH]]&gt;=2,"Abnormal","Normal")</f>
        <v>Abnormal</v>
      </c>
      <c r="X438">
        <v>32</v>
      </c>
      <c r="Y438">
        <v>27</v>
      </c>
      <c r="Z438">
        <f>ROUND(Table1[[#This Row],[Waist(inch)]]/Table1[[#This Row],[Hip(inch)]],2)</f>
        <v>0.84</v>
      </c>
      <c r="AA438">
        <v>0.82</v>
      </c>
      <c r="AB438">
        <v>3.6</v>
      </c>
      <c r="AC438">
        <v>30.98</v>
      </c>
      <c r="AD438">
        <v>74.5</v>
      </c>
      <c r="AE438" t="str">
        <f>IF(Table1[[#This Row],[Vit D3 (ng/mL)]]&lt;20,"Deficiency","Normal")</f>
        <v>Normal</v>
      </c>
      <c r="AF438">
        <v>0.8</v>
      </c>
      <c r="AG438">
        <v>92</v>
      </c>
      <c r="AH438">
        <v>0</v>
      </c>
      <c r="AI438" t="str">
        <f>IF(Table1[[#This Row],[Weight gain(Y/N)]]=0,"NO","YES")</f>
        <v>NO</v>
      </c>
      <c r="AJ438">
        <v>0</v>
      </c>
      <c r="AK438" t="str">
        <f>IF(Table1[[#This Row],[hair growth(Y/N)]]=1,"YES","NO")</f>
        <v>NO</v>
      </c>
      <c r="AL438">
        <v>0</v>
      </c>
      <c r="AM438" t="str">
        <f>IF(Table1[[#This Row],[Skin darkening (Y/N)]]=1,"YES","NO")</f>
        <v>NO</v>
      </c>
      <c r="AN438">
        <v>1</v>
      </c>
      <c r="AO438" t="str">
        <f>IF(Table1[[#This Row],[Hair loss(Y/N)]]=1,"YES","NO")</f>
        <v>YES</v>
      </c>
      <c r="AP438">
        <v>0</v>
      </c>
      <c r="AQ438" t="str">
        <f>IF(Table1[[#This Row],[Pimples(Y/N)]]=1,"YES","NO")</f>
        <v>NO</v>
      </c>
      <c r="AR438">
        <v>1</v>
      </c>
      <c r="AS438" t="str">
        <f>IF(Table1[[#This Row],[Fast food (Y/N)]]=1,"YES","NO")</f>
        <v>YES</v>
      </c>
      <c r="AT438">
        <v>0</v>
      </c>
      <c r="AU438" t="str">
        <f>IF(Table1[[#This Row],[Reg.Exercise(Y/N)]]=1,"YES","NO")</f>
        <v>NO</v>
      </c>
      <c r="AV438">
        <v>110</v>
      </c>
      <c r="AW438">
        <v>80</v>
      </c>
      <c r="AX438">
        <v>4</v>
      </c>
      <c r="AY438">
        <v>4</v>
      </c>
      <c r="AZ438">
        <v>14</v>
      </c>
      <c r="BA438">
        <v>13</v>
      </c>
      <c r="BB438">
        <v>10</v>
      </c>
      <c r="BC438" t="str" cm="1">
        <f t="array" ref="BC438">_xlfn.IFS((F438/(G438*G438)*10000)&lt; 18.5,"Underweight",(F438/(G438*G438)*10000)&lt;24.9,"Normal",(F438/(G438*G438)*10000)&lt;29.9,"Overweight",(F438/(G438*G438)*10000)&gt;=30,"obesity")</f>
        <v>Normal</v>
      </c>
      <c r="BD438">
        <f>Table1[[#This Row],[Follicle No. (L)]]+Table1[[#This Row],[Follicle No. (R)]]</f>
        <v>8</v>
      </c>
      <c r="BE438">
        <f>Table1[[#This Row],[Avg. F size (L) (mm)]]+Table1[[#This Row],[Avg. F size (R) (mm)]]</f>
        <v>27</v>
      </c>
      <c r="BF438">
        <f>Table1[[#This Row],[BP _Diastolic (mmHg)]]+(Table1[[#This Row],[BP _Diastolic (mmHg)]]+Table1[[#This Row],[Follicle No. (L)]])/3</f>
        <v>108</v>
      </c>
      <c r="BG438" s="4" t="str" cm="1">
        <f t="array" ref="BG43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38" s="4">
        <f>SUM(Table1[[#This Row],[Pimples(Y/N)]],Table1[[#This Row],[hair growth(Y/N)]],Table1[[#This Row],[Skin darkening (Y/N)]],Table1[[#This Row],[Hair loss(Y/N)]])</f>
        <v>1</v>
      </c>
      <c r="BI438" s="4" t="str">
        <f>IF(AND(Table1[[#This Row],[Pregnant(Y/N)]]=0, Table1[[#This Row],[  I   beta-HCG(mIU/mL)]]&gt;5), "Investigation Required", "Clear")</f>
        <v>Clear</v>
      </c>
    </row>
    <row r="439" spans="1:61" ht="15.75" customHeight="1" x14ac:dyDescent="0.25">
      <c r="A439">
        <v>438</v>
      </c>
      <c r="B439">
        <v>438</v>
      </c>
      <c r="C439">
        <v>1</v>
      </c>
      <c r="D439" t="str">
        <f>IF(Table1[[#This Row],[PCOS (Y/N)]]=0,"NO","YES")</f>
        <v>YES</v>
      </c>
      <c r="E439">
        <v>32</v>
      </c>
      <c r="F439">
        <v>71</v>
      </c>
      <c r="G439">
        <v>157</v>
      </c>
      <c r="H439">
        <v>13</v>
      </c>
      <c r="I439">
        <v>74</v>
      </c>
      <c r="J439">
        <v>20</v>
      </c>
      <c r="K439">
        <v>10.5</v>
      </c>
      <c r="L439">
        <v>4</v>
      </c>
      <c r="M439">
        <v>3</v>
      </c>
      <c r="N439">
        <v>13</v>
      </c>
      <c r="O439">
        <v>0</v>
      </c>
      <c r="P439" t="str">
        <f>IF(Table1[[#This Row],[Pregnant(Y/N)]]=1,"YES","NO")</f>
        <v>NO</v>
      </c>
      <c r="Q439">
        <v>0</v>
      </c>
      <c r="R439">
        <v>4.2</v>
      </c>
      <c r="S439">
        <v>4.2</v>
      </c>
      <c r="T439">
        <v>6.55</v>
      </c>
      <c r="U439">
        <v>4.3</v>
      </c>
      <c r="V439">
        <f>Table1[[#This Row],[FSH(mIU/mL)]]/Table1[[#This Row],[LH(mIU/mL)]]</f>
        <v>1.5232558139534884</v>
      </c>
      <c r="W439" t="str">
        <f>IF(Table1[[#This Row],[FSH/LH]]&gt;=2,"Abnormal","Normal")</f>
        <v>Normal</v>
      </c>
      <c r="X439">
        <v>42</v>
      </c>
      <c r="Y439">
        <v>38</v>
      </c>
      <c r="Z439">
        <f>ROUND(Table1[[#This Row],[Waist(inch)]]/Table1[[#This Row],[Hip(inch)]],2)</f>
        <v>0.9</v>
      </c>
      <c r="AA439">
        <v>2.27</v>
      </c>
      <c r="AB439">
        <v>8</v>
      </c>
      <c r="AC439">
        <v>18.940000000000001</v>
      </c>
      <c r="AD439">
        <v>36.6</v>
      </c>
      <c r="AE439" t="str">
        <f>IF(Table1[[#This Row],[Vit D3 (ng/mL)]]&lt;20,"Deficiency","Normal")</f>
        <v>Normal</v>
      </c>
      <c r="AF439">
        <v>0.25</v>
      </c>
      <c r="AG439">
        <v>85</v>
      </c>
      <c r="AH439">
        <v>1</v>
      </c>
      <c r="AI439" t="str">
        <f>IF(Table1[[#This Row],[Weight gain(Y/N)]]=0,"NO","YES")</f>
        <v>YES</v>
      </c>
      <c r="AJ439">
        <v>0</v>
      </c>
      <c r="AK439" t="str">
        <f>IF(Table1[[#This Row],[hair growth(Y/N)]]=1,"YES","NO")</f>
        <v>NO</v>
      </c>
      <c r="AL439">
        <v>1</v>
      </c>
      <c r="AM439" t="str">
        <f>IF(Table1[[#This Row],[Skin darkening (Y/N)]]=1,"YES","NO")</f>
        <v>YES</v>
      </c>
      <c r="AN439">
        <v>1</v>
      </c>
      <c r="AO439" t="str">
        <f>IF(Table1[[#This Row],[Hair loss(Y/N)]]=1,"YES","NO")</f>
        <v>YES</v>
      </c>
      <c r="AP439">
        <v>1</v>
      </c>
      <c r="AQ439" t="str">
        <f>IF(Table1[[#This Row],[Pimples(Y/N)]]=1,"YES","NO")</f>
        <v>YES</v>
      </c>
      <c r="AR439">
        <v>1</v>
      </c>
      <c r="AS439" t="str">
        <f>IF(Table1[[#This Row],[Fast food (Y/N)]]=1,"YES","NO")</f>
        <v>YES</v>
      </c>
      <c r="AT439">
        <v>0</v>
      </c>
      <c r="AU439" t="str">
        <f>IF(Table1[[#This Row],[Reg.Exercise(Y/N)]]=1,"YES","NO")</f>
        <v>NO</v>
      </c>
      <c r="AV439">
        <v>120</v>
      </c>
      <c r="AW439">
        <v>80</v>
      </c>
      <c r="AX439">
        <v>9</v>
      </c>
      <c r="AY439">
        <v>12</v>
      </c>
      <c r="AZ439">
        <v>18</v>
      </c>
      <c r="BA439">
        <v>19</v>
      </c>
      <c r="BB439">
        <v>8</v>
      </c>
      <c r="BC439" t="str" cm="1">
        <f t="array" ref="BC439">_xlfn.IFS((F439/(G439*G439)*10000)&lt; 18.5,"Underweight",(F439/(G439*G439)*10000)&lt;24.9,"Normal",(F439/(G439*G439)*10000)&lt;29.9,"Overweight",(F439/(G439*G439)*10000)&gt;=30,"obesity")</f>
        <v>Overweight</v>
      </c>
      <c r="BD439">
        <f>Table1[[#This Row],[Follicle No. (L)]]+Table1[[#This Row],[Follicle No. (R)]]</f>
        <v>21</v>
      </c>
      <c r="BE439">
        <f>Table1[[#This Row],[Avg. F size (L) (mm)]]+Table1[[#This Row],[Avg. F size (R) (mm)]]</f>
        <v>37</v>
      </c>
      <c r="BF439">
        <f>Table1[[#This Row],[BP _Diastolic (mmHg)]]+(Table1[[#This Row],[BP _Diastolic (mmHg)]]+Table1[[#This Row],[Follicle No. (L)]])/3</f>
        <v>109.66666666666667</v>
      </c>
      <c r="BG439" s="4" t="str" cm="1">
        <f t="array" ref="BG43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39" s="4">
        <f>SUM(Table1[[#This Row],[Pimples(Y/N)]],Table1[[#This Row],[hair growth(Y/N)]],Table1[[#This Row],[Skin darkening (Y/N)]],Table1[[#This Row],[Hair loss(Y/N)]])</f>
        <v>3</v>
      </c>
      <c r="BI439" s="4" t="str">
        <f>IF(AND(Table1[[#This Row],[Pregnant(Y/N)]]=0, Table1[[#This Row],[  I   beta-HCG(mIU/mL)]]&gt;5), "Investigation Required", "Clear")</f>
        <v>Clear</v>
      </c>
    </row>
    <row r="440" spans="1:61" ht="15.75" customHeight="1" x14ac:dyDescent="0.25">
      <c r="A440">
        <v>439</v>
      </c>
      <c r="B440">
        <v>439</v>
      </c>
      <c r="C440">
        <v>1</v>
      </c>
      <c r="D440" t="str">
        <f>IF(Table1[[#This Row],[PCOS (Y/N)]]=0,"NO","YES")</f>
        <v>YES</v>
      </c>
      <c r="E440">
        <v>33</v>
      </c>
      <c r="F440">
        <v>76</v>
      </c>
      <c r="G440">
        <v>164</v>
      </c>
      <c r="H440">
        <v>11</v>
      </c>
      <c r="I440">
        <v>72</v>
      </c>
      <c r="J440">
        <v>20</v>
      </c>
      <c r="K440">
        <v>11</v>
      </c>
      <c r="L440">
        <v>4</v>
      </c>
      <c r="M440">
        <v>2</v>
      </c>
      <c r="N440">
        <v>6</v>
      </c>
      <c r="O440">
        <v>1</v>
      </c>
      <c r="P440" t="str">
        <f>IF(Table1[[#This Row],[Pregnant(Y/N)]]=1,"YES","NO")</f>
        <v>YES</v>
      </c>
      <c r="Q440">
        <v>1</v>
      </c>
      <c r="R440">
        <v>86.42</v>
      </c>
      <c r="S440">
        <v>238.14</v>
      </c>
      <c r="T440">
        <v>3.47</v>
      </c>
      <c r="U440">
        <v>3.13</v>
      </c>
      <c r="V440">
        <f>Table1[[#This Row],[FSH(mIU/mL)]]/Table1[[#This Row],[LH(mIU/mL)]]</f>
        <v>1.1086261980830672</v>
      </c>
      <c r="W440" t="str">
        <f>IF(Table1[[#This Row],[FSH/LH]]&gt;=2,"Abnormal","Normal")</f>
        <v>Normal</v>
      </c>
      <c r="X440">
        <v>42</v>
      </c>
      <c r="Y440">
        <v>39</v>
      </c>
      <c r="Z440">
        <f>ROUND(Table1[[#This Row],[Waist(inch)]]/Table1[[#This Row],[Hip(inch)]],2)</f>
        <v>0.93</v>
      </c>
      <c r="AA440">
        <v>3.9</v>
      </c>
      <c r="AB440">
        <v>1.01</v>
      </c>
      <c r="AC440">
        <v>30.53</v>
      </c>
      <c r="AD440">
        <v>32.9</v>
      </c>
      <c r="AE440" t="str">
        <f>IF(Table1[[#This Row],[Vit D3 (ng/mL)]]&lt;20,"Deficiency","Normal")</f>
        <v>Normal</v>
      </c>
      <c r="AF440">
        <v>0.38</v>
      </c>
      <c r="AG440">
        <v>100</v>
      </c>
      <c r="AH440">
        <v>1</v>
      </c>
      <c r="AI440" t="str">
        <f>IF(Table1[[#This Row],[Weight gain(Y/N)]]=0,"NO","YES")</f>
        <v>YES</v>
      </c>
      <c r="AJ440">
        <v>0</v>
      </c>
      <c r="AK440" t="str">
        <f>IF(Table1[[#This Row],[hair growth(Y/N)]]=1,"YES","NO")</f>
        <v>NO</v>
      </c>
      <c r="AL440">
        <v>1</v>
      </c>
      <c r="AM440" t="str">
        <f>IF(Table1[[#This Row],[Skin darkening (Y/N)]]=1,"YES","NO")</f>
        <v>YES</v>
      </c>
      <c r="AN440">
        <v>0</v>
      </c>
      <c r="AO440" t="str">
        <f>IF(Table1[[#This Row],[Hair loss(Y/N)]]=1,"YES","NO")</f>
        <v>NO</v>
      </c>
      <c r="AP440">
        <v>1</v>
      </c>
      <c r="AQ440" t="str">
        <f>IF(Table1[[#This Row],[Pimples(Y/N)]]=1,"YES","NO")</f>
        <v>YES</v>
      </c>
      <c r="AR440">
        <v>1</v>
      </c>
      <c r="AS440" t="str">
        <f>IF(Table1[[#This Row],[Fast food (Y/N)]]=1,"YES","NO")</f>
        <v>YES</v>
      </c>
      <c r="AT440">
        <v>0</v>
      </c>
      <c r="AU440" t="str">
        <f>IF(Table1[[#This Row],[Reg.Exercise(Y/N)]]=1,"YES","NO")</f>
        <v>NO</v>
      </c>
      <c r="AV440">
        <v>110</v>
      </c>
      <c r="AW440">
        <v>80</v>
      </c>
      <c r="AX440">
        <v>11</v>
      </c>
      <c r="AY440">
        <v>9</v>
      </c>
      <c r="AZ440">
        <v>16</v>
      </c>
      <c r="BA440">
        <v>19</v>
      </c>
      <c r="BB440">
        <v>10</v>
      </c>
      <c r="BC440" t="str" cm="1">
        <f t="array" ref="BC440">_xlfn.IFS((F440/(G440*G440)*10000)&lt; 18.5,"Underweight",(F440/(G440*G440)*10000)&lt;24.9,"Normal",(F440/(G440*G440)*10000)&lt;29.9,"Overweight",(F440/(G440*G440)*10000)&gt;=30,"obesity")</f>
        <v>Overweight</v>
      </c>
      <c r="BD440">
        <f>Table1[[#This Row],[Follicle No. (L)]]+Table1[[#This Row],[Follicle No. (R)]]</f>
        <v>20</v>
      </c>
      <c r="BE440">
        <f>Table1[[#This Row],[Avg. F size (L) (mm)]]+Table1[[#This Row],[Avg. F size (R) (mm)]]</f>
        <v>35</v>
      </c>
      <c r="BF440">
        <f>Table1[[#This Row],[BP _Diastolic (mmHg)]]+(Table1[[#This Row],[BP _Diastolic (mmHg)]]+Table1[[#This Row],[Follicle No. (L)]])/3</f>
        <v>110.33333333333333</v>
      </c>
      <c r="BG440" s="4" t="str" cm="1">
        <f t="array" ref="BG44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40" s="4">
        <f>SUM(Table1[[#This Row],[Pimples(Y/N)]],Table1[[#This Row],[hair growth(Y/N)]],Table1[[#This Row],[Skin darkening (Y/N)]],Table1[[#This Row],[Hair loss(Y/N)]])</f>
        <v>2</v>
      </c>
      <c r="BI440" s="4" t="str">
        <f>IF(AND(Table1[[#This Row],[Pregnant(Y/N)]]=0, Table1[[#This Row],[  I   beta-HCG(mIU/mL)]]&gt;5), "Investigation Required", "Clear")</f>
        <v>Clear</v>
      </c>
    </row>
    <row r="441" spans="1:61" ht="15.75" customHeight="1" x14ac:dyDescent="0.25">
      <c r="A441">
        <v>440</v>
      </c>
      <c r="B441">
        <v>440</v>
      </c>
      <c r="C441">
        <v>1</v>
      </c>
      <c r="D441" t="str">
        <f>IF(Table1[[#This Row],[PCOS (Y/N)]]=0,"NO","YES")</f>
        <v>YES</v>
      </c>
      <c r="E441">
        <v>34</v>
      </c>
      <c r="F441">
        <v>73</v>
      </c>
      <c r="G441">
        <v>161</v>
      </c>
      <c r="H441">
        <v>13</v>
      </c>
      <c r="I441">
        <v>72</v>
      </c>
      <c r="J441">
        <v>20</v>
      </c>
      <c r="K441">
        <v>11.2</v>
      </c>
      <c r="L441">
        <v>2</v>
      </c>
      <c r="M441">
        <v>5</v>
      </c>
      <c r="N441">
        <v>3</v>
      </c>
      <c r="O441">
        <v>1</v>
      </c>
      <c r="P441" t="str">
        <f>IF(Table1[[#This Row],[Pregnant(Y/N)]]=1,"YES","NO")</f>
        <v>YES</v>
      </c>
      <c r="Q441">
        <v>0</v>
      </c>
      <c r="R441">
        <v>70.53</v>
      </c>
      <c r="S441">
        <v>1.99</v>
      </c>
      <c r="T441">
        <v>4.54</v>
      </c>
      <c r="U441">
        <v>1.36</v>
      </c>
      <c r="V441">
        <f>Table1[[#This Row],[FSH(mIU/mL)]]/Table1[[#This Row],[LH(mIU/mL)]]</f>
        <v>3.3382352941176467</v>
      </c>
      <c r="W441" t="str">
        <f>IF(Table1[[#This Row],[FSH/LH]]&gt;=2,"Abnormal","Normal")</f>
        <v>Abnormal</v>
      </c>
      <c r="X441">
        <v>40</v>
      </c>
      <c r="Y441">
        <v>36</v>
      </c>
      <c r="Z441">
        <f>ROUND(Table1[[#This Row],[Waist(inch)]]/Table1[[#This Row],[Hip(inch)]],2)</f>
        <v>0.9</v>
      </c>
      <c r="AA441">
        <v>2.33</v>
      </c>
      <c r="AB441">
        <v>10.199999999999999</v>
      </c>
      <c r="AC441">
        <v>15.26</v>
      </c>
      <c r="AD441">
        <v>18.2</v>
      </c>
      <c r="AE441" t="str">
        <f>IF(Table1[[#This Row],[Vit D3 (ng/mL)]]&lt;20,"Deficiency","Normal")</f>
        <v>Deficiency</v>
      </c>
      <c r="AF441">
        <v>0.25</v>
      </c>
      <c r="AG441">
        <v>130</v>
      </c>
      <c r="AH441">
        <v>1</v>
      </c>
      <c r="AI441" t="str">
        <f>IF(Table1[[#This Row],[Weight gain(Y/N)]]=0,"NO","YES")</f>
        <v>YES</v>
      </c>
      <c r="AJ441">
        <v>0</v>
      </c>
      <c r="AK441" t="str">
        <f>IF(Table1[[#This Row],[hair growth(Y/N)]]=1,"YES","NO")</f>
        <v>NO</v>
      </c>
      <c r="AL441">
        <v>0</v>
      </c>
      <c r="AM441" t="str">
        <f>IF(Table1[[#This Row],[Skin darkening (Y/N)]]=1,"YES","NO")</f>
        <v>NO</v>
      </c>
      <c r="AN441">
        <v>1</v>
      </c>
      <c r="AO441" t="str">
        <f>IF(Table1[[#This Row],[Hair loss(Y/N)]]=1,"YES","NO")</f>
        <v>YES</v>
      </c>
      <c r="AP441">
        <v>1</v>
      </c>
      <c r="AQ441" t="str">
        <f>IF(Table1[[#This Row],[Pimples(Y/N)]]=1,"YES","NO")</f>
        <v>YES</v>
      </c>
      <c r="AR441">
        <v>1</v>
      </c>
      <c r="AS441" t="str">
        <f>IF(Table1[[#This Row],[Fast food (Y/N)]]=1,"YES","NO")</f>
        <v>YES</v>
      </c>
      <c r="AT441">
        <v>0</v>
      </c>
      <c r="AU441" t="str">
        <f>IF(Table1[[#This Row],[Reg.Exercise(Y/N)]]=1,"YES","NO")</f>
        <v>NO</v>
      </c>
      <c r="AV441">
        <v>110</v>
      </c>
      <c r="AW441">
        <v>80</v>
      </c>
      <c r="AX441">
        <v>7</v>
      </c>
      <c r="AY441">
        <v>13</v>
      </c>
      <c r="AZ441">
        <v>15</v>
      </c>
      <c r="BA441">
        <v>19</v>
      </c>
      <c r="BB441">
        <v>10.3</v>
      </c>
      <c r="BC441" t="str" cm="1">
        <f t="array" ref="BC441">_xlfn.IFS((F441/(G441*G441)*10000)&lt; 18.5,"Underweight",(F441/(G441*G441)*10000)&lt;24.9,"Normal",(F441/(G441*G441)*10000)&lt;29.9,"Overweight",(F441/(G441*G441)*10000)&gt;=30,"obesity")</f>
        <v>Overweight</v>
      </c>
      <c r="BD441">
        <f>Table1[[#This Row],[Follicle No. (L)]]+Table1[[#This Row],[Follicle No. (R)]]</f>
        <v>20</v>
      </c>
      <c r="BE441">
        <f>Table1[[#This Row],[Avg. F size (L) (mm)]]+Table1[[#This Row],[Avg. F size (R) (mm)]]</f>
        <v>34</v>
      </c>
      <c r="BF441">
        <f>Table1[[#This Row],[BP _Diastolic (mmHg)]]+(Table1[[#This Row],[BP _Diastolic (mmHg)]]+Table1[[#This Row],[Follicle No. (L)]])/3</f>
        <v>109</v>
      </c>
      <c r="BG441" s="4" t="str" cm="1">
        <f t="array" ref="BG44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41" s="4">
        <f>SUM(Table1[[#This Row],[Pimples(Y/N)]],Table1[[#This Row],[hair growth(Y/N)]],Table1[[#This Row],[Skin darkening (Y/N)]],Table1[[#This Row],[Hair loss(Y/N)]])</f>
        <v>2</v>
      </c>
      <c r="BI441" s="4" t="str">
        <f>IF(AND(Table1[[#This Row],[Pregnant(Y/N)]]=0, Table1[[#This Row],[  I   beta-HCG(mIU/mL)]]&gt;5), "Investigation Required", "Clear")</f>
        <v>Clear</v>
      </c>
    </row>
    <row r="442" spans="1:61" ht="15.75" customHeight="1" x14ac:dyDescent="0.25">
      <c r="A442">
        <v>441</v>
      </c>
      <c r="B442">
        <v>441</v>
      </c>
      <c r="C442">
        <v>0</v>
      </c>
      <c r="D442" t="str">
        <f>IF(Table1[[#This Row],[PCOS (Y/N)]]=0,"NO","YES")</f>
        <v>NO</v>
      </c>
      <c r="E442">
        <v>26</v>
      </c>
      <c r="F442">
        <v>56</v>
      </c>
      <c r="G442">
        <v>160</v>
      </c>
      <c r="H442">
        <v>11</v>
      </c>
      <c r="I442">
        <v>70</v>
      </c>
      <c r="J442">
        <v>20</v>
      </c>
      <c r="K442">
        <v>11.1</v>
      </c>
      <c r="L442">
        <v>2</v>
      </c>
      <c r="M442">
        <v>6</v>
      </c>
      <c r="N442">
        <v>3</v>
      </c>
      <c r="O442">
        <v>1</v>
      </c>
      <c r="P442" t="str">
        <f>IF(Table1[[#This Row],[Pregnant(Y/N)]]=1,"YES","NO")</f>
        <v>YES</v>
      </c>
      <c r="Q442">
        <v>0</v>
      </c>
      <c r="R442">
        <v>1.99</v>
      </c>
      <c r="S442">
        <v>181.23</v>
      </c>
      <c r="T442">
        <v>5.71</v>
      </c>
      <c r="U442">
        <v>2.42</v>
      </c>
      <c r="V442">
        <f>Table1[[#This Row],[FSH(mIU/mL)]]/Table1[[#This Row],[LH(mIU/mL)]]</f>
        <v>2.3595041322314052</v>
      </c>
      <c r="W442" t="str">
        <f>IF(Table1[[#This Row],[FSH/LH]]&gt;=2,"Abnormal","Normal")</f>
        <v>Abnormal</v>
      </c>
      <c r="X442">
        <v>34</v>
      </c>
      <c r="Y442">
        <v>30</v>
      </c>
      <c r="Z442">
        <f>ROUND(Table1[[#This Row],[Waist(inch)]]/Table1[[#This Row],[Hip(inch)]],2)</f>
        <v>0.88</v>
      </c>
      <c r="AA442">
        <v>1.46</v>
      </c>
      <c r="AB442">
        <v>11</v>
      </c>
      <c r="AC442">
        <v>21.87</v>
      </c>
      <c r="AD442">
        <v>16.899999999999999</v>
      </c>
      <c r="AE442" t="str">
        <f>IF(Table1[[#This Row],[Vit D3 (ng/mL)]]&lt;20,"Deficiency","Normal")</f>
        <v>Deficiency</v>
      </c>
      <c r="AF442">
        <v>0.25</v>
      </c>
      <c r="AG442">
        <v>110</v>
      </c>
      <c r="AH442">
        <v>0</v>
      </c>
      <c r="AI442" t="str">
        <f>IF(Table1[[#This Row],[Weight gain(Y/N)]]=0,"NO","YES")</f>
        <v>NO</v>
      </c>
      <c r="AJ442">
        <v>0</v>
      </c>
      <c r="AK442" t="str">
        <f>IF(Table1[[#This Row],[hair growth(Y/N)]]=1,"YES","NO")</f>
        <v>NO</v>
      </c>
      <c r="AL442">
        <v>0</v>
      </c>
      <c r="AM442" t="str">
        <f>IF(Table1[[#This Row],[Skin darkening (Y/N)]]=1,"YES","NO")</f>
        <v>NO</v>
      </c>
      <c r="AN442">
        <v>1</v>
      </c>
      <c r="AO442" t="str">
        <f>IF(Table1[[#This Row],[Hair loss(Y/N)]]=1,"YES","NO")</f>
        <v>YES</v>
      </c>
      <c r="AP442">
        <v>0</v>
      </c>
      <c r="AQ442" t="str">
        <f>IF(Table1[[#This Row],[Pimples(Y/N)]]=1,"YES","NO")</f>
        <v>NO</v>
      </c>
      <c r="AR442">
        <v>1</v>
      </c>
      <c r="AS442" t="str">
        <f>IF(Table1[[#This Row],[Fast food (Y/N)]]=1,"YES","NO")</f>
        <v>YES</v>
      </c>
      <c r="AT442">
        <v>1</v>
      </c>
      <c r="AU442" t="str">
        <f>IF(Table1[[#This Row],[Reg.Exercise(Y/N)]]=1,"YES","NO")</f>
        <v>YES</v>
      </c>
      <c r="AV442">
        <v>110</v>
      </c>
      <c r="AW442">
        <v>70</v>
      </c>
      <c r="AX442">
        <v>9</v>
      </c>
      <c r="AY442">
        <v>6</v>
      </c>
      <c r="AZ442">
        <v>19</v>
      </c>
      <c r="BA442">
        <v>14</v>
      </c>
      <c r="BB442">
        <v>8</v>
      </c>
      <c r="BC442" t="str" cm="1">
        <f t="array" ref="BC442">_xlfn.IFS((F442/(G442*G442)*10000)&lt; 18.5,"Underweight",(F442/(G442*G442)*10000)&lt;24.9,"Normal",(F442/(G442*G442)*10000)&lt;29.9,"Overweight",(F442/(G442*G442)*10000)&gt;=30,"obesity")</f>
        <v>Normal</v>
      </c>
      <c r="BD442">
        <f>Table1[[#This Row],[Follicle No. (L)]]+Table1[[#This Row],[Follicle No. (R)]]</f>
        <v>15</v>
      </c>
      <c r="BE442">
        <f>Table1[[#This Row],[Avg. F size (L) (mm)]]+Table1[[#This Row],[Avg. F size (R) (mm)]]</f>
        <v>33</v>
      </c>
      <c r="BF442">
        <f>Table1[[#This Row],[BP _Diastolic (mmHg)]]+(Table1[[#This Row],[BP _Diastolic (mmHg)]]+Table1[[#This Row],[Follicle No. (L)]])/3</f>
        <v>96.333333333333329</v>
      </c>
      <c r="BG442" s="4" t="str" cm="1">
        <f t="array" ref="BG44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42" s="4">
        <f>SUM(Table1[[#This Row],[Pimples(Y/N)]],Table1[[#This Row],[hair growth(Y/N)]],Table1[[#This Row],[Skin darkening (Y/N)]],Table1[[#This Row],[Hair loss(Y/N)]])</f>
        <v>1</v>
      </c>
      <c r="BI442" s="4" t="str">
        <f>IF(AND(Table1[[#This Row],[Pregnant(Y/N)]]=0, Table1[[#This Row],[  I   beta-HCG(mIU/mL)]]&gt;5), "Investigation Required", "Clear")</f>
        <v>Clear</v>
      </c>
    </row>
    <row r="443" spans="1:61" ht="15.75" customHeight="1" x14ac:dyDescent="0.25">
      <c r="A443">
        <v>442</v>
      </c>
      <c r="B443">
        <v>442</v>
      </c>
      <c r="C443">
        <v>0</v>
      </c>
      <c r="D443" t="str">
        <f>IF(Table1[[#This Row],[PCOS (Y/N)]]=0,"NO","YES")</f>
        <v>NO</v>
      </c>
      <c r="E443">
        <v>31</v>
      </c>
      <c r="F443">
        <v>64</v>
      </c>
      <c r="G443">
        <v>170</v>
      </c>
      <c r="H443">
        <v>15</v>
      </c>
      <c r="I443">
        <v>74</v>
      </c>
      <c r="J443">
        <v>18</v>
      </c>
      <c r="K443">
        <v>11</v>
      </c>
      <c r="L443">
        <v>4</v>
      </c>
      <c r="M443">
        <v>3</v>
      </c>
      <c r="N443">
        <v>6</v>
      </c>
      <c r="O443">
        <v>0</v>
      </c>
      <c r="P443" t="str">
        <f>IF(Table1[[#This Row],[Pregnant(Y/N)]]=1,"YES","NO")</f>
        <v>NO</v>
      </c>
      <c r="Q443">
        <v>0</v>
      </c>
      <c r="R443">
        <v>3.35</v>
      </c>
      <c r="S443">
        <v>1.99</v>
      </c>
      <c r="T443">
        <v>1.06</v>
      </c>
      <c r="U443">
        <v>1.49</v>
      </c>
      <c r="V443">
        <f>Table1[[#This Row],[FSH(mIU/mL)]]/Table1[[#This Row],[LH(mIU/mL)]]</f>
        <v>0.71140939597315445</v>
      </c>
      <c r="W443" t="str">
        <f>IF(Table1[[#This Row],[FSH/LH]]&gt;=2,"Abnormal","Normal")</f>
        <v>Normal</v>
      </c>
      <c r="X443">
        <v>36</v>
      </c>
      <c r="Y443">
        <v>32</v>
      </c>
      <c r="Z443">
        <f>ROUND(Table1[[#This Row],[Waist(inch)]]/Table1[[#This Row],[Hip(inch)]],2)</f>
        <v>0.89</v>
      </c>
      <c r="AA443">
        <v>3.02</v>
      </c>
      <c r="AB443">
        <v>0.6</v>
      </c>
      <c r="AC443">
        <v>10.43</v>
      </c>
      <c r="AD443">
        <v>12</v>
      </c>
      <c r="AE443" t="str">
        <f>IF(Table1[[#This Row],[Vit D3 (ng/mL)]]&lt;20,"Deficiency","Normal")</f>
        <v>Deficiency</v>
      </c>
      <c r="AF443">
        <v>0.86</v>
      </c>
      <c r="AG443">
        <v>115</v>
      </c>
      <c r="AH443">
        <v>0</v>
      </c>
      <c r="AI443" t="str">
        <f>IF(Table1[[#This Row],[Weight gain(Y/N)]]=0,"NO","YES")</f>
        <v>NO</v>
      </c>
      <c r="AJ443">
        <v>0</v>
      </c>
      <c r="AK443" t="str">
        <f>IF(Table1[[#This Row],[hair growth(Y/N)]]=1,"YES","NO")</f>
        <v>NO</v>
      </c>
      <c r="AL443">
        <v>0</v>
      </c>
      <c r="AM443" t="str">
        <f>IF(Table1[[#This Row],[Skin darkening (Y/N)]]=1,"YES","NO")</f>
        <v>NO</v>
      </c>
      <c r="AN443">
        <v>0</v>
      </c>
      <c r="AO443" t="str">
        <f>IF(Table1[[#This Row],[Hair loss(Y/N)]]=1,"YES","NO")</f>
        <v>NO</v>
      </c>
      <c r="AP443">
        <v>1</v>
      </c>
      <c r="AQ443" t="str">
        <f>IF(Table1[[#This Row],[Pimples(Y/N)]]=1,"YES","NO")</f>
        <v>YES</v>
      </c>
      <c r="AR443">
        <v>0</v>
      </c>
      <c r="AS443" t="str">
        <f>IF(Table1[[#This Row],[Fast food (Y/N)]]=1,"YES","NO")</f>
        <v>NO</v>
      </c>
      <c r="AT443">
        <v>1</v>
      </c>
      <c r="AU443" t="str">
        <f>IF(Table1[[#This Row],[Reg.Exercise(Y/N)]]=1,"YES","NO")</f>
        <v>YES</v>
      </c>
      <c r="AV443">
        <v>110</v>
      </c>
      <c r="AW443">
        <v>80</v>
      </c>
      <c r="AX443">
        <v>3</v>
      </c>
      <c r="AY443">
        <v>5</v>
      </c>
      <c r="AZ443">
        <v>11</v>
      </c>
      <c r="BA443">
        <v>12</v>
      </c>
      <c r="BB443">
        <v>3</v>
      </c>
      <c r="BC443" t="str" cm="1">
        <f t="array" ref="BC443">_xlfn.IFS((F443/(G443*G443)*10000)&lt; 18.5,"Underweight",(F443/(G443*G443)*10000)&lt;24.9,"Normal",(F443/(G443*G443)*10000)&lt;29.9,"Overweight",(F443/(G443*G443)*10000)&gt;=30,"obesity")</f>
        <v>Normal</v>
      </c>
      <c r="BD443">
        <f>Table1[[#This Row],[Follicle No. (L)]]+Table1[[#This Row],[Follicle No. (R)]]</f>
        <v>8</v>
      </c>
      <c r="BE443">
        <f>Table1[[#This Row],[Avg. F size (L) (mm)]]+Table1[[#This Row],[Avg. F size (R) (mm)]]</f>
        <v>23</v>
      </c>
      <c r="BF443">
        <f>Table1[[#This Row],[BP _Diastolic (mmHg)]]+(Table1[[#This Row],[BP _Diastolic (mmHg)]]+Table1[[#This Row],[Follicle No. (L)]])/3</f>
        <v>107.66666666666667</v>
      </c>
      <c r="BG443" s="4" t="str" cm="1">
        <f t="array" ref="BG44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43" s="4">
        <f>SUM(Table1[[#This Row],[Pimples(Y/N)]],Table1[[#This Row],[hair growth(Y/N)]],Table1[[#This Row],[Skin darkening (Y/N)]],Table1[[#This Row],[Hair loss(Y/N)]])</f>
        <v>1</v>
      </c>
      <c r="BI443" s="4" t="str">
        <f>IF(AND(Table1[[#This Row],[Pregnant(Y/N)]]=0, Table1[[#This Row],[  I   beta-HCG(mIU/mL)]]&gt;5), "Investigation Required", "Clear")</f>
        <v>Clear</v>
      </c>
    </row>
    <row r="444" spans="1:61" ht="15.75" customHeight="1" x14ac:dyDescent="0.25">
      <c r="A444">
        <v>443</v>
      </c>
      <c r="B444">
        <v>443</v>
      </c>
      <c r="C444">
        <v>0</v>
      </c>
      <c r="D444" t="str">
        <f>IF(Table1[[#This Row],[PCOS (Y/N)]]=0,"NO","YES")</f>
        <v>NO</v>
      </c>
      <c r="E444">
        <v>40</v>
      </c>
      <c r="F444">
        <v>56</v>
      </c>
      <c r="G444">
        <v>158</v>
      </c>
      <c r="H444">
        <v>15</v>
      </c>
      <c r="I444">
        <v>72</v>
      </c>
      <c r="J444">
        <v>18</v>
      </c>
      <c r="K444">
        <v>12.8</v>
      </c>
      <c r="L444">
        <v>2</v>
      </c>
      <c r="M444">
        <v>6</v>
      </c>
      <c r="N444">
        <v>22</v>
      </c>
      <c r="O444">
        <v>1</v>
      </c>
      <c r="P444" t="str">
        <f>IF(Table1[[#This Row],[Pregnant(Y/N)]]=1,"YES","NO")</f>
        <v>YES</v>
      </c>
      <c r="Q444">
        <v>2</v>
      </c>
      <c r="R444">
        <v>407.25</v>
      </c>
      <c r="S444">
        <v>491.85</v>
      </c>
      <c r="T444">
        <v>5.65</v>
      </c>
      <c r="U444">
        <v>3.31</v>
      </c>
      <c r="V444">
        <f>Table1[[#This Row],[FSH(mIU/mL)]]/Table1[[#This Row],[LH(mIU/mL)]]</f>
        <v>1.7069486404833838</v>
      </c>
      <c r="W444" t="str">
        <f>IF(Table1[[#This Row],[FSH/LH]]&gt;=2,"Abnormal","Normal")</f>
        <v>Normal</v>
      </c>
      <c r="X444">
        <v>34</v>
      </c>
      <c r="Y444">
        <v>30</v>
      </c>
      <c r="Z444">
        <f>ROUND(Table1[[#This Row],[Waist(inch)]]/Table1[[#This Row],[Hip(inch)]],2)</f>
        <v>0.88</v>
      </c>
      <c r="AA444">
        <v>3.85</v>
      </c>
      <c r="AB444">
        <v>0.5</v>
      </c>
      <c r="AC444">
        <v>29.5</v>
      </c>
      <c r="AD444">
        <v>24.3</v>
      </c>
      <c r="AE444" t="str">
        <f>IF(Table1[[#This Row],[Vit D3 (ng/mL)]]&lt;20,"Deficiency","Normal")</f>
        <v>Normal</v>
      </c>
      <c r="AF444">
        <v>0.54</v>
      </c>
      <c r="AG444">
        <v>107</v>
      </c>
      <c r="AH444">
        <v>0</v>
      </c>
      <c r="AI444" t="str">
        <f>IF(Table1[[#This Row],[Weight gain(Y/N)]]=0,"NO","YES")</f>
        <v>NO</v>
      </c>
      <c r="AJ444">
        <v>0</v>
      </c>
      <c r="AK444" t="str">
        <f>IF(Table1[[#This Row],[hair growth(Y/N)]]=1,"YES","NO")</f>
        <v>NO</v>
      </c>
      <c r="AL444">
        <v>0</v>
      </c>
      <c r="AM444" t="str">
        <f>IF(Table1[[#This Row],[Skin darkening (Y/N)]]=1,"YES","NO")</f>
        <v>NO</v>
      </c>
      <c r="AN444">
        <v>1</v>
      </c>
      <c r="AO444" t="str">
        <f>IF(Table1[[#This Row],[Hair loss(Y/N)]]=1,"YES","NO")</f>
        <v>YES</v>
      </c>
      <c r="AP444">
        <v>0</v>
      </c>
      <c r="AQ444" t="str">
        <f>IF(Table1[[#This Row],[Pimples(Y/N)]]=1,"YES","NO")</f>
        <v>NO</v>
      </c>
      <c r="AR444">
        <v>0</v>
      </c>
      <c r="AS444" t="str">
        <f>IF(Table1[[#This Row],[Fast food (Y/N)]]=1,"YES","NO")</f>
        <v>NO</v>
      </c>
      <c r="AT444">
        <v>1</v>
      </c>
      <c r="AU444" t="str">
        <f>IF(Table1[[#This Row],[Reg.Exercise(Y/N)]]=1,"YES","NO")</f>
        <v>YES</v>
      </c>
      <c r="AV444">
        <v>110</v>
      </c>
      <c r="AW444">
        <v>70</v>
      </c>
      <c r="AX444">
        <v>6</v>
      </c>
      <c r="AY444">
        <v>2</v>
      </c>
      <c r="AZ444">
        <v>9</v>
      </c>
      <c r="BA444">
        <v>11</v>
      </c>
      <c r="BB444">
        <v>7</v>
      </c>
      <c r="BC444" t="str" cm="1">
        <f t="array" ref="BC444">_xlfn.IFS((F444/(G444*G444)*10000)&lt; 18.5,"Underweight",(F444/(G444*G444)*10000)&lt;24.9,"Normal",(F444/(G444*G444)*10000)&lt;29.9,"Overweight",(F444/(G444*G444)*10000)&gt;=30,"obesity")</f>
        <v>Normal</v>
      </c>
      <c r="BD444">
        <f>Table1[[#This Row],[Follicle No. (L)]]+Table1[[#This Row],[Follicle No. (R)]]</f>
        <v>8</v>
      </c>
      <c r="BE444">
        <f>Table1[[#This Row],[Avg. F size (L) (mm)]]+Table1[[#This Row],[Avg. F size (R) (mm)]]</f>
        <v>20</v>
      </c>
      <c r="BF444">
        <f>Table1[[#This Row],[BP _Diastolic (mmHg)]]+(Table1[[#This Row],[BP _Diastolic (mmHg)]]+Table1[[#This Row],[Follicle No. (L)]])/3</f>
        <v>95.333333333333329</v>
      </c>
      <c r="BG444" s="4" t="str" cm="1">
        <f t="array" ref="BG44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44" s="4">
        <f>SUM(Table1[[#This Row],[Pimples(Y/N)]],Table1[[#This Row],[hair growth(Y/N)]],Table1[[#This Row],[Skin darkening (Y/N)]],Table1[[#This Row],[Hair loss(Y/N)]])</f>
        <v>1</v>
      </c>
      <c r="BI444" s="4" t="str">
        <f>IF(AND(Table1[[#This Row],[Pregnant(Y/N)]]=0, Table1[[#This Row],[  I   beta-HCG(mIU/mL)]]&gt;5), "Investigation Required", "Clear")</f>
        <v>Clear</v>
      </c>
    </row>
    <row r="445" spans="1:61" ht="15.75" customHeight="1" x14ac:dyDescent="0.25">
      <c r="A445">
        <v>444</v>
      </c>
      <c r="B445">
        <v>444</v>
      </c>
      <c r="C445">
        <v>1</v>
      </c>
      <c r="D445" t="str">
        <f>IF(Table1[[#This Row],[PCOS (Y/N)]]=0,"NO","YES")</f>
        <v>YES</v>
      </c>
      <c r="E445">
        <v>39</v>
      </c>
      <c r="F445">
        <v>55</v>
      </c>
      <c r="G445">
        <v>150</v>
      </c>
      <c r="H445">
        <v>15</v>
      </c>
      <c r="I445">
        <v>78</v>
      </c>
      <c r="J445">
        <v>20</v>
      </c>
      <c r="K445">
        <v>10.7</v>
      </c>
      <c r="L445">
        <v>4</v>
      </c>
      <c r="M445">
        <v>7</v>
      </c>
      <c r="N445">
        <v>13</v>
      </c>
      <c r="O445">
        <v>1</v>
      </c>
      <c r="P445" t="str">
        <f>IF(Table1[[#This Row],[Pregnant(Y/N)]]=1,"YES","NO")</f>
        <v>YES</v>
      </c>
      <c r="Q445">
        <v>0</v>
      </c>
      <c r="R445">
        <v>12.37</v>
      </c>
      <c r="S445">
        <v>19.440000000000001</v>
      </c>
      <c r="T445">
        <v>5.4</v>
      </c>
      <c r="U445">
        <v>1.95</v>
      </c>
      <c r="V445">
        <f>Table1[[#This Row],[FSH(mIU/mL)]]/Table1[[#This Row],[LH(mIU/mL)]]</f>
        <v>2.7692307692307696</v>
      </c>
      <c r="W445" t="str">
        <f>IF(Table1[[#This Row],[FSH/LH]]&gt;=2,"Abnormal","Normal")</f>
        <v>Abnormal</v>
      </c>
      <c r="X445">
        <v>38</v>
      </c>
      <c r="Y445">
        <v>36</v>
      </c>
      <c r="Z445">
        <f>ROUND(Table1[[#This Row],[Waist(inch)]]/Table1[[#This Row],[Hip(inch)]],2)</f>
        <v>0.95</v>
      </c>
      <c r="AA445">
        <v>1</v>
      </c>
      <c r="AB445">
        <v>0.37</v>
      </c>
      <c r="AC445">
        <v>21.88</v>
      </c>
      <c r="AD445">
        <v>18.600000000000001</v>
      </c>
      <c r="AE445" t="str">
        <f>IF(Table1[[#This Row],[Vit D3 (ng/mL)]]&lt;20,"Deficiency","Normal")</f>
        <v>Deficiency</v>
      </c>
      <c r="AF445">
        <v>0.46</v>
      </c>
      <c r="AG445">
        <v>94</v>
      </c>
      <c r="AH445">
        <v>0</v>
      </c>
      <c r="AI445" t="str">
        <f>IF(Table1[[#This Row],[Weight gain(Y/N)]]=0,"NO","YES")</f>
        <v>NO</v>
      </c>
      <c r="AJ445">
        <v>0</v>
      </c>
      <c r="AK445" t="str">
        <f>IF(Table1[[#This Row],[hair growth(Y/N)]]=1,"YES","NO")</f>
        <v>NO</v>
      </c>
      <c r="AL445">
        <v>0</v>
      </c>
      <c r="AM445" t="str">
        <f>IF(Table1[[#This Row],[Skin darkening (Y/N)]]=1,"YES","NO")</f>
        <v>NO</v>
      </c>
      <c r="AN445">
        <v>0</v>
      </c>
      <c r="AO445" t="str">
        <f>IF(Table1[[#This Row],[Hair loss(Y/N)]]=1,"YES","NO")</f>
        <v>NO</v>
      </c>
      <c r="AP445">
        <v>1</v>
      </c>
      <c r="AQ445" t="str">
        <f>IF(Table1[[#This Row],[Pimples(Y/N)]]=1,"YES","NO")</f>
        <v>YES</v>
      </c>
      <c r="AR445">
        <v>1</v>
      </c>
      <c r="AS445" t="str">
        <f>IF(Table1[[#This Row],[Fast food (Y/N)]]=1,"YES","NO")</f>
        <v>YES</v>
      </c>
      <c r="AT445">
        <v>0</v>
      </c>
      <c r="AU445" t="str">
        <f>IF(Table1[[#This Row],[Reg.Exercise(Y/N)]]=1,"YES","NO")</f>
        <v>NO</v>
      </c>
      <c r="AV445">
        <v>120</v>
      </c>
      <c r="AW445">
        <v>80</v>
      </c>
      <c r="AX445">
        <v>12</v>
      </c>
      <c r="AY445">
        <v>11</v>
      </c>
      <c r="AZ445">
        <v>19</v>
      </c>
      <c r="BA445">
        <v>19</v>
      </c>
      <c r="BB445">
        <v>8.1</v>
      </c>
      <c r="BC445" t="str" cm="1">
        <f t="array" ref="BC445">_xlfn.IFS((F445/(G445*G445)*10000)&lt; 18.5,"Underweight",(F445/(G445*G445)*10000)&lt;24.9,"Normal",(F445/(G445*G445)*10000)&lt;29.9,"Overweight",(F445/(G445*G445)*10000)&gt;=30,"obesity")</f>
        <v>Normal</v>
      </c>
      <c r="BD445">
        <f>Table1[[#This Row],[Follicle No. (L)]]+Table1[[#This Row],[Follicle No. (R)]]</f>
        <v>23</v>
      </c>
      <c r="BE445">
        <f>Table1[[#This Row],[Avg. F size (L) (mm)]]+Table1[[#This Row],[Avg. F size (R) (mm)]]</f>
        <v>38</v>
      </c>
      <c r="BF445">
        <f>Table1[[#This Row],[BP _Diastolic (mmHg)]]+(Table1[[#This Row],[BP _Diastolic (mmHg)]]+Table1[[#This Row],[Follicle No. (L)]])/3</f>
        <v>110.66666666666667</v>
      </c>
      <c r="BG445" s="4" t="str" cm="1">
        <f t="array" ref="BG44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45" s="4">
        <f>SUM(Table1[[#This Row],[Pimples(Y/N)]],Table1[[#This Row],[hair growth(Y/N)]],Table1[[#This Row],[Skin darkening (Y/N)]],Table1[[#This Row],[Hair loss(Y/N)]])</f>
        <v>1</v>
      </c>
      <c r="BI445" s="4" t="str">
        <f>IF(AND(Table1[[#This Row],[Pregnant(Y/N)]]=0, Table1[[#This Row],[  I   beta-HCG(mIU/mL)]]&gt;5), "Investigation Required", "Clear")</f>
        <v>Clear</v>
      </c>
    </row>
    <row r="446" spans="1:61" ht="15.75" customHeight="1" x14ac:dyDescent="0.25">
      <c r="A446">
        <v>445</v>
      </c>
      <c r="B446">
        <v>445</v>
      </c>
      <c r="C446">
        <v>1</v>
      </c>
      <c r="D446" t="str">
        <f>IF(Table1[[#This Row],[PCOS (Y/N)]]=0,"NO","YES")</f>
        <v>YES</v>
      </c>
      <c r="E446">
        <v>27</v>
      </c>
      <c r="F446">
        <v>52</v>
      </c>
      <c r="G446">
        <v>150</v>
      </c>
      <c r="H446">
        <v>11</v>
      </c>
      <c r="I446">
        <v>82</v>
      </c>
      <c r="J446">
        <v>20</v>
      </c>
      <c r="K446">
        <v>11.1</v>
      </c>
      <c r="L446">
        <v>2</v>
      </c>
      <c r="M446">
        <v>5</v>
      </c>
      <c r="N446">
        <v>5</v>
      </c>
      <c r="O446">
        <v>0</v>
      </c>
      <c r="P446" t="str">
        <f>IF(Table1[[#This Row],[Pregnant(Y/N)]]=1,"YES","NO")</f>
        <v>NO</v>
      </c>
      <c r="Q446">
        <v>0</v>
      </c>
      <c r="R446">
        <v>1.99</v>
      </c>
      <c r="S446">
        <v>1.99</v>
      </c>
      <c r="T446">
        <v>4.97</v>
      </c>
      <c r="U446">
        <v>2.23</v>
      </c>
      <c r="V446">
        <f>Table1[[#This Row],[FSH(mIU/mL)]]/Table1[[#This Row],[LH(mIU/mL)]]</f>
        <v>2.2286995515695067</v>
      </c>
      <c r="W446" t="str">
        <f>IF(Table1[[#This Row],[FSH/LH]]&gt;=2,"Abnormal","Normal")</f>
        <v>Abnormal</v>
      </c>
      <c r="X446">
        <v>36</v>
      </c>
      <c r="Y446">
        <v>32</v>
      </c>
      <c r="Z446">
        <f>ROUND(Table1[[#This Row],[Waist(inch)]]/Table1[[#This Row],[Hip(inch)]],2)</f>
        <v>0.89</v>
      </c>
      <c r="AA446">
        <v>1.94</v>
      </c>
      <c r="AB446">
        <v>16.899999999999999</v>
      </c>
      <c r="AC446">
        <v>9.1199999999999992</v>
      </c>
      <c r="AD446">
        <v>23.6</v>
      </c>
      <c r="AE446" t="str">
        <f>IF(Table1[[#This Row],[Vit D3 (ng/mL)]]&lt;20,"Deficiency","Normal")</f>
        <v>Normal</v>
      </c>
      <c r="AF446">
        <v>0.25</v>
      </c>
      <c r="AG446">
        <v>93</v>
      </c>
      <c r="AH446">
        <v>0</v>
      </c>
      <c r="AI446" t="str">
        <f>IF(Table1[[#This Row],[Weight gain(Y/N)]]=0,"NO","YES")</f>
        <v>NO</v>
      </c>
      <c r="AJ446">
        <v>0</v>
      </c>
      <c r="AK446" t="str">
        <f>IF(Table1[[#This Row],[hair growth(Y/N)]]=1,"YES","NO")</f>
        <v>NO</v>
      </c>
      <c r="AL446">
        <v>0</v>
      </c>
      <c r="AM446" t="str">
        <f>IF(Table1[[#This Row],[Skin darkening (Y/N)]]=1,"YES","NO")</f>
        <v>NO</v>
      </c>
      <c r="AN446">
        <v>0</v>
      </c>
      <c r="AO446" t="str">
        <f>IF(Table1[[#This Row],[Hair loss(Y/N)]]=1,"YES","NO")</f>
        <v>NO</v>
      </c>
      <c r="AP446">
        <v>0</v>
      </c>
      <c r="AQ446" t="str">
        <f>IF(Table1[[#This Row],[Pimples(Y/N)]]=1,"YES","NO")</f>
        <v>NO</v>
      </c>
      <c r="AR446">
        <v>1</v>
      </c>
      <c r="AS446" t="str">
        <f>IF(Table1[[#This Row],[Fast food (Y/N)]]=1,"YES","NO")</f>
        <v>YES</v>
      </c>
      <c r="AT446">
        <v>1</v>
      </c>
      <c r="AU446" t="str">
        <f>IF(Table1[[#This Row],[Reg.Exercise(Y/N)]]=1,"YES","NO")</f>
        <v>YES</v>
      </c>
      <c r="AV446">
        <v>120</v>
      </c>
      <c r="AW446">
        <v>80</v>
      </c>
      <c r="AX446">
        <v>1</v>
      </c>
      <c r="AY446">
        <v>1</v>
      </c>
      <c r="AZ446">
        <v>16</v>
      </c>
      <c r="BA446">
        <v>17</v>
      </c>
      <c r="BB446">
        <v>8.5500000000000007</v>
      </c>
      <c r="BC446" t="str" cm="1">
        <f t="array" ref="BC446">_xlfn.IFS((F446/(G446*G446)*10000)&lt; 18.5,"Underweight",(F446/(G446*G446)*10000)&lt;24.9,"Normal",(F446/(G446*G446)*10000)&lt;29.9,"Overweight",(F446/(G446*G446)*10000)&gt;=30,"obesity")</f>
        <v>Normal</v>
      </c>
      <c r="BD446">
        <f>Table1[[#This Row],[Follicle No. (L)]]+Table1[[#This Row],[Follicle No. (R)]]</f>
        <v>2</v>
      </c>
      <c r="BE446">
        <f>Table1[[#This Row],[Avg. F size (L) (mm)]]+Table1[[#This Row],[Avg. F size (R) (mm)]]</f>
        <v>33</v>
      </c>
      <c r="BF446">
        <f>Table1[[#This Row],[BP _Diastolic (mmHg)]]+(Table1[[#This Row],[BP _Diastolic (mmHg)]]+Table1[[#This Row],[Follicle No. (L)]])/3</f>
        <v>107</v>
      </c>
      <c r="BG446" s="4" t="str" cm="1">
        <f t="array" ref="BG44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46" s="4">
        <f>SUM(Table1[[#This Row],[Pimples(Y/N)]],Table1[[#This Row],[hair growth(Y/N)]],Table1[[#This Row],[Skin darkening (Y/N)]],Table1[[#This Row],[Hair loss(Y/N)]])</f>
        <v>0</v>
      </c>
      <c r="BI446" s="4" t="str">
        <f>IF(AND(Table1[[#This Row],[Pregnant(Y/N)]]=0, Table1[[#This Row],[  I   beta-HCG(mIU/mL)]]&gt;5), "Investigation Required", "Clear")</f>
        <v>Clear</v>
      </c>
    </row>
    <row r="447" spans="1:61" ht="15.75" customHeight="1" x14ac:dyDescent="0.25">
      <c r="A447">
        <v>446</v>
      </c>
      <c r="B447">
        <v>446</v>
      </c>
      <c r="C447">
        <v>1</v>
      </c>
      <c r="D447" t="str">
        <f>IF(Table1[[#This Row],[PCOS (Y/N)]]=0,"NO","YES")</f>
        <v>YES</v>
      </c>
      <c r="E447">
        <v>26</v>
      </c>
      <c r="F447">
        <v>72</v>
      </c>
      <c r="G447">
        <v>150</v>
      </c>
      <c r="H447">
        <v>15</v>
      </c>
      <c r="I447">
        <v>72</v>
      </c>
      <c r="J447">
        <v>20</v>
      </c>
      <c r="K447">
        <v>12</v>
      </c>
      <c r="L447">
        <v>4</v>
      </c>
      <c r="M447">
        <v>2</v>
      </c>
      <c r="N447">
        <v>3</v>
      </c>
      <c r="O447">
        <v>0</v>
      </c>
      <c r="P447" t="str">
        <f>IF(Table1[[#This Row],[Pregnant(Y/N)]]=1,"YES","NO")</f>
        <v>NO</v>
      </c>
      <c r="Q447">
        <v>0</v>
      </c>
      <c r="R447">
        <v>144.63</v>
      </c>
      <c r="S447">
        <v>1.99</v>
      </c>
      <c r="T447">
        <v>3.63</v>
      </c>
      <c r="U447">
        <v>8.34</v>
      </c>
      <c r="V447">
        <f>Table1[[#This Row],[FSH(mIU/mL)]]/Table1[[#This Row],[LH(mIU/mL)]]</f>
        <v>0.43525179856115109</v>
      </c>
      <c r="W447" t="str">
        <f>IF(Table1[[#This Row],[FSH/LH]]&gt;=2,"Abnormal","Normal")</f>
        <v>Normal</v>
      </c>
      <c r="X447">
        <v>42</v>
      </c>
      <c r="Y447">
        <v>40</v>
      </c>
      <c r="Z447">
        <f>ROUND(Table1[[#This Row],[Waist(inch)]]/Table1[[#This Row],[Hip(inch)]],2)</f>
        <v>0.95</v>
      </c>
      <c r="AA447">
        <v>2.92</v>
      </c>
      <c r="AB447">
        <v>26.4</v>
      </c>
      <c r="AC447">
        <v>29.72</v>
      </c>
      <c r="AD447">
        <v>22.4</v>
      </c>
      <c r="AE447" t="str">
        <f>IF(Table1[[#This Row],[Vit D3 (ng/mL)]]&lt;20,"Deficiency","Normal")</f>
        <v>Normal</v>
      </c>
      <c r="AF447">
        <v>0.38</v>
      </c>
      <c r="AG447">
        <v>93</v>
      </c>
      <c r="AH447">
        <v>1</v>
      </c>
      <c r="AI447" t="str">
        <f>IF(Table1[[#This Row],[Weight gain(Y/N)]]=0,"NO","YES")</f>
        <v>YES</v>
      </c>
      <c r="AJ447">
        <v>0</v>
      </c>
      <c r="AK447" t="str">
        <f>IF(Table1[[#This Row],[hair growth(Y/N)]]=1,"YES","NO")</f>
        <v>NO</v>
      </c>
      <c r="AL447">
        <v>1</v>
      </c>
      <c r="AM447" t="str">
        <f>IF(Table1[[#This Row],[Skin darkening (Y/N)]]=1,"YES","NO")</f>
        <v>YES</v>
      </c>
      <c r="AN447">
        <v>0</v>
      </c>
      <c r="AO447" t="str">
        <f>IF(Table1[[#This Row],[Hair loss(Y/N)]]=1,"YES","NO")</f>
        <v>NO</v>
      </c>
      <c r="AP447">
        <v>1</v>
      </c>
      <c r="AQ447" t="str">
        <f>IF(Table1[[#This Row],[Pimples(Y/N)]]=1,"YES","NO")</f>
        <v>YES</v>
      </c>
      <c r="AR447">
        <v>1</v>
      </c>
      <c r="AS447" t="str">
        <f>IF(Table1[[#This Row],[Fast food (Y/N)]]=1,"YES","NO")</f>
        <v>YES</v>
      </c>
      <c r="AT447">
        <v>0</v>
      </c>
      <c r="AU447" t="str">
        <f>IF(Table1[[#This Row],[Reg.Exercise(Y/N)]]=1,"YES","NO")</f>
        <v>NO</v>
      </c>
      <c r="AV447">
        <v>110</v>
      </c>
      <c r="AW447">
        <v>80</v>
      </c>
      <c r="AX447">
        <v>8</v>
      </c>
      <c r="AY447">
        <v>7</v>
      </c>
      <c r="AZ447">
        <v>20</v>
      </c>
      <c r="BA447">
        <v>20</v>
      </c>
      <c r="BB447">
        <v>6</v>
      </c>
      <c r="BC447" t="str" cm="1">
        <f t="array" ref="BC447">_xlfn.IFS((F447/(G447*G447)*10000)&lt; 18.5,"Underweight",(F447/(G447*G447)*10000)&lt;24.9,"Normal",(F447/(G447*G447)*10000)&lt;29.9,"Overweight",(F447/(G447*G447)*10000)&gt;=30,"obesity")</f>
        <v>obesity</v>
      </c>
      <c r="BD447">
        <f>Table1[[#This Row],[Follicle No. (L)]]+Table1[[#This Row],[Follicle No. (R)]]</f>
        <v>15</v>
      </c>
      <c r="BE447">
        <f>Table1[[#This Row],[Avg. F size (L) (mm)]]+Table1[[#This Row],[Avg. F size (R) (mm)]]</f>
        <v>40</v>
      </c>
      <c r="BF447">
        <f>Table1[[#This Row],[BP _Diastolic (mmHg)]]+(Table1[[#This Row],[BP _Diastolic (mmHg)]]+Table1[[#This Row],[Follicle No. (L)]])/3</f>
        <v>109.33333333333333</v>
      </c>
      <c r="BG447" s="4" t="str" cm="1">
        <f t="array" ref="BG44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47" s="4">
        <f>SUM(Table1[[#This Row],[Pimples(Y/N)]],Table1[[#This Row],[hair growth(Y/N)]],Table1[[#This Row],[Skin darkening (Y/N)]],Table1[[#This Row],[Hair loss(Y/N)]])</f>
        <v>2</v>
      </c>
      <c r="BI447" s="4" t="str">
        <f>IF(AND(Table1[[#This Row],[Pregnant(Y/N)]]=0, Table1[[#This Row],[  I   beta-HCG(mIU/mL)]]&gt;5), "Investigation Required", "Clear")</f>
        <v>Investigation Required</v>
      </c>
    </row>
    <row r="448" spans="1:61" ht="15.75" customHeight="1" x14ac:dyDescent="0.25">
      <c r="A448">
        <v>447</v>
      </c>
      <c r="B448">
        <v>447</v>
      </c>
      <c r="C448">
        <v>0</v>
      </c>
      <c r="D448" t="str">
        <f>IF(Table1[[#This Row],[PCOS (Y/N)]]=0,"NO","YES")</f>
        <v>NO</v>
      </c>
      <c r="E448">
        <v>29</v>
      </c>
      <c r="F448">
        <v>63</v>
      </c>
      <c r="G448">
        <v>162</v>
      </c>
      <c r="H448">
        <v>11</v>
      </c>
      <c r="I448">
        <v>72</v>
      </c>
      <c r="J448">
        <v>18</v>
      </c>
      <c r="K448">
        <v>13.2</v>
      </c>
      <c r="L448">
        <v>2</v>
      </c>
      <c r="M448">
        <v>5</v>
      </c>
      <c r="N448">
        <v>11</v>
      </c>
      <c r="O448">
        <v>0</v>
      </c>
      <c r="P448" t="str">
        <f>IF(Table1[[#This Row],[Pregnant(Y/N)]]=1,"YES","NO")</f>
        <v>NO</v>
      </c>
      <c r="Q448">
        <v>0</v>
      </c>
      <c r="R448">
        <v>30004</v>
      </c>
      <c r="S448">
        <v>475.04</v>
      </c>
      <c r="T448">
        <v>1.99</v>
      </c>
      <c r="U448">
        <v>1.61</v>
      </c>
      <c r="V448">
        <f>Table1[[#This Row],[FSH(mIU/mL)]]/Table1[[#This Row],[LH(mIU/mL)]]</f>
        <v>1.2360248447204969</v>
      </c>
      <c r="W448" t="str">
        <f>IF(Table1[[#This Row],[FSH/LH]]&gt;=2,"Abnormal","Normal")</f>
        <v>Normal</v>
      </c>
      <c r="X448">
        <v>39</v>
      </c>
      <c r="Y448">
        <v>37</v>
      </c>
      <c r="Z448">
        <f>ROUND(Table1[[#This Row],[Waist(inch)]]/Table1[[#This Row],[Hip(inch)]],2)</f>
        <v>0.95</v>
      </c>
      <c r="AA448">
        <v>1.77</v>
      </c>
      <c r="AB448">
        <v>5.96</v>
      </c>
      <c r="AC448">
        <v>21.95</v>
      </c>
      <c r="AD448">
        <v>22.7</v>
      </c>
      <c r="AE448" t="str">
        <f>IF(Table1[[#This Row],[Vit D3 (ng/mL)]]&lt;20,"Deficiency","Normal")</f>
        <v>Normal</v>
      </c>
      <c r="AF448">
        <v>0.46</v>
      </c>
      <c r="AG448">
        <v>95</v>
      </c>
      <c r="AH448">
        <v>0</v>
      </c>
      <c r="AI448" t="str">
        <f>IF(Table1[[#This Row],[Weight gain(Y/N)]]=0,"NO","YES")</f>
        <v>NO</v>
      </c>
      <c r="AJ448">
        <v>1</v>
      </c>
      <c r="AK448" t="str">
        <f>IF(Table1[[#This Row],[hair growth(Y/N)]]=1,"YES","NO")</f>
        <v>YES</v>
      </c>
      <c r="AL448">
        <v>1</v>
      </c>
      <c r="AM448" t="str">
        <f>IF(Table1[[#This Row],[Skin darkening (Y/N)]]=1,"YES","NO")</f>
        <v>YES</v>
      </c>
      <c r="AN448">
        <v>0</v>
      </c>
      <c r="AO448" t="str">
        <f>IF(Table1[[#This Row],[Hair loss(Y/N)]]=1,"YES","NO")</f>
        <v>NO</v>
      </c>
      <c r="AP448">
        <v>0</v>
      </c>
      <c r="AQ448" t="str">
        <f>IF(Table1[[#This Row],[Pimples(Y/N)]]=1,"YES","NO")</f>
        <v>NO</v>
      </c>
      <c r="AR448">
        <v>1</v>
      </c>
      <c r="AS448" t="str">
        <f>IF(Table1[[#This Row],[Fast food (Y/N)]]=1,"YES","NO")</f>
        <v>YES</v>
      </c>
      <c r="AT448">
        <v>0</v>
      </c>
      <c r="AU448" t="str">
        <f>IF(Table1[[#This Row],[Reg.Exercise(Y/N)]]=1,"YES","NO")</f>
        <v>NO</v>
      </c>
      <c r="AV448">
        <v>110</v>
      </c>
      <c r="AW448">
        <v>80</v>
      </c>
      <c r="AX448">
        <v>6</v>
      </c>
      <c r="AY448">
        <v>7</v>
      </c>
      <c r="AZ448">
        <v>18</v>
      </c>
      <c r="BA448">
        <v>19</v>
      </c>
      <c r="BB448">
        <v>5.9</v>
      </c>
      <c r="BC448" t="str" cm="1">
        <f t="array" ref="BC448">_xlfn.IFS((F448/(G448*G448)*10000)&lt; 18.5,"Underweight",(F448/(G448*G448)*10000)&lt;24.9,"Normal",(F448/(G448*G448)*10000)&lt;29.9,"Overweight",(F448/(G448*G448)*10000)&gt;=30,"obesity")</f>
        <v>Normal</v>
      </c>
      <c r="BD448">
        <f>Table1[[#This Row],[Follicle No. (L)]]+Table1[[#This Row],[Follicle No. (R)]]</f>
        <v>13</v>
      </c>
      <c r="BE448">
        <f>Table1[[#This Row],[Avg. F size (L) (mm)]]+Table1[[#This Row],[Avg. F size (R) (mm)]]</f>
        <v>37</v>
      </c>
      <c r="BF448">
        <f>Table1[[#This Row],[BP _Diastolic (mmHg)]]+(Table1[[#This Row],[BP _Diastolic (mmHg)]]+Table1[[#This Row],[Follicle No. (L)]])/3</f>
        <v>108.66666666666667</v>
      </c>
      <c r="BG448" s="4" t="str" cm="1">
        <f t="array" ref="BG44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48" s="4">
        <f>SUM(Table1[[#This Row],[Pimples(Y/N)]],Table1[[#This Row],[hair growth(Y/N)]],Table1[[#This Row],[Skin darkening (Y/N)]],Table1[[#This Row],[Hair loss(Y/N)]])</f>
        <v>2</v>
      </c>
      <c r="BI448" s="4" t="str">
        <f>IF(AND(Table1[[#This Row],[Pregnant(Y/N)]]=0, Table1[[#This Row],[  I   beta-HCG(mIU/mL)]]&gt;5), "Investigation Required", "Clear")</f>
        <v>Investigation Required</v>
      </c>
    </row>
    <row r="449" spans="1:61" ht="15.75" customHeight="1" x14ac:dyDescent="0.25">
      <c r="A449">
        <v>448</v>
      </c>
      <c r="B449">
        <v>448</v>
      </c>
      <c r="C449">
        <v>1</v>
      </c>
      <c r="D449" t="str">
        <f>IF(Table1[[#This Row],[PCOS (Y/N)]]=0,"NO","YES")</f>
        <v>YES</v>
      </c>
      <c r="E449">
        <v>47</v>
      </c>
      <c r="F449">
        <v>62.7</v>
      </c>
      <c r="G449">
        <v>160</v>
      </c>
      <c r="H449">
        <v>15</v>
      </c>
      <c r="I449">
        <v>72</v>
      </c>
      <c r="J449">
        <v>18</v>
      </c>
      <c r="K449">
        <v>10</v>
      </c>
      <c r="L449">
        <v>4</v>
      </c>
      <c r="M449">
        <v>7</v>
      </c>
      <c r="N449">
        <v>30</v>
      </c>
      <c r="O449">
        <v>0</v>
      </c>
      <c r="P449" t="str">
        <f>IF(Table1[[#This Row],[Pregnant(Y/N)]]=1,"YES","NO")</f>
        <v>NO</v>
      </c>
      <c r="Q449">
        <v>0</v>
      </c>
      <c r="R449">
        <v>30007</v>
      </c>
      <c r="S449">
        <v>1.99</v>
      </c>
      <c r="T449">
        <v>1.88</v>
      </c>
      <c r="U449">
        <v>0.25</v>
      </c>
      <c r="V449">
        <f>Table1[[#This Row],[FSH(mIU/mL)]]/Table1[[#This Row],[LH(mIU/mL)]]</f>
        <v>7.52</v>
      </c>
      <c r="W449" t="str">
        <f>IF(Table1[[#This Row],[FSH/LH]]&gt;=2,"Abnormal","Normal")</f>
        <v>Abnormal</v>
      </c>
      <c r="X449">
        <v>39</v>
      </c>
      <c r="Y449">
        <v>36</v>
      </c>
      <c r="Z449">
        <f>ROUND(Table1[[#This Row],[Waist(inch)]]/Table1[[#This Row],[Hip(inch)]],2)</f>
        <v>0.92</v>
      </c>
      <c r="AA449">
        <v>2.4700000000000002</v>
      </c>
      <c r="AB449">
        <v>6.2</v>
      </c>
      <c r="AC449">
        <v>31.47</v>
      </c>
      <c r="AD449">
        <v>12.1</v>
      </c>
      <c r="AE449" t="str">
        <f>IF(Table1[[#This Row],[Vit D3 (ng/mL)]]&lt;20,"Deficiency","Normal")</f>
        <v>Deficiency</v>
      </c>
      <c r="AF449">
        <v>0.25</v>
      </c>
      <c r="AG449">
        <v>92</v>
      </c>
      <c r="AH449">
        <v>0</v>
      </c>
      <c r="AI449" t="str">
        <f>IF(Table1[[#This Row],[Weight gain(Y/N)]]=0,"NO","YES")</f>
        <v>NO</v>
      </c>
      <c r="AJ449">
        <v>0</v>
      </c>
      <c r="AK449" t="str">
        <f>IF(Table1[[#This Row],[hair growth(Y/N)]]=1,"YES","NO")</f>
        <v>NO</v>
      </c>
      <c r="AL449">
        <v>0</v>
      </c>
      <c r="AM449" t="str">
        <f>IF(Table1[[#This Row],[Skin darkening (Y/N)]]=1,"YES","NO")</f>
        <v>NO</v>
      </c>
      <c r="AN449">
        <v>0</v>
      </c>
      <c r="AO449" t="str">
        <f>IF(Table1[[#This Row],[Hair loss(Y/N)]]=1,"YES","NO")</f>
        <v>NO</v>
      </c>
      <c r="AP449">
        <v>1</v>
      </c>
      <c r="AQ449" t="str">
        <f>IF(Table1[[#This Row],[Pimples(Y/N)]]=1,"YES","NO")</f>
        <v>YES</v>
      </c>
      <c r="AR449">
        <v>1</v>
      </c>
      <c r="AS449" t="str">
        <f>IF(Table1[[#This Row],[Fast food (Y/N)]]=1,"YES","NO")</f>
        <v>YES</v>
      </c>
      <c r="AT449">
        <v>1</v>
      </c>
      <c r="AU449" t="str">
        <f>IF(Table1[[#This Row],[Reg.Exercise(Y/N)]]=1,"YES","NO")</f>
        <v>YES</v>
      </c>
      <c r="AV449">
        <v>110</v>
      </c>
      <c r="AW449">
        <v>80</v>
      </c>
      <c r="AX449">
        <v>14</v>
      </c>
      <c r="AY449">
        <v>11</v>
      </c>
      <c r="AZ449">
        <v>20</v>
      </c>
      <c r="BA449">
        <v>19</v>
      </c>
      <c r="BB449">
        <v>6</v>
      </c>
      <c r="BC449" t="str" cm="1">
        <f t="array" ref="BC449">_xlfn.IFS((F449/(G449*G449)*10000)&lt; 18.5,"Underweight",(F449/(G449*G449)*10000)&lt;24.9,"Normal",(F449/(G449*G449)*10000)&lt;29.9,"Overweight",(F449/(G449*G449)*10000)&gt;=30,"obesity")</f>
        <v>Normal</v>
      </c>
      <c r="BD449">
        <f>Table1[[#This Row],[Follicle No. (L)]]+Table1[[#This Row],[Follicle No. (R)]]</f>
        <v>25</v>
      </c>
      <c r="BE449">
        <f>Table1[[#This Row],[Avg. F size (L) (mm)]]+Table1[[#This Row],[Avg. F size (R) (mm)]]</f>
        <v>39</v>
      </c>
      <c r="BF449">
        <f>Table1[[#This Row],[BP _Diastolic (mmHg)]]+(Table1[[#This Row],[BP _Diastolic (mmHg)]]+Table1[[#This Row],[Follicle No. (L)]])/3</f>
        <v>111.33333333333333</v>
      </c>
      <c r="BG449" s="4" t="str" cm="1">
        <f t="array" ref="BG44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49" s="4">
        <f>SUM(Table1[[#This Row],[Pimples(Y/N)]],Table1[[#This Row],[hair growth(Y/N)]],Table1[[#This Row],[Skin darkening (Y/N)]],Table1[[#This Row],[Hair loss(Y/N)]])</f>
        <v>1</v>
      </c>
      <c r="BI449" s="4" t="str">
        <f>IF(AND(Table1[[#This Row],[Pregnant(Y/N)]]=0, Table1[[#This Row],[  I   beta-HCG(mIU/mL)]]&gt;5), "Investigation Required", "Clear")</f>
        <v>Investigation Required</v>
      </c>
    </row>
    <row r="450" spans="1:61" ht="15.75" customHeight="1" x14ac:dyDescent="0.25">
      <c r="A450">
        <v>449</v>
      </c>
      <c r="B450">
        <v>449</v>
      </c>
      <c r="C450">
        <v>0</v>
      </c>
      <c r="D450" t="str">
        <f>IF(Table1[[#This Row],[PCOS (Y/N)]]=0,"NO","YES")</f>
        <v>NO</v>
      </c>
      <c r="E450">
        <v>41</v>
      </c>
      <c r="F450">
        <v>71.5</v>
      </c>
      <c r="G450">
        <v>160</v>
      </c>
      <c r="H450">
        <v>15</v>
      </c>
      <c r="I450">
        <v>74</v>
      </c>
      <c r="J450">
        <v>20</v>
      </c>
      <c r="K450">
        <v>11</v>
      </c>
      <c r="L450">
        <v>4</v>
      </c>
      <c r="M450">
        <v>7</v>
      </c>
      <c r="N450">
        <v>16</v>
      </c>
      <c r="O450">
        <v>1</v>
      </c>
      <c r="P450" t="str">
        <f>IF(Table1[[#This Row],[Pregnant(Y/N)]]=1,"YES","NO")</f>
        <v>YES</v>
      </c>
      <c r="Q450">
        <v>1</v>
      </c>
      <c r="R450">
        <v>1.9</v>
      </c>
      <c r="S450">
        <v>1.99</v>
      </c>
      <c r="T450">
        <v>4.74</v>
      </c>
      <c r="U450">
        <v>3.6</v>
      </c>
      <c r="V450">
        <f>Table1[[#This Row],[FSH(mIU/mL)]]/Table1[[#This Row],[LH(mIU/mL)]]</f>
        <v>1.3166666666666667</v>
      </c>
      <c r="W450" t="str">
        <f>IF(Table1[[#This Row],[FSH/LH]]&gt;=2,"Abnormal","Normal")</f>
        <v>Normal</v>
      </c>
      <c r="X450">
        <v>42</v>
      </c>
      <c r="Y450">
        <v>39</v>
      </c>
      <c r="Z450">
        <f>ROUND(Table1[[#This Row],[Waist(inch)]]/Table1[[#This Row],[Hip(inch)]],2)</f>
        <v>0.93</v>
      </c>
      <c r="AA450">
        <v>1.0900000000000001</v>
      </c>
      <c r="AB450">
        <v>9.1</v>
      </c>
      <c r="AC450">
        <v>22.62</v>
      </c>
      <c r="AD450">
        <v>31.6</v>
      </c>
      <c r="AE450" t="str">
        <f>IF(Table1[[#This Row],[Vit D3 (ng/mL)]]&lt;20,"Deficiency","Normal")</f>
        <v>Normal</v>
      </c>
      <c r="AF450">
        <v>0.25</v>
      </c>
      <c r="AG450">
        <v>85</v>
      </c>
      <c r="AH450">
        <v>1</v>
      </c>
      <c r="AI450" t="str">
        <f>IF(Table1[[#This Row],[Weight gain(Y/N)]]=0,"NO","YES")</f>
        <v>YES</v>
      </c>
      <c r="AJ450">
        <v>1</v>
      </c>
      <c r="AK450" t="str">
        <f>IF(Table1[[#This Row],[hair growth(Y/N)]]=1,"YES","NO")</f>
        <v>YES</v>
      </c>
      <c r="AL450">
        <v>1</v>
      </c>
      <c r="AM450" t="str">
        <f>IF(Table1[[#This Row],[Skin darkening (Y/N)]]=1,"YES","NO")</f>
        <v>YES</v>
      </c>
      <c r="AN450">
        <v>0</v>
      </c>
      <c r="AO450" t="str">
        <f>IF(Table1[[#This Row],[Hair loss(Y/N)]]=1,"YES","NO")</f>
        <v>NO</v>
      </c>
      <c r="AP450">
        <v>0</v>
      </c>
      <c r="AQ450" t="str">
        <f>IF(Table1[[#This Row],[Pimples(Y/N)]]=1,"YES","NO")</f>
        <v>NO</v>
      </c>
      <c r="AR450">
        <v>1</v>
      </c>
      <c r="AS450" t="str">
        <f>IF(Table1[[#This Row],[Fast food (Y/N)]]=1,"YES","NO")</f>
        <v>YES</v>
      </c>
      <c r="AT450">
        <v>0</v>
      </c>
      <c r="AU450" t="str">
        <f>IF(Table1[[#This Row],[Reg.Exercise(Y/N)]]=1,"YES","NO")</f>
        <v>NO</v>
      </c>
      <c r="AV450">
        <v>120</v>
      </c>
      <c r="AW450">
        <v>80</v>
      </c>
      <c r="AX450">
        <v>9</v>
      </c>
      <c r="AY450">
        <v>7</v>
      </c>
      <c r="AZ450">
        <v>19</v>
      </c>
      <c r="BA450">
        <v>18</v>
      </c>
      <c r="BB450">
        <v>8</v>
      </c>
      <c r="BC450" t="str" cm="1">
        <f t="array" ref="BC450">_xlfn.IFS((F450/(G450*G450)*10000)&lt; 18.5,"Underweight",(F450/(G450*G450)*10000)&lt;24.9,"Normal",(F450/(G450*G450)*10000)&lt;29.9,"Overweight",(F450/(G450*G450)*10000)&gt;=30,"obesity")</f>
        <v>Overweight</v>
      </c>
      <c r="BD450">
        <f>Table1[[#This Row],[Follicle No. (L)]]+Table1[[#This Row],[Follicle No. (R)]]</f>
        <v>16</v>
      </c>
      <c r="BE450">
        <f>Table1[[#This Row],[Avg. F size (L) (mm)]]+Table1[[#This Row],[Avg. F size (R) (mm)]]</f>
        <v>37</v>
      </c>
      <c r="BF450">
        <f>Table1[[#This Row],[BP _Diastolic (mmHg)]]+(Table1[[#This Row],[BP _Diastolic (mmHg)]]+Table1[[#This Row],[Follicle No. (L)]])/3</f>
        <v>109.66666666666667</v>
      </c>
      <c r="BG450" s="4" t="str" cm="1">
        <f t="array" ref="BG45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50" s="4">
        <f>SUM(Table1[[#This Row],[Pimples(Y/N)]],Table1[[#This Row],[hair growth(Y/N)]],Table1[[#This Row],[Skin darkening (Y/N)]],Table1[[#This Row],[Hair loss(Y/N)]])</f>
        <v>2</v>
      </c>
      <c r="BI450" s="4" t="str">
        <f>IF(AND(Table1[[#This Row],[Pregnant(Y/N)]]=0, Table1[[#This Row],[  I   beta-HCG(mIU/mL)]]&gt;5), "Investigation Required", "Clear")</f>
        <v>Clear</v>
      </c>
    </row>
    <row r="451" spans="1:61" ht="15.75" customHeight="1" x14ac:dyDescent="0.25">
      <c r="A451">
        <v>450</v>
      </c>
      <c r="B451">
        <v>450</v>
      </c>
      <c r="C451">
        <v>1</v>
      </c>
      <c r="D451" t="str">
        <f>IF(Table1[[#This Row],[PCOS (Y/N)]]=0,"NO","YES")</f>
        <v>YES</v>
      </c>
      <c r="E451">
        <v>33</v>
      </c>
      <c r="F451">
        <v>63</v>
      </c>
      <c r="G451">
        <v>159</v>
      </c>
      <c r="H451">
        <v>15</v>
      </c>
      <c r="I451">
        <v>72</v>
      </c>
      <c r="J451">
        <v>18</v>
      </c>
      <c r="K451">
        <v>10.1</v>
      </c>
      <c r="L451">
        <v>4</v>
      </c>
      <c r="M451">
        <v>2</v>
      </c>
      <c r="N451">
        <v>7</v>
      </c>
      <c r="O451">
        <v>1</v>
      </c>
      <c r="P451" t="str">
        <f>IF(Table1[[#This Row],[Pregnant(Y/N)]]=1,"YES","NO")</f>
        <v>YES</v>
      </c>
      <c r="Q451">
        <v>0</v>
      </c>
      <c r="R451">
        <v>294.06</v>
      </c>
      <c r="S451">
        <v>1.99</v>
      </c>
      <c r="T451">
        <v>5.0199999999999996</v>
      </c>
      <c r="U451">
        <v>12.04</v>
      </c>
      <c r="V451">
        <f>Table1[[#This Row],[FSH(mIU/mL)]]/Table1[[#This Row],[LH(mIU/mL)]]</f>
        <v>0.4169435215946844</v>
      </c>
      <c r="W451" t="str">
        <f>IF(Table1[[#This Row],[FSH/LH]]&gt;=2,"Abnormal","Normal")</f>
        <v>Normal</v>
      </c>
      <c r="X451">
        <v>39</v>
      </c>
      <c r="Y451">
        <v>37</v>
      </c>
      <c r="Z451">
        <f>ROUND(Table1[[#This Row],[Waist(inch)]]/Table1[[#This Row],[Hip(inch)]],2)</f>
        <v>0.95</v>
      </c>
      <c r="AA451">
        <v>3.15</v>
      </c>
      <c r="AB451">
        <v>0.8</v>
      </c>
      <c r="AC451">
        <v>33.229999999999997</v>
      </c>
      <c r="AD451">
        <v>40.200000000000003</v>
      </c>
      <c r="AE451" t="str">
        <f>IF(Table1[[#This Row],[Vit D3 (ng/mL)]]&lt;20,"Deficiency","Normal")</f>
        <v>Normal</v>
      </c>
      <c r="AF451">
        <v>0.3</v>
      </c>
      <c r="AG451">
        <v>100</v>
      </c>
      <c r="AH451">
        <v>0</v>
      </c>
      <c r="AI451" t="str">
        <f>IF(Table1[[#This Row],[Weight gain(Y/N)]]=0,"NO","YES")</f>
        <v>NO</v>
      </c>
      <c r="AJ451">
        <v>0</v>
      </c>
      <c r="AK451" t="str">
        <f>IF(Table1[[#This Row],[hair growth(Y/N)]]=1,"YES","NO")</f>
        <v>NO</v>
      </c>
      <c r="AL451">
        <v>0</v>
      </c>
      <c r="AM451" t="str">
        <f>IF(Table1[[#This Row],[Skin darkening (Y/N)]]=1,"YES","NO")</f>
        <v>NO</v>
      </c>
      <c r="AN451">
        <v>0</v>
      </c>
      <c r="AO451" t="str">
        <f>IF(Table1[[#This Row],[Hair loss(Y/N)]]=1,"YES","NO")</f>
        <v>NO</v>
      </c>
      <c r="AP451">
        <v>1</v>
      </c>
      <c r="AQ451" t="str">
        <f>IF(Table1[[#This Row],[Pimples(Y/N)]]=1,"YES","NO")</f>
        <v>YES</v>
      </c>
      <c r="AR451">
        <v>1</v>
      </c>
      <c r="AS451" t="str">
        <f>IF(Table1[[#This Row],[Fast food (Y/N)]]=1,"YES","NO")</f>
        <v>YES</v>
      </c>
      <c r="AT451">
        <v>0</v>
      </c>
      <c r="AU451" t="str">
        <f>IF(Table1[[#This Row],[Reg.Exercise(Y/N)]]=1,"YES","NO")</f>
        <v>NO</v>
      </c>
      <c r="AV451">
        <v>120</v>
      </c>
      <c r="AW451">
        <v>80</v>
      </c>
      <c r="AX451">
        <v>6</v>
      </c>
      <c r="AY451">
        <v>8</v>
      </c>
      <c r="AZ451">
        <v>19</v>
      </c>
      <c r="BA451">
        <v>17</v>
      </c>
      <c r="BB451">
        <v>8.1999999999999993</v>
      </c>
      <c r="BC451" t="str" cm="1">
        <f t="array" ref="BC451">_xlfn.IFS((F451/(G451*G451)*10000)&lt; 18.5,"Underweight",(F451/(G451*G451)*10000)&lt;24.9,"Normal",(F451/(G451*G451)*10000)&lt;29.9,"Overweight",(F451/(G451*G451)*10000)&gt;=30,"obesity")</f>
        <v>Overweight</v>
      </c>
      <c r="BD451">
        <f>Table1[[#This Row],[Follicle No. (L)]]+Table1[[#This Row],[Follicle No. (R)]]</f>
        <v>14</v>
      </c>
      <c r="BE451">
        <f>Table1[[#This Row],[Avg. F size (L) (mm)]]+Table1[[#This Row],[Avg. F size (R) (mm)]]</f>
        <v>36</v>
      </c>
      <c r="BF451">
        <f>Table1[[#This Row],[BP _Diastolic (mmHg)]]+(Table1[[#This Row],[BP _Diastolic (mmHg)]]+Table1[[#This Row],[Follicle No. (L)]])/3</f>
        <v>108.66666666666667</v>
      </c>
      <c r="BG451" s="4" t="str" cm="1">
        <f t="array" ref="BG45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1" s="4">
        <f>SUM(Table1[[#This Row],[Pimples(Y/N)]],Table1[[#This Row],[hair growth(Y/N)]],Table1[[#This Row],[Skin darkening (Y/N)]],Table1[[#This Row],[Hair loss(Y/N)]])</f>
        <v>1</v>
      </c>
      <c r="BI451" s="4" t="str">
        <f>IF(AND(Table1[[#This Row],[Pregnant(Y/N)]]=0, Table1[[#This Row],[  I   beta-HCG(mIU/mL)]]&gt;5), "Investigation Required", "Clear")</f>
        <v>Clear</v>
      </c>
    </row>
    <row r="452" spans="1:61" ht="15.75" customHeight="1" x14ac:dyDescent="0.25">
      <c r="A452">
        <v>451</v>
      </c>
      <c r="B452">
        <v>451</v>
      </c>
      <c r="C452">
        <v>1</v>
      </c>
      <c r="D452" t="str">
        <f>IF(Table1[[#This Row],[PCOS (Y/N)]]=0,"NO","YES")</f>
        <v>YES</v>
      </c>
      <c r="E452">
        <v>34</v>
      </c>
      <c r="F452">
        <v>69</v>
      </c>
      <c r="G452">
        <v>167.64</v>
      </c>
      <c r="H452">
        <v>15</v>
      </c>
      <c r="I452">
        <v>80</v>
      </c>
      <c r="J452">
        <v>20</v>
      </c>
      <c r="K452">
        <v>11.5</v>
      </c>
      <c r="L452">
        <v>2</v>
      </c>
      <c r="M452">
        <v>5</v>
      </c>
      <c r="N452">
        <v>10</v>
      </c>
      <c r="O452">
        <v>0</v>
      </c>
      <c r="P452" t="str">
        <f>IF(Table1[[#This Row],[Pregnant(Y/N)]]=1,"YES","NO")</f>
        <v>NO</v>
      </c>
      <c r="Q452">
        <v>0</v>
      </c>
      <c r="R452">
        <v>53.51</v>
      </c>
      <c r="S452">
        <v>13.12</v>
      </c>
      <c r="T452">
        <v>4.07</v>
      </c>
      <c r="U452">
        <v>1.93</v>
      </c>
      <c r="V452">
        <f>Table1[[#This Row],[FSH(mIU/mL)]]/Table1[[#This Row],[LH(mIU/mL)]]</f>
        <v>2.1088082901554408</v>
      </c>
      <c r="W452" t="str">
        <f>IF(Table1[[#This Row],[FSH/LH]]&gt;=2,"Abnormal","Normal")</f>
        <v>Abnormal</v>
      </c>
      <c r="X452">
        <v>40</v>
      </c>
      <c r="Y452">
        <v>38</v>
      </c>
      <c r="Z452">
        <f>ROUND(Table1[[#This Row],[Waist(inch)]]/Table1[[#This Row],[Hip(inch)]],2)</f>
        <v>0.95</v>
      </c>
      <c r="AA452">
        <v>3.08</v>
      </c>
      <c r="AB452">
        <v>0.91</v>
      </c>
      <c r="AC452">
        <v>25.61</v>
      </c>
      <c r="AD452">
        <v>61.3</v>
      </c>
      <c r="AE452" t="str">
        <f>IF(Table1[[#This Row],[Vit D3 (ng/mL)]]&lt;20,"Deficiency","Normal")</f>
        <v>Normal</v>
      </c>
      <c r="AF452">
        <v>0.32</v>
      </c>
      <c r="AG452">
        <v>107</v>
      </c>
      <c r="AH452">
        <v>1</v>
      </c>
      <c r="AI452" t="str">
        <f>IF(Table1[[#This Row],[Weight gain(Y/N)]]=0,"NO","YES")</f>
        <v>YES</v>
      </c>
      <c r="AJ452">
        <v>1</v>
      </c>
      <c r="AK452" t="str">
        <f>IF(Table1[[#This Row],[hair growth(Y/N)]]=1,"YES","NO")</f>
        <v>YES</v>
      </c>
      <c r="AL452">
        <v>0</v>
      </c>
      <c r="AM452" t="str">
        <f>IF(Table1[[#This Row],[Skin darkening (Y/N)]]=1,"YES","NO")</f>
        <v>NO</v>
      </c>
      <c r="AN452">
        <v>1</v>
      </c>
      <c r="AO452" t="str">
        <f>IF(Table1[[#This Row],[Hair loss(Y/N)]]=1,"YES","NO")</f>
        <v>YES</v>
      </c>
      <c r="AP452">
        <v>1</v>
      </c>
      <c r="AQ452" t="str">
        <f>IF(Table1[[#This Row],[Pimples(Y/N)]]=1,"YES","NO")</f>
        <v>YES</v>
      </c>
      <c r="AR452">
        <v>1</v>
      </c>
      <c r="AS452" t="str">
        <f>IF(Table1[[#This Row],[Fast food (Y/N)]]=1,"YES","NO")</f>
        <v>YES</v>
      </c>
      <c r="AT452">
        <v>0</v>
      </c>
      <c r="AU452" t="str">
        <f>IF(Table1[[#This Row],[Reg.Exercise(Y/N)]]=1,"YES","NO")</f>
        <v>NO</v>
      </c>
      <c r="AV452">
        <v>110</v>
      </c>
      <c r="AW452">
        <v>80</v>
      </c>
      <c r="AX452">
        <v>20</v>
      </c>
      <c r="AY452">
        <v>16</v>
      </c>
      <c r="AZ452">
        <v>18</v>
      </c>
      <c r="BA452">
        <v>14</v>
      </c>
      <c r="BB452">
        <v>7</v>
      </c>
      <c r="BC452" t="str" cm="1">
        <f t="array" ref="BC452">_xlfn.IFS((F452/(G452*G452)*10000)&lt; 18.5,"Underweight",(F452/(G452*G452)*10000)&lt;24.9,"Normal",(F452/(G452*G452)*10000)&lt;29.9,"Overweight",(F452/(G452*G452)*10000)&gt;=30,"obesity")</f>
        <v>Normal</v>
      </c>
      <c r="BD452">
        <f>Table1[[#This Row],[Follicle No. (L)]]+Table1[[#This Row],[Follicle No. (R)]]</f>
        <v>36</v>
      </c>
      <c r="BE452">
        <f>Table1[[#This Row],[Avg. F size (L) (mm)]]+Table1[[#This Row],[Avg. F size (R) (mm)]]</f>
        <v>32</v>
      </c>
      <c r="BF452">
        <f>Table1[[#This Row],[BP _Diastolic (mmHg)]]+(Table1[[#This Row],[BP _Diastolic (mmHg)]]+Table1[[#This Row],[Follicle No. (L)]])/3</f>
        <v>113.33333333333334</v>
      </c>
      <c r="BG452" s="4" t="str" cm="1">
        <f t="array" ref="BG45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2" s="4">
        <f>SUM(Table1[[#This Row],[Pimples(Y/N)]],Table1[[#This Row],[hair growth(Y/N)]],Table1[[#This Row],[Skin darkening (Y/N)]],Table1[[#This Row],[Hair loss(Y/N)]])</f>
        <v>3</v>
      </c>
      <c r="BI452" s="4" t="str">
        <f>IF(AND(Table1[[#This Row],[Pregnant(Y/N)]]=0, Table1[[#This Row],[  I   beta-HCG(mIU/mL)]]&gt;5), "Investigation Required", "Clear")</f>
        <v>Investigation Required</v>
      </c>
    </row>
    <row r="453" spans="1:61" ht="15.75" customHeight="1" x14ac:dyDescent="0.25">
      <c r="A453">
        <v>452</v>
      </c>
      <c r="B453">
        <v>452</v>
      </c>
      <c r="C453">
        <v>1</v>
      </c>
      <c r="D453" t="str">
        <f>IF(Table1[[#This Row],[PCOS (Y/N)]]=0,"NO","YES")</f>
        <v>YES</v>
      </c>
      <c r="E453">
        <v>30</v>
      </c>
      <c r="F453">
        <v>44</v>
      </c>
      <c r="G453">
        <v>161.54400000000001</v>
      </c>
      <c r="H453">
        <v>12</v>
      </c>
      <c r="I453">
        <v>72</v>
      </c>
      <c r="J453">
        <v>18</v>
      </c>
      <c r="K453">
        <v>11.4</v>
      </c>
      <c r="L453">
        <v>2</v>
      </c>
      <c r="M453">
        <v>4</v>
      </c>
      <c r="N453">
        <v>4</v>
      </c>
      <c r="O453">
        <v>1</v>
      </c>
      <c r="P453" t="str">
        <f>IF(Table1[[#This Row],[Pregnant(Y/N)]]=1,"YES","NO")</f>
        <v>YES</v>
      </c>
      <c r="Q453">
        <v>0</v>
      </c>
      <c r="R453">
        <v>595.79999999999995</v>
      </c>
      <c r="S453">
        <v>1.92</v>
      </c>
      <c r="T453">
        <v>8.25</v>
      </c>
      <c r="U453">
        <v>0.46</v>
      </c>
      <c r="V453">
        <f>Table1[[#This Row],[FSH(mIU/mL)]]/Table1[[#This Row],[LH(mIU/mL)]]</f>
        <v>17.934782608695652</v>
      </c>
      <c r="W453" t="str">
        <f>IF(Table1[[#This Row],[FSH/LH]]&gt;=2,"Abnormal","Normal")</f>
        <v>Abnormal</v>
      </c>
      <c r="X453">
        <v>28</v>
      </c>
      <c r="Y453">
        <v>24</v>
      </c>
      <c r="Z453">
        <f>ROUND(Table1[[#This Row],[Waist(inch)]]/Table1[[#This Row],[Hip(inch)]],2)</f>
        <v>0.86</v>
      </c>
      <c r="AA453">
        <v>3.51</v>
      </c>
      <c r="AB453">
        <v>0.98</v>
      </c>
      <c r="AC453">
        <v>26.42</v>
      </c>
      <c r="AD453">
        <v>30.5</v>
      </c>
      <c r="AE453" t="str">
        <f>IF(Table1[[#This Row],[Vit D3 (ng/mL)]]&lt;20,"Deficiency","Normal")</f>
        <v>Normal</v>
      </c>
      <c r="AF453">
        <v>0.24</v>
      </c>
      <c r="AG453">
        <v>84</v>
      </c>
      <c r="AH453">
        <v>0</v>
      </c>
      <c r="AI453" t="str">
        <f>IF(Table1[[#This Row],[Weight gain(Y/N)]]=0,"NO","YES")</f>
        <v>NO</v>
      </c>
      <c r="AJ453">
        <v>0</v>
      </c>
      <c r="AK453" t="str">
        <f>IF(Table1[[#This Row],[hair growth(Y/N)]]=1,"YES","NO")</f>
        <v>NO</v>
      </c>
      <c r="AL453">
        <v>0</v>
      </c>
      <c r="AM453" t="str">
        <f>IF(Table1[[#This Row],[Skin darkening (Y/N)]]=1,"YES","NO")</f>
        <v>NO</v>
      </c>
      <c r="AN453">
        <v>0</v>
      </c>
      <c r="AO453" t="str">
        <f>IF(Table1[[#This Row],[Hair loss(Y/N)]]=1,"YES","NO")</f>
        <v>NO</v>
      </c>
      <c r="AP453">
        <v>0</v>
      </c>
      <c r="AQ453" t="str">
        <f>IF(Table1[[#This Row],[Pimples(Y/N)]]=1,"YES","NO")</f>
        <v>NO</v>
      </c>
      <c r="AR453">
        <v>0</v>
      </c>
      <c r="AS453" t="str">
        <f>IF(Table1[[#This Row],[Fast food (Y/N)]]=1,"YES","NO")</f>
        <v>NO</v>
      </c>
      <c r="AT453">
        <v>1</v>
      </c>
      <c r="AU453" t="str">
        <f>IF(Table1[[#This Row],[Reg.Exercise(Y/N)]]=1,"YES","NO")</f>
        <v>YES</v>
      </c>
      <c r="AV453">
        <v>100</v>
      </c>
      <c r="AW453">
        <v>70</v>
      </c>
      <c r="AX453">
        <v>5</v>
      </c>
      <c r="AY453">
        <v>18</v>
      </c>
      <c r="AZ453">
        <v>11</v>
      </c>
      <c r="BA453">
        <v>21</v>
      </c>
      <c r="BB453">
        <v>9.65</v>
      </c>
      <c r="BC453" t="str" cm="1">
        <f t="array" ref="BC453">_xlfn.IFS((F453/(G453*G453)*10000)&lt; 18.5,"Underweight",(F453/(G453*G453)*10000)&lt;24.9,"Normal",(F453/(G453*G453)*10000)&lt;29.9,"Overweight",(F453/(G453*G453)*10000)&gt;=30,"obesity")</f>
        <v>Underweight</v>
      </c>
      <c r="BD453">
        <f>Table1[[#This Row],[Follicle No. (L)]]+Table1[[#This Row],[Follicle No. (R)]]</f>
        <v>23</v>
      </c>
      <c r="BE453">
        <f>Table1[[#This Row],[Avg. F size (L) (mm)]]+Table1[[#This Row],[Avg. F size (R) (mm)]]</f>
        <v>32</v>
      </c>
      <c r="BF453">
        <f>Table1[[#This Row],[BP _Diastolic (mmHg)]]+(Table1[[#This Row],[BP _Diastolic (mmHg)]]+Table1[[#This Row],[Follicle No. (L)]])/3</f>
        <v>95</v>
      </c>
      <c r="BG453" s="4" t="str" cm="1">
        <f t="array" ref="BG45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3" s="4">
        <f>SUM(Table1[[#This Row],[Pimples(Y/N)]],Table1[[#This Row],[hair growth(Y/N)]],Table1[[#This Row],[Skin darkening (Y/N)]],Table1[[#This Row],[Hair loss(Y/N)]])</f>
        <v>0</v>
      </c>
      <c r="BI453" s="4" t="str">
        <f>IF(AND(Table1[[#This Row],[Pregnant(Y/N)]]=0, Table1[[#This Row],[  I   beta-HCG(mIU/mL)]]&gt;5), "Investigation Required", "Clear")</f>
        <v>Clear</v>
      </c>
    </row>
    <row r="454" spans="1:61" ht="15.75" customHeight="1" x14ac:dyDescent="0.25">
      <c r="A454">
        <v>453</v>
      </c>
      <c r="B454">
        <v>453</v>
      </c>
      <c r="C454">
        <v>1</v>
      </c>
      <c r="D454" t="str">
        <f>IF(Table1[[#This Row],[PCOS (Y/N)]]=0,"NO","YES")</f>
        <v>YES</v>
      </c>
      <c r="E454">
        <v>31</v>
      </c>
      <c r="F454">
        <v>50</v>
      </c>
      <c r="G454">
        <v>158</v>
      </c>
      <c r="H454">
        <v>11</v>
      </c>
      <c r="I454">
        <v>74</v>
      </c>
      <c r="J454">
        <v>20</v>
      </c>
      <c r="K454">
        <v>10.8</v>
      </c>
      <c r="L454">
        <v>2</v>
      </c>
      <c r="M454">
        <v>5</v>
      </c>
      <c r="N454">
        <v>11</v>
      </c>
      <c r="O454">
        <v>0</v>
      </c>
      <c r="P454" t="str">
        <f>IF(Table1[[#This Row],[Pregnant(Y/N)]]=1,"YES","NO")</f>
        <v>NO</v>
      </c>
      <c r="Q454">
        <v>0</v>
      </c>
      <c r="R454">
        <v>482.87</v>
      </c>
      <c r="S454">
        <v>1.99</v>
      </c>
      <c r="T454">
        <v>3.07</v>
      </c>
      <c r="U454">
        <v>0.5</v>
      </c>
      <c r="V454">
        <f>Table1[[#This Row],[FSH(mIU/mL)]]/Table1[[#This Row],[LH(mIU/mL)]]</f>
        <v>6.14</v>
      </c>
      <c r="W454" t="str">
        <f>IF(Table1[[#This Row],[FSH/LH]]&gt;=2,"Abnormal","Normal")</f>
        <v>Abnormal</v>
      </c>
      <c r="X454">
        <v>36</v>
      </c>
      <c r="Y454">
        <v>30</v>
      </c>
      <c r="Z454">
        <f>ROUND(Table1[[#This Row],[Waist(inch)]]/Table1[[#This Row],[Hip(inch)]],2)</f>
        <v>0.83</v>
      </c>
      <c r="AA454">
        <v>1.33</v>
      </c>
      <c r="AB454">
        <v>0.89</v>
      </c>
      <c r="AC454">
        <v>19.510000000000002</v>
      </c>
      <c r="AD454">
        <v>29.2</v>
      </c>
      <c r="AE454" t="str">
        <f>IF(Table1[[#This Row],[Vit D3 (ng/mL)]]&lt;20,"Deficiency","Normal")</f>
        <v>Normal</v>
      </c>
      <c r="AF454">
        <v>0.25</v>
      </c>
      <c r="AG454">
        <v>92</v>
      </c>
      <c r="AH454">
        <v>0</v>
      </c>
      <c r="AI454" t="str">
        <f>IF(Table1[[#This Row],[Weight gain(Y/N)]]=0,"NO","YES")</f>
        <v>NO</v>
      </c>
      <c r="AJ454">
        <v>0</v>
      </c>
      <c r="AK454" t="str">
        <f>IF(Table1[[#This Row],[hair growth(Y/N)]]=1,"YES","NO")</f>
        <v>NO</v>
      </c>
      <c r="AL454">
        <v>1</v>
      </c>
      <c r="AM454" t="str">
        <f>IF(Table1[[#This Row],[Skin darkening (Y/N)]]=1,"YES","NO")</f>
        <v>YES</v>
      </c>
      <c r="AN454">
        <v>0</v>
      </c>
      <c r="AO454" t="str">
        <f>IF(Table1[[#This Row],[Hair loss(Y/N)]]=1,"YES","NO")</f>
        <v>NO</v>
      </c>
      <c r="AP454">
        <v>1</v>
      </c>
      <c r="AQ454" t="str">
        <f>IF(Table1[[#This Row],[Pimples(Y/N)]]=1,"YES","NO")</f>
        <v>YES</v>
      </c>
      <c r="AR454">
        <v>1</v>
      </c>
      <c r="AS454" t="str">
        <f>IF(Table1[[#This Row],[Fast food (Y/N)]]=1,"YES","NO")</f>
        <v>YES</v>
      </c>
      <c r="AT454">
        <v>1</v>
      </c>
      <c r="AU454" t="str">
        <f>IF(Table1[[#This Row],[Reg.Exercise(Y/N)]]=1,"YES","NO")</f>
        <v>YES</v>
      </c>
      <c r="AV454">
        <v>110</v>
      </c>
      <c r="AW454">
        <v>80</v>
      </c>
      <c r="AX454">
        <v>10</v>
      </c>
      <c r="AY454">
        <v>19</v>
      </c>
      <c r="AZ454">
        <v>17</v>
      </c>
      <c r="BA454">
        <v>18</v>
      </c>
      <c r="BB454">
        <v>8.5</v>
      </c>
      <c r="BC454" t="str" cm="1">
        <f t="array" ref="BC454">_xlfn.IFS((F454/(G454*G454)*10000)&lt; 18.5,"Underweight",(F454/(G454*G454)*10000)&lt;24.9,"Normal",(F454/(G454*G454)*10000)&lt;29.9,"Overweight",(F454/(G454*G454)*10000)&gt;=30,"obesity")</f>
        <v>Normal</v>
      </c>
      <c r="BD454">
        <f>Table1[[#This Row],[Follicle No. (L)]]+Table1[[#This Row],[Follicle No. (R)]]</f>
        <v>29</v>
      </c>
      <c r="BE454">
        <f>Table1[[#This Row],[Avg. F size (L) (mm)]]+Table1[[#This Row],[Avg. F size (R) (mm)]]</f>
        <v>35</v>
      </c>
      <c r="BF454">
        <f>Table1[[#This Row],[BP _Diastolic (mmHg)]]+(Table1[[#This Row],[BP _Diastolic (mmHg)]]+Table1[[#This Row],[Follicle No. (L)]])/3</f>
        <v>110</v>
      </c>
      <c r="BG454" s="4" t="str" cm="1">
        <f t="array" ref="BG45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4" s="4">
        <f>SUM(Table1[[#This Row],[Pimples(Y/N)]],Table1[[#This Row],[hair growth(Y/N)]],Table1[[#This Row],[Skin darkening (Y/N)]],Table1[[#This Row],[Hair loss(Y/N)]])</f>
        <v>2</v>
      </c>
      <c r="BI454" s="4" t="str">
        <f>IF(AND(Table1[[#This Row],[Pregnant(Y/N)]]=0, Table1[[#This Row],[  I   beta-HCG(mIU/mL)]]&gt;5), "Investigation Required", "Clear")</f>
        <v>Investigation Required</v>
      </c>
    </row>
    <row r="455" spans="1:61" ht="15.75" customHeight="1" x14ac:dyDescent="0.25">
      <c r="A455">
        <v>454</v>
      </c>
      <c r="B455">
        <v>454</v>
      </c>
      <c r="C455">
        <v>1</v>
      </c>
      <c r="D455" t="str">
        <f>IF(Table1[[#This Row],[PCOS (Y/N)]]=0,"NO","YES")</f>
        <v>YES</v>
      </c>
      <c r="E455">
        <v>35</v>
      </c>
      <c r="F455">
        <v>57</v>
      </c>
      <c r="G455">
        <v>154</v>
      </c>
      <c r="H455">
        <v>15</v>
      </c>
      <c r="I455">
        <v>72</v>
      </c>
      <c r="J455">
        <v>18</v>
      </c>
      <c r="K455">
        <v>10.7</v>
      </c>
      <c r="L455">
        <v>2</v>
      </c>
      <c r="M455">
        <v>5</v>
      </c>
      <c r="N455">
        <v>7</v>
      </c>
      <c r="O455">
        <v>0</v>
      </c>
      <c r="P455" t="str">
        <f>IF(Table1[[#This Row],[Pregnant(Y/N)]]=1,"YES","NO")</f>
        <v>NO</v>
      </c>
      <c r="Q455">
        <v>0</v>
      </c>
      <c r="R455">
        <v>950.41</v>
      </c>
      <c r="S455">
        <v>1.99</v>
      </c>
      <c r="T455">
        <v>4.41</v>
      </c>
      <c r="U455">
        <v>1.97</v>
      </c>
      <c r="V455">
        <f>Table1[[#This Row],[FSH(mIU/mL)]]/Table1[[#This Row],[LH(mIU/mL)]]</f>
        <v>2.2385786802030458</v>
      </c>
      <c r="W455" t="str">
        <f>IF(Table1[[#This Row],[FSH/LH]]&gt;=2,"Abnormal","Normal")</f>
        <v>Abnormal</v>
      </c>
      <c r="X455">
        <v>38</v>
      </c>
      <c r="Y455">
        <v>32</v>
      </c>
      <c r="Z455">
        <f>ROUND(Table1[[#This Row],[Waist(inch)]]/Table1[[#This Row],[Hip(inch)]],2)</f>
        <v>0.84</v>
      </c>
      <c r="AA455">
        <v>5</v>
      </c>
      <c r="AB455">
        <v>0.87</v>
      </c>
      <c r="AC455">
        <v>12.71</v>
      </c>
      <c r="AD455">
        <v>16</v>
      </c>
      <c r="AE455" t="str">
        <f>IF(Table1[[#This Row],[Vit D3 (ng/mL)]]&lt;20,"Deficiency","Normal")</f>
        <v>Deficiency</v>
      </c>
      <c r="AF455">
        <v>0.27</v>
      </c>
      <c r="AG455">
        <v>92</v>
      </c>
      <c r="AH455">
        <v>0</v>
      </c>
      <c r="AI455" t="str">
        <f>IF(Table1[[#This Row],[Weight gain(Y/N)]]=0,"NO","YES")</f>
        <v>NO</v>
      </c>
      <c r="AJ455">
        <v>0</v>
      </c>
      <c r="AK455" t="str">
        <f>IF(Table1[[#This Row],[hair growth(Y/N)]]=1,"YES","NO")</f>
        <v>NO</v>
      </c>
      <c r="AL455">
        <v>0</v>
      </c>
      <c r="AM455" t="str">
        <f>IF(Table1[[#This Row],[Skin darkening (Y/N)]]=1,"YES","NO")</f>
        <v>NO</v>
      </c>
      <c r="AN455">
        <v>0</v>
      </c>
      <c r="AO455" t="str">
        <f>IF(Table1[[#This Row],[Hair loss(Y/N)]]=1,"YES","NO")</f>
        <v>NO</v>
      </c>
      <c r="AP455">
        <v>0</v>
      </c>
      <c r="AQ455" t="str">
        <f>IF(Table1[[#This Row],[Pimples(Y/N)]]=1,"YES","NO")</f>
        <v>NO</v>
      </c>
      <c r="AR455">
        <v>0</v>
      </c>
      <c r="AS455" t="str">
        <f>IF(Table1[[#This Row],[Fast food (Y/N)]]=1,"YES","NO")</f>
        <v>NO</v>
      </c>
      <c r="AT455">
        <v>1</v>
      </c>
      <c r="AU455" t="str">
        <f>IF(Table1[[#This Row],[Reg.Exercise(Y/N)]]=1,"YES","NO")</f>
        <v>YES</v>
      </c>
      <c r="AV455">
        <v>110</v>
      </c>
      <c r="AW455">
        <v>70</v>
      </c>
      <c r="AX455">
        <v>11</v>
      </c>
      <c r="AY455">
        <v>15</v>
      </c>
      <c r="AZ455">
        <v>19</v>
      </c>
      <c r="BA455">
        <v>21</v>
      </c>
      <c r="BB455">
        <v>7.85</v>
      </c>
      <c r="BC455" t="str" cm="1">
        <f t="array" ref="BC455">_xlfn.IFS((F455/(G455*G455)*10000)&lt; 18.5,"Underweight",(F455/(G455*G455)*10000)&lt;24.9,"Normal",(F455/(G455*G455)*10000)&lt;29.9,"Overweight",(F455/(G455*G455)*10000)&gt;=30,"obesity")</f>
        <v>Normal</v>
      </c>
      <c r="BD455">
        <f>Table1[[#This Row],[Follicle No. (L)]]+Table1[[#This Row],[Follicle No. (R)]]</f>
        <v>26</v>
      </c>
      <c r="BE455">
        <f>Table1[[#This Row],[Avg. F size (L) (mm)]]+Table1[[#This Row],[Avg. F size (R) (mm)]]</f>
        <v>40</v>
      </c>
      <c r="BF455">
        <f>Table1[[#This Row],[BP _Diastolic (mmHg)]]+(Table1[[#This Row],[BP _Diastolic (mmHg)]]+Table1[[#This Row],[Follicle No. (L)]])/3</f>
        <v>97</v>
      </c>
      <c r="BG455" s="4" t="str" cm="1">
        <f t="array" ref="BG45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5" s="4">
        <f>SUM(Table1[[#This Row],[Pimples(Y/N)]],Table1[[#This Row],[hair growth(Y/N)]],Table1[[#This Row],[Skin darkening (Y/N)]],Table1[[#This Row],[Hair loss(Y/N)]])</f>
        <v>0</v>
      </c>
      <c r="BI455" s="4" t="str">
        <f>IF(AND(Table1[[#This Row],[Pregnant(Y/N)]]=0, Table1[[#This Row],[  I   beta-HCG(mIU/mL)]]&gt;5), "Investigation Required", "Clear")</f>
        <v>Investigation Required</v>
      </c>
    </row>
    <row r="456" spans="1:61" ht="15.75" customHeight="1" x14ac:dyDescent="0.25">
      <c r="A456">
        <v>455</v>
      </c>
      <c r="B456">
        <v>455</v>
      </c>
      <c r="C456">
        <v>1</v>
      </c>
      <c r="D456" t="str">
        <f>IF(Table1[[#This Row],[PCOS (Y/N)]]=0,"NO","YES")</f>
        <v>YES</v>
      </c>
      <c r="E456">
        <v>35</v>
      </c>
      <c r="F456">
        <v>61</v>
      </c>
      <c r="G456">
        <v>158</v>
      </c>
      <c r="H456">
        <v>13</v>
      </c>
      <c r="I456">
        <v>72</v>
      </c>
      <c r="J456">
        <v>18</v>
      </c>
      <c r="K456">
        <v>10.5</v>
      </c>
      <c r="L456">
        <v>2</v>
      </c>
      <c r="M456">
        <v>5</v>
      </c>
      <c r="N456">
        <v>13</v>
      </c>
      <c r="O456">
        <v>0</v>
      </c>
      <c r="P456" t="str">
        <f>IF(Table1[[#This Row],[Pregnant(Y/N)]]=1,"YES","NO")</f>
        <v>NO</v>
      </c>
      <c r="Q456">
        <v>1</v>
      </c>
      <c r="R456">
        <v>355.51</v>
      </c>
      <c r="S456">
        <v>1.99</v>
      </c>
      <c r="T456">
        <v>3.71</v>
      </c>
      <c r="U456">
        <v>2.67</v>
      </c>
      <c r="V456">
        <f>Table1[[#This Row],[FSH(mIU/mL)]]/Table1[[#This Row],[LH(mIU/mL)]]</f>
        <v>1.3895131086142323</v>
      </c>
      <c r="W456" t="str">
        <f>IF(Table1[[#This Row],[FSH/LH]]&gt;=2,"Abnormal","Normal")</f>
        <v>Normal</v>
      </c>
      <c r="X456">
        <v>38</v>
      </c>
      <c r="Y456">
        <v>33</v>
      </c>
      <c r="Z456">
        <f>ROUND(Table1[[#This Row],[Waist(inch)]]/Table1[[#This Row],[Hip(inch)]],2)</f>
        <v>0.87</v>
      </c>
      <c r="AA456">
        <v>2.97</v>
      </c>
      <c r="AB456">
        <v>9.6999999999999993</v>
      </c>
      <c r="AC456">
        <v>20.350000000000001</v>
      </c>
      <c r="AD456">
        <v>15</v>
      </c>
      <c r="AE456" t="str">
        <f>IF(Table1[[#This Row],[Vit D3 (ng/mL)]]&lt;20,"Deficiency","Normal")</f>
        <v>Deficiency</v>
      </c>
      <c r="AF456">
        <v>0.28999999999999998</v>
      </c>
      <c r="AG456">
        <v>93</v>
      </c>
      <c r="AH456">
        <v>0</v>
      </c>
      <c r="AI456" t="str">
        <f>IF(Table1[[#This Row],[Weight gain(Y/N)]]=0,"NO","YES")</f>
        <v>NO</v>
      </c>
      <c r="AJ456">
        <v>0</v>
      </c>
      <c r="AK456" t="str">
        <f>IF(Table1[[#This Row],[hair growth(Y/N)]]=1,"YES","NO")</f>
        <v>NO</v>
      </c>
      <c r="AL456">
        <v>1</v>
      </c>
      <c r="AM456" t="str">
        <f>IF(Table1[[#This Row],[Skin darkening (Y/N)]]=1,"YES","NO")</f>
        <v>YES</v>
      </c>
      <c r="AN456">
        <v>0</v>
      </c>
      <c r="AO456" t="str">
        <f>IF(Table1[[#This Row],[Hair loss(Y/N)]]=1,"YES","NO")</f>
        <v>NO</v>
      </c>
      <c r="AP456">
        <v>1</v>
      </c>
      <c r="AQ456" t="str">
        <f>IF(Table1[[#This Row],[Pimples(Y/N)]]=1,"YES","NO")</f>
        <v>YES</v>
      </c>
      <c r="AR456">
        <v>1</v>
      </c>
      <c r="AS456" t="str">
        <f>IF(Table1[[#This Row],[Fast food (Y/N)]]=1,"YES","NO")</f>
        <v>YES</v>
      </c>
      <c r="AT456">
        <v>1</v>
      </c>
      <c r="AU456" t="str">
        <f>IF(Table1[[#This Row],[Reg.Exercise(Y/N)]]=1,"YES","NO")</f>
        <v>YES</v>
      </c>
      <c r="AV456">
        <v>120</v>
      </c>
      <c r="AW456">
        <v>80</v>
      </c>
      <c r="AX456">
        <v>12</v>
      </c>
      <c r="AY456">
        <v>13</v>
      </c>
      <c r="AZ456">
        <v>19</v>
      </c>
      <c r="BA456">
        <v>18</v>
      </c>
      <c r="BB456">
        <v>8.1999999999999993</v>
      </c>
      <c r="BC456" t="str" cm="1">
        <f t="array" ref="BC456">_xlfn.IFS((F456/(G456*G456)*10000)&lt; 18.5,"Underweight",(F456/(G456*G456)*10000)&lt;24.9,"Normal",(F456/(G456*G456)*10000)&lt;29.9,"Overweight",(F456/(G456*G456)*10000)&gt;=30,"obesity")</f>
        <v>Normal</v>
      </c>
      <c r="BD456">
        <f>Table1[[#This Row],[Follicle No. (L)]]+Table1[[#This Row],[Follicle No. (R)]]</f>
        <v>25</v>
      </c>
      <c r="BE456">
        <f>Table1[[#This Row],[Avg. F size (L) (mm)]]+Table1[[#This Row],[Avg. F size (R) (mm)]]</f>
        <v>37</v>
      </c>
      <c r="BF456">
        <f>Table1[[#This Row],[BP _Diastolic (mmHg)]]+(Table1[[#This Row],[BP _Diastolic (mmHg)]]+Table1[[#This Row],[Follicle No. (L)]])/3</f>
        <v>110.66666666666667</v>
      </c>
      <c r="BG456" s="4" t="str" cm="1">
        <f t="array" ref="BG45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6" s="4">
        <f>SUM(Table1[[#This Row],[Pimples(Y/N)]],Table1[[#This Row],[hair growth(Y/N)]],Table1[[#This Row],[Skin darkening (Y/N)]],Table1[[#This Row],[Hair loss(Y/N)]])</f>
        <v>2</v>
      </c>
      <c r="BI456" s="4" t="str">
        <f>IF(AND(Table1[[#This Row],[Pregnant(Y/N)]]=0, Table1[[#This Row],[  I   beta-HCG(mIU/mL)]]&gt;5), "Investigation Required", "Clear")</f>
        <v>Investigation Required</v>
      </c>
    </row>
    <row r="457" spans="1:61" ht="15.75" customHeight="1" x14ac:dyDescent="0.25">
      <c r="A457">
        <v>456</v>
      </c>
      <c r="B457">
        <v>456</v>
      </c>
      <c r="C457">
        <v>1</v>
      </c>
      <c r="D457" t="str">
        <f>IF(Table1[[#This Row],[PCOS (Y/N)]]=0,"NO","YES")</f>
        <v>YES</v>
      </c>
      <c r="E457">
        <v>32</v>
      </c>
      <c r="F457">
        <v>52</v>
      </c>
      <c r="G457">
        <v>150</v>
      </c>
      <c r="H457">
        <v>13</v>
      </c>
      <c r="I457">
        <v>70</v>
      </c>
      <c r="J457">
        <v>18</v>
      </c>
      <c r="K457">
        <v>9.4</v>
      </c>
      <c r="L457">
        <v>2</v>
      </c>
      <c r="M457">
        <v>5</v>
      </c>
      <c r="N457">
        <v>12</v>
      </c>
      <c r="O457">
        <v>0</v>
      </c>
      <c r="P457" t="str">
        <f>IF(Table1[[#This Row],[Pregnant(Y/N)]]=1,"YES","NO")</f>
        <v>NO</v>
      </c>
      <c r="Q457">
        <v>0</v>
      </c>
      <c r="R457">
        <v>272.77999999999997</v>
      </c>
      <c r="S457">
        <v>1.99</v>
      </c>
      <c r="T457">
        <v>4.33</v>
      </c>
      <c r="U457">
        <v>2018</v>
      </c>
      <c r="V457">
        <f>Table1[[#This Row],[FSH(mIU/mL)]]/Table1[[#This Row],[LH(mIU/mL)]]</f>
        <v>2.1456888007928641E-3</v>
      </c>
      <c r="W457" t="str">
        <f>IF(Table1[[#This Row],[FSH/LH]]&gt;=2,"Abnormal","Normal")</f>
        <v>Normal</v>
      </c>
      <c r="X457">
        <v>36</v>
      </c>
      <c r="Y457">
        <v>32</v>
      </c>
      <c r="Z457">
        <f>ROUND(Table1[[#This Row],[Waist(inch)]]/Table1[[#This Row],[Hip(inch)]],2)</f>
        <v>0.89</v>
      </c>
      <c r="AA457">
        <v>2.1</v>
      </c>
      <c r="AB457">
        <v>7.7</v>
      </c>
      <c r="AC457">
        <v>40.47</v>
      </c>
      <c r="AD457">
        <v>41.04</v>
      </c>
      <c r="AE457" t="str">
        <f>IF(Table1[[#This Row],[Vit D3 (ng/mL)]]&lt;20,"Deficiency","Normal")</f>
        <v>Normal</v>
      </c>
      <c r="AF457">
        <v>0.25</v>
      </c>
      <c r="AG457">
        <v>93</v>
      </c>
      <c r="AH457">
        <v>0</v>
      </c>
      <c r="AI457" t="str">
        <f>IF(Table1[[#This Row],[Weight gain(Y/N)]]=0,"NO","YES")</f>
        <v>NO</v>
      </c>
      <c r="AJ457">
        <v>0</v>
      </c>
      <c r="AK457" t="str">
        <f>IF(Table1[[#This Row],[hair growth(Y/N)]]=1,"YES","NO")</f>
        <v>NO</v>
      </c>
      <c r="AL457">
        <v>0</v>
      </c>
      <c r="AM457" t="str">
        <f>IF(Table1[[#This Row],[Skin darkening (Y/N)]]=1,"YES","NO")</f>
        <v>NO</v>
      </c>
      <c r="AN457">
        <v>0</v>
      </c>
      <c r="AO457" t="str">
        <f>IF(Table1[[#This Row],[Hair loss(Y/N)]]=1,"YES","NO")</f>
        <v>NO</v>
      </c>
      <c r="AP457">
        <v>1</v>
      </c>
      <c r="AQ457" t="str">
        <f>IF(Table1[[#This Row],[Pimples(Y/N)]]=1,"YES","NO")</f>
        <v>YES</v>
      </c>
      <c r="AR457">
        <v>0</v>
      </c>
      <c r="AS457" t="str">
        <f>IF(Table1[[#This Row],[Fast food (Y/N)]]=1,"YES","NO")</f>
        <v>NO</v>
      </c>
      <c r="AT457">
        <v>1</v>
      </c>
      <c r="AU457" t="str">
        <f>IF(Table1[[#This Row],[Reg.Exercise(Y/N)]]=1,"YES","NO")</f>
        <v>YES</v>
      </c>
      <c r="AV457">
        <v>110</v>
      </c>
      <c r="AW457">
        <v>80</v>
      </c>
      <c r="AX457">
        <v>6</v>
      </c>
      <c r="AY457">
        <v>7</v>
      </c>
      <c r="AZ457">
        <v>18</v>
      </c>
      <c r="BA457">
        <v>18</v>
      </c>
      <c r="BB457">
        <v>9</v>
      </c>
      <c r="BC457" t="str" cm="1">
        <f t="array" ref="BC457">_xlfn.IFS((F457/(G457*G457)*10000)&lt; 18.5,"Underweight",(F457/(G457*G457)*10000)&lt;24.9,"Normal",(F457/(G457*G457)*10000)&lt;29.9,"Overweight",(F457/(G457*G457)*10000)&gt;=30,"obesity")</f>
        <v>Normal</v>
      </c>
      <c r="BD457">
        <f>Table1[[#This Row],[Follicle No. (L)]]+Table1[[#This Row],[Follicle No. (R)]]</f>
        <v>13</v>
      </c>
      <c r="BE457">
        <f>Table1[[#This Row],[Avg. F size (L) (mm)]]+Table1[[#This Row],[Avg. F size (R) (mm)]]</f>
        <v>36</v>
      </c>
      <c r="BF457">
        <f>Table1[[#This Row],[BP _Diastolic (mmHg)]]+(Table1[[#This Row],[BP _Diastolic (mmHg)]]+Table1[[#This Row],[Follicle No. (L)]])/3</f>
        <v>108.66666666666667</v>
      </c>
      <c r="BG457" s="4" t="str" cm="1">
        <f t="array" ref="BG45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7" s="4">
        <f>SUM(Table1[[#This Row],[Pimples(Y/N)]],Table1[[#This Row],[hair growth(Y/N)]],Table1[[#This Row],[Skin darkening (Y/N)]],Table1[[#This Row],[Hair loss(Y/N)]])</f>
        <v>1</v>
      </c>
      <c r="BI457" s="4" t="str">
        <f>IF(AND(Table1[[#This Row],[Pregnant(Y/N)]]=0, Table1[[#This Row],[  I   beta-HCG(mIU/mL)]]&gt;5), "Investigation Required", "Clear")</f>
        <v>Investigation Required</v>
      </c>
    </row>
    <row r="458" spans="1:61" ht="15.75" customHeight="1" x14ac:dyDescent="0.25">
      <c r="A458">
        <v>457</v>
      </c>
      <c r="B458">
        <v>457</v>
      </c>
      <c r="C458">
        <v>1</v>
      </c>
      <c r="D458" t="str">
        <f>IF(Table1[[#This Row],[PCOS (Y/N)]]=0,"NO","YES")</f>
        <v>YES</v>
      </c>
      <c r="E458">
        <v>31</v>
      </c>
      <c r="F458">
        <v>51</v>
      </c>
      <c r="G458">
        <v>156</v>
      </c>
      <c r="H458">
        <v>17</v>
      </c>
      <c r="I458">
        <v>78</v>
      </c>
      <c r="J458">
        <v>20</v>
      </c>
      <c r="K458">
        <v>11.1</v>
      </c>
      <c r="L458">
        <v>2</v>
      </c>
      <c r="M458">
        <v>6</v>
      </c>
      <c r="N458">
        <v>5</v>
      </c>
      <c r="O458">
        <v>0</v>
      </c>
      <c r="P458" t="str">
        <f>IF(Table1[[#This Row],[Pregnant(Y/N)]]=1,"YES","NO")</f>
        <v>NO</v>
      </c>
      <c r="Q458">
        <v>0</v>
      </c>
      <c r="R458">
        <v>148.52000000000001</v>
      </c>
      <c r="S458">
        <v>1.99</v>
      </c>
      <c r="T458">
        <v>4.96</v>
      </c>
      <c r="U458">
        <v>1.75</v>
      </c>
      <c r="V458">
        <f>Table1[[#This Row],[FSH(mIU/mL)]]/Table1[[#This Row],[LH(mIU/mL)]]</f>
        <v>2.8342857142857141</v>
      </c>
      <c r="W458" t="str">
        <f>IF(Table1[[#This Row],[FSH/LH]]&gt;=2,"Abnormal","Normal")</f>
        <v>Abnormal</v>
      </c>
      <c r="X458">
        <v>36</v>
      </c>
      <c r="Y458">
        <v>31</v>
      </c>
      <c r="Z458">
        <f>ROUND(Table1[[#This Row],[Waist(inch)]]/Table1[[#This Row],[Hip(inch)]],2)</f>
        <v>0.86</v>
      </c>
      <c r="AA458">
        <v>2.2000000000000002</v>
      </c>
      <c r="AB458">
        <v>1.1000000000000001</v>
      </c>
      <c r="AC458">
        <v>12.11</v>
      </c>
      <c r="AD458">
        <v>25.7</v>
      </c>
      <c r="AE458" t="str">
        <f>IF(Table1[[#This Row],[Vit D3 (ng/mL)]]&lt;20,"Deficiency","Normal")</f>
        <v>Normal</v>
      </c>
      <c r="AF458">
        <v>0.35</v>
      </c>
      <c r="AG458">
        <v>93</v>
      </c>
      <c r="AH458">
        <v>0</v>
      </c>
      <c r="AI458" t="str">
        <f>IF(Table1[[#This Row],[Weight gain(Y/N)]]=0,"NO","YES")</f>
        <v>NO</v>
      </c>
      <c r="AJ458">
        <v>0</v>
      </c>
      <c r="AK458" t="str">
        <f>IF(Table1[[#This Row],[hair growth(Y/N)]]=1,"YES","NO")</f>
        <v>NO</v>
      </c>
      <c r="AL458">
        <v>1</v>
      </c>
      <c r="AM458" t="str">
        <f>IF(Table1[[#This Row],[Skin darkening (Y/N)]]=1,"YES","NO")</f>
        <v>YES</v>
      </c>
      <c r="AN458">
        <v>0</v>
      </c>
      <c r="AO458" t="str">
        <f>IF(Table1[[#This Row],[Hair loss(Y/N)]]=1,"YES","NO")</f>
        <v>NO</v>
      </c>
      <c r="AP458">
        <v>1</v>
      </c>
      <c r="AQ458" t="str">
        <f>IF(Table1[[#This Row],[Pimples(Y/N)]]=1,"YES","NO")</f>
        <v>YES</v>
      </c>
      <c r="AR458">
        <v>0</v>
      </c>
      <c r="AS458" t="str">
        <f>IF(Table1[[#This Row],[Fast food (Y/N)]]=1,"YES","NO")</f>
        <v>NO</v>
      </c>
      <c r="AT458">
        <v>1</v>
      </c>
      <c r="AU458" t="str">
        <f>IF(Table1[[#This Row],[Reg.Exercise(Y/N)]]=1,"YES","NO")</f>
        <v>YES</v>
      </c>
      <c r="AV458">
        <v>120</v>
      </c>
      <c r="AW458">
        <v>70</v>
      </c>
      <c r="AX458">
        <v>14</v>
      </c>
      <c r="AY458">
        <v>10</v>
      </c>
      <c r="AZ458">
        <v>17</v>
      </c>
      <c r="BA458">
        <v>17</v>
      </c>
      <c r="BB458">
        <v>7</v>
      </c>
      <c r="BC458" t="str" cm="1">
        <f t="array" ref="BC458">_xlfn.IFS((F458/(G458*G458)*10000)&lt; 18.5,"Underweight",(F458/(G458*G458)*10000)&lt;24.9,"Normal",(F458/(G458*G458)*10000)&lt;29.9,"Overweight",(F458/(G458*G458)*10000)&gt;=30,"obesity")</f>
        <v>Normal</v>
      </c>
      <c r="BD458">
        <f>Table1[[#This Row],[Follicle No. (L)]]+Table1[[#This Row],[Follicle No. (R)]]</f>
        <v>24</v>
      </c>
      <c r="BE458">
        <f>Table1[[#This Row],[Avg. F size (L) (mm)]]+Table1[[#This Row],[Avg. F size (R) (mm)]]</f>
        <v>34</v>
      </c>
      <c r="BF458">
        <f>Table1[[#This Row],[BP _Diastolic (mmHg)]]+(Table1[[#This Row],[BP _Diastolic (mmHg)]]+Table1[[#This Row],[Follicle No. (L)]])/3</f>
        <v>98</v>
      </c>
      <c r="BG458" s="4" t="str" cm="1">
        <f t="array" ref="BG45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8" s="4">
        <f>SUM(Table1[[#This Row],[Pimples(Y/N)]],Table1[[#This Row],[hair growth(Y/N)]],Table1[[#This Row],[Skin darkening (Y/N)]],Table1[[#This Row],[Hair loss(Y/N)]])</f>
        <v>2</v>
      </c>
      <c r="BI458" s="4" t="str">
        <f>IF(AND(Table1[[#This Row],[Pregnant(Y/N)]]=0, Table1[[#This Row],[  I   beta-HCG(mIU/mL)]]&gt;5), "Investigation Required", "Clear")</f>
        <v>Investigation Required</v>
      </c>
    </row>
    <row r="459" spans="1:61" ht="15.75" customHeight="1" x14ac:dyDescent="0.25">
      <c r="A459">
        <v>458</v>
      </c>
      <c r="B459">
        <v>458</v>
      </c>
      <c r="C459">
        <v>1</v>
      </c>
      <c r="D459" t="str">
        <f>IF(Table1[[#This Row],[PCOS (Y/N)]]=0,"NO","YES")</f>
        <v>YES</v>
      </c>
      <c r="E459">
        <v>31</v>
      </c>
      <c r="F459">
        <v>38</v>
      </c>
      <c r="G459">
        <v>158.49600000000001</v>
      </c>
      <c r="H459">
        <v>15</v>
      </c>
      <c r="I459">
        <v>80</v>
      </c>
      <c r="J459">
        <v>20</v>
      </c>
      <c r="K459">
        <v>12</v>
      </c>
      <c r="L459">
        <v>4</v>
      </c>
      <c r="M459">
        <v>2</v>
      </c>
      <c r="N459">
        <v>3</v>
      </c>
      <c r="O459">
        <v>0</v>
      </c>
      <c r="P459" t="str">
        <f>IF(Table1[[#This Row],[Pregnant(Y/N)]]=1,"YES","NO")</f>
        <v>NO</v>
      </c>
      <c r="Q459">
        <v>0</v>
      </c>
      <c r="R459">
        <v>1.92</v>
      </c>
      <c r="S459">
        <v>1.99</v>
      </c>
      <c r="T459">
        <v>3.99</v>
      </c>
      <c r="U459">
        <v>6.63</v>
      </c>
      <c r="V459">
        <f>Table1[[#This Row],[FSH(mIU/mL)]]/Table1[[#This Row],[LH(mIU/mL)]]</f>
        <v>0.6018099547511313</v>
      </c>
      <c r="W459" t="str">
        <f>IF(Table1[[#This Row],[FSH/LH]]&gt;=2,"Abnormal","Normal")</f>
        <v>Normal</v>
      </c>
      <c r="X459">
        <v>26</v>
      </c>
      <c r="Y459">
        <v>25</v>
      </c>
      <c r="Z459">
        <f>ROUND(Table1[[#This Row],[Waist(inch)]]/Table1[[#This Row],[Hip(inch)]],2)</f>
        <v>0.96</v>
      </c>
      <c r="AA459">
        <v>1.3</v>
      </c>
      <c r="AB459">
        <v>17.600000000000001</v>
      </c>
      <c r="AC459">
        <v>13.91</v>
      </c>
      <c r="AD459">
        <v>19.5</v>
      </c>
      <c r="AE459" t="str">
        <f>IF(Table1[[#This Row],[Vit D3 (ng/mL)]]&lt;20,"Deficiency","Normal")</f>
        <v>Deficiency</v>
      </c>
      <c r="AF459">
        <v>0.25</v>
      </c>
      <c r="AG459">
        <v>133</v>
      </c>
      <c r="AH459">
        <v>0</v>
      </c>
      <c r="AI459" t="str">
        <f>IF(Table1[[#This Row],[Weight gain(Y/N)]]=0,"NO","YES")</f>
        <v>NO</v>
      </c>
      <c r="AJ459">
        <v>0</v>
      </c>
      <c r="AK459" t="str">
        <f>IF(Table1[[#This Row],[hair growth(Y/N)]]=1,"YES","NO")</f>
        <v>NO</v>
      </c>
      <c r="AL459">
        <v>0</v>
      </c>
      <c r="AM459" t="str">
        <f>IF(Table1[[#This Row],[Skin darkening (Y/N)]]=1,"YES","NO")</f>
        <v>NO</v>
      </c>
      <c r="AN459">
        <v>0</v>
      </c>
      <c r="AO459" t="str">
        <f>IF(Table1[[#This Row],[Hair loss(Y/N)]]=1,"YES","NO")</f>
        <v>NO</v>
      </c>
      <c r="AP459">
        <v>1</v>
      </c>
      <c r="AQ459" t="str">
        <f>IF(Table1[[#This Row],[Pimples(Y/N)]]=1,"YES","NO")</f>
        <v>YES</v>
      </c>
      <c r="AR459">
        <v>0</v>
      </c>
      <c r="AS459" t="str">
        <f>IF(Table1[[#This Row],[Fast food (Y/N)]]=1,"YES","NO")</f>
        <v>NO</v>
      </c>
      <c r="AT459">
        <v>0</v>
      </c>
      <c r="AU459" t="str">
        <f>IF(Table1[[#This Row],[Reg.Exercise(Y/N)]]=1,"YES","NO")</f>
        <v>NO</v>
      </c>
      <c r="AV459">
        <v>120</v>
      </c>
      <c r="AW459">
        <v>70</v>
      </c>
      <c r="AX459">
        <v>7</v>
      </c>
      <c r="AY459">
        <v>6</v>
      </c>
      <c r="AZ459">
        <v>17</v>
      </c>
      <c r="BA459">
        <v>19</v>
      </c>
      <c r="BB459">
        <v>8</v>
      </c>
      <c r="BC459" t="str" cm="1">
        <f t="array" ref="BC459">_xlfn.IFS((F459/(G459*G459)*10000)&lt; 18.5,"Underweight",(F459/(G459*G459)*10000)&lt;24.9,"Normal",(F459/(G459*G459)*10000)&lt;29.9,"Overweight",(F459/(G459*G459)*10000)&gt;=30,"obesity")</f>
        <v>Underweight</v>
      </c>
      <c r="BD459">
        <f>Table1[[#This Row],[Follicle No. (L)]]+Table1[[#This Row],[Follicle No. (R)]]</f>
        <v>13</v>
      </c>
      <c r="BE459">
        <f>Table1[[#This Row],[Avg. F size (L) (mm)]]+Table1[[#This Row],[Avg. F size (R) (mm)]]</f>
        <v>36</v>
      </c>
      <c r="BF459">
        <f>Table1[[#This Row],[BP _Diastolic (mmHg)]]+(Table1[[#This Row],[BP _Diastolic (mmHg)]]+Table1[[#This Row],[Follicle No. (L)]])/3</f>
        <v>95.666666666666671</v>
      </c>
      <c r="BG459" s="4" t="str" cm="1">
        <f t="array" ref="BG45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59" s="4">
        <f>SUM(Table1[[#This Row],[Pimples(Y/N)]],Table1[[#This Row],[hair growth(Y/N)]],Table1[[#This Row],[Skin darkening (Y/N)]],Table1[[#This Row],[Hair loss(Y/N)]])</f>
        <v>1</v>
      </c>
      <c r="BI459" s="4" t="str">
        <f>IF(AND(Table1[[#This Row],[Pregnant(Y/N)]]=0, Table1[[#This Row],[  I   beta-HCG(mIU/mL)]]&gt;5), "Investigation Required", "Clear")</f>
        <v>Clear</v>
      </c>
    </row>
    <row r="460" spans="1:61" ht="15.75" customHeight="1" x14ac:dyDescent="0.25">
      <c r="A460">
        <v>459</v>
      </c>
      <c r="B460">
        <v>459</v>
      </c>
      <c r="C460">
        <v>1</v>
      </c>
      <c r="D460" t="str">
        <f>IF(Table1[[#This Row],[PCOS (Y/N)]]=0,"NO","YES")</f>
        <v>YES</v>
      </c>
      <c r="E460">
        <v>36</v>
      </c>
      <c r="F460">
        <v>66</v>
      </c>
      <c r="G460">
        <v>162</v>
      </c>
      <c r="H460">
        <v>15</v>
      </c>
      <c r="I460">
        <v>72</v>
      </c>
      <c r="J460">
        <v>20</v>
      </c>
      <c r="K460">
        <v>11</v>
      </c>
      <c r="L460">
        <v>4</v>
      </c>
      <c r="M460">
        <v>7</v>
      </c>
      <c r="O460">
        <v>0</v>
      </c>
      <c r="P460" t="str">
        <f>IF(Table1[[#This Row],[Pregnant(Y/N)]]=1,"YES","NO")</f>
        <v>NO</v>
      </c>
      <c r="Q460">
        <v>0</v>
      </c>
      <c r="R460">
        <v>515.33000000000004</v>
      </c>
      <c r="S460">
        <v>1.99</v>
      </c>
      <c r="T460">
        <v>1.64</v>
      </c>
      <c r="U460">
        <v>0.17</v>
      </c>
      <c r="V460">
        <f>Table1[[#This Row],[FSH(mIU/mL)]]/Table1[[#This Row],[LH(mIU/mL)]]</f>
        <v>9.6470588235294112</v>
      </c>
      <c r="W460" t="str">
        <f>IF(Table1[[#This Row],[FSH/LH]]&gt;=2,"Abnormal","Normal")</f>
        <v>Abnormal</v>
      </c>
      <c r="X460">
        <v>39</v>
      </c>
      <c r="Y460">
        <v>37</v>
      </c>
      <c r="Z460">
        <f>ROUND(Table1[[#This Row],[Waist(inch)]]/Table1[[#This Row],[Hip(inch)]],2)</f>
        <v>0.95</v>
      </c>
      <c r="AA460">
        <v>1.86</v>
      </c>
      <c r="AB460">
        <v>6.6</v>
      </c>
      <c r="AC460">
        <v>25</v>
      </c>
      <c r="AD460">
        <v>20.8</v>
      </c>
      <c r="AE460" t="str">
        <f>IF(Table1[[#This Row],[Vit D3 (ng/mL)]]&lt;20,"Deficiency","Normal")</f>
        <v>Normal</v>
      </c>
      <c r="AF460">
        <v>0.25</v>
      </c>
      <c r="AG460">
        <v>93</v>
      </c>
      <c r="AH460">
        <v>0</v>
      </c>
      <c r="AI460" t="str">
        <f>IF(Table1[[#This Row],[Weight gain(Y/N)]]=0,"NO","YES")</f>
        <v>NO</v>
      </c>
      <c r="AJ460">
        <v>0</v>
      </c>
      <c r="AK460" t="str">
        <f>IF(Table1[[#This Row],[hair growth(Y/N)]]=1,"YES","NO")</f>
        <v>NO</v>
      </c>
      <c r="AL460">
        <v>0</v>
      </c>
      <c r="AM460" t="str">
        <f>IF(Table1[[#This Row],[Skin darkening (Y/N)]]=1,"YES","NO")</f>
        <v>NO</v>
      </c>
      <c r="AN460">
        <v>0</v>
      </c>
      <c r="AO460" t="str">
        <f>IF(Table1[[#This Row],[Hair loss(Y/N)]]=1,"YES","NO")</f>
        <v>NO</v>
      </c>
      <c r="AP460">
        <v>0</v>
      </c>
      <c r="AQ460" t="str">
        <f>IF(Table1[[#This Row],[Pimples(Y/N)]]=1,"YES","NO")</f>
        <v>NO</v>
      </c>
      <c r="AR460">
        <v>0</v>
      </c>
      <c r="AS460" t="str">
        <f>IF(Table1[[#This Row],[Fast food (Y/N)]]=1,"YES","NO")</f>
        <v>NO</v>
      </c>
      <c r="AT460">
        <v>0</v>
      </c>
      <c r="AU460" t="str">
        <f>IF(Table1[[#This Row],[Reg.Exercise(Y/N)]]=1,"YES","NO")</f>
        <v>NO</v>
      </c>
      <c r="AV460">
        <v>120</v>
      </c>
      <c r="AW460">
        <v>80</v>
      </c>
      <c r="AX460">
        <v>14</v>
      </c>
      <c r="AY460">
        <v>5</v>
      </c>
      <c r="AZ460">
        <v>19</v>
      </c>
      <c r="BA460">
        <v>19</v>
      </c>
      <c r="BB460">
        <v>8</v>
      </c>
      <c r="BC460" t="str" cm="1">
        <f t="array" ref="BC460">_xlfn.IFS((F460/(G460*G460)*10000)&lt; 18.5,"Underweight",(F460/(G460*G460)*10000)&lt;24.9,"Normal",(F460/(G460*G460)*10000)&lt;29.9,"Overweight",(F460/(G460*G460)*10000)&gt;=30,"obesity")</f>
        <v>Overweight</v>
      </c>
      <c r="BD460">
        <f>Table1[[#This Row],[Follicle No. (L)]]+Table1[[#This Row],[Follicle No. (R)]]</f>
        <v>19</v>
      </c>
      <c r="BE460">
        <f>Table1[[#This Row],[Avg. F size (L) (mm)]]+Table1[[#This Row],[Avg. F size (R) (mm)]]</f>
        <v>38</v>
      </c>
      <c r="BF460">
        <f>Table1[[#This Row],[BP _Diastolic (mmHg)]]+(Table1[[#This Row],[BP _Diastolic (mmHg)]]+Table1[[#This Row],[Follicle No. (L)]])/3</f>
        <v>111.33333333333333</v>
      </c>
      <c r="BG460" s="4" t="str" cm="1">
        <f t="array" ref="BG46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60" s="4">
        <f>SUM(Table1[[#This Row],[Pimples(Y/N)]],Table1[[#This Row],[hair growth(Y/N)]],Table1[[#This Row],[Skin darkening (Y/N)]],Table1[[#This Row],[Hair loss(Y/N)]])</f>
        <v>0</v>
      </c>
      <c r="BI460" s="4" t="str">
        <f>IF(AND(Table1[[#This Row],[Pregnant(Y/N)]]=0, Table1[[#This Row],[  I   beta-HCG(mIU/mL)]]&gt;5), "Investigation Required", "Clear")</f>
        <v>Investigation Required</v>
      </c>
    </row>
    <row r="461" spans="1:61" ht="15.75" customHeight="1" x14ac:dyDescent="0.25">
      <c r="A461">
        <v>460</v>
      </c>
      <c r="B461">
        <v>460</v>
      </c>
      <c r="C461">
        <v>0</v>
      </c>
      <c r="D461" t="str">
        <f>IF(Table1[[#This Row],[PCOS (Y/N)]]=0,"NO","YES")</f>
        <v>NO</v>
      </c>
      <c r="E461">
        <v>36</v>
      </c>
      <c r="F461">
        <v>55</v>
      </c>
      <c r="G461">
        <v>154</v>
      </c>
      <c r="H461">
        <v>13</v>
      </c>
      <c r="I461">
        <v>74</v>
      </c>
      <c r="J461">
        <v>18</v>
      </c>
      <c r="K461">
        <v>10</v>
      </c>
      <c r="L461">
        <v>2</v>
      </c>
      <c r="M461">
        <v>5</v>
      </c>
      <c r="N461">
        <v>8</v>
      </c>
      <c r="O461">
        <v>0</v>
      </c>
      <c r="P461" t="str">
        <f>IF(Table1[[#This Row],[Pregnant(Y/N)]]=1,"YES","NO")</f>
        <v>NO</v>
      </c>
      <c r="Q461">
        <v>0</v>
      </c>
      <c r="R461">
        <v>8</v>
      </c>
      <c r="S461">
        <v>1.99</v>
      </c>
      <c r="T461">
        <v>3.22</v>
      </c>
      <c r="U461">
        <v>0.1</v>
      </c>
      <c r="V461">
        <f>Table1[[#This Row],[FSH(mIU/mL)]]/Table1[[#This Row],[LH(mIU/mL)]]</f>
        <v>32.200000000000003</v>
      </c>
      <c r="W461" t="str">
        <f>IF(Table1[[#This Row],[FSH/LH]]&gt;=2,"Abnormal","Normal")</f>
        <v>Abnormal</v>
      </c>
      <c r="X461">
        <v>38</v>
      </c>
      <c r="Y461">
        <v>37</v>
      </c>
      <c r="Z461">
        <f>ROUND(Table1[[#This Row],[Waist(inch)]]/Table1[[#This Row],[Hip(inch)]],2)</f>
        <v>0.97</v>
      </c>
      <c r="AA461">
        <v>2.91</v>
      </c>
      <c r="AB461">
        <v>5</v>
      </c>
      <c r="AC461">
        <v>22.84</v>
      </c>
      <c r="AD461">
        <v>53.21</v>
      </c>
      <c r="AE461" t="str">
        <f>IF(Table1[[#This Row],[Vit D3 (ng/mL)]]&lt;20,"Deficiency","Normal")</f>
        <v>Normal</v>
      </c>
      <c r="AF461">
        <v>0.26</v>
      </c>
      <c r="AG461">
        <v>92</v>
      </c>
      <c r="AH461">
        <v>0</v>
      </c>
      <c r="AI461" t="str">
        <f>IF(Table1[[#This Row],[Weight gain(Y/N)]]=0,"NO","YES")</f>
        <v>NO</v>
      </c>
      <c r="AJ461">
        <v>0</v>
      </c>
      <c r="AK461" t="str">
        <f>IF(Table1[[#This Row],[hair growth(Y/N)]]=1,"YES","NO")</f>
        <v>NO</v>
      </c>
      <c r="AL461">
        <v>0</v>
      </c>
      <c r="AM461" t="str">
        <f>IF(Table1[[#This Row],[Skin darkening (Y/N)]]=1,"YES","NO")</f>
        <v>NO</v>
      </c>
      <c r="AN461">
        <v>1</v>
      </c>
      <c r="AO461" t="str">
        <f>IF(Table1[[#This Row],[Hair loss(Y/N)]]=1,"YES","NO")</f>
        <v>YES</v>
      </c>
      <c r="AP461">
        <v>0</v>
      </c>
      <c r="AQ461" t="str">
        <f>IF(Table1[[#This Row],[Pimples(Y/N)]]=1,"YES","NO")</f>
        <v>NO</v>
      </c>
      <c r="AR461">
        <v>1</v>
      </c>
      <c r="AS461" t="str">
        <f>IF(Table1[[#This Row],[Fast food (Y/N)]]=1,"YES","NO")</f>
        <v>YES</v>
      </c>
      <c r="AT461">
        <v>0</v>
      </c>
      <c r="AU461" t="str">
        <f>IF(Table1[[#This Row],[Reg.Exercise(Y/N)]]=1,"YES","NO")</f>
        <v>NO</v>
      </c>
      <c r="AV461">
        <v>110</v>
      </c>
      <c r="AW461">
        <v>80</v>
      </c>
      <c r="AX461">
        <v>4</v>
      </c>
      <c r="AY461">
        <v>1</v>
      </c>
      <c r="AZ461">
        <v>22</v>
      </c>
      <c r="BA461">
        <v>14</v>
      </c>
      <c r="BB461">
        <v>10.5</v>
      </c>
      <c r="BC461" t="str" cm="1">
        <f t="array" ref="BC461">_xlfn.IFS((F461/(G461*G461)*10000)&lt; 18.5,"Underweight",(F461/(G461*G461)*10000)&lt;24.9,"Normal",(F461/(G461*G461)*10000)&lt;29.9,"Overweight",(F461/(G461*G461)*10000)&gt;=30,"obesity")</f>
        <v>Normal</v>
      </c>
      <c r="BD461">
        <f>Table1[[#This Row],[Follicle No. (L)]]+Table1[[#This Row],[Follicle No. (R)]]</f>
        <v>5</v>
      </c>
      <c r="BE461">
        <f>Table1[[#This Row],[Avg. F size (L) (mm)]]+Table1[[#This Row],[Avg. F size (R) (mm)]]</f>
        <v>36</v>
      </c>
      <c r="BF461">
        <f>Table1[[#This Row],[BP _Diastolic (mmHg)]]+(Table1[[#This Row],[BP _Diastolic (mmHg)]]+Table1[[#This Row],[Follicle No. (L)]])/3</f>
        <v>108</v>
      </c>
      <c r="BG461" s="4" t="str" cm="1">
        <f t="array" ref="BG46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61" s="4">
        <f>SUM(Table1[[#This Row],[Pimples(Y/N)]],Table1[[#This Row],[hair growth(Y/N)]],Table1[[#This Row],[Skin darkening (Y/N)]],Table1[[#This Row],[Hair loss(Y/N)]])</f>
        <v>1</v>
      </c>
      <c r="BI461" s="4" t="str">
        <f>IF(AND(Table1[[#This Row],[Pregnant(Y/N)]]=0, Table1[[#This Row],[  I   beta-HCG(mIU/mL)]]&gt;5), "Investigation Required", "Clear")</f>
        <v>Investigation Required</v>
      </c>
    </row>
    <row r="462" spans="1:61" ht="15.75" customHeight="1" x14ac:dyDescent="0.25">
      <c r="A462">
        <v>461</v>
      </c>
      <c r="B462">
        <v>461</v>
      </c>
      <c r="C462">
        <v>0</v>
      </c>
      <c r="D462" t="str">
        <f>IF(Table1[[#This Row],[PCOS (Y/N)]]=0,"NO","YES")</f>
        <v>NO</v>
      </c>
      <c r="E462">
        <v>27</v>
      </c>
      <c r="F462">
        <v>63</v>
      </c>
      <c r="G462">
        <v>158</v>
      </c>
      <c r="H462">
        <v>12</v>
      </c>
      <c r="I462">
        <v>72</v>
      </c>
      <c r="J462">
        <v>18</v>
      </c>
      <c r="K462">
        <v>11.2</v>
      </c>
      <c r="L462">
        <v>2</v>
      </c>
      <c r="M462">
        <v>4</v>
      </c>
      <c r="N462">
        <v>2.5</v>
      </c>
      <c r="O462">
        <v>0</v>
      </c>
      <c r="P462" t="str">
        <f>IF(Table1[[#This Row],[Pregnant(Y/N)]]=1,"YES","NO")</f>
        <v>NO</v>
      </c>
      <c r="Q462">
        <v>1</v>
      </c>
      <c r="R462">
        <v>152.66999999999999</v>
      </c>
      <c r="S462">
        <v>1.99</v>
      </c>
      <c r="T462">
        <v>7.9</v>
      </c>
      <c r="U462">
        <v>3.36</v>
      </c>
      <c r="V462">
        <f>Table1[[#This Row],[FSH(mIU/mL)]]/Table1[[#This Row],[LH(mIU/mL)]]</f>
        <v>2.3511904761904763</v>
      </c>
      <c r="W462" t="str">
        <f>IF(Table1[[#This Row],[FSH/LH]]&gt;=2,"Abnormal","Normal")</f>
        <v>Abnormal</v>
      </c>
      <c r="X462">
        <v>39</v>
      </c>
      <c r="Y462">
        <v>37</v>
      </c>
      <c r="Z462">
        <f>ROUND(Table1[[#This Row],[Waist(inch)]]/Table1[[#This Row],[Hip(inch)]],2)</f>
        <v>0.95</v>
      </c>
      <c r="AA462">
        <v>2.2799999999999998</v>
      </c>
      <c r="AB462">
        <v>7</v>
      </c>
      <c r="AC462">
        <v>13.11</v>
      </c>
      <c r="AD462">
        <v>42.12</v>
      </c>
      <c r="AE462" t="str">
        <f>IF(Table1[[#This Row],[Vit D3 (ng/mL)]]&lt;20,"Deficiency","Normal")</f>
        <v>Normal</v>
      </c>
      <c r="AF462">
        <v>0.25</v>
      </c>
      <c r="AG462">
        <v>80</v>
      </c>
      <c r="AH462">
        <v>0</v>
      </c>
      <c r="AI462" t="str">
        <f>IF(Table1[[#This Row],[Weight gain(Y/N)]]=0,"NO","YES")</f>
        <v>NO</v>
      </c>
      <c r="AJ462">
        <v>0</v>
      </c>
      <c r="AK462" t="str">
        <f>IF(Table1[[#This Row],[hair growth(Y/N)]]=1,"YES","NO")</f>
        <v>NO</v>
      </c>
      <c r="AL462">
        <v>0</v>
      </c>
      <c r="AM462" t="str">
        <f>IF(Table1[[#This Row],[Skin darkening (Y/N)]]=1,"YES","NO")</f>
        <v>NO</v>
      </c>
      <c r="AN462">
        <v>0</v>
      </c>
      <c r="AO462" t="str">
        <f>IF(Table1[[#This Row],[Hair loss(Y/N)]]=1,"YES","NO")</f>
        <v>NO</v>
      </c>
      <c r="AP462">
        <v>0</v>
      </c>
      <c r="AQ462" t="str">
        <f>IF(Table1[[#This Row],[Pimples(Y/N)]]=1,"YES","NO")</f>
        <v>NO</v>
      </c>
      <c r="AR462">
        <v>1</v>
      </c>
      <c r="AS462" t="str">
        <f>IF(Table1[[#This Row],[Fast food (Y/N)]]=1,"YES","NO")</f>
        <v>YES</v>
      </c>
      <c r="AT462">
        <v>0</v>
      </c>
      <c r="AU462" t="str">
        <f>IF(Table1[[#This Row],[Reg.Exercise(Y/N)]]=1,"YES","NO")</f>
        <v>NO</v>
      </c>
      <c r="AV462">
        <v>110</v>
      </c>
      <c r="AW462">
        <v>70</v>
      </c>
      <c r="AX462">
        <v>5</v>
      </c>
      <c r="AY462">
        <v>8</v>
      </c>
      <c r="AZ462">
        <v>18</v>
      </c>
      <c r="BA462">
        <v>19</v>
      </c>
      <c r="BB462">
        <v>7.35</v>
      </c>
      <c r="BC462" t="str" cm="1">
        <f t="array" ref="BC462">_xlfn.IFS((F462/(G462*G462)*10000)&lt; 18.5,"Underweight",(F462/(G462*G462)*10000)&lt;24.9,"Normal",(F462/(G462*G462)*10000)&lt;29.9,"Overweight",(F462/(G462*G462)*10000)&gt;=30,"obesity")</f>
        <v>Overweight</v>
      </c>
      <c r="BD462">
        <f>Table1[[#This Row],[Follicle No. (L)]]+Table1[[#This Row],[Follicle No. (R)]]</f>
        <v>13</v>
      </c>
      <c r="BE462">
        <f>Table1[[#This Row],[Avg. F size (L) (mm)]]+Table1[[#This Row],[Avg. F size (R) (mm)]]</f>
        <v>37</v>
      </c>
      <c r="BF462">
        <f>Table1[[#This Row],[BP _Diastolic (mmHg)]]+(Table1[[#This Row],[BP _Diastolic (mmHg)]]+Table1[[#This Row],[Follicle No. (L)]])/3</f>
        <v>95</v>
      </c>
      <c r="BG462" s="4" t="str" cm="1">
        <f t="array" ref="BG46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62" s="4">
        <f>SUM(Table1[[#This Row],[Pimples(Y/N)]],Table1[[#This Row],[hair growth(Y/N)]],Table1[[#This Row],[Skin darkening (Y/N)]],Table1[[#This Row],[Hair loss(Y/N)]])</f>
        <v>0</v>
      </c>
      <c r="BI462" s="4" t="str">
        <f>IF(AND(Table1[[#This Row],[Pregnant(Y/N)]]=0, Table1[[#This Row],[  I   beta-HCG(mIU/mL)]]&gt;5), "Investigation Required", "Clear")</f>
        <v>Investigation Required</v>
      </c>
    </row>
    <row r="463" spans="1:61" ht="15.75" customHeight="1" x14ac:dyDescent="0.25">
      <c r="A463">
        <v>462</v>
      </c>
      <c r="B463">
        <v>462</v>
      </c>
      <c r="C463">
        <v>0</v>
      </c>
      <c r="D463" t="str">
        <f>IF(Table1[[#This Row],[PCOS (Y/N)]]=0,"NO","YES")</f>
        <v>NO</v>
      </c>
      <c r="E463">
        <v>33</v>
      </c>
      <c r="F463">
        <v>55</v>
      </c>
      <c r="G463">
        <v>158.49600000000001</v>
      </c>
      <c r="H463">
        <v>15</v>
      </c>
      <c r="I463">
        <v>72</v>
      </c>
      <c r="J463">
        <v>22</v>
      </c>
      <c r="K463">
        <v>12</v>
      </c>
      <c r="L463">
        <v>2</v>
      </c>
      <c r="M463">
        <v>5</v>
      </c>
      <c r="N463">
        <v>6</v>
      </c>
      <c r="O463">
        <v>1</v>
      </c>
      <c r="P463" t="str">
        <f>IF(Table1[[#This Row],[Pregnant(Y/N)]]=1,"YES","NO")</f>
        <v>YES</v>
      </c>
      <c r="Q463">
        <v>0</v>
      </c>
      <c r="R463">
        <v>480.2</v>
      </c>
      <c r="S463">
        <v>1.9</v>
      </c>
      <c r="T463">
        <v>3.82</v>
      </c>
      <c r="U463">
        <v>1.38</v>
      </c>
      <c r="V463">
        <f>Table1[[#This Row],[FSH(mIU/mL)]]/Table1[[#This Row],[LH(mIU/mL)]]</f>
        <v>2.7681159420289858</v>
      </c>
      <c r="W463" t="str">
        <f>IF(Table1[[#This Row],[FSH/LH]]&gt;=2,"Abnormal","Normal")</f>
        <v>Abnormal</v>
      </c>
      <c r="X463">
        <v>38</v>
      </c>
      <c r="Y463">
        <v>36</v>
      </c>
      <c r="Z463">
        <f>ROUND(Table1[[#This Row],[Waist(inch)]]/Table1[[#This Row],[Hip(inch)]],2)</f>
        <v>0.95</v>
      </c>
      <c r="AA463">
        <v>2.16</v>
      </c>
      <c r="AB463">
        <v>9</v>
      </c>
      <c r="AC463">
        <v>32.369999999999997</v>
      </c>
      <c r="AD463">
        <v>19.8</v>
      </c>
      <c r="AE463" t="str">
        <f>IF(Table1[[#This Row],[Vit D3 (ng/mL)]]&lt;20,"Deficiency","Normal")</f>
        <v>Deficiency</v>
      </c>
      <c r="AF463">
        <v>0.24</v>
      </c>
      <c r="AG463">
        <v>92</v>
      </c>
      <c r="AH463">
        <v>0</v>
      </c>
      <c r="AI463" t="str">
        <f>IF(Table1[[#This Row],[Weight gain(Y/N)]]=0,"NO","YES")</f>
        <v>NO</v>
      </c>
      <c r="AJ463">
        <v>0</v>
      </c>
      <c r="AK463" t="str">
        <f>IF(Table1[[#This Row],[hair growth(Y/N)]]=1,"YES","NO")</f>
        <v>NO</v>
      </c>
      <c r="AL463">
        <v>0</v>
      </c>
      <c r="AM463" t="str">
        <f>IF(Table1[[#This Row],[Skin darkening (Y/N)]]=1,"YES","NO")</f>
        <v>NO</v>
      </c>
      <c r="AN463">
        <v>0</v>
      </c>
      <c r="AO463" t="str">
        <f>IF(Table1[[#This Row],[Hair loss(Y/N)]]=1,"YES","NO")</f>
        <v>NO</v>
      </c>
      <c r="AP463">
        <v>0</v>
      </c>
      <c r="AQ463" t="str">
        <f>IF(Table1[[#This Row],[Pimples(Y/N)]]=1,"YES","NO")</f>
        <v>NO</v>
      </c>
      <c r="AR463">
        <v>1</v>
      </c>
      <c r="AS463" t="str">
        <f>IF(Table1[[#This Row],[Fast food (Y/N)]]=1,"YES","NO")</f>
        <v>YES</v>
      </c>
      <c r="AT463">
        <v>0</v>
      </c>
      <c r="AU463" t="str">
        <f>IF(Table1[[#This Row],[Reg.Exercise(Y/N)]]=1,"YES","NO")</f>
        <v>NO</v>
      </c>
      <c r="AV463">
        <v>110</v>
      </c>
      <c r="AW463">
        <v>80</v>
      </c>
      <c r="AX463">
        <v>0</v>
      </c>
      <c r="AY463">
        <v>4</v>
      </c>
      <c r="AZ463">
        <v>0</v>
      </c>
      <c r="BA463">
        <v>20</v>
      </c>
      <c r="BB463">
        <v>8.9</v>
      </c>
      <c r="BC463" t="str" cm="1">
        <f t="array" ref="BC463">_xlfn.IFS((F463/(G463*G463)*10000)&lt; 18.5,"Underweight",(F463/(G463*G463)*10000)&lt;24.9,"Normal",(F463/(G463*G463)*10000)&lt;29.9,"Overweight",(F463/(G463*G463)*10000)&gt;=30,"obesity")</f>
        <v>Normal</v>
      </c>
      <c r="BD463">
        <f>Table1[[#This Row],[Follicle No. (L)]]+Table1[[#This Row],[Follicle No. (R)]]</f>
        <v>4</v>
      </c>
      <c r="BE463">
        <f>Table1[[#This Row],[Avg. F size (L) (mm)]]+Table1[[#This Row],[Avg. F size (R) (mm)]]</f>
        <v>20</v>
      </c>
      <c r="BF463">
        <f>Table1[[#This Row],[BP _Diastolic (mmHg)]]+(Table1[[#This Row],[BP _Diastolic (mmHg)]]+Table1[[#This Row],[Follicle No. (L)]])/3</f>
        <v>106.66666666666667</v>
      </c>
      <c r="BG463" s="4" t="str" cm="1">
        <f t="array" ref="BG46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63" s="4">
        <f>SUM(Table1[[#This Row],[Pimples(Y/N)]],Table1[[#This Row],[hair growth(Y/N)]],Table1[[#This Row],[Skin darkening (Y/N)]],Table1[[#This Row],[Hair loss(Y/N)]])</f>
        <v>0</v>
      </c>
      <c r="BI463" s="4" t="str">
        <f>IF(AND(Table1[[#This Row],[Pregnant(Y/N)]]=0, Table1[[#This Row],[  I   beta-HCG(mIU/mL)]]&gt;5), "Investigation Required", "Clear")</f>
        <v>Clear</v>
      </c>
    </row>
    <row r="464" spans="1:61" ht="15.75" customHeight="1" x14ac:dyDescent="0.25">
      <c r="A464">
        <v>463</v>
      </c>
      <c r="B464">
        <v>463</v>
      </c>
      <c r="C464">
        <v>1</v>
      </c>
      <c r="D464" t="str">
        <f>IF(Table1[[#This Row],[PCOS (Y/N)]]=0,"NO","YES")</f>
        <v>YES</v>
      </c>
      <c r="E464">
        <v>33</v>
      </c>
      <c r="F464">
        <v>89</v>
      </c>
      <c r="G464">
        <v>163</v>
      </c>
      <c r="H464">
        <v>12</v>
      </c>
      <c r="I464">
        <v>78</v>
      </c>
      <c r="J464">
        <v>22</v>
      </c>
      <c r="K464">
        <v>10.8</v>
      </c>
      <c r="L464">
        <v>4</v>
      </c>
      <c r="M464">
        <v>7</v>
      </c>
      <c r="N464">
        <v>6</v>
      </c>
      <c r="O464">
        <v>1</v>
      </c>
      <c r="P464" t="str">
        <f>IF(Table1[[#This Row],[Pregnant(Y/N)]]=1,"YES","NO")</f>
        <v>YES</v>
      </c>
      <c r="Q464">
        <v>0</v>
      </c>
      <c r="R464">
        <v>381.99</v>
      </c>
      <c r="S464">
        <v>15</v>
      </c>
      <c r="T464">
        <v>3.45</v>
      </c>
      <c r="U464">
        <v>0.72</v>
      </c>
      <c r="V464">
        <f>Table1[[#This Row],[FSH(mIU/mL)]]/Table1[[#This Row],[LH(mIU/mL)]]</f>
        <v>4.791666666666667</v>
      </c>
      <c r="W464" t="str">
        <f>IF(Table1[[#This Row],[FSH/LH]]&gt;=2,"Abnormal","Normal")</f>
        <v>Abnormal</v>
      </c>
      <c r="X464">
        <v>46</v>
      </c>
      <c r="Y464">
        <v>40</v>
      </c>
      <c r="Z464">
        <f>ROUND(Table1[[#This Row],[Waist(inch)]]/Table1[[#This Row],[Hip(inch)]],2)</f>
        <v>0.87</v>
      </c>
      <c r="AA464">
        <v>0.73</v>
      </c>
      <c r="AB464">
        <v>0.7</v>
      </c>
      <c r="AC464">
        <v>15.23</v>
      </c>
      <c r="AD464">
        <v>16.7</v>
      </c>
      <c r="AE464" t="str">
        <f>IF(Table1[[#This Row],[Vit D3 (ng/mL)]]&lt;20,"Deficiency","Normal")</f>
        <v>Deficiency</v>
      </c>
      <c r="AF464">
        <v>0.28000000000000003</v>
      </c>
      <c r="AG464">
        <v>100</v>
      </c>
      <c r="AH464">
        <v>1</v>
      </c>
      <c r="AI464" t="str">
        <f>IF(Table1[[#This Row],[Weight gain(Y/N)]]=0,"NO","YES")</f>
        <v>YES</v>
      </c>
      <c r="AJ464">
        <v>0</v>
      </c>
      <c r="AK464" t="str">
        <f>IF(Table1[[#This Row],[hair growth(Y/N)]]=1,"YES","NO")</f>
        <v>NO</v>
      </c>
      <c r="AL464">
        <v>1</v>
      </c>
      <c r="AM464" t="str">
        <f>IF(Table1[[#This Row],[Skin darkening (Y/N)]]=1,"YES","NO")</f>
        <v>YES</v>
      </c>
      <c r="AN464">
        <v>1</v>
      </c>
      <c r="AO464" t="str">
        <f>IF(Table1[[#This Row],[Hair loss(Y/N)]]=1,"YES","NO")</f>
        <v>YES</v>
      </c>
      <c r="AP464">
        <v>1</v>
      </c>
      <c r="AQ464" t="str">
        <f>IF(Table1[[#This Row],[Pimples(Y/N)]]=1,"YES","NO")</f>
        <v>YES</v>
      </c>
      <c r="AR464">
        <v>1</v>
      </c>
      <c r="AS464" t="str">
        <f>IF(Table1[[#This Row],[Fast food (Y/N)]]=1,"YES","NO")</f>
        <v>YES</v>
      </c>
      <c r="AT464">
        <v>0</v>
      </c>
      <c r="AU464" t="str">
        <f>IF(Table1[[#This Row],[Reg.Exercise(Y/N)]]=1,"YES","NO")</f>
        <v>NO</v>
      </c>
      <c r="AV464">
        <v>120</v>
      </c>
      <c r="AW464">
        <v>80</v>
      </c>
      <c r="AX464">
        <v>13</v>
      </c>
      <c r="AY464">
        <v>12</v>
      </c>
      <c r="AZ464">
        <v>19</v>
      </c>
      <c r="BA464">
        <v>18</v>
      </c>
      <c r="BB464">
        <v>7.9</v>
      </c>
      <c r="BC464" t="str" cm="1">
        <f t="array" ref="BC464">_xlfn.IFS((F464/(G464*G464)*10000)&lt; 18.5,"Underweight",(F464/(G464*G464)*10000)&lt;24.9,"Normal",(F464/(G464*G464)*10000)&lt;29.9,"Overweight",(F464/(G464*G464)*10000)&gt;=30,"obesity")</f>
        <v>obesity</v>
      </c>
      <c r="BD464">
        <f>Table1[[#This Row],[Follicle No. (L)]]+Table1[[#This Row],[Follicle No. (R)]]</f>
        <v>25</v>
      </c>
      <c r="BE464">
        <f>Table1[[#This Row],[Avg. F size (L) (mm)]]+Table1[[#This Row],[Avg. F size (R) (mm)]]</f>
        <v>37</v>
      </c>
      <c r="BF464">
        <f>Table1[[#This Row],[BP _Diastolic (mmHg)]]+(Table1[[#This Row],[BP _Diastolic (mmHg)]]+Table1[[#This Row],[Follicle No. (L)]])/3</f>
        <v>111</v>
      </c>
      <c r="BG464" s="4" t="str" cm="1">
        <f t="array" ref="BG46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64" s="4">
        <f>SUM(Table1[[#This Row],[Pimples(Y/N)]],Table1[[#This Row],[hair growth(Y/N)]],Table1[[#This Row],[Skin darkening (Y/N)]],Table1[[#This Row],[Hair loss(Y/N)]])</f>
        <v>3</v>
      </c>
      <c r="BI464" s="4" t="str">
        <f>IF(AND(Table1[[#This Row],[Pregnant(Y/N)]]=0, Table1[[#This Row],[  I   beta-HCG(mIU/mL)]]&gt;5), "Investigation Required", "Clear")</f>
        <v>Clear</v>
      </c>
    </row>
    <row r="465" spans="1:61" ht="15.75" customHeight="1" x14ac:dyDescent="0.25">
      <c r="A465">
        <v>464</v>
      </c>
      <c r="B465">
        <v>464</v>
      </c>
      <c r="C465">
        <v>0</v>
      </c>
      <c r="D465" t="str">
        <f>IF(Table1[[#This Row],[PCOS (Y/N)]]=0,"NO","YES")</f>
        <v>NO</v>
      </c>
      <c r="E465">
        <v>41</v>
      </c>
      <c r="F465">
        <v>45</v>
      </c>
      <c r="G465">
        <v>160</v>
      </c>
      <c r="H465">
        <v>14</v>
      </c>
      <c r="I465">
        <v>78</v>
      </c>
      <c r="J465">
        <v>22</v>
      </c>
      <c r="K465">
        <v>11</v>
      </c>
      <c r="L465">
        <v>2</v>
      </c>
      <c r="M465">
        <v>5</v>
      </c>
      <c r="N465">
        <v>18</v>
      </c>
      <c r="O465">
        <v>1</v>
      </c>
      <c r="P465" t="str">
        <f>IF(Table1[[#This Row],[Pregnant(Y/N)]]=1,"YES","NO")</f>
        <v>YES</v>
      </c>
      <c r="Q465">
        <v>0</v>
      </c>
      <c r="R465">
        <v>152.9</v>
      </c>
      <c r="S465">
        <v>268.37</v>
      </c>
      <c r="T465">
        <v>4.41</v>
      </c>
      <c r="U465">
        <v>1.27</v>
      </c>
      <c r="V465">
        <f>Table1[[#This Row],[FSH(mIU/mL)]]/Table1[[#This Row],[LH(mIU/mL)]]</f>
        <v>3.4724409448818898</v>
      </c>
      <c r="W465" t="str">
        <f>IF(Table1[[#This Row],[FSH/LH]]&gt;=2,"Abnormal","Normal")</f>
        <v>Abnormal</v>
      </c>
      <c r="X465">
        <v>38</v>
      </c>
      <c r="Y465">
        <v>37</v>
      </c>
      <c r="Z465">
        <f>ROUND(Table1[[#This Row],[Waist(inch)]]/Table1[[#This Row],[Hip(inch)]],2)</f>
        <v>0.97</v>
      </c>
      <c r="AA465">
        <v>2.19</v>
      </c>
      <c r="AB465">
        <v>10</v>
      </c>
      <c r="AC465">
        <v>22.61</v>
      </c>
      <c r="AD465">
        <v>25.456</v>
      </c>
      <c r="AE465" t="str">
        <f>IF(Table1[[#This Row],[Vit D3 (ng/mL)]]&lt;20,"Deficiency","Normal")</f>
        <v>Normal</v>
      </c>
      <c r="AF465">
        <v>0.3</v>
      </c>
      <c r="AG465">
        <v>100</v>
      </c>
      <c r="AH465">
        <v>0</v>
      </c>
      <c r="AI465" t="str">
        <f>IF(Table1[[#This Row],[Weight gain(Y/N)]]=0,"NO","YES")</f>
        <v>NO</v>
      </c>
      <c r="AJ465">
        <v>1</v>
      </c>
      <c r="AK465" t="str">
        <f>IF(Table1[[#This Row],[hair growth(Y/N)]]=1,"YES","NO")</f>
        <v>YES</v>
      </c>
      <c r="AL465">
        <v>1</v>
      </c>
      <c r="AM465" t="str">
        <f>IF(Table1[[#This Row],[Skin darkening (Y/N)]]=1,"YES","NO")</f>
        <v>YES</v>
      </c>
      <c r="AN465">
        <v>1</v>
      </c>
      <c r="AO465" t="str">
        <f>IF(Table1[[#This Row],[Hair loss(Y/N)]]=1,"YES","NO")</f>
        <v>YES</v>
      </c>
      <c r="AP465">
        <v>1</v>
      </c>
      <c r="AQ465" t="str">
        <f>IF(Table1[[#This Row],[Pimples(Y/N)]]=1,"YES","NO")</f>
        <v>YES</v>
      </c>
      <c r="AR465">
        <v>1</v>
      </c>
      <c r="AS465" t="str">
        <f>IF(Table1[[#This Row],[Fast food (Y/N)]]=1,"YES","NO")</f>
        <v>YES</v>
      </c>
      <c r="AT465">
        <v>0</v>
      </c>
      <c r="AU465" t="str">
        <f>IF(Table1[[#This Row],[Reg.Exercise(Y/N)]]=1,"YES","NO")</f>
        <v>NO</v>
      </c>
      <c r="AV465">
        <v>110</v>
      </c>
      <c r="AW465">
        <v>80</v>
      </c>
      <c r="AX465">
        <v>2</v>
      </c>
      <c r="AY465">
        <v>1</v>
      </c>
      <c r="AZ465">
        <v>19</v>
      </c>
      <c r="BA465">
        <v>18</v>
      </c>
      <c r="BB465">
        <v>7.2</v>
      </c>
      <c r="BC465" t="str" cm="1">
        <f t="array" ref="BC465">_xlfn.IFS((F465/(G465*G465)*10000)&lt; 18.5,"Underweight",(F465/(G465*G465)*10000)&lt;24.9,"Normal",(F465/(G465*G465)*10000)&lt;29.9,"Overweight",(F465/(G465*G465)*10000)&gt;=30,"obesity")</f>
        <v>Underweight</v>
      </c>
      <c r="BD465">
        <f>Table1[[#This Row],[Follicle No. (L)]]+Table1[[#This Row],[Follicle No. (R)]]</f>
        <v>3</v>
      </c>
      <c r="BE465">
        <f>Table1[[#This Row],[Avg. F size (L) (mm)]]+Table1[[#This Row],[Avg. F size (R) (mm)]]</f>
        <v>37</v>
      </c>
      <c r="BF465">
        <f>Table1[[#This Row],[BP _Diastolic (mmHg)]]+(Table1[[#This Row],[BP _Diastolic (mmHg)]]+Table1[[#This Row],[Follicle No. (L)]])/3</f>
        <v>107.33333333333333</v>
      </c>
      <c r="BG465" s="4" t="str" cm="1">
        <f t="array" ref="BG46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65" s="4">
        <f>SUM(Table1[[#This Row],[Pimples(Y/N)]],Table1[[#This Row],[hair growth(Y/N)]],Table1[[#This Row],[Skin darkening (Y/N)]],Table1[[#This Row],[Hair loss(Y/N)]])</f>
        <v>4</v>
      </c>
      <c r="BI465" s="4" t="str">
        <f>IF(AND(Table1[[#This Row],[Pregnant(Y/N)]]=0, Table1[[#This Row],[  I   beta-HCG(mIU/mL)]]&gt;5), "Investigation Required", "Clear")</f>
        <v>Clear</v>
      </c>
    </row>
    <row r="466" spans="1:61" ht="15.75" customHeight="1" x14ac:dyDescent="0.25">
      <c r="A466">
        <v>465</v>
      </c>
      <c r="B466">
        <v>465</v>
      </c>
      <c r="C466">
        <v>1</v>
      </c>
      <c r="D466" t="str">
        <f>IF(Table1[[#This Row],[PCOS (Y/N)]]=0,"NO","YES")</f>
        <v>YES</v>
      </c>
      <c r="E466">
        <v>34</v>
      </c>
      <c r="F466">
        <v>54</v>
      </c>
      <c r="G466">
        <v>153</v>
      </c>
      <c r="H466">
        <v>16</v>
      </c>
      <c r="I466">
        <v>72</v>
      </c>
      <c r="J466">
        <v>20</v>
      </c>
      <c r="K466">
        <v>11</v>
      </c>
      <c r="L466">
        <v>4</v>
      </c>
      <c r="M466">
        <v>7</v>
      </c>
      <c r="N466">
        <v>3.5</v>
      </c>
      <c r="O466">
        <v>0</v>
      </c>
      <c r="P466" t="str">
        <f>IF(Table1[[#This Row],[Pregnant(Y/N)]]=1,"YES","NO")</f>
        <v>NO</v>
      </c>
      <c r="Q466">
        <v>0</v>
      </c>
      <c r="R466">
        <v>598.08000000000004</v>
      </c>
      <c r="S466">
        <v>1.99</v>
      </c>
      <c r="T466">
        <v>2.2400000000000002</v>
      </c>
      <c r="U466">
        <v>2.2999999999999998</v>
      </c>
      <c r="V466">
        <f>Table1[[#This Row],[FSH(mIU/mL)]]/Table1[[#This Row],[LH(mIU/mL)]]</f>
        <v>0.97391304347826102</v>
      </c>
      <c r="W466" t="str">
        <f>IF(Table1[[#This Row],[FSH/LH]]&gt;=2,"Abnormal","Normal")</f>
        <v>Normal</v>
      </c>
      <c r="X466">
        <v>36</v>
      </c>
      <c r="Y466">
        <v>35</v>
      </c>
      <c r="Z466">
        <f>ROUND(Table1[[#This Row],[Waist(inch)]]/Table1[[#This Row],[Hip(inch)]],2)</f>
        <v>0.97</v>
      </c>
      <c r="AA466">
        <v>6.66</v>
      </c>
      <c r="AB466">
        <v>0.85</v>
      </c>
      <c r="AC466">
        <v>60.4</v>
      </c>
      <c r="AD466">
        <v>46.21</v>
      </c>
      <c r="AE466" t="str">
        <f>IF(Table1[[#This Row],[Vit D3 (ng/mL)]]&lt;20,"Deficiency","Normal")</f>
        <v>Normal</v>
      </c>
      <c r="AF466">
        <v>0.25</v>
      </c>
      <c r="AG466">
        <v>90</v>
      </c>
      <c r="AH466">
        <v>0</v>
      </c>
      <c r="AI466" t="str">
        <f>IF(Table1[[#This Row],[Weight gain(Y/N)]]=0,"NO","YES")</f>
        <v>NO</v>
      </c>
      <c r="AJ466">
        <v>0</v>
      </c>
      <c r="AK466" t="str">
        <f>IF(Table1[[#This Row],[hair growth(Y/N)]]=1,"YES","NO")</f>
        <v>NO</v>
      </c>
      <c r="AL466">
        <v>0</v>
      </c>
      <c r="AM466" t="str">
        <f>IF(Table1[[#This Row],[Skin darkening (Y/N)]]=1,"YES","NO")</f>
        <v>NO</v>
      </c>
      <c r="AN466">
        <v>0</v>
      </c>
      <c r="AO466" t="str">
        <f>IF(Table1[[#This Row],[Hair loss(Y/N)]]=1,"YES","NO")</f>
        <v>NO</v>
      </c>
      <c r="AP466">
        <v>0</v>
      </c>
      <c r="AQ466" t="str">
        <f>IF(Table1[[#This Row],[Pimples(Y/N)]]=1,"YES","NO")</f>
        <v>NO</v>
      </c>
      <c r="AR466">
        <v>0</v>
      </c>
      <c r="AS466" t="str">
        <f>IF(Table1[[#This Row],[Fast food (Y/N)]]=1,"YES","NO")</f>
        <v>NO</v>
      </c>
      <c r="AT466">
        <v>0</v>
      </c>
      <c r="AU466" t="str">
        <f>IF(Table1[[#This Row],[Reg.Exercise(Y/N)]]=1,"YES","NO")</f>
        <v>NO</v>
      </c>
      <c r="AV466">
        <v>110</v>
      </c>
      <c r="AW466">
        <v>80</v>
      </c>
      <c r="AX466">
        <v>21</v>
      </c>
      <c r="AY466">
        <v>19</v>
      </c>
      <c r="AZ466">
        <v>16</v>
      </c>
      <c r="BA466">
        <v>18</v>
      </c>
      <c r="BB466">
        <v>7.6</v>
      </c>
      <c r="BC466" t="str" cm="1">
        <f t="array" ref="BC466">_xlfn.IFS((F466/(G466*G466)*10000)&lt; 18.5,"Underweight",(F466/(G466*G466)*10000)&lt;24.9,"Normal",(F466/(G466*G466)*10000)&lt;29.9,"Overweight",(F466/(G466*G466)*10000)&gt;=30,"obesity")</f>
        <v>Normal</v>
      </c>
      <c r="BD466">
        <f>Table1[[#This Row],[Follicle No. (L)]]+Table1[[#This Row],[Follicle No. (R)]]</f>
        <v>40</v>
      </c>
      <c r="BE466">
        <f>Table1[[#This Row],[Avg. F size (L) (mm)]]+Table1[[#This Row],[Avg. F size (R) (mm)]]</f>
        <v>34</v>
      </c>
      <c r="BF466">
        <f>Table1[[#This Row],[BP _Diastolic (mmHg)]]+(Table1[[#This Row],[BP _Diastolic (mmHg)]]+Table1[[#This Row],[Follicle No. (L)]])/3</f>
        <v>113.66666666666666</v>
      </c>
      <c r="BG466" s="4" t="str" cm="1">
        <f t="array" ref="BG46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66" s="4">
        <f>SUM(Table1[[#This Row],[Pimples(Y/N)]],Table1[[#This Row],[hair growth(Y/N)]],Table1[[#This Row],[Skin darkening (Y/N)]],Table1[[#This Row],[Hair loss(Y/N)]])</f>
        <v>0</v>
      </c>
      <c r="BI466" s="4" t="str">
        <f>IF(AND(Table1[[#This Row],[Pregnant(Y/N)]]=0, Table1[[#This Row],[  I   beta-HCG(mIU/mL)]]&gt;5), "Investigation Required", "Clear")</f>
        <v>Investigation Required</v>
      </c>
    </row>
    <row r="467" spans="1:61" ht="15.75" customHeight="1" x14ac:dyDescent="0.25">
      <c r="A467">
        <v>466</v>
      </c>
      <c r="B467">
        <v>466</v>
      </c>
      <c r="C467">
        <v>0</v>
      </c>
      <c r="D467" t="str">
        <f>IF(Table1[[#This Row],[PCOS (Y/N)]]=0,"NO","YES")</f>
        <v>NO</v>
      </c>
      <c r="E467">
        <v>33</v>
      </c>
      <c r="F467">
        <v>50</v>
      </c>
      <c r="G467">
        <v>150</v>
      </c>
      <c r="H467">
        <v>15</v>
      </c>
      <c r="I467">
        <v>70</v>
      </c>
      <c r="J467">
        <v>18</v>
      </c>
      <c r="K467">
        <v>10.8</v>
      </c>
      <c r="L467">
        <v>2</v>
      </c>
      <c r="M467">
        <v>4</v>
      </c>
      <c r="N467">
        <v>8</v>
      </c>
      <c r="O467">
        <v>0</v>
      </c>
      <c r="P467" t="str">
        <f>IF(Table1[[#This Row],[Pregnant(Y/N)]]=1,"YES","NO")</f>
        <v>NO</v>
      </c>
      <c r="Q467">
        <v>0</v>
      </c>
      <c r="R467">
        <v>194.39</v>
      </c>
      <c r="S467">
        <v>1.99</v>
      </c>
      <c r="T467">
        <v>2.58</v>
      </c>
      <c r="U467">
        <v>0.2</v>
      </c>
      <c r="V467">
        <f>Table1[[#This Row],[FSH(mIU/mL)]]/Table1[[#This Row],[LH(mIU/mL)]]</f>
        <v>12.9</v>
      </c>
      <c r="W467" t="str">
        <f>IF(Table1[[#This Row],[FSH/LH]]&gt;=2,"Abnormal","Normal")</f>
        <v>Abnormal</v>
      </c>
      <c r="X467">
        <v>36</v>
      </c>
      <c r="Y467">
        <v>34</v>
      </c>
      <c r="Z467">
        <f>ROUND(Table1[[#This Row],[Waist(inch)]]/Table1[[#This Row],[Hip(inch)]],2)</f>
        <v>0.94</v>
      </c>
      <c r="AA467">
        <v>1.79</v>
      </c>
      <c r="AB467">
        <v>6</v>
      </c>
      <c r="AC467">
        <v>20.83</v>
      </c>
      <c r="AD467">
        <v>58.32</v>
      </c>
      <c r="AE467" t="str">
        <f>IF(Table1[[#This Row],[Vit D3 (ng/mL)]]&lt;20,"Deficiency","Normal")</f>
        <v>Normal</v>
      </c>
      <c r="AF467">
        <v>0.45</v>
      </c>
      <c r="AG467">
        <v>90</v>
      </c>
      <c r="AH467">
        <v>0</v>
      </c>
      <c r="AI467" t="str">
        <f>IF(Table1[[#This Row],[Weight gain(Y/N)]]=0,"NO","YES")</f>
        <v>NO</v>
      </c>
      <c r="AJ467">
        <v>0</v>
      </c>
      <c r="AK467" t="str">
        <f>IF(Table1[[#This Row],[hair growth(Y/N)]]=1,"YES","NO")</f>
        <v>NO</v>
      </c>
      <c r="AL467">
        <v>0</v>
      </c>
      <c r="AM467" t="str">
        <f>IF(Table1[[#This Row],[Skin darkening (Y/N)]]=1,"YES","NO")</f>
        <v>NO</v>
      </c>
      <c r="AN467">
        <v>0</v>
      </c>
      <c r="AO467" t="str">
        <f>IF(Table1[[#This Row],[Hair loss(Y/N)]]=1,"YES","NO")</f>
        <v>NO</v>
      </c>
      <c r="AP467">
        <v>0</v>
      </c>
      <c r="AQ467" t="str">
        <f>IF(Table1[[#This Row],[Pimples(Y/N)]]=1,"YES","NO")</f>
        <v>NO</v>
      </c>
      <c r="AR467">
        <v>0</v>
      </c>
      <c r="AS467" t="str">
        <f>IF(Table1[[#This Row],[Fast food (Y/N)]]=1,"YES","NO")</f>
        <v>NO</v>
      </c>
      <c r="AT467">
        <v>0</v>
      </c>
      <c r="AU467" t="str">
        <f>IF(Table1[[#This Row],[Reg.Exercise(Y/N)]]=1,"YES","NO")</f>
        <v>NO</v>
      </c>
      <c r="AV467">
        <v>110</v>
      </c>
      <c r="AW467">
        <v>80</v>
      </c>
      <c r="AX467">
        <v>6</v>
      </c>
      <c r="AY467">
        <v>9</v>
      </c>
      <c r="AZ467">
        <v>20</v>
      </c>
      <c r="BA467">
        <v>18</v>
      </c>
      <c r="BB467">
        <v>8</v>
      </c>
      <c r="BC467" t="str" cm="1">
        <f t="array" ref="BC467">_xlfn.IFS((F467/(G467*G467)*10000)&lt; 18.5,"Underweight",(F467/(G467*G467)*10000)&lt;24.9,"Normal",(F467/(G467*G467)*10000)&lt;29.9,"Overweight",(F467/(G467*G467)*10000)&gt;=30,"obesity")</f>
        <v>Normal</v>
      </c>
      <c r="BD467">
        <f>Table1[[#This Row],[Follicle No. (L)]]+Table1[[#This Row],[Follicle No. (R)]]</f>
        <v>15</v>
      </c>
      <c r="BE467">
        <f>Table1[[#This Row],[Avg. F size (L) (mm)]]+Table1[[#This Row],[Avg. F size (R) (mm)]]</f>
        <v>38</v>
      </c>
      <c r="BF467">
        <f>Table1[[#This Row],[BP _Diastolic (mmHg)]]+(Table1[[#This Row],[BP _Diastolic (mmHg)]]+Table1[[#This Row],[Follicle No. (L)]])/3</f>
        <v>108.66666666666667</v>
      </c>
      <c r="BG467" s="4" t="str" cm="1">
        <f t="array" ref="BG46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67" s="4">
        <f>SUM(Table1[[#This Row],[Pimples(Y/N)]],Table1[[#This Row],[hair growth(Y/N)]],Table1[[#This Row],[Skin darkening (Y/N)]],Table1[[#This Row],[Hair loss(Y/N)]])</f>
        <v>0</v>
      </c>
      <c r="BI467" s="4" t="str">
        <f>IF(AND(Table1[[#This Row],[Pregnant(Y/N)]]=0, Table1[[#This Row],[  I   beta-HCG(mIU/mL)]]&gt;5), "Investigation Required", "Clear")</f>
        <v>Investigation Required</v>
      </c>
    </row>
    <row r="468" spans="1:61" ht="15.75" customHeight="1" x14ac:dyDescent="0.25">
      <c r="A468">
        <v>467</v>
      </c>
      <c r="B468">
        <v>467</v>
      </c>
      <c r="C468">
        <v>0</v>
      </c>
      <c r="D468" t="str">
        <f>IF(Table1[[#This Row],[PCOS (Y/N)]]=0,"NO","YES")</f>
        <v>NO</v>
      </c>
      <c r="E468">
        <v>35</v>
      </c>
      <c r="F468">
        <v>61.8</v>
      </c>
      <c r="G468">
        <v>153</v>
      </c>
      <c r="H468">
        <v>17</v>
      </c>
      <c r="I468">
        <v>70</v>
      </c>
      <c r="J468">
        <v>20</v>
      </c>
      <c r="K468">
        <v>12</v>
      </c>
      <c r="L468">
        <v>2</v>
      </c>
      <c r="M468">
        <v>4</v>
      </c>
      <c r="N468">
        <v>11</v>
      </c>
      <c r="O468">
        <v>0</v>
      </c>
      <c r="P468" t="str">
        <f>IF(Table1[[#This Row],[Pregnant(Y/N)]]=1,"YES","NO")</f>
        <v>NO</v>
      </c>
      <c r="Q468">
        <v>0</v>
      </c>
      <c r="R468">
        <v>1.99</v>
      </c>
      <c r="S468">
        <v>1.99</v>
      </c>
      <c r="T468">
        <v>6.75</v>
      </c>
      <c r="U468">
        <v>3.23</v>
      </c>
      <c r="V468">
        <f>Table1[[#This Row],[FSH(mIU/mL)]]/Table1[[#This Row],[LH(mIU/mL)]]</f>
        <v>2.0897832817337463</v>
      </c>
      <c r="W468" t="str">
        <f>IF(Table1[[#This Row],[FSH/LH]]&gt;=2,"Abnormal","Normal")</f>
        <v>Abnormal</v>
      </c>
      <c r="X468">
        <v>39</v>
      </c>
      <c r="Y468">
        <v>38</v>
      </c>
      <c r="Z468">
        <f>ROUND(Table1[[#This Row],[Waist(inch)]]/Table1[[#This Row],[Hip(inch)]],2)</f>
        <v>0.97</v>
      </c>
      <c r="AA468">
        <v>2.2799999999999998</v>
      </c>
      <c r="AB468">
        <v>6</v>
      </c>
      <c r="AC468">
        <v>10.61</v>
      </c>
      <c r="AD468">
        <v>62.5</v>
      </c>
      <c r="AE468" t="str">
        <f>IF(Table1[[#This Row],[Vit D3 (ng/mL)]]&lt;20,"Deficiency","Normal")</f>
        <v>Normal</v>
      </c>
      <c r="AF468">
        <v>0.48</v>
      </c>
      <c r="AG468">
        <v>100</v>
      </c>
      <c r="AH468">
        <v>0</v>
      </c>
      <c r="AI468" t="str">
        <f>IF(Table1[[#This Row],[Weight gain(Y/N)]]=0,"NO","YES")</f>
        <v>NO</v>
      </c>
      <c r="AJ468">
        <v>0</v>
      </c>
      <c r="AK468" t="str">
        <f>IF(Table1[[#This Row],[hair growth(Y/N)]]=1,"YES","NO")</f>
        <v>NO</v>
      </c>
      <c r="AL468">
        <v>0</v>
      </c>
      <c r="AM468" t="str">
        <f>IF(Table1[[#This Row],[Skin darkening (Y/N)]]=1,"YES","NO")</f>
        <v>NO</v>
      </c>
      <c r="AN468">
        <v>0</v>
      </c>
      <c r="AO468" t="str">
        <f>IF(Table1[[#This Row],[Hair loss(Y/N)]]=1,"YES","NO")</f>
        <v>NO</v>
      </c>
      <c r="AP468">
        <v>0</v>
      </c>
      <c r="AQ468" t="str">
        <f>IF(Table1[[#This Row],[Pimples(Y/N)]]=1,"YES","NO")</f>
        <v>NO</v>
      </c>
      <c r="AR468">
        <v>1</v>
      </c>
      <c r="AS468" t="str">
        <f>IF(Table1[[#This Row],[Fast food (Y/N)]]=1,"YES","NO")</f>
        <v>YES</v>
      </c>
      <c r="AT468">
        <v>0</v>
      </c>
      <c r="AU468" t="str">
        <f>IF(Table1[[#This Row],[Reg.Exercise(Y/N)]]=1,"YES","NO")</f>
        <v>NO</v>
      </c>
      <c r="AV468">
        <v>120</v>
      </c>
      <c r="AW468">
        <v>80</v>
      </c>
      <c r="AX468">
        <v>11</v>
      </c>
      <c r="AY468">
        <v>9</v>
      </c>
      <c r="AZ468">
        <v>21</v>
      </c>
      <c r="BA468">
        <v>16</v>
      </c>
      <c r="BB468">
        <v>8</v>
      </c>
      <c r="BC468" t="str" cm="1">
        <f t="array" ref="BC468">_xlfn.IFS((F468/(G468*G468)*10000)&lt; 18.5,"Underweight",(F468/(G468*G468)*10000)&lt;24.9,"Normal",(F468/(G468*G468)*10000)&lt;29.9,"Overweight",(F468/(G468*G468)*10000)&gt;=30,"obesity")</f>
        <v>Overweight</v>
      </c>
      <c r="BD468">
        <f>Table1[[#This Row],[Follicle No. (L)]]+Table1[[#This Row],[Follicle No. (R)]]</f>
        <v>20</v>
      </c>
      <c r="BE468">
        <f>Table1[[#This Row],[Avg. F size (L) (mm)]]+Table1[[#This Row],[Avg. F size (R) (mm)]]</f>
        <v>37</v>
      </c>
      <c r="BF468">
        <f>Table1[[#This Row],[BP _Diastolic (mmHg)]]+(Table1[[#This Row],[BP _Diastolic (mmHg)]]+Table1[[#This Row],[Follicle No. (L)]])/3</f>
        <v>110.33333333333333</v>
      </c>
      <c r="BG468" s="4" t="str" cm="1">
        <f t="array" ref="BG46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68" s="4">
        <f>SUM(Table1[[#This Row],[Pimples(Y/N)]],Table1[[#This Row],[hair growth(Y/N)]],Table1[[#This Row],[Skin darkening (Y/N)]],Table1[[#This Row],[Hair loss(Y/N)]])</f>
        <v>0</v>
      </c>
      <c r="BI468" s="4" t="str">
        <f>IF(AND(Table1[[#This Row],[Pregnant(Y/N)]]=0, Table1[[#This Row],[  I   beta-HCG(mIU/mL)]]&gt;5), "Investigation Required", "Clear")</f>
        <v>Clear</v>
      </c>
    </row>
    <row r="469" spans="1:61" ht="15.75" customHeight="1" x14ac:dyDescent="0.25">
      <c r="A469">
        <v>468</v>
      </c>
      <c r="B469">
        <v>468</v>
      </c>
      <c r="C469">
        <v>1</v>
      </c>
      <c r="D469" t="str">
        <f>IF(Table1[[#This Row],[PCOS (Y/N)]]=0,"NO","YES")</f>
        <v>YES</v>
      </c>
      <c r="E469">
        <v>32</v>
      </c>
      <c r="F469">
        <v>64</v>
      </c>
      <c r="G469">
        <v>162</v>
      </c>
      <c r="H469">
        <v>12</v>
      </c>
      <c r="I469">
        <v>72</v>
      </c>
      <c r="J469">
        <v>18</v>
      </c>
      <c r="K469">
        <v>11.5</v>
      </c>
      <c r="L469">
        <v>4</v>
      </c>
      <c r="M469">
        <v>2</v>
      </c>
      <c r="N469">
        <v>9</v>
      </c>
      <c r="O469">
        <v>1</v>
      </c>
      <c r="P469" t="str">
        <f>IF(Table1[[#This Row],[Pregnant(Y/N)]]=1,"YES","NO")</f>
        <v>YES</v>
      </c>
      <c r="Q469">
        <v>0</v>
      </c>
      <c r="R469">
        <v>561.72</v>
      </c>
      <c r="S469">
        <v>1.99</v>
      </c>
      <c r="T469">
        <v>3.58</v>
      </c>
      <c r="U469">
        <v>3.55</v>
      </c>
      <c r="V469">
        <f>Table1[[#This Row],[FSH(mIU/mL)]]/Table1[[#This Row],[LH(mIU/mL)]]</f>
        <v>1.0084507042253521</v>
      </c>
      <c r="W469" t="str">
        <f>IF(Table1[[#This Row],[FSH/LH]]&gt;=2,"Abnormal","Normal")</f>
        <v>Normal</v>
      </c>
      <c r="X469">
        <v>39</v>
      </c>
      <c r="Y469">
        <v>34</v>
      </c>
      <c r="Z469">
        <f>ROUND(Table1[[#This Row],[Waist(inch)]]/Table1[[#This Row],[Hip(inch)]],2)</f>
        <v>0.87</v>
      </c>
      <c r="AA469">
        <v>0.57999999999999996</v>
      </c>
      <c r="AB469">
        <v>0.78</v>
      </c>
      <c r="AC469">
        <v>25.37</v>
      </c>
      <c r="AD469">
        <v>15.3</v>
      </c>
      <c r="AE469" t="str">
        <f>IF(Table1[[#This Row],[Vit D3 (ng/mL)]]&lt;20,"Deficiency","Normal")</f>
        <v>Deficiency</v>
      </c>
      <c r="AF469">
        <v>0.36</v>
      </c>
      <c r="AG469">
        <v>102</v>
      </c>
      <c r="AH469">
        <v>1</v>
      </c>
      <c r="AI469" t="str">
        <f>IF(Table1[[#This Row],[Weight gain(Y/N)]]=0,"NO","YES")</f>
        <v>YES</v>
      </c>
      <c r="AJ469">
        <v>0</v>
      </c>
      <c r="AK469" t="str">
        <f>IF(Table1[[#This Row],[hair growth(Y/N)]]=1,"YES","NO")</f>
        <v>NO</v>
      </c>
      <c r="AL469">
        <v>0</v>
      </c>
      <c r="AM469" t="str">
        <f>IF(Table1[[#This Row],[Skin darkening (Y/N)]]=1,"YES","NO")</f>
        <v>NO</v>
      </c>
      <c r="AN469">
        <v>0</v>
      </c>
      <c r="AO469" t="str">
        <f>IF(Table1[[#This Row],[Hair loss(Y/N)]]=1,"YES","NO")</f>
        <v>NO</v>
      </c>
      <c r="AP469">
        <v>0</v>
      </c>
      <c r="AQ469" t="str">
        <f>IF(Table1[[#This Row],[Pimples(Y/N)]]=1,"YES","NO")</f>
        <v>NO</v>
      </c>
      <c r="AR469">
        <v>0</v>
      </c>
      <c r="AS469" t="str">
        <f>IF(Table1[[#This Row],[Fast food (Y/N)]]=1,"YES","NO")</f>
        <v>NO</v>
      </c>
      <c r="AT469">
        <v>0</v>
      </c>
      <c r="AU469" t="str">
        <f>IF(Table1[[#This Row],[Reg.Exercise(Y/N)]]=1,"YES","NO")</f>
        <v>NO</v>
      </c>
      <c r="AV469">
        <v>110</v>
      </c>
      <c r="AW469">
        <v>70</v>
      </c>
      <c r="AX469">
        <v>13</v>
      </c>
      <c r="AY469">
        <v>12</v>
      </c>
      <c r="AZ469">
        <v>19</v>
      </c>
      <c r="BA469">
        <v>19</v>
      </c>
      <c r="BB469">
        <v>7</v>
      </c>
      <c r="BC469" t="str" cm="1">
        <f t="array" ref="BC469">_xlfn.IFS((F469/(G469*G469)*10000)&lt; 18.5,"Underweight",(F469/(G469*G469)*10000)&lt;24.9,"Normal",(F469/(G469*G469)*10000)&lt;29.9,"Overweight",(F469/(G469*G469)*10000)&gt;=30,"obesity")</f>
        <v>Normal</v>
      </c>
      <c r="BD469">
        <f>Table1[[#This Row],[Follicle No. (L)]]+Table1[[#This Row],[Follicle No. (R)]]</f>
        <v>25</v>
      </c>
      <c r="BE469">
        <f>Table1[[#This Row],[Avg. F size (L) (mm)]]+Table1[[#This Row],[Avg. F size (R) (mm)]]</f>
        <v>38</v>
      </c>
      <c r="BF469">
        <f>Table1[[#This Row],[BP _Diastolic (mmHg)]]+(Table1[[#This Row],[BP _Diastolic (mmHg)]]+Table1[[#This Row],[Follicle No. (L)]])/3</f>
        <v>97.666666666666671</v>
      </c>
      <c r="BG469" s="4" t="str" cm="1">
        <f t="array" ref="BG46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69" s="4">
        <f>SUM(Table1[[#This Row],[Pimples(Y/N)]],Table1[[#This Row],[hair growth(Y/N)]],Table1[[#This Row],[Skin darkening (Y/N)]],Table1[[#This Row],[Hair loss(Y/N)]])</f>
        <v>0</v>
      </c>
      <c r="BI469" s="4" t="str">
        <f>IF(AND(Table1[[#This Row],[Pregnant(Y/N)]]=0, Table1[[#This Row],[  I   beta-HCG(mIU/mL)]]&gt;5), "Investigation Required", "Clear")</f>
        <v>Clear</v>
      </c>
    </row>
    <row r="470" spans="1:61" ht="15.75" customHeight="1" x14ac:dyDescent="0.25">
      <c r="A470">
        <v>469</v>
      </c>
      <c r="B470">
        <v>469</v>
      </c>
      <c r="C470">
        <v>0</v>
      </c>
      <c r="D470" t="str">
        <f>IF(Table1[[#This Row],[PCOS (Y/N)]]=0,"NO","YES")</f>
        <v>NO</v>
      </c>
      <c r="E470">
        <v>40</v>
      </c>
      <c r="F470">
        <v>56</v>
      </c>
      <c r="G470">
        <v>148</v>
      </c>
      <c r="H470">
        <v>12</v>
      </c>
      <c r="I470">
        <v>72</v>
      </c>
      <c r="J470">
        <v>18</v>
      </c>
      <c r="K470">
        <v>10.5</v>
      </c>
      <c r="L470">
        <v>2</v>
      </c>
      <c r="M470">
        <v>5</v>
      </c>
      <c r="N470">
        <v>7</v>
      </c>
      <c r="O470">
        <v>1</v>
      </c>
      <c r="P470" t="str">
        <f>IF(Table1[[#This Row],[Pregnant(Y/N)]]=1,"YES","NO")</f>
        <v>YES</v>
      </c>
      <c r="Q470">
        <v>1</v>
      </c>
      <c r="R470">
        <v>10</v>
      </c>
      <c r="S470">
        <v>1.99</v>
      </c>
      <c r="T470">
        <v>6.56</v>
      </c>
      <c r="U470">
        <v>3.44</v>
      </c>
      <c r="V470">
        <f>Table1[[#This Row],[FSH(mIU/mL)]]/Table1[[#This Row],[LH(mIU/mL)]]</f>
        <v>1.9069767441860463</v>
      </c>
      <c r="W470" t="str">
        <f>IF(Table1[[#This Row],[FSH/LH]]&gt;=2,"Abnormal","Normal")</f>
        <v>Normal</v>
      </c>
      <c r="X470">
        <v>38</v>
      </c>
      <c r="Y470">
        <v>34</v>
      </c>
      <c r="Z470">
        <f>ROUND(Table1[[#This Row],[Waist(inch)]]/Table1[[#This Row],[Hip(inch)]],2)</f>
        <v>0.89</v>
      </c>
      <c r="AA470">
        <v>5</v>
      </c>
      <c r="AB470">
        <v>16</v>
      </c>
      <c r="AC470">
        <v>32.46</v>
      </c>
      <c r="AD470">
        <v>21.6</v>
      </c>
      <c r="AE470" t="str">
        <f>IF(Table1[[#This Row],[Vit D3 (ng/mL)]]&lt;20,"Deficiency","Normal")</f>
        <v>Normal</v>
      </c>
      <c r="AF470">
        <v>0.25</v>
      </c>
      <c r="AG470">
        <v>92</v>
      </c>
      <c r="AH470">
        <v>0</v>
      </c>
      <c r="AI470" t="str">
        <f>IF(Table1[[#This Row],[Weight gain(Y/N)]]=0,"NO","YES")</f>
        <v>NO</v>
      </c>
      <c r="AJ470">
        <v>0</v>
      </c>
      <c r="AK470" t="str">
        <f>IF(Table1[[#This Row],[hair growth(Y/N)]]=1,"YES","NO")</f>
        <v>NO</v>
      </c>
      <c r="AL470">
        <v>1</v>
      </c>
      <c r="AM470" t="str">
        <f>IF(Table1[[#This Row],[Skin darkening (Y/N)]]=1,"YES","NO")</f>
        <v>YES</v>
      </c>
      <c r="AN470">
        <v>0</v>
      </c>
      <c r="AO470" t="str">
        <f>IF(Table1[[#This Row],[Hair loss(Y/N)]]=1,"YES","NO")</f>
        <v>NO</v>
      </c>
      <c r="AP470">
        <v>0</v>
      </c>
      <c r="AQ470" t="str">
        <f>IF(Table1[[#This Row],[Pimples(Y/N)]]=1,"YES","NO")</f>
        <v>NO</v>
      </c>
      <c r="AR470">
        <v>1</v>
      </c>
      <c r="AS470" t="str">
        <f>IF(Table1[[#This Row],[Fast food (Y/N)]]=1,"YES","NO")</f>
        <v>YES</v>
      </c>
      <c r="AT470">
        <v>1</v>
      </c>
      <c r="AU470" t="str">
        <f>IF(Table1[[#This Row],[Reg.Exercise(Y/N)]]=1,"YES","NO")</f>
        <v>YES</v>
      </c>
      <c r="AV470">
        <v>110</v>
      </c>
      <c r="AW470">
        <v>80</v>
      </c>
      <c r="AX470">
        <v>9</v>
      </c>
      <c r="AY470">
        <v>10</v>
      </c>
      <c r="AZ470">
        <v>22</v>
      </c>
      <c r="BA470">
        <v>17</v>
      </c>
      <c r="BB470">
        <v>8.15</v>
      </c>
      <c r="BC470" t="str" cm="1">
        <f t="array" ref="BC470">_xlfn.IFS((F470/(G470*G470)*10000)&lt; 18.5,"Underweight",(F470/(G470*G470)*10000)&lt;24.9,"Normal",(F470/(G470*G470)*10000)&lt;29.9,"Overweight",(F470/(G470*G470)*10000)&gt;=30,"obesity")</f>
        <v>Overweight</v>
      </c>
      <c r="BD470">
        <f>Table1[[#This Row],[Follicle No. (L)]]+Table1[[#This Row],[Follicle No. (R)]]</f>
        <v>19</v>
      </c>
      <c r="BE470">
        <f>Table1[[#This Row],[Avg. F size (L) (mm)]]+Table1[[#This Row],[Avg. F size (R) (mm)]]</f>
        <v>39</v>
      </c>
      <c r="BF470">
        <f>Table1[[#This Row],[BP _Diastolic (mmHg)]]+(Table1[[#This Row],[BP _Diastolic (mmHg)]]+Table1[[#This Row],[Follicle No. (L)]])/3</f>
        <v>109.66666666666667</v>
      </c>
      <c r="BG470" s="4" t="str" cm="1">
        <f t="array" ref="BG47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70" s="4">
        <f>SUM(Table1[[#This Row],[Pimples(Y/N)]],Table1[[#This Row],[hair growth(Y/N)]],Table1[[#This Row],[Skin darkening (Y/N)]],Table1[[#This Row],[Hair loss(Y/N)]])</f>
        <v>1</v>
      </c>
      <c r="BI470" s="4" t="str">
        <f>IF(AND(Table1[[#This Row],[Pregnant(Y/N)]]=0, Table1[[#This Row],[  I   beta-HCG(mIU/mL)]]&gt;5), "Investigation Required", "Clear")</f>
        <v>Clear</v>
      </c>
    </row>
    <row r="471" spans="1:61" ht="15.75" customHeight="1" x14ac:dyDescent="0.25">
      <c r="A471">
        <v>470</v>
      </c>
      <c r="B471">
        <v>470</v>
      </c>
      <c r="C471">
        <v>1</v>
      </c>
      <c r="D471" t="str">
        <f>IF(Table1[[#This Row],[PCOS (Y/N)]]=0,"NO","YES")</f>
        <v>YES</v>
      </c>
      <c r="E471">
        <v>25</v>
      </c>
      <c r="F471">
        <v>55</v>
      </c>
      <c r="G471">
        <v>154</v>
      </c>
      <c r="H471">
        <v>15</v>
      </c>
      <c r="I471">
        <v>74</v>
      </c>
      <c r="J471">
        <v>20</v>
      </c>
      <c r="K471">
        <v>12</v>
      </c>
      <c r="L471">
        <v>2</v>
      </c>
      <c r="M471">
        <v>5</v>
      </c>
      <c r="N471">
        <v>4</v>
      </c>
      <c r="O471">
        <v>0</v>
      </c>
      <c r="P471" t="str">
        <f>IF(Table1[[#This Row],[Pregnant(Y/N)]]=1,"YES","NO")</f>
        <v>NO</v>
      </c>
      <c r="Q471">
        <v>0</v>
      </c>
      <c r="R471">
        <v>10</v>
      </c>
      <c r="S471">
        <v>1.99</v>
      </c>
      <c r="T471">
        <v>4.67</v>
      </c>
      <c r="U471">
        <v>0.71</v>
      </c>
      <c r="V471">
        <f>Table1[[#This Row],[FSH(mIU/mL)]]/Table1[[#This Row],[LH(mIU/mL)]]</f>
        <v>6.5774647887323949</v>
      </c>
      <c r="W471" t="str">
        <f>IF(Table1[[#This Row],[FSH/LH]]&gt;=2,"Abnormal","Normal")</f>
        <v>Abnormal</v>
      </c>
      <c r="X471">
        <v>38</v>
      </c>
      <c r="Y471">
        <v>36</v>
      </c>
      <c r="Z471">
        <f>ROUND(Table1[[#This Row],[Waist(inch)]]/Table1[[#This Row],[Hip(inch)]],2)</f>
        <v>0.95</v>
      </c>
      <c r="AA471">
        <v>1.82</v>
      </c>
      <c r="AB471">
        <v>0.74</v>
      </c>
      <c r="AC471">
        <v>24.81</v>
      </c>
      <c r="AD471">
        <v>60.265000000000001</v>
      </c>
      <c r="AE471" t="str">
        <f>IF(Table1[[#This Row],[Vit D3 (ng/mL)]]&lt;20,"Deficiency","Normal")</f>
        <v>Normal</v>
      </c>
      <c r="AF471">
        <v>0.35</v>
      </c>
      <c r="AG471">
        <v>102</v>
      </c>
      <c r="AH471">
        <v>0</v>
      </c>
      <c r="AI471" t="str">
        <f>IF(Table1[[#This Row],[Weight gain(Y/N)]]=0,"NO","YES")</f>
        <v>NO</v>
      </c>
      <c r="AJ471">
        <v>0</v>
      </c>
      <c r="AK471" t="str">
        <f>IF(Table1[[#This Row],[hair growth(Y/N)]]=1,"YES","NO")</f>
        <v>NO</v>
      </c>
      <c r="AL471">
        <v>0</v>
      </c>
      <c r="AM471" t="str">
        <f>IF(Table1[[#This Row],[Skin darkening (Y/N)]]=1,"YES","NO")</f>
        <v>NO</v>
      </c>
      <c r="AN471">
        <v>1</v>
      </c>
      <c r="AO471" t="str">
        <f>IF(Table1[[#This Row],[Hair loss(Y/N)]]=1,"YES","NO")</f>
        <v>YES</v>
      </c>
      <c r="AP471">
        <v>0</v>
      </c>
      <c r="AQ471" t="str">
        <f>IF(Table1[[#This Row],[Pimples(Y/N)]]=1,"YES","NO")</f>
        <v>NO</v>
      </c>
      <c r="AR471">
        <v>0</v>
      </c>
      <c r="AS471" t="str">
        <f>IF(Table1[[#This Row],[Fast food (Y/N)]]=1,"YES","NO")</f>
        <v>NO</v>
      </c>
      <c r="AT471">
        <v>1</v>
      </c>
      <c r="AU471" t="str">
        <f>IF(Table1[[#This Row],[Reg.Exercise(Y/N)]]=1,"YES","NO")</f>
        <v>YES</v>
      </c>
      <c r="AV471">
        <v>110</v>
      </c>
      <c r="AW471">
        <v>70</v>
      </c>
      <c r="AX471">
        <v>12</v>
      </c>
      <c r="AY471">
        <v>12</v>
      </c>
      <c r="AZ471">
        <v>24</v>
      </c>
      <c r="BA471">
        <v>18</v>
      </c>
      <c r="BB471">
        <v>8.9</v>
      </c>
      <c r="BC471" t="str" cm="1">
        <f t="array" ref="BC471">_xlfn.IFS((F471/(G471*G471)*10000)&lt; 18.5,"Underweight",(F471/(G471*G471)*10000)&lt;24.9,"Normal",(F471/(G471*G471)*10000)&lt;29.9,"Overweight",(F471/(G471*G471)*10000)&gt;=30,"obesity")</f>
        <v>Normal</v>
      </c>
      <c r="BD471">
        <f>Table1[[#This Row],[Follicle No. (L)]]+Table1[[#This Row],[Follicle No. (R)]]</f>
        <v>24</v>
      </c>
      <c r="BE471">
        <f>Table1[[#This Row],[Avg. F size (L) (mm)]]+Table1[[#This Row],[Avg. F size (R) (mm)]]</f>
        <v>42</v>
      </c>
      <c r="BF471">
        <f>Table1[[#This Row],[BP _Diastolic (mmHg)]]+(Table1[[#This Row],[BP _Diastolic (mmHg)]]+Table1[[#This Row],[Follicle No. (L)]])/3</f>
        <v>97.333333333333329</v>
      </c>
      <c r="BG471" s="4" t="str" cm="1">
        <f t="array" ref="BG47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71" s="4">
        <f>SUM(Table1[[#This Row],[Pimples(Y/N)]],Table1[[#This Row],[hair growth(Y/N)]],Table1[[#This Row],[Skin darkening (Y/N)]],Table1[[#This Row],[Hair loss(Y/N)]])</f>
        <v>1</v>
      </c>
      <c r="BI471" s="4" t="str">
        <f>IF(AND(Table1[[#This Row],[Pregnant(Y/N)]]=0, Table1[[#This Row],[  I   beta-HCG(mIU/mL)]]&gt;5), "Investigation Required", "Clear")</f>
        <v>Investigation Required</v>
      </c>
    </row>
    <row r="472" spans="1:61" ht="15.75" customHeight="1" x14ac:dyDescent="0.25">
      <c r="A472">
        <v>471</v>
      </c>
      <c r="B472">
        <v>471</v>
      </c>
      <c r="C472">
        <v>1</v>
      </c>
      <c r="D472" t="str">
        <f>IF(Table1[[#This Row],[PCOS (Y/N)]]=0,"NO","YES")</f>
        <v>YES</v>
      </c>
      <c r="E472">
        <v>34</v>
      </c>
      <c r="F472">
        <v>52</v>
      </c>
      <c r="G472">
        <v>149</v>
      </c>
      <c r="H472">
        <v>13</v>
      </c>
      <c r="I472">
        <v>80</v>
      </c>
      <c r="J472">
        <v>20</v>
      </c>
      <c r="K472">
        <v>12</v>
      </c>
      <c r="L472">
        <v>4</v>
      </c>
      <c r="M472">
        <v>7</v>
      </c>
      <c r="N472">
        <v>10</v>
      </c>
      <c r="O472">
        <v>0</v>
      </c>
      <c r="P472" t="str">
        <f>IF(Table1[[#This Row],[Pregnant(Y/N)]]=1,"YES","NO")</f>
        <v>NO</v>
      </c>
      <c r="Q472">
        <v>2</v>
      </c>
      <c r="R472">
        <v>1.98</v>
      </c>
      <c r="S472">
        <v>8</v>
      </c>
      <c r="T472">
        <v>5.48</v>
      </c>
      <c r="U472">
        <v>6.37</v>
      </c>
      <c r="V472">
        <f>Table1[[#This Row],[FSH(mIU/mL)]]/Table1[[#This Row],[LH(mIU/mL)]]</f>
        <v>0.86028257456828894</v>
      </c>
      <c r="W472" t="str">
        <f>IF(Table1[[#This Row],[FSH/LH]]&gt;=2,"Abnormal","Normal")</f>
        <v>Normal</v>
      </c>
      <c r="X472">
        <v>36</v>
      </c>
      <c r="Y472">
        <v>32</v>
      </c>
      <c r="Z472">
        <f>ROUND(Table1[[#This Row],[Waist(inch)]]/Table1[[#This Row],[Hip(inch)]],2)</f>
        <v>0.89</v>
      </c>
      <c r="AA472">
        <v>2.93</v>
      </c>
      <c r="AB472">
        <v>0.91</v>
      </c>
      <c r="AC472">
        <v>19.21</v>
      </c>
      <c r="AD472">
        <v>12.3</v>
      </c>
      <c r="AE472" t="str">
        <f>IF(Table1[[#This Row],[Vit D3 (ng/mL)]]&lt;20,"Deficiency","Normal")</f>
        <v>Deficiency</v>
      </c>
      <c r="AF472">
        <v>0.34</v>
      </c>
      <c r="AG472">
        <v>100</v>
      </c>
      <c r="AH472">
        <v>0</v>
      </c>
      <c r="AI472" t="str">
        <f>IF(Table1[[#This Row],[Weight gain(Y/N)]]=0,"NO","YES")</f>
        <v>NO</v>
      </c>
      <c r="AJ472">
        <v>1</v>
      </c>
      <c r="AK472" t="str">
        <f>IF(Table1[[#This Row],[hair growth(Y/N)]]=1,"YES","NO")</f>
        <v>YES</v>
      </c>
      <c r="AL472">
        <v>1</v>
      </c>
      <c r="AM472" t="str">
        <f>IF(Table1[[#This Row],[Skin darkening (Y/N)]]=1,"YES","NO")</f>
        <v>YES</v>
      </c>
      <c r="AN472">
        <v>1</v>
      </c>
      <c r="AO472" t="str">
        <f>IF(Table1[[#This Row],[Hair loss(Y/N)]]=1,"YES","NO")</f>
        <v>YES</v>
      </c>
      <c r="AP472">
        <v>0</v>
      </c>
      <c r="AQ472" t="str">
        <f>IF(Table1[[#This Row],[Pimples(Y/N)]]=1,"YES","NO")</f>
        <v>NO</v>
      </c>
      <c r="AR472">
        <v>1</v>
      </c>
      <c r="AS472" t="str">
        <f>IF(Table1[[#This Row],[Fast food (Y/N)]]=1,"YES","NO")</f>
        <v>YES</v>
      </c>
      <c r="AT472">
        <v>1</v>
      </c>
      <c r="AU472" t="str">
        <f>IF(Table1[[#This Row],[Reg.Exercise(Y/N)]]=1,"YES","NO")</f>
        <v>YES</v>
      </c>
      <c r="AV472">
        <v>110</v>
      </c>
      <c r="AW472">
        <v>80</v>
      </c>
      <c r="AX472">
        <v>8</v>
      </c>
      <c r="AY472">
        <v>10</v>
      </c>
      <c r="AZ472">
        <v>17</v>
      </c>
      <c r="BA472">
        <v>20</v>
      </c>
      <c r="BB472">
        <v>7</v>
      </c>
      <c r="BC472" t="str" cm="1">
        <f t="array" ref="BC472">_xlfn.IFS((F472/(G472*G472)*10000)&lt; 18.5,"Underweight",(F472/(G472*G472)*10000)&lt;24.9,"Normal",(F472/(G472*G472)*10000)&lt;29.9,"Overweight",(F472/(G472*G472)*10000)&gt;=30,"obesity")</f>
        <v>Normal</v>
      </c>
      <c r="BD472">
        <f>Table1[[#This Row],[Follicle No. (L)]]+Table1[[#This Row],[Follicle No. (R)]]</f>
        <v>18</v>
      </c>
      <c r="BE472">
        <f>Table1[[#This Row],[Avg. F size (L) (mm)]]+Table1[[#This Row],[Avg. F size (R) (mm)]]</f>
        <v>37</v>
      </c>
      <c r="BF472">
        <f>Table1[[#This Row],[BP _Diastolic (mmHg)]]+(Table1[[#This Row],[BP _Diastolic (mmHg)]]+Table1[[#This Row],[Follicle No. (L)]])/3</f>
        <v>109.33333333333333</v>
      </c>
      <c r="BG472" s="4" t="str" cm="1">
        <f t="array" ref="BG47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72" s="4">
        <f>SUM(Table1[[#This Row],[Pimples(Y/N)]],Table1[[#This Row],[hair growth(Y/N)]],Table1[[#This Row],[Skin darkening (Y/N)]],Table1[[#This Row],[Hair loss(Y/N)]])</f>
        <v>3</v>
      </c>
      <c r="BI472" s="4" t="str">
        <f>IF(AND(Table1[[#This Row],[Pregnant(Y/N)]]=0, Table1[[#This Row],[  I   beta-HCG(mIU/mL)]]&gt;5), "Investigation Required", "Clear")</f>
        <v>Clear</v>
      </c>
    </row>
    <row r="473" spans="1:61" ht="15.75" customHeight="1" x14ac:dyDescent="0.25">
      <c r="A473">
        <v>472</v>
      </c>
      <c r="B473">
        <v>472</v>
      </c>
      <c r="C473">
        <v>1</v>
      </c>
      <c r="D473" t="str">
        <f>IF(Table1[[#This Row],[PCOS (Y/N)]]=0,"NO","YES")</f>
        <v>YES</v>
      </c>
      <c r="E473">
        <v>31</v>
      </c>
      <c r="F473">
        <v>50</v>
      </c>
      <c r="G473">
        <v>152</v>
      </c>
      <c r="H473">
        <v>13</v>
      </c>
      <c r="I473">
        <v>80</v>
      </c>
      <c r="J473">
        <v>20</v>
      </c>
      <c r="K473">
        <v>11</v>
      </c>
      <c r="L473">
        <v>2</v>
      </c>
      <c r="M473">
        <v>5</v>
      </c>
      <c r="N473">
        <v>7</v>
      </c>
      <c r="O473">
        <v>0</v>
      </c>
      <c r="P473" t="str">
        <f>IF(Table1[[#This Row],[Pregnant(Y/N)]]=1,"YES","NO")</f>
        <v>NO</v>
      </c>
      <c r="Q473">
        <v>0</v>
      </c>
      <c r="R473">
        <v>381.9</v>
      </c>
      <c r="S473">
        <v>1.99</v>
      </c>
      <c r="T473">
        <v>6.21</v>
      </c>
      <c r="U473">
        <v>1</v>
      </c>
      <c r="V473">
        <f>Table1[[#This Row],[FSH(mIU/mL)]]/Table1[[#This Row],[LH(mIU/mL)]]</f>
        <v>6.21</v>
      </c>
      <c r="W473" t="str">
        <f>IF(Table1[[#This Row],[FSH/LH]]&gt;=2,"Abnormal","Normal")</f>
        <v>Abnormal</v>
      </c>
      <c r="X473">
        <v>36</v>
      </c>
      <c r="Y473">
        <v>34</v>
      </c>
      <c r="Z473">
        <f>ROUND(Table1[[#This Row],[Waist(inch)]]/Table1[[#This Row],[Hip(inch)]],2)</f>
        <v>0.94</v>
      </c>
      <c r="AA473">
        <v>1.75</v>
      </c>
      <c r="AB473">
        <v>0.99</v>
      </c>
      <c r="AC473">
        <v>32.06</v>
      </c>
      <c r="AD473">
        <v>18.5</v>
      </c>
      <c r="AE473" t="str">
        <f>IF(Table1[[#This Row],[Vit D3 (ng/mL)]]&lt;20,"Deficiency","Normal")</f>
        <v>Deficiency</v>
      </c>
      <c r="AF473">
        <v>0.25</v>
      </c>
      <c r="AG473">
        <v>90</v>
      </c>
      <c r="AH473">
        <v>0</v>
      </c>
      <c r="AI473" t="str">
        <f>IF(Table1[[#This Row],[Weight gain(Y/N)]]=0,"NO","YES")</f>
        <v>NO</v>
      </c>
      <c r="AJ473">
        <v>0</v>
      </c>
      <c r="AK473" t="str">
        <f>IF(Table1[[#This Row],[hair growth(Y/N)]]=1,"YES","NO")</f>
        <v>NO</v>
      </c>
      <c r="AL473">
        <v>0</v>
      </c>
      <c r="AM473" t="str">
        <f>IF(Table1[[#This Row],[Skin darkening (Y/N)]]=1,"YES","NO")</f>
        <v>NO</v>
      </c>
      <c r="AN473">
        <v>1</v>
      </c>
      <c r="AO473" t="str">
        <f>IF(Table1[[#This Row],[Hair loss(Y/N)]]=1,"YES","NO")</f>
        <v>YES</v>
      </c>
      <c r="AP473">
        <v>0</v>
      </c>
      <c r="AQ473" t="str">
        <f>IF(Table1[[#This Row],[Pimples(Y/N)]]=1,"YES","NO")</f>
        <v>NO</v>
      </c>
      <c r="AR473">
        <v>1</v>
      </c>
      <c r="AS473" t="str">
        <f>IF(Table1[[#This Row],[Fast food (Y/N)]]=1,"YES","NO")</f>
        <v>YES</v>
      </c>
      <c r="AT473">
        <v>0</v>
      </c>
      <c r="AU473" t="str">
        <f>IF(Table1[[#This Row],[Reg.Exercise(Y/N)]]=1,"YES","NO")</f>
        <v>NO</v>
      </c>
      <c r="AV473">
        <v>110</v>
      </c>
      <c r="AW473">
        <v>70</v>
      </c>
      <c r="AX473">
        <v>5</v>
      </c>
      <c r="AY473">
        <v>14</v>
      </c>
      <c r="AZ473">
        <v>15</v>
      </c>
      <c r="BA473">
        <v>20</v>
      </c>
      <c r="BB473">
        <v>7.5</v>
      </c>
      <c r="BC473" t="str" cm="1">
        <f t="array" ref="BC473">_xlfn.IFS((F473/(G473*G473)*10000)&lt; 18.5,"Underweight",(F473/(G473*G473)*10000)&lt;24.9,"Normal",(F473/(G473*G473)*10000)&lt;29.9,"Overweight",(F473/(G473*G473)*10000)&gt;=30,"obesity")</f>
        <v>Normal</v>
      </c>
      <c r="BD473">
        <f>Table1[[#This Row],[Follicle No. (L)]]+Table1[[#This Row],[Follicle No. (R)]]</f>
        <v>19</v>
      </c>
      <c r="BE473">
        <f>Table1[[#This Row],[Avg. F size (L) (mm)]]+Table1[[#This Row],[Avg. F size (R) (mm)]]</f>
        <v>35</v>
      </c>
      <c r="BF473">
        <f>Table1[[#This Row],[BP _Diastolic (mmHg)]]+(Table1[[#This Row],[BP _Diastolic (mmHg)]]+Table1[[#This Row],[Follicle No. (L)]])/3</f>
        <v>95</v>
      </c>
      <c r="BG473" s="4" t="str" cm="1">
        <f t="array" ref="BG47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73" s="4">
        <f>SUM(Table1[[#This Row],[Pimples(Y/N)]],Table1[[#This Row],[hair growth(Y/N)]],Table1[[#This Row],[Skin darkening (Y/N)]],Table1[[#This Row],[Hair loss(Y/N)]])</f>
        <v>1</v>
      </c>
      <c r="BI473" s="4" t="str">
        <f>IF(AND(Table1[[#This Row],[Pregnant(Y/N)]]=0, Table1[[#This Row],[  I   beta-HCG(mIU/mL)]]&gt;5), "Investigation Required", "Clear")</f>
        <v>Investigation Required</v>
      </c>
    </row>
    <row r="474" spans="1:61" ht="15.75" customHeight="1" x14ac:dyDescent="0.25">
      <c r="A474">
        <v>473</v>
      </c>
      <c r="B474">
        <v>473</v>
      </c>
      <c r="C474">
        <v>1</v>
      </c>
      <c r="D474" t="str">
        <f>IF(Table1[[#This Row],[PCOS (Y/N)]]=0,"NO","YES")</f>
        <v>YES</v>
      </c>
      <c r="E474">
        <v>26</v>
      </c>
      <c r="F474">
        <v>68</v>
      </c>
      <c r="G474">
        <v>164.59200000000001</v>
      </c>
      <c r="H474">
        <v>11</v>
      </c>
      <c r="I474">
        <v>72</v>
      </c>
      <c r="J474">
        <v>18</v>
      </c>
      <c r="K474">
        <v>12</v>
      </c>
      <c r="L474">
        <v>2</v>
      </c>
      <c r="M474">
        <v>5</v>
      </c>
      <c r="N474">
        <v>6</v>
      </c>
      <c r="O474">
        <v>1</v>
      </c>
      <c r="P474" t="str">
        <f>IF(Table1[[#This Row],[Pregnant(Y/N)]]=1,"YES","NO")</f>
        <v>YES</v>
      </c>
      <c r="Q474">
        <v>1</v>
      </c>
      <c r="R474">
        <v>10</v>
      </c>
      <c r="S474">
        <v>9.35</v>
      </c>
      <c r="T474">
        <v>5.05</v>
      </c>
      <c r="U474">
        <v>2.0099999999999998</v>
      </c>
      <c r="V474">
        <f>Table1[[#This Row],[FSH(mIU/mL)]]/Table1[[#This Row],[LH(mIU/mL)]]</f>
        <v>2.5124378109452739</v>
      </c>
      <c r="W474" t="str">
        <f>IF(Table1[[#This Row],[FSH/LH]]&gt;=2,"Abnormal","Normal")</f>
        <v>Abnormal</v>
      </c>
      <c r="X474">
        <v>42</v>
      </c>
      <c r="Y474">
        <v>38</v>
      </c>
      <c r="Z474">
        <f>ROUND(Table1[[#This Row],[Waist(inch)]]/Table1[[#This Row],[Hip(inch)]],2)</f>
        <v>0.9</v>
      </c>
      <c r="AA474">
        <v>1.27</v>
      </c>
      <c r="AB474">
        <v>0.9</v>
      </c>
      <c r="AC474">
        <v>14.85</v>
      </c>
      <c r="AD474">
        <v>32.799999999999997</v>
      </c>
      <c r="AE474" t="str">
        <f>IF(Table1[[#This Row],[Vit D3 (ng/mL)]]&lt;20,"Deficiency","Normal")</f>
        <v>Normal</v>
      </c>
      <c r="AF474">
        <v>0.24</v>
      </c>
      <c r="AG474">
        <v>92</v>
      </c>
      <c r="AH474">
        <v>1</v>
      </c>
      <c r="AI474" t="str">
        <f>IF(Table1[[#This Row],[Weight gain(Y/N)]]=0,"NO","YES")</f>
        <v>YES</v>
      </c>
      <c r="AJ474">
        <v>0</v>
      </c>
      <c r="AK474" t="str">
        <f>IF(Table1[[#This Row],[hair growth(Y/N)]]=1,"YES","NO")</f>
        <v>NO</v>
      </c>
      <c r="AL474">
        <v>0</v>
      </c>
      <c r="AM474" t="str">
        <f>IF(Table1[[#This Row],[Skin darkening (Y/N)]]=1,"YES","NO")</f>
        <v>NO</v>
      </c>
      <c r="AN474">
        <v>0</v>
      </c>
      <c r="AO474" t="str">
        <f>IF(Table1[[#This Row],[Hair loss(Y/N)]]=1,"YES","NO")</f>
        <v>NO</v>
      </c>
      <c r="AP474">
        <v>1</v>
      </c>
      <c r="AQ474" t="str">
        <f>IF(Table1[[#This Row],[Pimples(Y/N)]]=1,"YES","NO")</f>
        <v>YES</v>
      </c>
      <c r="AR474">
        <v>1</v>
      </c>
      <c r="AS474" t="str">
        <f>IF(Table1[[#This Row],[Fast food (Y/N)]]=1,"YES","NO")</f>
        <v>YES</v>
      </c>
      <c r="AT474">
        <v>0</v>
      </c>
      <c r="AU474" t="str">
        <f>IF(Table1[[#This Row],[Reg.Exercise(Y/N)]]=1,"YES","NO")</f>
        <v>NO</v>
      </c>
      <c r="AV474">
        <v>110</v>
      </c>
      <c r="AW474">
        <v>70</v>
      </c>
      <c r="AX474">
        <v>12</v>
      </c>
      <c r="AY474">
        <v>14</v>
      </c>
      <c r="AZ474">
        <v>19</v>
      </c>
      <c r="BA474">
        <v>18</v>
      </c>
      <c r="BB474">
        <v>8.9499999999999993</v>
      </c>
      <c r="BC474" t="str" cm="1">
        <f t="array" ref="BC474">_xlfn.IFS((F474/(G474*G474)*10000)&lt; 18.5,"Underweight",(F474/(G474*G474)*10000)&lt;24.9,"Normal",(F474/(G474*G474)*10000)&lt;29.9,"Overweight",(F474/(G474*G474)*10000)&gt;=30,"obesity")</f>
        <v>Overweight</v>
      </c>
      <c r="BD474">
        <f>Table1[[#This Row],[Follicle No. (L)]]+Table1[[#This Row],[Follicle No. (R)]]</f>
        <v>26</v>
      </c>
      <c r="BE474">
        <f>Table1[[#This Row],[Avg. F size (L) (mm)]]+Table1[[#This Row],[Avg. F size (R) (mm)]]</f>
        <v>37</v>
      </c>
      <c r="BF474">
        <f>Table1[[#This Row],[BP _Diastolic (mmHg)]]+(Table1[[#This Row],[BP _Diastolic (mmHg)]]+Table1[[#This Row],[Follicle No. (L)]])/3</f>
        <v>97.333333333333329</v>
      </c>
      <c r="BG474" s="4" t="str" cm="1">
        <f t="array" ref="BG47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74" s="4">
        <f>SUM(Table1[[#This Row],[Pimples(Y/N)]],Table1[[#This Row],[hair growth(Y/N)]],Table1[[#This Row],[Skin darkening (Y/N)]],Table1[[#This Row],[Hair loss(Y/N)]])</f>
        <v>1</v>
      </c>
      <c r="BI474" s="4" t="str">
        <f>IF(AND(Table1[[#This Row],[Pregnant(Y/N)]]=0, Table1[[#This Row],[  I   beta-HCG(mIU/mL)]]&gt;5), "Investigation Required", "Clear")</f>
        <v>Clear</v>
      </c>
    </row>
    <row r="475" spans="1:61" ht="15.75" customHeight="1" x14ac:dyDescent="0.25">
      <c r="A475">
        <v>474</v>
      </c>
      <c r="B475">
        <v>474</v>
      </c>
      <c r="C475">
        <v>0</v>
      </c>
      <c r="D475" t="str">
        <f>IF(Table1[[#This Row],[PCOS (Y/N)]]=0,"NO","YES")</f>
        <v>NO</v>
      </c>
      <c r="E475">
        <v>39</v>
      </c>
      <c r="F475">
        <v>50</v>
      </c>
      <c r="G475">
        <v>154</v>
      </c>
      <c r="H475">
        <v>15</v>
      </c>
      <c r="I475">
        <v>78</v>
      </c>
      <c r="J475">
        <v>22</v>
      </c>
      <c r="K475">
        <v>12.1</v>
      </c>
      <c r="L475">
        <v>2</v>
      </c>
      <c r="M475">
        <v>5</v>
      </c>
      <c r="N475">
        <v>16</v>
      </c>
      <c r="O475">
        <v>0</v>
      </c>
      <c r="P475" t="str">
        <f>IF(Table1[[#This Row],[Pregnant(Y/N)]]=1,"YES","NO")</f>
        <v>NO</v>
      </c>
      <c r="Q475">
        <v>0</v>
      </c>
      <c r="R475">
        <v>1.97</v>
      </c>
      <c r="S475">
        <v>1.99</v>
      </c>
      <c r="T475">
        <v>3.8</v>
      </c>
      <c r="U475">
        <v>2</v>
      </c>
      <c r="V475">
        <f>Table1[[#This Row],[FSH(mIU/mL)]]/Table1[[#This Row],[LH(mIU/mL)]]</f>
        <v>1.9</v>
      </c>
      <c r="W475" t="str">
        <f>IF(Table1[[#This Row],[FSH/LH]]&gt;=2,"Abnormal","Normal")</f>
        <v>Normal</v>
      </c>
      <c r="X475">
        <v>34</v>
      </c>
      <c r="Y475">
        <v>30</v>
      </c>
      <c r="Z475">
        <f>ROUND(Table1[[#This Row],[Waist(inch)]]/Table1[[#This Row],[Hip(inch)]],2)</f>
        <v>0.88</v>
      </c>
      <c r="AA475">
        <v>4.3499999999999996</v>
      </c>
      <c r="AB475">
        <v>4.13</v>
      </c>
      <c r="AC475">
        <v>14.13</v>
      </c>
      <c r="AD475">
        <v>23.7</v>
      </c>
      <c r="AE475" t="str">
        <f>IF(Table1[[#This Row],[Vit D3 (ng/mL)]]&lt;20,"Deficiency","Normal")</f>
        <v>Normal</v>
      </c>
      <c r="AF475">
        <v>0.25</v>
      </c>
      <c r="AG475">
        <v>100</v>
      </c>
      <c r="AH475">
        <v>0</v>
      </c>
      <c r="AI475" t="str">
        <f>IF(Table1[[#This Row],[Weight gain(Y/N)]]=0,"NO","YES")</f>
        <v>NO</v>
      </c>
      <c r="AJ475">
        <v>0</v>
      </c>
      <c r="AK475" t="str">
        <f>IF(Table1[[#This Row],[hair growth(Y/N)]]=1,"YES","NO")</f>
        <v>NO</v>
      </c>
      <c r="AL475">
        <v>0</v>
      </c>
      <c r="AM475" t="str">
        <f>IF(Table1[[#This Row],[Skin darkening (Y/N)]]=1,"YES","NO")</f>
        <v>NO</v>
      </c>
      <c r="AN475">
        <v>0</v>
      </c>
      <c r="AO475" t="str">
        <f>IF(Table1[[#This Row],[Hair loss(Y/N)]]=1,"YES","NO")</f>
        <v>NO</v>
      </c>
      <c r="AP475">
        <v>0</v>
      </c>
      <c r="AQ475" t="str">
        <f>IF(Table1[[#This Row],[Pimples(Y/N)]]=1,"YES","NO")</f>
        <v>NO</v>
      </c>
      <c r="AR475">
        <v>0</v>
      </c>
      <c r="AS475" t="str">
        <f>IF(Table1[[#This Row],[Fast food (Y/N)]]=1,"YES","NO")</f>
        <v>NO</v>
      </c>
      <c r="AT475">
        <v>0</v>
      </c>
      <c r="AU475" t="str">
        <f>IF(Table1[[#This Row],[Reg.Exercise(Y/N)]]=1,"YES","NO")</f>
        <v>NO</v>
      </c>
      <c r="AV475">
        <v>120</v>
      </c>
      <c r="AW475">
        <v>80</v>
      </c>
      <c r="AX475">
        <v>5</v>
      </c>
      <c r="AY475">
        <v>7</v>
      </c>
      <c r="AZ475">
        <v>19</v>
      </c>
      <c r="BA475">
        <v>20</v>
      </c>
      <c r="BB475">
        <v>5</v>
      </c>
      <c r="BC475" t="str" cm="1">
        <f t="array" ref="BC475">_xlfn.IFS((F475/(G475*G475)*10000)&lt; 18.5,"Underweight",(F475/(G475*G475)*10000)&lt;24.9,"Normal",(F475/(G475*G475)*10000)&lt;29.9,"Overweight",(F475/(G475*G475)*10000)&gt;=30,"obesity")</f>
        <v>Normal</v>
      </c>
      <c r="BD475">
        <f>Table1[[#This Row],[Follicle No. (L)]]+Table1[[#This Row],[Follicle No. (R)]]</f>
        <v>12</v>
      </c>
      <c r="BE475">
        <f>Table1[[#This Row],[Avg. F size (L) (mm)]]+Table1[[#This Row],[Avg. F size (R) (mm)]]</f>
        <v>39</v>
      </c>
      <c r="BF475">
        <f>Table1[[#This Row],[BP _Diastolic (mmHg)]]+(Table1[[#This Row],[BP _Diastolic (mmHg)]]+Table1[[#This Row],[Follicle No. (L)]])/3</f>
        <v>108.33333333333333</v>
      </c>
      <c r="BG475" s="4" t="str" cm="1">
        <f t="array" ref="BG47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75" s="4">
        <f>SUM(Table1[[#This Row],[Pimples(Y/N)]],Table1[[#This Row],[hair growth(Y/N)]],Table1[[#This Row],[Skin darkening (Y/N)]],Table1[[#This Row],[Hair loss(Y/N)]])</f>
        <v>0</v>
      </c>
      <c r="BI475" s="4" t="str">
        <f>IF(AND(Table1[[#This Row],[Pregnant(Y/N)]]=0, Table1[[#This Row],[  I   beta-HCG(mIU/mL)]]&gt;5), "Investigation Required", "Clear")</f>
        <v>Clear</v>
      </c>
    </row>
    <row r="476" spans="1:61" ht="15.75" customHeight="1" x14ac:dyDescent="0.25">
      <c r="A476">
        <v>475</v>
      </c>
      <c r="B476">
        <v>475</v>
      </c>
      <c r="C476">
        <v>0</v>
      </c>
      <c r="D476" t="str">
        <f>IF(Table1[[#This Row],[PCOS (Y/N)]]=0,"NO","YES")</f>
        <v>NO</v>
      </c>
      <c r="E476">
        <v>48</v>
      </c>
      <c r="F476">
        <v>55</v>
      </c>
      <c r="G476">
        <v>151</v>
      </c>
      <c r="H476">
        <v>15</v>
      </c>
      <c r="I476">
        <v>70</v>
      </c>
      <c r="J476">
        <v>18</v>
      </c>
      <c r="K476">
        <v>9.4</v>
      </c>
      <c r="L476">
        <v>4</v>
      </c>
      <c r="M476">
        <v>2</v>
      </c>
      <c r="N476">
        <v>25</v>
      </c>
      <c r="O476">
        <v>0</v>
      </c>
      <c r="P476" t="str">
        <f>IF(Table1[[#This Row],[Pregnant(Y/N)]]=1,"YES","NO")</f>
        <v>NO</v>
      </c>
      <c r="Q476">
        <v>0</v>
      </c>
      <c r="R476">
        <v>4983.21</v>
      </c>
      <c r="S476">
        <v>127.2</v>
      </c>
      <c r="T476">
        <v>4.08</v>
      </c>
      <c r="U476">
        <v>2.6</v>
      </c>
      <c r="V476">
        <f>Table1[[#This Row],[FSH(mIU/mL)]]/Table1[[#This Row],[LH(mIU/mL)]]</f>
        <v>1.5692307692307692</v>
      </c>
      <c r="W476" t="str">
        <f>IF(Table1[[#This Row],[FSH/LH]]&gt;=2,"Abnormal","Normal")</f>
        <v>Normal</v>
      </c>
      <c r="X476">
        <v>38</v>
      </c>
      <c r="Y476">
        <v>36</v>
      </c>
      <c r="Z476">
        <f>ROUND(Table1[[#This Row],[Waist(inch)]]/Table1[[#This Row],[Hip(inch)]],2)</f>
        <v>0.95</v>
      </c>
      <c r="AA476">
        <v>0.45</v>
      </c>
      <c r="AB476">
        <v>4.0199999999999996</v>
      </c>
      <c r="AC476">
        <v>27.72</v>
      </c>
      <c r="AD476">
        <v>29.2</v>
      </c>
      <c r="AE476" t="str">
        <f>IF(Table1[[#This Row],[Vit D3 (ng/mL)]]&lt;20,"Deficiency","Normal")</f>
        <v>Normal</v>
      </c>
      <c r="AF476">
        <v>0.3</v>
      </c>
      <c r="AG476">
        <v>91</v>
      </c>
      <c r="AH476">
        <v>0</v>
      </c>
      <c r="AI476" t="str">
        <f>IF(Table1[[#This Row],[Weight gain(Y/N)]]=0,"NO","YES")</f>
        <v>NO</v>
      </c>
      <c r="AJ476">
        <v>0</v>
      </c>
      <c r="AK476" t="str">
        <f>IF(Table1[[#This Row],[hair growth(Y/N)]]=1,"YES","NO")</f>
        <v>NO</v>
      </c>
      <c r="AL476">
        <v>0</v>
      </c>
      <c r="AM476" t="str">
        <f>IF(Table1[[#This Row],[Skin darkening (Y/N)]]=1,"YES","NO")</f>
        <v>NO</v>
      </c>
      <c r="AN476">
        <v>0</v>
      </c>
      <c r="AO476" t="str">
        <f>IF(Table1[[#This Row],[Hair loss(Y/N)]]=1,"YES","NO")</f>
        <v>NO</v>
      </c>
      <c r="AP476">
        <v>1</v>
      </c>
      <c r="AQ476" t="str">
        <f>IF(Table1[[#This Row],[Pimples(Y/N)]]=1,"YES","NO")</f>
        <v>YES</v>
      </c>
      <c r="AR476">
        <v>0</v>
      </c>
      <c r="AS476" t="str">
        <f>IF(Table1[[#This Row],[Fast food (Y/N)]]=1,"YES","NO")</f>
        <v>NO</v>
      </c>
      <c r="AT476">
        <v>1</v>
      </c>
      <c r="AU476" t="str">
        <f>IF(Table1[[#This Row],[Reg.Exercise(Y/N)]]=1,"YES","NO")</f>
        <v>YES</v>
      </c>
      <c r="AV476">
        <v>130</v>
      </c>
      <c r="AW476">
        <v>80</v>
      </c>
      <c r="AX476">
        <v>9</v>
      </c>
      <c r="AY476">
        <v>10</v>
      </c>
      <c r="AZ476">
        <v>18</v>
      </c>
      <c r="BA476">
        <v>19</v>
      </c>
      <c r="BB476">
        <v>9</v>
      </c>
      <c r="BC476" t="str" cm="1">
        <f t="array" ref="BC476">_xlfn.IFS((F476/(G476*G476)*10000)&lt; 18.5,"Underweight",(F476/(G476*G476)*10000)&lt;24.9,"Normal",(F476/(G476*G476)*10000)&lt;29.9,"Overweight",(F476/(G476*G476)*10000)&gt;=30,"obesity")</f>
        <v>Normal</v>
      </c>
      <c r="BD476">
        <f>Table1[[#This Row],[Follicle No. (L)]]+Table1[[#This Row],[Follicle No. (R)]]</f>
        <v>19</v>
      </c>
      <c r="BE476">
        <f>Table1[[#This Row],[Avg. F size (L) (mm)]]+Table1[[#This Row],[Avg. F size (R) (mm)]]</f>
        <v>37</v>
      </c>
      <c r="BF476">
        <f>Table1[[#This Row],[BP _Diastolic (mmHg)]]+(Table1[[#This Row],[BP _Diastolic (mmHg)]]+Table1[[#This Row],[Follicle No. (L)]])/3</f>
        <v>109.66666666666667</v>
      </c>
      <c r="BG476" s="4" t="str" cm="1">
        <f t="array" ref="BG47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76" s="4">
        <f>SUM(Table1[[#This Row],[Pimples(Y/N)]],Table1[[#This Row],[hair growth(Y/N)]],Table1[[#This Row],[Skin darkening (Y/N)]],Table1[[#This Row],[Hair loss(Y/N)]])</f>
        <v>1</v>
      </c>
      <c r="BI476" s="4" t="str">
        <f>IF(AND(Table1[[#This Row],[Pregnant(Y/N)]]=0, Table1[[#This Row],[  I   beta-HCG(mIU/mL)]]&gt;5), "Investigation Required", "Clear")</f>
        <v>Investigation Required</v>
      </c>
    </row>
    <row r="477" spans="1:61" ht="15.75" customHeight="1" x14ac:dyDescent="0.25">
      <c r="A477">
        <v>476</v>
      </c>
      <c r="B477">
        <v>476</v>
      </c>
      <c r="C477">
        <v>1</v>
      </c>
      <c r="D477" t="str">
        <f>IF(Table1[[#This Row],[PCOS (Y/N)]]=0,"NO","YES")</f>
        <v>YES</v>
      </c>
      <c r="E477">
        <v>31</v>
      </c>
      <c r="F477">
        <v>55</v>
      </c>
      <c r="G477">
        <v>156</v>
      </c>
      <c r="H477">
        <v>13</v>
      </c>
      <c r="I477">
        <v>72</v>
      </c>
      <c r="J477">
        <v>20</v>
      </c>
      <c r="K477">
        <v>12.1</v>
      </c>
      <c r="L477">
        <v>2</v>
      </c>
      <c r="M477">
        <v>4</v>
      </c>
      <c r="N477">
        <v>7</v>
      </c>
      <c r="O477">
        <v>1</v>
      </c>
      <c r="P477" t="str">
        <f>IF(Table1[[#This Row],[Pregnant(Y/N)]]=1,"YES","NO")</f>
        <v>YES</v>
      </c>
      <c r="Q477">
        <v>0</v>
      </c>
      <c r="R477">
        <v>1.99</v>
      </c>
      <c r="S477">
        <v>56.4</v>
      </c>
      <c r="T477">
        <v>6.53</v>
      </c>
      <c r="U477">
        <v>7.48</v>
      </c>
      <c r="V477">
        <f>Table1[[#This Row],[FSH(mIU/mL)]]/Table1[[#This Row],[LH(mIU/mL)]]</f>
        <v>0.87299465240641705</v>
      </c>
      <c r="W477" t="str">
        <f>IF(Table1[[#This Row],[FSH/LH]]&gt;=2,"Abnormal","Normal")</f>
        <v>Normal</v>
      </c>
      <c r="X477">
        <v>38</v>
      </c>
      <c r="Y477">
        <v>32</v>
      </c>
      <c r="Z477">
        <f>ROUND(Table1[[#This Row],[Waist(inch)]]/Table1[[#This Row],[Hip(inch)]],2)</f>
        <v>0.84</v>
      </c>
      <c r="AA477">
        <v>2.31</v>
      </c>
      <c r="AB477">
        <v>6.09</v>
      </c>
      <c r="AC477">
        <v>14.79</v>
      </c>
      <c r="AD477">
        <v>30.8</v>
      </c>
      <c r="AE477" t="str">
        <f>IF(Table1[[#This Row],[Vit D3 (ng/mL)]]&lt;20,"Deficiency","Normal")</f>
        <v>Normal</v>
      </c>
      <c r="AF477">
        <v>0.25</v>
      </c>
      <c r="AG477">
        <v>84</v>
      </c>
      <c r="AH477">
        <v>0</v>
      </c>
      <c r="AI477" t="str">
        <f>IF(Table1[[#This Row],[Weight gain(Y/N)]]=0,"NO","YES")</f>
        <v>NO</v>
      </c>
      <c r="AJ477">
        <v>0</v>
      </c>
      <c r="AK477" t="str">
        <f>IF(Table1[[#This Row],[hair growth(Y/N)]]=1,"YES","NO")</f>
        <v>NO</v>
      </c>
      <c r="AL477">
        <v>1</v>
      </c>
      <c r="AM477" t="str">
        <f>IF(Table1[[#This Row],[Skin darkening (Y/N)]]=1,"YES","NO")</f>
        <v>YES</v>
      </c>
      <c r="AN477">
        <v>0</v>
      </c>
      <c r="AO477" t="str">
        <f>IF(Table1[[#This Row],[Hair loss(Y/N)]]=1,"YES","NO")</f>
        <v>NO</v>
      </c>
      <c r="AP477">
        <v>0</v>
      </c>
      <c r="AQ477" t="str">
        <f>IF(Table1[[#This Row],[Pimples(Y/N)]]=1,"YES","NO")</f>
        <v>NO</v>
      </c>
      <c r="AR477">
        <v>0</v>
      </c>
      <c r="AS477" t="str">
        <f>IF(Table1[[#This Row],[Fast food (Y/N)]]=1,"YES","NO")</f>
        <v>NO</v>
      </c>
      <c r="AT477">
        <v>1</v>
      </c>
      <c r="AU477" t="str">
        <f>IF(Table1[[#This Row],[Reg.Exercise(Y/N)]]=1,"YES","NO")</f>
        <v>YES</v>
      </c>
      <c r="AV477">
        <v>120</v>
      </c>
      <c r="AW477">
        <v>80</v>
      </c>
      <c r="AX477">
        <v>6</v>
      </c>
      <c r="AY477">
        <v>15</v>
      </c>
      <c r="AZ477">
        <v>18</v>
      </c>
      <c r="BA477">
        <v>20</v>
      </c>
      <c r="BB477">
        <v>8.5</v>
      </c>
      <c r="BC477" t="str" cm="1">
        <f t="array" ref="BC477">_xlfn.IFS((F477/(G477*G477)*10000)&lt; 18.5,"Underweight",(F477/(G477*G477)*10000)&lt;24.9,"Normal",(F477/(G477*G477)*10000)&lt;29.9,"Overweight",(F477/(G477*G477)*10000)&gt;=30,"obesity")</f>
        <v>Normal</v>
      </c>
      <c r="BD477">
        <f>Table1[[#This Row],[Follicle No. (L)]]+Table1[[#This Row],[Follicle No. (R)]]</f>
        <v>21</v>
      </c>
      <c r="BE477">
        <f>Table1[[#This Row],[Avg. F size (L) (mm)]]+Table1[[#This Row],[Avg. F size (R) (mm)]]</f>
        <v>38</v>
      </c>
      <c r="BF477">
        <f>Table1[[#This Row],[BP _Diastolic (mmHg)]]+(Table1[[#This Row],[BP _Diastolic (mmHg)]]+Table1[[#This Row],[Follicle No. (L)]])/3</f>
        <v>108.66666666666667</v>
      </c>
      <c r="BG477" s="4" t="str" cm="1">
        <f t="array" ref="BG47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77" s="4">
        <f>SUM(Table1[[#This Row],[Pimples(Y/N)]],Table1[[#This Row],[hair growth(Y/N)]],Table1[[#This Row],[Skin darkening (Y/N)]],Table1[[#This Row],[Hair loss(Y/N)]])</f>
        <v>1</v>
      </c>
      <c r="BI477" s="4" t="str">
        <f>IF(AND(Table1[[#This Row],[Pregnant(Y/N)]]=0, Table1[[#This Row],[  I   beta-HCG(mIU/mL)]]&gt;5), "Investigation Required", "Clear")</f>
        <v>Clear</v>
      </c>
    </row>
    <row r="478" spans="1:61" ht="15.75" customHeight="1" x14ac:dyDescent="0.25">
      <c r="A478">
        <v>477</v>
      </c>
      <c r="B478">
        <v>477</v>
      </c>
      <c r="C478">
        <v>0</v>
      </c>
      <c r="D478" t="str">
        <f>IF(Table1[[#This Row],[PCOS (Y/N)]]=0,"NO","YES")</f>
        <v>NO</v>
      </c>
      <c r="E478">
        <v>32</v>
      </c>
      <c r="F478">
        <v>61</v>
      </c>
      <c r="G478">
        <v>165</v>
      </c>
      <c r="H478">
        <v>17</v>
      </c>
      <c r="I478">
        <v>78</v>
      </c>
      <c r="J478">
        <v>20</v>
      </c>
      <c r="K478">
        <v>11.5</v>
      </c>
      <c r="L478">
        <v>2</v>
      </c>
      <c r="M478">
        <v>5</v>
      </c>
      <c r="N478">
        <v>1.5</v>
      </c>
      <c r="O478">
        <v>1</v>
      </c>
      <c r="P478" t="str">
        <f>IF(Table1[[#This Row],[Pregnant(Y/N)]]=1,"YES","NO")</f>
        <v>YES</v>
      </c>
      <c r="Q478">
        <v>0</v>
      </c>
      <c r="R478">
        <v>1.97</v>
      </c>
      <c r="S478">
        <v>1.99</v>
      </c>
      <c r="T478">
        <v>9.14</v>
      </c>
      <c r="U478">
        <v>3.37</v>
      </c>
      <c r="V478">
        <f>Table1[[#This Row],[FSH(mIU/mL)]]/Table1[[#This Row],[LH(mIU/mL)]]</f>
        <v>2.7121661721068251</v>
      </c>
      <c r="W478" t="str">
        <f>IF(Table1[[#This Row],[FSH/LH]]&gt;=2,"Abnormal","Normal")</f>
        <v>Abnormal</v>
      </c>
      <c r="X478">
        <v>40</v>
      </c>
      <c r="Y478">
        <v>35</v>
      </c>
      <c r="Z478">
        <f>ROUND(Table1[[#This Row],[Waist(inch)]]/Table1[[#This Row],[Hip(inch)]],2)</f>
        <v>0.88</v>
      </c>
      <c r="AA478">
        <v>0.57999999999999996</v>
      </c>
      <c r="AB478">
        <v>0.71</v>
      </c>
      <c r="AC478">
        <v>20.07</v>
      </c>
      <c r="AD478">
        <v>36.299999999999997</v>
      </c>
      <c r="AE478" t="str">
        <f>IF(Table1[[#This Row],[Vit D3 (ng/mL)]]&lt;20,"Deficiency","Normal")</f>
        <v>Normal</v>
      </c>
      <c r="AF478">
        <v>0.64</v>
      </c>
      <c r="AG478">
        <v>116</v>
      </c>
      <c r="AH478">
        <v>0</v>
      </c>
      <c r="AI478" t="str">
        <f>IF(Table1[[#This Row],[Weight gain(Y/N)]]=0,"NO","YES")</f>
        <v>NO</v>
      </c>
      <c r="AJ478">
        <v>0</v>
      </c>
      <c r="AK478" t="str">
        <f>IF(Table1[[#This Row],[hair growth(Y/N)]]=1,"YES","NO")</f>
        <v>NO</v>
      </c>
      <c r="AL478">
        <v>0</v>
      </c>
      <c r="AM478" t="str">
        <f>IF(Table1[[#This Row],[Skin darkening (Y/N)]]=1,"YES","NO")</f>
        <v>NO</v>
      </c>
      <c r="AN478">
        <v>0</v>
      </c>
      <c r="AO478" t="str">
        <f>IF(Table1[[#This Row],[Hair loss(Y/N)]]=1,"YES","NO")</f>
        <v>NO</v>
      </c>
      <c r="AP478">
        <v>0</v>
      </c>
      <c r="AQ478" t="str">
        <f>IF(Table1[[#This Row],[Pimples(Y/N)]]=1,"YES","NO")</f>
        <v>NO</v>
      </c>
      <c r="AR478">
        <v>0</v>
      </c>
      <c r="AS478" t="str">
        <f>IF(Table1[[#This Row],[Fast food (Y/N)]]=1,"YES","NO")</f>
        <v>NO</v>
      </c>
      <c r="AT478">
        <v>1</v>
      </c>
      <c r="AU478" t="str">
        <f>IF(Table1[[#This Row],[Reg.Exercise(Y/N)]]=1,"YES","NO")</f>
        <v>YES</v>
      </c>
      <c r="AV478">
        <v>110</v>
      </c>
      <c r="AW478">
        <v>80</v>
      </c>
      <c r="AX478">
        <v>2</v>
      </c>
      <c r="AY478">
        <v>1</v>
      </c>
      <c r="AZ478">
        <v>20</v>
      </c>
      <c r="BA478">
        <v>17</v>
      </c>
      <c r="BB478">
        <v>6.4</v>
      </c>
      <c r="BC478" t="str" cm="1">
        <f t="array" ref="BC478">_xlfn.IFS((F478/(G478*G478)*10000)&lt; 18.5,"Underweight",(F478/(G478*G478)*10000)&lt;24.9,"Normal",(F478/(G478*G478)*10000)&lt;29.9,"Overweight",(F478/(G478*G478)*10000)&gt;=30,"obesity")</f>
        <v>Normal</v>
      </c>
      <c r="BD478">
        <f>Table1[[#This Row],[Follicle No. (L)]]+Table1[[#This Row],[Follicle No. (R)]]</f>
        <v>3</v>
      </c>
      <c r="BE478">
        <f>Table1[[#This Row],[Avg. F size (L) (mm)]]+Table1[[#This Row],[Avg. F size (R) (mm)]]</f>
        <v>37</v>
      </c>
      <c r="BF478">
        <f>Table1[[#This Row],[BP _Diastolic (mmHg)]]+(Table1[[#This Row],[BP _Diastolic (mmHg)]]+Table1[[#This Row],[Follicle No. (L)]])/3</f>
        <v>107.33333333333333</v>
      </c>
      <c r="BG478" s="4" t="str" cm="1">
        <f t="array" ref="BG47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78" s="4">
        <f>SUM(Table1[[#This Row],[Pimples(Y/N)]],Table1[[#This Row],[hair growth(Y/N)]],Table1[[#This Row],[Skin darkening (Y/N)]],Table1[[#This Row],[Hair loss(Y/N)]])</f>
        <v>0</v>
      </c>
      <c r="BI478" s="4" t="str">
        <f>IF(AND(Table1[[#This Row],[Pregnant(Y/N)]]=0, Table1[[#This Row],[  I   beta-HCG(mIU/mL)]]&gt;5), "Investigation Required", "Clear")</f>
        <v>Clear</v>
      </c>
    </row>
    <row r="479" spans="1:61" ht="15.75" customHeight="1" x14ac:dyDescent="0.25">
      <c r="A479">
        <v>478</v>
      </c>
      <c r="B479">
        <v>478</v>
      </c>
      <c r="C479">
        <v>1</v>
      </c>
      <c r="D479" t="str">
        <f>IF(Table1[[#This Row],[PCOS (Y/N)]]=0,"NO","YES")</f>
        <v>YES</v>
      </c>
      <c r="E479">
        <v>42</v>
      </c>
      <c r="F479">
        <v>94</v>
      </c>
      <c r="G479">
        <v>155.44800000000001</v>
      </c>
      <c r="H479">
        <v>16</v>
      </c>
      <c r="I479">
        <v>74</v>
      </c>
      <c r="J479">
        <v>18</v>
      </c>
      <c r="K479">
        <v>10.7</v>
      </c>
      <c r="L479">
        <v>4</v>
      </c>
      <c r="M479">
        <v>7</v>
      </c>
      <c r="N479">
        <v>16</v>
      </c>
      <c r="O479">
        <v>0</v>
      </c>
      <c r="P479" t="str">
        <f>IF(Table1[[#This Row],[Pregnant(Y/N)]]=1,"YES","NO")</f>
        <v>NO</v>
      </c>
      <c r="Q479">
        <v>0</v>
      </c>
      <c r="R479">
        <v>501.31</v>
      </c>
      <c r="S479">
        <v>1.99</v>
      </c>
      <c r="T479">
        <v>5.59</v>
      </c>
      <c r="U479">
        <v>2.02</v>
      </c>
      <c r="V479">
        <f>Table1[[#This Row],[FSH(mIU/mL)]]/Table1[[#This Row],[LH(mIU/mL)]]</f>
        <v>2.7673267326732671</v>
      </c>
      <c r="W479" t="str">
        <f>IF(Table1[[#This Row],[FSH/LH]]&gt;=2,"Abnormal","Normal")</f>
        <v>Abnormal</v>
      </c>
      <c r="X479">
        <v>48</v>
      </c>
      <c r="Y479">
        <v>47</v>
      </c>
      <c r="Z479">
        <f>ROUND(Table1[[#This Row],[Waist(inch)]]/Table1[[#This Row],[Hip(inch)]],2)</f>
        <v>0.98</v>
      </c>
      <c r="AA479">
        <v>1.91</v>
      </c>
      <c r="AB479">
        <v>3.62</v>
      </c>
      <c r="AC479">
        <v>7.38</v>
      </c>
      <c r="AD479">
        <v>28.2</v>
      </c>
      <c r="AE479" t="str">
        <f>IF(Table1[[#This Row],[Vit D3 (ng/mL)]]&lt;20,"Deficiency","Normal")</f>
        <v>Normal</v>
      </c>
      <c r="AF479">
        <v>0.55000000000000004</v>
      </c>
      <c r="AG479">
        <v>91</v>
      </c>
      <c r="AH479">
        <v>1</v>
      </c>
      <c r="AI479" t="str">
        <f>IF(Table1[[#This Row],[Weight gain(Y/N)]]=0,"NO","YES")</f>
        <v>YES</v>
      </c>
      <c r="AJ479">
        <v>1</v>
      </c>
      <c r="AK479" t="str">
        <f>IF(Table1[[#This Row],[hair growth(Y/N)]]=1,"YES","NO")</f>
        <v>YES</v>
      </c>
      <c r="AL479">
        <v>1</v>
      </c>
      <c r="AM479" t="str">
        <f>IF(Table1[[#This Row],[Skin darkening (Y/N)]]=1,"YES","NO")</f>
        <v>YES</v>
      </c>
      <c r="AN479">
        <v>1</v>
      </c>
      <c r="AO479" t="str">
        <f>IF(Table1[[#This Row],[Hair loss(Y/N)]]=1,"YES","NO")</f>
        <v>YES</v>
      </c>
      <c r="AP479">
        <v>0</v>
      </c>
      <c r="AQ479" t="str">
        <f>IF(Table1[[#This Row],[Pimples(Y/N)]]=1,"YES","NO")</f>
        <v>NO</v>
      </c>
      <c r="AR479">
        <v>1</v>
      </c>
      <c r="AS479" t="str">
        <f>IF(Table1[[#This Row],[Fast food (Y/N)]]=1,"YES","NO")</f>
        <v>YES</v>
      </c>
      <c r="AT479">
        <v>0</v>
      </c>
      <c r="AU479" t="str">
        <f>IF(Table1[[#This Row],[Reg.Exercise(Y/N)]]=1,"YES","NO")</f>
        <v>NO</v>
      </c>
      <c r="AV479">
        <v>130</v>
      </c>
      <c r="AW479">
        <v>80</v>
      </c>
      <c r="AX479">
        <v>18</v>
      </c>
      <c r="AY479">
        <v>11</v>
      </c>
      <c r="AZ479">
        <v>20</v>
      </c>
      <c r="BA479">
        <v>19</v>
      </c>
      <c r="BB479">
        <v>9.1999999999999993</v>
      </c>
      <c r="BC479" t="str" cm="1">
        <f t="array" ref="BC479">_xlfn.IFS((F479/(G479*G479)*10000)&lt; 18.5,"Underweight",(F479/(G479*G479)*10000)&lt;24.9,"Normal",(F479/(G479*G479)*10000)&lt;29.9,"Overweight",(F479/(G479*G479)*10000)&gt;=30,"obesity")</f>
        <v>obesity</v>
      </c>
      <c r="BD479">
        <f>Table1[[#This Row],[Follicle No. (L)]]+Table1[[#This Row],[Follicle No. (R)]]</f>
        <v>29</v>
      </c>
      <c r="BE479">
        <f>Table1[[#This Row],[Avg. F size (L) (mm)]]+Table1[[#This Row],[Avg. F size (R) (mm)]]</f>
        <v>39</v>
      </c>
      <c r="BF479">
        <f>Table1[[#This Row],[BP _Diastolic (mmHg)]]+(Table1[[#This Row],[BP _Diastolic (mmHg)]]+Table1[[#This Row],[Follicle No. (L)]])/3</f>
        <v>112.66666666666666</v>
      </c>
      <c r="BG479" s="4" t="str" cm="1">
        <f t="array" ref="BG47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79" s="4">
        <f>SUM(Table1[[#This Row],[Pimples(Y/N)]],Table1[[#This Row],[hair growth(Y/N)]],Table1[[#This Row],[Skin darkening (Y/N)]],Table1[[#This Row],[Hair loss(Y/N)]])</f>
        <v>3</v>
      </c>
      <c r="BI479" s="4" t="str">
        <f>IF(AND(Table1[[#This Row],[Pregnant(Y/N)]]=0, Table1[[#This Row],[  I   beta-HCG(mIU/mL)]]&gt;5), "Investigation Required", "Clear")</f>
        <v>Investigation Required</v>
      </c>
    </row>
    <row r="480" spans="1:61" ht="15.75" customHeight="1" x14ac:dyDescent="0.25">
      <c r="A480">
        <v>479</v>
      </c>
      <c r="B480">
        <v>479</v>
      </c>
      <c r="C480">
        <v>0</v>
      </c>
      <c r="D480" t="str">
        <f>IF(Table1[[#This Row],[PCOS (Y/N)]]=0,"NO","YES")</f>
        <v>NO</v>
      </c>
      <c r="E480">
        <v>28</v>
      </c>
      <c r="F480">
        <v>60</v>
      </c>
      <c r="G480">
        <v>160</v>
      </c>
      <c r="H480">
        <v>15</v>
      </c>
      <c r="I480">
        <v>72</v>
      </c>
      <c r="J480">
        <v>18</v>
      </c>
      <c r="K480">
        <v>11.7</v>
      </c>
      <c r="L480">
        <v>2</v>
      </c>
      <c r="M480">
        <v>5</v>
      </c>
      <c r="N480">
        <v>4</v>
      </c>
      <c r="O480">
        <v>0</v>
      </c>
      <c r="P480" t="str">
        <f>IF(Table1[[#This Row],[Pregnant(Y/N)]]=1,"YES","NO")</f>
        <v>NO</v>
      </c>
      <c r="Q480">
        <v>0</v>
      </c>
      <c r="R480">
        <v>21.45</v>
      </c>
      <c r="S480">
        <v>168.99</v>
      </c>
      <c r="T480">
        <v>8.25</v>
      </c>
      <c r="U480">
        <v>2.84</v>
      </c>
      <c r="V480">
        <f>Table1[[#This Row],[FSH(mIU/mL)]]/Table1[[#This Row],[LH(mIU/mL)]]</f>
        <v>2.904929577464789</v>
      </c>
      <c r="W480" t="str">
        <f>IF(Table1[[#This Row],[FSH/LH]]&gt;=2,"Abnormal","Normal")</f>
        <v>Abnormal</v>
      </c>
      <c r="X480">
        <v>39</v>
      </c>
      <c r="Y480">
        <v>37</v>
      </c>
      <c r="Z480">
        <f>ROUND(Table1[[#This Row],[Waist(inch)]]/Table1[[#This Row],[Hip(inch)]],2)</f>
        <v>0.95</v>
      </c>
      <c r="AA480">
        <v>1</v>
      </c>
      <c r="AB480">
        <v>0.89</v>
      </c>
      <c r="AC480">
        <v>33.24</v>
      </c>
      <c r="AD480">
        <v>26.3</v>
      </c>
      <c r="AE480" t="str">
        <f>IF(Table1[[#This Row],[Vit D3 (ng/mL)]]&lt;20,"Deficiency","Normal")</f>
        <v>Normal</v>
      </c>
      <c r="AF480">
        <v>0.39</v>
      </c>
      <c r="AG480">
        <v>91</v>
      </c>
      <c r="AH480">
        <v>0</v>
      </c>
      <c r="AI480" t="str">
        <f>IF(Table1[[#This Row],[Weight gain(Y/N)]]=0,"NO","YES")</f>
        <v>NO</v>
      </c>
      <c r="AJ480">
        <v>0</v>
      </c>
      <c r="AK480" t="str">
        <f>IF(Table1[[#This Row],[hair growth(Y/N)]]=1,"YES","NO")</f>
        <v>NO</v>
      </c>
      <c r="AL480">
        <v>0</v>
      </c>
      <c r="AM480" t="str">
        <f>IF(Table1[[#This Row],[Skin darkening (Y/N)]]=1,"YES","NO")</f>
        <v>NO</v>
      </c>
      <c r="AN480">
        <v>0</v>
      </c>
      <c r="AO480" t="str">
        <f>IF(Table1[[#This Row],[Hair loss(Y/N)]]=1,"YES","NO")</f>
        <v>NO</v>
      </c>
      <c r="AP480">
        <v>0</v>
      </c>
      <c r="AQ480" t="str">
        <f>IF(Table1[[#This Row],[Pimples(Y/N)]]=1,"YES","NO")</f>
        <v>NO</v>
      </c>
      <c r="AR480">
        <v>0</v>
      </c>
      <c r="AS480" t="str">
        <f>IF(Table1[[#This Row],[Fast food (Y/N)]]=1,"YES","NO")</f>
        <v>NO</v>
      </c>
      <c r="AT480">
        <v>0</v>
      </c>
      <c r="AU480" t="str">
        <f>IF(Table1[[#This Row],[Reg.Exercise(Y/N)]]=1,"YES","NO")</f>
        <v>NO</v>
      </c>
      <c r="AV480">
        <v>120</v>
      </c>
      <c r="AW480">
        <v>80</v>
      </c>
      <c r="AX480">
        <v>3</v>
      </c>
      <c r="AY480">
        <v>5</v>
      </c>
      <c r="AZ480">
        <v>18</v>
      </c>
      <c r="BA480">
        <v>17</v>
      </c>
      <c r="BB480">
        <v>6</v>
      </c>
      <c r="BC480" t="str" cm="1">
        <f t="array" ref="BC480">_xlfn.IFS((F480/(G480*G480)*10000)&lt; 18.5,"Underweight",(F480/(G480*G480)*10000)&lt;24.9,"Normal",(F480/(G480*G480)*10000)&lt;29.9,"Overweight",(F480/(G480*G480)*10000)&gt;=30,"obesity")</f>
        <v>Normal</v>
      </c>
      <c r="BD480">
        <f>Table1[[#This Row],[Follicle No. (L)]]+Table1[[#This Row],[Follicle No. (R)]]</f>
        <v>8</v>
      </c>
      <c r="BE480">
        <f>Table1[[#This Row],[Avg. F size (L) (mm)]]+Table1[[#This Row],[Avg. F size (R) (mm)]]</f>
        <v>35</v>
      </c>
      <c r="BF480">
        <f>Table1[[#This Row],[BP _Diastolic (mmHg)]]+(Table1[[#This Row],[BP _Diastolic (mmHg)]]+Table1[[#This Row],[Follicle No. (L)]])/3</f>
        <v>107.66666666666667</v>
      </c>
      <c r="BG480" s="4" t="str" cm="1">
        <f t="array" ref="BG48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80" s="4">
        <f>SUM(Table1[[#This Row],[Pimples(Y/N)]],Table1[[#This Row],[hair growth(Y/N)]],Table1[[#This Row],[Skin darkening (Y/N)]],Table1[[#This Row],[Hair loss(Y/N)]])</f>
        <v>0</v>
      </c>
      <c r="BI480" s="4" t="str">
        <f>IF(AND(Table1[[#This Row],[Pregnant(Y/N)]]=0, Table1[[#This Row],[  I   beta-HCG(mIU/mL)]]&gt;5), "Investigation Required", "Clear")</f>
        <v>Investigation Required</v>
      </c>
    </row>
    <row r="481" spans="1:61" ht="15.75" customHeight="1" x14ac:dyDescent="0.25">
      <c r="A481">
        <v>480</v>
      </c>
      <c r="B481">
        <v>480</v>
      </c>
      <c r="C481">
        <v>0</v>
      </c>
      <c r="D481" t="str">
        <f>IF(Table1[[#This Row],[PCOS (Y/N)]]=0,"NO","YES")</f>
        <v>NO</v>
      </c>
      <c r="E481">
        <v>27</v>
      </c>
      <c r="F481">
        <v>60</v>
      </c>
      <c r="G481">
        <v>158.49600000000001</v>
      </c>
      <c r="H481">
        <v>11</v>
      </c>
      <c r="I481">
        <v>72</v>
      </c>
      <c r="J481">
        <v>20</v>
      </c>
      <c r="K481">
        <v>10.4</v>
      </c>
      <c r="L481">
        <v>2</v>
      </c>
      <c r="M481">
        <v>5</v>
      </c>
      <c r="N481">
        <v>7</v>
      </c>
      <c r="O481">
        <v>1</v>
      </c>
      <c r="P481" t="str">
        <f>IF(Table1[[#This Row],[Pregnant(Y/N)]]=1,"YES","NO")</f>
        <v>YES</v>
      </c>
      <c r="Q481">
        <v>0</v>
      </c>
      <c r="R481">
        <v>696.83</v>
      </c>
      <c r="S481">
        <v>1.99</v>
      </c>
      <c r="T481">
        <v>5.86</v>
      </c>
      <c r="U481">
        <v>2.37</v>
      </c>
      <c r="V481">
        <f>Table1[[#This Row],[FSH(mIU/mL)]]/Table1[[#This Row],[LH(mIU/mL)]]</f>
        <v>2.4725738396624473</v>
      </c>
      <c r="W481" t="str">
        <f>IF(Table1[[#This Row],[FSH/LH]]&gt;=2,"Abnormal","Normal")</f>
        <v>Abnormal</v>
      </c>
      <c r="X481">
        <v>39</v>
      </c>
      <c r="Y481">
        <v>38</v>
      </c>
      <c r="Z481">
        <f>ROUND(Table1[[#This Row],[Waist(inch)]]/Table1[[#This Row],[Hip(inch)]],2)</f>
        <v>0.97</v>
      </c>
      <c r="AA481">
        <v>1</v>
      </c>
      <c r="AB481">
        <v>1.97</v>
      </c>
      <c r="AC481">
        <v>15.82</v>
      </c>
      <c r="AD481">
        <v>25.3</v>
      </c>
      <c r="AE481" t="str">
        <f>IF(Table1[[#This Row],[Vit D3 (ng/mL)]]&lt;20,"Deficiency","Normal")</f>
        <v>Normal</v>
      </c>
      <c r="AF481">
        <v>0.4</v>
      </c>
      <c r="AG481">
        <v>116</v>
      </c>
      <c r="AH481">
        <v>0</v>
      </c>
      <c r="AI481" t="str">
        <f>IF(Table1[[#This Row],[Weight gain(Y/N)]]=0,"NO","YES")</f>
        <v>NO</v>
      </c>
      <c r="AJ481">
        <v>0</v>
      </c>
      <c r="AK481" t="str">
        <f>IF(Table1[[#This Row],[hair growth(Y/N)]]=1,"YES","NO")</f>
        <v>NO</v>
      </c>
      <c r="AL481">
        <v>1</v>
      </c>
      <c r="AM481" t="str">
        <f>IF(Table1[[#This Row],[Skin darkening (Y/N)]]=1,"YES","NO")</f>
        <v>YES</v>
      </c>
      <c r="AN481">
        <v>1</v>
      </c>
      <c r="AO481" t="str">
        <f>IF(Table1[[#This Row],[Hair loss(Y/N)]]=1,"YES","NO")</f>
        <v>YES</v>
      </c>
      <c r="AP481">
        <v>1</v>
      </c>
      <c r="AQ481" t="str">
        <f>IF(Table1[[#This Row],[Pimples(Y/N)]]=1,"YES","NO")</f>
        <v>YES</v>
      </c>
      <c r="AR481">
        <v>0</v>
      </c>
      <c r="AS481" t="str">
        <f>IF(Table1[[#This Row],[Fast food (Y/N)]]=1,"YES","NO")</f>
        <v>NO</v>
      </c>
      <c r="AT481">
        <v>0</v>
      </c>
      <c r="AU481" t="str">
        <f>IF(Table1[[#This Row],[Reg.Exercise(Y/N)]]=1,"YES","NO")</f>
        <v>NO</v>
      </c>
      <c r="AV481">
        <v>110</v>
      </c>
      <c r="AW481">
        <v>80</v>
      </c>
      <c r="AX481">
        <v>5</v>
      </c>
      <c r="AY481">
        <v>8</v>
      </c>
      <c r="AZ481">
        <v>18</v>
      </c>
      <c r="BA481">
        <v>18</v>
      </c>
      <c r="BB481">
        <v>9</v>
      </c>
      <c r="BC481" t="str" cm="1">
        <f t="array" ref="BC481">_xlfn.IFS((F481/(G481*G481)*10000)&lt; 18.5,"Underweight",(F481/(G481*G481)*10000)&lt;24.9,"Normal",(F481/(G481*G481)*10000)&lt;29.9,"Overweight",(F481/(G481*G481)*10000)&gt;=30,"obesity")</f>
        <v>Normal</v>
      </c>
      <c r="BD481">
        <f>Table1[[#This Row],[Follicle No. (L)]]+Table1[[#This Row],[Follicle No. (R)]]</f>
        <v>13</v>
      </c>
      <c r="BE481">
        <f>Table1[[#This Row],[Avg. F size (L) (mm)]]+Table1[[#This Row],[Avg. F size (R) (mm)]]</f>
        <v>36</v>
      </c>
      <c r="BF481">
        <f>Table1[[#This Row],[BP _Diastolic (mmHg)]]+(Table1[[#This Row],[BP _Diastolic (mmHg)]]+Table1[[#This Row],[Follicle No. (L)]])/3</f>
        <v>108.33333333333333</v>
      </c>
      <c r="BG481" s="4" t="str" cm="1">
        <f t="array" ref="BG48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81" s="4">
        <f>SUM(Table1[[#This Row],[Pimples(Y/N)]],Table1[[#This Row],[hair growth(Y/N)]],Table1[[#This Row],[Skin darkening (Y/N)]],Table1[[#This Row],[Hair loss(Y/N)]])</f>
        <v>3</v>
      </c>
      <c r="BI481" s="4" t="str">
        <f>IF(AND(Table1[[#This Row],[Pregnant(Y/N)]]=0, Table1[[#This Row],[  I   beta-HCG(mIU/mL)]]&gt;5), "Investigation Required", "Clear")</f>
        <v>Clear</v>
      </c>
    </row>
    <row r="482" spans="1:61" ht="15.75" customHeight="1" x14ac:dyDescent="0.25">
      <c r="A482">
        <v>481</v>
      </c>
      <c r="B482">
        <v>481</v>
      </c>
      <c r="C482">
        <v>0</v>
      </c>
      <c r="D482" t="str">
        <f>IF(Table1[[#This Row],[PCOS (Y/N)]]=0,"NO","YES")</f>
        <v>NO</v>
      </c>
      <c r="E482">
        <v>26</v>
      </c>
      <c r="F482">
        <v>52</v>
      </c>
      <c r="G482">
        <v>164.59200000000001</v>
      </c>
      <c r="H482">
        <v>13</v>
      </c>
      <c r="I482">
        <v>70</v>
      </c>
      <c r="J482">
        <v>18</v>
      </c>
      <c r="K482">
        <v>10</v>
      </c>
      <c r="L482">
        <v>2</v>
      </c>
      <c r="M482">
        <v>5</v>
      </c>
      <c r="N482">
        <v>3</v>
      </c>
      <c r="O482">
        <v>0</v>
      </c>
      <c r="P482" t="str">
        <f>IF(Table1[[#This Row],[Pregnant(Y/N)]]=1,"YES","NO")</f>
        <v>NO</v>
      </c>
      <c r="Q482">
        <v>0</v>
      </c>
      <c r="R482">
        <v>22</v>
      </c>
      <c r="S482">
        <v>1.99</v>
      </c>
      <c r="T482">
        <v>6.8</v>
      </c>
      <c r="U482">
        <v>0.43</v>
      </c>
      <c r="V482">
        <f>Table1[[#This Row],[FSH(mIU/mL)]]/Table1[[#This Row],[LH(mIU/mL)]]</f>
        <v>15.813953488372093</v>
      </c>
      <c r="W482" t="str">
        <f>IF(Table1[[#This Row],[FSH/LH]]&gt;=2,"Abnormal","Normal")</f>
        <v>Abnormal</v>
      </c>
      <c r="X482">
        <v>36</v>
      </c>
      <c r="Y482">
        <v>35</v>
      </c>
      <c r="Z482">
        <f>ROUND(Table1[[#This Row],[Waist(inch)]]/Table1[[#This Row],[Hip(inch)]],2)</f>
        <v>0.97</v>
      </c>
      <c r="AA482">
        <v>1.47</v>
      </c>
      <c r="AB482">
        <v>1.4</v>
      </c>
      <c r="AC482">
        <v>49.01</v>
      </c>
      <c r="AD482">
        <v>24.5</v>
      </c>
      <c r="AE482" t="str">
        <f>IF(Table1[[#This Row],[Vit D3 (ng/mL)]]&lt;20,"Deficiency","Normal")</f>
        <v>Normal</v>
      </c>
      <c r="AF482">
        <v>0.25</v>
      </c>
      <c r="AG482">
        <v>84</v>
      </c>
      <c r="AH482">
        <v>0</v>
      </c>
      <c r="AI482" t="str">
        <f>IF(Table1[[#This Row],[Weight gain(Y/N)]]=0,"NO","YES")</f>
        <v>NO</v>
      </c>
      <c r="AJ482">
        <v>0</v>
      </c>
      <c r="AK482" t="str">
        <f>IF(Table1[[#This Row],[hair growth(Y/N)]]=1,"YES","NO")</f>
        <v>NO</v>
      </c>
      <c r="AL482">
        <v>0</v>
      </c>
      <c r="AM482" t="str">
        <f>IF(Table1[[#This Row],[Skin darkening (Y/N)]]=1,"YES","NO")</f>
        <v>NO</v>
      </c>
      <c r="AN482">
        <v>0</v>
      </c>
      <c r="AO482" t="str">
        <f>IF(Table1[[#This Row],[Hair loss(Y/N)]]=1,"YES","NO")</f>
        <v>NO</v>
      </c>
      <c r="AP482">
        <v>0</v>
      </c>
      <c r="AQ482" t="str">
        <f>IF(Table1[[#This Row],[Pimples(Y/N)]]=1,"YES","NO")</f>
        <v>NO</v>
      </c>
      <c r="AR482">
        <v>0</v>
      </c>
      <c r="AS482" t="str">
        <f>IF(Table1[[#This Row],[Fast food (Y/N)]]=1,"YES","NO")</f>
        <v>NO</v>
      </c>
      <c r="AT482">
        <v>0</v>
      </c>
      <c r="AU482" t="str">
        <f>IF(Table1[[#This Row],[Reg.Exercise(Y/N)]]=1,"YES","NO")</f>
        <v>NO</v>
      </c>
      <c r="AV482">
        <v>110</v>
      </c>
      <c r="AW482">
        <v>80</v>
      </c>
      <c r="AX482">
        <v>7</v>
      </c>
      <c r="AY482">
        <v>5</v>
      </c>
      <c r="AZ482">
        <v>20</v>
      </c>
      <c r="BA482">
        <v>21</v>
      </c>
      <c r="BB482">
        <v>8</v>
      </c>
      <c r="BC482" t="str" cm="1">
        <f t="array" ref="BC482">_xlfn.IFS((F482/(G482*G482)*10000)&lt; 18.5,"Underweight",(F482/(G482*G482)*10000)&lt;24.9,"Normal",(F482/(G482*G482)*10000)&lt;29.9,"Overweight",(F482/(G482*G482)*10000)&gt;=30,"obesity")</f>
        <v>Normal</v>
      </c>
      <c r="BD482">
        <f>Table1[[#This Row],[Follicle No. (L)]]+Table1[[#This Row],[Follicle No. (R)]]</f>
        <v>12</v>
      </c>
      <c r="BE482">
        <f>Table1[[#This Row],[Avg. F size (L) (mm)]]+Table1[[#This Row],[Avg. F size (R) (mm)]]</f>
        <v>41</v>
      </c>
      <c r="BF482">
        <f>Table1[[#This Row],[BP _Diastolic (mmHg)]]+(Table1[[#This Row],[BP _Diastolic (mmHg)]]+Table1[[#This Row],[Follicle No. (L)]])/3</f>
        <v>109</v>
      </c>
      <c r="BG482" s="4" t="str" cm="1">
        <f t="array" ref="BG48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82" s="4">
        <f>SUM(Table1[[#This Row],[Pimples(Y/N)]],Table1[[#This Row],[hair growth(Y/N)]],Table1[[#This Row],[Skin darkening (Y/N)]],Table1[[#This Row],[Hair loss(Y/N)]])</f>
        <v>0</v>
      </c>
      <c r="BI482" s="4" t="str">
        <f>IF(AND(Table1[[#This Row],[Pregnant(Y/N)]]=0, Table1[[#This Row],[  I   beta-HCG(mIU/mL)]]&gt;5), "Investigation Required", "Clear")</f>
        <v>Investigation Required</v>
      </c>
    </row>
    <row r="483" spans="1:61" ht="15.75" customHeight="1" x14ac:dyDescent="0.25">
      <c r="A483">
        <v>482</v>
      </c>
      <c r="B483">
        <v>482</v>
      </c>
      <c r="C483">
        <v>0</v>
      </c>
      <c r="D483" t="str">
        <f>IF(Table1[[#This Row],[PCOS (Y/N)]]=0,"NO","YES")</f>
        <v>NO</v>
      </c>
      <c r="E483">
        <v>44</v>
      </c>
      <c r="F483">
        <v>66.099999999999994</v>
      </c>
      <c r="G483">
        <v>148</v>
      </c>
      <c r="H483">
        <v>13</v>
      </c>
      <c r="I483">
        <v>70</v>
      </c>
      <c r="J483">
        <v>20</v>
      </c>
      <c r="K483">
        <v>10.4</v>
      </c>
      <c r="L483">
        <v>2</v>
      </c>
      <c r="M483">
        <v>5</v>
      </c>
      <c r="N483">
        <v>8</v>
      </c>
      <c r="O483">
        <v>0</v>
      </c>
      <c r="P483" t="str">
        <f>IF(Table1[[#This Row],[Pregnant(Y/N)]]=1,"YES","NO")</f>
        <v>NO</v>
      </c>
      <c r="Q483">
        <v>0</v>
      </c>
      <c r="R483">
        <v>1.89</v>
      </c>
      <c r="S483">
        <v>1.99</v>
      </c>
      <c r="T483">
        <v>7.81</v>
      </c>
      <c r="U483">
        <v>2.02</v>
      </c>
      <c r="V483">
        <f>Table1[[#This Row],[FSH(mIU/mL)]]/Table1[[#This Row],[LH(mIU/mL)]]</f>
        <v>3.8663366336633662</v>
      </c>
      <c r="W483" t="str">
        <f>IF(Table1[[#This Row],[FSH/LH]]&gt;=2,"Abnormal","Normal")</f>
        <v>Abnormal</v>
      </c>
      <c r="X483">
        <v>40</v>
      </c>
      <c r="Y483">
        <v>34</v>
      </c>
      <c r="Z483">
        <f>ROUND(Table1[[#This Row],[Waist(inch)]]/Table1[[#This Row],[Hip(inch)]],2)</f>
        <v>0.85</v>
      </c>
      <c r="AA483">
        <v>3.25</v>
      </c>
      <c r="AB483">
        <v>3.03</v>
      </c>
      <c r="AC483">
        <v>13.79</v>
      </c>
      <c r="AD483">
        <v>27.5</v>
      </c>
      <c r="AE483" t="str">
        <f>IF(Table1[[#This Row],[Vit D3 (ng/mL)]]&lt;20,"Deficiency","Normal")</f>
        <v>Normal</v>
      </c>
      <c r="AF483">
        <v>0.4</v>
      </c>
      <c r="AG483">
        <v>125</v>
      </c>
      <c r="AH483">
        <v>1</v>
      </c>
      <c r="AI483" t="str">
        <f>IF(Table1[[#This Row],[Weight gain(Y/N)]]=0,"NO","YES")</f>
        <v>YES</v>
      </c>
      <c r="AJ483">
        <v>0</v>
      </c>
      <c r="AK483" t="str">
        <f>IF(Table1[[#This Row],[hair growth(Y/N)]]=1,"YES","NO")</f>
        <v>NO</v>
      </c>
      <c r="AL483">
        <v>0</v>
      </c>
      <c r="AM483" t="str">
        <f>IF(Table1[[#This Row],[Skin darkening (Y/N)]]=1,"YES","NO")</f>
        <v>NO</v>
      </c>
      <c r="AN483">
        <v>0</v>
      </c>
      <c r="AO483" t="str">
        <f>IF(Table1[[#This Row],[Hair loss(Y/N)]]=1,"YES","NO")</f>
        <v>NO</v>
      </c>
      <c r="AP483">
        <v>1</v>
      </c>
      <c r="AQ483" t="str">
        <f>IF(Table1[[#This Row],[Pimples(Y/N)]]=1,"YES","NO")</f>
        <v>YES</v>
      </c>
      <c r="AR483">
        <v>0</v>
      </c>
      <c r="AS483" t="str">
        <f>IF(Table1[[#This Row],[Fast food (Y/N)]]=1,"YES","NO")</f>
        <v>NO</v>
      </c>
      <c r="AT483">
        <v>0</v>
      </c>
      <c r="AU483" t="str">
        <f>IF(Table1[[#This Row],[Reg.Exercise(Y/N)]]=1,"YES","NO")</f>
        <v>NO</v>
      </c>
      <c r="AV483">
        <v>130</v>
      </c>
      <c r="AW483">
        <v>80</v>
      </c>
      <c r="AX483">
        <v>5</v>
      </c>
      <c r="AY483">
        <v>9</v>
      </c>
      <c r="AZ483">
        <v>16</v>
      </c>
      <c r="BA483">
        <v>19</v>
      </c>
      <c r="BB483">
        <v>4.5</v>
      </c>
      <c r="BC483" t="str" cm="1">
        <f t="array" ref="BC483">_xlfn.IFS((F483/(G483*G483)*10000)&lt; 18.5,"Underweight",(F483/(G483*G483)*10000)&lt;24.9,"Normal",(F483/(G483*G483)*10000)&lt;29.9,"Overweight",(F483/(G483*G483)*10000)&gt;=30,"obesity")</f>
        <v>obesity</v>
      </c>
      <c r="BD483">
        <f>Table1[[#This Row],[Follicle No. (L)]]+Table1[[#This Row],[Follicle No. (R)]]</f>
        <v>14</v>
      </c>
      <c r="BE483">
        <f>Table1[[#This Row],[Avg. F size (L) (mm)]]+Table1[[#This Row],[Avg. F size (R) (mm)]]</f>
        <v>35</v>
      </c>
      <c r="BF483">
        <f>Table1[[#This Row],[BP _Diastolic (mmHg)]]+(Table1[[#This Row],[BP _Diastolic (mmHg)]]+Table1[[#This Row],[Follicle No. (L)]])/3</f>
        <v>108.33333333333333</v>
      </c>
      <c r="BG483" s="4" t="str" cm="1">
        <f t="array" ref="BG48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83" s="4">
        <f>SUM(Table1[[#This Row],[Pimples(Y/N)]],Table1[[#This Row],[hair growth(Y/N)]],Table1[[#This Row],[Skin darkening (Y/N)]],Table1[[#This Row],[Hair loss(Y/N)]])</f>
        <v>1</v>
      </c>
      <c r="BI483" s="4" t="str">
        <f>IF(AND(Table1[[#This Row],[Pregnant(Y/N)]]=0, Table1[[#This Row],[  I   beta-HCG(mIU/mL)]]&gt;5), "Investigation Required", "Clear")</f>
        <v>Clear</v>
      </c>
    </row>
    <row r="484" spans="1:61" ht="15.75" customHeight="1" x14ac:dyDescent="0.25">
      <c r="A484">
        <v>483</v>
      </c>
      <c r="B484">
        <v>483</v>
      </c>
      <c r="C484">
        <v>0</v>
      </c>
      <c r="D484" t="str">
        <f>IF(Table1[[#This Row],[PCOS (Y/N)]]=0,"NO","YES")</f>
        <v>NO</v>
      </c>
      <c r="E484">
        <v>32</v>
      </c>
      <c r="F484">
        <v>43</v>
      </c>
      <c r="G484">
        <v>161.54400000000001</v>
      </c>
      <c r="H484">
        <v>13</v>
      </c>
      <c r="I484">
        <v>72</v>
      </c>
      <c r="J484">
        <v>22</v>
      </c>
      <c r="K484">
        <v>12.1</v>
      </c>
      <c r="L484">
        <v>2</v>
      </c>
      <c r="M484">
        <v>5</v>
      </c>
      <c r="N484">
        <v>7</v>
      </c>
      <c r="O484">
        <v>1</v>
      </c>
      <c r="P484" t="str">
        <f>IF(Table1[[#This Row],[Pregnant(Y/N)]]=1,"YES","NO")</f>
        <v>YES</v>
      </c>
      <c r="Q484">
        <v>0</v>
      </c>
      <c r="R484">
        <v>1.99</v>
      </c>
      <c r="S484">
        <v>1.99</v>
      </c>
      <c r="T484">
        <v>5.51</v>
      </c>
      <c r="U484">
        <v>4.0999999999999996</v>
      </c>
      <c r="V484">
        <f>Table1[[#This Row],[FSH(mIU/mL)]]/Table1[[#This Row],[LH(mIU/mL)]]</f>
        <v>1.3439024390243903</v>
      </c>
      <c r="W484" t="str">
        <f>IF(Table1[[#This Row],[FSH/LH]]&gt;=2,"Abnormal","Normal")</f>
        <v>Normal</v>
      </c>
      <c r="X484">
        <v>34</v>
      </c>
      <c r="Y484">
        <v>30</v>
      </c>
      <c r="Z484">
        <f>ROUND(Table1[[#This Row],[Waist(inch)]]/Table1[[#This Row],[Hip(inch)]],2)</f>
        <v>0.88</v>
      </c>
      <c r="AA484">
        <v>2.27</v>
      </c>
      <c r="AB484">
        <v>3.86</v>
      </c>
      <c r="AC484">
        <v>40.29</v>
      </c>
      <c r="AD484">
        <v>32.6</v>
      </c>
      <c r="AE484" t="str">
        <f>IF(Table1[[#This Row],[Vit D3 (ng/mL)]]&lt;20,"Deficiency","Normal")</f>
        <v>Normal</v>
      </c>
      <c r="AF484">
        <v>0.37</v>
      </c>
      <c r="AG484">
        <v>108</v>
      </c>
      <c r="AH484">
        <v>0</v>
      </c>
      <c r="AI484" t="str">
        <f>IF(Table1[[#This Row],[Weight gain(Y/N)]]=0,"NO","YES")</f>
        <v>NO</v>
      </c>
      <c r="AJ484">
        <v>0</v>
      </c>
      <c r="AK484" t="str">
        <f>IF(Table1[[#This Row],[hair growth(Y/N)]]=1,"YES","NO")</f>
        <v>NO</v>
      </c>
      <c r="AL484">
        <v>0</v>
      </c>
      <c r="AM484" t="str">
        <f>IF(Table1[[#This Row],[Skin darkening (Y/N)]]=1,"YES","NO")</f>
        <v>NO</v>
      </c>
      <c r="AN484">
        <v>0</v>
      </c>
      <c r="AO484" t="str">
        <f>IF(Table1[[#This Row],[Hair loss(Y/N)]]=1,"YES","NO")</f>
        <v>NO</v>
      </c>
      <c r="AP484">
        <v>1</v>
      </c>
      <c r="AQ484" t="str">
        <f>IF(Table1[[#This Row],[Pimples(Y/N)]]=1,"YES","NO")</f>
        <v>YES</v>
      </c>
      <c r="AR484">
        <v>1</v>
      </c>
      <c r="AS484" t="str">
        <f>IF(Table1[[#This Row],[Fast food (Y/N)]]=1,"YES","NO")</f>
        <v>YES</v>
      </c>
      <c r="AT484">
        <v>1</v>
      </c>
      <c r="AU484" t="str">
        <f>IF(Table1[[#This Row],[Reg.Exercise(Y/N)]]=1,"YES","NO")</f>
        <v>YES</v>
      </c>
      <c r="AV484">
        <v>110</v>
      </c>
      <c r="AW484">
        <v>80</v>
      </c>
      <c r="AX484">
        <v>1</v>
      </c>
      <c r="AY484">
        <v>3</v>
      </c>
      <c r="AZ484">
        <v>19</v>
      </c>
      <c r="BA484">
        <v>19</v>
      </c>
      <c r="BB484">
        <v>8.6</v>
      </c>
      <c r="BC484" t="str" cm="1">
        <f t="array" ref="BC484">_xlfn.IFS((F484/(G484*G484)*10000)&lt; 18.5,"Underweight",(F484/(G484*G484)*10000)&lt;24.9,"Normal",(F484/(G484*G484)*10000)&lt;29.9,"Overweight",(F484/(G484*G484)*10000)&gt;=30,"obesity")</f>
        <v>Underweight</v>
      </c>
      <c r="BD484">
        <f>Table1[[#This Row],[Follicle No. (L)]]+Table1[[#This Row],[Follicle No. (R)]]</f>
        <v>4</v>
      </c>
      <c r="BE484">
        <f>Table1[[#This Row],[Avg. F size (L) (mm)]]+Table1[[#This Row],[Avg. F size (R) (mm)]]</f>
        <v>38</v>
      </c>
      <c r="BF484">
        <f>Table1[[#This Row],[BP _Diastolic (mmHg)]]+(Table1[[#This Row],[BP _Diastolic (mmHg)]]+Table1[[#This Row],[Follicle No. (L)]])/3</f>
        <v>107</v>
      </c>
      <c r="BG484" s="4" t="str" cm="1">
        <f t="array" ref="BG48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84" s="4">
        <f>SUM(Table1[[#This Row],[Pimples(Y/N)]],Table1[[#This Row],[hair growth(Y/N)]],Table1[[#This Row],[Skin darkening (Y/N)]],Table1[[#This Row],[Hair loss(Y/N)]])</f>
        <v>1</v>
      </c>
      <c r="BI484" s="4" t="str">
        <f>IF(AND(Table1[[#This Row],[Pregnant(Y/N)]]=0, Table1[[#This Row],[  I   beta-HCG(mIU/mL)]]&gt;5), "Investigation Required", "Clear")</f>
        <v>Clear</v>
      </c>
    </row>
    <row r="485" spans="1:61" ht="15.75" customHeight="1" x14ac:dyDescent="0.25">
      <c r="A485">
        <v>484</v>
      </c>
      <c r="B485">
        <v>484</v>
      </c>
      <c r="C485">
        <v>1</v>
      </c>
      <c r="D485" t="str">
        <f>IF(Table1[[#This Row],[PCOS (Y/N)]]=0,"NO","YES")</f>
        <v>YES</v>
      </c>
      <c r="E485">
        <v>33</v>
      </c>
      <c r="F485">
        <v>87.9</v>
      </c>
      <c r="G485">
        <v>158</v>
      </c>
      <c r="H485">
        <v>15</v>
      </c>
      <c r="I485">
        <v>72</v>
      </c>
      <c r="J485">
        <v>20</v>
      </c>
      <c r="K485">
        <v>10</v>
      </c>
      <c r="L485">
        <v>4</v>
      </c>
      <c r="M485">
        <v>2</v>
      </c>
      <c r="N485">
        <v>8</v>
      </c>
      <c r="O485">
        <v>0</v>
      </c>
      <c r="P485" t="str">
        <f>IF(Table1[[#This Row],[Pregnant(Y/N)]]=1,"YES","NO")</f>
        <v>NO</v>
      </c>
      <c r="Q485">
        <v>0</v>
      </c>
      <c r="R485">
        <v>70.349999999999994</v>
      </c>
      <c r="S485">
        <v>1.99</v>
      </c>
      <c r="T485">
        <v>2.81</v>
      </c>
      <c r="U485">
        <v>0.37</v>
      </c>
      <c r="V485">
        <f>Table1[[#This Row],[FSH(mIU/mL)]]/Table1[[#This Row],[LH(mIU/mL)]]</f>
        <v>7.5945945945945947</v>
      </c>
      <c r="W485" t="str">
        <f>IF(Table1[[#This Row],[FSH/LH]]&gt;=2,"Abnormal","Normal")</f>
        <v>Abnormal</v>
      </c>
      <c r="X485">
        <v>46</v>
      </c>
      <c r="Y485">
        <v>44</v>
      </c>
      <c r="Z485">
        <f>ROUND(Table1[[#This Row],[Waist(inch)]]/Table1[[#This Row],[Hip(inch)]],2)</f>
        <v>0.96</v>
      </c>
      <c r="AA485">
        <v>6.55</v>
      </c>
      <c r="AB485">
        <v>5.75</v>
      </c>
      <c r="AC485">
        <v>28.05</v>
      </c>
      <c r="AD485">
        <v>21</v>
      </c>
      <c r="AE485" t="str">
        <f>IF(Table1[[#This Row],[Vit D3 (ng/mL)]]&lt;20,"Deficiency","Normal")</f>
        <v>Normal</v>
      </c>
      <c r="AF485">
        <v>0.21</v>
      </c>
      <c r="AG485">
        <v>116</v>
      </c>
      <c r="AH485">
        <v>1</v>
      </c>
      <c r="AI485" t="str">
        <f>IF(Table1[[#This Row],[Weight gain(Y/N)]]=0,"NO","YES")</f>
        <v>YES</v>
      </c>
      <c r="AJ485">
        <v>0</v>
      </c>
      <c r="AK485" t="str">
        <f>IF(Table1[[#This Row],[hair growth(Y/N)]]=1,"YES","NO")</f>
        <v>NO</v>
      </c>
      <c r="AL485">
        <v>0</v>
      </c>
      <c r="AM485" t="str">
        <f>IF(Table1[[#This Row],[Skin darkening (Y/N)]]=1,"YES","NO")</f>
        <v>NO</v>
      </c>
      <c r="AN485">
        <v>0</v>
      </c>
      <c r="AO485" t="str">
        <f>IF(Table1[[#This Row],[Hair loss(Y/N)]]=1,"YES","NO")</f>
        <v>NO</v>
      </c>
      <c r="AP485">
        <v>1</v>
      </c>
      <c r="AQ485" t="str">
        <f>IF(Table1[[#This Row],[Pimples(Y/N)]]=1,"YES","NO")</f>
        <v>YES</v>
      </c>
      <c r="AR485">
        <v>1</v>
      </c>
      <c r="AS485" t="str">
        <f>IF(Table1[[#This Row],[Fast food (Y/N)]]=1,"YES","NO")</f>
        <v>YES</v>
      </c>
      <c r="AT485">
        <v>0</v>
      </c>
      <c r="AU485" t="str">
        <f>IF(Table1[[#This Row],[Reg.Exercise(Y/N)]]=1,"YES","NO")</f>
        <v>NO</v>
      </c>
      <c r="AV485">
        <v>120</v>
      </c>
      <c r="AW485">
        <v>80</v>
      </c>
      <c r="AX485">
        <v>7</v>
      </c>
      <c r="AY485">
        <v>12</v>
      </c>
      <c r="AZ485">
        <v>20</v>
      </c>
      <c r="BA485">
        <v>14</v>
      </c>
      <c r="BB485">
        <v>8</v>
      </c>
      <c r="BC485" t="str" cm="1">
        <f t="array" ref="BC485">_xlfn.IFS((F485/(G485*G485)*10000)&lt; 18.5,"Underweight",(F485/(G485*G485)*10000)&lt;24.9,"Normal",(F485/(G485*G485)*10000)&lt;29.9,"Overweight",(F485/(G485*G485)*10000)&gt;=30,"obesity")</f>
        <v>obesity</v>
      </c>
      <c r="BD485">
        <f>Table1[[#This Row],[Follicle No. (L)]]+Table1[[#This Row],[Follicle No. (R)]]</f>
        <v>19</v>
      </c>
      <c r="BE485">
        <f>Table1[[#This Row],[Avg. F size (L) (mm)]]+Table1[[#This Row],[Avg. F size (R) (mm)]]</f>
        <v>34</v>
      </c>
      <c r="BF485">
        <f>Table1[[#This Row],[BP _Diastolic (mmHg)]]+(Table1[[#This Row],[BP _Diastolic (mmHg)]]+Table1[[#This Row],[Follicle No. (L)]])/3</f>
        <v>109</v>
      </c>
      <c r="BG485" s="4" t="str" cm="1">
        <f t="array" ref="BG48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85" s="4">
        <f>SUM(Table1[[#This Row],[Pimples(Y/N)]],Table1[[#This Row],[hair growth(Y/N)]],Table1[[#This Row],[Skin darkening (Y/N)]],Table1[[#This Row],[Hair loss(Y/N)]])</f>
        <v>1</v>
      </c>
      <c r="BI485" s="4" t="str">
        <f>IF(AND(Table1[[#This Row],[Pregnant(Y/N)]]=0, Table1[[#This Row],[  I   beta-HCG(mIU/mL)]]&gt;5), "Investigation Required", "Clear")</f>
        <v>Investigation Required</v>
      </c>
    </row>
    <row r="486" spans="1:61" ht="15.75" customHeight="1" x14ac:dyDescent="0.25">
      <c r="A486">
        <v>485</v>
      </c>
      <c r="B486">
        <v>485</v>
      </c>
      <c r="C486">
        <v>0</v>
      </c>
      <c r="D486" t="str">
        <f>IF(Table1[[#This Row],[PCOS (Y/N)]]=0,"NO","YES")</f>
        <v>NO</v>
      </c>
      <c r="E486">
        <v>31</v>
      </c>
      <c r="F486">
        <v>63</v>
      </c>
      <c r="G486">
        <v>156</v>
      </c>
      <c r="H486">
        <v>11</v>
      </c>
      <c r="I486">
        <v>72</v>
      </c>
      <c r="J486">
        <v>20</v>
      </c>
      <c r="K486">
        <v>10.8</v>
      </c>
      <c r="L486">
        <v>2</v>
      </c>
      <c r="M486">
        <v>5</v>
      </c>
      <c r="N486">
        <v>5</v>
      </c>
      <c r="O486">
        <v>0</v>
      </c>
      <c r="P486" t="str">
        <f>IF(Table1[[#This Row],[Pregnant(Y/N)]]=1,"YES","NO")</f>
        <v>NO</v>
      </c>
      <c r="Q486">
        <v>0</v>
      </c>
      <c r="R486">
        <v>1.99</v>
      </c>
      <c r="S486">
        <v>1.99</v>
      </c>
      <c r="T486">
        <v>5.28</v>
      </c>
      <c r="U486">
        <v>3.46</v>
      </c>
      <c r="V486">
        <f>Table1[[#This Row],[FSH(mIU/mL)]]/Table1[[#This Row],[LH(mIU/mL)]]</f>
        <v>1.5260115606936417</v>
      </c>
      <c r="W486" t="str">
        <f>IF(Table1[[#This Row],[FSH/LH]]&gt;=2,"Abnormal","Normal")</f>
        <v>Normal</v>
      </c>
      <c r="X486">
        <v>39</v>
      </c>
      <c r="Y486">
        <v>36</v>
      </c>
      <c r="Z486">
        <f>ROUND(Table1[[#This Row],[Waist(inch)]]/Table1[[#This Row],[Hip(inch)]],2)</f>
        <v>0.92</v>
      </c>
      <c r="AA486">
        <v>2.48</v>
      </c>
      <c r="AB486">
        <v>6.26</v>
      </c>
      <c r="AC486">
        <v>28.08</v>
      </c>
      <c r="AD486">
        <v>16.25</v>
      </c>
      <c r="AE486" t="str">
        <f>IF(Table1[[#This Row],[Vit D3 (ng/mL)]]&lt;20,"Deficiency","Normal")</f>
        <v>Deficiency</v>
      </c>
      <c r="AF486">
        <v>25.3</v>
      </c>
      <c r="AG486">
        <v>116</v>
      </c>
      <c r="AH486">
        <v>0</v>
      </c>
      <c r="AI486" t="str">
        <f>IF(Table1[[#This Row],[Weight gain(Y/N)]]=0,"NO","YES")</f>
        <v>NO</v>
      </c>
      <c r="AJ486">
        <v>1</v>
      </c>
      <c r="AK486" t="str">
        <f>IF(Table1[[#This Row],[hair growth(Y/N)]]=1,"YES","NO")</f>
        <v>YES</v>
      </c>
      <c r="AL486">
        <v>0</v>
      </c>
      <c r="AM486" t="str">
        <f>IF(Table1[[#This Row],[Skin darkening (Y/N)]]=1,"YES","NO")</f>
        <v>NO</v>
      </c>
      <c r="AN486">
        <v>1</v>
      </c>
      <c r="AO486" t="str">
        <f>IF(Table1[[#This Row],[Hair loss(Y/N)]]=1,"YES","NO")</f>
        <v>YES</v>
      </c>
      <c r="AP486">
        <v>0</v>
      </c>
      <c r="AQ486" t="str">
        <f>IF(Table1[[#This Row],[Pimples(Y/N)]]=1,"YES","NO")</f>
        <v>NO</v>
      </c>
      <c r="AR486">
        <v>1</v>
      </c>
      <c r="AS486" t="str">
        <f>IF(Table1[[#This Row],[Fast food (Y/N)]]=1,"YES","NO")</f>
        <v>YES</v>
      </c>
      <c r="AT486">
        <v>1</v>
      </c>
      <c r="AU486" t="str">
        <f>IF(Table1[[#This Row],[Reg.Exercise(Y/N)]]=1,"YES","NO")</f>
        <v>YES</v>
      </c>
      <c r="AV486">
        <v>120</v>
      </c>
      <c r="AW486">
        <v>80</v>
      </c>
      <c r="AX486">
        <v>9</v>
      </c>
      <c r="AY486">
        <v>10</v>
      </c>
      <c r="AZ486">
        <v>18</v>
      </c>
      <c r="BA486">
        <v>17</v>
      </c>
      <c r="BB486">
        <v>7.25</v>
      </c>
      <c r="BC486" t="str" cm="1">
        <f t="array" ref="BC486">_xlfn.IFS((F486/(G486*G486)*10000)&lt; 18.5,"Underweight",(F486/(G486*G486)*10000)&lt;24.9,"Normal",(F486/(G486*G486)*10000)&lt;29.9,"Overweight",(F486/(G486*G486)*10000)&gt;=30,"obesity")</f>
        <v>Overweight</v>
      </c>
      <c r="BD486">
        <f>Table1[[#This Row],[Follicle No. (L)]]+Table1[[#This Row],[Follicle No. (R)]]</f>
        <v>19</v>
      </c>
      <c r="BE486">
        <f>Table1[[#This Row],[Avg. F size (L) (mm)]]+Table1[[#This Row],[Avg. F size (R) (mm)]]</f>
        <v>35</v>
      </c>
      <c r="BF486">
        <f>Table1[[#This Row],[BP _Diastolic (mmHg)]]+(Table1[[#This Row],[BP _Diastolic (mmHg)]]+Table1[[#This Row],[Follicle No. (L)]])/3</f>
        <v>109.66666666666667</v>
      </c>
      <c r="BG486" s="4" t="str" cm="1">
        <f t="array" ref="BG48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86" s="4">
        <f>SUM(Table1[[#This Row],[Pimples(Y/N)]],Table1[[#This Row],[hair growth(Y/N)]],Table1[[#This Row],[Skin darkening (Y/N)]],Table1[[#This Row],[Hair loss(Y/N)]])</f>
        <v>2</v>
      </c>
      <c r="BI486" s="4" t="str">
        <f>IF(AND(Table1[[#This Row],[Pregnant(Y/N)]]=0, Table1[[#This Row],[  I   beta-HCG(mIU/mL)]]&gt;5), "Investigation Required", "Clear")</f>
        <v>Clear</v>
      </c>
    </row>
    <row r="487" spans="1:61" ht="15.75" customHeight="1" x14ac:dyDescent="0.25">
      <c r="A487">
        <v>486</v>
      </c>
      <c r="B487">
        <v>486</v>
      </c>
      <c r="C487">
        <v>0</v>
      </c>
      <c r="D487" t="str">
        <f>IF(Table1[[#This Row],[PCOS (Y/N)]]=0,"NO","YES")</f>
        <v>NO</v>
      </c>
      <c r="E487">
        <v>30</v>
      </c>
      <c r="F487">
        <v>44.8</v>
      </c>
      <c r="G487">
        <v>157</v>
      </c>
      <c r="H487">
        <v>15</v>
      </c>
      <c r="I487">
        <v>80</v>
      </c>
      <c r="J487">
        <v>20</v>
      </c>
      <c r="K487">
        <v>10</v>
      </c>
      <c r="L487">
        <v>2</v>
      </c>
      <c r="M487">
        <v>5</v>
      </c>
      <c r="N487">
        <v>9</v>
      </c>
      <c r="O487">
        <v>1</v>
      </c>
      <c r="P487" t="str">
        <f>IF(Table1[[#This Row],[Pregnant(Y/N)]]=1,"YES","NO")</f>
        <v>YES</v>
      </c>
      <c r="Q487">
        <v>0</v>
      </c>
      <c r="R487">
        <v>1238.4000000000001</v>
      </c>
      <c r="S487">
        <v>237.5</v>
      </c>
      <c r="T487">
        <v>1</v>
      </c>
      <c r="U487">
        <v>0.1</v>
      </c>
      <c r="V487">
        <f>Table1[[#This Row],[FSH(mIU/mL)]]/Table1[[#This Row],[LH(mIU/mL)]]</f>
        <v>10</v>
      </c>
      <c r="W487" t="str">
        <f>IF(Table1[[#This Row],[FSH/LH]]&gt;=2,"Abnormal","Normal")</f>
        <v>Abnormal</v>
      </c>
      <c r="X487">
        <v>34</v>
      </c>
      <c r="Y487">
        <v>30</v>
      </c>
      <c r="Z487">
        <f>ROUND(Table1[[#This Row],[Waist(inch)]]/Table1[[#This Row],[Hip(inch)]],2)</f>
        <v>0.88</v>
      </c>
      <c r="AA487">
        <v>3.26</v>
      </c>
      <c r="AB487">
        <v>0.72</v>
      </c>
      <c r="AC487">
        <v>44.42</v>
      </c>
      <c r="AD487">
        <v>33.299999999999997</v>
      </c>
      <c r="AE487" t="str">
        <f>IF(Table1[[#This Row],[Vit D3 (ng/mL)]]&lt;20,"Deficiency","Normal")</f>
        <v>Normal</v>
      </c>
      <c r="AF487">
        <v>0.25</v>
      </c>
      <c r="AG487">
        <v>91</v>
      </c>
      <c r="AH487">
        <v>0</v>
      </c>
      <c r="AI487" t="str">
        <f>IF(Table1[[#This Row],[Weight gain(Y/N)]]=0,"NO","YES")</f>
        <v>NO</v>
      </c>
      <c r="AJ487">
        <v>0</v>
      </c>
      <c r="AK487" t="str">
        <f>IF(Table1[[#This Row],[hair growth(Y/N)]]=1,"YES","NO")</f>
        <v>NO</v>
      </c>
      <c r="AL487">
        <v>0</v>
      </c>
      <c r="AM487" t="str">
        <f>IF(Table1[[#This Row],[Skin darkening (Y/N)]]=1,"YES","NO")</f>
        <v>NO</v>
      </c>
      <c r="AN487">
        <v>0</v>
      </c>
      <c r="AO487" t="str">
        <f>IF(Table1[[#This Row],[Hair loss(Y/N)]]=1,"YES","NO")</f>
        <v>NO</v>
      </c>
      <c r="AP487">
        <v>0</v>
      </c>
      <c r="AQ487" t="str">
        <f>IF(Table1[[#This Row],[Pimples(Y/N)]]=1,"YES","NO")</f>
        <v>NO</v>
      </c>
      <c r="AR487">
        <v>1</v>
      </c>
      <c r="AS487" t="str">
        <f>IF(Table1[[#This Row],[Fast food (Y/N)]]=1,"YES","NO")</f>
        <v>YES</v>
      </c>
      <c r="AT487">
        <v>1</v>
      </c>
      <c r="AU487" t="str">
        <f>IF(Table1[[#This Row],[Reg.Exercise(Y/N)]]=1,"YES","NO")</f>
        <v>YES</v>
      </c>
      <c r="AV487">
        <v>110</v>
      </c>
      <c r="AW487">
        <v>80</v>
      </c>
      <c r="AX487">
        <v>2</v>
      </c>
      <c r="AY487">
        <v>4</v>
      </c>
      <c r="AZ487">
        <v>15</v>
      </c>
      <c r="BA487">
        <v>18</v>
      </c>
      <c r="BB487">
        <v>8.5</v>
      </c>
      <c r="BC487" t="str" cm="1">
        <f t="array" ref="BC487">_xlfn.IFS((F487/(G487*G487)*10000)&lt; 18.5,"Underweight",(F487/(G487*G487)*10000)&lt;24.9,"Normal",(F487/(G487*G487)*10000)&lt;29.9,"Overweight",(F487/(G487*G487)*10000)&gt;=30,"obesity")</f>
        <v>Underweight</v>
      </c>
      <c r="BD487">
        <f>Table1[[#This Row],[Follicle No. (L)]]+Table1[[#This Row],[Follicle No. (R)]]</f>
        <v>6</v>
      </c>
      <c r="BE487">
        <f>Table1[[#This Row],[Avg. F size (L) (mm)]]+Table1[[#This Row],[Avg. F size (R) (mm)]]</f>
        <v>33</v>
      </c>
      <c r="BF487">
        <f>Table1[[#This Row],[BP _Diastolic (mmHg)]]+(Table1[[#This Row],[BP _Diastolic (mmHg)]]+Table1[[#This Row],[Follicle No. (L)]])/3</f>
        <v>107.33333333333333</v>
      </c>
      <c r="BG487" s="4" t="str" cm="1">
        <f t="array" ref="BG48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87" s="4">
        <f>SUM(Table1[[#This Row],[Pimples(Y/N)]],Table1[[#This Row],[hair growth(Y/N)]],Table1[[#This Row],[Skin darkening (Y/N)]],Table1[[#This Row],[Hair loss(Y/N)]])</f>
        <v>0</v>
      </c>
      <c r="BI487" s="4" t="str">
        <f>IF(AND(Table1[[#This Row],[Pregnant(Y/N)]]=0, Table1[[#This Row],[  I   beta-HCG(mIU/mL)]]&gt;5), "Investigation Required", "Clear")</f>
        <v>Clear</v>
      </c>
    </row>
    <row r="488" spans="1:61" ht="15.75" customHeight="1" x14ac:dyDescent="0.25">
      <c r="A488">
        <v>487</v>
      </c>
      <c r="B488">
        <v>487</v>
      </c>
      <c r="C488">
        <v>1</v>
      </c>
      <c r="D488" t="str">
        <f>IF(Table1[[#This Row],[PCOS (Y/N)]]=0,"NO","YES")</f>
        <v>YES</v>
      </c>
      <c r="E488">
        <v>30</v>
      </c>
      <c r="F488">
        <v>49.1</v>
      </c>
      <c r="G488">
        <v>159</v>
      </c>
      <c r="H488">
        <v>11</v>
      </c>
      <c r="I488">
        <v>74</v>
      </c>
      <c r="J488">
        <v>18</v>
      </c>
      <c r="K488">
        <v>11.7</v>
      </c>
      <c r="L488">
        <v>4</v>
      </c>
      <c r="M488">
        <v>2</v>
      </c>
      <c r="N488">
        <v>4</v>
      </c>
      <c r="O488">
        <v>1</v>
      </c>
      <c r="P488" t="str">
        <f>IF(Table1[[#This Row],[Pregnant(Y/N)]]=1,"YES","NO")</f>
        <v>YES</v>
      </c>
      <c r="Q488">
        <v>0</v>
      </c>
      <c r="R488">
        <v>710.4</v>
      </c>
      <c r="S488">
        <v>1.99</v>
      </c>
      <c r="T488">
        <v>7.59</v>
      </c>
      <c r="U488">
        <v>6.69</v>
      </c>
      <c r="V488">
        <f>Table1[[#This Row],[FSH(mIU/mL)]]/Table1[[#This Row],[LH(mIU/mL)]]</f>
        <v>1.1345291479820627</v>
      </c>
      <c r="W488" t="str">
        <f>IF(Table1[[#This Row],[FSH/LH]]&gt;=2,"Abnormal","Normal")</f>
        <v>Normal</v>
      </c>
      <c r="X488">
        <v>36</v>
      </c>
      <c r="Y488">
        <v>32</v>
      </c>
      <c r="Z488">
        <f>ROUND(Table1[[#This Row],[Waist(inch)]]/Table1[[#This Row],[Hip(inch)]],2)</f>
        <v>0.89</v>
      </c>
      <c r="AA488">
        <v>3.58</v>
      </c>
      <c r="AB488">
        <v>10.53</v>
      </c>
      <c r="AC488">
        <v>22.73</v>
      </c>
      <c r="AD488">
        <v>21.7</v>
      </c>
      <c r="AE488" t="str">
        <f>IF(Table1[[#This Row],[Vit D3 (ng/mL)]]&lt;20,"Deficiency","Normal")</f>
        <v>Normal</v>
      </c>
      <c r="AF488">
        <v>0.39</v>
      </c>
      <c r="AG488">
        <v>116</v>
      </c>
      <c r="AH488">
        <v>0</v>
      </c>
      <c r="AI488" t="str">
        <f>IF(Table1[[#This Row],[Weight gain(Y/N)]]=0,"NO","YES")</f>
        <v>NO</v>
      </c>
      <c r="AJ488">
        <v>1</v>
      </c>
      <c r="AK488" t="str">
        <f>IF(Table1[[#This Row],[hair growth(Y/N)]]=1,"YES","NO")</f>
        <v>YES</v>
      </c>
      <c r="AL488">
        <v>1</v>
      </c>
      <c r="AM488" t="str">
        <f>IF(Table1[[#This Row],[Skin darkening (Y/N)]]=1,"YES","NO")</f>
        <v>YES</v>
      </c>
      <c r="AN488">
        <v>0</v>
      </c>
      <c r="AO488" t="str">
        <f>IF(Table1[[#This Row],[Hair loss(Y/N)]]=1,"YES","NO")</f>
        <v>NO</v>
      </c>
      <c r="AP488">
        <v>0</v>
      </c>
      <c r="AQ488" t="str">
        <f>IF(Table1[[#This Row],[Pimples(Y/N)]]=1,"YES","NO")</f>
        <v>NO</v>
      </c>
      <c r="AR488">
        <v>1</v>
      </c>
      <c r="AS488" t="str">
        <f>IF(Table1[[#This Row],[Fast food (Y/N)]]=1,"YES","NO")</f>
        <v>YES</v>
      </c>
      <c r="AT488">
        <v>1</v>
      </c>
      <c r="AU488" t="str">
        <f>IF(Table1[[#This Row],[Reg.Exercise(Y/N)]]=1,"YES","NO")</f>
        <v>YES</v>
      </c>
      <c r="AV488">
        <v>110</v>
      </c>
      <c r="AW488">
        <v>80</v>
      </c>
      <c r="AX488">
        <v>16</v>
      </c>
      <c r="AY488">
        <v>16</v>
      </c>
      <c r="AZ488">
        <v>19</v>
      </c>
      <c r="BA488">
        <v>19</v>
      </c>
      <c r="BB488">
        <v>10.5</v>
      </c>
      <c r="BC488" t="str" cm="1">
        <f t="array" ref="BC488">_xlfn.IFS((F488/(G488*G488)*10000)&lt; 18.5,"Underweight",(F488/(G488*G488)*10000)&lt;24.9,"Normal",(F488/(G488*G488)*10000)&lt;29.9,"Overweight",(F488/(G488*G488)*10000)&gt;=30,"obesity")</f>
        <v>Normal</v>
      </c>
      <c r="BD488">
        <f>Table1[[#This Row],[Follicle No. (L)]]+Table1[[#This Row],[Follicle No. (R)]]</f>
        <v>32</v>
      </c>
      <c r="BE488">
        <f>Table1[[#This Row],[Avg. F size (L) (mm)]]+Table1[[#This Row],[Avg. F size (R) (mm)]]</f>
        <v>38</v>
      </c>
      <c r="BF488">
        <f>Table1[[#This Row],[BP _Diastolic (mmHg)]]+(Table1[[#This Row],[BP _Diastolic (mmHg)]]+Table1[[#This Row],[Follicle No. (L)]])/3</f>
        <v>112</v>
      </c>
      <c r="BG488" s="4" t="str" cm="1">
        <f t="array" ref="BG48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88" s="4">
        <f>SUM(Table1[[#This Row],[Pimples(Y/N)]],Table1[[#This Row],[hair growth(Y/N)]],Table1[[#This Row],[Skin darkening (Y/N)]],Table1[[#This Row],[Hair loss(Y/N)]])</f>
        <v>2</v>
      </c>
      <c r="BI488" s="4" t="str">
        <f>IF(AND(Table1[[#This Row],[Pregnant(Y/N)]]=0, Table1[[#This Row],[  I   beta-HCG(mIU/mL)]]&gt;5), "Investigation Required", "Clear")</f>
        <v>Clear</v>
      </c>
    </row>
    <row r="489" spans="1:61" ht="15.75" customHeight="1" x14ac:dyDescent="0.25">
      <c r="A489">
        <v>488</v>
      </c>
      <c r="B489">
        <v>488</v>
      </c>
      <c r="C489">
        <v>0</v>
      </c>
      <c r="D489" t="str">
        <f>IF(Table1[[#This Row],[PCOS (Y/N)]]=0,"NO","YES")</f>
        <v>NO</v>
      </c>
      <c r="E489">
        <v>36</v>
      </c>
      <c r="F489">
        <v>62</v>
      </c>
      <c r="G489">
        <v>152</v>
      </c>
      <c r="H489">
        <v>15</v>
      </c>
      <c r="I489">
        <v>74</v>
      </c>
      <c r="J489">
        <v>20</v>
      </c>
      <c r="K489">
        <v>12.1</v>
      </c>
      <c r="L489">
        <v>4</v>
      </c>
      <c r="M489">
        <v>2</v>
      </c>
      <c r="N489">
        <v>9</v>
      </c>
      <c r="O489">
        <v>0</v>
      </c>
      <c r="P489" t="str">
        <f>IF(Table1[[#This Row],[Pregnant(Y/N)]]=1,"YES","NO")</f>
        <v>NO</v>
      </c>
      <c r="Q489">
        <v>3</v>
      </c>
      <c r="R489">
        <v>1.97</v>
      </c>
      <c r="S489">
        <v>1.99</v>
      </c>
      <c r="T489">
        <v>3.35</v>
      </c>
      <c r="U489">
        <v>5.0599999999999996</v>
      </c>
      <c r="V489">
        <f>Table1[[#This Row],[FSH(mIU/mL)]]/Table1[[#This Row],[LH(mIU/mL)]]</f>
        <v>0.66205533596837951</v>
      </c>
      <c r="W489" t="str">
        <f>IF(Table1[[#This Row],[FSH/LH]]&gt;=2,"Abnormal","Normal")</f>
        <v>Normal</v>
      </c>
      <c r="X489">
        <v>40</v>
      </c>
      <c r="Y489">
        <v>37</v>
      </c>
      <c r="Z489">
        <f>ROUND(Table1[[#This Row],[Waist(inch)]]/Table1[[#This Row],[Hip(inch)]],2)</f>
        <v>0.93</v>
      </c>
      <c r="AA489">
        <v>1.75</v>
      </c>
      <c r="AB489">
        <v>10.32</v>
      </c>
      <c r="AC489">
        <v>24.63</v>
      </c>
      <c r="AD489">
        <v>27.6</v>
      </c>
      <c r="AE489" t="str">
        <f>IF(Table1[[#This Row],[Vit D3 (ng/mL)]]&lt;20,"Deficiency","Normal")</f>
        <v>Normal</v>
      </c>
      <c r="AF489">
        <v>0.34</v>
      </c>
      <c r="AG489">
        <v>84</v>
      </c>
      <c r="AH489">
        <v>1</v>
      </c>
      <c r="AI489" t="str">
        <f>IF(Table1[[#This Row],[Weight gain(Y/N)]]=0,"NO","YES")</f>
        <v>YES</v>
      </c>
      <c r="AJ489">
        <v>1</v>
      </c>
      <c r="AK489" t="str">
        <f>IF(Table1[[#This Row],[hair growth(Y/N)]]=1,"YES","NO")</f>
        <v>YES</v>
      </c>
      <c r="AL489">
        <v>0</v>
      </c>
      <c r="AM489" t="str">
        <f>IF(Table1[[#This Row],[Skin darkening (Y/N)]]=1,"YES","NO")</f>
        <v>NO</v>
      </c>
      <c r="AN489">
        <v>0</v>
      </c>
      <c r="AO489" t="str">
        <f>IF(Table1[[#This Row],[Hair loss(Y/N)]]=1,"YES","NO")</f>
        <v>NO</v>
      </c>
      <c r="AP489">
        <v>0</v>
      </c>
      <c r="AQ489" t="str">
        <f>IF(Table1[[#This Row],[Pimples(Y/N)]]=1,"YES","NO")</f>
        <v>NO</v>
      </c>
      <c r="AR489">
        <v>1</v>
      </c>
      <c r="AS489" t="str">
        <f>IF(Table1[[#This Row],[Fast food (Y/N)]]=1,"YES","NO")</f>
        <v>YES</v>
      </c>
      <c r="AT489">
        <v>0</v>
      </c>
      <c r="AU489" t="str">
        <f>IF(Table1[[#This Row],[Reg.Exercise(Y/N)]]=1,"YES","NO")</f>
        <v>NO</v>
      </c>
      <c r="AV489">
        <v>120</v>
      </c>
      <c r="AW489">
        <v>70</v>
      </c>
      <c r="AX489">
        <v>4</v>
      </c>
      <c r="AY489">
        <v>4</v>
      </c>
      <c r="AZ489">
        <v>18</v>
      </c>
      <c r="BA489">
        <v>19</v>
      </c>
      <c r="BB489">
        <v>6.75</v>
      </c>
      <c r="BC489" t="str" cm="1">
        <f t="array" ref="BC489">_xlfn.IFS((F489/(G489*G489)*10000)&lt; 18.5,"Underweight",(F489/(G489*G489)*10000)&lt;24.9,"Normal",(F489/(G489*G489)*10000)&lt;29.9,"Overweight",(F489/(G489*G489)*10000)&gt;=30,"obesity")</f>
        <v>Overweight</v>
      </c>
      <c r="BD489">
        <f>Table1[[#This Row],[Follicle No. (L)]]+Table1[[#This Row],[Follicle No. (R)]]</f>
        <v>8</v>
      </c>
      <c r="BE489">
        <f>Table1[[#This Row],[Avg. F size (L) (mm)]]+Table1[[#This Row],[Avg. F size (R) (mm)]]</f>
        <v>37</v>
      </c>
      <c r="BF489">
        <f>Table1[[#This Row],[BP _Diastolic (mmHg)]]+(Table1[[#This Row],[BP _Diastolic (mmHg)]]+Table1[[#This Row],[Follicle No. (L)]])/3</f>
        <v>94.666666666666671</v>
      </c>
      <c r="BG489" s="4" t="str" cm="1">
        <f t="array" ref="BG48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89" s="4">
        <f>SUM(Table1[[#This Row],[Pimples(Y/N)]],Table1[[#This Row],[hair growth(Y/N)]],Table1[[#This Row],[Skin darkening (Y/N)]],Table1[[#This Row],[Hair loss(Y/N)]])</f>
        <v>1</v>
      </c>
      <c r="BI489" s="4" t="str">
        <f>IF(AND(Table1[[#This Row],[Pregnant(Y/N)]]=0, Table1[[#This Row],[  I   beta-HCG(mIU/mL)]]&gt;5), "Investigation Required", "Clear")</f>
        <v>Clear</v>
      </c>
    </row>
    <row r="490" spans="1:61" ht="15.75" customHeight="1" x14ac:dyDescent="0.25">
      <c r="A490">
        <v>489</v>
      </c>
      <c r="B490">
        <v>489</v>
      </c>
      <c r="C490">
        <v>0</v>
      </c>
      <c r="D490" t="str">
        <f>IF(Table1[[#This Row],[PCOS (Y/N)]]=0,"NO","YES")</f>
        <v>NO</v>
      </c>
      <c r="E490">
        <v>36</v>
      </c>
      <c r="F490">
        <v>76.900000000000006</v>
      </c>
      <c r="G490">
        <v>165</v>
      </c>
      <c r="H490">
        <v>11</v>
      </c>
      <c r="I490">
        <v>72</v>
      </c>
      <c r="J490">
        <v>18</v>
      </c>
      <c r="K490">
        <v>10.8</v>
      </c>
      <c r="L490">
        <v>2</v>
      </c>
      <c r="M490">
        <v>5</v>
      </c>
      <c r="N490">
        <v>7</v>
      </c>
      <c r="O490">
        <v>0</v>
      </c>
      <c r="P490" t="str">
        <f>IF(Table1[[#This Row],[Pregnant(Y/N)]]=1,"YES","NO")</f>
        <v>NO</v>
      </c>
      <c r="Q490">
        <v>0</v>
      </c>
      <c r="R490">
        <v>37.19</v>
      </c>
      <c r="S490">
        <v>1.99</v>
      </c>
      <c r="T490">
        <v>5.65</v>
      </c>
      <c r="U490">
        <v>2.0099999999999998</v>
      </c>
      <c r="V490">
        <f>Table1[[#This Row],[FSH(mIU/mL)]]/Table1[[#This Row],[LH(mIU/mL)]]</f>
        <v>2.8109452736318414</v>
      </c>
      <c r="W490" t="str">
        <f>IF(Table1[[#This Row],[FSH/LH]]&gt;=2,"Abnormal","Normal")</f>
        <v>Abnormal</v>
      </c>
      <c r="X490">
        <v>42</v>
      </c>
      <c r="Y490">
        <v>41</v>
      </c>
      <c r="Z490">
        <f>ROUND(Table1[[#This Row],[Waist(inch)]]/Table1[[#This Row],[Hip(inch)]],2)</f>
        <v>0.98</v>
      </c>
      <c r="AA490">
        <v>6.96</v>
      </c>
      <c r="AB490">
        <v>2.39</v>
      </c>
      <c r="AC490">
        <v>16.64</v>
      </c>
      <c r="AD490">
        <v>22</v>
      </c>
      <c r="AE490" t="str">
        <f>IF(Table1[[#This Row],[Vit D3 (ng/mL)]]&lt;20,"Deficiency","Normal")</f>
        <v>Normal</v>
      </c>
      <c r="AF490">
        <v>0.25</v>
      </c>
      <c r="AG490">
        <v>116</v>
      </c>
      <c r="AH490">
        <v>1</v>
      </c>
      <c r="AI490" t="str">
        <f>IF(Table1[[#This Row],[Weight gain(Y/N)]]=0,"NO","YES")</f>
        <v>YES</v>
      </c>
      <c r="AJ490">
        <v>0</v>
      </c>
      <c r="AK490" t="str">
        <f>IF(Table1[[#This Row],[hair growth(Y/N)]]=1,"YES","NO")</f>
        <v>NO</v>
      </c>
      <c r="AL490">
        <v>0</v>
      </c>
      <c r="AM490" t="str">
        <f>IF(Table1[[#This Row],[Skin darkening (Y/N)]]=1,"YES","NO")</f>
        <v>NO</v>
      </c>
      <c r="AN490">
        <v>0</v>
      </c>
      <c r="AO490" t="str">
        <f>IF(Table1[[#This Row],[Hair loss(Y/N)]]=1,"YES","NO")</f>
        <v>NO</v>
      </c>
      <c r="AP490">
        <v>0</v>
      </c>
      <c r="AQ490" t="str">
        <f>IF(Table1[[#This Row],[Pimples(Y/N)]]=1,"YES","NO")</f>
        <v>NO</v>
      </c>
      <c r="AR490">
        <v>1</v>
      </c>
      <c r="AS490" t="str">
        <f>IF(Table1[[#This Row],[Fast food (Y/N)]]=1,"YES","NO")</f>
        <v>YES</v>
      </c>
      <c r="AT490">
        <v>0</v>
      </c>
      <c r="AU490" t="str">
        <f>IF(Table1[[#This Row],[Reg.Exercise(Y/N)]]=1,"YES","NO")</f>
        <v>NO</v>
      </c>
      <c r="AV490">
        <v>110</v>
      </c>
      <c r="AW490">
        <v>80</v>
      </c>
      <c r="AX490">
        <v>5</v>
      </c>
      <c r="AY490">
        <v>9</v>
      </c>
      <c r="AZ490">
        <v>20</v>
      </c>
      <c r="BA490">
        <v>19</v>
      </c>
      <c r="BB490">
        <v>6.8</v>
      </c>
      <c r="BC490" t="str" cm="1">
        <f t="array" ref="BC490">_xlfn.IFS((F490/(G490*G490)*10000)&lt; 18.5,"Underweight",(F490/(G490*G490)*10000)&lt;24.9,"Normal",(F490/(G490*G490)*10000)&lt;29.9,"Overweight",(F490/(G490*G490)*10000)&gt;=30,"obesity")</f>
        <v>Overweight</v>
      </c>
      <c r="BD490">
        <f>Table1[[#This Row],[Follicle No. (L)]]+Table1[[#This Row],[Follicle No. (R)]]</f>
        <v>14</v>
      </c>
      <c r="BE490">
        <f>Table1[[#This Row],[Avg. F size (L) (mm)]]+Table1[[#This Row],[Avg. F size (R) (mm)]]</f>
        <v>39</v>
      </c>
      <c r="BF490">
        <f>Table1[[#This Row],[BP _Diastolic (mmHg)]]+(Table1[[#This Row],[BP _Diastolic (mmHg)]]+Table1[[#This Row],[Follicle No. (L)]])/3</f>
        <v>108.33333333333333</v>
      </c>
      <c r="BG490" s="4" t="str" cm="1">
        <f t="array" ref="BG49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90" s="4">
        <f>SUM(Table1[[#This Row],[Pimples(Y/N)]],Table1[[#This Row],[hair growth(Y/N)]],Table1[[#This Row],[Skin darkening (Y/N)]],Table1[[#This Row],[Hair loss(Y/N)]])</f>
        <v>0</v>
      </c>
      <c r="BI490" s="4" t="str">
        <f>IF(AND(Table1[[#This Row],[Pregnant(Y/N)]]=0, Table1[[#This Row],[  I   beta-HCG(mIU/mL)]]&gt;5), "Investigation Required", "Clear")</f>
        <v>Investigation Required</v>
      </c>
    </row>
    <row r="491" spans="1:61" ht="15.75" customHeight="1" x14ac:dyDescent="0.25">
      <c r="A491">
        <v>490</v>
      </c>
      <c r="B491">
        <v>490</v>
      </c>
      <c r="C491">
        <v>1</v>
      </c>
      <c r="D491" t="str">
        <f>IF(Table1[[#This Row],[PCOS (Y/N)]]=0,"NO","YES")</f>
        <v>YES</v>
      </c>
      <c r="E491">
        <v>28</v>
      </c>
      <c r="F491">
        <v>63</v>
      </c>
      <c r="G491">
        <v>143</v>
      </c>
      <c r="H491">
        <v>11</v>
      </c>
      <c r="I491">
        <v>72</v>
      </c>
      <c r="J491">
        <v>18</v>
      </c>
      <c r="K491">
        <v>11.8</v>
      </c>
      <c r="L491">
        <v>2</v>
      </c>
      <c r="M491">
        <v>4</v>
      </c>
      <c r="N491">
        <v>11</v>
      </c>
      <c r="O491">
        <v>0</v>
      </c>
      <c r="P491" t="str">
        <f>IF(Table1[[#This Row],[Pregnant(Y/N)]]=1,"YES","NO")</f>
        <v>NO</v>
      </c>
      <c r="Q491">
        <v>0</v>
      </c>
      <c r="R491">
        <v>1.99</v>
      </c>
      <c r="S491">
        <v>1.99</v>
      </c>
      <c r="T491">
        <v>7.09</v>
      </c>
      <c r="U491">
        <v>2.34</v>
      </c>
      <c r="V491">
        <f>Table1[[#This Row],[FSH(mIU/mL)]]/Table1[[#This Row],[LH(mIU/mL)]]</f>
        <v>3.0299145299145303</v>
      </c>
      <c r="W491" t="str">
        <f>IF(Table1[[#This Row],[FSH/LH]]&gt;=2,"Abnormal","Normal")</f>
        <v>Abnormal</v>
      </c>
      <c r="X491">
        <v>40</v>
      </c>
      <c r="Y491">
        <v>39</v>
      </c>
      <c r="Z491">
        <f>ROUND(Table1[[#This Row],[Waist(inch)]]/Table1[[#This Row],[Hip(inch)]],2)</f>
        <v>0.98</v>
      </c>
      <c r="AA491">
        <v>0.27</v>
      </c>
      <c r="AB491">
        <v>2.7</v>
      </c>
      <c r="AC491">
        <v>44.36</v>
      </c>
      <c r="AD491">
        <v>37.6</v>
      </c>
      <c r="AE491" t="str">
        <f>IF(Table1[[#This Row],[Vit D3 (ng/mL)]]&lt;20,"Deficiency","Normal")</f>
        <v>Normal</v>
      </c>
      <c r="AF491">
        <v>0.37</v>
      </c>
      <c r="AG491">
        <v>84</v>
      </c>
      <c r="AH491">
        <v>1</v>
      </c>
      <c r="AI491" t="str">
        <f>IF(Table1[[#This Row],[Weight gain(Y/N)]]=0,"NO","YES")</f>
        <v>YES</v>
      </c>
      <c r="AJ491">
        <v>0</v>
      </c>
      <c r="AK491" t="str">
        <f>IF(Table1[[#This Row],[hair growth(Y/N)]]=1,"YES","NO")</f>
        <v>NO</v>
      </c>
      <c r="AL491">
        <v>0</v>
      </c>
      <c r="AM491" t="str">
        <f>IF(Table1[[#This Row],[Skin darkening (Y/N)]]=1,"YES","NO")</f>
        <v>NO</v>
      </c>
      <c r="AN491">
        <v>0</v>
      </c>
      <c r="AO491" t="str">
        <f>IF(Table1[[#This Row],[Hair loss(Y/N)]]=1,"YES","NO")</f>
        <v>NO</v>
      </c>
      <c r="AP491">
        <v>0</v>
      </c>
      <c r="AQ491" t="str">
        <f>IF(Table1[[#This Row],[Pimples(Y/N)]]=1,"YES","NO")</f>
        <v>NO</v>
      </c>
      <c r="AR491">
        <v>0</v>
      </c>
      <c r="AS491" t="str">
        <f>IF(Table1[[#This Row],[Fast food (Y/N)]]=1,"YES","NO")</f>
        <v>NO</v>
      </c>
      <c r="AT491">
        <v>0</v>
      </c>
      <c r="AU491" t="str">
        <f>IF(Table1[[#This Row],[Reg.Exercise(Y/N)]]=1,"YES","NO")</f>
        <v>NO</v>
      </c>
      <c r="AV491">
        <v>120</v>
      </c>
      <c r="AW491">
        <v>80</v>
      </c>
      <c r="AX491">
        <v>7</v>
      </c>
      <c r="AY491">
        <v>15</v>
      </c>
      <c r="AZ491">
        <v>16</v>
      </c>
      <c r="BA491">
        <v>16</v>
      </c>
      <c r="BB491">
        <v>10</v>
      </c>
      <c r="BC491" t="str" cm="1">
        <f t="array" ref="BC491">_xlfn.IFS((F491/(G491*G491)*10000)&lt; 18.5,"Underweight",(F491/(G491*G491)*10000)&lt;24.9,"Normal",(F491/(G491*G491)*10000)&lt;29.9,"Overweight",(F491/(G491*G491)*10000)&gt;=30,"obesity")</f>
        <v>obesity</v>
      </c>
      <c r="BD491">
        <f>Table1[[#This Row],[Follicle No. (L)]]+Table1[[#This Row],[Follicle No. (R)]]</f>
        <v>22</v>
      </c>
      <c r="BE491">
        <f>Table1[[#This Row],[Avg. F size (L) (mm)]]+Table1[[#This Row],[Avg. F size (R) (mm)]]</f>
        <v>32</v>
      </c>
      <c r="BF491">
        <f>Table1[[#This Row],[BP _Diastolic (mmHg)]]+(Table1[[#This Row],[BP _Diastolic (mmHg)]]+Table1[[#This Row],[Follicle No. (L)]])/3</f>
        <v>109</v>
      </c>
      <c r="BG491" s="4" t="str" cm="1">
        <f t="array" ref="BG49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91" s="4">
        <f>SUM(Table1[[#This Row],[Pimples(Y/N)]],Table1[[#This Row],[hair growth(Y/N)]],Table1[[#This Row],[Skin darkening (Y/N)]],Table1[[#This Row],[Hair loss(Y/N)]])</f>
        <v>0</v>
      </c>
      <c r="BI491" s="4" t="str">
        <f>IF(AND(Table1[[#This Row],[Pregnant(Y/N)]]=0, Table1[[#This Row],[  I   beta-HCG(mIU/mL)]]&gt;5), "Investigation Required", "Clear")</f>
        <v>Clear</v>
      </c>
    </row>
    <row r="492" spans="1:61" ht="15.75" customHeight="1" x14ac:dyDescent="0.25">
      <c r="A492">
        <v>491</v>
      </c>
      <c r="B492">
        <v>491</v>
      </c>
      <c r="C492">
        <v>0</v>
      </c>
      <c r="D492" t="str">
        <f>IF(Table1[[#This Row],[PCOS (Y/N)]]=0,"NO","YES")</f>
        <v>NO</v>
      </c>
      <c r="E492">
        <v>35</v>
      </c>
      <c r="F492">
        <v>61</v>
      </c>
      <c r="G492">
        <v>154</v>
      </c>
      <c r="H492">
        <v>12</v>
      </c>
      <c r="I492">
        <v>80</v>
      </c>
      <c r="J492">
        <v>20</v>
      </c>
      <c r="K492">
        <v>10.199999999999999</v>
      </c>
      <c r="L492">
        <v>4</v>
      </c>
      <c r="M492">
        <v>7</v>
      </c>
      <c r="N492">
        <v>16</v>
      </c>
      <c r="O492">
        <v>0</v>
      </c>
      <c r="P492" t="str">
        <f>IF(Table1[[#This Row],[Pregnant(Y/N)]]=1,"YES","NO")</f>
        <v>NO</v>
      </c>
      <c r="Q492">
        <v>0</v>
      </c>
      <c r="R492">
        <v>1.99</v>
      </c>
      <c r="S492">
        <v>1.99</v>
      </c>
      <c r="T492">
        <v>4.62</v>
      </c>
      <c r="U492">
        <v>1.23</v>
      </c>
      <c r="V492">
        <f>Table1[[#This Row],[FSH(mIU/mL)]]/Table1[[#This Row],[LH(mIU/mL)]]</f>
        <v>3.75609756097561</v>
      </c>
      <c r="W492" t="str">
        <f>IF(Table1[[#This Row],[FSH/LH]]&gt;=2,"Abnormal","Normal")</f>
        <v>Abnormal</v>
      </c>
      <c r="X492">
        <v>40</v>
      </c>
      <c r="Y492">
        <v>38</v>
      </c>
      <c r="Z492">
        <f>ROUND(Table1[[#This Row],[Waist(inch)]]/Table1[[#This Row],[Hip(inch)]],2)</f>
        <v>0.95</v>
      </c>
      <c r="AA492">
        <v>1.17</v>
      </c>
      <c r="AB492">
        <v>1.1000000000000001</v>
      </c>
      <c r="AC492">
        <v>54.86</v>
      </c>
      <c r="AD492">
        <v>27.2</v>
      </c>
      <c r="AE492" t="str">
        <f>IF(Table1[[#This Row],[Vit D3 (ng/mL)]]&lt;20,"Deficiency","Normal")</f>
        <v>Normal</v>
      </c>
      <c r="AF492">
        <v>0.5</v>
      </c>
      <c r="AG492">
        <v>92</v>
      </c>
      <c r="AH492">
        <v>1</v>
      </c>
      <c r="AI492" t="str">
        <f>IF(Table1[[#This Row],[Weight gain(Y/N)]]=0,"NO","YES")</f>
        <v>YES</v>
      </c>
      <c r="AJ492">
        <v>1</v>
      </c>
      <c r="AK492" t="str">
        <f>IF(Table1[[#This Row],[hair growth(Y/N)]]=1,"YES","NO")</f>
        <v>YES</v>
      </c>
      <c r="AL492">
        <v>1</v>
      </c>
      <c r="AM492" t="str">
        <f>IF(Table1[[#This Row],[Skin darkening (Y/N)]]=1,"YES","NO")</f>
        <v>YES</v>
      </c>
      <c r="AN492">
        <v>1</v>
      </c>
      <c r="AO492" t="str">
        <f>IF(Table1[[#This Row],[Hair loss(Y/N)]]=1,"YES","NO")</f>
        <v>YES</v>
      </c>
      <c r="AP492">
        <v>1</v>
      </c>
      <c r="AQ492" t="str">
        <f>IF(Table1[[#This Row],[Pimples(Y/N)]]=1,"YES","NO")</f>
        <v>YES</v>
      </c>
      <c r="AR492">
        <v>1</v>
      </c>
      <c r="AS492" t="str">
        <f>IF(Table1[[#This Row],[Fast food (Y/N)]]=1,"YES","NO")</f>
        <v>YES</v>
      </c>
      <c r="AT492">
        <v>0</v>
      </c>
      <c r="AU492" t="str">
        <f>IF(Table1[[#This Row],[Reg.Exercise(Y/N)]]=1,"YES","NO")</f>
        <v>NO</v>
      </c>
      <c r="AV492">
        <v>120</v>
      </c>
      <c r="AW492">
        <v>70</v>
      </c>
      <c r="AX492">
        <v>3</v>
      </c>
      <c r="AY492">
        <v>2</v>
      </c>
      <c r="AZ492">
        <v>19</v>
      </c>
      <c r="BA492">
        <v>16</v>
      </c>
      <c r="BB492">
        <v>6</v>
      </c>
      <c r="BC492" t="str" cm="1">
        <f t="array" ref="BC492">_xlfn.IFS((F492/(G492*G492)*10000)&lt; 18.5,"Underweight",(F492/(G492*G492)*10000)&lt;24.9,"Normal",(F492/(G492*G492)*10000)&lt;29.9,"Overweight",(F492/(G492*G492)*10000)&gt;=30,"obesity")</f>
        <v>Overweight</v>
      </c>
      <c r="BD492">
        <f>Table1[[#This Row],[Follicle No. (L)]]+Table1[[#This Row],[Follicle No. (R)]]</f>
        <v>5</v>
      </c>
      <c r="BE492">
        <f>Table1[[#This Row],[Avg. F size (L) (mm)]]+Table1[[#This Row],[Avg. F size (R) (mm)]]</f>
        <v>35</v>
      </c>
      <c r="BF492">
        <f>Table1[[#This Row],[BP _Diastolic (mmHg)]]+(Table1[[#This Row],[BP _Diastolic (mmHg)]]+Table1[[#This Row],[Follicle No. (L)]])/3</f>
        <v>94.333333333333329</v>
      </c>
      <c r="BG492" s="4" t="str" cm="1">
        <f t="array" ref="BG49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92" s="4">
        <f>SUM(Table1[[#This Row],[Pimples(Y/N)]],Table1[[#This Row],[hair growth(Y/N)]],Table1[[#This Row],[Skin darkening (Y/N)]],Table1[[#This Row],[Hair loss(Y/N)]])</f>
        <v>4</v>
      </c>
      <c r="BI492" s="4" t="str">
        <f>IF(AND(Table1[[#This Row],[Pregnant(Y/N)]]=0, Table1[[#This Row],[  I   beta-HCG(mIU/mL)]]&gt;5), "Investigation Required", "Clear")</f>
        <v>Clear</v>
      </c>
    </row>
    <row r="493" spans="1:61" ht="15.75" customHeight="1" x14ac:dyDescent="0.25">
      <c r="A493">
        <v>492</v>
      </c>
      <c r="B493">
        <v>492</v>
      </c>
      <c r="C493">
        <v>0</v>
      </c>
      <c r="D493" t="str">
        <f>IF(Table1[[#This Row],[PCOS (Y/N)]]=0,"NO","YES")</f>
        <v>NO</v>
      </c>
      <c r="E493">
        <v>23</v>
      </c>
      <c r="F493">
        <v>66</v>
      </c>
      <c r="G493">
        <v>164.59200000000001</v>
      </c>
      <c r="H493">
        <v>16</v>
      </c>
      <c r="I493">
        <v>72</v>
      </c>
      <c r="J493">
        <v>18</v>
      </c>
      <c r="K493">
        <v>11.5</v>
      </c>
      <c r="L493">
        <v>4</v>
      </c>
      <c r="M493">
        <v>2</v>
      </c>
      <c r="N493">
        <v>3</v>
      </c>
      <c r="O493">
        <v>1</v>
      </c>
      <c r="P493" t="str">
        <f>IF(Table1[[#This Row],[Pregnant(Y/N)]]=1,"YES","NO")</f>
        <v>YES</v>
      </c>
      <c r="Q493">
        <v>0</v>
      </c>
      <c r="R493">
        <v>658.29</v>
      </c>
      <c r="S493">
        <v>1.99</v>
      </c>
      <c r="T493">
        <v>8.1300000000000008</v>
      </c>
      <c r="U493">
        <v>1.39</v>
      </c>
      <c r="V493">
        <f>Table1[[#This Row],[FSH(mIU/mL)]]/Table1[[#This Row],[LH(mIU/mL)]]</f>
        <v>5.8489208633093535</v>
      </c>
      <c r="W493" t="str">
        <f>IF(Table1[[#This Row],[FSH/LH]]&gt;=2,"Abnormal","Normal")</f>
        <v>Abnormal</v>
      </c>
      <c r="X493">
        <v>38</v>
      </c>
      <c r="Y493">
        <v>37</v>
      </c>
      <c r="Z493">
        <f>ROUND(Table1[[#This Row],[Waist(inch)]]/Table1[[#This Row],[Hip(inch)]],2)</f>
        <v>0.97</v>
      </c>
      <c r="AA493">
        <v>4.1399999999999997</v>
      </c>
      <c r="AB493">
        <v>4.9000000000000004</v>
      </c>
      <c r="AC493">
        <v>27.2</v>
      </c>
      <c r="AD493">
        <v>36.1</v>
      </c>
      <c r="AE493" t="str">
        <f>IF(Table1[[#This Row],[Vit D3 (ng/mL)]]&lt;20,"Deficiency","Normal")</f>
        <v>Normal</v>
      </c>
      <c r="AF493">
        <v>0.25</v>
      </c>
      <c r="AG493">
        <v>100</v>
      </c>
      <c r="AH493">
        <v>0</v>
      </c>
      <c r="AI493" t="str">
        <f>IF(Table1[[#This Row],[Weight gain(Y/N)]]=0,"NO","YES")</f>
        <v>NO</v>
      </c>
      <c r="AJ493">
        <v>0</v>
      </c>
      <c r="AK493" t="str">
        <f>IF(Table1[[#This Row],[hair growth(Y/N)]]=1,"YES","NO")</f>
        <v>NO</v>
      </c>
      <c r="AL493">
        <v>0</v>
      </c>
      <c r="AM493" t="str">
        <f>IF(Table1[[#This Row],[Skin darkening (Y/N)]]=1,"YES","NO")</f>
        <v>NO</v>
      </c>
      <c r="AN493">
        <v>0</v>
      </c>
      <c r="AO493" t="str">
        <f>IF(Table1[[#This Row],[Hair loss(Y/N)]]=1,"YES","NO")</f>
        <v>NO</v>
      </c>
      <c r="AP493">
        <v>1</v>
      </c>
      <c r="AQ493" t="str">
        <f>IF(Table1[[#This Row],[Pimples(Y/N)]]=1,"YES","NO")</f>
        <v>YES</v>
      </c>
      <c r="AR493">
        <v>1</v>
      </c>
      <c r="AS493" t="str">
        <f>IF(Table1[[#This Row],[Fast food (Y/N)]]=1,"YES","NO")</f>
        <v>YES</v>
      </c>
      <c r="AT493">
        <v>0</v>
      </c>
      <c r="AU493" t="str">
        <f>IF(Table1[[#This Row],[Reg.Exercise(Y/N)]]=1,"YES","NO")</f>
        <v>NO</v>
      </c>
      <c r="AV493">
        <v>110</v>
      </c>
      <c r="AW493">
        <v>80</v>
      </c>
      <c r="AX493">
        <v>6</v>
      </c>
      <c r="AY493">
        <v>5</v>
      </c>
      <c r="AZ493">
        <v>18</v>
      </c>
      <c r="BA493">
        <v>20</v>
      </c>
      <c r="BB493">
        <v>7.2</v>
      </c>
      <c r="BC493" t="str" cm="1">
        <f t="array" ref="BC493">_xlfn.IFS((F493/(G493*G493)*10000)&lt; 18.5,"Underweight",(F493/(G493*G493)*10000)&lt;24.9,"Normal",(F493/(G493*G493)*10000)&lt;29.9,"Overweight",(F493/(G493*G493)*10000)&gt;=30,"obesity")</f>
        <v>Normal</v>
      </c>
      <c r="BD493">
        <f>Table1[[#This Row],[Follicle No. (L)]]+Table1[[#This Row],[Follicle No. (R)]]</f>
        <v>11</v>
      </c>
      <c r="BE493">
        <f>Table1[[#This Row],[Avg. F size (L) (mm)]]+Table1[[#This Row],[Avg. F size (R) (mm)]]</f>
        <v>38</v>
      </c>
      <c r="BF493">
        <f>Table1[[#This Row],[BP _Diastolic (mmHg)]]+(Table1[[#This Row],[BP _Diastolic (mmHg)]]+Table1[[#This Row],[Follicle No. (L)]])/3</f>
        <v>108.66666666666667</v>
      </c>
      <c r="BG493" s="4" t="str" cm="1">
        <f t="array" ref="BG49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93" s="4">
        <f>SUM(Table1[[#This Row],[Pimples(Y/N)]],Table1[[#This Row],[hair growth(Y/N)]],Table1[[#This Row],[Skin darkening (Y/N)]],Table1[[#This Row],[Hair loss(Y/N)]])</f>
        <v>1</v>
      </c>
      <c r="BI493" s="4" t="str">
        <f>IF(AND(Table1[[#This Row],[Pregnant(Y/N)]]=0, Table1[[#This Row],[  I   beta-HCG(mIU/mL)]]&gt;5), "Investigation Required", "Clear")</f>
        <v>Clear</v>
      </c>
    </row>
    <row r="494" spans="1:61" ht="15.75" customHeight="1" x14ac:dyDescent="0.25">
      <c r="A494">
        <v>493</v>
      </c>
      <c r="B494">
        <v>493</v>
      </c>
      <c r="C494">
        <v>0</v>
      </c>
      <c r="D494" t="str">
        <f>IF(Table1[[#This Row],[PCOS (Y/N)]]=0,"NO","YES")</f>
        <v>NO</v>
      </c>
      <c r="E494">
        <v>25</v>
      </c>
      <c r="F494">
        <v>58</v>
      </c>
      <c r="G494">
        <v>155.44800000000001</v>
      </c>
      <c r="H494">
        <v>14</v>
      </c>
      <c r="I494">
        <v>72</v>
      </c>
      <c r="J494">
        <v>18</v>
      </c>
      <c r="K494">
        <v>10.8</v>
      </c>
      <c r="L494">
        <v>2</v>
      </c>
      <c r="M494">
        <v>5</v>
      </c>
      <c r="N494">
        <v>3</v>
      </c>
      <c r="O494">
        <v>1</v>
      </c>
      <c r="P494" t="str">
        <f>IF(Table1[[#This Row],[Pregnant(Y/N)]]=1,"YES","NO")</f>
        <v>YES</v>
      </c>
      <c r="Q494">
        <v>0</v>
      </c>
      <c r="R494">
        <v>1.99</v>
      </c>
      <c r="S494">
        <v>1.99</v>
      </c>
      <c r="T494">
        <v>5.68</v>
      </c>
      <c r="U494">
        <v>4.21</v>
      </c>
      <c r="V494">
        <f>Table1[[#This Row],[FSH(mIU/mL)]]/Table1[[#This Row],[LH(mIU/mL)]]</f>
        <v>1.3491686460807601</v>
      </c>
      <c r="W494" t="str">
        <f>IF(Table1[[#This Row],[FSH/LH]]&gt;=2,"Abnormal","Normal")</f>
        <v>Normal</v>
      </c>
      <c r="X494">
        <v>34</v>
      </c>
      <c r="Y494">
        <v>32</v>
      </c>
      <c r="Z494">
        <f>ROUND(Table1[[#This Row],[Waist(inch)]]/Table1[[#This Row],[Hip(inch)]],2)</f>
        <v>0.94</v>
      </c>
      <c r="AA494">
        <v>2.76</v>
      </c>
      <c r="AB494">
        <v>10.6</v>
      </c>
      <c r="AC494">
        <v>24.01</v>
      </c>
      <c r="AD494">
        <v>19.3</v>
      </c>
      <c r="AE494" t="str">
        <f>IF(Table1[[#This Row],[Vit D3 (ng/mL)]]&lt;20,"Deficiency","Normal")</f>
        <v>Deficiency</v>
      </c>
      <c r="AF494">
        <v>0.48</v>
      </c>
      <c r="AG494">
        <v>92</v>
      </c>
      <c r="AH494">
        <v>0</v>
      </c>
      <c r="AI494" t="str">
        <f>IF(Table1[[#This Row],[Weight gain(Y/N)]]=0,"NO","YES")</f>
        <v>NO</v>
      </c>
      <c r="AJ494">
        <v>1</v>
      </c>
      <c r="AK494" t="str">
        <f>IF(Table1[[#This Row],[hair growth(Y/N)]]=1,"YES","NO")</f>
        <v>YES</v>
      </c>
      <c r="AL494">
        <v>0</v>
      </c>
      <c r="AM494" t="str">
        <f>IF(Table1[[#This Row],[Skin darkening (Y/N)]]=1,"YES","NO")</f>
        <v>NO</v>
      </c>
      <c r="AN494">
        <v>1</v>
      </c>
      <c r="AO494" t="str">
        <f>IF(Table1[[#This Row],[Hair loss(Y/N)]]=1,"YES","NO")</f>
        <v>YES</v>
      </c>
      <c r="AP494">
        <v>0</v>
      </c>
      <c r="AQ494" t="str">
        <f>IF(Table1[[#This Row],[Pimples(Y/N)]]=1,"YES","NO")</f>
        <v>NO</v>
      </c>
      <c r="AR494">
        <v>0</v>
      </c>
      <c r="AS494" t="str">
        <f>IF(Table1[[#This Row],[Fast food (Y/N)]]=1,"YES","NO")</f>
        <v>NO</v>
      </c>
      <c r="AT494">
        <v>0</v>
      </c>
      <c r="AU494" t="str">
        <f>IF(Table1[[#This Row],[Reg.Exercise(Y/N)]]=1,"YES","NO")</f>
        <v>NO</v>
      </c>
      <c r="AV494">
        <v>120</v>
      </c>
      <c r="AW494">
        <v>80</v>
      </c>
      <c r="AX494">
        <v>1</v>
      </c>
      <c r="AY494">
        <v>2</v>
      </c>
      <c r="AZ494">
        <v>19</v>
      </c>
      <c r="BA494">
        <v>18</v>
      </c>
      <c r="BB494">
        <v>10.35</v>
      </c>
      <c r="BC494" t="str" cm="1">
        <f t="array" ref="BC494">_xlfn.IFS((F494/(G494*G494)*10000)&lt; 18.5,"Underweight",(F494/(G494*G494)*10000)&lt;24.9,"Normal",(F494/(G494*G494)*10000)&lt;29.9,"Overweight",(F494/(G494*G494)*10000)&gt;=30,"obesity")</f>
        <v>Normal</v>
      </c>
      <c r="BD494">
        <f>Table1[[#This Row],[Follicle No. (L)]]+Table1[[#This Row],[Follicle No. (R)]]</f>
        <v>3</v>
      </c>
      <c r="BE494">
        <f>Table1[[#This Row],[Avg. F size (L) (mm)]]+Table1[[#This Row],[Avg. F size (R) (mm)]]</f>
        <v>37</v>
      </c>
      <c r="BF494">
        <f>Table1[[#This Row],[BP _Diastolic (mmHg)]]+(Table1[[#This Row],[BP _Diastolic (mmHg)]]+Table1[[#This Row],[Follicle No. (L)]])/3</f>
        <v>107</v>
      </c>
      <c r="BG494" s="4" t="str" cm="1">
        <f t="array" ref="BG49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94" s="4">
        <f>SUM(Table1[[#This Row],[Pimples(Y/N)]],Table1[[#This Row],[hair growth(Y/N)]],Table1[[#This Row],[Skin darkening (Y/N)]],Table1[[#This Row],[Hair loss(Y/N)]])</f>
        <v>2</v>
      </c>
      <c r="BI494" s="4" t="str">
        <f>IF(AND(Table1[[#This Row],[Pregnant(Y/N)]]=0, Table1[[#This Row],[  I   beta-HCG(mIU/mL)]]&gt;5), "Investigation Required", "Clear")</f>
        <v>Clear</v>
      </c>
    </row>
    <row r="495" spans="1:61" ht="15.75" customHeight="1" x14ac:dyDescent="0.25">
      <c r="A495">
        <v>494</v>
      </c>
      <c r="B495">
        <v>494</v>
      </c>
      <c r="C495">
        <v>1</v>
      </c>
      <c r="D495" t="str">
        <f>IF(Table1[[#This Row],[PCOS (Y/N)]]=0,"NO","YES")</f>
        <v>YES</v>
      </c>
      <c r="E495">
        <v>30</v>
      </c>
      <c r="F495">
        <v>50</v>
      </c>
      <c r="G495">
        <v>154</v>
      </c>
      <c r="H495">
        <v>15</v>
      </c>
      <c r="I495">
        <v>72</v>
      </c>
      <c r="J495">
        <v>20</v>
      </c>
      <c r="K495">
        <v>10.8</v>
      </c>
      <c r="L495">
        <v>2</v>
      </c>
      <c r="M495">
        <v>4</v>
      </c>
      <c r="N495">
        <v>6</v>
      </c>
      <c r="O495">
        <v>1</v>
      </c>
      <c r="P495" t="str">
        <f>IF(Table1[[#This Row],[Pregnant(Y/N)]]=1,"YES","NO")</f>
        <v>YES</v>
      </c>
      <c r="Q495">
        <v>0</v>
      </c>
      <c r="R495">
        <v>492.02</v>
      </c>
      <c r="S495">
        <v>1.99</v>
      </c>
      <c r="T495">
        <v>7.73</v>
      </c>
      <c r="U495">
        <v>0.26</v>
      </c>
      <c r="V495">
        <f>Table1[[#This Row],[FSH(mIU/mL)]]/Table1[[#This Row],[LH(mIU/mL)]]</f>
        <v>29.73076923076923</v>
      </c>
      <c r="W495" t="str">
        <f>IF(Table1[[#This Row],[FSH/LH]]&gt;=2,"Abnormal","Normal")</f>
        <v>Abnormal</v>
      </c>
      <c r="X495">
        <v>34</v>
      </c>
      <c r="Y495">
        <v>33</v>
      </c>
      <c r="Z495">
        <f>ROUND(Table1[[#This Row],[Waist(inch)]]/Table1[[#This Row],[Hip(inch)]],2)</f>
        <v>0.97</v>
      </c>
      <c r="AA495">
        <v>8.3000000000000007</v>
      </c>
      <c r="AB495">
        <v>4.3</v>
      </c>
      <c r="AC495">
        <v>13.14</v>
      </c>
      <c r="AD495">
        <v>25.7</v>
      </c>
      <c r="AE495" t="str">
        <f>IF(Table1[[#This Row],[Vit D3 (ng/mL)]]&lt;20,"Deficiency","Normal")</f>
        <v>Normal</v>
      </c>
      <c r="AF495">
        <v>0.25</v>
      </c>
      <c r="AG495">
        <v>85</v>
      </c>
      <c r="AH495">
        <v>0</v>
      </c>
      <c r="AI495" t="str">
        <f>IF(Table1[[#This Row],[Weight gain(Y/N)]]=0,"NO","YES")</f>
        <v>NO</v>
      </c>
      <c r="AJ495">
        <v>0</v>
      </c>
      <c r="AK495" t="str">
        <f>IF(Table1[[#This Row],[hair growth(Y/N)]]=1,"YES","NO")</f>
        <v>NO</v>
      </c>
      <c r="AL495">
        <v>0</v>
      </c>
      <c r="AM495" t="str">
        <f>IF(Table1[[#This Row],[Skin darkening (Y/N)]]=1,"YES","NO")</f>
        <v>NO</v>
      </c>
      <c r="AN495">
        <v>0</v>
      </c>
      <c r="AO495" t="str">
        <f>IF(Table1[[#This Row],[Hair loss(Y/N)]]=1,"YES","NO")</f>
        <v>NO</v>
      </c>
      <c r="AP495">
        <v>0</v>
      </c>
      <c r="AQ495" t="str">
        <f>IF(Table1[[#This Row],[Pimples(Y/N)]]=1,"YES","NO")</f>
        <v>NO</v>
      </c>
      <c r="AR495">
        <v>0</v>
      </c>
      <c r="AS495" t="str">
        <f>IF(Table1[[#This Row],[Fast food (Y/N)]]=1,"YES","NO")</f>
        <v>NO</v>
      </c>
      <c r="AT495">
        <v>1</v>
      </c>
      <c r="AU495" t="str">
        <f>IF(Table1[[#This Row],[Reg.Exercise(Y/N)]]=1,"YES","NO")</f>
        <v>YES</v>
      </c>
      <c r="AV495">
        <v>120</v>
      </c>
      <c r="AW495">
        <v>80</v>
      </c>
      <c r="AX495">
        <v>9</v>
      </c>
      <c r="AY495">
        <v>19</v>
      </c>
      <c r="AZ495">
        <v>19</v>
      </c>
      <c r="BA495">
        <v>18</v>
      </c>
      <c r="BB495">
        <v>6</v>
      </c>
      <c r="BC495" t="str" cm="1">
        <f t="array" ref="BC495">_xlfn.IFS((F495/(G495*G495)*10000)&lt; 18.5,"Underweight",(F495/(G495*G495)*10000)&lt;24.9,"Normal",(F495/(G495*G495)*10000)&lt;29.9,"Overweight",(F495/(G495*G495)*10000)&gt;=30,"obesity")</f>
        <v>Normal</v>
      </c>
      <c r="BD495">
        <f>Table1[[#This Row],[Follicle No. (L)]]+Table1[[#This Row],[Follicle No. (R)]]</f>
        <v>28</v>
      </c>
      <c r="BE495">
        <f>Table1[[#This Row],[Avg. F size (L) (mm)]]+Table1[[#This Row],[Avg. F size (R) (mm)]]</f>
        <v>37</v>
      </c>
      <c r="BF495">
        <f>Table1[[#This Row],[BP _Diastolic (mmHg)]]+(Table1[[#This Row],[BP _Diastolic (mmHg)]]+Table1[[#This Row],[Follicle No. (L)]])/3</f>
        <v>109.66666666666667</v>
      </c>
      <c r="BG495" s="4" t="str" cm="1">
        <f t="array" ref="BG49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95" s="4">
        <f>SUM(Table1[[#This Row],[Pimples(Y/N)]],Table1[[#This Row],[hair growth(Y/N)]],Table1[[#This Row],[Skin darkening (Y/N)]],Table1[[#This Row],[Hair loss(Y/N)]])</f>
        <v>0</v>
      </c>
      <c r="BI495" s="4" t="str">
        <f>IF(AND(Table1[[#This Row],[Pregnant(Y/N)]]=0, Table1[[#This Row],[  I   beta-HCG(mIU/mL)]]&gt;5), "Investigation Required", "Clear")</f>
        <v>Clear</v>
      </c>
    </row>
    <row r="496" spans="1:61" ht="15.75" customHeight="1" x14ac:dyDescent="0.25">
      <c r="A496">
        <v>495</v>
      </c>
      <c r="B496">
        <v>495</v>
      </c>
      <c r="C496">
        <v>0</v>
      </c>
      <c r="D496" t="str">
        <f>IF(Table1[[#This Row],[PCOS (Y/N)]]=0,"NO","YES")</f>
        <v>NO</v>
      </c>
      <c r="E496">
        <v>30</v>
      </c>
      <c r="F496">
        <v>48</v>
      </c>
      <c r="G496">
        <v>148</v>
      </c>
      <c r="H496">
        <v>15</v>
      </c>
      <c r="I496">
        <v>80</v>
      </c>
      <c r="J496">
        <v>20</v>
      </c>
      <c r="K496">
        <v>10.5</v>
      </c>
      <c r="L496">
        <v>2</v>
      </c>
      <c r="M496">
        <v>5</v>
      </c>
      <c r="N496">
        <v>6</v>
      </c>
      <c r="O496">
        <v>1</v>
      </c>
      <c r="P496" t="str">
        <f>IF(Table1[[#This Row],[Pregnant(Y/N)]]=1,"YES","NO")</f>
        <v>YES</v>
      </c>
      <c r="Q496">
        <v>0</v>
      </c>
      <c r="R496">
        <v>341.47</v>
      </c>
      <c r="S496">
        <v>1.99</v>
      </c>
      <c r="T496">
        <v>2.44</v>
      </c>
      <c r="U496">
        <v>0.35</v>
      </c>
      <c r="V496">
        <f>Table1[[#This Row],[FSH(mIU/mL)]]/Table1[[#This Row],[LH(mIU/mL)]]</f>
        <v>6.9714285714285715</v>
      </c>
      <c r="W496" t="str">
        <f>IF(Table1[[#This Row],[FSH/LH]]&gt;=2,"Abnormal","Normal")</f>
        <v>Abnormal</v>
      </c>
      <c r="X496">
        <v>28</v>
      </c>
      <c r="Y496">
        <v>27</v>
      </c>
      <c r="Z496">
        <f>ROUND(Table1[[#This Row],[Waist(inch)]]/Table1[[#This Row],[Hip(inch)]],2)</f>
        <v>0.96</v>
      </c>
      <c r="AA496">
        <v>1.47</v>
      </c>
      <c r="AB496">
        <v>5.0999999999999996</v>
      </c>
      <c r="AC496">
        <v>13.38</v>
      </c>
      <c r="AD496">
        <v>38.200000000000003</v>
      </c>
      <c r="AE496" t="str">
        <f>IF(Table1[[#This Row],[Vit D3 (ng/mL)]]&lt;20,"Deficiency","Normal")</f>
        <v>Normal</v>
      </c>
      <c r="AF496">
        <v>0.251</v>
      </c>
      <c r="AG496">
        <v>92</v>
      </c>
      <c r="AH496">
        <v>1</v>
      </c>
      <c r="AI496" t="str">
        <f>IF(Table1[[#This Row],[Weight gain(Y/N)]]=0,"NO","YES")</f>
        <v>YES</v>
      </c>
      <c r="AJ496">
        <v>0</v>
      </c>
      <c r="AK496" t="str">
        <f>IF(Table1[[#This Row],[hair growth(Y/N)]]=1,"YES","NO")</f>
        <v>NO</v>
      </c>
      <c r="AL496">
        <v>1</v>
      </c>
      <c r="AM496" t="str">
        <f>IF(Table1[[#This Row],[Skin darkening (Y/N)]]=1,"YES","NO")</f>
        <v>YES</v>
      </c>
      <c r="AN496">
        <v>0</v>
      </c>
      <c r="AO496" t="str">
        <f>IF(Table1[[#This Row],[Hair loss(Y/N)]]=1,"YES","NO")</f>
        <v>NO</v>
      </c>
      <c r="AP496">
        <v>1</v>
      </c>
      <c r="AQ496" t="str">
        <f>IF(Table1[[#This Row],[Pimples(Y/N)]]=1,"YES","NO")</f>
        <v>YES</v>
      </c>
      <c r="AR496">
        <v>1</v>
      </c>
      <c r="AS496" t="str">
        <f>IF(Table1[[#This Row],[Fast food (Y/N)]]=1,"YES","NO")</f>
        <v>YES</v>
      </c>
      <c r="AT496">
        <v>0</v>
      </c>
      <c r="AU496" t="str">
        <f>IF(Table1[[#This Row],[Reg.Exercise(Y/N)]]=1,"YES","NO")</f>
        <v>NO</v>
      </c>
      <c r="AV496">
        <v>110</v>
      </c>
      <c r="AW496">
        <v>70</v>
      </c>
      <c r="AX496">
        <v>5</v>
      </c>
      <c r="AY496">
        <v>8</v>
      </c>
      <c r="AZ496">
        <v>18</v>
      </c>
      <c r="BA496">
        <v>18</v>
      </c>
      <c r="BB496">
        <v>7</v>
      </c>
      <c r="BC496" t="str" cm="1">
        <f t="array" ref="BC496">_xlfn.IFS((F496/(G496*G496)*10000)&lt; 18.5,"Underweight",(F496/(G496*G496)*10000)&lt;24.9,"Normal",(F496/(G496*G496)*10000)&lt;29.9,"Overweight",(F496/(G496*G496)*10000)&gt;=30,"obesity")</f>
        <v>Normal</v>
      </c>
      <c r="BD496">
        <f>Table1[[#This Row],[Follicle No. (L)]]+Table1[[#This Row],[Follicle No. (R)]]</f>
        <v>13</v>
      </c>
      <c r="BE496">
        <f>Table1[[#This Row],[Avg. F size (L) (mm)]]+Table1[[#This Row],[Avg. F size (R) (mm)]]</f>
        <v>36</v>
      </c>
      <c r="BF496">
        <f>Table1[[#This Row],[BP _Diastolic (mmHg)]]+(Table1[[#This Row],[BP _Diastolic (mmHg)]]+Table1[[#This Row],[Follicle No. (L)]])/3</f>
        <v>95</v>
      </c>
      <c r="BG496" s="4" t="str" cm="1">
        <f t="array" ref="BG49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96" s="4">
        <f>SUM(Table1[[#This Row],[Pimples(Y/N)]],Table1[[#This Row],[hair growth(Y/N)]],Table1[[#This Row],[Skin darkening (Y/N)]],Table1[[#This Row],[Hair loss(Y/N)]])</f>
        <v>2</v>
      </c>
      <c r="BI496" s="4" t="str">
        <f>IF(AND(Table1[[#This Row],[Pregnant(Y/N)]]=0, Table1[[#This Row],[  I   beta-HCG(mIU/mL)]]&gt;5), "Investigation Required", "Clear")</f>
        <v>Clear</v>
      </c>
    </row>
    <row r="497" spans="1:61" ht="15.75" customHeight="1" x14ac:dyDescent="0.25">
      <c r="A497">
        <v>496</v>
      </c>
      <c r="B497">
        <v>496</v>
      </c>
      <c r="C497">
        <v>1</v>
      </c>
      <c r="D497" t="str">
        <f>IF(Table1[[#This Row],[PCOS (Y/N)]]=0,"NO","YES")</f>
        <v>YES</v>
      </c>
      <c r="E497">
        <v>27</v>
      </c>
      <c r="F497">
        <v>64</v>
      </c>
      <c r="G497">
        <v>155</v>
      </c>
      <c r="H497">
        <v>13</v>
      </c>
      <c r="I497">
        <v>72</v>
      </c>
      <c r="J497">
        <v>20</v>
      </c>
      <c r="K497">
        <v>11.5</v>
      </c>
      <c r="L497">
        <v>4</v>
      </c>
      <c r="M497">
        <v>2</v>
      </c>
      <c r="N497">
        <v>5</v>
      </c>
      <c r="O497">
        <v>0</v>
      </c>
      <c r="P497" t="str">
        <f>IF(Table1[[#This Row],[Pregnant(Y/N)]]=1,"YES","NO")</f>
        <v>NO</v>
      </c>
      <c r="Q497">
        <v>0</v>
      </c>
      <c r="R497">
        <v>275.60000000000002</v>
      </c>
      <c r="S497">
        <v>1.99</v>
      </c>
      <c r="T497">
        <v>5.74</v>
      </c>
      <c r="U497">
        <v>1.29</v>
      </c>
      <c r="V497">
        <f>Table1[[#This Row],[FSH(mIU/mL)]]/Table1[[#This Row],[LH(mIU/mL)]]</f>
        <v>4.4496124031007751</v>
      </c>
      <c r="W497" t="str">
        <f>IF(Table1[[#This Row],[FSH/LH]]&gt;=2,"Abnormal","Normal")</f>
        <v>Abnormal</v>
      </c>
      <c r="X497">
        <v>40</v>
      </c>
      <c r="Y497">
        <v>36</v>
      </c>
      <c r="Z497">
        <f>ROUND(Table1[[#This Row],[Waist(inch)]]/Table1[[#This Row],[Hip(inch)]],2)</f>
        <v>0.9</v>
      </c>
      <c r="AA497">
        <v>1.51</v>
      </c>
      <c r="AB497">
        <v>16.8</v>
      </c>
      <c r="AC497">
        <v>27.51</v>
      </c>
      <c r="AD497">
        <v>23.4</v>
      </c>
      <c r="AE497" t="str">
        <f>IF(Table1[[#This Row],[Vit D3 (ng/mL)]]&lt;20,"Deficiency","Normal")</f>
        <v>Normal</v>
      </c>
      <c r="AF497">
        <v>0.61</v>
      </c>
      <c r="AG497">
        <v>140</v>
      </c>
      <c r="AH497">
        <v>1</v>
      </c>
      <c r="AI497" t="str">
        <f>IF(Table1[[#This Row],[Weight gain(Y/N)]]=0,"NO","YES")</f>
        <v>YES</v>
      </c>
      <c r="AJ497">
        <v>1</v>
      </c>
      <c r="AK497" t="str">
        <f>IF(Table1[[#This Row],[hair growth(Y/N)]]=1,"YES","NO")</f>
        <v>YES</v>
      </c>
      <c r="AL497">
        <v>1</v>
      </c>
      <c r="AM497" t="str">
        <f>IF(Table1[[#This Row],[Skin darkening (Y/N)]]=1,"YES","NO")</f>
        <v>YES</v>
      </c>
      <c r="AN497">
        <v>1</v>
      </c>
      <c r="AO497" t="str">
        <f>IF(Table1[[#This Row],[Hair loss(Y/N)]]=1,"YES","NO")</f>
        <v>YES</v>
      </c>
      <c r="AP497">
        <v>1</v>
      </c>
      <c r="AQ497" t="str">
        <f>IF(Table1[[#This Row],[Pimples(Y/N)]]=1,"YES","NO")</f>
        <v>YES</v>
      </c>
      <c r="AR497">
        <v>1</v>
      </c>
      <c r="AS497" t="str">
        <f>IF(Table1[[#This Row],[Fast food (Y/N)]]=1,"YES","NO")</f>
        <v>YES</v>
      </c>
      <c r="AT497">
        <v>0</v>
      </c>
      <c r="AU497" t="str">
        <f>IF(Table1[[#This Row],[Reg.Exercise(Y/N)]]=1,"YES","NO")</f>
        <v>NO</v>
      </c>
      <c r="AV497">
        <v>120</v>
      </c>
      <c r="AW497">
        <v>70</v>
      </c>
      <c r="AX497">
        <v>10</v>
      </c>
      <c r="AY497">
        <v>11</v>
      </c>
      <c r="AZ497">
        <v>18</v>
      </c>
      <c r="BA497">
        <v>16</v>
      </c>
      <c r="BB497">
        <v>6.4</v>
      </c>
      <c r="BC497" t="str" cm="1">
        <f t="array" ref="BC497">_xlfn.IFS((F497/(G497*G497)*10000)&lt; 18.5,"Underweight",(F497/(G497*G497)*10000)&lt;24.9,"Normal",(F497/(G497*G497)*10000)&lt;29.9,"Overweight",(F497/(G497*G497)*10000)&gt;=30,"obesity")</f>
        <v>Overweight</v>
      </c>
      <c r="BD497">
        <f>Table1[[#This Row],[Follicle No. (L)]]+Table1[[#This Row],[Follicle No. (R)]]</f>
        <v>21</v>
      </c>
      <c r="BE497">
        <f>Table1[[#This Row],[Avg. F size (L) (mm)]]+Table1[[#This Row],[Avg. F size (R) (mm)]]</f>
        <v>34</v>
      </c>
      <c r="BF497">
        <f>Table1[[#This Row],[BP _Diastolic (mmHg)]]+(Table1[[#This Row],[BP _Diastolic (mmHg)]]+Table1[[#This Row],[Follicle No. (L)]])/3</f>
        <v>96.666666666666671</v>
      </c>
      <c r="BG497" s="4" t="str" cm="1">
        <f t="array" ref="BG49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497" s="4">
        <f>SUM(Table1[[#This Row],[Pimples(Y/N)]],Table1[[#This Row],[hair growth(Y/N)]],Table1[[#This Row],[Skin darkening (Y/N)]],Table1[[#This Row],[Hair loss(Y/N)]])</f>
        <v>4</v>
      </c>
      <c r="BI497" s="4" t="str">
        <f>IF(AND(Table1[[#This Row],[Pregnant(Y/N)]]=0, Table1[[#This Row],[  I   beta-HCG(mIU/mL)]]&gt;5), "Investigation Required", "Clear")</f>
        <v>Investigation Required</v>
      </c>
    </row>
    <row r="498" spans="1:61" ht="15.75" customHeight="1" x14ac:dyDescent="0.25">
      <c r="A498">
        <v>497</v>
      </c>
      <c r="B498">
        <v>497</v>
      </c>
      <c r="C498">
        <v>0</v>
      </c>
      <c r="D498" t="str">
        <f>IF(Table1[[#This Row],[PCOS (Y/N)]]=0,"NO","YES")</f>
        <v>NO</v>
      </c>
      <c r="E498">
        <v>34</v>
      </c>
      <c r="F498">
        <v>45</v>
      </c>
      <c r="G498">
        <v>150</v>
      </c>
      <c r="H498">
        <v>17</v>
      </c>
      <c r="I498">
        <v>70</v>
      </c>
      <c r="J498">
        <v>18</v>
      </c>
      <c r="K498">
        <v>10.7</v>
      </c>
      <c r="L498">
        <v>2</v>
      </c>
      <c r="M498">
        <v>5</v>
      </c>
      <c r="N498">
        <v>8</v>
      </c>
      <c r="O498">
        <v>0</v>
      </c>
      <c r="P498" t="str">
        <f>IF(Table1[[#This Row],[Pregnant(Y/N)]]=1,"YES","NO")</f>
        <v>NO</v>
      </c>
      <c r="Q498">
        <v>0</v>
      </c>
      <c r="R498">
        <v>336.51</v>
      </c>
      <c r="S498">
        <v>1.99</v>
      </c>
      <c r="T498">
        <v>3.1</v>
      </c>
      <c r="U498">
        <v>3.48</v>
      </c>
      <c r="V498">
        <f>Table1[[#This Row],[FSH(mIU/mL)]]/Table1[[#This Row],[LH(mIU/mL)]]</f>
        <v>0.8908045977011495</v>
      </c>
      <c r="W498" t="str">
        <f>IF(Table1[[#This Row],[FSH/LH]]&gt;=2,"Abnormal","Normal")</f>
        <v>Normal</v>
      </c>
      <c r="X498">
        <v>28</v>
      </c>
      <c r="Y498">
        <v>26</v>
      </c>
      <c r="Z498">
        <f>ROUND(Table1[[#This Row],[Waist(inch)]]/Table1[[#This Row],[Hip(inch)]],2)</f>
        <v>0.93</v>
      </c>
      <c r="AA498">
        <v>2.17</v>
      </c>
      <c r="AB498">
        <v>7.9</v>
      </c>
      <c r="AC498">
        <v>14.08</v>
      </c>
      <c r="AD498">
        <v>27.1</v>
      </c>
      <c r="AE498" t="str">
        <f>IF(Table1[[#This Row],[Vit D3 (ng/mL)]]&lt;20,"Deficiency","Normal")</f>
        <v>Normal</v>
      </c>
      <c r="AF498">
        <v>0.4</v>
      </c>
      <c r="AG498">
        <v>103</v>
      </c>
      <c r="AH498">
        <v>0</v>
      </c>
      <c r="AI498" t="str">
        <f>IF(Table1[[#This Row],[Weight gain(Y/N)]]=0,"NO","YES")</f>
        <v>NO</v>
      </c>
      <c r="AJ498">
        <v>0</v>
      </c>
      <c r="AK498" t="str">
        <f>IF(Table1[[#This Row],[hair growth(Y/N)]]=1,"YES","NO")</f>
        <v>NO</v>
      </c>
      <c r="AL498">
        <v>0</v>
      </c>
      <c r="AM498" t="str">
        <f>IF(Table1[[#This Row],[Skin darkening (Y/N)]]=1,"YES","NO")</f>
        <v>NO</v>
      </c>
      <c r="AN498">
        <v>0</v>
      </c>
      <c r="AO498" t="str">
        <f>IF(Table1[[#This Row],[Hair loss(Y/N)]]=1,"YES","NO")</f>
        <v>NO</v>
      </c>
      <c r="AP498">
        <v>0</v>
      </c>
      <c r="AQ498" t="str">
        <f>IF(Table1[[#This Row],[Pimples(Y/N)]]=1,"YES","NO")</f>
        <v>NO</v>
      </c>
      <c r="AR498">
        <v>0</v>
      </c>
      <c r="AS498" t="str">
        <f>IF(Table1[[#This Row],[Fast food (Y/N)]]=1,"YES","NO")</f>
        <v>NO</v>
      </c>
      <c r="AT498">
        <v>0</v>
      </c>
      <c r="AU498" t="str">
        <f>IF(Table1[[#This Row],[Reg.Exercise(Y/N)]]=1,"YES","NO")</f>
        <v>NO</v>
      </c>
      <c r="AV498">
        <v>110</v>
      </c>
      <c r="AW498">
        <v>80</v>
      </c>
      <c r="AX498">
        <v>5</v>
      </c>
      <c r="AY498">
        <v>4</v>
      </c>
      <c r="AZ498">
        <v>18</v>
      </c>
      <c r="BA498">
        <v>16</v>
      </c>
      <c r="BB498">
        <v>5.4</v>
      </c>
      <c r="BC498" t="str" cm="1">
        <f t="array" ref="BC498">_xlfn.IFS((F498/(G498*G498)*10000)&lt; 18.5,"Underweight",(F498/(G498*G498)*10000)&lt;24.9,"Normal",(F498/(G498*G498)*10000)&lt;29.9,"Overweight",(F498/(G498*G498)*10000)&gt;=30,"obesity")</f>
        <v>Normal</v>
      </c>
      <c r="BD498">
        <f>Table1[[#This Row],[Follicle No. (L)]]+Table1[[#This Row],[Follicle No. (R)]]</f>
        <v>9</v>
      </c>
      <c r="BE498">
        <f>Table1[[#This Row],[Avg. F size (L) (mm)]]+Table1[[#This Row],[Avg. F size (R) (mm)]]</f>
        <v>34</v>
      </c>
      <c r="BF498">
        <f>Table1[[#This Row],[BP _Diastolic (mmHg)]]+(Table1[[#This Row],[BP _Diastolic (mmHg)]]+Table1[[#This Row],[Follicle No. (L)]])/3</f>
        <v>108.33333333333333</v>
      </c>
      <c r="BG498" s="4" t="str" cm="1">
        <f t="array" ref="BG49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498" s="4">
        <f>SUM(Table1[[#This Row],[Pimples(Y/N)]],Table1[[#This Row],[hair growth(Y/N)]],Table1[[#This Row],[Skin darkening (Y/N)]],Table1[[#This Row],[Hair loss(Y/N)]])</f>
        <v>0</v>
      </c>
      <c r="BI498" s="4" t="str">
        <f>IF(AND(Table1[[#This Row],[Pregnant(Y/N)]]=0, Table1[[#This Row],[  I   beta-HCG(mIU/mL)]]&gt;5), "Investigation Required", "Clear")</f>
        <v>Investigation Required</v>
      </c>
    </row>
    <row r="499" spans="1:61" ht="15.75" customHeight="1" x14ac:dyDescent="0.25">
      <c r="A499">
        <v>498</v>
      </c>
      <c r="B499">
        <v>498</v>
      </c>
      <c r="C499">
        <v>0</v>
      </c>
      <c r="D499" t="str">
        <f>IF(Table1[[#This Row],[PCOS (Y/N)]]=0,"NO","YES")</f>
        <v>NO</v>
      </c>
      <c r="E499">
        <v>35</v>
      </c>
      <c r="F499">
        <v>54</v>
      </c>
      <c r="G499">
        <v>140</v>
      </c>
      <c r="H499">
        <v>11</v>
      </c>
      <c r="I499">
        <v>72</v>
      </c>
      <c r="J499">
        <v>20</v>
      </c>
      <c r="K499">
        <v>10.8</v>
      </c>
      <c r="L499">
        <v>2</v>
      </c>
      <c r="M499">
        <v>5</v>
      </c>
      <c r="N499">
        <v>5</v>
      </c>
      <c r="O499">
        <v>1</v>
      </c>
      <c r="P499" t="str">
        <f>IF(Table1[[#This Row],[Pregnant(Y/N)]]=1,"YES","NO")</f>
        <v>YES</v>
      </c>
      <c r="Q499">
        <v>0</v>
      </c>
      <c r="R499">
        <v>5.65</v>
      </c>
      <c r="S499">
        <v>1.99</v>
      </c>
      <c r="T499">
        <v>4.62</v>
      </c>
      <c r="U499">
        <v>1.33</v>
      </c>
      <c r="V499">
        <f>Table1[[#This Row],[FSH(mIU/mL)]]/Table1[[#This Row],[LH(mIU/mL)]]</f>
        <v>3.4736842105263155</v>
      </c>
      <c r="W499" t="str">
        <f>IF(Table1[[#This Row],[FSH/LH]]&gt;=2,"Abnormal","Normal")</f>
        <v>Abnormal</v>
      </c>
      <c r="X499">
        <v>36</v>
      </c>
      <c r="Y499">
        <v>34</v>
      </c>
      <c r="Z499">
        <f>ROUND(Table1[[#This Row],[Waist(inch)]]/Table1[[#This Row],[Hip(inch)]],2)</f>
        <v>0.94</v>
      </c>
      <c r="AA499">
        <v>4.07</v>
      </c>
      <c r="AB499">
        <v>3.1</v>
      </c>
      <c r="AC499">
        <v>27.17</v>
      </c>
      <c r="AD499">
        <v>31.6</v>
      </c>
      <c r="AE499" t="str">
        <f>IF(Table1[[#This Row],[Vit D3 (ng/mL)]]&lt;20,"Deficiency","Normal")</f>
        <v>Normal</v>
      </c>
      <c r="AF499">
        <v>0.38</v>
      </c>
      <c r="AG499">
        <v>112</v>
      </c>
      <c r="AH499">
        <v>0</v>
      </c>
      <c r="AI499" t="str">
        <f>IF(Table1[[#This Row],[Weight gain(Y/N)]]=0,"NO","YES")</f>
        <v>NO</v>
      </c>
      <c r="AJ499">
        <v>0</v>
      </c>
      <c r="AK499" t="str">
        <f>IF(Table1[[#This Row],[hair growth(Y/N)]]=1,"YES","NO")</f>
        <v>NO</v>
      </c>
      <c r="AL499">
        <v>0</v>
      </c>
      <c r="AM499" t="str">
        <f>IF(Table1[[#This Row],[Skin darkening (Y/N)]]=1,"YES","NO")</f>
        <v>NO</v>
      </c>
      <c r="AN499">
        <v>0</v>
      </c>
      <c r="AO499" t="str">
        <f>IF(Table1[[#This Row],[Hair loss(Y/N)]]=1,"YES","NO")</f>
        <v>NO</v>
      </c>
      <c r="AP499">
        <v>1</v>
      </c>
      <c r="AQ499" t="str">
        <f>IF(Table1[[#This Row],[Pimples(Y/N)]]=1,"YES","NO")</f>
        <v>YES</v>
      </c>
      <c r="AR499">
        <v>0</v>
      </c>
      <c r="AS499" t="str">
        <f>IF(Table1[[#This Row],[Fast food (Y/N)]]=1,"YES","NO")</f>
        <v>NO</v>
      </c>
      <c r="AT499">
        <v>0</v>
      </c>
      <c r="AU499" t="str">
        <f>IF(Table1[[#This Row],[Reg.Exercise(Y/N)]]=1,"YES","NO")</f>
        <v>NO</v>
      </c>
      <c r="AV499">
        <v>110</v>
      </c>
      <c r="AW499">
        <v>70</v>
      </c>
      <c r="AX499">
        <v>9</v>
      </c>
      <c r="AY499">
        <v>7</v>
      </c>
      <c r="AZ499">
        <v>20</v>
      </c>
      <c r="BA499">
        <v>16</v>
      </c>
      <c r="BB499">
        <v>6.6</v>
      </c>
      <c r="BC499" t="str" cm="1">
        <f t="array" ref="BC499">_xlfn.IFS((F499/(G499*G499)*10000)&lt; 18.5,"Underweight",(F499/(G499*G499)*10000)&lt;24.9,"Normal",(F499/(G499*G499)*10000)&lt;29.9,"Overweight",(F499/(G499*G499)*10000)&gt;=30,"obesity")</f>
        <v>Overweight</v>
      </c>
      <c r="BD499">
        <f>Table1[[#This Row],[Follicle No. (L)]]+Table1[[#This Row],[Follicle No. (R)]]</f>
        <v>16</v>
      </c>
      <c r="BE499">
        <f>Table1[[#This Row],[Avg. F size (L) (mm)]]+Table1[[#This Row],[Avg. F size (R) (mm)]]</f>
        <v>36</v>
      </c>
      <c r="BF499">
        <f>Table1[[#This Row],[BP _Diastolic (mmHg)]]+(Table1[[#This Row],[BP _Diastolic (mmHg)]]+Table1[[#This Row],[Follicle No. (L)]])/3</f>
        <v>96.333333333333329</v>
      </c>
      <c r="BG499" s="4" t="str" cm="1">
        <f t="array" ref="BG49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499" s="4">
        <f>SUM(Table1[[#This Row],[Pimples(Y/N)]],Table1[[#This Row],[hair growth(Y/N)]],Table1[[#This Row],[Skin darkening (Y/N)]],Table1[[#This Row],[Hair loss(Y/N)]])</f>
        <v>1</v>
      </c>
      <c r="BI499" s="4" t="str">
        <f>IF(AND(Table1[[#This Row],[Pregnant(Y/N)]]=0, Table1[[#This Row],[  I   beta-HCG(mIU/mL)]]&gt;5), "Investigation Required", "Clear")</f>
        <v>Clear</v>
      </c>
    </row>
    <row r="500" spans="1:61" ht="15.75" customHeight="1" x14ac:dyDescent="0.25">
      <c r="A500">
        <v>499</v>
      </c>
      <c r="B500">
        <v>499</v>
      </c>
      <c r="C500">
        <v>0</v>
      </c>
      <c r="D500" t="str">
        <f>IF(Table1[[#This Row],[PCOS (Y/N)]]=0,"NO","YES")</f>
        <v>NO</v>
      </c>
      <c r="E500">
        <v>23</v>
      </c>
      <c r="F500">
        <v>52</v>
      </c>
      <c r="G500">
        <v>148</v>
      </c>
      <c r="H500">
        <v>15</v>
      </c>
      <c r="I500">
        <v>72</v>
      </c>
      <c r="J500">
        <v>20</v>
      </c>
      <c r="K500">
        <v>11</v>
      </c>
      <c r="L500">
        <v>2</v>
      </c>
      <c r="M500">
        <v>5</v>
      </c>
      <c r="N500">
        <v>4</v>
      </c>
      <c r="O500">
        <v>0</v>
      </c>
      <c r="P500" t="str">
        <f>IF(Table1[[#This Row],[Pregnant(Y/N)]]=1,"YES","NO")</f>
        <v>NO</v>
      </c>
      <c r="Q500">
        <v>0</v>
      </c>
      <c r="R500">
        <v>1.99</v>
      </c>
      <c r="S500">
        <v>1.99</v>
      </c>
      <c r="T500">
        <v>7.72</v>
      </c>
      <c r="U500">
        <v>4.0999999999999996</v>
      </c>
      <c r="V500">
        <f>Table1[[#This Row],[FSH(mIU/mL)]]/Table1[[#This Row],[LH(mIU/mL)]]</f>
        <v>1.8829268292682928</v>
      </c>
      <c r="W500" t="str">
        <f>IF(Table1[[#This Row],[FSH/LH]]&gt;=2,"Abnormal","Normal")</f>
        <v>Normal</v>
      </c>
      <c r="X500">
        <v>32</v>
      </c>
      <c r="Y500">
        <v>30</v>
      </c>
      <c r="Z500">
        <f>ROUND(Table1[[#This Row],[Waist(inch)]]/Table1[[#This Row],[Hip(inch)]],2)</f>
        <v>0.94</v>
      </c>
      <c r="AA500">
        <v>5</v>
      </c>
      <c r="AB500">
        <v>5.0999999999999996</v>
      </c>
      <c r="AC500">
        <v>12.6</v>
      </c>
      <c r="AD500">
        <v>25.9</v>
      </c>
      <c r="AE500" t="str">
        <f>IF(Table1[[#This Row],[Vit D3 (ng/mL)]]&lt;20,"Deficiency","Normal")</f>
        <v>Normal</v>
      </c>
      <c r="AF500">
        <v>0.5</v>
      </c>
      <c r="AG500">
        <v>92</v>
      </c>
      <c r="AH500">
        <v>0</v>
      </c>
      <c r="AI500" t="str">
        <f>IF(Table1[[#This Row],[Weight gain(Y/N)]]=0,"NO","YES")</f>
        <v>NO</v>
      </c>
      <c r="AJ500">
        <v>0</v>
      </c>
      <c r="AK500" t="str">
        <f>IF(Table1[[#This Row],[hair growth(Y/N)]]=1,"YES","NO")</f>
        <v>NO</v>
      </c>
      <c r="AL500">
        <v>0</v>
      </c>
      <c r="AM500" t="str">
        <f>IF(Table1[[#This Row],[Skin darkening (Y/N)]]=1,"YES","NO")</f>
        <v>NO</v>
      </c>
      <c r="AN500">
        <v>0</v>
      </c>
      <c r="AO500" t="str">
        <f>IF(Table1[[#This Row],[Hair loss(Y/N)]]=1,"YES","NO")</f>
        <v>NO</v>
      </c>
      <c r="AP500">
        <v>0</v>
      </c>
      <c r="AQ500" t="str">
        <f>IF(Table1[[#This Row],[Pimples(Y/N)]]=1,"YES","NO")</f>
        <v>NO</v>
      </c>
      <c r="AR500">
        <v>0</v>
      </c>
      <c r="AS500" t="str">
        <f>IF(Table1[[#This Row],[Fast food (Y/N)]]=1,"YES","NO")</f>
        <v>NO</v>
      </c>
      <c r="AT500">
        <v>0</v>
      </c>
      <c r="AU500" t="str">
        <f>IF(Table1[[#This Row],[Reg.Exercise(Y/N)]]=1,"YES","NO")</f>
        <v>NO</v>
      </c>
      <c r="AV500">
        <v>120</v>
      </c>
      <c r="AW500">
        <v>80</v>
      </c>
      <c r="AX500">
        <v>1</v>
      </c>
      <c r="AY500">
        <v>1</v>
      </c>
      <c r="AZ500">
        <v>7</v>
      </c>
      <c r="BA500">
        <v>17</v>
      </c>
      <c r="BB500">
        <v>6</v>
      </c>
      <c r="BC500" t="str" cm="1">
        <f t="array" ref="BC500">_xlfn.IFS((F500/(G500*G500)*10000)&lt; 18.5,"Underweight",(F500/(G500*G500)*10000)&lt;24.9,"Normal",(F500/(G500*G500)*10000)&lt;29.9,"Overweight",(F500/(G500*G500)*10000)&gt;=30,"obesity")</f>
        <v>Normal</v>
      </c>
      <c r="BD500">
        <f>Table1[[#This Row],[Follicle No. (L)]]+Table1[[#This Row],[Follicle No. (R)]]</f>
        <v>2</v>
      </c>
      <c r="BE500">
        <f>Table1[[#This Row],[Avg. F size (L) (mm)]]+Table1[[#This Row],[Avg. F size (R) (mm)]]</f>
        <v>24</v>
      </c>
      <c r="BF500">
        <f>Table1[[#This Row],[BP _Diastolic (mmHg)]]+(Table1[[#This Row],[BP _Diastolic (mmHg)]]+Table1[[#This Row],[Follicle No. (L)]])/3</f>
        <v>107</v>
      </c>
      <c r="BG500" s="4" t="str" cm="1">
        <f t="array" ref="BG50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00" s="4">
        <f>SUM(Table1[[#This Row],[Pimples(Y/N)]],Table1[[#This Row],[hair growth(Y/N)]],Table1[[#This Row],[Skin darkening (Y/N)]],Table1[[#This Row],[Hair loss(Y/N)]])</f>
        <v>0</v>
      </c>
      <c r="BI500" s="4" t="str">
        <f>IF(AND(Table1[[#This Row],[Pregnant(Y/N)]]=0, Table1[[#This Row],[  I   beta-HCG(mIU/mL)]]&gt;5), "Investigation Required", "Clear")</f>
        <v>Clear</v>
      </c>
    </row>
    <row r="501" spans="1:61" ht="15.75" customHeight="1" x14ac:dyDescent="0.25">
      <c r="A501">
        <v>500</v>
      </c>
      <c r="B501">
        <v>500</v>
      </c>
      <c r="C501">
        <v>0</v>
      </c>
      <c r="D501" t="str">
        <f>IF(Table1[[#This Row],[PCOS (Y/N)]]=0,"NO","YES")</f>
        <v>NO</v>
      </c>
      <c r="E501">
        <v>28</v>
      </c>
      <c r="F501">
        <v>65</v>
      </c>
      <c r="G501">
        <v>163</v>
      </c>
      <c r="H501">
        <v>14</v>
      </c>
      <c r="I501">
        <v>74</v>
      </c>
      <c r="J501">
        <v>20</v>
      </c>
      <c r="K501">
        <v>10.8</v>
      </c>
      <c r="L501">
        <v>2</v>
      </c>
      <c r="M501">
        <v>5</v>
      </c>
      <c r="N501">
        <v>3</v>
      </c>
      <c r="O501">
        <v>0</v>
      </c>
      <c r="P501" t="str">
        <f>IF(Table1[[#This Row],[Pregnant(Y/N)]]=1,"YES","NO")</f>
        <v>NO</v>
      </c>
      <c r="Q501">
        <v>0</v>
      </c>
      <c r="R501">
        <v>296.57</v>
      </c>
      <c r="S501">
        <v>1.99</v>
      </c>
      <c r="T501">
        <v>6.5</v>
      </c>
      <c r="U501">
        <v>10.5</v>
      </c>
      <c r="V501">
        <f>Table1[[#This Row],[FSH(mIU/mL)]]/Table1[[#This Row],[LH(mIU/mL)]]</f>
        <v>0.61904761904761907</v>
      </c>
      <c r="W501" t="str">
        <f>IF(Table1[[#This Row],[FSH/LH]]&gt;=2,"Abnormal","Normal")</f>
        <v>Normal</v>
      </c>
      <c r="X501">
        <v>32</v>
      </c>
      <c r="Y501">
        <v>31</v>
      </c>
      <c r="Z501">
        <f>ROUND(Table1[[#This Row],[Waist(inch)]]/Table1[[#This Row],[Hip(inch)]],2)</f>
        <v>0.97</v>
      </c>
      <c r="AA501">
        <v>1.83</v>
      </c>
      <c r="AB501">
        <v>11.2</v>
      </c>
      <c r="AC501">
        <v>34.159999999999997</v>
      </c>
      <c r="AD501">
        <v>33</v>
      </c>
      <c r="AE501" t="str">
        <f>IF(Table1[[#This Row],[Vit D3 (ng/mL)]]&lt;20,"Deficiency","Normal")</f>
        <v>Normal</v>
      </c>
      <c r="AF501">
        <v>0.3</v>
      </c>
      <c r="AG501">
        <v>100</v>
      </c>
      <c r="AH501">
        <v>0</v>
      </c>
      <c r="AI501" t="str">
        <f>IF(Table1[[#This Row],[Weight gain(Y/N)]]=0,"NO","YES")</f>
        <v>NO</v>
      </c>
      <c r="AJ501">
        <v>0</v>
      </c>
      <c r="AK501" t="str">
        <f>IF(Table1[[#This Row],[hair growth(Y/N)]]=1,"YES","NO")</f>
        <v>NO</v>
      </c>
      <c r="AL501">
        <v>0</v>
      </c>
      <c r="AM501" t="str">
        <f>IF(Table1[[#This Row],[Skin darkening (Y/N)]]=1,"YES","NO")</f>
        <v>NO</v>
      </c>
      <c r="AN501">
        <v>0</v>
      </c>
      <c r="AO501" t="str">
        <f>IF(Table1[[#This Row],[Hair loss(Y/N)]]=1,"YES","NO")</f>
        <v>NO</v>
      </c>
      <c r="AP501">
        <v>0</v>
      </c>
      <c r="AQ501" t="str">
        <f>IF(Table1[[#This Row],[Pimples(Y/N)]]=1,"YES","NO")</f>
        <v>NO</v>
      </c>
      <c r="AR501">
        <v>0</v>
      </c>
      <c r="AS501" t="str">
        <f>IF(Table1[[#This Row],[Fast food (Y/N)]]=1,"YES","NO")</f>
        <v>NO</v>
      </c>
      <c r="AT501">
        <v>0</v>
      </c>
      <c r="AU501" t="str">
        <f>IF(Table1[[#This Row],[Reg.Exercise(Y/N)]]=1,"YES","NO")</f>
        <v>NO</v>
      </c>
      <c r="AV501">
        <v>120</v>
      </c>
      <c r="AW501">
        <v>80</v>
      </c>
      <c r="AX501">
        <v>8</v>
      </c>
      <c r="AY501">
        <v>7</v>
      </c>
      <c r="AZ501">
        <v>18</v>
      </c>
      <c r="BA501">
        <v>20</v>
      </c>
      <c r="BB501">
        <v>8.8000000000000007</v>
      </c>
      <c r="BC501" t="str" cm="1">
        <f t="array" ref="BC501">_xlfn.IFS((F501/(G501*G501)*10000)&lt; 18.5,"Underweight",(F501/(G501*G501)*10000)&lt;24.9,"Normal",(F501/(G501*G501)*10000)&lt;29.9,"Overweight",(F501/(G501*G501)*10000)&gt;=30,"obesity")</f>
        <v>Normal</v>
      </c>
      <c r="BD501">
        <f>Table1[[#This Row],[Follicle No. (L)]]+Table1[[#This Row],[Follicle No. (R)]]</f>
        <v>15</v>
      </c>
      <c r="BE501">
        <f>Table1[[#This Row],[Avg. F size (L) (mm)]]+Table1[[#This Row],[Avg. F size (R) (mm)]]</f>
        <v>38</v>
      </c>
      <c r="BF501">
        <f>Table1[[#This Row],[BP _Diastolic (mmHg)]]+(Table1[[#This Row],[BP _Diastolic (mmHg)]]+Table1[[#This Row],[Follicle No. (L)]])/3</f>
        <v>109.33333333333333</v>
      </c>
      <c r="BG501" s="4" t="str" cm="1">
        <f t="array" ref="BG50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01" s="4">
        <f>SUM(Table1[[#This Row],[Pimples(Y/N)]],Table1[[#This Row],[hair growth(Y/N)]],Table1[[#This Row],[Skin darkening (Y/N)]],Table1[[#This Row],[Hair loss(Y/N)]])</f>
        <v>0</v>
      </c>
      <c r="BI501" s="4" t="str">
        <f>IF(AND(Table1[[#This Row],[Pregnant(Y/N)]]=0, Table1[[#This Row],[  I   beta-HCG(mIU/mL)]]&gt;5), "Investigation Required", "Clear")</f>
        <v>Investigation Required</v>
      </c>
    </row>
    <row r="502" spans="1:61" ht="15.75" customHeight="1" x14ac:dyDescent="0.25">
      <c r="A502">
        <v>501</v>
      </c>
      <c r="B502">
        <v>501</v>
      </c>
      <c r="C502">
        <v>0</v>
      </c>
      <c r="D502" t="str">
        <f>IF(Table1[[#This Row],[PCOS (Y/N)]]=0,"NO","YES")</f>
        <v>NO</v>
      </c>
      <c r="E502">
        <v>40</v>
      </c>
      <c r="F502">
        <v>59</v>
      </c>
      <c r="G502">
        <v>152</v>
      </c>
      <c r="H502">
        <v>13</v>
      </c>
      <c r="I502">
        <v>72</v>
      </c>
      <c r="J502">
        <v>18</v>
      </c>
      <c r="K502">
        <v>11.5</v>
      </c>
      <c r="L502">
        <v>2</v>
      </c>
      <c r="M502">
        <v>5</v>
      </c>
      <c r="N502">
        <v>10</v>
      </c>
      <c r="O502">
        <v>1</v>
      </c>
      <c r="P502" t="str">
        <f>IF(Table1[[#This Row],[Pregnant(Y/N)]]=1,"YES","NO")</f>
        <v>YES</v>
      </c>
      <c r="Q502">
        <v>1</v>
      </c>
      <c r="R502">
        <v>1.99</v>
      </c>
      <c r="S502">
        <v>1.99</v>
      </c>
      <c r="T502">
        <v>3.87</v>
      </c>
      <c r="U502">
        <v>1.07</v>
      </c>
      <c r="V502">
        <f>Table1[[#This Row],[FSH(mIU/mL)]]/Table1[[#This Row],[LH(mIU/mL)]]</f>
        <v>3.6168224299065419</v>
      </c>
      <c r="W502" t="str">
        <f>IF(Table1[[#This Row],[FSH/LH]]&gt;=2,"Abnormal","Normal")</f>
        <v>Abnormal</v>
      </c>
      <c r="X502">
        <v>44</v>
      </c>
      <c r="Y502">
        <v>42</v>
      </c>
      <c r="Z502">
        <f>ROUND(Table1[[#This Row],[Waist(inch)]]/Table1[[#This Row],[Hip(inch)]],2)</f>
        <v>0.95</v>
      </c>
      <c r="AA502">
        <v>2.92</v>
      </c>
      <c r="AB502">
        <v>1.7</v>
      </c>
      <c r="AC502">
        <v>7.12</v>
      </c>
      <c r="AD502">
        <v>34.200000000000003</v>
      </c>
      <c r="AE502" t="str">
        <f>IF(Table1[[#This Row],[Vit D3 (ng/mL)]]&lt;20,"Deficiency","Normal")</f>
        <v>Normal</v>
      </c>
      <c r="AF502">
        <v>0.49</v>
      </c>
      <c r="AG502">
        <v>120</v>
      </c>
      <c r="AH502">
        <v>1</v>
      </c>
      <c r="AI502" t="str">
        <f>IF(Table1[[#This Row],[Weight gain(Y/N)]]=0,"NO","YES")</f>
        <v>YES</v>
      </c>
      <c r="AJ502">
        <v>1</v>
      </c>
      <c r="AK502" t="str">
        <f>IF(Table1[[#This Row],[hair growth(Y/N)]]=1,"YES","NO")</f>
        <v>YES</v>
      </c>
      <c r="AL502">
        <v>0</v>
      </c>
      <c r="AM502" t="str">
        <f>IF(Table1[[#This Row],[Skin darkening (Y/N)]]=1,"YES","NO")</f>
        <v>NO</v>
      </c>
      <c r="AN502">
        <v>1</v>
      </c>
      <c r="AO502" t="str">
        <f>IF(Table1[[#This Row],[Hair loss(Y/N)]]=1,"YES","NO")</f>
        <v>YES</v>
      </c>
      <c r="AP502">
        <v>0</v>
      </c>
      <c r="AQ502" t="str">
        <f>IF(Table1[[#This Row],[Pimples(Y/N)]]=1,"YES","NO")</f>
        <v>NO</v>
      </c>
      <c r="AR502">
        <v>0</v>
      </c>
      <c r="AS502" t="str">
        <f>IF(Table1[[#This Row],[Fast food (Y/N)]]=1,"YES","NO")</f>
        <v>NO</v>
      </c>
      <c r="AT502">
        <v>0</v>
      </c>
      <c r="AU502" t="str">
        <f>IF(Table1[[#This Row],[Reg.Exercise(Y/N)]]=1,"YES","NO")</f>
        <v>NO</v>
      </c>
      <c r="AV502">
        <v>100</v>
      </c>
      <c r="AW502">
        <v>70</v>
      </c>
      <c r="AX502">
        <v>3</v>
      </c>
      <c r="AY502">
        <v>5</v>
      </c>
      <c r="AZ502">
        <v>17</v>
      </c>
      <c r="BA502">
        <v>18</v>
      </c>
      <c r="BB502">
        <v>14.2</v>
      </c>
      <c r="BC502" t="str" cm="1">
        <f t="array" ref="BC502">_xlfn.IFS((F502/(G502*G502)*10000)&lt; 18.5,"Underweight",(F502/(G502*G502)*10000)&lt;24.9,"Normal",(F502/(G502*G502)*10000)&lt;29.9,"Overweight",(F502/(G502*G502)*10000)&gt;=30,"obesity")</f>
        <v>Overweight</v>
      </c>
      <c r="BD502">
        <f>Table1[[#This Row],[Follicle No. (L)]]+Table1[[#This Row],[Follicle No. (R)]]</f>
        <v>8</v>
      </c>
      <c r="BE502">
        <f>Table1[[#This Row],[Avg. F size (L) (mm)]]+Table1[[#This Row],[Avg. F size (R) (mm)]]</f>
        <v>35</v>
      </c>
      <c r="BF502">
        <f>Table1[[#This Row],[BP _Diastolic (mmHg)]]+(Table1[[#This Row],[BP _Diastolic (mmHg)]]+Table1[[#This Row],[Follicle No. (L)]])/3</f>
        <v>94.333333333333329</v>
      </c>
      <c r="BG502" s="4" t="str" cm="1">
        <f t="array" ref="BG50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02" s="4">
        <f>SUM(Table1[[#This Row],[Pimples(Y/N)]],Table1[[#This Row],[hair growth(Y/N)]],Table1[[#This Row],[Skin darkening (Y/N)]],Table1[[#This Row],[Hair loss(Y/N)]])</f>
        <v>2</v>
      </c>
      <c r="BI502" s="4" t="str">
        <f>IF(AND(Table1[[#This Row],[Pregnant(Y/N)]]=0, Table1[[#This Row],[  I   beta-HCG(mIU/mL)]]&gt;5), "Investigation Required", "Clear")</f>
        <v>Clear</v>
      </c>
    </row>
    <row r="503" spans="1:61" ht="15.75" customHeight="1" x14ac:dyDescent="0.25">
      <c r="A503">
        <v>502</v>
      </c>
      <c r="B503">
        <v>502</v>
      </c>
      <c r="C503">
        <v>0</v>
      </c>
      <c r="D503" t="str">
        <f>IF(Table1[[#This Row],[PCOS (Y/N)]]=0,"NO","YES")</f>
        <v>NO</v>
      </c>
      <c r="E503">
        <v>38</v>
      </c>
      <c r="F503">
        <v>70</v>
      </c>
      <c r="G503">
        <v>164.59200000000001</v>
      </c>
      <c r="H503">
        <v>16</v>
      </c>
      <c r="I503">
        <v>72</v>
      </c>
      <c r="J503">
        <v>18</v>
      </c>
      <c r="K503">
        <v>12.1</v>
      </c>
      <c r="L503">
        <v>2</v>
      </c>
      <c r="M503">
        <v>4</v>
      </c>
      <c r="N503">
        <v>8</v>
      </c>
      <c r="O503">
        <v>0</v>
      </c>
      <c r="P503" t="str">
        <f>IF(Table1[[#This Row],[Pregnant(Y/N)]]=1,"YES","NO")</f>
        <v>NO</v>
      </c>
      <c r="Q503">
        <v>0</v>
      </c>
      <c r="R503">
        <v>1.99</v>
      </c>
      <c r="S503">
        <v>1.99</v>
      </c>
      <c r="T503">
        <v>3.5</v>
      </c>
      <c r="U503">
        <v>0.2</v>
      </c>
      <c r="V503">
        <f>Table1[[#This Row],[FSH(mIU/mL)]]/Table1[[#This Row],[LH(mIU/mL)]]</f>
        <v>17.5</v>
      </c>
      <c r="W503" t="str">
        <f>IF(Table1[[#This Row],[FSH/LH]]&gt;=2,"Abnormal","Normal")</f>
        <v>Abnormal</v>
      </c>
      <c r="X503">
        <v>46</v>
      </c>
      <c r="Y503">
        <v>42</v>
      </c>
      <c r="Z503">
        <f>ROUND(Table1[[#This Row],[Waist(inch)]]/Table1[[#This Row],[Hip(inch)]],2)</f>
        <v>0.91</v>
      </c>
      <c r="AA503">
        <v>3.1</v>
      </c>
      <c r="AB503">
        <v>5.2</v>
      </c>
      <c r="AC503">
        <v>24.68</v>
      </c>
      <c r="AD503">
        <v>32.200000000000003</v>
      </c>
      <c r="AE503" t="str">
        <f>IF(Table1[[#This Row],[Vit D3 (ng/mL)]]&lt;20,"Deficiency","Normal")</f>
        <v>Normal</v>
      </c>
      <c r="AF503">
        <v>0.45</v>
      </c>
      <c r="AG503">
        <v>92</v>
      </c>
      <c r="AH503">
        <v>1</v>
      </c>
      <c r="AI503" t="str">
        <f>IF(Table1[[#This Row],[Weight gain(Y/N)]]=0,"NO","YES")</f>
        <v>YES</v>
      </c>
      <c r="AJ503">
        <v>1</v>
      </c>
      <c r="AK503" t="str">
        <f>IF(Table1[[#This Row],[hair growth(Y/N)]]=1,"YES","NO")</f>
        <v>YES</v>
      </c>
      <c r="AL503">
        <v>0</v>
      </c>
      <c r="AM503" t="str">
        <f>IF(Table1[[#This Row],[Skin darkening (Y/N)]]=1,"YES","NO")</f>
        <v>NO</v>
      </c>
      <c r="AN503">
        <v>0</v>
      </c>
      <c r="AO503" t="str">
        <f>IF(Table1[[#This Row],[Hair loss(Y/N)]]=1,"YES","NO")</f>
        <v>NO</v>
      </c>
      <c r="AP503">
        <v>1</v>
      </c>
      <c r="AQ503" t="str">
        <f>IF(Table1[[#This Row],[Pimples(Y/N)]]=1,"YES","NO")</f>
        <v>YES</v>
      </c>
      <c r="AR503">
        <v>0</v>
      </c>
      <c r="AS503" t="str">
        <f>IF(Table1[[#This Row],[Fast food (Y/N)]]=1,"YES","NO")</f>
        <v>NO</v>
      </c>
      <c r="AT503">
        <v>0</v>
      </c>
      <c r="AU503" t="str">
        <f>IF(Table1[[#This Row],[Reg.Exercise(Y/N)]]=1,"YES","NO")</f>
        <v>NO</v>
      </c>
      <c r="AV503">
        <v>110</v>
      </c>
      <c r="AW503">
        <v>70</v>
      </c>
      <c r="AX503">
        <v>2</v>
      </c>
      <c r="AY503">
        <v>7</v>
      </c>
      <c r="AZ503">
        <v>19</v>
      </c>
      <c r="BA503">
        <v>19</v>
      </c>
      <c r="BB503">
        <v>9</v>
      </c>
      <c r="BC503" t="str" cm="1">
        <f t="array" ref="BC503">_xlfn.IFS((F503/(G503*G503)*10000)&lt; 18.5,"Underweight",(F503/(G503*G503)*10000)&lt;24.9,"Normal",(F503/(G503*G503)*10000)&lt;29.9,"Overweight",(F503/(G503*G503)*10000)&gt;=30,"obesity")</f>
        <v>Overweight</v>
      </c>
      <c r="BD503">
        <f>Table1[[#This Row],[Follicle No. (L)]]+Table1[[#This Row],[Follicle No. (R)]]</f>
        <v>9</v>
      </c>
      <c r="BE503">
        <f>Table1[[#This Row],[Avg. F size (L) (mm)]]+Table1[[#This Row],[Avg. F size (R) (mm)]]</f>
        <v>38</v>
      </c>
      <c r="BF503">
        <f>Table1[[#This Row],[BP _Diastolic (mmHg)]]+(Table1[[#This Row],[BP _Diastolic (mmHg)]]+Table1[[#This Row],[Follicle No. (L)]])/3</f>
        <v>94</v>
      </c>
      <c r="BG503" s="4" t="str" cm="1">
        <f t="array" ref="BG50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03" s="4">
        <f>SUM(Table1[[#This Row],[Pimples(Y/N)]],Table1[[#This Row],[hair growth(Y/N)]],Table1[[#This Row],[Skin darkening (Y/N)]],Table1[[#This Row],[Hair loss(Y/N)]])</f>
        <v>2</v>
      </c>
      <c r="BI503" s="4" t="str">
        <f>IF(AND(Table1[[#This Row],[Pregnant(Y/N)]]=0, Table1[[#This Row],[  I   beta-HCG(mIU/mL)]]&gt;5), "Investigation Required", "Clear")</f>
        <v>Clear</v>
      </c>
    </row>
    <row r="504" spans="1:61" ht="15.75" customHeight="1" x14ac:dyDescent="0.25">
      <c r="A504">
        <v>503</v>
      </c>
      <c r="B504">
        <v>503</v>
      </c>
      <c r="C504">
        <v>0</v>
      </c>
      <c r="D504" t="str">
        <f>IF(Table1[[#This Row],[PCOS (Y/N)]]=0,"NO","YES")</f>
        <v>NO</v>
      </c>
      <c r="E504">
        <v>38</v>
      </c>
      <c r="F504">
        <v>52</v>
      </c>
      <c r="G504">
        <v>150</v>
      </c>
      <c r="H504">
        <v>15</v>
      </c>
      <c r="I504">
        <v>80</v>
      </c>
      <c r="J504">
        <v>20</v>
      </c>
      <c r="K504">
        <v>11</v>
      </c>
      <c r="L504">
        <v>2</v>
      </c>
      <c r="M504">
        <v>5</v>
      </c>
      <c r="N504">
        <v>15</v>
      </c>
      <c r="O504">
        <v>0</v>
      </c>
      <c r="P504" t="str">
        <f>IF(Table1[[#This Row],[Pregnant(Y/N)]]=1,"YES","NO")</f>
        <v>NO</v>
      </c>
      <c r="Q504">
        <v>0</v>
      </c>
      <c r="R504">
        <v>469.55</v>
      </c>
      <c r="S504">
        <v>1.99</v>
      </c>
      <c r="T504">
        <v>6.81</v>
      </c>
      <c r="U504">
        <v>5.75</v>
      </c>
      <c r="V504">
        <f>Table1[[#This Row],[FSH(mIU/mL)]]/Table1[[#This Row],[LH(mIU/mL)]]</f>
        <v>1.1843478260869564</v>
      </c>
      <c r="W504" t="str">
        <f>IF(Table1[[#This Row],[FSH/LH]]&gt;=2,"Abnormal","Normal")</f>
        <v>Normal</v>
      </c>
      <c r="X504">
        <v>36</v>
      </c>
      <c r="Y504">
        <v>35</v>
      </c>
      <c r="Z504">
        <f>ROUND(Table1[[#This Row],[Waist(inch)]]/Table1[[#This Row],[Hip(inch)]],2)</f>
        <v>0.97</v>
      </c>
      <c r="AA504">
        <v>1.22</v>
      </c>
      <c r="AB504">
        <v>2.2000000000000002</v>
      </c>
      <c r="AC504">
        <v>37.56</v>
      </c>
      <c r="AD504">
        <v>25.3</v>
      </c>
      <c r="AE504" t="str">
        <f>IF(Table1[[#This Row],[Vit D3 (ng/mL)]]&lt;20,"Deficiency","Normal")</f>
        <v>Normal</v>
      </c>
      <c r="AF504">
        <v>0.25</v>
      </c>
      <c r="AG504">
        <v>100</v>
      </c>
      <c r="AH504">
        <v>0</v>
      </c>
      <c r="AI504" t="str">
        <f>IF(Table1[[#This Row],[Weight gain(Y/N)]]=0,"NO","YES")</f>
        <v>NO</v>
      </c>
      <c r="AJ504">
        <v>0</v>
      </c>
      <c r="AK504" t="str">
        <f>IF(Table1[[#This Row],[hair growth(Y/N)]]=1,"YES","NO")</f>
        <v>NO</v>
      </c>
      <c r="AL504">
        <v>0</v>
      </c>
      <c r="AM504" t="str">
        <f>IF(Table1[[#This Row],[Skin darkening (Y/N)]]=1,"YES","NO")</f>
        <v>NO</v>
      </c>
      <c r="AN504">
        <v>0</v>
      </c>
      <c r="AO504" t="str">
        <f>IF(Table1[[#This Row],[Hair loss(Y/N)]]=1,"YES","NO")</f>
        <v>NO</v>
      </c>
      <c r="AP504">
        <v>0</v>
      </c>
      <c r="AQ504" t="str">
        <f>IF(Table1[[#This Row],[Pimples(Y/N)]]=1,"YES","NO")</f>
        <v>NO</v>
      </c>
      <c r="AR504">
        <v>0</v>
      </c>
      <c r="AS504" t="str">
        <f>IF(Table1[[#This Row],[Fast food (Y/N)]]=1,"YES","NO")</f>
        <v>NO</v>
      </c>
      <c r="AT504">
        <v>0</v>
      </c>
      <c r="AU504" t="str">
        <f>IF(Table1[[#This Row],[Reg.Exercise(Y/N)]]=1,"YES","NO")</f>
        <v>NO</v>
      </c>
      <c r="AV504">
        <v>120</v>
      </c>
      <c r="AW504">
        <v>80</v>
      </c>
      <c r="AX504">
        <v>3</v>
      </c>
      <c r="AY504">
        <v>1</v>
      </c>
      <c r="AZ504">
        <v>21</v>
      </c>
      <c r="BA504">
        <v>19</v>
      </c>
      <c r="BB504">
        <v>9.3000000000000007</v>
      </c>
      <c r="BC504" t="str" cm="1">
        <f t="array" ref="BC504">_xlfn.IFS((F504/(G504*G504)*10000)&lt; 18.5,"Underweight",(F504/(G504*G504)*10000)&lt;24.9,"Normal",(F504/(G504*G504)*10000)&lt;29.9,"Overweight",(F504/(G504*G504)*10000)&gt;=30,"obesity")</f>
        <v>Normal</v>
      </c>
      <c r="BD504">
        <f>Table1[[#This Row],[Follicle No. (L)]]+Table1[[#This Row],[Follicle No. (R)]]</f>
        <v>4</v>
      </c>
      <c r="BE504">
        <f>Table1[[#This Row],[Avg. F size (L) (mm)]]+Table1[[#This Row],[Avg. F size (R) (mm)]]</f>
        <v>40</v>
      </c>
      <c r="BF504">
        <f>Table1[[#This Row],[BP _Diastolic (mmHg)]]+(Table1[[#This Row],[BP _Diastolic (mmHg)]]+Table1[[#This Row],[Follicle No. (L)]])/3</f>
        <v>107.66666666666667</v>
      </c>
      <c r="BG504" s="4" t="str" cm="1">
        <f t="array" ref="BG50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04" s="4">
        <f>SUM(Table1[[#This Row],[Pimples(Y/N)]],Table1[[#This Row],[hair growth(Y/N)]],Table1[[#This Row],[Skin darkening (Y/N)]],Table1[[#This Row],[Hair loss(Y/N)]])</f>
        <v>0</v>
      </c>
      <c r="BI504" s="4" t="str">
        <f>IF(AND(Table1[[#This Row],[Pregnant(Y/N)]]=0, Table1[[#This Row],[  I   beta-HCG(mIU/mL)]]&gt;5), "Investigation Required", "Clear")</f>
        <v>Investigation Required</v>
      </c>
    </row>
    <row r="505" spans="1:61" ht="15.75" customHeight="1" x14ac:dyDescent="0.25">
      <c r="A505">
        <v>504</v>
      </c>
      <c r="B505">
        <v>504</v>
      </c>
      <c r="C505">
        <v>0</v>
      </c>
      <c r="D505" t="str">
        <f>IF(Table1[[#This Row],[PCOS (Y/N)]]=0,"NO","YES")</f>
        <v>NO</v>
      </c>
      <c r="E505">
        <v>31</v>
      </c>
      <c r="F505">
        <v>52.9</v>
      </c>
      <c r="G505">
        <v>153</v>
      </c>
      <c r="H505">
        <v>16</v>
      </c>
      <c r="I505">
        <v>70</v>
      </c>
      <c r="J505">
        <v>20</v>
      </c>
      <c r="K505">
        <v>11</v>
      </c>
      <c r="L505">
        <v>2</v>
      </c>
      <c r="M505">
        <v>5</v>
      </c>
      <c r="N505">
        <v>9</v>
      </c>
      <c r="O505">
        <v>0</v>
      </c>
      <c r="P505" t="str">
        <f>IF(Table1[[#This Row],[Pregnant(Y/N)]]=1,"YES","NO")</f>
        <v>NO</v>
      </c>
      <c r="Q505">
        <v>0</v>
      </c>
      <c r="R505">
        <v>147.9</v>
      </c>
      <c r="S505">
        <v>1.99</v>
      </c>
      <c r="T505">
        <v>7.16</v>
      </c>
      <c r="U505">
        <v>4.21</v>
      </c>
      <c r="V505">
        <f>Table1[[#This Row],[FSH(mIU/mL)]]/Table1[[#This Row],[LH(mIU/mL)]]</f>
        <v>1.7007125890736343</v>
      </c>
      <c r="W505" t="str">
        <f>IF(Table1[[#This Row],[FSH/LH]]&gt;=2,"Abnormal","Normal")</f>
        <v>Normal</v>
      </c>
      <c r="X505">
        <v>34</v>
      </c>
      <c r="Y505">
        <v>32</v>
      </c>
      <c r="Z505">
        <f>ROUND(Table1[[#This Row],[Waist(inch)]]/Table1[[#This Row],[Hip(inch)]],2)</f>
        <v>0.94</v>
      </c>
      <c r="AA505">
        <v>4.5199999999999996</v>
      </c>
      <c r="AB505">
        <v>1.3</v>
      </c>
      <c r="AC505">
        <v>23.29</v>
      </c>
      <c r="AD505">
        <v>15.1</v>
      </c>
      <c r="AE505" t="str">
        <f>IF(Table1[[#This Row],[Vit D3 (ng/mL)]]&lt;20,"Deficiency","Normal")</f>
        <v>Deficiency</v>
      </c>
      <c r="AF505">
        <v>0.35</v>
      </c>
      <c r="AG505">
        <v>85</v>
      </c>
      <c r="AH505">
        <v>0</v>
      </c>
      <c r="AI505" t="str">
        <f>IF(Table1[[#This Row],[Weight gain(Y/N)]]=0,"NO","YES")</f>
        <v>NO</v>
      </c>
      <c r="AJ505">
        <v>0</v>
      </c>
      <c r="AK505" t="str">
        <f>IF(Table1[[#This Row],[hair growth(Y/N)]]=1,"YES","NO")</f>
        <v>NO</v>
      </c>
      <c r="AL505">
        <v>0</v>
      </c>
      <c r="AM505" t="str">
        <f>IF(Table1[[#This Row],[Skin darkening (Y/N)]]=1,"YES","NO")</f>
        <v>NO</v>
      </c>
      <c r="AN505">
        <v>0</v>
      </c>
      <c r="AO505" t="str">
        <f>IF(Table1[[#This Row],[Hair loss(Y/N)]]=1,"YES","NO")</f>
        <v>NO</v>
      </c>
      <c r="AP505">
        <v>0</v>
      </c>
      <c r="AQ505" t="str">
        <f>IF(Table1[[#This Row],[Pimples(Y/N)]]=1,"YES","NO")</f>
        <v>NO</v>
      </c>
      <c r="AR505">
        <v>0</v>
      </c>
      <c r="AS505" t="str">
        <f>IF(Table1[[#This Row],[Fast food (Y/N)]]=1,"YES","NO")</f>
        <v>NO</v>
      </c>
      <c r="AT505">
        <v>0</v>
      </c>
      <c r="AU505" t="str">
        <f>IF(Table1[[#This Row],[Reg.Exercise(Y/N)]]=1,"YES","NO")</f>
        <v>NO</v>
      </c>
      <c r="AV505">
        <v>120</v>
      </c>
      <c r="AW505">
        <v>80</v>
      </c>
      <c r="AX505">
        <v>3</v>
      </c>
      <c r="AY505">
        <v>3</v>
      </c>
      <c r="AZ505">
        <v>17</v>
      </c>
      <c r="BA505">
        <v>18</v>
      </c>
      <c r="BB505">
        <v>6.8</v>
      </c>
      <c r="BC505" t="str" cm="1">
        <f t="array" ref="BC505">_xlfn.IFS((F505/(G505*G505)*10000)&lt; 18.5,"Underweight",(F505/(G505*G505)*10000)&lt;24.9,"Normal",(F505/(G505*G505)*10000)&lt;29.9,"Overweight",(F505/(G505*G505)*10000)&gt;=30,"obesity")</f>
        <v>Normal</v>
      </c>
      <c r="BD505">
        <f>Table1[[#This Row],[Follicle No. (L)]]+Table1[[#This Row],[Follicle No. (R)]]</f>
        <v>6</v>
      </c>
      <c r="BE505">
        <f>Table1[[#This Row],[Avg. F size (L) (mm)]]+Table1[[#This Row],[Avg. F size (R) (mm)]]</f>
        <v>35</v>
      </c>
      <c r="BF505">
        <f>Table1[[#This Row],[BP _Diastolic (mmHg)]]+(Table1[[#This Row],[BP _Diastolic (mmHg)]]+Table1[[#This Row],[Follicle No. (L)]])/3</f>
        <v>107.66666666666667</v>
      </c>
      <c r="BG505" s="4" t="str" cm="1">
        <f t="array" ref="BG50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05" s="4">
        <f>SUM(Table1[[#This Row],[Pimples(Y/N)]],Table1[[#This Row],[hair growth(Y/N)]],Table1[[#This Row],[Skin darkening (Y/N)]],Table1[[#This Row],[Hair loss(Y/N)]])</f>
        <v>0</v>
      </c>
      <c r="BI505" s="4" t="str">
        <f>IF(AND(Table1[[#This Row],[Pregnant(Y/N)]]=0, Table1[[#This Row],[  I   beta-HCG(mIU/mL)]]&gt;5), "Investigation Required", "Clear")</f>
        <v>Investigation Required</v>
      </c>
    </row>
    <row r="506" spans="1:61" ht="15.75" customHeight="1" x14ac:dyDescent="0.25">
      <c r="A506">
        <v>505</v>
      </c>
      <c r="B506">
        <v>505</v>
      </c>
      <c r="C506">
        <v>0</v>
      </c>
      <c r="D506" t="str">
        <f>IF(Table1[[#This Row],[PCOS (Y/N)]]=0,"NO","YES")</f>
        <v>NO</v>
      </c>
      <c r="E506">
        <v>33</v>
      </c>
      <c r="F506">
        <v>48</v>
      </c>
      <c r="G506">
        <v>162</v>
      </c>
      <c r="H506">
        <v>17</v>
      </c>
      <c r="I506">
        <v>72</v>
      </c>
      <c r="J506">
        <v>18</v>
      </c>
      <c r="K506">
        <v>10.199999999999999</v>
      </c>
      <c r="L506">
        <v>2</v>
      </c>
      <c r="M506">
        <v>5</v>
      </c>
      <c r="N506">
        <v>5</v>
      </c>
      <c r="O506">
        <v>0</v>
      </c>
      <c r="P506" t="str">
        <f>IF(Table1[[#This Row],[Pregnant(Y/N)]]=1,"YES","NO")</f>
        <v>NO</v>
      </c>
      <c r="Q506">
        <v>0</v>
      </c>
      <c r="R506">
        <v>6</v>
      </c>
      <c r="S506">
        <v>10.24</v>
      </c>
      <c r="T506">
        <v>7.05</v>
      </c>
      <c r="U506">
        <v>4.51</v>
      </c>
      <c r="V506">
        <f>Table1[[#This Row],[FSH(mIU/mL)]]/Table1[[#This Row],[LH(mIU/mL)]]</f>
        <v>1.5631929046563193</v>
      </c>
      <c r="W506" t="str">
        <f>IF(Table1[[#This Row],[FSH/LH]]&gt;=2,"Abnormal","Normal")</f>
        <v>Normal</v>
      </c>
      <c r="X506">
        <v>28</v>
      </c>
      <c r="Y506">
        <v>24</v>
      </c>
      <c r="Z506">
        <f>ROUND(Table1[[#This Row],[Waist(inch)]]/Table1[[#This Row],[Hip(inch)]],2)</f>
        <v>0.86</v>
      </c>
      <c r="AA506">
        <v>8.4700000000000006</v>
      </c>
      <c r="AB506">
        <v>12</v>
      </c>
      <c r="AC506">
        <v>22.29</v>
      </c>
      <c r="AD506">
        <v>28.6</v>
      </c>
      <c r="AE506" t="str">
        <f>IF(Table1[[#This Row],[Vit D3 (ng/mL)]]&lt;20,"Deficiency","Normal")</f>
        <v>Normal</v>
      </c>
      <c r="AF506">
        <v>0.22</v>
      </c>
      <c r="AG506">
        <v>100</v>
      </c>
      <c r="AH506">
        <v>0</v>
      </c>
      <c r="AI506" t="str">
        <f>IF(Table1[[#This Row],[Weight gain(Y/N)]]=0,"NO","YES")</f>
        <v>NO</v>
      </c>
      <c r="AJ506">
        <v>0</v>
      </c>
      <c r="AK506" t="str">
        <f>IF(Table1[[#This Row],[hair growth(Y/N)]]=1,"YES","NO")</f>
        <v>NO</v>
      </c>
      <c r="AL506">
        <v>0</v>
      </c>
      <c r="AM506" t="str">
        <f>IF(Table1[[#This Row],[Skin darkening (Y/N)]]=1,"YES","NO")</f>
        <v>NO</v>
      </c>
      <c r="AN506">
        <v>0</v>
      </c>
      <c r="AO506" t="str">
        <f>IF(Table1[[#This Row],[Hair loss(Y/N)]]=1,"YES","NO")</f>
        <v>NO</v>
      </c>
      <c r="AP506">
        <v>0</v>
      </c>
      <c r="AQ506" t="str">
        <f>IF(Table1[[#This Row],[Pimples(Y/N)]]=1,"YES","NO")</f>
        <v>NO</v>
      </c>
      <c r="AR506">
        <v>0</v>
      </c>
      <c r="AS506" t="str">
        <f>IF(Table1[[#This Row],[Fast food (Y/N)]]=1,"YES","NO")</f>
        <v>NO</v>
      </c>
      <c r="AT506">
        <v>0</v>
      </c>
      <c r="AU506" t="str">
        <f>IF(Table1[[#This Row],[Reg.Exercise(Y/N)]]=1,"YES","NO")</f>
        <v>NO</v>
      </c>
      <c r="AV506">
        <v>110</v>
      </c>
      <c r="AW506">
        <v>80</v>
      </c>
      <c r="AX506">
        <v>7</v>
      </c>
      <c r="AY506">
        <v>10</v>
      </c>
      <c r="AZ506">
        <v>18</v>
      </c>
      <c r="BA506">
        <v>16</v>
      </c>
      <c r="BB506">
        <v>10</v>
      </c>
      <c r="BC506" t="str" cm="1">
        <f t="array" ref="BC506">_xlfn.IFS((F506/(G506*G506)*10000)&lt; 18.5,"Underweight",(F506/(G506*G506)*10000)&lt;24.9,"Normal",(F506/(G506*G506)*10000)&lt;29.9,"Overweight",(F506/(G506*G506)*10000)&gt;=30,"obesity")</f>
        <v>Underweight</v>
      </c>
      <c r="BD506">
        <f>Table1[[#This Row],[Follicle No. (L)]]+Table1[[#This Row],[Follicle No. (R)]]</f>
        <v>17</v>
      </c>
      <c r="BE506">
        <f>Table1[[#This Row],[Avg. F size (L) (mm)]]+Table1[[#This Row],[Avg. F size (R) (mm)]]</f>
        <v>34</v>
      </c>
      <c r="BF506">
        <f>Table1[[#This Row],[BP _Diastolic (mmHg)]]+(Table1[[#This Row],[BP _Diastolic (mmHg)]]+Table1[[#This Row],[Follicle No. (L)]])/3</f>
        <v>109</v>
      </c>
      <c r="BG506" s="4" t="str" cm="1">
        <f t="array" ref="BG50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06" s="4">
        <f>SUM(Table1[[#This Row],[Pimples(Y/N)]],Table1[[#This Row],[hair growth(Y/N)]],Table1[[#This Row],[Skin darkening (Y/N)]],Table1[[#This Row],[Hair loss(Y/N)]])</f>
        <v>0</v>
      </c>
      <c r="BI506" s="4" t="str">
        <f>IF(AND(Table1[[#This Row],[Pregnant(Y/N)]]=0, Table1[[#This Row],[  I   beta-HCG(mIU/mL)]]&gt;5), "Investigation Required", "Clear")</f>
        <v>Investigation Required</v>
      </c>
    </row>
    <row r="507" spans="1:61" ht="15.75" customHeight="1" x14ac:dyDescent="0.25">
      <c r="A507">
        <v>506</v>
      </c>
      <c r="B507">
        <v>506</v>
      </c>
      <c r="C507">
        <v>0</v>
      </c>
      <c r="D507" t="str">
        <f>IF(Table1[[#This Row],[PCOS (Y/N)]]=0,"NO","YES")</f>
        <v>NO</v>
      </c>
      <c r="E507">
        <v>35</v>
      </c>
      <c r="F507">
        <v>52</v>
      </c>
      <c r="G507">
        <v>152</v>
      </c>
      <c r="H507">
        <v>13</v>
      </c>
      <c r="I507">
        <v>74</v>
      </c>
      <c r="J507">
        <v>20</v>
      </c>
      <c r="K507">
        <v>11.1</v>
      </c>
      <c r="L507">
        <v>2</v>
      </c>
      <c r="M507">
        <v>4</v>
      </c>
      <c r="N507">
        <v>15</v>
      </c>
      <c r="O507">
        <v>1</v>
      </c>
      <c r="P507" t="str">
        <f>IF(Table1[[#This Row],[Pregnant(Y/N)]]=1,"YES","NO")</f>
        <v>YES</v>
      </c>
      <c r="Q507">
        <v>1</v>
      </c>
      <c r="R507">
        <v>1.99</v>
      </c>
      <c r="S507">
        <v>1.99</v>
      </c>
      <c r="T507">
        <v>2.2000000000000002</v>
      </c>
      <c r="U507">
        <v>0.51</v>
      </c>
      <c r="V507">
        <f>Table1[[#This Row],[FSH(mIU/mL)]]/Table1[[#This Row],[LH(mIU/mL)]]</f>
        <v>4.3137254901960791</v>
      </c>
      <c r="W507" t="str">
        <f>IF(Table1[[#This Row],[FSH/LH]]&gt;=2,"Abnormal","Normal")</f>
        <v>Abnormal</v>
      </c>
      <c r="X507">
        <v>30</v>
      </c>
      <c r="Y507">
        <v>29</v>
      </c>
      <c r="Z507">
        <f>ROUND(Table1[[#This Row],[Waist(inch)]]/Table1[[#This Row],[Hip(inch)]],2)</f>
        <v>0.97</v>
      </c>
      <c r="AA507">
        <v>2.46</v>
      </c>
      <c r="AB507">
        <v>3.3</v>
      </c>
      <c r="AC507">
        <v>40.409999999999997</v>
      </c>
      <c r="AD507">
        <v>24</v>
      </c>
      <c r="AE507" t="str">
        <f>IF(Table1[[#This Row],[Vit D3 (ng/mL)]]&lt;20,"Deficiency","Normal")</f>
        <v>Normal</v>
      </c>
      <c r="AF507">
        <v>0.31</v>
      </c>
      <c r="AG507">
        <v>115</v>
      </c>
      <c r="AH507">
        <v>0</v>
      </c>
      <c r="AI507" t="str">
        <f>IF(Table1[[#This Row],[Weight gain(Y/N)]]=0,"NO","YES")</f>
        <v>NO</v>
      </c>
      <c r="AJ507">
        <v>0</v>
      </c>
      <c r="AK507" t="str">
        <f>IF(Table1[[#This Row],[hair growth(Y/N)]]=1,"YES","NO")</f>
        <v>NO</v>
      </c>
      <c r="AL507">
        <v>0</v>
      </c>
      <c r="AM507" t="str">
        <f>IF(Table1[[#This Row],[Skin darkening (Y/N)]]=1,"YES","NO")</f>
        <v>NO</v>
      </c>
      <c r="AN507">
        <v>0</v>
      </c>
      <c r="AO507" t="str">
        <f>IF(Table1[[#This Row],[Hair loss(Y/N)]]=1,"YES","NO")</f>
        <v>NO</v>
      </c>
      <c r="AP507">
        <v>0</v>
      </c>
      <c r="AQ507" t="str">
        <f>IF(Table1[[#This Row],[Pimples(Y/N)]]=1,"YES","NO")</f>
        <v>NO</v>
      </c>
      <c r="AR507">
        <v>0</v>
      </c>
      <c r="AS507" t="str">
        <f>IF(Table1[[#This Row],[Fast food (Y/N)]]=1,"YES","NO")</f>
        <v>NO</v>
      </c>
      <c r="AT507">
        <v>0</v>
      </c>
      <c r="AU507" t="str">
        <f>IF(Table1[[#This Row],[Reg.Exercise(Y/N)]]=1,"YES","NO")</f>
        <v>NO</v>
      </c>
      <c r="AV507">
        <v>110</v>
      </c>
      <c r="AW507">
        <v>70</v>
      </c>
      <c r="AX507">
        <v>3</v>
      </c>
      <c r="AY507">
        <v>3</v>
      </c>
      <c r="AZ507">
        <v>18</v>
      </c>
      <c r="BA507">
        <v>18</v>
      </c>
      <c r="BB507">
        <v>7</v>
      </c>
      <c r="BC507" t="str" cm="1">
        <f t="array" ref="BC507">_xlfn.IFS((F507/(G507*G507)*10000)&lt; 18.5,"Underweight",(F507/(G507*G507)*10000)&lt;24.9,"Normal",(F507/(G507*G507)*10000)&lt;29.9,"Overweight",(F507/(G507*G507)*10000)&gt;=30,"obesity")</f>
        <v>Normal</v>
      </c>
      <c r="BD507">
        <f>Table1[[#This Row],[Follicle No. (L)]]+Table1[[#This Row],[Follicle No. (R)]]</f>
        <v>6</v>
      </c>
      <c r="BE507">
        <f>Table1[[#This Row],[Avg. F size (L) (mm)]]+Table1[[#This Row],[Avg. F size (R) (mm)]]</f>
        <v>36</v>
      </c>
      <c r="BF507">
        <f>Table1[[#This Row],[BP _Diastolic (mmHg)]]+(Table1[[#This Row],[BP _Diastolic (mmHg)]]+Table1[[#This Row],[Follicle No. (L)]])/3</f>
        <v>94.333333333333329</v>
      </c>
      <c r="BG507" s="4" t="str" cm="1">
        <f t="array" ref="BG50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07" s="4">
        <f>SUM(Table1[[#This Row],[Pimples(Y/N)]],Table1[[#This Row],[hair growth(Y/N)]],Table1[[#This Row],[Skin darkening (Y/N)]],Table1[[#This Row],[Hair loss(Y/N)]])</f>
        <v>0</v>
      </c>
      <c r="BI507" s="4" t="str">
        <f>IF(AND(Table1[[#This Row],[Pregnant(Y/N)]]=0, Table1[[#This Row],[  I   beta-HCG(mIU/mL)]]&gt;5), "Investigation Required", "Clear")</f>
        <v>Clear</v>
      </c>
    </row>
    <row r="508" spans="1:61" ht="15.75" customHeight="1" x14ac:dyDescent="0.25">
      <c r="A508">
        <v>507</v>
      </c>
      <c r="B508">
        <v>507</v>
      </c>
      <c r="C508">
        <v>0</v>
      </c>
      <c r="D508" t="str">
        <f>IF(Table1[[#This Row],[PCOS (Y/N)]]=0,"NO","YES")</f>
        <v>NO</v>
      </c>
      <c r="E508">
        <v>35</v>
      </c>
      <c r="F508">
        <v>42</v>
      </c>
      <c r="G508">
        <v>152.4</v>
      </c>
      <c r="H508">
        <v>11</v>
      </c>
      <c r="I508">
        <v>78</v>
      </c>
      <c r="J508">
        <v>18</v>
      </c>
      <c r="K508">
        <v>10.8</v>
      </c>
      <c r="L508">
        <v>2</v>
      </c>
      <c r="M508">
        <v>5</v>
      </c>
      <c r="N508">
        <v>12</v>
      </c>
      <c r="O508">
        <v>0</v>
      </c>
      <c r="P508" t="str">
        <f>IF(Table1[[#This Row],[Pregnant(Y/N)]]=1,"YES","NO")</f>
        <v>NO</v>
      </c>
      <c r="Q508">
        <v>1</v>
      </c>
      <c r="R508">
        <v>300.52999999999997</v>
      </c>
      <c r="S508">
        <v>1.99</v>
      </c>
      <c r="T508">
        <v>1.68</v>
      </c>
      <c r="U508">
        <v>0.3</v>
      </c>
      <c r="V508">
        <f>Table1[[#This Row],[FSH(mIU/mL)]]/Table1[[#This Row],[LH(mIU/mL)]]</f>
        <v>5.6</v>
      </c>
      <c r="W508" t="str">
        <f>IF(Table1[[#This Row],[FSH/LH]]&gt;=2,"Abnormal","Normal")</f>
        <v>Abnormal</v>
      </c>
      <c r="X508">
        <v>28</v>
      </c>
      <c r="Y508">
        <v>24</v>
      </c>
      <c r="Z508">
        <f>ROUND(Table1[[#This Row],[Waist(inch)]]/Table1[[#This Row],[Hip(inch)]],2)</f>
        <v>0.86</v>
      </c>
      <c r="AA508">
        <v>3.07</v>
      </c>
      <c r="AB508">
        <v>1.7</v>
      </c>
      <c r="AC508">
        <v>32.869999999999997</v>
      </c>
      <c r="AD508">
        <v>15</v>
      </c>
      <c r="AE508" t="str">
        <f>IF(Table1[[#This Row],[Vit D3 (ng/mL)]]&lt;20,"Deficiency","Normal")</f>
        <v>Deficiency</v>
      </c>
      <c r="AF508">
        <v>0.49</v>
      </c>
      <c r="AG508">
        <v>108</v>
      </c>
      <c r="AH508">
        <v>0</v>
      </c>
      <c r="AI508" t="str">
        <f>IF(Table1[[#This Row],[Weight gain(Y/N)]]=0,"NO","YES")</f>
        <v>NO</v>
      </c>
      <c r="AJ508">
        <v>0</v>
      </c>
      <c r="AK508" t="str">
        <f>IF(Table1[[#This Row],[hair growth(Y/N)]]=1,"YES","NO")</f>
        <v>NO</v>
      </c>
      <c r="AL508">
        <v>1</v>
      </c>
      <c r="AM508" t="str">
        <f>IF(Table1[[#This Row],[Skin darkening (Y/N)]]=1,"YES","NO")</f>
        <v>YES</v>
      </c>
      <c r="AN508">
        <v>1</v>
      </c>
      <c r="AO508" t="str">
        <f>IF(Table1[[#This Row],[Hair loss(Y/N)]]=1,"YES","NO")</f>
        <v>YES</v>
      </c>
      <c r="AP508">
        <v>0</v>
      </c>
      <c r="AQ508" t="str">
        <f>IF(Table1[[#This Row],[Pimples(Y/N)]]=1,"YES","NO")</f>
        <v>NO</v>
      </c>
      <c r="AR508">
        <v>0</v>
      </c>
      <c r="AS508" t="str">
        <f>IF(Table1[[#This Row],[Fast food (Y/N)]]=1,"YES","NO")</f>
        <v>NO</v>
      </c>
      <c r="AT508">
        <v>0</v>
      </c>
      <c r="AU508" t="str">
        <f>IF(Table1[[#This Row],[Reg.Exercise(Y/N)]]=1,"YES","NO")</f>
        <v>NO</v>
      </c>
      <c r="AV508">
        <v>120</v>
      </c>
      <c r="AW508">
        <v>80</v>
      </c>
      <c r="AX508">
        <v>3</v>
      </c>
      <c r="AY508">
        <v>10</v>
      </c>
      <c r="AZ508">
        <v>16</v>
      </c>
      <c r="BA508">
        <v>21</v>
      </c>
      <c r="BB508">
        <v>7</v>
      </c>
      <c r="BC508" t="str" cm="1">
        <f t="array" ref="BC508">_xlfn.IFS((F508/(G508*G508)*10000)&lt; 18.5,"Underweight",(F508/(G508*G508)*10000)&lt;24.9,"Normal",(F508/(G508*G508)*10000)&lt;29.9,"Overweight",(F508/(G508*G508)*10000)&gt;=30,"obesity")</f>
        <v>Underweight</v>
      </c>
      <c r="BD508">
        <f>Table1[[#This Row],[Follicle No. (L)]]+Table1[[#This Row],[Follicle No. (R)]]</f>
        <v>13</v>
      </c>
      <c r="BE508">
        <f>Table1[[#This Row],[Avg. F size (L) (mm)]]+Table1[[#This Row],[Avg. F size (R) (mm)]]</f>
        <v>37</v>
      </c>
      <c r="BF508">
        <f>Table1[[#This Row],[BP _Diastolic (mmHg)]]+(Table1[[#This Row],[BP _Diastolic (mmHg)]]+Table1[[#This Row],[Follicle No. (L)]])/3</f>
        <v>107.66666666666667</v>
      </c>
      <c r="BG508" s="4" t="str" cm="1">
        <f t="array" ref="BG50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08" s="4">
        <f>SUM(Table1[[#This Row],[Pimples(Y/N)]],Table1[[#This Row],[hair growth(Y/N)]],Table1[[#This Row],[Skin darkening (Y/N)]],Table1[[#This Row],[Hair loss(Y/N)]])</f>
        <v>2</v>
      </c>
      <c r="BI508" s="4" t="str">
        <f>IF(AND(Table1[[#This Row],[Pregnant(Y/N)]]=0, Table1[[#This Row],[  I   beta-HCG(mIU/mL)]]&gt;5), "Investigation Required", "Clear")</f>
        <v>Investigation Required</v>
      </c>
    </row>
    <row r="509" spans="1:61" ht="15.75" customHeight="1" x14ac:dyDescent="0.25">
      <c r="A509">
        <v>508</v>
      </c>
      <c r="B509">
        <v>508</v>
      </c>
      <c r="C509">
        <v>0</v>
      </c>
      <c r="D509" t="str">
        <f>IF(Table1[[#This Row],[PCOS (Y/N)]]=0,"NO","YES")</f>
        <v>NO</v>
      </c>
      <c r="E509">
        <v>37</v>
      </c>
      <c r="F509">
        <v>62</v>
      </c>
      <c r="G509">
        <v>153</v>
      </c>
      <c r="H509">
        <v>11</v>
      </c>
      <c r="I509">
        <v>74</v>
      </c>
      <c r="J509">
        <v>20</v>
      </c>
      <c r="K509">
        <v>10.7</v>
      </c>
      <c r="L509">
        <v>2</v>
      </c>
      <c r="M509">
        <v>4</v>
      </c>
      <c r="N509">
        <v>13</v>
      </c>
      <c r="O509">
        <v>0</v>
      </c>
      <c r="P509" t="str">
        <f>IF(Table1[[#This Row],[Pregnant(Y/N)]]=1,"YES","NO")</f>
        <v>NO</v>
      </c>
      <c r="Q509">
        <v>0</v>
      </c>
      <c r="R509">
        <v>316.49</v>
      </c>
      <c r="S509">
        <v>1.99</v>
      </c>
      <c r="T509">
        <v>8.06</v>
      </c>
      <c r="U509">
        <v>3.28</v>
      </c>
      <c r="V509">
        <f>Table1[[#This Row],[FSH(mIU/mL)]]/Table1[[#This Row],[LH(mIU/mL)]]</f>
        <v>2.4573170731707319</v>
      </c>
      <c r="W509" t="str">
        <f>IF(Table1[[#This Row],[FSH/LH]]&gt;=2,"Abnormal","Normal")</f>
        <v>Abnormal</v>
      </c>
      <c r="X509">
        <v>44</v>
      </c>
      <c r="Y509">
        <v>43</v>
      </c>
      <c r="Z509">
        <f>ROUND(Table1[[#This Row],[Waist(inch)]]/Table1[[#This Row],[Hip(inch)]],2)</f>
        <v>0.98</v>
      </c>
      <c r="AA509">
        <v>1.74</v>
      </c>
      <c r="AB509">
        <v>0.9</v>
      </c>
      <c r="AC509">
        <v>10.91</v>
      </c>
      <c r="AD509">
        <v>24.3</v>
      </c>
      <c r="AE509" t="str">
        <f>IF(Table1[[#This Row],[Vit D3 (ng/mL)]]&lt;20,"Deficiency","Normal")</f>
        <v>Normal</v>
      </c>
      <c r="AF509">
        <v>0.33</v>
      </c>
      <c r="AG509">
        <v>107</v>
      </c>
      <c r="AH509">
        <v>0</v>
      </c>
      <c r="AI509" t="str">
        <f>IF(Table1[[#This Row],[Weight gain(Y/N)]]=0,"NO","YES")</f>
        <v>NO</v>
      </c>
      <c r="AJ509">
        <v>1</v>
      </c>
      <c r="AK509" t="str">
        <f>IF(Table1[[#This Row],[hair growth(Y/N)]]=1,"YES","NO")</f>
        <v>YES</v>
      </c>
      <c r="AL509">
        <v>0</v>
      </c>
      <c r="AM509" t="str">
        <f>IF(Table1[[#This Row],[Skin darkening (Y/N)]]=1,"YES","NO")</f>
        <v>NO</v>
      </c>
      <c r="AN509">
        <v>1</v>
      </c>
      <c r="AO509" t="str">
        <f>IF(Table1[[#This Row],[Hair loss(Y/N)]]=1,"YES","NO")</f>
        <v>YES</v>
      </c>
      <c r="AP509">
        <v>0</v>
      </c>
      <c r="AQ509" t="str">
        <f>IF(Table1[[#This Row],[Pimples(Y/N)]]=1,"YES","NO")</f>
        <v>NO</v>
      </c>
      <c r="AR509">
        <v>1</v>
      </c>
      <c r="AS509" t="str">
        <f>IF(Table1[[#This Row],[Fast food (Y/N)]]=1,"YES","NO")</f>
        <v>YES</v>
      </c>
      <c r="AT509">
        <v>0</v>
      </c>
      <c r="AU509" t="str">
        <f>IF(Table1[[#This Row],[Reg.Exercise(Y/N)]]=1,"YES","NO")</f>
        <v>NO</v>
      </c>
      <c r="AV509">
        <v>110</v>
      </c>
      <c r="AW509">
        <v>80</v>
      </c>
      <c r="AX509">
        <v>6</v>
      </c>
      <c r="AY509">
        <v>6</v>
      </c>
      <c r="AZ509">
        <v>19</v>
      </c>
      <c r="BA509">
        <v>19</v>
      </c>
      <c r="BB509">
        <v>7.5</v>
      </c>
      <c r="BC509" t="str" cm="1">
        <f t="array" ref="BC509">_xlfn.IFS((F509/(G509*G509)*10000)&lt; 18.5,"Underweight",(F509/(G509*G509)*10000)&lt;24.9,"Normal",(F509/(G509*G509)*10000)&lt;29.9,"Overweight",(F509/(G509*G509)*10000)&gt;=30,"obesity")</f>
        <v>Overweight</v>
      </c>
      <c r="BD509">
        <f>Table1[[#This Row],[Follicle No. (L)]]+Table1[[#This Row],[Follicle No. (R)]]</f>
        <v>12</v>
      </c>
      <c r="BE509">
        <f>Table1[[#This Row],[Avg. F size (L) (mm)]]+Table1[[#This Row],[Avg. F size (R) (mm)]]</f>
        <v>38</v>
      </c>
      <c r="BF509">
        <f>Table1[[#This Row],[BP _Diastolic (mmHg)]]+(Table1[[#This Row],[BP _Diastolic (mmHg)]]+Table1[[#This Row],[Follicle No. (L)]])/3</f>
        <v>108.66666666666667</v>
      </c>
      <c r="BG509" s="4" t="str" cm="1">
        <f t="array" ref="BG50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09" s="4">
        <f>SUM(Table1[[#This Row],[Pimples(Y/N)]],Table1[[#This Row],[hair growth(Y/N)]],Table1[[#This Row],[Skin darkening (Y/N)]],Table1[[#This Row],[Hair loss(Y/N)]])</f>
        <v>2</v>
      </c>
      <c r="BI509" s="4" t="str">
        <f>IF(AND(Table1[[#This Row],[Pregnant(Y/N)]]=0, Table1[[#This Row],[  I   beta-HCG(mIU/mL)]]&gt;5), "Investigation Required", "Clear")</f>
        <v>Investigation Required</v>
      </c>
    </row>
    <row r="510" spans="1:61" ht="15.75" customHeight="1" x14ac:dyDescent="0.25">
      <c r="A510">
        <v>509</v>
      </c>
      <c r="B510">
        <v>509</v>
      </c>
      <c r="C510">
        <v>0</v>
      </c>
      <c r="D510" t="str">
        <f>IF(Table1[[#This Row],[PCOS (Y/N)]]=0,"NO","YES")</f>
        <v>NO</v>
      </c>
      <c r="E510">
        <v>36</v>
      </c>
      <c r="F510">
        <v>54.3</v>
      </c>
      <c r="G510">
        <v>150</v>
      </c>
      <c r="H510">
        <v>11</v>
      </c>
      <c r="I510">
        <v>78</v>
      </c>
      <c r="J510">
        <v>20</v>
      </c>
      <c r="K510">
        <v>10</v>
      </c>
      <c r="L510">
        <v>2</v>
      </c>
      <c r="M510">
        <v>5</v>
      </c>
      <c r="N510">
        <v>12</v>
      </c>
      <c r="O510">
        <v>0</v>
      </c>
      <c r="P510" t="str">
        <f>IF(Table1[[#This Row],[Pregnant(Y/N)]]=1,"YES","NO")</f>
        <v>NO</v>
      </c>
      <c r="Q510">
        <v>0</v>
      </c>
      <c r="R510">
        <v>1.99</v>
      </c>
      <c r="S510">
        <v>1.99</v>
      </c>
      <c r="T510">
        <v>7.4</v>
      </c>
      <c r="U510">
        <v>3.97</v>
      </c>
      <c r="V510">
        <f>Table1[[#This Row],[FSH(mIU/mL)]]/Table1[[#This Row],[LH(mIU/mL)]]</f>
        <v>1.8639798488664987</v>
      </c>
      <c r="W510" t="str">
        <f>IF(Table1[[#This Row],[FSH/LH]]&gt;=2,"Abnormal","Normal")</f>
        <v>Normal</v>
      </c>
      <c r="X510">
        <v>32</v>
      </c>
      <c r="Y510">
        <v>30</v>
      </c>
      <c r="Z510">
        <f>ROUND(Table1[[#This Row],[Waist(inch)]]/Table1[[#This Row],[Hip(inch)]],2)</f>
        <v>0.94</v>
      </c>
      <c r="AA510">
        <v>2.12</v>
      </c>
      <c r="AB510">
        <v>4.9000000000000004</v>
      </c>
      <c r="AC510">
        <v>20.84</v>
      </c>
      <c r="AD510">
        <v>17.899999999999999</v>
      </c>
      <c r="AE510" t="str">
        <f>IF(Table1[[#This Row],[Vit D3 (ng/mL)]]&lt;20,"Deficiency","Normal")</f>
        <v>Deficiency</v>
      </c>
      <c r="AF510">
        <v>0.25</v>
      </c>
      <c r="AG510">
        <v>138</v>
      </c>
      <c r="AH510">
        <v>0</v>
      </c>
      <c r="AI510" t="str">
        <f>IF(Table1[[#This Row],[Weight gain(Y/N)]]=0,"NO","YES")</f>
        <v>NO</v>
      </c>
      <c r="AJ510">
        <v>1</v>
      </c>
      <c r="AK510" t="str">
        <f>IF(Table1[[#This Row],[hair growth(Y/N)]]=1,"YES","NO")</f>
        <v>YES</v>
      </c>
      <c r="AL510">
        <v>0</v>
      </c>
      <c r="AM510" t="str">
        <f>IF(Table1[[#This Row],[Skin darkening (Y/N)]]=1,"YES","NO")</f>
        <v>NO</v>
      </c>
      <c r="AN510">
        <v>0</v>
      </c>
      <c r="AO510" t="str">
        <f>IF(Table1[[#This Row],[Hair loss(Y/N)]]=1,"YES","NO")</f>
        <v>NO</v>
      </c>
      <c r="AP510">
        <v>0</v>
      </c>
      <c r="AQ510" t="str">
        <f>IF(Table1[[#This Row],[Pimples(Y/N)]]=1,"YES","NO")</f>
        <v>NO</v>
      </c>
      <c r="AR510">
        <v>0</v>
      </c>
      <c r="AS510" t="str">
        <f>IF(Table1[[#This Row],[Fast food (Y/N)]]=1,"YES","NO")</f>
        <v>NO</v>
      </c>
      <c r="AT510">
        <v>0</v>
      </c>
      <c r="AU510" t="str">
        <f>IF(Table1[[#This Row],[Reg.Exercise(Y/N)]]=1,"YES","NO")</f>
        <v>NO</v>
      </c>
      <c r="AV510">
        <v>110</v>
      </c>
      <c r="AW510">
        <v>70</v>
      </c>
      <c r="AX510">
        <v>1</v>
      </c>
      <c r="AY510">
        <v>1</v>
      </c>
      <c r="AZ510">
        <v>16</v>
      </c>
      <c r="BA510">
        <v>19</v>
      </c>
      <c r="BB510">
        <v>9.1</v>
      </c>
      <c r="BC510" t="str" cm="1">
        <f t="array" ref="BC510">_xlfn.IFS((F510/(G510*G510)*10000)&lt; 18.5,"Underweight",(F510/(G510*G510)*10000)&lt;24.9,"Normal",(F510/(G510*G510)*10000)&lt;29.9,"Overweight",(F510/(G510*G510)*10000)&gt;=30,"obesity")</f>
        <v>Normal</v>
      </c>
      <c r="BD510">
        <f>Table1[[#This Row],[Follicle No. (L)]]+Table1[[#This Row],[Follicle No. (R)]]</f>
        <v>2</v>
      </c>
      <c r="BE510">
        <f>Table1[[#This Row],[Avg. F size (L) (mm)]]+Table1[[#This Row],[Avg. F size (R) (mm)]]</f>
        <v>35</v>
      </c>
      <c r="BF510">
        <f>Table1[[#This Row],[BP _Diastolic (mmHg)]]+(Table1[[#This Row],[BP _Diastolic (mmHg)]]+Table1[[#This Row],[Follicle No. (L)]])/3</f>
        <v>93.666666666666671</v>
      </c>
      <c r="BG510" s="4" t="str" cm="1">
        <f t="array" ref="BG51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10" s="4">
        <f>SUM(Table1[[#This Row],[Pimples(Y/N)]],Table1[[#This Row],[hair growth(Y/N)]],Table1[[#This Row],[Skin darkening (Y/N)]],Table1[[#This Row],[Hair loss(Y/N)]])</f>
        <v>1</v>
      </c>
      <c r="BI510" s="4" t="str">
        <f>IF(AND(Table1[[#This Row],[Pregnant(Y/N)]]=0, Table1[[#This Row],[  I   beta-HCG(mIU/mL)]]&gt;5), "Investigation Required", "Clear")</f>
        <v>Clear</v>
      </c>
    </row>
    <row r="511" spans="1:61" ht="15.75" customHeight="1" x14ac:dyDescent="0.25">
      <c r="A511">
        <v>510</v>
      </c>
      <c r="B511">
        <v>510</v>
      </c>
      <c r="C511">
        <v>1</v>
      </c>
      <c r="D511" t="str">
        <f>IF(Table1[[#This Row],[PCOS (Y/N)]]=0,"NO","YES")</f>
        <v>YES</v>
      </c>
      <c r="E511">
        <v>46</v>
      </c>
      <c r="F511">
        <v>54</v>
      </c>
      <c r="G511">
        <v>152</v>
      </c>
      <c r="H511">
        <v>13</v>
      </c>
      <c r="I511">
        <v>74</v>
      </c>
      <c r="J511">
        <v>20</v>
      </c>
      <c r="K511">
        <v>14</v>
      </c>
      <c r="L511">
        <v>2</v>
      </c>
      <c r="M511">
        <v>4</v>
      </c>
      <c r="N511">
        <v>16</v>
      </c>
      <c r="O511">
        <v>1</v>
      </c>
      <c r="P511" t="str">
        <f>IF(Table1[[#This Row],[Pregnant(Y/N)]]=1,"YES","NO")</f>
        <v>YES</v>
      </c>
      <c r="Q511">
        <v>1</v>
      </c>
      <c r="R511">
        <v>856.11</v>
      </c>
      <c r="S511">
        <v>1.99</v>
      </c>
      <c r="T511">
        <v>2.85</v>
      </c>
      <c r="U511">
        <v>0.37</v>
      </c>
      <c r="V511">
        <f>Table1[[#This Row],[FSH(mIU/mL)]]/Table1[[#This Row],[LH(mIU/mL)]]</f>
        <v>7.7027027027027026</v>
      </c>
      <c r="W511" t="str">
        <f>IF(Table1[[#This Row],[FSH/LH]]&gt;=2,"Abnormal","Normal")</f>
        <v>Abnormal</v>
      </c>
      <c r="X511">
        <v>30</v>
      </c>
      <c r="Y511">
        <v>28</v>
      </c>
      <c r="Z511">
        <f>ROUND(Table1[[#This Row],[Waist(inch)]]/Table1[[#This Row],[Hip(inch)]],2)</f>
        <v>0.93</v>
      </c>
      <c r="AA511">
        <v>1.1299999999999999</v>
      </c>
      <c r="AB511">
        <v>16.600000000000001</v>
      </c>
      <c r="AC511">
        <v>8.1</v>
      </c>
      <c r="AD511">
        <v>23.7</v>
      </c>
      <c r="AE511" t="str">
        <f>IF(Table1[[#This Row],[Vit D3 (ng/mL)]]&lt;20,"Deficiency","Normal")</f>
        <v>Normal</v>
      </c>
      <c r="AF511">
        <v>0.28999999999999998</v>
      </c>
      <c r="AG511">
        <v>92</v>
      </c>
      <c r="AH511">
        <v>1</v>
      </c>
      <c r="AI511" t="str">
        <f>IF(Table1[[#This Row],[Weight gain(Y/N)]]=0,"NO","YES")</f>
        <v>YES</v>
      </c>
      <c r="AJ511">
        <v>0</v>
      </c>
      <c r="AK511" t="str">
        <f>IF(Table1[[#This Row],[hair growth(Y/N)]]=1,"YES","NO")</f>
        <v>NO</v>
      </c>
      <c r="AL511">
        <v>0</v>
      </c>
      <c r="AM511" t="str">
        <f>IF(Table1[[#This Row],[Skin darkening (Y/N)]]=1,"YES","NO")</f>
        <v>NO</v>
      </c>
      <c r="AN511">
        <v>0</v>
      </c>
      <c r="AO511" t="str">
        <f>IF(Table1[[#This Row],[Hair loss(Y/N)]]=1,"YES","NO")</f>
        <v>NO</v>
      </c>
      <c r="AP511">
        <v>0</v>
      </c>
      <c r="AQ511" t="str">
        <f>IF(Table1[[#This Row],[Pimples(Y/N)]]=1,"YES","NO")</f>
        <v>NO</v>
      </c>
      <c r="AR511">
        <v>1</v>
      </c>
      <c r="AS511" t="str">
        <f>IF(Table1[[#This Row],[Fast food (Y/N)]]=1,"YES","NO")</f>
        <v>YES</v>
      </c>
      <c r="AT511">
        <v>0</v>
      </c>
      <c r="AU511" t="str">
        <f>IF(Table1[[#This Row],[Reg.Exercise(Y/N)]]=1,"YES","NO")</f>
        <v>NO</v>
      </c>
      <c r="AV511">
        <v>120</v>
      </c>
      <c r="AW511">
        <v>70</v>
      </c>
      <c r="AX511">
        <v>20</v>
      </c>
      <c r="AY511">
        <v>18</v>
      </c>
      <c r="AZ511">
        <v>18</v>
      </c>
      <c r="BA511">
        <v>17</v>
      </c>
      <c r="BB511">
        <v>7.8</v>
      </c>
      <c r="BC511" t="str" cm="1">
        <f t="array" ref="BC511">_xlfn.IFS((F511/(G511*G511)*10000)&lt; 18.5,"Underweight",(F511/(G511*G511)*10000)&lt;24.9,"Normal",(F511/(G511*G511)*10000)&lt;29.9,"Overweight",(F511/(G511*G511)*10000)&gt;=30,"obesity")</f>
        <v>Normal</v>
      </c>
      <c r="BD511">
        <f>Table1[[#This Row],[Follicle No. (L)]]+Table1[[#This Row],[Follicle No. (R)]]</f>
        <v>38</v>
      </c>
      <c r="BE511">
        <f>Table1[[#This Row],[Avg. F size (L) (mm)]]+Table1[[#This Row],[Avg. F size (R) (mm)]]</f>
        <v>35</v>
      </c>
      <c r="BF511">
        <f>Table1[[#This Row],[BP _Diastolic (mmHg)]]+(Table1[[#This Row],[BP _Diastolic (mmHg)]]+Table1[[#This Row],[Follicle No. (L)]])/3</f>
        <v>100</v>
      </c>
      <c r="BG511" s="4" t="str" cm="1">
        <f t="array" ref="BG51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1" s="4">
        <f>SUM(Table1[[#This Row],[Pimples(Y/N)]],Table1[[#This Row],[hair growth(Y/N)]],Table1[[#This Row],[Skin darkening (Y/N)]],Table1[[#This Row],[Hair loss(Y/N)]])</f>
        <v>0</v>
      </c>
      <c r="BI511" s="4" t="str">
        <f>IF(AND(Table1[[#This Row],[Pregnant(Y/N)]]=0, Table1[[#This Row],[  I   beta-HCG(mIU/mL)]]&gt;5), "Investigation Required", "Clear")</f>
        <v>Clear</v>
      </c>
    </row>
    <row r="512" spans="1:61" ht="15.75" customHeight="1" x14ac:dyDescent="0.25">
      <c r="A512">
        <v>511</v>
      </c>
      <c r="B512">
        <v>511</v>
      </c>
      <c r="C512">
        <v>0</v>
      </c>
      <c r="D512" t="str">
        <f>IF(Table1[[#This Row],[PCOS (Y/N)]]=0,"NO","YES")</f>
        <v>NO</v>
      </c>
      <c r="E512">
        <v>24</v>
      </c>
      <c r="F512">
        <v>57</v>
      </c>
      <c r="G512">
        <v>158.49600000000001</v>
      </c>
      <c r="H512">
        <v>17</v>
      </c>
      <c r="I512">
        <v>70</v>
      </c>
      <c r="J512">
        <v>20</v>
      </c>
      <c r="K512">
        <v>11.2</v>
      </c>
      <c r="L512">
        <v>2</v>
      </c>
      <c r="M512">
        <v>5</v>
      </c>
      <c r="N512">
        <v>3</v>
      </c>
      <c r="O512">
        <v>0</v>
      </c>
      <c r="P512" t="str">
        <f>IF(Table1[[#This Row],[Pregnant(Y/N)]]=1,"YES","NO")</f>
        <v>NO</v>
      </c>
      <c r="Q512">
        <v>0</v>
      </c>
      <c r="R512">
        <v>1.99</v>
      </c>
      <c r="S512">
        <v>1.99</v>
      </c>
      <c r="T512">
        <v>1.72</v>
      </c>
      <c r="U512">
        <v>0.43</v>
      </c>
      <c r="V512">
        <f>Table1[[#This Row],[FSH(mIU/mL)]]/Table1[[#This Row],[LH(mIU/mL)]]</f>
        <v>4</v>
      </c>
      <c r="W512" t="str">
        <f>IF(Table1[[#This Row],[FSH/LH]]&gt;=2,"Abnormal","Normal")</f>
        <v>Abnormal</v>
      </c>
      <c r="X512">
        <v>32</v>
      </c>
      <c r="Y512">
        <v>30</v>
      </c>
      <c r="Z512">
        <f>ROUND(Table1[[#This Row],[Waist(inch)]]/Table1[[#This Row],[Hip(inch)]],2)</f>
        <v>0.94</v>
      </c>
      <c r="AA512">
        <v>4.0199999999999996</v>
      </c>
      <c r="AB512">
        <v>17.600000000000001</v>
      </c>
      <c r="AC512">
        <v>25.99</v>
      </c>
      <c r="AD512">
        <v>44.8</v>
      </c>
      <c r="AE512" t="str">
        <f>IF(Table1[[#This Row],[Vit D3 (ng/mL)]]&lt;20,"Deficiency","Normal")</f>
        <v>Normal</v>
      </c>
      <c r="AF512">
        <v>0.7</v>
      </c>
      <c r="AG512">
        <v>100</v>
      </c>
      <c r="AH512">
        <v>1</v>
      </c>
      <c r="AI512" t="str">
        <f>IF(Table1[[#This Row],[Weight gain(Y/N)]]=0,"NO","YES")</f>
        <v>YES</v>
      </c>
      <c r="AJ512">
        <v>0</v>
      </c>
      <c r="AK512" t="str">
        <f>IF(Table1[[#This Row],[hair growth(Y/N)]]=1,"YES","NO")</f>
        <v>NO</v>
      </c>
      <c r="AL512">
        <v>0</v>
      </c>
      <c r="AM512" t="str">
        <f>IF(Table1[[#This Row],[Skin darkening (Y/N)]]=1,"YES","NO")</f>
        <v>NO</v>
      </c>
      <c r="AN512">
        <v>0</v>
      </c>
      <c r="AO512" t="str">
        <f>IF(Table1[[#This Row],[Hair loss(Y/N)]]=1,"YES","NO")</f>
        <v>NO</v>
      </c>
      <c r="AP512">
        <v>0</v>
      </c>
      <c r="AQ512" t="str">
        <f>IF(Table1[[#This Row],[Pimples(Y/N)]]=1,"YES","NO")</f>
        <v>NO</v>
      </c>
      <c r="AR512">
        <v>0</v>
      </c>
      <c r="AS512" t="str">
        <f>IF(Table1[[#This Row],[Fast food (Y/N)]]=1,"YES","NO")</f>
        <v>NO</v>
      </c>
      <c r="AT512">
        <v>0</v>
      </c>
      <c r="AU512" t="str">
        <f>IF(Table1[[#This Row],[Reg.Exercise(Y/N)]]=1,"YES","NO")</f>
        <v>NO</v>
      </c>
      <c r="AV512">
        <v>120</v>
      </c>
      <c r="AW512">
        <v>70</v>
      </c>
      <c r="AX512">
        <v>8</v>
      </c>
      <c r="AY512">
        <v>10</v>
      </c>
      <c r="AZ512">
        <v>18</v>
      </c>
      <c r="BA512">
        <v>19</v>
      </c>
      <c r="BB512">
        <v>8.4</v>
      </c>
      <c r="BC512" t="str" cm="1">
        <f t="array" ref="BC512">_xlfn.IFS((F512/(G512*G512)*10000)&lt; 18.5,"Underweight",(F512/(G512*G512)*10000)&lt;24.9,"Normal",(F512/(G512*G512)*10000)&lt;29.9,"Overweight",(F512/(G512*G512)*10000)&gt;=30,"obesity")</f>
        <v>Normal</v>
      </c>
      <c r="BD512">
        <f>Table1[[#This Row],[Follicle No. (L)]]+Table1[[#This Row],[Follicle No. (R)]]</f>
        <v>18</v>
      </c>
      <c r="BE512">
        <f>Table1[[#This Row],[Avg. F size (L) (mm)]]+Table1[[#This Row],[Avg. F size (R) (mm)]]</f>
        <v>37</v>
      </c>
      <c r="BF512">
        <f>Table1[[#This Row],[BP _Diastolic (mmHg)]]+(Table1[[#This Row],[BP _Diastolic (mmHg)]]+Table1[[#This Row],[Follicle No. (L)]])/3</f>
        <v>96</v>
      </c>
      <c r="BG512" s="4" t="str" cm="1">
        <f t="array" ref="BG51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2" s="4">
        <f>SUM(Table1[[#This Row],[Pimples(Y/N)]],Table1[[#This Row],[hair growth(Y/N)]],Table1[[#This Row],[Skin darkening (Y/N)]],Table1[[#This Row],[Hair loss(Y/N)]])</f>
        <v>0</v>
      </c>
      <c r="BI512" s="4" t="str">
        <f>IF(AND(Table1[[#This Row],[Pregnant(Y/N)]]=0, Table1[[#This Row],[  I   beta-HCG(mIU/mL)]]&gt;5), "Investigation Required", "Clear")</f>
        <v>Clear</v>
      </c>
    </row>
    <row r="513" spans="1:61" ht="15.75" customHeight="1" x14ac:dyDescent="0.25">
      <c r="A513">
        <v>512</v>
      </c>
      <c r="B513">
        <v>512</v>
      </c>
      <c r="C513">
        <v>0</v>
      </c>
      <c r="D513" t="str">
        <f>IF(Table1[[#This Row],[PCOS (Y/N)]]=0,"NO","YES")</f>
        <v>NO</v>
      </c>
      <c r="E513">
        <v>44</v>
      </c>
      <c r="F513">
        <v>56</v>
      </c>
      <c r="G513">
        <v>142</v>
      </c>
      <c r="H513">
        <v>13</v>
      </c>
      <c r="I513">
        <v>72</v>
      </c>
      <c r="J513">
        <v>18</v>
      </c>
      <c r="K513">
        <v>11.8</v>
      </c>
      <c r="L513">
        <v>2</v>
      </c>
      <c r="M513">
        <v>5</v>
      </c>
      <c r="N513">
        <v>3</v>
      </c>
      <c r="O513">
        <v>0</v>
      </c>
      <c r="P513" t="str">
        <f>IF(Table1[[#This Row],[Pregnant(Y/N)]]=1,"YES","NO")</f>
        <v>NO</v>
      </c>
      <c r="Q513">
        <v>0</v>
      </c>
      <c r="R513">
        <v>42.61</v>
      </c>
      <c r="S513">
        <v>1.99</v>
      </c>
      <c r="T513">
        <v>2.81</v>
      </c>
      <c r="U513">
        <v>0.15</v>
      </c>
      <c r="V513">
        <f>Table1[[#This Row],[FSH(mIU/mL)]]/Table1[[#This Row],[LH(mIU/mL)]]</f>
        <v>18.733333333333334</v>
      </c>
      <c r="W513" t="str">
        <f>IF(Table1[[#This Row],[FSH/LH]]&gt;=2,"Abnormal","Normal")</f>
        <v>Abnormal</v>
      </c>
      <c r="X513">
        <v>38</v>
      </c>
      <c r="Y513">
        <v>36</v>
      </c>
      <c r="Z513">
        <f>ROUND(Table1[[#This Row],[Waist(inch)]]/Table1[[#This Row],[Hip(inch)]],2)</f>
        <v>0.95</v>
      </c>
      <c r="AA513">
        <v>1.01</v>
      </c>
      <c r="AB513">
        <v>4.5999999999999996</v>
      </c>
      <c r="AC513">
        <v>10.89</v>
      </c>
      <c r="AD513">
        <v>16.899999999999999</v>
      </c>
      <c r="AE513" t="str">
        <f>IF(Table1[[#This Row],[Vit D3 (ng/mL)]]&lt;20,"Deficiency","Normal")</f>
        <v>Deficiency</v>
      </c>
      <c r="AF513">
        <v>0.69</v>
      </c>
      <c r="AG513">
        <v>82</v>
      </c>
      <c r="AH513">
        <v>0</v>
      </c>
      <c r="AI513" t="str">
        <f>IF(Table1[[#This Row],[Weight gain(Y/N)]]=0,"NO","YES")</f>
        <v>NO</v>
      </c>
      <c r="AJ513">
        <v>0</v>
      </c>
      <c r="AK513" t="str">
        <f>IF(Table1[[#This Row],[hair growth(Y/N)]]=1,"YES","NO")</f>
        <v>NO</v>
      </c>
      <c r="AL513">
        <v>0</v>
      </c>
      <c r="AM513" t="str">
        <f>IF(Table1[[#This Row],[Skin darkening (Y/N)]]=1,"YES","NO")</f>
        <v>NO</v>
      </c>
      <c r="AN513">
        <v>0</v>
      </c>
      <c r="AO513" t="str">
        <f>IF(Table1[[#This Row],[Hair loss(Y/N)]]=1,"YES","NO")</f>
        <v>NO</v>
      </c>
      <c r="AP513">
        <v>1</v>
      </c>
      <c r="AQ513" t="str">
        <f>IF(Table1[[#This Row],[Pimples(Y/N)]]=1,"YES","NO")</f>
        <v>YES</v>
      </c>
      <c r="AR513">
        <v>0</v>
      </c>
      <c r="AS513" t="str">
        <f>IF(Table1[[#This Row],[Fast food (Y/N)]]=1,"YES","NO")</f>
        <v>NO</v>
      </c>
      <c r="AT513">
        <v>0</v>
      </c>
      <c r="AU513" t="str">
        <f>IF(Table1[[#This Row],[Reg.Exercise(Y/N)]]=1,"YES","NO")</f>
        <v>NO</v>
      </c>
      <c r="AV513">
        <v>110</v>
      </c>
      <c r="AW513">
        <v>80</v>
      </c>
      <c r="AX513">
        <v>9</v>
      </c>
      <c r="AY513">
        <v>5</v>
      </c>
      <c r="AZ513">
        <v>19</v>
      </c>
      <c r="BA513">
        <v>19</v>
      </c>
      <c r="BB513">
        <v>6</v>
      </c>
      <c r="BC513" t="str" cm="1">
        <f t="array" ref="BC513">_xlfn.IFS((F513/(G513*G513)*10000)&lt; 18.5,"Underweight",(F513/(G513*G513)*10000)&lt;24.9,"Normal",(F513/(G513*G513)*10000)&lt;29.9,"Overweight",(F513/(G513*G513)*10000)&gt;=30,"obesity")</f>
        <v>Overweight</v>
      </c>
      <c r="BD513">
        <f>Table1[[#This Row],[Follicle No. (L)]]+Table1[[#This Row],[Follicle No. (R)]]</f>
        <v>14</v>
      </c>
      <c r="BE513">
        <f>Table1[[#This Row],[Avg. F size (L) (mm)]]+Table1[[#This Row],[Avg. F size (R) (mm)]]</f>
        <v>38</v>
      </c>
      <c r="BF513">
        <f>Table1[[#This Row],[BP _Diastolic (mmHg)]]+(Table1[[#This Row],[BP _Diastolic (mmHg)]]+Table1[[#This Row],[Follicle No. (L)]])/3</f>
        <v>109.66666666666667</v>
      </c>
      <c r="BG513" s="4" t="str" cm="1">
        <f t="array" ref="BG51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3" s="4">
        <f>SUM(Table1[[#This Row],[Pimples(Y/N)]],Table1[[#This Row],[hair growth(Y/N)]],Table1[[#This Row],[Skin darkening (Y/N)]],Table1[[#This Row],[Hair loss(Y/N)]])</f>
        <v>1</v>
      </c>
      <c r="BI513" s="4" t="str">
        <f>IF(AND(Table1[[#This Row],[Pregnant(Y/N)]]=0, Table1[[#This Row],[  I   beta-HCG(mIU/mL)]]&gt;5), "Investigation Required", "Clear")</f>
        <v>Investigation Required</v>
      </c>
    </row>
    <row r="514" spans="1:61" ht="15.75" customHeight="1" x14ac:dyDescent="0.25">
      <c r="A514">
        <v>513</v>
      </c>
      <c r="B514">
        <v>513</v>
      </c>
      <c r="C514">
        <v>1</v>
      </c>
      <c r="D514" t="str">
        <f>IF(Table1[[#This Row],[PCOS (Y/N)]]=0,"NO","YES")</f>
        <v>YES</v>
      </c>
      <c r="E514">
        <v>23</v>
      </c>
      <c r="F514">
        <v>72</v>
      </c>
      <c r="G514">
        <v>165</v>
      </c>
      <c r="H514">
        <v>13</v>
      </c>
      <c r="I514">
        <v>72</v>
      </c>
      <c r="J514">
        <v>18</v>
      </c>
      <c r="K514">
        <v>10.6</v>
      </c>
      <c r="L514">
        <v>5</v>
      </c>
      <c r="M514">
        <v>7</v>
      </c>
      <c r="N514">
        <v>5</v>
      </c>
      <c r="O514">
        <v>0</v>
      </c>
      <c r="P514" t="str">
        <f>IF(Table1[[#This Row],[Pregnant(Y/N)]]=1,"YES","NO")</f>
        <v>NO</v>
      </c>
      <c r="Q514">
        <v>0</v>
      </c>
      <c r="R514">
        <v>121.05</v>
      </c>
      <c r="S514">
        <v>1.99</v>
      </c>
      <c r="T514">
        <v>2.13</v>
      </c>
      <c r="U514">
        <v>0.56999999999999995</v>
      </c>
      <c r="V514">
        <f>Table1[[#This Row],[FSH(mIU/mL)]]/Table1[[#This Row],[LH(mIU/mL)]]</f>
        <v>3.736842105263158</v>
      </c>
      <c r="W514" t="str">
        <f>IF(Table1[[#This Row],[FSH/LH]]&gt;=2,"Abnormal","Normal")</f>
        <v>Abnormal</v>
      </c>
      <c r="X514">
        <v>42</v>
      </c>
      <c r="Y514">
        <v>40</v>
      </c>
      <c r="Z514">
        <f>ROUND(Table1[[#This Row],[Waist(inch)]]/Table1[[#This Row],[Hip(inch)]],2)</f>
        <v>0.95</v>
      </c>
      <c r="AA514">
        <v>1</v>
      </c>
      <c r="AB514">
        <v>5.5</v>
      </c>
      <c r="AC514">
        <v>16.329999999999998</v>
      </c>
      <c r="AD514">
        <v>17</v>
      </c>
      <c r="AE514" t="str">
        <f>IF(Table1[[#This Row],[Vit D3 (ng/mL)]]&lt;20,"Deficiency","Normal")</f>
        <v>Deficiency</v>
      </c>
      <c r="AF514">
        <v>0.25</v>
      </c>
      <c r="AG514">
        <v>92</v>
      </c>
      <c r="AH514">
        <v>0</v>
      </c>
      <c r="AI514" t="str">
        <f>IF(Table1[[#This Row],[Weight gain(Y/N)]]=0,"NO","YES")</f>
        <v>NO</v>
      </c>
      <c r="AJ514">
        <v>1</v>
      </c>
      <c r="AK514" t="str">
        <f>IF(Table1[[#This Row],[hair growth(Y/N)]]=1,"YES","NO")</f>
        <v>YES</v>
      </c>
      <c r="AL514">
        <v>1</v>
      </c>
      <c r="AM514" t="str">
        <f>IF(Table1[[#This Row],[Skin darkening (Y/N)]]=1,"YES","NO")</f>
        <v>YES</v>
      </c>
      <c r="AN514">
        <v>0</v>
      </c>
      <c r="AO514" t="str">
        <f>IF(Table1[[#This Row],[Hair loss(Y/N)]]=1,"YES","NO")</f>
        <v>NO</v>
      </c>
      <c r="AP514">
        <v>0</v>
      </c>
      <c r="AQ514" t="str">
        <f>IF(Table1[[#This Row],[Pimples(Y/N)]]=1,"YES","NO")</f>
        <v>NO</v>
      </c>
      <c r="AR514">
        <v>1</v>
      </c>
      <c r="AS514" t="str">
        <f>IF(Table1[[#This Row],[Fast food (Y/N)]]=1,"YES","NO")</f>
        <v>YES</v>
      </c>
      <c r="AT514">
        <v>0</v>
      </c>
      <c r="AU514" t="str">
        <f>IF(Table1[[#This Row],[Reg.Exercise(Y/N)]]=1,"YES","NO")</f>
        <v>NO</v>
      </c>
      <c r="AV514">
        <v>120</v>
      </c>
      <c r="AW514">
        <v>70</v>
      </c>
      <c r="AX514">
        <v>8</v>
      </c>
      <c r="AY514">
        <v>10</v>
      </c>
      <c r="AZ514">
        <v>16</v>
      </c>
      <c r="BA514">
        <v>18</v>
      </c>
      <c r="BB514">
        <v>9.3000000000000007</v>
      </c>
      <c r="BC514" t="str" cm="1">
        <f t="array" ref="BC514">_xlfn.IFS((F514/(G514*G514)*10000)&lt; 18.5,"Underweight",(F514/(G514*G514)*10000)&lt;24.9,"Normal",(F514/(G514*G514)*10000)&lt;29.9,"Overweight",(F514/(G514*G514)*10000)&gt;=30,"obesity")</f>
        <v>Overweight</v>
      </c>
      <c r="BD514">
        <f>Table1[[#This Row],[Follicle No. (L)]]+Table1[[#This Row],[Follicle No. (R)]]</f>
        <v>18</v>
      </c>
      <c r="BE514">
        <f>Table1[[#This Row],[Avg. F size (L) (mm)]]+Table1[[#This Row],[Avg. F size (R) (mm)]]</f>
        <v>34</v>
      </c>
      <c r="BF514">
        <f>Table1[[#This Row],[BP _Diastolic (mmHg)]]+(Table1[[#This Row],[BP _Diastolic (mmHg)]]+Table1[[#This Row],[Follicle No. (L)]])/3</f>
        <v>96</v>
      </c>
      <c r="BG514" s="4" t="str" cm="1">
        <f t="array" ref="BG51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4" s="4">
        <f>SUM(Table1[[#This Row],[Pimples(Y/N)]],Table1[[#This Row],[hair growth(Y/N)]],Table1[[#This Row],[Skin darkening (Y/N)]],Table1[[#This Row],[Hair loss(Y/N)]])</f>
        <v>2</v>
      </c>
      <c r="BI514" s="4" t="str">
        <f>IF(AND(Table1[[#This Row],[Pregnant(Y/N)]]=0, Table1[[#This Row],[  I   beta-HCG(mIU/mL)]]&gt;5), "Investigation Required", "Clear")</f>
        <v>Investigation Required</v>
      </c>
    </row>
    <row r="515" spans="1:61" ht="15.75" customHeight="1" x14ac:dyDescent="0.25">
      <c r="A515">
        <v>514</v>
      </c>
      <c r="B515">
        <v>514</v>
      </c>
      <c r="C515">
        <v>0</v>
      </c>
      <c r="D515" t="str">
        <f>IF(Table1[[#This Row],[PCOS (Y/N)]]=0,"NO","YES")</f>
        <v>NO</v>
      </c>
      <c r="E515">
        <v>21</v>
      </c>
      <c r="F515">
        <v>55</v>
      </c>
      <c r="G515">
        <v>158.49600000000001</v>
      </c>
      <c r="H515">
        <v>16</v>
      </c>
      <c r="I515">
        <v>72</v>
      </c>
      <c r="J515">
        <v>18</v>
      </c>
      <c r="K515">
        <v>11.5</v>
      </c>
      <c r="L515">
        <v>2</v>
      </c>
      <c r="M515">
        <v>5</v>
      </c>
      <c r="N515">
        <v>3</v>
      </c>
      <c r="O515">
        <v>0</v>
      </c>
      <c r="P515" t="str">
        <f>IF(Table1[[#This Row],[Pregnant(Y/N)]]=1,"YES","NO")</f>
        <v>NO</v>
      </c>
      <c r="Q515">
        <v>0</v>
      </c>
      <c r="R515">
        <v>1.99</v>
      </c>
      <c r="S515">
        <v>1.99</v>
      </c>
      <c r="T515">
        <v>8.5500000000000007</v>
      </c>
      <c r="U515">
        <v>2.5299999999999998</v>
      </c>
      <c r="V515">
        <f>Table1[[#This Row],[FSH(mIU/mL)]]/Table1[[#This Row],[LH(mIU/mL)]]</f>
        <v>3.379446640316206</v>
      </c>
      <c r="W515" t="str">
        <f>IF(Table1[[#This Row],[FSH/LH]]&gt;=2,"Abnormal","Normal")</f>
        <v>Abnormal</v>
      </c>
      <c r="X515">
        <v>40</v>
      </c>
      <c r="Y515">
        <v>38</v>
      </c>
      <c r="Z515">
        <f>ROUND(Table1[[#This Row],[Waist(inch)]]/Table1[[#This Row],[Hip(inch)]],2)</f>
        <v>0.95</v>
      </c>
      <c r="AA515">
        <v>1.79</v>
      </c>
      <c r="AB515">
        <v>2.2000000000000002</v>
      </c>
      <c r="AC515">
        <v>17.23</v>
      </c>
      <c r="AD515">
        <v>13.8</v>
      </c>
      <c r="AE515" t="str">
        <f>IF(Table1[[#This Row],[Vit D3 (ng/mL)]]&lt;20,"Deficiency","Normal")</f>
        <v>Deficiency</v>
      </c>
      <c r="AF515">
        <v>0.23</v>
      </c>
      <c r="AG515">
        <v>100</v>
      </c>
      <c r="AH515">
        <v>0</v>
      </c>
      <c r="AI515" t="str">
        <f>IF(Table1[[#This Row],[Weight gain(Y/N)]]=0,"NO","YES")</f>
        <v>NO</v>
      </c>
      <c r="AJ515">
        <v>0</v>
      </c>
      <c r="AK515" t="str">
        <f>IF(Table1[[#This Row],[hair growth(Y/N)]]=1,"YES","NO")</f>
        <v>NO</v>
      </c>
      <c r="AL515">
        <v>0</v>
      </c>
      <c r="AM515" t="str">
        <f>IF(Table1[[#This Row],[Skin darkening (Y/N)]]=1,"YES","NO")</f>
        <v>NO</v>
      </c>
      <c r="AN515">
        <v>0</v>
      </c>
      <c r="AO515" t="str">
        <f>IF(Table1[[#This Row],[Hair loss(Y/N)]]=1,"YES","NO")</f>
        <v>NO</v>
      </c>
      <c r="AP515">
        <v>0</v>
      </c>
      <c r="AQ515" t="str">
        <f>IF(Table1[[#This Row],[Pimples(Y/N)]]=1,"YES","NO")</f>
        <v>NO</v>
      </c>
      <c r="AR515">
        <v>0</v>
      </c>
      <c r="AS515" t="str">
        <f>IF(Table1[[#This Row],[Fast food (Y/N)]]=1,"YES","NO")</f>
        <v>NO</v>
      </c>
      <c r="AT515">
        <v>0</v>
      </c>
      <c r="AU515" t="str">
        <f>IF(Table1[[#This Row],[Reg.Exercise(Y/N)]]=1,"YES","NO")</f>
        <v>NO</v>
      </c>
      <c r="AV515">
        <v>120</v>
      </c>
      <c r="AW515">
        <v>80</v>
      </c>
      <c r="AX515">
        <v>1</v>
      </c>
      <c r="AY515">
        <v>3</v>
      </c>
      <c r="AZ515">
        <v>7</v>
      </c>
      <c r="BA515">
        <v>19</v>
      </c>
      <c r="BB515">
        <v>8.5</v>
      </c>
      <c r="BC515" t="str" cm="1">
        <f t="array" ref="BC515">_xlfn.IFS((F515/(G515*G515)*10000)&lt; 18.5,"Underweight",(F515/(G515*G515)*10000)&lt;24.9,"Normal",(F515/(G515*G515)*10000)&lt;29.9,"Overweight",(F515/(G515*G515)*10000)&gt;=30,"obesity")</f>
        <v>Normal</v>
      </c>
      <c r="BD515">
        <f>Table1[[#This Row],[Follicle No. (L)]]+Table1[[#This Row],[Follicle No. (R)]]</f>
        <v>4</v>
      </c>
      <c r="BE515">
        <f>Table1[[#This Row],[Avg. F size (L) (mm)]]+Table1[[#This Row],[Avg. F size (R) (mm)]]</f>
        <v>26</v>
      </c>
      <c r="BF515">
        <f>Table1[[#This Row],[BP _Diastolic (mmHg)]]+(Table1[[#This Row],[BP _Diastolic (mmHg)]]+Table1[[#This Row],[Follicle No. (L)]])/3</f>
        <v>107</v>
      </c>
      <c r="BG515" s="4" t="str" cm="1">
        <f t="array" ref="BG51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15" s="4">
        <f>SUM(Table1[[#This Row],[Pimples(Y/N)]],Table1[[#This Row],[hair growth(Y/N)]],Table1[[#This Row],[Skin darkening (Y/N)]],Table1[[#This Row],[Hair loss(Y/N)]])</f>
        <v>0</v>
      </c>
      <c r="BI515" s="4" t="str">
        <f>IF(AND(Table1[[#This Row],[Pregnant(Y/N)]]=0, Table1[[#This Row],[  I   beta-HCG(mIU/mL)]]&gt;5), "Investigation Required", "Clear")</f>
        <v>Clear</v>
      </c>
    </row>
    <row r="516" spans="1:61" ht="15.75" customHeight="1" x14ac:dyDescent="0.25">
      <c r="A516">
        <v>515</v>
      </c>
      <c r="B516">
        <v>515</v>
      </c>
      <c r="C516">
        <v>0</v>
      </c>
      <c r="D516" t="str">
        <f>IF(Table1[[#This Row],[PCOS (Y/N)]]=0,"NO","YES")</f>
        <v>NO</v>
      </c>
      <c r="E516">
        <v>32</v>
      </c>
      <c r="F516">
        <v>65</v>
      </c>
      <c r="G516">
        <v>170.68799999999999</v>
      </c>
      <c r="H516">
        <v>16</v>
      </c>
      <c r="I516">
        <v>72</v>
      </c>
      <c r="J516">
        <v>18</v>
      </c>
      <c r="K516">
        <v>10.5</v>
      </c>
      <c r="L516">
        <v>2</v>
      </c>
      <c r="M516">
        <v>5</v>
      </c>
      <c r="N516">
        <v>6</v>
      </c>
      <c r="O516">
        <v>0</v>
      </c>
      <c r="P516" t="str">
        <f>IF(Table1[[#This Row],[Pregnant(Y/N)]]=1,"YES","NO")</f>
        <v>NO</v>
      </c>
      <c r="Q516">
        <v>0</v>
      </c>
      <c r="R516">
        <v>171.85</v>
      </c>
      <c r="S516">
        <v>1.99</v>
      </c>
      <c r="T516">
        <v>7.45</v>
      </c>
      <c r="U516">
        <v>2.86</v>
      </c>
      <c r="V516">
        <f>Table1[[#This Row],[FSH(mIU/mL)]]/Table1[[#This Row],[LH(mIU/mL)]]</f>
        <v>2.604895104895105</v>
      </c>
      <c r="W516" t="str">
        <f>IF(Table1[[#This Row],[FSH/LH]]&gt;=2,"Abnormal","Normal")</f>
        <v>Abnormal</v>
      </c>
      <c r="X516">
        <v>38</v>
      </c>
      <c r="Y516">
        <v>36</v>
      </c>
      <c r="Z516">
        <f>ROUND(Table1[[#This Row],[Waist(inch)]]/Table1[[#This Row],[Hip(inch)]],2)</f>
        <v>0.95</v>
      </c>
      <c r="AA516">
        <v>2.97</v>
      </c>
      <c r="AB516">
        <v>18.899999999999999</v>
      </c>
      <c r="AC516">
        <v>21.04</v>
      </c>
      <c r="AD516">
        <v>30</v>
      </c>
      <c r="AE516" t="str">
        <f>IF(Table1[[#This Row],[Vit D3 (ng/mL)]]&lt;20,"Deficiency","Normal")</f>
        <v>Normal</v>
      </c>
      <c r="AF516">
        <v>0.49</v>
      </c>
      <c r="AG516">
        <v>100</v>
      </c>
      <c r="AH516">
        <v>0</v>
      </c>
      <c r="AI516" t="str">
        <f>IF(Table1[[#This Row],[Weight gain(Y/N)]]=0,"NO","YES")</f>
        <v>NO</v>
      </c>
      <c r="AJ516">
        <v>0</v>
      </c>
      <c r="AK516" t="str">
        <f>IF(Table1[[#This Row],[hair growth(Y/N)]]=1,"YES","NO")</f>
        <v>NO</v>
      </c>
      <c r="AL516">
        <v>0</v>
      </c>
      <c r="AM516" t="str">
        <f>IF(Table1[[#This Row],[Skin darkening (Y/N)]]=1,"YES","NO")</f>
        <v>NO</v>
      </c>
      <c r="AN516">
        <v>0</v>
      </c>
      <c r="AO516" t="str">
        <f>IF(Table1[[#This Row],[Hair loss(Y/N)]]=1,"YES","NO")</f>
        <v>NO</v>
      </c>
      <c r="AP516">
        <v>0</v>
      </c>
      <c r="AQ516" t="str">
        <f>IF(Table1[[#This Row],[Pimples(Y/N)]]=1,"YES","NO")</f>
        <v>NO</v>
      </c>
      <c r="AR516">
        <v>1</v>
      </c>
      <c r="AS516" t="str">
        <f>IF(Table1[[#This Row],[Fast food (Y/N)]]=1,"YES","NO")</f>
        <v>YES</v>
      </c>
      <c r="AT516">
        <v>0</v>
      </c>
      <c r="AU516" t="str">
        <f>IF(Table1[[#This Row],[Reg.Exercise(Y/N)]]=1,"YES","NO")</f>
        <v>NO</v>
      </c>
      <c r="AV516">
        <v>110</v>
      </c>
      <c r="AW516">
        <v>70</v>
      </c>
      <c r="AX516">
        <v>9</v>
      </c>
      <c r="AY516">
        <v>7</v>
      </c>
      <c r="AZ516">
        <v>18</v>
      </c>
      <c r="BA516">
        <v>18</v>
      </c>
      <c r="BB516">
        <v>9</v>
      </c>
      <c r="BC516" t="str" cm="1">
        <f t="array" ref="BC516">_xlfn.IFS((F516/(G516*G516)*10000)&lt; 18.5,"Underweight",(F516/(G516*G516)*10000)&lt;24.9,"Normal",(F516/(G516*G516)*10000)&lt;29.9,"Overweight",(F516/(G516*G516)*10000)&gt;=30,"obesity")</f>
        <v>Normal</v>
      </c>
      <c r="BD516">
        <f>Table1[[#This Row],[Follicle No. (L)]]+Table1[[#This Row],[Follicle No. (R)]]</f>
        <v>16</v>
      </c>
      <c r="BE516">
        <f>Table1[[#This Row],[Avg. F size (L) (mm)]]+Table1[[#This Row],[Avg. F size (R) (mm)]]</f>
        <v>36</v>
      </c>
      <c r="BF516">
        <f>Table1[[#This Row],[BP _Diastolic (mmHg)]]+(Table1[[#This Row],[BP _Diastolic (mmHg)]]+Table1[[#This Row],[Follicle No. (L)]])/3</f>
        <v>96.333333333333329</v>
      </c>
      <c r="BG516" s="4" t="str" cm="1">
        <f t="array" ref="BG51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6" s="4">
        <f>SUM(Table1[[#This Row],[Pimples(Y/N)]],Table1[[#This Row],[hair growth(Y/N)]],Table1[[#This Row],[Skin darkening (Y/N)]],Table1[[#This Row],[Hair loss(Y/N)]])</f>
        <v>0</v>
      </c>
      <c r="BI516" s="4" t="str">
        <f>IF(AND(Table1[[#This Row],[Pregnant(Y/N)]]=0, Table1[[#This Row],[  I   beta-HCG(mIU/mL)]]&gt;5), "Investigation Required", "Clear")</f>
        <v>Investigation Required</v>
      </c>
    </row>
    <row r="517" spans="1:61" ht="15.75" customHeight="1" x14ac:dyDescent="0.25">
      <c r="A517">
        <v>516</v>
      </c>
      <c r="B517">
        <v>516</v>
      </c>
      <c r="C517">
        <v>0</v>
      </c>
      <c r="D517" t="str">
        <f>IF(Table1[[#This Row],[PCOS (Y/N)]]=0,"NO","YES")</f>
        <v>NO</v>
      </c>
      <c r="E517">
        <v>31</v>
      </c>
      <c r="F517">
        <v>69</v>
      </c>
      <c r="G517">
        <v>164</v>
      </c>
      <c r="H517">
        <v>15</v>
      </c>
      <c r="I517">
        <v>72</v>
      </c>
      <c r="J517">
        <v>18</v>
      </c>
      <c r="K517">
        <v>11</v>
      </c>
      <c r="L517">
        <v>2</v>
      </c>
      <c r="M517">
        <v>5</v>
      </c>
      <c r="N517">
        <v>4</v>
      </c>
      <c r="O517">
        <v>0</v>
      </c>
      <c r="P517" t="str">
        <f>IF(Table1[[#This Row],[Pregnant(Y/N)]]=1,"YES","NO")</f>
        <v>NO</v>
      </c>
      <c r="Q517">
        <v>0</v>
      </c>
      <c r="R517">
        <v>1.99</v>
      </c>
      <c r="S517">
        <v>1.99</v>
      </c>
      <c r="T517">
        <v>6.54</v>
      </c>
      <c r="U517">
        <v>2.31</v>
      </c>
      <c r="V517">
        <f>Table1[[#This Row],[FSH(mIU/mL)]]/Table1[[#This Row],[LH(mIU/mL)]]</f>
        <v>2.831168831168831</v>
      </c>
      <c r="W517" t="str">
        <f>IF(Table1[[#This Row],[FSH/LH]]&gt;=2,"Abnormal","Normal")</f>
        <v>Abnormal</v>
      </c>
      <c r="X517">
        <v>46</v>
      </c>
      <c r="Y517">
        <v>44</v>
      </c>
      <c r="Z517">
        <f>ROUND(Table1[[#This Row],[Waist(inch)]]/Table1[[#This Row],[Hip(inch)]],2)</f>
        <v>0.96</v>
      </c>
      <c r="AA517">
        <v>1.41</v>
      </c>
      <c r="AB517">
        <v>10</v>
      </c>
      <c r="AC517">
        <v>19.190000000000001</v>
      </c>
      <c r="AD517">
        <v>22.9</v>
      </c>
      <c r="AE517" t="str">
        <f>IF(Table1[[#This Row],[Vit D3 (ng/mL)]]&lt;20,"Deficiency","Normal")</f>
        <v>Normal</v>
      </c>
      <c r="AF517">
        <v>0.3</v>
      </c>
      <c r="AG517">
        <v>92</v>
      </c>
      <c r="AH517">
        <v>0</v>
      </c>
      <c r="AI517" t="str">
        <f>IF(Table1[[#This Row],[Weight gain(Y/N)]]=0,"NO","YES")</f>
        <v>NO</v>
      </c>
      <c r="AJ517">
        <v>0</v>
      </c>
      <c r="AK517" t="str">
        <f>IF(Table1[[#This Row],[hair growth(Y/N)]]=1,"YES","NO")</f>
        <v>NO</v>
      </c>
      <c r="AL517">
        <v>0</v>
      </c>
      <c r="AM517" t="str">
        <f>IF(Table1[[#This Row],[Skin darkening (Y/N)]]=1,"YES","NO")</f>
        <v>NO</v>
      </c>
      <c r="AN517">
        <v>1</v>
      </c>
      <c r="AO517" t="str">
        <f>IF(Table1[[#This Row],[Hair loss(Y/N)]]=1,"YES","NO")</f>
        <v>YES</v>
      </c>
      <c r="AP517">
        <v>0</v>
      </c>
      <c r="AQ517" t="str">
        <f>IF(Table1[[#This Row],[Pimples(Y/N)]]=1,"YES","NO")</f>
        <v>NO</v>
      </c>
      <c r="AR517">
        <v>0</v>
      </c>
      <c r="AS517" t="str">
        <f>IF(Table1[[#This Row],[Fast food (Y/N)]]=1,"YES","NO")</f>
        <v>NO</v>
      </c>
      <c r="AT517">
        <v>0</v>
      </c>
      <c r="AU517" t="str">
        <f>IF(Table1[[#This Row],[Reg.Exercise(Y/N)]]=1,"YES","NO")</f>
        <v>NO</v>
      </c>
      <c r="AV517">
        <v>110</v>
      </c>
      <c r="AW517">
        <v>80</v>
      </c>
      <c r="AX517">
        <v>10</v>
      </c>
      <c r="AY517">
        <v>8</v>
      </c>
      <c r="AZ517">
        <v>20</v>
      </c>
      <c r="BA517">
        <v>17</v>
      </c>
      <c r="BB517">
        <v>7</v>
      </c>
      <c r="BC517" t="str" cm="1">
        <f t="array" ref="BC517">_xlfn.IFS((F517/(G517*G517)*10000)&lt; 18.5,"Underweight",(F517/(G517*G517)*10000)&lt;24.9,"Normal",(F517/(G517*G517)*10000)&lt;29.9,"Overweight",(F517/(G517*G517)*10000)&gt;=30,"obesity")</f>
        <v>Overweight</v>
      </c>
      <c r="BD517">
        <f>Table1[[#This Row],[Follicle No. (L)]]+Table1[[#This Row],[Follicle No. (R)]]</f>
        <v>18</v>
      </c>
      <c r="BE517">
        <f>Table1[[#This Row],[Avg. F size (L) (mm)]]+Table1[[#This Row],[Avg. F size (R) (mm)]]</f>
        <v>37</v>
      </c>
      <c r="BF517">
        <f>Table1[[#This Row],[BP _Diastolic (mmHg)]]+(Table1[[#This Row],[BP _Diastolic (mmHg)]]+Table1[[#This Row],[Follicle No. (L)]])/3</f>
        <v>110</v>
      </c>
      <c r="BG517" s="4" t="str" cm="1">
        <f t="array" ref="BG51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7" s="4">
        <f>SUM(Table1[[#This Row],[Pimples(Y/N)]],Table1[[#This Row],[hair growth(Y/N)]],Table1[[#This Row],[Skin darkening (Y/N)]],Table1[[#This Row],[Hair loss(Y/N)]])</f>
        <v>1</v>
      </c>
      <c r="BI517" s="4" t="str">
        <f>IF(AND(Table1[[#This Row],[Pregnant(Y/N)]]=0, Table1[[#This Row],[  I   beta-HCG(mIU/mL)]]&gt;5), "Investigation Required", "Clear")</f>
        <v>Clear</v>
      </c>
    </row>
    <row r="518" spans="1:61" ht="15.75" customHeight="1" x14ac:dyDescent="0.25">
      <c r="A518">
        <v>517</v>
      </c>
      <c r="B518">
        <v>517</v>
      </c>
      <c r="C518">
        <v>0</v>
      </c>
      <c r="D518" t="str">
        <f>IF(Table1[[#This Row],[PCOS (Y/N)]]=0,"NO","YES")</f>
        <v>NO</v>
      </c>
      <c r="E518">
        <v>34</v>
      </c>
      <c r="F518">
        <v>50</v>
      </c>
      <c r="G518">
        <v>152</v>
      </c>
      <c r="H518">
        <v>15</v>
      </c>
      <c r="I518">
        <v>72</v>
      </c>
      <c r="J518">
        <v>18</v>
      </c>
      <c r="K518">
        <v>10</v>
      </c>
      <c r="L518">
        <v>2</v>
      </c>
      <c r="M518">
        <v>5</v>
      </c>
      <c r="N518">
        <v>8</v>
      </c>
      <c r="O518">
        <v>0</v>
      </c>
      <c r="P518" t="str">
        <f>IF(Table1[[#This Row],[Pregnant(Y/N)]]=1,"YES","NO")</f>
        <v>NO</v>
      </c>
      <c r="Q518">
        <v>0</v>
      </c>
      <c r="R518">
        <v>1.99</v>
      </c>
      <c r="S518">
        <v>104.87</v>
      </c>
      <c r="T518">
        <v>3.23</v>
      </c>
      <c r="U518">
        <v>2.7</v>
      </c>
      <c r="V518">
        <f>Table1[[#This Row],[FSH(mIU/mL)]]/Table1[[#This Row],[LH(mIU/mL)]]</f>
        <v>1.1962962962962962</v>
      </c>
      <c r="W518" t="str">
        <f>IF(Table1[[#This Row],[FSH/LH]]&gt;=2,"Abnormal","Normal")</f>
        <v>Normal</v>
      </c>
      <c r="X518">
        <v>32</v>
      </c>
      <c r="Y518">
        <v>28</v>
      </c>
      <c r="Z518">
        <f>ROUND(Table1[[#This Row],[Waist(inch)]]/Table1[[#This Row],[Hip(inch)]],2)</f>
        <v>0.88</v>
      </c>
      <c r="AA518">
        <v>3.92</v>
      </c>
      <c r="AB518">
        <v>16</v>
      </c>
      <c r="AC518">
        <v>7.16</v>
      </c>
      <c r="AD518">
        <v>21.7</v>
      </c>
      <c r="AE518" t="str">
        <f>IF(Table1[[#This Row],[Vit D3 (ng/mL)]]&lt;20,"Deficiency","Normal")</f>
        <v>Normal</v>
      </c>
      <c r="AF518">
        <v>0.25</v>
      </c>
      <c r="AG518">
        <v>92</v>
      </c>
      <c r="AH518">
        <v>0</v>
      </c>
      <c r="AI518" t="str">
        <f>IF(Table1[[#This Row],[Weight gain(Y/N)]]=0,"NO","YES")</f>
        <v>NO</v>
      </c>
      <c r="AJ518">
        <v>0</v>
      </c>
      <c r="AK518" t="str">
        <f>IF(Table1[[#This Row],[hair growth(Y/N)]]=1,"YES","NO")</f>
        <v>NO</v>
      </c>
      <c r="AL518">
        <v>1</v>
      </c>
      <c r="AM518" t="str">
        <f>IF(Table1[[#This Row],[Skin darkening (Y/N)]]=1,"YES","NO")</f>
        <v>YES</v>
      </c>
      <c r="AN518">
        <v>0</v>
      </c>
      <c r="AO518" t="str">
        <f>IF(Table1[[#This Row],[Hair loss(Y/N)]]=1,"YES","NO")</f>
        <v>NO</v>
      </c>
      <c r="AP518">
        <v>0</v>
      </c>
      <c r="AQ518" t="str">
        <f>IF(Table1[[#This Row],[Pimples(Y/N)]]=1,"YES","NO")</f>
        <v>NO</v>
      </c>
      <c r="AR518">
        <v>0</v>
      </c>
      <c r="AS518" t="str">
        <f>IF(Table1[[#This Row],[Fast food (Y/N)]]=1,"YES","NO")</f>
        <v>NO</v>
      </c>
      <c r="AT518">
        <v>0</v>
      </c>
      <c r="AU518" t="str">
        <f>IF(Table1[[#This Row],[Reg.Exercise(Y/N)]]=1,"YES","NO")</f>
        <v>NO</v>
      </c>
      <c r="AV518">
        <v>100</v>
      </c>
      <c r="AW518">
        <v>70</v>
      </c>
      <c r="AX518">
        <v>12</v>
      </c>
      <c r="AY518">
        <v>10</v>
      </c>
      <c r="AZ518">
        <v>19</v>
      </c>
      <c r="BA518">
        <v>16</v>
      </c>
      <c r="BB518">
        <v>9.1999999999999993</v>
      </c>
      <c r="BC518" t="str" cm="1">
        <f t="array" ref="BC518">_xlfn.IFS((F518/(G518*G518)*10000)&lt; 18.5,"Underweight",(F518/(G518*G518)*10000)&lt;24.9,"Normal",(F518/(G518*G518)*10000)&lt;29.9,"Overweight",(F518/(G518*G518)*10000)&gt;=30,"obesity")</f>
        <v>Normal</v>
      </c>
      <c r="BD518">
        <f>Table1[[#This Row],[Follicle No. (L)]]+Table1[[#This Row],[Follicle No. (R)]]</f>
        <v>22</v>
      </c>
      <c r="BE518">
        <f>Table1[[#This Row],[Avg. F size (L) (mm)]]+Table1[[#This Row],[Avg. F size (R) (mm)]]</f>
        <v>35</v>
      </c>
      <c r="BF518">
        <f>Table1[[#This Row],[BP _Diastolic (mmHg)]]+(Table1[[#This Row],[BP _Diastolic (mmHg)]]+Table1[[#This Row],[Follicle No. (L)]])/3</f>
        <v>97.333333333333329</v>
      </c>
      <c r="BG518" s="4" t="str" cm="1">
        <f t="array" ref="BG51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8" s="4">
        <f>SUM(Table1[[#This Row],[Pimples(Y/N)]],Table1[[#This Row],[hair growth(Y/N)]],Table1[[#This Row],[Skin darkening (Y/N)]],Table1[[#This Row],[Hair loss(Y/N)]])</f>
        <v>1</v>
      </c>
      <c r="BI518" s="4" t="str">
        <f>IF(AND(Table1[[#This Row],[Pregnant(Y/N)]]=0, Table1[[#This Row],[  I   beta-HCG(mIU/mL)]]&gt;5), "Investigation Required", "Clear")</f>
        <v>Clear</v>
      </c>
    </row>
    <row r="519" spans="1:61" ht="15.75" customHeight="1" x14ac:dyDescent="0.25">
      <c r="A519">
        <v>518</v>
      </c>
      <c r="B519">
        <v>518</v>
      </c>
      <c r="C519">
        <v>0</v>
      </c>
      <c r="D519" t="str">
        <f>IF(Table1[[#This Row],[PCOS (Y/N)]]=0,"NO","YES")</f>
        <v>NO</v>
      </c>
      <c r="E519">
        <v>27</v>
      </c>
      <c r="F519">
        <v>59</v>
      </c>
      <c r="G519">
        <v>152</v>
      </c>
      <c r="H519">
        <v>11</v>
      </c>
      <c r="I519">
        <v>72</v>
      </c>
      <c r="J519">
        <v>18</v>
      </c>
      <c r="K519">
        <v>11.5</v>
      </c>
      <c r="L519">
        <v>2</v>
      </c>
      <c r="M519">
        <v>5</v>
      </c>
      <c r="N519">
        <v>2</v>
      </c>
      <c r="O519">
        <v>0</v>
      </c>
      <c r="P519" t="str">
        <f>IF(Table1[[#This Row],[Pregnant(Y/N)]]=1,"YES","NO")</f>
        <v>NO</v>
      </c>
      <c r="Q519">
        <v>0</v>
      </c>
      <c r="R519">
        <v>320.07</v>
      </c>
      <c r="S519">
        <v>1.99</v>
      </c>
      <c r="T519">
        <v>5.95</v>
      </c>
      <c r="U519">
        <v>3.9</v>
      </c>
      <c r="V519">
        <f>Table1[[#This Row],[FSH(mIU/mL)]]/Table1[[#This Row],[LH(mIU/mL)]]</f>
        <v>1.5256410256410258</v>
      </c>
      <c r="W519" t="str">
        <f>IF(Table1[[#This Row],[FSH/LH]]&gt;=2,"Abnormal","Normal")</f>
        <v>Normal</v>
      </c>
      <c r="X519">
        <v>36</v>
      </c>
      <c r="Y519">
        <v>34</v>
      </c>
      <c r="Z519">
        <f>ROUND(Table1[[#This Row],[Waist(inch)]]/Table1[[#This Row],[Hip(inch)]],2)</f>
        <v>0.94</v>
      </c>
      <c r="AA519">
        <v>2.21</v>
      </c>
      <c r="AB519">
        <v>5.4</v>
      </c>
      <c r="AC519">
        <v>35.19</v>
      </c>
      <c r="AD519">
        <v>24.2</v>
      </c>
      <c r="AE519" t="str">
        <f>IF(Table1[[#This Row],[Vit D3 (ng/mL)]]&lt;20,"Deficiency","Normal")</f>
        <v>Normal</v>
      </c>
      <c r="AF519">
        <v>0.5</v>
      </c>
      <c r="AG519">
        <v>92</v>
      </c>
      <c r="AH519">
        <v>0</v>
      </c>
      <c r="AI519" t="str">
        <f>IF(Table1[[#This Row],[Weight gain(Y/N)]]=0,"NO","YES")</f>
        <v>NO</v>
      </c>
      <c r="AJ519">
        <v>0</v>
      </c>
      <c r="AK519" t="str">
        <f>IF(Table1[[#This Row],[hair growth(Y/N)]]=1,"YES","NO")</f>
        <v>NO</v>
      </c>
      <c r="AL519">
        <v>0</v>
      </c>
      <c r="AM519" t="str">
        <f>IF(Table1[[#This Row],[Skin darkening (Y/N)]]=1,"YES","NO")</f>
        <v>NO</v>
      </c>
      <c r="AN519">
        <v>0</v>
      </c>
      <c r="AO519" t="str">
        <f>IF(Table1[[#This Row],[Hair loss(Y/N)]]=1,"YES","NO")</f>
        <v>NO</v>
      </c>
      <c r="AP519">
        <v>0</v>
      </c>
      <c r="AQ519" t="str">
        <f>IF(Table1[[#This Row],[Pimples(Y/N)]]=1,"YES","NO")</f>
        <v>NO</v>
      </c>
      <c r="AR519">
        <v>0</v>
      </c>
      <c r="AS519" t="str">
        <f>IF(Table1[[#This Row],[Fast food (Y/N)]]=1,"YES","NO")</f>
        <v>NO</v>
      </c>
      <c r="AT519">
        <v>0</v>
      </c>
      <c r="AU519" t="str">
        <f>IF(Table1[[#This Row],[Reg.Exercise(Y/N)]]=1,"YES","NO")</f>
        <v>NO</v>
      </c>
      <c r="AV519">
        <v>110</v>
      </c>
      <c r="AW519">
        <v>70</v>
      </c>
      <c r="AX519">
        <v>5</v>
      </c>
      <c r="AY519">
        <v>8</v>
      </c>
      <c r="AZ519">
        <v>20</v>
      </c>
      <c r="BA519">
        <v>21</v>
      </c>
      <c r="BB519">
        <v>9.8000000000000007</v>
      </c>
      <c r="BC519" t="str" cm="1">
        <f t="array" ref="BC519">_xlfn.IFS((F519/(G519*G519)*10000)&lt; 18.5,"Underweight",(F519/(G519*G519)*10000)&lt;24.9,"Normal",(F519/(G519*G519)*10000)&lt;29.9,"Overweight",(F519/(G519*G519)*10000)&gt;=30,"obesity")</f>
        <v>Overweight</v>
      </c>
      <c r="BD519">
        <f>Table1[[#This Row],[Follicle No. (L)]]+Table1[[#This Row],[Follicle No. (R)]]</f>
        <v>13</v>
      </c>
      <c r="BE519">
        <f>Table1[[#This Row],[Avg. F size (L) (mm)]]+Table1[[#This Row],[Avg. F size (R) (mm)]]</f>
        <v>41</v>
      </c>
      <c r="BF519">
        <f>Table1[[#This Row],[BP _Diastolic (mmHg)]]+(Table1[[#This Row],[BP _Diastolic (mmHg)]]+Table1[[#This Row],[Follicle No. (L)]])/3</f>
        <v>95</v>
      </c>
      <c r="BG519" s="4" t="str" cm="1">
        <f t="array" ref="BG51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19" s="4">
        <f>SUM(Table1[[#This Row],[Pimples(Y/N)]],Table1[[#This Row],[hair growth(Y/N)]],Table1[[#This Row],[Skin darkening (Y/N)]],Table1[[#This Row],[Hair loss(Y/N)]])</f>
        <v>0</v>
      </c>
      <c r="BI519" s="4" t="str">
        <f>IF(AND(Table1[[#This Row],[Pregnant(Y/N)]]=0, Table1[[#This Row],[  I   beta-HCG(mIU/mL)]]&gt;5), "Investigation Required", "Clear")</f>
        <v>Investigation Required</v>
      </c>
    </row>
    <row r="520" spans="1:61" ht="15.75" customHeight="1" x14ac:dyDescent="0.25">
      <c r="A520">
        <v>519</v>
      </c>
      <c r="B520">
        <v>519</v>
      </c>
      <c r="C520">
        <v>0</v>
      </c>
      <c r="D520" t="str">
        <f>IF(Table1[[#This Row],[PCOS (Y/N)]]=0,"NO","YES")</f>
        <v>NO</v>
      </c>
      <c r="E520">
        <v>24</v>
      </c>
      <c r="F520">
        <v>56</v>
      </c>
      <c r="G520">
        <v>154</v>
      </c>
      <c r="H520">
        <v>17</v>
      </c>
      <c r="I520">
        <v>72</v>
      </c>
      <c r="J520">
        <v>18</v>
      </c>
      <c r="K520">
        <v>10.5</v>
      </c>
      <c r="L520">
        <v>2</v>
      </c>
      <c r="M520">
        <v>5</v>
      </c>
      <c r="N520">
        <v>4</v>
      </c>
      <c r="O520">
        <v>0</v>
      </c>
      <c r="P520" t="str">
        <f>IF(Table1[[#This Row],[Pregnant(Y/N)]]=1,"YES","NO")</f>
        <v>NO</v>
      </c>
      <c r="Q520">
        <v>0</v>
      </c>
      <c r="R520">
        <v>31.77</v>
      </c>
      <c r="S520">
        <v>1.99</v>
      </c>
      <c r="T520">
        <v>7.7</v>
      </c>
      <c r="U520">
        <v>3.34</v>
      </c>
      <c r="V520">
        <f>Table1[[#This Row],[FSH(mIU/mL)]]/Table1[[#This Row],[LH(mIU/mL)]]</f>
        <v>2.3053892215568865</v>
      </c>
      <c r="W520" t="str">
        <f>IF(Table1[[#This Row],[FSH/LH]]&gt;=2,"Abnormal","Normal")</f>
        <v>Abnormal</v>
      </c>
      <c r="X520">
        <v>30</v>
      </c>
      <c r="Y520">
        <v>28</v>
      </c>
      <c r="Z520">
        <f>ROUND(Table1[[#This Row],[Waist(inch)]]/Table1[[#This Row],[Hip(inch)]],2)</f>
        <v>0.93</v>
      </c>
      <c r="AA520">
        <v>3.85</v>
      </c>
      <c r="AB520">
        <v>3.7</v>
      </c>
      <c r="AC520">
        <v>27.37</v>
      </c>
      <c r="AD520">
        <v>19.7</v>
      </c>
      <c r="AE520" t="str">
        <f>IF(Table1[[#This Row],[Vit D3 (ng/mL)]]&lt;20,"Deficiency","Normal")</f>
        <v>Deficiency</v>
      </c>
      <c r="AF520">
        <v>0.4</v>
      </c>
      <c r="AG520">
        <v>92</v>
      </c>
      <c r="AH520">
        <v>0</v>
      </c>
      <c r="AI520" t="str">
        <f>IF(Table1[[#This Row],[Weight gain(Y/N)]]=0,"NO","YES")</f>
        <v>NO</v>
      </c>
      <c r="AJ520">
        <v>0</v>
      </c>
      <c r="AK520" t="str">
        <f>IF(Table1[[#This Row],[hair growth(Y/N)]]=1,"YES","NO")</f>
        <v>NO</v>
      </c>
      <c r="AL520">
        <v>0</v>
      </c>
      <c r="AM520" t="str">
        <f>IF(Table1[[#This Row],[Skin darkening (Y/N)]]=1,"YES","NO")</f>
        <v>NO</v>
      </c>
      <c r="AN520">
        <v>0</v>
      </c>
      <c r="AO520" t="str">
        <f>IF(Table1[[#This Row],[Hair loss(Y/N)]]=1,"YES","NO")</f>
        <v>NO</v>
      </c>
      <c r="AP520">
        <v>0</v>
      </c>
      <c r="AQ520" t="str">
        <f>IF(Table1[[#This Row],[Pimples(Y/N)]]=1,"YES","NO")</f>
        <v>NO</v>
      </c>
      <c r="AR520">
        <v>0</v>
      </c>
      <c r="AS520" t="str">
        <f>IF(Table1[[#This Row],[Fast food (Y/N)]]=1,"YES","NO")</f>
        <v>NO</v>
      </c>
      <c r="AT520">
        <v>0</v>
      </c>
      <c r="AU520" t="str">
        <f>IF(Table1[[#This Row],[Reg.Exercise(Y/N)]]=1,"YES","NO")</f>
        <v>NO</v>
      </c>
      <c r="AV520">
        <v>110</v>
      </c>
      <c r="AW520">
        <v>70</v>
      </c>
      <c r="AX520">
        <v>5</v>
      </c>
      <c r="AY520">
        <v>4</v>
      </c>
      <c r="AZ520">
        <v>19</v>
      </c>
      <c r="BA520">
        <v>20</v>
      </c>
      <c r="BB520">
        <v>5.9</v>
      </c>
      <c r="BC520" t="str" cm="1">
        <f t="array" ref="BC520">_xlfn.IFS((F520/(G520*G520)*10000)&lt; 18.5,"Underweight",(F520/(G520*G520)*10000)&lt;24.9,"Normal",(F520/(G520*G520)*10000)&lt;29.9,"Overweight",(F520/(G520*G520)*10000)&gt;=30,"obesity")</f>
        <v>Normal</v>
      </c>
      <c r="BD520">
        <f>Table1[[#This Row],[Follicle No. (L)]]+Table1[[#This Row],[Follicle No. (R)]]</f>
        <v>9</v>
      </c>
      <c r="BE520">
        <f>Table1[[#This Row],[Avg. F size (L) (mm)]]+Table1[[#This Row],[Avg. F size (R) (mm)]]</f>
        <v>39</v>
      </c>
      <c r="BF520">
        <f>Table1[[#This Row],[BP _Diastolic (mmHg)]]+(Table1[[#This Row],[BP _Diastolic (mmHg)]]+Table1[[#This Row],[Follicle No. (L)]])/3</f>
        <v>95</v>
      </c>
      <c r="BG520" s="4" t="str" cm="1">
        <f t="array" ref="BG52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20" s="4">
        <f>SUM(Table1[[#This Row],[Pimples(Y/N)]],Table1[[#This Row],[hair growth(Y/N)]],Table1[[#This Row],[Skin darkening (Y/N)]],Table1[[#This Row],[Hair loss(Y/N)]])</f>
        <v>0</v>
      </c>
      <c r="BI520" s="4" t="str">
        <f>IF(AND(Table1[[#This Row],[Pregnant(Y/N)]]=0, Table1[[#This Row],[  I   beta-HCG(mIU/mL)]]&gt;5), "Investigation Required", "Clear")</f>
        <v>Investigation Required</v>
      </c>
    </row>
    <row r="521" spans="1:61" ht="15.75" customHeight="1" x14ac:dyDescent="0.25">
      <c r="A521">
        <v>520</v>
      </c>
      <c r="B521">
        <v>520</v>
      </c>
      <c r="C521">
        <v>0</v>
      </c>
      <c r="D521" t="str">
        <f>IF(Table1[[#This Row],[PCOS (Y/N)]]=0,"NO","YES")</f>
        <v>NO</v>
      </c>
      <c r="E521">
        <v>28</v>
      </c>
      <c r="F521">
        <v>53</v>
      </c>
      <c r="G521">
        <v>158.49600000000001</v>
      </c>
      <c r="H521">
        <v>16</v>
      </c>
      <c r="I521">
        <v>72</v>
      </c>
      <c r="J521">
        <v>18</v>
      </c>
      <c r="K521">
        <v>11.8</v>
      </c>
      <c r="L521">
        <v>2</v>
      </c>
      <c r="M521">
        <v>5</v>
      </c>
      <c r="N521">
        <v>5</v>
      </c>
      <c r="O521">
        <v>1</v>
      </c>
      <c r="P521" t="str">
        <f>IF(Table1[[#This Row],[Pregnant(Y/N)]]=1,"YES","NO")</f>
        <v>YES</v>
      </c>
      <c r="Q521">
        <v>0</v>
      </c>
      <c r="R521">
        <v>1.99</v>
      </c>
      <c r="S521">
        <v>1.99</v>
      </c>
      <c r="T521">
        <v>5.57</v>
      </c>
      <c r="U521">
        <v>3.75</v>
      </c>
      <c r="V521">
        <f>Table1[[#This Row],[FSH(mIU/mL)]]/Table1[[#This Row],[LH(mIU/mL)]]</f>
        <v>1.4853333333333334</v>
      </c>
      <c r="W521" t="str">
        <f>IF(Table1[[#This Row],[FSH/LH]]&gt;=2,"Abnormal","Normal")</f>
        <v>Normal</v>
      </c>
      <c r="X521">
        <v>28</v>
      </c>
      <c r="Y521">
        <v>26</v>
      </c>
      <c r="Z521">
        <f>ROUND(Table1[[#This Row],[Waist(inch)]]/Table1[[#This Row],[Hip(inch)]],2)</f>
        <v>0.93</v>
      </c>
      <c r="AA521">
        <v>2.08</v>
      </c>
      <c r="AB521">
        <v>5.5</v>
      </c>
      <c r="AC521">
        <v>23.01</v>
      </c>
      <c r="AD521">
        <v>32</v>
      </c>
      <c r="AE521" t="str">
        <f>IF(Table1[[#This Row],[Vit D3 (ng/mL)]]&lt;20,"Deficiency","Normal")</f>
        <v>Normal</v>
      </c>
      <c r="AF521">
        <v>0.39</v>
      </c>
      <c r="AG521">
        <v>100</v>
      </c>
      <c r="AH521">
        <v>0</v>
      </c>
      <c r="AI521" t="str">
        <f>IF(Table1[[#This Row],[Weight gain(Y/N)]]=0,"NO","YES")</f>
        <v>NO</v>
      </c>
      <c r="AJ521">
        <v>0</v>
      </c>
      <c r="AK521" t="str">
        <f>IF(Table1[[#This Row],[hair growth(Y/N)]]=1,"YES","NO")</f>
        <v>NO</v>
      </c>
      <c r="AL521">
        <v>1</v>
      </c>
      <c r="AM521" t="str">
        <f>IF(Table1[[#This Row],[Skin darkening (Y/N)]]=1,"YES","NO")</f>
        <v>YES</v>
      </c>
      <c r="AN521">
        <v>0</v>
      </c>
      <c r="AO521" t="str">
        <f>IF(Table1[[#This Row],[Hair loss(Y/N)]]=1,"YES","NO")</f>
        <v>NO</v>
      </c>
      <c r="AP521">
        <v>0</v>
      </c>
      <c r="AQ521" t="str">
        <f>IF(Table1[[#This Row],[Pimples(Y/N)]]=1,"YES","NO")</f>
        <v>NO</v>
      </c>
      <c r="AR521">
        <v>0</v>
      </c>
      <c r="AS521" t="str">
        <f>IF(Table1[[#This Row],[Fast food (Y/N)]]=1,"YES","NO")</f>
        <v>NO</v>
      </c>
      <c r="AT521">
        <v>0</v>
      </c>
      <c r="AU521" t="str">
        <f>IF(Table1[[#This Row],[Reg.Exercise(Y/N)]]=1,"YES","NO")</f>
        <v>NO</v>
      </c>
      <c r="AV521">
        <v>110</v>
      </c>
      <c r="AW521">
        <v>80</v>
      </c>
      <c r="AX521">
        <v>4</v>
      </c>
      <c r="AY521">
        <v>4</v>
      </c>
      <c r="AZ521">
        <v>19</v>
      </c>
      <c r="BA521">
        <v>16</v>
      </c>
      <c r="BB521">
        <v>6.5</v>
      </c>
      <c r="BC521" t="str" cm="1">
        <f t="array" ref="BC521">_xlfn.IFS((F521/(G521*G521)*10000)&lt; 18.5,"Underweight",(F521/(G521*G521)*10000)&lt;24.9,"Normal",(F521/(G521*G521)*10000)&lt;29.9,"Overweight",(F521/(G521*G521)*10000)&gt;=30,"obesity")</f>
        <v>Normal</v>
      </c>
      <c r="BD521">
        <f>Table1[[#This Row],[Follicle No. (L)]]+Table1[[#This Row],[Follicle No. (R)]]</f>
        <v>8</v>
      </c>
      <c r="BE521">
        <f>Table1[[#This Row],[Avg. F size (L) (mm)]]+Table1[[#This Row],[Avg. F size (R) (mm)]]</f>
        <v>35</v>
      </c>
      <c r="BF521">
        <f>Table1[[#This Row],[BP _Diastolic (mmHg)]]+(Table1[[#This Row],[BP _Diastolic (mmHg)]]+Table1[[#This Row],[Follicle No. (L)]])/3</f>
        <v>108</v>
      </c>
      <c r="BG521" s="4" t="str" cm="1">
        <f t="array" ref="BG52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21" s="4">
        <f>SUM(Table1[[#This Row],[Pimples(Y/N)]],Table1[[#This Row],[hair growth(Y/N)]],Table1[[#This Row],[Skin darkening (Y/N)]],Table1[[#This Row],[Hair loss(Y/N)]])</f>
        <v>1</v>
      </c>
      <c r="BI521" s="4" t="str">
        <f>IF(AND(Table1[[#This Row],[Pregnant(Y/N)]]=0, Table1[[#This Row],[  I   beta-HCG(mIU/mL)]]&gt;5), "Investigation Required", "Clear")</f>
        <v>Clear</v>
      </c>
    </row>
    <row r="522" spans="1:61" ht="15.75" customHeight="1" x14ac:dyDescent="0.25">
      <c r="A522">
        <v>521</v>
      </c>
      <c r="B522">
        <v>521</v>
      </c>
      <c r="C522">
        <v>1</v>
      </c>
      <c r="D522" t="str">
        <f>IF(Table1[[#This Row],[PCOS (Y/N)]]=0,"NO","YES")</f>
        <v>YES</v>
      </c>
      <c r="E522">
        <v>27</v>
      </c>
      <c r="F522">
        <v>50</v>
      </c>
      <c r="G522">
        <v>168</v>
      </c>
      <c r="H522">
        <v>13</v>
      </c>
      <c r="I522">
        <v>72</v>
      </c>
      <c r="J522">
        <v>18</v>
      </c>
      <c r="K522">
        <v>12</v>
      </c>
      <c r="L522">
        <v>4</v>
      </c>
      <c r="M522">
        <v>2</v>
      </c>
      <c r="N522">
        <v>7</v>
      </c>
      <c r="O522">
        <v>0</v>
      </c>
      <c r="P522" t="str">
        <f>IF(Table1[[#This Row],[Pregnant(Y/N)]]=1,"YES","NO")</f>
        <v>NO</v>
      </c>
      <c r="Q522">
        <v>0</v>
      </c>
      <c r="R522">
        <v>632.22</v>
      </c>
      <c r="S522">
        <v>1.99</v>
      </c>
      <c r="T522">
        <v>4.5599999999999996</v>
      </c>
      <c r="U522">
        <v>2.16</v>
      </c>
      <c r="V522">
        <f>Table1[[#This Row],[FSH(mIU/mL)]]/Table1[[#This Row],[LH(mIU/mL)]]</f>
        <v>2.1111111111111107</v>
      </c>
      <c r="W522" t="str">
        <f>IF(Table1[[#This Row],[FSH/LH]]&gt;=2,"Abnormal","Normal")</f>
        <v>Abnormal</v>
      </c>
      <c r="X522">
        <v>26</v>
      </c>
      <c r="Y522">
        <v>25</v>
      </c>
      <c r="Z522">
        <f>ROUND(Table1[[#This Row],[Waist(inch)]]/Table1[[#This Row],[Hip(inch)]],2)</f>
        <v>0.96</v>
      </c>
      <c r="AA522">
        <v>0.86</v>
      </c>
      <c r="AB522">
        <v>7.2</v>
      </c>
      <c r="AC522">
        <v>23.14</v>
      </c>
      <c r="AD522">
        <v>37.9</v>
      </c>
      <c r="AE522" t="str">
        <f>IF(Table1[[#This Row],[Vit D3 (ng/mL)]]&lt;20,"Deficiency","Normal")</f>
        <v>Normal</v>
      </c>
      <c r="AF522">
        <v>0.4</v>
      </c>
      <c r="AG522">
        <v>100</v>
      </c>
      <c r="AH522">
        <v>0</v>
      </c>
      <c r="AI522" t="str">
        <f>IF(Table1[[#This Row],[Weight gain(Y/N)]]=0,"NO","YES")</f>
        <v>NO</v>
      </c>
      <c r="AJ522">
        <v>1</v>
      </c>
      <c r="AK522" t="str">
        <f>IF(Table1[[#This Row],[hair growth(Y/N)]]=1,"YES","NO")</f>
        <v>YES</v>
      </c>
      <c r="AL522">
        <v>0</v>
      </c>
      <c r="AM522" t="str">
        <f>IF(Table1[[#This Row],[Skin darkening (Y/N)]]=1,"YES","NO")</f>
        <v>NO</v>
      </c>
      <c r="AN522">
        <v>0</v>
      </c>
      <c r="AO522" t="str">
        <f>IF(Table1[[#This Row],[Hair loss(Y/N)]]=1,"YES","NO")</f>
        <v>NO</v>
      </c>
      <c r="AP522">
        <v>1</v>
      </c>
      <c r="AQ522" t="str">
        <f>IF(Table1[[#This Row],[Pimples(Y/N)]]=1,"YES","NO")</f>
        <v>YES</v>
      </c>
      <c r="AR522">
        <v>0</v>
      </c>
      <c r="AS522" t="str">
        <f>IF(Table1[[#This Row],[Fast food (Y/N)]]=1,"YES","NO")</f>
        <v>NO</v>
      </c>
      <c r="AT522">
        <v>0</v>
      </c>
      <c r="AU522" t="str">
        <f>IF(Table1[[#This Row],[Reg.Exercise(Y/N)]]=1,"YES","NO")</f>
        <v>NO</v>
      </c>
      <c r="AV522">
        <v>120</v>
      </c>
      <c r="AW522">
        <v>70</v>
      </c>
      <c r="AX522">
        <v>18</v>
      </c>
      <c r="AY522">
        <v>20</v>
      </c>
      <c r="AZ522">
        <v>20</v>
      </c>
      <c r="BA522">
        <v>19</v>
      </c>
      <c r="BB522">
        <v>7.8</v>
      </c>
      <c r="BC522" t="str" cm="1">
        <f t="array" ref="BC522">_xlfn.IFS((F522/(G522*G522)*10000)&lt; 18.5,"Underweight",(F522/(G522*G522)*10000)&lt;24.9,"Normal",(F522/(G522*G522)*10000)&lt;29.9,"Overweight",(F522/(G522*G522)*10000)&gt;=30,"obesity")</f>
        <v>Underweight</v>
      </c>
      <c r="BD522">
        <f>Table1[[#This Row],[Follicle No. (L)]]+Table1[[#This Row],[Follicle No. (R)]]</f>
        <v>38</v>
      </c>
      <c r="BE522">
        <f>Table1[[#This Row],[Avg. F size (L) (mm)]]+Table1[[#This Row],[Avg. F size (R) (mm)]]</f>
        <v>39</v>
      </c>
      <c r="BF522">
        <f>Table1[[#This Row],[BP _Diastolic (mmHg)]]+(Table1[[#This Row],[BP _Diastolic (mmHg)]]+Table1[[#This Row],[Follicle No. (L)]])/3</f>
        <v>99.333333333333329</v>
      </c>
      <c r="BG522" s="4" t="str" cm="1">
        <f t="array" ref="BG52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522" s="4">
        <f>SUM(Table1[[#This Row],[Pimples(Y/N)]],Table1[[#This Row],[hair growth(Y/N)]],Table1[[#This Row],[Skin darkening (Y/N)]],Table1[[#This Row],[Hair loss(Y/N)]])</f>
        <v>2</v>
      </c>
      <c r="BI522" s="4" t="str">
        <f>IF(AND(Table1[[#This Row],[Pregnant(Y/N)]]=0, Table1[[#This Row],[  I   beta-HCG(mIU/mL)]]&gt;5), "Investigation Required", "Clear")</f>
        <v>Investigation Required</v>
      </c>
    </row>
    <row r="523" spans="1:61" ht="15.75" customHeight="1" x14ac:dyDescent="0.25">
      <c r="A523">
        <v>522</v>
      </c>
      <c r="B523">
        <v>522</v>
      </c>
      <c r="C523">
        <v>0</v>
      </c>
      <c r="D523" t="str">
        <f>IF(Table1[[#This Row],[PCOS (Y/N)]]=0,"NO","YES")</f>
        <v>NO</v>
      </c>
      <c r="E523">
        <v>40</v>
      </c>
      <c r="F523">
        <v>78</v>
      </c>
      <c r="G523">
        <v>155</v>
      </c>
      <c r="H523">
        <v>15</v>
      </c>
      <c r="I523">
        <v>74</v>
      </c>
      <c r="J523">
        <v>20</v>
      </c>
      <c r="K523">
        <v>11.2</v>
      </c>
      <c r="L523">
        <v>2</v>
      </c>
      <c r="M523">
        <v>5</v>
      </c>
      <c r="N523">
        <v>14</v>
      </c>
      <c r="O523">
        <v>0</v>
      </c>
      <c r="P523" t="str">
        <f>IF(Table1[[#This Row],[Pregnant(Y/N)]]=1,"YES","NO")</f>
        <v>NO</v>
      </c>
      <c r="Q523">
        <v>0</v>
      </c>
      <c r="R523">
        <v>212.75</v>
      </c>
      <c r="S523">
        <v>1.99</v>
      </c>
      <c r="T523">
        <v>9.14</v>
      </c>
      <c r="U523">
        <v>3.22</v>
      </c>
      <c r="V523">
        <f>Table1[[#This Row],[FSH(mIU/mL)]]/Table1[[#This Row],[LH(mIU/mL)]]</f>
        <v>2.8385093167701863</v>
      </c>
      <c r="W523" t="str">
        <f>IF(Table1[[#This Row],[FSH/LH]]&gt;=2,"Abnormal","Normal")</f>
        <v>Abnormal</v>
      </c>
      <c r="X523">
        <v>48</v>
      </c>
      <c r="Y523">
        <v>46</v>
      </c>
      <c r="Z523">
        <f>ROUND(Table1[[#This Row],[Waist(inch)]]/Table1[[#This Row],[Hip(inch)]],2)</f>
        <v>0.96</v>
      </c>
      <c r="AA523">
        <v>2.09</v>
      </c>
      <c r="AB523">
        <v>2.5</v>
      </c>
      <c r="AC523">
        <v>25.04</v>
      </c>
      <c r="AD523">
        <v>23.4</v>
      </c>
      <c r="AE523" t="str">
        <f>IF(Table1[[#This Row],[Vit D3 (ng/mL)]]&lt;20,"Deficiency","Normal")</f>
        <v>Normal</v>
      </c>
      <c r="AF523">
        <v>0.25</v>
      </c>
      <c r="AG523">
        <v>92</v>
      </c>
      <c r="AH523">
        <v>0</v>
      </c>
      <c r="AI523" t="str">
        <f>IF(Table1[[#This Row],[Weight gain(Y/N)]]=0,"NO","YES")</f>
        <v>NO</v>
      </c>
      <c r="AJ523">
        <v>1</v>
      </c>
      <c r="AK523" t="str">
        <f>IF(Table1[[#This Row],[hair growth(Y/N)]]=1,"YES","NO")</f>
        <v>YES</v>
      </c>
      <c r="AL523">
        <v>0</v>
      </c>
      <c r="AM523" t="str">
        <f>IF(Table1[[#This Row],[Skin darkening (Y/N)]]=1,"YES","NO")</f>
        <v>NO</v>
      </c>
      <c r="AN523">
        <v>0</v>
      </c>
      <c r="AO523" t="str">
        <f>IF(Table1[[#This Row],[Hair loss(Y/N)]]=1,"YES","NO")</f>
        <v>NO</v>
      </c>
      <c r="AP523">
        <v>1</v>
      </c>
      <c r="AQ523" t="str">
        <f>IF(Table1[[#This Row],[Pimples(Y/N)]]=1,"YES","NO")</f>
        <v>YES</v>
      </c>
      <c r="AR523">
        <v>0</v>
      </c>
      <c r="AS523" t="str">
        <f>IF(Table1[[#This Row],[Fast food (Y/N)]]=1,"YES","NO")</f>
        <v>NO</v>
      </c>
      <c r="AT523">
        <v>0</v>
      </c>
      <c r="AU523" t="str">
        <f>IF(Table1[[#This Row],[Reg.Exercise(Y/N)]]=1,"YES","NO")</f>
        <v>NO</v>
      </c>
      <c r="AV523">
        <v>120</v>
      </c>
      <c r="AW523">
        <v>80</v>
      </c>
      <c r="AX523">
        <v>8</v>
      </c>
      <c r="AY523">
        <v>10</v>
      </c>
      <c r="AZ523">
        <v>19</v>
      </c>
      <c r="BA523">
        <v>21</v>
      </c>
      <c r="BB523">
        <v>8</v>
      </c>
      <c r="BC523" t="str" cm="1">
        <f t="array" ref="BC523">_xlfn.IFS((F523/(G523*G523)*10000)&lt; 18.5,"Underweight",(F523/(G523*G523)*10000)&lt;24.9,"Normal",(F523/(G523*G523)*10000)&lt;29.9,"Overweight",(F523/(G523*G523)*10000)&gt;=30,"obesity")</f>
        <v>obesity</v>
      </c>
      <c r="BD523">
        <f>Table1[[#This Row],[Follicle No. (L)]]+Table1[[#This Row],[Follicle No. (R)]]</f>
        <v>18</v>
      </c>
      <c r="BE523">
        <f>Table1[[#This Row],[Avg. F size (L) (mm)]]+Table1[[#This Row],[Avg. F size (R) (mm)]]</f>
        <v>40</v>
      </c>
      <c r="BF523">
        <f>Table1[[#This Row],[BP _Diastolic (mmHg)]]+(Table1[[#This Row],[BP _Diastolic (mmHg)]]+Table1[[#This Row],[Follicle No. (L)]])/3</f>
        <v>109.33333333333333</v>
      </c>
      <c r="BG523" s="4" t="str" cm="1">
        <f t="array" ref="BG52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23" s="4">
        <f>SUM(Table1[[#This Row],[Pimples(Y/N)]],Table1[[#This Row],[hair growth(Y/N)]],Table1[[#This Row],[Skin darkening (Y/N)]],Table1[[#This Row],[Hair loss(Y/N)]])</f>
        <v>2</v>
      </c>
      <c r="BI523" s="4" t="str">
        <f>IF(AND(Table1[[#This Row],[Pregnant(Y/N)]]=0, Table1[[#This Row],[  I   beta-HCG(mIU/mL)]]&gt;5), "Investigation Required", "Clear")</f>
        <v>Investigation Required</v>
      </c>
    </row>
    <row r="524" spans="1:61" ht="15.75" customHeight="1" x14ac:dyDescent="0.25">
      <c r="A524">
        <v>523</v>
      </c>
      <c r="B524">
        <v>523</v>
      </c>
      <c r="C524">
        <v>0</v>
      </c>
      <c r="D524" t="str">
        <f>IF(Table1[[#This Row],[PCOS (Y/N)]]=0,"NO","YES")</f>
        <v>NO</v>
      </c>
      <c r="E524">
        <v>29</v>
      </c>
      <c r="F524">
        <v>52</v>
      </c>
      <c r="G524">
        <v>154</v>
      </c>
      <c r="H524">
        <v>13</v>
      </c>
      <c r="I524">
        <v>72</v>
      </c>
      <c r="J524">
        <v>18</v>
      </c>
      <c r="K524">
        <v>11.8</v>
      </c>
      <c r="L524">
        <v>2</v>
      </c>
      <c r="M524">
        <v>5</v>
      </c>
      <c r="N524">
        <v>8</v>
      </c>
      <c r="O524">
        <v>1</v>
      </c>
      <c r="P524" t="str">
        <f>IF(Table1[[#This Row],[Pregnant(Y/N)]]=1,"YES","NO")</f>
        <v>YES</v>
      </c>
      <c r="Q524">
        <v>0</v>
      </c>
      <c r="R524">
        <v>157.68</v>
      </c>
      <c r="S524">
        <v>1.99</v>
      </c>
      <c r="T524">
        <v>7.08</v>
      </c>
      <c r="U524">
        <v>3.26</v>
      </c>
      <c r="V524">
        <f>Table1[[#This Row],[FSH(mIU/mL)]]/Table1[[#This Row],[LH(mIU/mL)]]</f>
        <v>2.1717791411042948</v>
      </c>
      <c r="W524" t="str">
        <f>IF(Table1[[#This Row],[FSH/LH]]&gt;=2,"Abnormal","Normal")</f>
        <v>Abnormal</v>
      </c>
      <c r="X524">
        <v>28</v>
      </c>
      <c r="Y524">
        <v>25</v>
      </c>
      <c r="Z524">
        <f>ROUND(Table1[[#This Row],[Waist(inch)]]/Table1[[#This Row],[Hip(inch)]],2)</f>
        <v>0.89</v>
      </c>
      <c r="AA524">
        <v>2.78</v>
      </c>
      <c r="AB524">
        <v>18.5</v>
      </c>
      <c r="AC524">
        <v>16.260000000000002</v>
      </c>
      <c r="AD524">
        <v>19</v>
      </c>
      <c r="AE524" t="str">
        <f>IF(Table1[[#This Row],[Vit D3 (ng/mL)]]&lt;20,"Deficiency","Normal")</f>
        <v>Deficiency</v>
      </c>
      <c r="AF524">
        <v>0.56999999999999995</v>
      </c>
      <c r="AG524">
        <v>140</v>
      </c>
      <c r="AH524">
        <v>1</v>
      </c>
      <c r="AI524" t="str">
        <f>IF(Table1[[#This Row],[Weight gain(Y/N)]]=0,"NO","YES")</f>
        <v>YES</v>
      </c>
      <c r="AJ524">
        <v>0</v>
      </c>
      <c r="AK524" t="str">
        <f>IF(Table1[[#This Row],[hair growth(Y/N)]]=1,"YES","NO")</f>
        <v>NO</v>
      </c>
      <c r="AL524">
        <v>1</v>
      </c>
      <c r="AM524" t="str">
        <f>IF(Table1[[#This Row],[Skin darkening (Y/N)]]=1,"YES","NO")</f>
        <v>YES</v>
      </c>
      <c r="AN524">
        <v>1</v>
      </c>
      <c r="AO524" t="str">
        <f>IF(Table1[[#This Row],[Hair loss(Y/N)]]=1,"YES","NO")</f>
        <v>YES</v>
      </c>
      <c r="AP524">
        <v>0</v>
      </c>
      <c r="AQ524" t="str">
        <f>IF(Table1[[#This Row],[Pimples(Y/N)]]=1,"YES","NO")</f>
        <v>NO</v>
      </c>
      <c r="AR524">
        <v>0</v>
      </c>
      <c r="AS524" t="str">
        <f>IF(Table1[[#This Row],[Fast food (Y/N)]]=1,"YES","NO")</f>
        <v>NO</v>
      </c>
      <c r="AT524">
        <v>0</v>
      </c>
      <c r="AU524" t="str">
        <f>IF(Table1[[#This Row],[Reg.Exercise(Y/N)]]=1,"YES","NO")</f>
        <v>NO</v>
      </c>
      <c r="AV524">
        <v>110</v>
      </c>
      <c r="AW524">
        <v>80</v>
      </c>
      <c r="AX524">
        <v>6</v>
      </c>
      <c r="AY524">
        <v>5</v>
      </c>
      <c r="AZ524">
        <v>17.5</v>
      </c>
      <c r="BA524">
        <v>16.5</v>
      </c>
      <c r="BB524">
        <v>10</v>
      </c>
      <c r="BC524" t="str" cm="1">
        <f t="array" ref="BC524">_xlfn.IFS((F524/(G524*G524)*10000)&lt; 18.5,"Underweight",(F524/(G524*G524)*10000)&lt;24.9,"Normal",(F524/(G524*G524)*10000)&lt;29.9,"Overweight",(F524/(G524*G524)*10000)&gt;=30,"obesity")</f>
        <v>Normal</v>
      </c>
      <c r="BD524">
        <f>Table1[[#This Row],[Follicle No. (L)]]+Table1[[#This Row],[Follicle No. (R)]]</f>
        <v>11</v>
      </c>
      <c r="BE524">
        <f>Table1[[#This Row],[Avg. F size (L) (mm)]]+Table1[[#This Row],[Avg. F size (R) (mm)]]</f>
        <v>34</v>
      </c>
      <c r="BF524">
        <f>Table1[[#This Row],[BP _Diastolic (mmHg)]]+(Table1[[#This Row],[BP _Diastolic (mmHg)]]+Table1[[#This Row],[Follicle No. (L)]])/3</f>
        <v>108.66666666666667</v>
      </c>
      <c r="BG524" s="4" t="str" cm="1">
        <f t="array" ref="BG52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24" s="4">
        <f>SUM(Table1[[#This Row],[Pimples(Y/N)]],Table1[[#This Row],[hair growth(Y/N)]],Table1[[#This Row],[Skin darkening (Y/N)]],Table1[[#This Row],[Hair loss(Y/N)]])</f>
        <v>2</v>
      </c>
      <c r="BI524" s="4" t="str">
        <f>IF(AND(Table1[[#This Row],[Pregnant(Y/N)]]=0, Table1[[#This Row],[  I   beta-HCG(mIU/mL)]]&gt;5), "Investigation Required", "Clear")</f>
        <v>Clear</v>
      </c>
    </row>
    <row r="525" spans="1:61" ht="15.75" customHeight="1" x14ac:dyDescent="0.25">
      <c r="A525">
        <v>524</v>
      </c>
      <c r="B525">
        <v>524</v>
      </c>
      <c r="C525">
        <v>1</v>
      </c>
      <c r="D525" t="str">
        <f>IF(Table1[[#This Row],[PCOS (Y/N)]]=0,"NO","YES")</f>
        <v>YES</v>
      </c>
      <c r="E525">
        <v>36</v>
      </c>
      <c r="F525">
        <v>60</v>
      </c>
      <c r="G525">
        <v>150</v>
      </c>
      <c r="H525">
        <v>15</v>
      </c>
      <c r="I525">
        <v>72</v>
      </c>
      <c r="J525">
        <v>18</v>
      </c>
      <c r="K525">
        <v>10.199999999999999</v>
      </c>
      <c r="L525">
        <v>4</v>
      </c>
      <c r="M525">
        <v>7</v>
      </c>
      <c r="N525">
        <v>8</v>
      </c>
      <c r="O525">
        <v>0</v>
      </c>
      <c r="P525" t="str">
        <f>IF(Table1[[#This Row],[Pregnant(Y/N)]]=1,"YES","NO")</f>
        <v>NO</v>
      </c>
      <c r="Q525">
        <v>0</v>
      </c>
      <c r="R525">
        <v>2.14</v>
      </c>
      <c r="S525">
        <v>1.99</v>
      </c>
      <c r="T525">
        <v>5.71</v>
      </c>
      <c r="U525">
        <v>1</v>
      </c>
      <c r="V525">
        <f>Table1[[#This Row],[FSH(mIU/mL)]]/Table1[[#This Row],[LH(mIU/mL)]]</f>
        <v>5.71</v>
      </c>
      <c r="W525" t="str">
        <f>IF(Table1[[#This Row],[FSH/LH]]&gt;=2,"Abnormal","Normal")</f>
        <v>Abnormal</v>
      </c>
      <c r="X525">
        <v>42</v>
      </c>
      <c r="Y525">
        <v>40</v>
      </c>
      <c r="Z525">
        <f>ROUND(Table1[[#This Row],[Waist(inch)]]/Table1[[#This Row],[Hip(inch)]],2)</f>
        <v>0.95</v>
      </c>
      <c r="AA525">
        <v>2.11</v>
      </c>
      <c r="AB525">
        <v>7.7</v>
      </c>
      <c r="AC525">
        <v>39.409999999999997</v>
      </c>
      <c r="AD525">
        <v>26.1</v>
      </c>
      <c r="AE525" t="str">
        <f>IF(Table1[[#This Row],[Vit D3 (ng/mL)]]&lt;20,"Deficiency","Normal")</f>
        <v>Normal</v>
      </c>
      <c r="AF525">
        <v>0.25</v>
      </c>
      <c r="AG525">
        <v>110</v>
      </c>
      <c r="AH525">
        <v>1</v>
      </c>
      <c r="AI525" t="str">
        <f>IF(Table1[[#This Row],[Weight gain(Y/N)]]=0,"NO","YES")</f>
        <v>YES</v>
      </c>
      <c r="AJ525">
        <v>0</v>
      </c>
      <c r="AK525" t="str">
        <f>IF(Table1[[#This Row],[hair growth(Y/N)]]=1,"YES","NO")</f>
        <v>NO</v>
      </c>
      <c r="AL525">
        <v>0</v>
      </c>
      <c r="AM525" t="str">
        <f>IF(Table1[[#This Row],[Skin darkening (Y/N)]]=1,"YES","NO")</f>
        <v>NO</v>
      </c>
      <c r="AN525">
        <v>0</v>
      </c>
      <c r="AO525" t="str">
        <f>IF(Table1[[#This Row],[Hair loss(Y/N)]]=1,"YES","NO")</f>
        <v>NO</v>
      </c>
      <c r="AP525">
        <v>1</v>
      </c>
      <c r="AQ525" t="str">
        <f>IF(Table1[[#This Row],[Pimples(Y/N)]]=1,"YES","NO")</f>
        <v>YES</v>
      </c>
      <c r="AR525">
        <v>0</v>
      </c>
      <c r="AS525" t="str">
        <f>IF(Table1[[#This Row],[Fast food (Y/N)]]=1,"YES","NO")</f>
        <v>NO</v>
      </c>
      <c r="AT525">
        <v>0</v>
      </c>
      <c r="AU525" t="str">
        <f>IF(Table1[[#This Row],[Reg.Exercise(Y/N)]]=1,"YES","NO")</f>
        <v>NO</v>
      </c>
      <c r="AV525">
        <v>110</v>
      </c>
      <c r="AW525">
        <v>80</v>
      </c>
      <c r="AX525">
        <v>6</v>
      </c>
      <c r="AY525">
        <v>9</v>
      </c>
      <c r="AZ525">
        <v>17</v>
      </c>
      <c r="BA525">
        <v>22</v>
      </c>
      <c r="BB525">
        <v>7.6</v>
      </c>
      <c r="BC525" t="str" cm="1">
        <f t="array" ref="BC525">_xlfn.IFS((F525/(G525*G525)*10000)&lt; 18.5,"Underweight",(F525/(G525*G525)*10000)&lt;24.9,"Normal",(F525/(G525*G525)*10000)&lt;29.9,"Overweight",(F525/(G525*G525)*10000)&gt;=30,"obesity")</f>
        <v>Overweight</v>
      </c>
      <c r="BD525">
        <f>Table1[[#This Row],[Follicle No. (L)]]+Table1[[#This Row],[Follicle No. (R)]]</f>
        <v>15</v>
      </c>
      <c r="BE525">
        <f>Table1[[#This Row],[Avg. F size (L) (mm)]]+Table1[[#This Row],[Avg. F size (R) (mm)]]</f>
        <v>39</v>
      </c>
      <c r="BF525">
        <f>Table1[[#This Row],[BP _Diastolic (mmHg)]]+(Table1[[#This Row],[BP _Diastolic (mmHg)]]+Table1[[#This Row],[Follicle No. (L)]])/3</f>
        <v>108.66666666666667</v>
      </c>
      <c r="BG525" s="4" t="str" cm="1">
        <f t="array" ref="BG52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525" s="4">
        <f>SUM(Table1[[#This Row],[Pimples(Y/N)]],Table1[[#This Row],[hair growth(Y/N)]],Table1[[#This Row],[Skin darkening (Y/N)]],Table1[[#This Row],[Hair loss(Y/N)]])</f>
        <v>1</v>
      </c>
      <c r="BI525" s="4" t="str">
        <f>IF(AND(Table1[[#This Row],[Pregnant(Y/N)]]=0, Table1[[#This Row],[  I   beta-HCG(mIU/mL)]]&gt;5), "Investigation Required", "Clear")</f>
        <v>Clear</v>
      </c>
    </row>
    <row r="526" spans="1:61" ht="15.75" customHeight="1" x14ac:dyDescent="0.25">
      <c r="A526">
        <v>525</v>
      </c>
      <c r="B526">
        <v>525</v>
      </c>
      <c r="C526">
        <v>1</v>
      </c>
      <c r="D526" t="str">
        <f>IF(Table1[[#This Row],[PCOS (Y/N)]]=0,"NO","YES")</f>
        <v>YES</v>
      </c>
      <c r="E526">
        <v>27</v>
      </c>
      <c r="F526">
        <v>70</v>
      </c>
      <c r="G526">
        <v>170.68799999999999</v>
      </c>
      <c r="H526">
        <v>13</v>
      </c>
      <c r="I526">
        <v>72</v>
      </c>
      <c r="J526">
        <v>18</v>
      </c>
      <c r="K526">
        <v>11.5</v>
      </c>
      <c r="L526">
        <v>2</v>
      </c>
      <c r="M526">
        <v>5</v>
      </c>
      <c r="N526">
        <v>4</v>
      </c>
      <c r="O526">
        <v>1</v>
      </c>
      <c r="P526" t="str">
        <f>IF(Table1[[#This Row],[Pregnant(Y/N)]]=1,"YES","NO")</f>
        <v>YES</v>
      </c>
      <c r="Q526">
        <v>2</v>
      </c>
      <c r="R526">
        <v>1.99</v>
      </c>
      <c r="S526">
        <v>1.99</v>
      </c>
      <c r="T526">
        <v>4.3</v>
      </c>
      <c r="U526">
        <v>2.04</v>
      </c>
      <c r="V526">
        <f>Table1[[#This Row],[FSH(mIU/mL)]]/Table1[[#This Row],[LH(mIU/mL)]]</f>
        <v>2.107843137254902</v>
      </c>
      <c r="W526" t="str">
        <f>IF(Table1[[#This Row],[FSH/LH]]&gt;=2,"Abnormal","Normal")</f>
        <v>Abnormal</v>
      </c>
      <c r="X526">
        <v>44</v>
      </c>
      <c r="Y526">
        <v>42</v>
      </c>
      <c r="Z526">
        <f>ROUND(Table1[[#This Row],[Waist(inch)]]/Table1[[#This Row],[Hip(inch)]],2)</f>
        <v>0.95</v>
      </c>
      <c r="AA526">
        <v>3.65</v>
      </c>
      <c r="AB526">
        <v>0.19</v>
      </c>
      <c r="AC526">
        <v>9.83</v>
      </c>
      <c r="AD526">
        <v>21.8</v>
      </c>
      <c r="AE526" t="str">
        <f>IF(Table1[[#This Row],[Vit D3 (ng/mL)]]&lt;20,"Deficiency","Normal")</f>
        <v>Normal</v>
      </c>
      <c r="AF526">
        <v>0.5</v>
      </c>
      <c r="AG526">
        <v>107</v>
      </c>
      <c r="AH526">
        <v>1</v>
      </c>
      <c r="AI526" t="str">
        <f>IF(Table1[[#This Row],[Weight gain(Y/N)]]=0,"NO","YES")</f>
        <v>YES</v>
      </c>
      <c r="AJ526">
        <v>0</v>
      </c>
      <c r="AK526" t="str">
        <f>IF(Table1[[#This Row],[hair growth(Y/N)]]=1,"YES","NO")</f>
        <v>NO</v>
      </c>
      <c r="AL526">
        <v>0</v>
      </c>
      <c r="AM526" t="str">
        <f>IF(Table1[[#This Row],[Skin darkening (Y/N)]]=1,"YES","NO")</f>
        <v>NO</v>
      </c>
      <c r="AN526">
        <v>0</v>
      </c>
      <c r="AO526" t="str">
        <f>IF(Table1[[#This Row],[Hair loss(Y/N)]]=1,"YES","NO")</f>
        <v>NO</v>
      </c>
      <c r="AP526">
        <v>0</v>
      </c>
      <c r="AQ526" t="str">
        <f>IF(Table1[[#This Row],[Pimples(Y/N)]]=1,"YES","NO")</f>
        <v>NO</v>
      </c>
      <c r="AR526">
        <v>0</v>
      </c>
      <c r="AS526" t="str">
        <f>IF(Table1[[#This Row],[Fast food (Y/N)]]=1,"YES","NO")</f>
        <v>NO</v>
      </c>
      <c r="AT526">
        <v>0</v>
      </c>
      <c r="AU526" t="str">
        <f>IF(Table1[[#This Row],[Reg.Exercise(Y/N)]]=1,"YES","NO")</f>
        <v>NO</v>
      </c>
      <c r="AV526">
        <v>120</v>
      </c>
      <c r="AW526">
        <v>80</v>
      </c>
      <c r="AX526">
        <v>9</v>
      </c>
      <c r="AY526">
        <v>10</v>
      </c>
      <c r="AZ526">
        <v>21</v>
      </c>
      <c r="BA526">
        <v>23</v>
      </c>
      <c r="BB526">
        <v>6.5</v>
      </c>
      <c r="BC526" t="str" cm="1">
        <f t="array" ref="BC526">_xlfn.IFS((F526/(G526*G526)*10000)&lt; 18.5,"Underweight",(F526/(G526*G526)*10000)&lt;24.9,"Normal",(F526/(G526*G526)*10000)&lt;29.9,"Overweight",(F526/(G526*G526)*10000)&gt;=30,"obesity")</f>
        <v>Normal</v>
      </c>
      <c r="BD526">
        <f>Table1[[#This Row],[Follicle No. (L)]]+Table1[[#This Row],[Follicle No. (R)]]</f>
        <v>19</v>
      </c>
      <c r="BE526">
        <f>Table1[[#This Row],[Avg. F size (L) (mm)]]+Table1[[#This Row],[Avg. F size (R) (mm)]]</f>
        <v>44</v>
      </c>
      <c r="BF526">
        <f>Table1[[#This Row],[BP _Diastolic (mmHg)]]+(Table1[[#This Row],[BP _Diastolic (mmHg)]]+Table1[[#This Row],[Follicle No. (L)]])/3</f>
        <v>109.66666666666667</v>
      </c>
      <c r="BG526" s="4" t="str" cm="1">
        <f t="array" ref="BG52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26" s="4">
        <f>SUM(Table1[[#This Row],[Pimples(Y/N)]],Table1[[#This Row],[hair growth(Y/N)]],Table1[[#This Row],[Skin darkening (Y/N)]],Table1[[#This Row],[Hair loss(Y/N)]])</f>
        <v>0</v>
      </c>
      <c r="BI526" s="4" t="str">
        <f>IF(AND(Table1[[#This Row],[Pregnant(Y/N)]]=0, Table1[[#This Row],[  I   beta-HCG(mIU/mL)]]&gt;5), "Investigation Required", "Clear")</f>
        <v>Clear</v>
      </c>
    </row>
    <row r="527" spans="1:61" ht="15.75" customHeight="1" x14ac:dyDescent="0.25">
      <c r="A527">
        <v>526</v>
      </c>
      <c r="B527">
        <v>526</v>
      </c>
      <c r="C527">
        <v>0</v>
      </c>
      <c r="D527" t="str">
        <f>IF(Table1[[#This Row],[PCOS (Y/N)]]=0,"NO","YES")</f>
        <v>NO</v>
      </c>
      <c r="E527">
        <v>27</v>
      </c>
      <c r="F527">
        <v>48</v>
      </c>
      <c r="G527">
        <v>158.49600000000001</v>
      </c>
      <c r="H527">
        <v>13</v>
      </c>
      <c r="I527">
        <v>72</v>
      </c>
      <c r="J527">
        <v>18</v>
      </c>
      <c r="K527">
        <v>10.7</v>
      </c>
      <c r="L527">
        <v>2</v>
      </c>
      <c r="M527">
        <v>5</v>
      </c>
      <c r="N527">
        <v>2</v>
      </c>
      <c r="O527">
        <v>0</v>
      </c>
      <c r="P527" t="str">
        <f>IF(Table1[[#This Row],[Pregnant(Y/N)]]=1,"YES","NO")</f>
        <v>NO</v>
      </c>
      <c r="Q527">
        <v>0</v>
      </c>
      <c r="R527">
        <v>1.99</v>
      </c>
      <c r="S527">
        <v>1.99</v>
      </c>
      <c r="T527">
        <v>8.9499999999999993</v>
      </c>
      <c r="U527">
        <v>4.6100000000000003</v>
      </c>
      <c r="V527">
        <f>Table1[[#This Row],[FSH(mIU/mL)]]/Table1[[#This Row],[LH(mIU/mL)]]</f>
        <v>1.9414316702819954</v>
      </c>
      <c r="W527" t="str">
        <f>IF(Table1[[#This Row],[FSH/LH]]&gt;=2,"Abnormal","Normal")</f>
        <v>Normal</v>
      </c>
      <c r="X527">
        <v>26</v>
      </c>
      <c r="Y527">
        <v>24</v>
      </c>
      <c r="Z527">
        <f>ROUND(Table1[[#This Row],[Waist(inch)]]/Table1[[#This Row],[Hip(inch)]],2)</f>
        <v>0.92</v>
      </c>
      <c r="AA527">
        <v>4.2699999999999996</v>
      </c>
      <c r="AB527">
        <v>0.6</v>
      </c>
      <c r="AC527">
        <v>19.46</v>
      </c>
      <c r="AD527">
        <v>24.3</v>
      </c>
      <c r="AE527" t="str">
        <f>IF(Table1[[#This Row],[Vit D3 (ng/mL)]]&lt;20,"Deficiency","Normal")</f>
        <v>Normal</v>
      </c>
      <c r="AF527">
        <v>0.25</v>
      </c>
      <c r="AG527">
        <v>100</v>
      </c>
      <c r="AH527">
        <v>0</v>
      </c>
      <c r="AI527" t="str">
        <f>IF(Table1[[#This Row],[Weight gain(Y/N)]]=0,"NO","YES")</f>
        <v>NO</v>
      </c>
      <c r="AJ527">
        <v>1</v>
      </c>
      <c r="AK527" t="str">
        <f>IF(Table1[[#This Row],[hair growth(Y/N)]]=1,"YES","NO")</f>
        <v>YES</v>
      </c>
      <c r="AL527">
        <v>0</v>
      </c>
      <c r="AM527" t="str">
        <f>IF(Table1[[#This Row],[Skin darkening (Y/N)]]=1,"YES","NO")</f>
        <v>NO</v>
      </c>
      <c r="AN527">
        <v>0</v>
      </c>
      <c r="AO527" t="str">
        <f>IF(Table1[[#This Row],[Hair loss(Y/N)]]=1,"YES","NO")</f>
        <v>NO</v>
      </c>
      <c r="AP527">
        <v>0</v>
      </c>
      <c r="AQ527" t="str">
        <f>IF(Table1[[#This Row],[Pimples(Y/N)]]=1,"YES","NO")</f>
        <v>NO</v>
      </c>
      <c r="AR527">
        <v>0</v>
      </c>
      <c r="AS527" t="str">
        <f>IF(Table1[[#This Row],[Fast food (Y/N)]]=1,"YES","NO")</f>
        <v>NO</v>
      </c>
      <c r="AT527">
        <v>0</v>
      </c>
      <c r="AU527" t="str">
        <f>IF(Table1[[#This Row],[Reg.Exercise(Y/N)]]=1,"YES","NO")</f>
        <v>NO</v>
      </c>
      <c r="AV527">
        <v>110</v>
      </c>
      <c r="AW527">
        <v>70</v>
      </c>
      <c r="AX527">
        <v>2</v>
      </c>
      <c r="AY527">
        <v>3</v>
      </c>
      <c r="AZ527">
        <v>16</v>
      </c>
      <c r="BA527">
        <v>19</v>
      </c>
      <c r="BB527">
        <v>7.8</v>
      </c>
      <c r="BC527" t="str" cm="1">
        <f t="array" ref="BC527">_xlfn.IFS((F527/(G527*G527)*10000)&lt; 18.5,"Underweight",(F527/(G527*G527)*10000)&lt;24.9,"Normal",(F527/(G527*G527)*10000)&lt;29.9,"Overweight",(F527/(G527*G527)*10000)&gt;=30,"obesity")</f>
        <v>Normal</v>
      </c>
      <c r="BD527">
        <f>Table1[[#This Row],[Follicle No. (L)]]+Table1[[#This Row],[Follicle No. (R)]]</f>
        <v>5</v>
      </c>
      <c r="BE527">
        <f>Table1[[#This Row],[Avg. F size (L) (mm)]]+Table1[[#This Row],[Avg. F size (R) (mm)]]</f>
        <v>35</v>
      </c>
      <c r="BF527">
        <f>Table1[[#This Row],[BP _Diastolic (mmHg)]]+(Table1[[#This Row],[BP _Diastolic (mmHg)]]+Table1[[#This Row],[Follicle No. (L)]])/3</f>
        <v>94</v>
      </c>
      <c r="BG527" s="4" t="str" cm="1">
        <f t="array" ref="BG52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27" s="4">
        <f>SUM(Table1[[#This Row],[Pimples(Y/N)]],Table1[[#This Row],[hair growth(Y/N)]],Table1[[#This Row],[Skin darkening (Y/N)]],Table1[[#This Row],[Hair loss(Y/N)]])</f>
        <v>1</v>
      </c>
      <c r="BI527" s="4" t="str">
        <f>IF(AND(Table1[[#This Row],[Pregnant(Y/N)]]=0, Table1[[#This Row],[  I   beta-HCG(mIU/mL)]]&gt;5), "Investigation Required", "Clear")</f>
        <v>Clear</v>
      </c>
    </row>
    <row r="528" spans="1:61" ht="15.75" customHeight="1" x14ac:dyDescent="0.25">
      <c r="A528">
        <v>527</v>
      </c>
      <c r="B528">
        <v>527</v>
      </c>
      <c r="C528">
        <v>0</v>
      </c>
      <c r="D528" t="str">
        <f>IF(Table1[[#This Row],[PCOS (Y/N)]]=0,"NO","YES")</f>
        <v>NO</v>
      </c>
      <c r="E528">
        <v>32</v>
      </c>
      <c r="F528">
        <v>60</v>
      </c>
      <c r="G528">
        <v>155</v>
      </c>
      <c r="H528">
        <v>16</v>
      </c>
      <c r="I528">
        <v>74</v>
      </c>
      <c r="J528">
        <v>22</v>
      </c>
      <c r="K528">
        <v>10.5</v>
      </c>
      <c r="L528">
        <v>4</v>
      </c>
      <c r="M528">
        <v>7</v>
      </c>
      <c r="N528">
        <v>4</v>
      </c>
      <c r="O528">
        <v>1</v>
      </c>
      <c r="P528" t="str">
        <f>IF(Table1[[#This Row],[Pregnant(Y/N)]]=1,"YES","NO")</f>
        <v>YES</v>
      </c>
      <c r="Q528">
        <v>1</v>
      </c>
      <c r="R528">
        <v>83.95</v>
      </c>
      <c r="S528">
        <v>1.99</v>
      </c>
      <c r="T528">
        <v>3.34</v>
      </c>
      <c r="U528">
        <v>2.61</v>
      </c>
      <c r="V528">
        <f>Table1[[#This Row],[FSH(mIU/mL)]]/Table1[[#This Row],[LH(mIU/mL)]]</f>
        <v>1.2796934865900382</v>
      </c>
      <c r="W528" t="str">
        <f>IF(Table1[[#This Row],[FSH/LH]]&gt;=2,"Abnormal","Normal")</f>
        <v>Normal</v>
      </c>
      <c r="X528">
        <v>42</v>
      </c>
      <c r="Y528">
        <v>40</v>
      </c>
      <c r="Z528">
        <f>ROUND(Table1[[#This Row],[Waist(inch)]]/Table1[[#This Row],[Hip(inch)]],2)</f>
        <v>0.95</v>
      </c>
      <c r="AA528">
        <v>1.52</v>
      </c>
      <c r="AB528">
        <v>2.5</v>
      </c>
      <c r="AC528">
        <v>11.2</v>
      </c>
      <c r="AD528">
        <v>12.7</v>
      </c>
      <c r="AE528" t="str">
        <f>IF(Table1[[#This Row],[Vit D3 (ng/mL)]]&lt;20,"Deficiency","Normal")</f>
        <v>Deficiency</v>
      </c>
      <c r="AF528">
        <v>0.25</v>
      </c>
      <c r="AG528">
        <v>107</v>
      </c>
      <c r="AH528">
        <v>0</v>
      </c>
      <c r="AI528" t="str">
        <f>IF(Table1[[#This Row],[Weight gain(Y/N)]]=0,"NO","YES")</f>
        <v>NO</v>
      </c>
      <c r="AJ528">
        <v>1</v>
      </c>
      <c r="AK528" t="str">
        <f>IF(Table1[[#This Row],[hair growth(Y/N)]]=1,"YES","NO")</f>
        <v>YES</v>
      </c>
      <c r="AL528">
        <v>0</v>
      </c>
      <c r="AM528" t="str">
        <f>IF(Table1[[#This Row],[Skin darkening (Y/N)]]=1,"YES","NO")</f>
        <v>NO</v>
      </c>
      <c r="AN528">
        <v>0</v>
      </c>
      <c r="AO528" t="str">
        <f>IF(Table1[[#This Row],[Hair loss(Y/N)]]=1,"YES","NO")</f>
        <v>NO</v>
      </c>
      <c r="AP528">
        <v>0</v>
      </c>
      <c r="AQ528" t="str">
        <f>IF(Table1[[#This Row],[Pimples(Y/N)]]=1,"YES","NO")</f>
        <v>NO</v>
      </c>
      <c r="AR528">
        <v>0</v>
      </c>
      <c r="AS528" t="str">
        <f>IF(Table1[[#This Row],[Fast food (Y/N)]]=1,"YES","NO")</f>
        <v>NO</v>
      </c>
      <c r="AT528">
        <v>0</v>
      </c>
      <c r="AU528" t="str">
        <f>IF(Table1[[#This Row],[Reg.Exercise(Y/N)]]=1,"YES","NO")</f>
        <v>NO</v>
      </c>
      <c r="AV528">
        <v>120</v>
      </c>
      <c r="AW528">
        <v>80</v>
      </c>
      <c r="AX528">
        <v>5</v>
      </c>
      <c r="AY528">
        <v>3</v>
      </c>
      <c r="AZ528">
        <v>6.8</v>
      </c>
      <c r="BA528">
        <v>12</v>
      </c>
      <c r="BB528">
        <v>6.8</v>
      </c>
      <c r="BC528" t="str" cm="1">
        <f t="array" ref="BC528">_xlfn.IFS((F528/(G528*G528)*10000)&lt; 18.5,"Underweight",(F528/(G528*G528)*10000)&lt;24.9,"Normal",(F528/(G528*G528)*10000)&lt;29.9,"Overweight",(F528/(G528*G528)*10000)&gt;=30,"obesity")</f>
        <v>Overweight</v>
      </c>
      <c r="BD528">
        <f>Table1[[#This Row],[Follicle No. (L)]]+Table1[[#This Row],[Follicle No. (R)]]</f>
        <v>8</v>
      </c>
      <c r="BE528">
        <f>Table1[[#This Row],[Avg. F size (L) (mm)]]+Table1[[#This Row],[Avg. F size (R) (mm)]]</f>
        <v>18.8</v>
      </c>
      <c r="BF528">
        <f>Table1[[#This Row],[BP _Diastolic (mmHg)]]+(Table1[[#This Row],[BP _Diastolic (mmHg)]]+Table1[[#This Row],[Follicle No. (L)]])/3</f>
        <v>108.33333333333333</v>
      </c>
      <c r="BG528" s="4" t="str" cm="1">
        <f t="array" ref="BG52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28" s="4">
        <f>SUM(Table1[[#This Row],[Pimples(Y/N)]],Table1[[#This Row],[hair growth(Y/N)]],Table1[[#This Row],[Skin darkening (Y/N)]],Table1[[#This Row],[Hair loss(Y/N)]])</f>
        <v>1</v>
      </c>
      <c r="BI528" s="4" t="str">
        <f>IF(AND(Table1[[#This Row],[Pregnant(Y/N)]]=0, Table1[[#This Row],[  I   beta-HCG(mIU/mL)]]&gt;5), "Investigation Required", "Clear")</f>
        <v>Clear</v>
      </c>
    </row>
    <row r="529" spans="1:61" ht="15.75" customHeight="1" x14ac:dyDescent="0.25">
      <c r="A529">
        <v>528</v>
      </c>
      <c r="B529">
        <v>528</v>
      </c>
      <c r="C529">
        <v>0</v>
      </c>
      <c r="D529" t="str">
        <f>IF(Table1[[#This Row],[PCOS (Y/N)]]=0,"NO","YES")</f>
        <v>NO</v>
      </c>
      <c r="E529">
        <v>22</v>
      </c>
      <c r="F529">
        <v>62</v>
      </c>
      <c r="G529">
        <v>162</v>
      </c>
      <c r="H529">
        <v>15</v>
      </c>
      <c r="I529">
        <v>74</v>
      </c>
      <c r="J529">
        <v>22</v>
      </c>
      <c r="K529">
        <v>11.1</v>
      </c>
      <c r="L529">
        <v>2</v>
      </c>
      <c r="M529">
        <v>4</v>
      </c>
      <c r="N529">
        <v>3</v>
      </c>
      <c r="O529">
        <v>0</v>
      </c>
      <c r="P529" t="str">
        <f>IF(Table1[[#This Row],[Pregnant(Y/N)]]=1,"YES","NO")</f>
        <v>NO</v>
      </c>
      <c r="Q529">
        <v>0</v>
      </c>
      <c r="R529">
        <v>18.75</v>
      </c>
      <c r="S529">
        <v>1.99</v>
      </c>
      <c r="T529">
        <v>4.3600000000000003</v>
      </c>
      <c r="U529">
        <v>2.66</v>
      </c>
      <c r="V529">
        <f>Table1[[#This Row],[FSH(mIU/mL)]]/Table1[[#This Row],[LH(mIU/mL)]]</f>
        <v>1.6390977443609023</v>
      </c>
      <c r="W529" t="str">
        <f>IF(Table1[[#This Row],[FSH/LH]]&gt;=2,"Abnormal","Normal")</f>
        <v>Normal</v>
      </c>
      <c r="X529">
        <v>44</v>
      </c>
      <c r="Y529">
        <v>42</v>
      </c>
      <c r="Z529">
        <f>ROUND(Table1[[#This Row],[Waist(inch)]]/Table1[[#This Row],[Hip(inch)]],2)</f>
        <v>0.95</v>
      </c>
      <c r="AA529">
        <v>2.08</v>
      </c>
      <c r="AB529">
        <v>3.7</v>
      </c>
      <c r="AC529">
        <v>28.75</v>
      </c>
      <c r="AD529">
        <v>21.4</v>
      </c>
      <c r="AE529" t="str">
        <f>IF(Table1[[#This Row],[Vit D3 (ng/mL)]]&lt;20,"Deficiency","Normal")</f>
        <v>Normal</v>
      </c>
      <c r="AF529">
        <v>0.25</v>
      </c>
      <c r="AG529">
        <v>115</v>
      </c>
      <c r="AH529">
        <v>0</v>
      </c>
      <c r="AI529" t="str">
        <f>IF(Table1[[#This Row],[Weight gain(Y/N)]]=0,"NO","YES")</f>
        <v>NO</v>
      </c>
      <c r="AJ529">
        <v>0</v>
      </c>
      <c r="AK529" t="str">
        <f>IF(Table1[[#This Row],[hair growth(Y/N)]]=1,"YES","NO")</f>
        <v>NO</v>
      </c>
      <c r="AL529">
        <v>0</v>
      </c>
      <c r="AM529" t="str">
        <f>IF(Table1[[#This Row],[Skin darkening (Y/N)]]=1,"YES","NO")</f>
        <v>NO</v>
      </c>
      <c r="AN529">
        <v>0</v>
      </c>
      <c r="AO529" t="str">
        <f>IF(Table1[[#This Row],[Hair loss(Y/N)]]=1,"YES","NO")</f>
        <v>NO</v>
      </c>
      <c r="AP529">
        <v>1</v>
      </c>
      <c r="AQ529" t="str">
        <f>IF(Table1[[#This Row],[Pimples(Y/N)]]=1,"YES","NO")</f>
        <v>YES</v>
      </c>
      <c r="AR529">
        <v>0</v>
      </c>
      <c r="AS529" t="str">
        <f>IF(Table1[[#This Row],[Fast food (Y/N)]]=1,"YES","NO")</f>
        <v>NO</v>
      </c>
      <c r="AT529">
        <v>0</v>
      </c>
      <c r="AU529" t="str">
        <f>IF(Table1[[#This Row],[Reg.Exercise(Y/N)]]=1,"YES","NO")</f>
        <v>NO</v>
      </c>
      <c r="AV529">
        <v>120</v>
      </c>
      <c r="AW529">
        <v>80</v>
      </c>
      <c r="AX529">
        <v>10</v>
      </c>
      <c r="AY529">
        <v>9</v>
      </c>
      <c r="AZ529">
        <v>21</v>
      </c>
      <c r="BA529">
        <v>18</v>
      </c>
      <c r="BB529">
        <v>6.2</v>
      </c>
      <c r="BC529" t="str" cm="1">
        <f t="array" ref="BC529">_xlfn.IFS((F529/(G529*G529)*10000)&lt; 18.5,"Underweight",(F529/(G529*G529)*10000)&lt;24.9,"Normal",(F529/(G529*G529)*10000)&lt;29.9,"Overweight",(F529/(G529*G529)*10000)&gt;=30,"obesity")</f>
        <v>Normal</v>
      </c>
      <c r="BD529">
        <f>Table1[[#This Row],[Follicle No. (L)]]+Table1[[#This Row],[Follicle No. (R)]]</f>
        <v>19</v>
      </c>
      <c r="BE529">
        <f>Table1[[#This Row],[Avg. F size (L) (mm)]]+Table1[[#This Row],[Avg. F size (R) (mm)]]</f>
        <v>39</v>
      </c>
      <c r="BF529">
        <f>Table1[[#This Row],[BP _Diastolic (mmHg)]]+(Table1[[#This Row],[BP _Diastolic (mmHg)]]+Table1[[#This Row],[Follicle No. (L)]])/3</f>
        <v>110</v>
      </c>
      <c r="BG529" s="4" t="str" cm="1">
        <f t="array" ref="BG52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29" s="4">
        <f>SUM(Table1[[#This Row],[Pimples(Y/N)]],Table1[[#This Row],[hair growth(Y/N)]],Table1[[#This Row],[Skin darkening (Y/N)]],Table1[[#This Row],[Hair loss(Y/N)]])</f>
        <v>1</v>
      </c>
      <c r="BI529" s="4" t="str">
        <f>IF(AND(Table1[[#This Row],[Pregnant(Y/N)]]=0, Table1[[#This Row],[  I   beta-HCG(mIU/mL)]]&gt;5), "Investigation Required", "Clear")</f>
        <v>Investigation Required</v>
      </c>
    </row>
    <row r="530" spans="1:61" ht="15.75" customHeight="1" x14ac:dyDescent="0.25">
      <c r="A530">
        <v>529</v>
      </c>
      <c r="B530">
        <v>529</v>
      </c>
      <c r="C530">
        <v>0</v>
      </c>
      <c r="D530" t="str">
        <f>IF(Table1[[#This Row],[PCOS (Y/N)]]=0,"NO","YES")</f>
        <v>NO</v>
      </c>
      <c r="E530">
        <v>41</v>
      </c>
      <c r="F530">
        <v>58</v>
      </c>
      <c r="G530">
        <v>146.304</v>
      </c>
      <c r="H530">
        <v>13</v>
      </c>
      <c r="I530">
        <v>72</v>
      </c>
      <c r="J530">
        <v>20</v>
      </c>
      <c r="K530">
        <v>10.5</v>
      </c>
      <c r="L530">
        <v>2</v>
      </c>
      <c r="M530">
        <v>6</v>
      </c>
      <c r="N530">
        <v>6</v>
      </c>
      <c r="O530">
        <v>0</v>
      </c>
      <c r="P530" t="str">
        <f>IF(Table1[[#This Row],[Pregnant(Y/N)]]=1,"YES","NO")</f>
        <v>NO</v>
      </c>
      <c r="Q530">
        <v>0</v>
      </c>
      <c r="R530">
        <v>1.99</v>
      </c>
      <c r="S530">
        <v>1.99</v>
      </c>
      <c r="T530">
        <v>9.64</v>
      </c>
      <c r="U530">
        <v>3.68</v>
      </c>
      <c r="V530">
        <f>Table1[[#This Row],[FSH(mIU/mL)]]/Table1[[#This Row],[LH(mIU/mL)]]</f>
        <v>2.6195652173913042</v>
      </c>
      <c r="W530" t="str">
        <f>IF(Table1[[#This Row],[FSH/LH]]&gt;=2,"Abnormal","Normal")</f>
        <v>Abnormal</v>
      </c>
      <c r="X530">
        <v>42</v>
      </c>
      <c r="Y530">
        <v>40</v>
      </c>
      <c r="Z530">
        <f>ROUND(Table1[[#This Row],[Waist(inch)]]/Table1[[#This Row],[Hip(inch)]],2)</f>
        <v>0.95</v>
      </c>
      <c r="AA530">
        <v>2.52</v>
      </c>
      <c r="AB530">
        <v>0.8</v>
      </c>
      <c r="AC530">
        <v>16.21</v>
      </c>
      <c r="AD530">
        <v>31</v>
      </c>
      <c r="AE530" t="str">
        <f>IF(Table1[[#This Row],[Vit D3 (ng/mL)]]&lt;20,"Deficiency","Normal")</f>
        <v>Normal</v>
      </c>
      <c r="AF530">
        <v>0.25</v>
      </c>
      <c r="AG530">
        <v>92</v>
      </c>
      <c r="AH530">
        <v>1</v>
      </c>
      <c r="AI530" t="str">
        <f>IF(Table1[[#This Row],[Weight gain(Y/N)]]=0,"NO","YES")</f>
        <v>YES</v>
      </c>
      <c r="AJ530">
        <v>0</v>
      </c>
      <c r="AK530" t="str">
        <f>IF(Table1[[#This Row],[hair growth(Y/N)]]=1,"YES","NO")</f>
        <v>NO</v>
      </c>
      <c r="AL530">
        <v>0</v>
      </c>
      <c r="AM530" t="str">
        <f>IF(Table1[[#This Row],[Skin darkening (Y/N)]]=1,"YES","NO")</f>
        <v>NO</v>
      </c>
      <c r="AN530">
        <v>0</v>
      </c>
      <c r="AO530" t="str">
        <f>IF(Table1[[#This Row],[Hair loss(Y/N)]]=1,"YES","NO")</f>
        <v>NO</v>
      </c>
      <c r="AP530">
        <v>0</v>
      </c>
      <c r="AQ530" t="str">
        <f>IF(Table1[[#This Row],[Pimples(Y/N)]]=1,"YES","NO")</f>
        <v>NO</v>
      </c>
      <c r="AR530">
        <v>1</v>
      </c>
      <c r="AS530" t="str">
        <f>IF(Table1[[#This Row],[Fast food (Y/N)]]=1,"YES","NO")</f>
        <v>YES</v>
      </c>
      <c r="AT530">
        <v>0</v>
      </c>
      <c r="AU530" t="str">
        <f>IF(Table1[[#This Row],[Reg.Exercise(Y/N)]]=1,"YES","NO")</f>
        <v>NO</v>
      </c>
      <c r="AV530">
        <v>120</v>
      </c>
      <c r="AW530">
        <v>80</v>
      </c>
      <c r="AX530">
        <v>1</v>
      </c>
      <c r="AY530">
        <v>0</v>
      </c>
      <c r="AZ530">
        <v>19</v>
      </c>
      <c r="BA530">
        <v>14</v>
      </c>
      <c r="BB530">
        <v>9.6999999999999993</v>
      </c>
      <c r="BC530" t="str" cm="1">
        <f t="array" ref="BC530">_xlfn.IFS((F530/(G530*G530)*10000)&lt; 18.5,"Underweight",(F530/(G530*G530)*10000)&lt;24.9,"Normal",(F530/(G530*G530)*10000)&lt;29.9,"Overweight",(F530/(G530*G530)*10000)&gt;=30,"obesity")</f>
        <v>Overweight</v>
      </c>
      <c r="BD530">
        <f>Table1[[#This Row],[Follicle No. (L)]]+Table1[[#This Row],[Follicle No. (R)]]</f>
        <v>1</v>
      </c>
      <c r="BE530">
        <f>Table1[[#This Row],[Avg. F size (L) (mm)]]+Table1[[#This Row],[Avg. F size (R) (mm)]]</f>
        <v>33</v>
      </c>
      <c r="BF530">
        <f>Table1[[#This Row],[BP _Diastolic (mmHg)]]+(Table1[[#This Row],[BP _Diastolic (mmHg)]]+Table1[[#This Row],[Follicle No. (L)]])/3</f>
        <v>107</v>
      </c>
      <c r="BG530" s="4" t="str" cm="1">
        <f t="array" ref="BG53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30" s="4">
        <f>SUM(Table1[[#This Row],[Pimples(Y/N)]],Table1[[#This Row],[hair growth(Y/N)]],Table1[[#This Row],[Skin darkening (Y/N)]],Table1[[#This Row],[Hair loss(Y/N)]])</f>
        <v>0</v>
      </c>
      <c r="BI530" s="4" t="str">
        <f>IF(AND(Table1[[#This Row],[Pregnant(Y/N)]]=0, Table1[[#This Row],[  I   beta-HCG(mIU/mL)]]&gt;5), "Investigation Required", "Clear")</f>
        <v>Clear</v>
      </c>
    </row>
    <row r="531" spans="1:61" ht="15.75" customHeight="1" x14ac:dyDescent="0.25">
      <c r="A531">
        <v>530</v>
      </c>
      <c r="B531">
        <v>530</v>
      </c>
      <c r="C531">
        <v>0</v>
      </c>
      <c r="D531" t="str">
        <f>IF(Table1[[#This Row],[PCOS (Y/N)]]=0,"NO","YES")</f>
        <v>NO</v>
      </c>
      <c r="E531">
        <v>32</v>
      </c>
      <c r="F531">
        <v>52</v>
      </c>
      <c r="G531">
        <v>163</v>
      </c>
      <c r="H531">
        <v>13</v>
      </c>
      <c r="I531">
        <v>70</v>
      </c>
      <c r="J531">
        <v>24</v>
      </c>
      <c r="K531">
        <v>10.8</v>
      </c>
      <c r="L531">
        <v>2</v>
      </c>
      <c r="M531">
        <v>6</v>
      </c>
      <c r="N531">
        <v>4</v>
      </c>
      <c r="O531">
        <v>0</v>
      </c>
      <c r="P531" t="str">
        <f>IF(Table1[[#This Row],[Pregnant(Y/N)]]=1,"YES","NO")</f>
        <v>NO</v>
      </c>
      <c r="Q531">
        <v>0</v>
      </c>
      <c r="R531">
        <v>1.99</v>
      </c>
      <c r="S531">
        <v>1.99</v>
      </c>
      <c r="T531">
        <v>1.35</v>
      </c>
      <c r="U531">
        <v>0.37</v>
      </c>
      <c r="V531">
        <f>Table1[[#This Row],[FSH(mIU/mL)]]/Table1[[#This Row],[LH(mIU/mL)]]</f>
        <v>3.6486486486486491</v>
      </c>
      <c r="W531" t="str">
        <f>IF(Table1[[#This Row],[FSH/LH]]&gt;=2,"Abnormal","Normal")</f>
        <v>Abnormal</v>
      </c>
      <c r="X531">
        <v>30</v>
      </c>
      <c r="Y531">
        <v>28</v>
      </c>
      <c r="Z531">
        <f>ROUND(Table1[[#This Row],[Waist(inch)]]/Table1[[#This Row],[Hip(inch)]],2)</f>
        <v>0.93</v>
      </c>
      <c r="AA531">
        <v>5.04</v>
      </c>
      <c r="AB531">
        <v>2.2999999999999998</v>
      </c>
      <c r="AC531">
        <v>14.86</v>
      </c>
      <c r="AD531">
        <v>19.3</v>
      </c>
      <c r="AE531" t="str">
        <f>IF(Table1[[#This Row],[Vit D3 (ng/mL)]]&lt;20,"Deficiency","Normal")</f>
        <v>Deficiency</v>
      </c>
      <c r="AF531">
        <v>0.25</v>
      </c>
      <c r="AG531">
        <v>108</v>
      </c>
      <c r="AH531">
        <v>0</v>
      </c>
      <c r="AI531" t="str">
        <f>IF(Table1[[#This Row],[Weight gain(Y/N)]]=0,"NO","YES")</f>
        <v>NO</v>
      </c>
      <c r="AJ531">
        <v>0</v>
      </c>
      <c r="AK531" t="str">
        <f>IF(Table1[[#This Row],[hair growth(Y/N)]]=1,"YES","NO")</f>
        <v>NO</v>
      </c>
      <c r="AL531">
        <v>0</v>
      </c>
      <c r="AM531" t="str">
        <f>IF(Table1[[#This Row],[Skin darkening (Y/N)]]=1,"YES","NO")</f>
        <v>NO</v>
      </c>
      <c r="AN531">
        <v>0</v>
      </c>
      <c r="AO531" t="str">
        <f>IF(Table1[[#This Row],[Hair loss(Y/N)]]=1,"YES","NO")</f>
        <v>NO</v>
      </c>
      <c r="AP531">
        <v>0</v>
      </c>
      <c r="AQ531" t="str">
        <f>IF(Table1[[#This Row],[Pimples(Y/N)]]=1,"YES","NO")</f>
        <v>NO</v>
      </c>
      <c r="AR531">
        <v>1</v>
      </c>
      <c r="AS531" t="str">
        <f>IF(Table1[[#This Row],[Fast food (Y/N)]]=1,"YES","NO")</f>
        <v>YES</v>
      </c>
      <c r="AT531">
        <v>0</v>
      </c>
      <c r="AU531" t="str">
        <f>IF(Table1[[#This Row],[Reg.Exercise(Y/N)]]=1,"YES","NO")</f>
        <v>NO</v>
      </c>
      <c r="AV531">
        <v>120</v>
      </c>
      <c r="AW531">
        <v>80</v>
      </c>
      <c r="AX531">
        <v>3</v>
      </c>
      <c r="AY531">
        <v>1</v>
      </c>
      <c r="AZ531">
        <v>18</v>
      </c>
      <c r="BA531">
        <v>17</v>
      </c>
      <c r="BB531">
        <v>7.3</v>
      </c>
      <c r="BC531" t="str" cm="1">
        <f t="array" ref="BC531">_xlfn.IFS((F531/(G531*G531)*10000)&lt; 18.5,"Underweight",(F531/(G531*G531)*10000)&lt;24.9,"Normal",(F531/(G531*G531)*10000)&lt;29.9,"Overweight",(F531/(G531*G531)*10000)&gt;=30,"obesity")</f>
        <v>Normal</v>
      </c>
      <c r="BD531">
        <f>Table1[[#This Row],[Follicle No. (L)]]+Table1[[#This Row],[Follicle No. (R)]]</f>
        <v>4</v>
      </c>
      <c r="BE531">
        <f>Table1[[#This Row],[Avg. F size (L) (mm)]]+Table1[[#This Row],[Avg. F size (R) (mm)]]</f>
        <v>35</v>
      </c>
      <c r="BF531">
        <f>Table1[[#This Row],[BP _Diastolic (mmHg)]]+(Table1[[#This Row],[BP _Diastolic (mmHg)]]+Table1[[#This Row],[Follicle No. (L)]])/3</f>
        <v>107.66666666666667</v>
      </c>
      <c r="BG531" s="4" t="str" cm="1">
        <f t="array" ref="BG53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31" s="4">
        <f>SUM(Table1[[#This Row],[Pimples(Y/N)]],Table1[[#This Row],[hair growth(Y/N)]],Table1[[#This Row],[Skin darkening (Y/N)]],Table1[[#This Row],[Hair loss(Y/N)]])</f>
        <v>0</v>
      </c>
      <c r="BI531" s="4" t="str">
        <f>IF(AND(Table1[[#This Row],[Pregnant(Y/N)]]=0, Table1[[#This Row],[  I   beta-HCG(mIU/mL)]]&gt;5), "Investigation Required", "Clear")</f>
        <v>Clear</v>
      </c>
    </row>
    <row r="532" spans="1:61" ht="15.75" customHeight="1" x14ac:dyDescent="0.25">
      <c r="A532">
        <v>531</v>
      </c>
      <c r="B532">
        <v>531</v>
      </c>
      <c r="C532">
        <v>0</v>
      </c>
      <c r="D532" t="str">
        <f>IF(Table1[[#This Row],[PCOS (Y/N)]]=0,"NO","YES")</f>
        <v>NO</v>
      </c>
      <c r="E532">
        <v>38</v>
      </c>
      <c r="F532">
        <v>61</v>
      </c>
      <c r="G532">
        <v>158</v>
      </c>
      <c r="H532">
        <v>15</v>
      </c>
      <c r="I532">
        <v>72</v>
      </c>
      <c r="J532">
        <v>20</v>
      </c>
      <c r="K532">
        <v>12.3</v>
      </c>
      <c r="L532">
        <v>2</v>
      </c>
      <c r="M532">
        <v>5</v>
      </c>
      <c r="N532">
        <v>10</v>
      </c>
      <c r="O532">
        <v>0</v>
      </c>
      <c r="P532" t="str">
        <f>IF(Table1[[#This Row],[Pregnant(Y/N)]]=1,"YES","NO")</f>
        <v>NO</v>
      </c>
      <c r="Q532">
        <v>0</v>
      </c>
      <c r="R532">
        <v>270.49</v>
      </c>
      <c r="S532">
        <v>1.99</v>
      </c>
      <c r="T532">
        <v>9.2899999999999991</v>
      </c>
      <c r="U532">
        <v>2.54</v>
      </c>
      <c r="V532">
        <f>Table1[[#This Row],[FSH(mIU/mL)]]/Table1[[#This Row],[LH(mIU/mL)]]</f>
        <v>3.6574803149606296</v>
      </c>
      <c r="W532" t="str">
        <f>IF(Table1[[#This Row],[FSH/LH]]&gt;=2,"Abnormal","Normal")</f>
        <v>Abnormal</v>
      </c>
      <c r="X532">
        <v>38</v>
      </c>
      <c r="Y532">
        <v>34</v>
      </c>
      <c r="Z532">
        <f>ROUND(Table1[[#This Row],[Waist(inch)]]/Table1[[#This Row],[Hip(inch)]],2)</f>
        <v>0.89</v>
      </c>
      <c r="AA532">
        <v>1.31</v>
      </c>
      <c r="AB532">
        <v>1</v>
      </c>
      <c r="AC532">
        <v>19.309999999999999</v>
      </c>
      <c r="AD532">
        <v>30.5</v>
      </c>
      <c r="AE532" t="str">
        <f>IF(Table1[[#This Row],[Vit D3 (ng/mL)]]&lt;20,"Deficiency","Normal")</f>
        <v>Normal</v>
      </c>
      <c r="AF532">
        <v>0.26</v>
      </c>
      <c r="AG532">
        <v>100</v>
      </c>
      <c r="AH532">
        <v>0</v>
      </c>
      <c r="AI532" t="str">
        <f>IF(Table1[[#This Row],[Weight gain(Y/N)]]=0,"NO","YES")</f>
        <v>NO</v>
      </c>
      <c r="AJ532">
        <v>0</v>
      </c>
      <c r="AK532" t="str">
        <f>IF(Table1[[#This Row],[hair growth(Y/N)]]=1,"YES","NO")</f>
        <v>NO</v>
      </c>
      <c r="AL532">
        <v>0</v>
      </c>
      <c r="AM532" t="str">
        <f>IF(Table1[[#This Row],[Skin darkening (Y/N)]]=1,"YES","NO")</f>
        <v>NO</v>
      </c>
      <c r="AN532">
        <v>0</v>
      </c>
      <c r="AO532" t="str">
        <f>IF(Table1[[#This Row],[Hair loss(Y/N)]]=1,"YES","NO")</f>
        <v>NO</v>
      </c>
      <c r="AP532">
        <v>0</v>
      </c>
      <c r="AQ532" t="str">
        <f>IF(Table1[[#This Row],[Pimples(Y/N)]]=1,"YES","NO")</f>
        <v>NO</v>
      </c>
      <c r="AR532">
        <v>0</v>
      </c>
      <c r="AS532" t="str">
        <f>IF(Table1[[#This Row],[Fast food (Y/N)]]=1,"YES","NO")</f>
        <v>NO</v>
      </c>
      <c r="AT532">
        <v>0</v>
      </c>
      <c r="AU532" t="str">
        <f>IF(Table1[[#This Row],[Reg.Exercise(Y/N)]]=1,"YES","NO")</f>
        <v>NO</v>
      </c>
      <c r="AV532">
        <v>120</v>
      </c>
      <c r="AW532">
        <v>80</v>
      </c>
      <c r="AX532">
        <v>10</v>
      </c>
      <c r="AY532">
        <v>11</v>
      </c>
      <c r="AZ532">
        <v>21</v>
      </c>
      <c r="BA532">
        <v>12</v>
      </c>
      <c r="BB532">
        <v>4.8</v>
      </c>
      <c r="BC532" t="str" cm="1">
        <f t="array" ref="BC532">_xlfn.IFS((F532/(G532*G532)*10000)&lt; 18.5,"Underweight",(F532/(G532*G532)*10000)&lt;24.9,"Normal",(F532/(G532*G532)*10000)&lt;29.9,"Overweight",(F532/(G532*G532)*10000)&gt;=30,"obesity")</f>
        <v>Normal</v>
      </c>
      <c r="BD532">
        <f>Table1[[#This Row],[Follicle No. (L)]]+Table1[[#This Row],[Follicle No. (R)]]</f>
        <v>21</v>
      </c>
      <c r="BE532">
        <f>Table1[[#This Row],[Avg. F size (L) (mm)]]+Table1[[#This Row],[Avg. F size (R) (mm)]]</f>
        <v>33</v>
      </c>
      <c r="BF532">
        <f>Table1[[#This Row],[BP _Diastolic (mmHg)]]+(Table1[[#This Row],[BP _Diastolic (mmHg)]]+Table1[[#This Row],[Follicle No. (L)]])/3</f>
        <v>110</v>
      </c>
      <c r="BG532" s="4" t="str" cm="1">
        <f t="array" ref="BG53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32" s="4">
        <f>SUM(Table1[[#This Row],[Pimples(Y/N)]],Table1[[#This Row],[hair growth(Y/N)]],Table1[[#This Row],[Skin darkening (Y/N)]],Table1[[#This Row],[Hair loss(Y/N)]])</f>
        <v>0</v>
      </c>
      <c r="BI532" s="4" t="str">
        <f>IF(AND(Table1[[#This Row],[Pregnant(Y/N)]]=0, Table1[[#This Row],[  I   beta-HCG(mIU/mL)]]&gt;5), "Investigation Required", "Clear")</f>
        <v>Investigation Required</v>
      </c>
    </row>
    <row r="533" spans="1:61" ht="15.75" customHeight="1" x14ac:dyDescent="0.25">
      <c r="A533">
        <v>532</v>
      </c>
      <c r="B533">
        <v>532</v>
      </c>
      <c r="C533">
        <v>0</v>
      </c>
      <c r="D533" t="str">
        <f>IF(Table1[[#This Row],[PCOS (Y/N)]]=0,"NO","YES")</f>
        <v>NO</v>
      </c>
      <c r="E533">
        <v>34</v>
      </c>
      <c r="F533">
        <v>70</v>
      </c>
      <c r="G533">
        <v>164</v>
      </c>
      <c r="H533">
        <v>11</v>
      </c>
      <c r="I533">
        <v>72</v>
      </c>
      <c r="J533">
        <v>22</v>
      </c>
      <c r="K533">
        <v>10.5</v>
      </c>
      <c r="L533">
        <v>2</v>
      </c>
      <c r="M533">
        <v>5</v>
      </c>
      <c r="N533">
        <v>8</v>
      </c>
      <c r="O533">
        <v>0</v>
      </c>
      <c r="P533" t="str">
        <f>IF(Table1[[#This Row],[Pregnant(Y/N)]]=1,"YES","NO")</f>
        <v>NO</v>
      </c>
      <c r="Q533">
        <v>0</v>
      </c>
      <c r="R533">
        <v>1.99</v>
      </c>
      <c r="S533">
        <v>1.99</v>
      </c>
      <c r="T533">
        <v>6.87</v>
      </c>
      <c r="U533">
        <v>2.0699999999999998</v>
      </c>
      <c r="V533">
        <f>Table1[[#This Row],[FSH(mIU/mL)]]/Table1[[#This Row],[LH(mIU/mL)]]</f>
        <v>3.3188405797101455</v>
      </c>
      <c r="W533" t="str">
        <f>IF(Table1[[#This Row],[FSH/LH]]&gt;=2,"Abnormal","Normal")</f>
        <v>Abnormal</v>
      </c>
      <c r="X533">
        <v>48</v>
      </c>
      <c r="Y533">
        <v>44</v>
      </c>
      <c r="Z533">
        <f>ROUND(Table1[[#This Row],[Waist(inch)]]/Table1[[#This Row],[Hip(inch)]],2)</f>
        <v>0.92</v>
      </c>
      <c r="AA533">
        <v>1.08</v>
      </c>
      <c r="AB533">
        <v>0.7</v>
      </c>
      <c r="AC533">
        <v>39.32</v>
      </c>
      <c r="AD533">
        <v>11.3</v>
      </c>
      <c r="AE533" t="str">
        <f>IF(Table1[[#This Row],[Vit D3 (ng/mL)]]&lt;20,"Deficiency","Normal")</f>
        <v>Deficiency</v>
      </c>
      <c r="AF533">
        <v>0.25</v>
      </c>
      <c r="AG533">
        <v>92</v>
      </c>
      <c r="AH533">
        <v>0</v>
      </c>
      <c r="AI533" t="str">
        <f>IF(Table1[[#This Row],[Weight gain(Y/N)]]=0,"NO","YES")</f>
        <v>NO</v>
      </c>
      <c r="AJ533">
        <v>0</v>
      </c>
      <c r="AK533" t="str">
        <f>IF(Table1[[#This Row],[hair growth(Y/N)]]=1,"YES","NO")</f>
        <v>NO</v>
      </c>
      <c r="AL533">
        <v>0</v>
      </c>
      <c r="AM533" t="str">
        <f>IF(Table1[[#This Row],[Skin darkening (Y/N)]]=1,"YES","NO")</f>
        <v>NO</v>
      </c>
      <c r="AN533">
        <v>0</v>
      </c>
      <c r="AO533" t="str">
        <f>IF(Table1[[#This Row],[Hair loss(Y/N)]]=1,"YES","NO")</f>
        <v>NO</v>
      </c>
      <c r="AP533">
        <v>0</v>
      </c>
      <c r="AQ533" t="str">
        <f>IF(Table1[[#This Row],[Pimples(Y/N)]]=1,"YES","NO")</f>
        <v>NO</v>
      </c>
      <c r="AR533">
        <v>0</v>
      </c>
      <c r="AS533" t="str">
        <f>IF(Table1[[#This Row],[Fast food (Y/N)]]=1,"YES","NO")</f>
        <v>NO</v>
      </c>
      <c r="AT533">
        <v>0</v>
      </c>
      <c r="AU533" t="str">
        <f>IF(Table1[[#This Row],[Reg.Exercise(Y/N)]]=1,"YES","NO")</f>
        <v>NO</v>
      </c>
      <c r="AV533">
        <v>120</v>
      </c>
      <c r="AW533">
        <v>70</v>
      </c>
      <c r="AX533">
        <v>2</v>
      </c>
      <c r="AY533">
        <v>0</v>
      </c>
      <c r="AZ533">
        <v>21</v>
      </c>
      <c r="BA533">
        <v>16</v>
      </c>
      <c r="BB533">
        <v>8.5</v>
      </c>
      <c r="BC533" t="str" cm="1">
        <f t="array" ref="BC533">_xlfn.IFS((F533/(G533*G533)*10000)&lt; 18.5,"Underweight",(F533/(G533*G533)*10000)&lt;24.9,"Normal",(F533/(G533*G533)*10000)&lt;29.9,"Overweight",(F533/(G533*G533)*10000)&gt;=30,"obesity")</f>
        <v>Overweight</v>
      </c>
      <c r="BD533">
        <f>Table1[[#This Row],[Follicle No. (L)]]+Table1[[#This Row],[Follicle No. (R)]]</f>
        <v>2</v>
      </c>
      <c r="BE533">
        <f>Table1[[#This Row],[Avg. F size (L) (mm)]]+Table1[[#This Row],[Avg. F size (R) (mm)]]</f>
        <v>37</v>
      </c>
      <c r="BF533">
        <f>Table1[[#This Row],[BP _Diastolic (mmHg)]]+(Table1[[#This Row],[BP _Diastolic (mmHg)]]+Table1[[#This Row],[Follicle No. (L)]])/3</f>
        <v>94</v>
      </c>
      <c r="BG533" s="4" t="str" cm="1">
        <f t="array" ref="BG533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33" s="4">
        <f>SUM(Table1[[#This Row],[Pimples(Y/N)]],Table1[[#This Row],[hair growth(Y/N)]],Table1[[#This Row],[Skin darkening (Y/N)]],Table1[[#This Row],[Hair loss(Y/N)]])</f>
        <v>0</v>
      </c>
      <c r="BI533" s="4" t="str">
        <f>IF(AND(Table1[[#This Row],[Pregnant(Y/N)]]=0, Table1[[#This Row],[  I   beta-HCG(mIU/mL)]]&gt;5), "Investigation Required", "Clear")</f>
        <v>Clear</v>
      </c>
    </row>
    <row r="534" spans="1:61" ht="15.75" customHeight="1" x14ac:dyDescent="0.25">
      <c r="A534">
        <v>533</v>
      </c>
      <c r="B534">
        <v>533</v>
      </c>
      <c r="C534">
        <v>0</v>
      </c>
      <c r="D534" t="str">
        <f>IF(Table1[[#This Row],[PCOS (Y/N)]]=0,"NO","YES")</f>
        <v>NO</v>
      </c>
      <c r="E534">
        <v>39</v>
      </c>
      <c r="F534">
        <v>56</v>
      </c>
      <c r="G534">
        <v>158.49600000000001</v>
      </c>
      <c r="H534">
        <v>12</v>
      </c>
      <c r="I534">
        <v>72</v>
      </c>
      <c r="J534">
        <v>22</v>
      </c>
      <c r="K534">
        <v>10.8</v>
      </c>
      <c r="L534">
        <v>2</v>
      </c>
      <c r="M534">
        <v>4</v>
      </c>
      <c r="N534">
        <v>13</v>
      </c>
      <c r="O534">
        <v>0</v>
      </c>
      <c r="P534" t="str">
        <f>IF(Table1[[#This Row],[Pregnant(Y/N)]]=1,"YES","NO")</f>
        <v>NO</v>
      </c>
      <c r="Q534">
        <v>0</v>
      </c>
      <c r="R534">
        <v>667.07</v>
      </c>
      <c r="S534">
        <v>1.99</v>
      </c>
      <c r="T534">
        <v>10.29</v>
      </c>
      <c r="U534">
        <v>5.0999999999999996</v>
      </c>
      <c r="V534">
        <f>Table1[[#This Row],[FSH(mIU/mL)]]/Table1[[#This Row],[LH(mIU/mL)]]</f>
        <v>2.0176470588235293</v>
      </c>
      <c r="W534" t="str">
        <f>IF(Table1[[#This Row],[FSH/LH]]&gt;=2,"Abnormal","Normal")</f>
        <v>Abnormal</v>
      </c>
      <c r="X534">
        <v>32</v>
      </c>
      <c r="Y534">
        <v>28</v>
      </c>
      <c r="Z534">
        <f>ROUND(Table1[[#This Row],[Waist(inch)]]/Table1[[#This Row],[Hip(inch)]],2)</f>
        <v>0.88</v>
      </c>
      <c r="AA534">
        <v>1.48</v>
      </c>
      <c r="AB534">
        <v>6.3</v>
      </c>
      <c r="AC534">
        <v>32.14</v>
      </c>
      <c r="AD534">
        <v>23.4</v>
      </c>
      <c r="AE534" t="str">
        <f>IF(Table1[[#This Row],[Vit D3 (ng/mL)]]&lt;20,"Deficiency","Normal")</f>
        <v>Normal</v>
      </c>
      <c r="AF534">
        <v>0.25</v>
      </c>
      <c r="AG534">
        <v>92</v>
      </c>
      <c r="AH534">
        <v>0</v>
      </c>
      <c r="AI534" t="str">
        <f>IF(Table1[[#This Row],[Weight gain(Y/N)]]=0,"NO","YES")</f>
        <v>NO</v>
      </c>
      <c r="AJ534">
        <v>0</v>
      </c>
      <c r="AK534" t="str">
        <f>IF(Table1[[#This Row],[hair growth(Y/N)]]=1,"YES","NO")</f>
        <v>NO</v>
      </c>
      <c r="AL534">
        <v>0</v>
      </c>
      <c r="AM534" t="str">
        <f>IF(Table1[[#This Row],[Skin darkening (Y/N)]]=1,"YES","NO")</f>
        <v>NO</v>
      </c>
      <c r="AN534">
        <v>0</v>
      </c>
      <c r="AO534" t="str">
        <f>IF(Table1[[#This Row],[Hair loss(Y/N)]]=1,"YES","NO")</f>
        <v>NO</v>
      </c>
      <c r="AP534">
        <v>0</v>
      </c>
      <c r="AQ534" t="str">
        <f>IF(Table1[[#This Row],[Pimples(Y/N)]]=1,"YES","NO")</f>
        <v>NO</v>
      </c>
      <c r="AR534">
        <v>0</v>
      </c>
      <c r="AS534" t="str">
        <f>IF(Table1[[#This Row],[Fast food (Y/N)]]=1,"YES","NO")</f>
        <v>NO</v>
      </c>
      <c r="AT534">
        <v>0</v>
      </c>
      <c r="AU534" t="str">
        <f>IF(Table1[[#This Row],[Reg.Exercise(Y/N)]]=1,"YES","NO")</f>
        <v>NO</v>
      </c>
      <c r="AV534">
        <v>130</v>
      </c>
      <c r="AW534">
        <v>80</v>
      </c>
      <c r="AX534">
        <v>9</v>
      </c>
      <c r="AY534">
        <v>7</v>
      </c>
      <c r="AZ534">
        <v>17</v>
      </c>
      <c r="BA534">
        <v>18</v>
      </c>
      <c r="BB534">
        <v>7</v>
      </c>
      <c r="BC534" t="str" cm="1">
        <f t="array" ref="BC534">_xlfn.IFS((F534/(G534*G534)*10000)&lt; 18.5,"Underweight",(F534/(G534*G534)*10000)&lt;24.9,"Normal",(F534/(G534*G534)*10000)&lt;29.9,"Overweight",(F534/(G534*G534)*10000)&gt;=30,"obesity")</f>
        <v>Normal</v>
      </c>
      <c r="BD534">
        <f>Table1[[#This Row],[Follicle No. (L)]]+Table1[[#This Row],[Follicle No. (R)]]</f>
        <v>16</v>
      </c>
      <c r="BE534">
        <f>Table1[[#This Row],[Avg. F size (L) (mm)]]+Table1[[#This Row],[Avg. F size (R) (mm)]]</f>
        <v>35</v>
      </c>
      <c r="BF534">
        <f>Table1[[#This Row],[BP _Diastolic (mmHg)]]+(Table1[[#This Row],[BP _Diastolic (mmHg)]]+Table1[[#This Row],[Follicle No. (L)]])/3</f>
        <v>109.66666666666667</v>
      </c>
      <c r="BG534" s="4" t="str" cm="1">
        <f t="array" ref="BG534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34" s="4">
        <f>SUM(Table1[[#This Row],[Pimples(Y/N)]],Table1[[#This Row],[hair growth(Y/N)]],Table1[[#This Row],[Skin darkening (Y/N)]],Table1[[#This Row],[Hair loss(Y/N)]])</f>
        <v>0</v>
      </c>
      <c r="BI534" s="4" t="str">
        <f>IF(AND(Table1[[#This Row],[Pregnant(Y/N)]]=0, Table1[[#This Row],[  I   beta-HCG(mIU/mL)]]&gt;5), "Investigation Required", "Clear")</f>
        <v>Investigation Required</v>
      </c>
    </row>
    <row r="535" spans="1:61" ht="15.75" customHeight="1" x14ac:dyDescent="0.25">
      <c r="A535">
        <v>534</v>
      </c>
      <c r="B535">
        <v>534</v>
      </c>
      <c r="C535">
        <v>1</v>
      </c>
      <c r="D535" t="str">
        <f>IF(Table1[[#This Row],[PCOS (Y/N)]]=0,"NO","YES")</f>
        <v>YES</v>
      </c>
      <c r="E535">
        <v>26</v>
      </c>
      <c r="F535">
        <v>53.5</v>
      </c>
      <c r="G535">
        <v>161.54400000000001</v>
      </c>
      <c r="H535">
        <v>14</v>
      </c>
      <c r="I535">
        <v>70</v>
      </c>
      <c r="J535">
        <v>18</v>
      </c>
      <c r="K535">
        <v>10.6</v>
      </c>
      <c r="L535">
        <v>4</v>
      </c>
      <c r="M535">
        <v>7</v>
      </c>
      <c r="N535">
        <v>3</v>
      </c>
      <c r="O535">
        <v>0</v>
      </c>
      <c r="P535" t="str">
        <f>IF(Table1[[#This Row],[Pregnant(Y/N)]]=1,"YES","NO")</f>
        <v>NO</v>
      </c>
      <c r="Q535">
        <v>0</v>
      </c>
      <c r="R535">
        <v>572.86</v>
      </c>
      <c r="S535">
        <v>5.81</v>
      </c>
      <c r="T535">
        <v>3.71</v>
      </c>
      <c r="U535">
        <v>4.66</v>
      </c>
      <c r="V535">
        <f>Table1[[#This Row],[FSH(mIU/mL)]]/Table1[[#This Row],[LH(mIU/mL)]]</f>
        <v>0.79613733905579398</v>
      </c>
      <c r="W535" t="str">
        <f>IF(Table1[[#This Row],[FSH/LH]]&gt;=2,"Abnormal","Normal")</f>
        <v>Normal</v>
      </c>
      <c r="X535">
        <v>28</v>
      </c>
      <c r="Y535">
        <v>26</v>
      </c>
      <c r="Z535">
        <f>ROUND(Table1[[#This Row],[Waist(inch)]]/Table1[[#This Row],[Hip(inch)]],2)</f>
        <v>0.93</v>
      </c>
      <c r="AA535">
        <v>1.4</v>
      </c>
      <c r="AB535">
        <v>19.600000000000001</v>
      </c>
      <c r="AC535">
        <v>29.57</v>
      </c>
      <c r="AD535">
        <v>32.1</v>
      </c>
      <c r="AE535" t="str">
        <f>IF(Table1[[#This Row],[Vit D3 (ng/mL)]]&lt;20,"Deficiency","Normal")</f>
        <v>Normal</v>
      </c>
      <c r="AF535">
        <v>0.36</v>
      </c>
      <c r="AG535">
        <v>100</v>
      </c>
      <c r="AH535">
        <v>0</v>
      </c>
      <c r="AI535" t="str">
        <f>IF(Table1[[#This Row],[Weight gain(Y/N)]]=0,"NO","YES")</f>
        <v>NO</v>
      </c>
      <c r="AJ535">
        <v>0</v>
      </c>
      <c r="AK535" t="str">
        <f>IF(Table1[[#This Row],[hair growth(Y/N)]]=1,"YES","NO")</f>
        <v>NO</v>
      </c>
      <c r="AL535">
        <v>0</v>
      </c>
      <c r="AM535" t="str">
        <f>IF(Table1[[#This Row],[Skin darkening (Y/N)]]=1,"YES","NO")</f>
        <v>NO</v>
      </c>
      <c r="AN535">
        <v>0</v>
      </c>
      <c r="AO535" t="str">
        <f>IF(Table1[[#This Row],[Hair loss(Y/N)]]=1,"YES","NO")</f>
        <v>NO</v>
      </c>
      <c r="AP535">
        <v>1</v>
      </c>
      <c r="AQ535" t="str">
        <f>IF(Table1[[#This Row],[Pimples(Y/N)]]=1,"YES","NO")</f>
        <v>YES</v>
      </c>
      <c r="AR535">
        <v>0</v>
      </c>
      <c r="AS535" t="str">
        <f>IF(Table1[[#This Row],[Fast food (Y/N)]]=1,"YES","NO")</f>
        <v>NO</v>
      </c>
      <c r="AT535">
        <v>0</v>
      </c>
      <c r="AU535" t="str">
        <f>IF(Table1[[#This Row],[Reg.Exercise(Y/N)]]=1,"YES","NO")</f>
        <v>NO</v>
      </c>
      <c r="AV535">
        <v>110</v>
      </c>
      <c r="AW535">
        <v>80</v>
      </c>
      <c r="AX535">
        <v>8</v>
      </c>
      <c r="AY535">
        <v>10</v>
      </c>
      <c r="AZ535">
        <v>18</v>
      </c>
      <c r="BA535">
        <v>18</v>
      </c>
      <c r="BB535">
        <v>10.3</v>
      </c>
      <c r="BC535" t="str" cm="1">
        <f t="array" ref="BC535">_xlfn.IFS((F535/(G535*G535)*10000)&lt; 18.5,"Underweight",(F535/(G535*G535)*10000)&lt;24.9,"Normal",(F535/(G535*G535)*10000)&lt;29.9,"Overweight",(F535/(G535*G535)*10000)&gt;=30,"obesity")</f>
        <v>Normal</v>
      </c>
      <c r="BD535">
        <f>Table1[[#This Row],[Follicle No. (L)]]+Table1[[#This Row],[Follicle No. (R)]]</f>
        <v>18</v>
      </c>
      <c r="BE535">
        <f>Table1[[#This Row],[Avg. F size (L) (mm)]]+Table1[[#This Row],[Avg. F size (R) (mm)]]</f>
        <v>36</v>
      </c>
      <c r="BF535">
        <f>Table1[[#This Row],[BP _Diastolic (mmHg)]]+(Table1[[#This Row],[BP _Diastolic (mmHg)]]+Table1[[#This Row],[Follicle No. (L)]])/3</f>
        <v>109.33333333333333</v>
      </c>
      <c r="BG535" s="4" t="str" cm="1">
        <f t="array" ref="BG535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535" s="4">
        <f>SUM(Table1[[#This Row],[Pimples(Y/N)]],Table1[[#This Row],[hair growth(Y/N)]],Table1[[#This Row],[Skin darkening (Y/N)]],Table1[[#This Row],[Hair loss(Y/N)]])</f>
        <v>1</v>
      </c>
      <c r="BI535" s="4" t="str">
        <f>IF(AND(Table1[[#This Row],[Pregnant(Y/N)]]=0, Table1[[#This Row],[  I   beta-HCG(mIU/mL)]]&gt;5), "Investigation Required", "Clear")</f>
        <v>Investigation Required</v>
      </c>
    </row>
    <row r="536" spans="1:61" ht="15.75" customHeight="1" x14ac:dyDescent="0.25">
      <c r="A536">
        <v>535</v>
      </c>
      <c r="B536">
        <v>535</v>
      </c>
      <c r="C536">
        <v>0</v>
      </c>
      <c r="D536" t="str">
        <f>IF(Table1[[#This Row],[PCOS (Y/N)]]=0,"NO","YES")</f>
        <v>NO</v>
      </c>
      <c r="E536">
        <v>24</v>
      </c>
      <c r="F536">
        <v>48</v>
      </c>
      <c r="G536">
        <v>158.49600000000001</v>
      </c>
      <c r="H536">
        <v>14</v>
      </c>
      <c r="I536">
        <v>70</v>
      </c>
      <c r="J536">
        <v>18</v>
      </c>
      <c r="K536">
        <v>11</v>
      </c>
      <c r="L536">
        <v>2</v>
      </c>
      <c r="M536">
        <v>5</v>
      </c>
      <c r="N536">
        <v>4</v>
      </c>
      <c r="O536">
        <v>0</v>
      </c>
      <c r="P536" t="str">
        <f>IF(Table1[[#This Row],[Pregnant(Y/N)]]=1,"YES","NO")</f>
        <v>NO</v>
      </c>
      <c r="Q536">
        <v>0</v>
      </c>
      <c r="R536">
        <v>615.29</v>
      </c>
      <c r="S536">
        <v>1.99</v>
      </c>
      <c r="T536">
        <v>3.74</v>
      </c>
      <c r="U536">
        <v>9.3800000000000008</v>
      </c>
      <c r="V536">
        <f>Table1[[#This Row],[FSH(mIU/mL)]]/Table1[[#This Row],[LH(mIU/mL)]]</f>
        <v>0.39872068230277186</v>
      </c>
      <c r="W536" t="str">
        <f>IF(Table1[[#This Row],[FSH/LH]]&gt;=2,"Abnormal","Normal")</f>
        <v>Normal</v>
      </c>
      <c r="X536">
        <v>30</v>
      </c>
      <c r="Y536">
        <v>28</v>
      </c>
      <c r="Z536">
        <f>ROUND(Table1[[#This Row],[Waist(inch)]]/Table1[[#This Row],[Hip(inch)]],2)</f>
        <v>0.93</v>
      </c>
      <c r="AA536">
        <v>1.69</v>
      </c>
      <c r="AB536">
        <v>18.2</v>
      </c>
      <c r="AC536">
        <v>33.869999999999997</v>
      </c>
      <c r="AD536">
        <v>26.9</v>
      </c>
      <c r="AE536" t="str">
        <f>IF(Table1[[#This Row],[Vit D3 (ng/mL)]]&lt;20,"Deficiency","Normal")</f>
        <v>Normal</v>
      </c>
      <c r="AF536">
        <v>0.3</v>
      </c>
      <c r="AG536">
        <v>92</v>
      </c>
      <c r="AH536">
        <v>0</v>
      </c>
      <c r="AI536" t="str">
        <f>IF(Table1[[#This Row],[Weight gain(Y/N)]]=0,"NO","YES")</f>
        <v>NO</v>
      </c>
      <c r="AJ536">
        <v>0</v>
      </c>
      <c r="AK536" t="str">
        <f>IF(Table1[[#This Row],[hair growth(Y/N)]]=1,"YES","NO")</f>
        <v>NO</v>
      </c>
      <c r="AL536">
        <v>0</v>
      </c>
      <c r="AM536" t="str">
        <f>IF(Table1[[#This Row],[Skin darkening (Y/N)]]=1,"YES","NO")</f>
        <v>NO</v>
      </c>
      <c r="AN536">
        <v>0</v>
      </c>
      <c r="AO536" t="str">
        <f>IF(Table1[[#This Row],[Hair loss(Y/N)]]=1,"YES","NO")</f>
        <v>NO</v>
      </c>
      <c r="AP536">
        <v>0</v>
      </c>
      <c r="AQ536" t="str">
        <f>IF(Table1[[#This Row],[Pimples(Y/N)]]=1,"YES","NO")</f>
        <v>NO</v>
      </c>
      <c r="AR536">
        <v>0</v>
      </c>
      <c r="AS536" t="str">
        <f>IF(Table1[[#This Row],[Fast food (Y/N)]]=1,"YES","NO")</f>
        <v>NO</v>
      </c>
      <c r="AT536">
        <v>0</v>
      </c>
      <c r="AU536" t="str">
        <f>IF(Table1[[#This Row],[Reg.Exercise(Y/N)]]=1,"YES","NO")</f>
        <v>NO</v>
      </c>
      <c r="AV536">
        <v>110</v>
      </c>
      <c r="AW536">
        <v>80</v>
      </c>
      <c r="AX536">
        <v>7</v>
      </c>
      <c r="AY536">
        <v>7</v>
      </c>
      <c r="AZ536">
        <v>20</v>
      </c>
      <c r="BA536">
        <v>19</v>
      </c>
      <c r="BB536">
        <v>8.1999999999999993</v>
      </c>
      <c r="BC536" t="str" cm="1">
        <f t="array" ref="BC536">_xlfn.IFS((F536/(G536*G536)*10000)&lt; 18.5,"Underweight",(F536/(G536*G536)*10000)&lt;24.9,"Normal",(F536/(G536*G536)*10000)&lt;29.9,"Overweight",(F536/(G536*G536)*10000)&gt;=30,"obesity")</f>
        <v>Normal</v>
      </c>
      <c r="BD536">
        <f>Table1[[#This Row],[Follicle No. (L)]]+Table1[[#This Row],[Follicle No. (R)]]</f>
        <v>14</v>
      </c>
      <c r="BE536">
        <f>Table1[[#This Row],[Avg. F size (L) (mm)]]+Table1[[#This Row],[Avg. F size (R) (mm)]]</f>
        <v>39</v>
      </c>
      <c r="BF536">
        <f>Table1[[#This Row],[BP _Diastolic (mmHg)]]+(Table1[[#This Row],[BP _Diastolic (mmHg)]]+Table1[[#This Row],[Follicle No. (L)]])/3</f>
        <v>109</v>
      </c>
      <c r="BG536" s="4" t="str" cm="1">
        <f t="array" ref="BG536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36" s="4">
        <f>SUM(Table1[[#This Row],[Pimples(Y/N)]],Table1[[#This Row],[hair growth(Y/N)]],Table1[[#This Row],[Skin darkening (Y/N)]],Table1[[#This Row],[Hair loss(Y/N)]])</f>
        <v>0</v>
      </c>
      <c r="BI536" s="4" t="str">
        <f>IF(AND(Table1[[#This Row],[Pregnant(Y/N)]]=0, Table1[[#This Row],[  I   beta-HCG(mIU/mL)]]&gt;5), "Investigation Required", "Clear")</f>
        <v>Investigation Required</v>
      </c>
    </row>
    <row r="537" spans="1:61" ht="15.75" customHeight="1" x14ac:dyDescent="0.25">
      <c r="A537">
        <v>536</v>
      </c>
      <c r="B537">
        <v>536</v>
      </c>
      <c r="C537">
        <v>0</v>
      </c>
      <c r="D537" t="str">
        <f>IF(Table1[[#This Row],[PCOS (Y/N)]]=0,"NO","YES")</f>
        <v>NO</v>
      </c>
      <c r="E537">
        <v>26</v>
      </c>
      <c r="F537">
        <v>80</v>
      </c>
      <c r="G537">
        <v>161.54400000000001</v>
      </c>
      <c r="H537">
        <v>18</v>
      </c>
      <c r="I537">
        <v>70</v>
      </c>
      <c r="J537">
        <v>18</v>
      </c>
      <c r="K537">
        <v>10.6</v>
      </c>
      <c r="L537">
        <v>2</v>
      </c>
      <c r="M537">
        <v>5</v>
      </c>
      <c r="N537">
        <v>4</v>
      </c>
      <c r="O537">
        <v>0</v>
      </c>
      <c r="P537" t="str">
        <f>IF(Table1[[#This Row],[Pregnant(Y/N)]]=1,"YES","NO")</f>
        <v>NO</v>
      </c>
      <c r="Q537">
        <v>0</v>
      </c>
      <c r="R537">
        <v>1.99</v>
      </c>
      <c r="S537">
        <v>1.99</v>
      </c>
      <c r="T537">
        <v>7.06</v>
      </c>
      <c r="U537">
        <v>3.5</v>
      </c>
      <c r="V537">
        <f>Table1[[#This Row],[FSH(mIU/mL)]]/Table1[[#This Row],[LH(mIU/mL)]]</f>
        <v>2.0171428571428569</v>
      </c>
      <c r="W537" t="str">
        <f>IF(Table1[[#This Row],[FSH/LH]]&gt;=2,"Abnormal","Normal")</f>
        <v>Abnormal</v>
      </c>
      <c r="X537">
        <v>48</v>
      </c>
      <c r="Y537">
        <v>44</v>
      </c>
      <c r="Z537">
        <f>ROUND(Table1[[#This Row],[Waist(inch)]]/Table1[[#This Row],[Hip(inch)]],2)</f>
        <v>0.92</v>
      </c>
      <c r="AA537">
        <v>17.2</v>
      </c>
      <c r="AB537">
        <v>7.6</v>
      </c>
      <c r="AC537">
        <v>39.01</v>
      </c>
      <c r="AD537">
        <v>32.700000000000003</v>
      </c>
      <c r="AE537" t="str">
        <f>IF(Table1[[#This Row],[Vit D3 (ng/mL)]]&lt;20,"Deficiency","Normal")</f>
        <v>Normal</v>
      </c>
      <c r="AF537">
        <v>0.25</v>
      </c>
      <c r="AG537">
        <v>92</v>
      </c>
      <c r="AH537">
        <v>0</v>
      </c>
      <c r="AI537" t="str">
        <f>IF(Table1[[#This Row],[Weight gain(Y/N)]]=0,"NO","YES")</f>
        <v>NO</v>
      </c>
      <c r="AJ537">
        <v>0</v>
      </c>
      <c r="AK537" t="str">
        <f>IF(Table1[[#This Row],[hair growth(Y/N)]]=1,"YES","NO")</f>
        <v>NO</v>
      </c>
      <c r="AL537">
        <v>0</v>
      </c>
      <c r="AM537" t="str">
        <f>IF(Table1[[#This Row],[Skin darkening (Y/N)]]=1,"YES","NO")</f>
        <v>NO</v>
      </c>
      <c r="AN537">
        <v>0</v>
      </c>
      <c r="AO537" t="str">
        <f>IF(Table1[[#This Row],[Hair loss(Y/N)]]=1,"YES","NO")</f>
        <v>NO</v>
      </c>
      <c r="AP537">
        <v>0</v>
      </c>
      <c r="AQ537" t="str">
        <f>IF(Table1[[#This Row],[Pimples(Y/N)]]=1,"YES","NO")</f>
        <v>NO</v>
      </c>
      <c r="AR537">
        <v>0</v>
      </c>
      <c r="AS537" t="str">
        <f>IF(Table1[[#This Row],[Fast food (Y/N)]]=1,"YES","NO")</f>
        <v>NO</v>
      </c>
      <c r="AT537">
        <v>0</v>
      </c>
      <c r="AU537" t="str">
        <f>IF(Table1[[#This Row],[Reg.Exercise(Y/N)]]=1,"YES","NO")</f>
        <v>NO</v>
      </c>
      <c r="AV537">
        <v>110</v>
      </c>
      <c r="AW537">
        <v>80</v>
      </c>
      <c r="AX537">
        <v>7</v>
      </c>
      <c r="AY537">
        <v>9</v>
      </c>
      <c r="AZ537">
        <v>13</v>
      </c>
      <c r="BA537">
        <v>17.5</v>
      </c>
      <c r="BB537">
        <v>9.6</v>
      </c>
      <c r="BC537" t="str" cm="1">
        <f t="array" ref="BC537">_xlfn.IFS((F537/(G537*G537)*10000)&lt; 18.5,"Underweight",(F537/(G537*G537)*10000)&lt;24.9,"Normal",(F537/(G537*G537)*10000)&lt;29.9,"Overweight",(F537/(G537*G537)*10000)&gt;=30,"obesity")</f>
        <v>obesity</v>
      </c>
      <c r="BD537">
        <f>Table1[[#This Row],[Follicle No. (L)]]+Table1[[#This Row],[Follicle No. (R)]]</f>
        <v>16</v>
      </c>
      <c r="BE537">
        <f>Table1[[#This Row],[Avg. F size (L) (mm)]]+Table1[[#This Row],[Avg. F size (R) (mm)]]</f>
        <v>30.5</v>
      </c>
      <c r="BF537">
        <f>Table1[[#This Row],[BP _Diastolic (mmHg)]]+(Table1[[#This Row],[BP _Diastolic (mmHg)]]+Table1[[#This Row],[Follicle No. (L)]])/3</f>
        <v>109</v>
      </c>
      <c r="BG537" s="4" t="str" cm="1">
        <f t="array" ref="BG537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37" s="4">
        <f>SUM(Table1[[#This Row],[Pimples(Y/N)]],Table1[[#This Row],[hair growth(Y/N)]],Table1[[#This Row],[Skin darkening (Y/N)]],Table1[[#This Row],[Hair loss(Y/N)]])</f>
        <v>0</v>
      </c>
      <c r="BI537" s="4" t="str">
        <f>IF(AND(Table1[[#This Row],[Pregnant(Y/N)]]=0, Table1[[#This Row],[  I   beta-HCG(mIU/mL)]]&gt;5), "Investigation Required", "Clear")</f>
        <v>Clear</v>
      </c>
    </row>
    <row r="538" spans="1:61" ht="15.75" customHeight="1" x14ac:dyDescent="0.25">
      <c r="A538">
        <v>537</v>
      </c>
      <c r="B538">
        <v>537</v>
      </c>
      <c r="C538">
        <v>0</v>
      </c>
      <c r="D538" t="str">
        <f>IF(Table1[[#This Row],[PCOS (Y/N)]]=0,"NO","YES")</f>
        <v>NO</v>
      </c>
      <c r="E538">
        <v>35</v>
      </c>
      <c r="F538">
        <v>50</v>
      </c>
      <c r="G538">
        <v>164.59200000000001</v>
      </c>
      <c r="H538">
        <v>17</v>
      </c>
      <c r="I538">
        <v>72</v>
      </c>
      <c r="J538">
        <v>16</v>
      </c>
      <c r="K538">
        <v>11</v>
      </c>
      <c r="L538">
        <v>2</v>
      </c>
      <c r="M538">
        <v>5</v>
      </c>
      <c r="N538">
        <v>8</v>
      </c>
      <c r="O538">
        <v>0</v>
      </c>
      <c r="P538" t="str">
        <f>IF(Table1[[#This Row],[Pregnant(Y/N)]]=1,"YES","NO")</f>
        <v>NO</v>
      </c>
      <c r="Q538">
        <v>1</v>
      </c>
      <c r="R538">
        <v>1.99</v>
      </c>
      <c r="S538">
        <v>1.99</v>
      </c>
      <c r="T538">
        <v>10.06</v>
      </c>
      <c r="U538">
        <v>1.81</v>
      </c>
      <c r="V538">
        <f>Table1[[#This Row],[FSH(mIU/mL)]]/Table1[[#This Row],[LH(mIU/mL)]]</f>
        <v>5.5580110497237571</v>
      </c>
      <c r="W538" t="str">
        <f>IF(Table1[[#This Row],[FSH/LH]]&gt;=2,"Abnormal","Normal")</f>
        <v>Abnormal</v>
      </c>
      <c r="X538">
        <v>28</v>
      </c>
      <c r="Y538">
        <v>26</v>
      </c>
      <c r="Z538">
        <f>ROUND(Table1[[#This Row],[Waist(inch)]]/Table1[[#This Row],[Hip(inch)]],2)</f>
        <v>0.93</v>
      </c>
      <c r="AA538">
        <v>1.1100000000000001</v>
      </c>
      <c r="AB538">
        <v>1.7</v>
      </c>
      <c r="AC538">
        <v>5.3</v>
      </c>
      <c r="AD538">
        <v>36.6</v>
      </c>
      <c r="AE538" t="str">
        <f>IF(Table1[[#This Row],[Vit D3 (ng/mL)]]&lt;20,"Deficiency","Normal")</f>
        <v>Normal</v>
      </c>
      <c r="AF538">
        <v>0.25</v>
      </c>
      <c r="AG538">
        <v>92</v>
      </c>
      <c r="AH538">
        <v>0</v>
      </c>
      <c r="AI538" t="str">
        <f>IF(Table1[[#This Row],[Weight gain(Y/N)]]=0,"NO","YES")</f>
        <v>NO</v>
      </c>
      <c r="AJ538">
        <v>0</v>
      </c>
      <c r="AK538" t="str">
        <f>IF(Table1[[#This Row],[hair growth(Y/N)]]=1,"YES","NO")</f>
        <v>NO</v>
      </c>
      <c r="AL538">
        <v>0</v>
      </c>
      <c r="AM538" t="str">
        <f>IF(Table1[[#This Row],[Skin darkening (Y/N)]]=1,"YES","NO")</f>
        <v>NO</v>
      </c>
      <c r="AN538">
        <v>0</v>
      </c>
      <c r="AO538" t="str">
        <f>IF(Table1[[#This Row],[Hair loss(Y/N)]]=1,"YES","NO")</f>
        <v>NO</v>
      </c>
      <c r="AP538">
        <v>0</v>
      </c>
      <c r="AQ538" t="str">
        <f>IF(Table1[[#This Row],[Pimples(Y/N)]]=1,"YES","NO")</f>
        <v>NO</v>
      </c>
      <c r="AR538">
        <v>0</v>
      </c>
      <c r="AS538" t="str">
        <f>IF(Table1[[#This Row],[Fast food (Y/N)]]=1,"YES","NO")</f>
        <v>NO</v>
      </c>
      <c r="AT538">
        <v>0</v>
      </c>
      <c r="AU538" t="str">
        <f>IF(Table1[[#This Row],[Reg.Exercise(Y/N)]]=1,"YES","NO")</f>
        <v>NO</v>
      </c>
      <c r="AV538">
        <v>110</v>
      </c>
      <c r="AW538">
        <v>70</v>
      </c>
      <c r="AX538">
        <v>1</v>
      </c>
      <c r="AY538">
        <v>0</v>
      </c>
      <c r="AZ538">
        <v>17.5</v>
      </c>
      <c r="BA538">
        <v>10</v>
      </c>
      <c r="BB538">
        <v>6.7</v>
      </c>
      <c r="BC538" t="str" cm="1">
        <f t="array" ref="BC538">_xlfn.IFS((F538/(G538*G538)*10000)&lt; 18.5,"Underweight",(F538/(G538*G538)*10000)&lt;24.9,"Normal",(F538/(G538*G538)*10000)&lt;29.9,"Overweight",(F538/(G538*G538)*10000)&gt;=30,"obesity")</f>
        <v>Underweight</v>
      </c>
      <c r="BD538">
        <f>Table1[[#This Row],[Follicle No. (L)]]+Table1[[#This Row],[Follicle No. (R)]]</f>
        <v>1</v>
      </c>
      <c r="BE538">
        <f>Table1[[#This Row],[Avg. F size (L) (mm)]]+Table1[[#This Row],[Avg. F size (R) (mm)]]</f>
        <v>27.5</v>
      </c>
      <c r="BF538">
        <f>Table1[[#This Row],[BP _Diastolic (mmHg)]]+(Table1[[#This Row],[BP _Diastolic (mmHg)]]+Table1[[#This Row],[Follicle No. (L)]])/3</f>
        <v>93.666666666666671</v>
      </c>
      <c r="BG538" s="4" t="str" cm="1">
        <f t="array" ref="BG538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38" s="4">
        <f>SUM(Table1[[#This Row],[Pimples(Y/N)]],Table1[[#This Row],[hair growth(Y/N)]],Table1[[#This Row],[Skin darkening (Y/N)]],Table1[[#This Row],[Hair loss(Y/N)]])</f>
        <v>0</v>
      </c>
      <c r="BI538" s="4" t="str">
        <f>IF(AND(Table1[[#This Row],[Pregnant(Y/N)]]=0, Table1[[#This Row],[  I   beta-HCG(mIU/mL)]]&gt;5), "Investigation Required", "Clear")</f>
        <v>Clear</v>
      </c>
    </row>
    <row r="539" spans="1:61" ht="15.75" customHeight="1" x14ac:dyDescent="0.25">
      <c r="A539">
        <v>538</v>
      </c>
      <c r="B539">
        <v>538</v>
      </c>
      <c r="C539">
        <v>0</v>
      </c>
      <c r="D539" t="str">
        <f>IF(Table1[[#This Row],[PCOS (Y/N)]]=0,"NO","YES")</f>
        <v>NO</v>
      </c>
      <c r="E539">
        <v>30</v>
      </c>
      <c r="F539">
        <v>63.2</v>
      </c>
      <c r="G539">
        <v>158</v>
      </c>
      <c r="H539">
        <v>15</v>
      </c>
      <c r="I539">
        <v>72</v>
      </c>
      <c r="J539">
        <v>18</v>
      </c>
      <c r="K539">
        <v>10.8</v>
      </c>
      <c r="L539">
        <v>2</v>
      </c>
      <c r="M539">
        <v>5</v>
      </c>
      <c r="N539">
        <v>4</v>
      </c>
      <c r="O539">
        <v>1</v>
      </c>
      <c r="P539" t="str">
        <f>IF(Table1[[#This Row],[Pregnant(Y/N)]]=1,"YES","NO")</f>
        <v>YES</v>
      </c>
      <c r="Q539">
        <v>1</v>
      </c>
      <c r="R539">
        <v>80.13</v>
      </c>
      <c r="S539">
        <v>1.99</v>
      </c>
      <c r="T539">
        <v>5.07</v>
      </c>
      <c r="U539">
        <v>2.84</v>
      </c>
      <c r="V539">
        <f>Table1[[#This Row],[FSH(mIU/mL)]]/Table1[[#This Row],[LH(mIU/mL)]]</f>
        <v>1.785211267605634</v>
      </c>
      <c r="W539" t="str">
        <f>IF(Table1[[#This Row],[FSH/LH]]&gt;=2,"Abnormal","Normal")</f>
        <v>Normal</v>
      </c>
      <c r="X539">
        <v>34</v>
      </c>
      <c r="Y539">
        <v>32</v>
      </c>
      <c r="Z539">
        <f>ROUND(Table1[[#This Row],[Waist(inch)]]/Table1[[#This Row],[Hip(inch)]],2)</f>
        <v>0.94</v>
      </c>
      <c r="AA539">
        <v>2.0499999999999998</v>
      </c>
      <c r="AB539">
        <v>5.6</v>
      </c>
      <c r="AC539">
        <v>21.09</v>
      </c>
      <c r="AD539">
        <v>23</v>
      </c>
      <c r="AE539" t="str">
        <f>IF(Table1[[#This Row],[Vit D3 (ng/mL)]]&lt;20,"Deficiency","Normal")</f>
        <v>Normal</v>
      </c>
      <c r="AF539">
        <v>0.25</v>
      </c>
      <c r="AG539">
        <v>108</v>
      </c>
      <c r="AH539">
        <v>1</v>
      </c>
      <c r="AI539" t="str">
        <f>IF(Table1[[#This Row],[Weight gain(Y/N)]]=0,"NO","YES")</f>
        <v>YES</v>
      </c>
      <c r="AJ539">
        <v>0</v>
      </c>
      <c r="AK539" t="str">
        <f>IF(Table1[[#This Row],[hair growth(Y/N)]]=1,"YES","NO")</f>
        <v>NO</v>
      </c>
      <c r="AL539">
        <v>0</v>
      </c>
      <c r="AM539" t="str">
        <f>IF(Table1[[#This Row],[Skin darkening (Y/N)]]=1,"YES","NO")</f>
        <v>NO</v>
      </c>
      <c r="AN539">
        <v>0</v>
      </c>
      <c r="AO539" t="str">
        <f>IF(Table1[[#This Row],[Hair loss(Y/N)]]=1,"YES","NO")</f>
        <v>NO</v>
      </c>
      <c r="AP539">
        <v>0</v>
      </c>
      <c r="AQ539" t="str">
        <f>IF(Table1[[#This Row],[Pimples(Y/N)]]=1,"YES","NO")</f>
        <v>NO</v>
      </c>
      <c r="AR539">
        <v>0</v>
      </c>
      <c r="AS539" t="str">
        <f>IF(Table1[[#This Row],[Fast food (Y/N)]]=1,"YES","NO")</f>
        <v>NO</v>
      </c>
      <c r="AT539">
        <v>0</v>
      </c>
      <c r="AU539" t="str">
        <f>IF(Table1[[#This Row],[Reg.Exercise(Y/N)]]=1,"YES","NO")</f>
        <v>NO</v>
      </c>
      <c r="AV539">
        <v>110</v>
      </c>
      <c r="AW539">
        <v>70</v>
      </c>
      <c r="AX539">
        <v>9</v>
      </c>
      <c r="AY539">
        <v>7</v>
      </c>
      <c r="AZ539">
        <v>19</v>
      </c>
      <c r="BA539">
        <v>18</v>
      </c>
      <c r="BB539">
        <v>8.1999999999999993</v>
      </c>
      <c r="BC539" t="str" cm="1">
        <f t="array" ref="BC539">_xlfn.IFS((F539/(G539*G539)*10000)&lt; 18.5,"Underweight",(F539/(G539*G539)*10000)&lt;24.9,"Normal",(F539/(G539*G539)*10000)&lt;29.9,"Overweight",(F539/(G539*G539)*10000)&gt;=30,"obesity")</f>
        <v>Overweight</v>
      </c>
      <c r="BD539">
        <f>Table1[[#This Row],[Follicle No. (L)]]+Table1[[#This Row],[Follicle No. (R)]]</f>
        <v>16</v>
      </c>
      <c r="BE539">
        <f>Table1[[#This Row],[Avg. F size (L) (mm)]]+Table1[[#This Row],[Avg. F size (R) (mm)]]</f>
        <v>37</v>
      </c>
      <c r="BF539">
        <f>Table1[[#This Row],[BP _Diastolic (mmHg)]]+(Table1[[#This Row],[BP _Diastolic (mmHg)]]+Table1[[#This Row],[Follicle No. (L)]])/3</f>
        <v>96.333333333333329</v>
      </c>
      <c r="BG539" s="4" t="str" cm="1">
        <f t="array" ref="BG539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39" s="4">
        <f>SUM(Table1[[#This Row],[Pimples(Y/N)]],Table1[[#This Row],[hair growth(Y/N)]],Table1[[#This Row],[Skin darkening (Y/N)]],Table1[[#This Row],[Hair loss(Y/N)]])</f>
        <v>0</v>
      </c>
      <c r="BI539" s="4" t="str">
        <f>IF(AND(Table1[[#This Row],[Pregnant(Y/N)]]=0, Table1[[#This Row],[  I   beta-HCG(mIU/mL)]]&gt;5), "Investigation Required", "Clear")</f>
        <v>Clear</v>
      </c>
    </row>
    <row r="540" spans="1:61" ht="15.75" customHeight="1" x14ac:dyDescent="0.25">
      <c r="A540">
        <v>539</v>
      </c>
      <c r="B540">
        <v>539</v>
      </c>
      <c r="C540">
        <v>0</v>
      </c>
      <c r="D540" t="str">
        <f>IF(Table1[[#This Row],[PCOS (Y/N)]]=0,"NO","YES")</f>
        <v>NO</v>
      </c>
      <c r="E540">
        <v>36</v>
      </c>
      <c r="F540">
        <v>54</v>
      </c>
      <c r="G540">
        <v>152</v>
      </c>
      <c r="H540">
        <v>13</v>
      </c>
      <c r="I540">
        <v>74</v>
      </c>
      <c r="J540">
        <v>20</v>
      </c>
      <c r="K540">
        <v>10.8</v>
      </c>
      <c r="L540">
        <v>2</v>
      </c>
      <c r="M540">
        <v>6</v>
      </c>
      <c r="N540">
        <v>8</v>
      </c>
      <c r="O540">
        <v>0</v>
      </c>
      <c r="P540" t="str">
        <f>IF(Table1[[#This Row],[Pregnant(Y/N)]]=1,"YES","NO")</f>
        <v>NO</v>
      </c>
      <c r="Q540">
        <v>0</v>
      </c>
      <c r="R540">
        <v>1.99</v>
      </c>
      <c r="S540">
        <v>1.99</v>
      </c>
      <c r="T540">
        <v>11.96</v>
      </c>
      <c r="U540">
        <v>2.78</v>
      </c>
      <c r="V540">
        <f>Table1[[#This Row],[FSH(mIU/mL)]]/Table1[[#This Row],[LH(mIU/mL)]]</f>
        <v>4.3021582733812957</v>
      </c>
      <c r="W540" t="str">
        <f>IF(Table1[[#This Row],[FSH/LH]]&gt;=2,"Abnormal","Normal")</f>
        <v>Abnormal</v>
      </c>
      <c r="X540">
        <v>30</v>
      </c>
      <c r="Y540">
        <v>28</v>
      </c>
      <c r="Z540">
        <f>ROUND(Table1[[#This Row],[Waist(inch)]]/Table1[[#This Row],[Hip(inch)]],2)</f>
        <v>0.93</v>
      </c>
      <c r="AA540">
        <v>2.87</v>
      </c>
      <c r="AB540">
        <v>3.7</v>
      </c>
      <c r="AC540">
        <v>96.41</v>
      </c>
      <c r="AD540">
        <v>22.5</v>
      </c>
      <c r="AE540" t="str">
        <f>IF(Table1[[#This Row],[Vit D3 (ng/mL)]]&lt;20,"Deficiency","Normal")</f>
        <v>Normal</v>
      </c>
      <c r="AF540">
        <v>0.25</v>
      </c>
      <c r="AG540">
        <v>92</v>
      </c>
      <c r="AH540">
        <v>0</v>
      </c>
      <c r="AI540" t="str">
        <f>IF(Table1[[#This Row],[Weight gain(Y/N)]]=0,"NO","YES")</f>
        <v>NO</v>
      </c>
      <c r="AJ540">
        <v>0</v>
      </c>
      <c r="AK540" t="str">
        <f>IF(Table1[[#This Row],[hair growth(Y/N)]]=1,"YES","NO")</f>
        <v>NO</v>
      </c>
      <c r="AL540">
        <v>0</v>
      </c>
      <c r="AM540" t="str">
        <f>IF(Table1[[#This Row],[Skin darkening (Y/N)]]=1,"YES","NO")</f>
        <v>NO</v>
      </c>
      <c r="AN540">
        <v>0</v>
      </c>
      <c r="AO540" t="str">
        <f>IF(Table1[[#This Row],[Hair loss(Y/N)]]=1,"YES","NO")</f>
        <v>NO</v>
      </c>
      <c r="AP540">
        <v>0</v>
      </c>
      <c r="AQ540" t="str">
        <f>IF(Table1[[#This Row],[Pimples(Y/N)]]=1,"YES","NO")</f>
        <v>NO</v>
      </c>
      <c r="AR540">
        <v>0</v>
      </c>
      <c r="AS540" t="str">
        <f>IF(Table1[[#This Row],[Fast food (Y/N)]]=1,"YES","NO")</f>
        <v>NO</v>
      </c>
      <c r="AT540">
        <v>0</v>
      </c>
      <c r="AU540" t="str">
        <f>IF(Table1[[#This Row],[Reg.Exercise(Y/N)]]=1,"YES","NO")</f>
        <v>NO</v>
      </c>
      <c r="AV540">
        <v>110</v>
      </c>
      <c r="AW540">
        <v>80</v>
      </c>
      <c r="AX540">
        <v>1</v>
      </c>
      <c r="AY540">
        <v>0</v>
      </c>
      <c r="AZ540">
        <v>18</v>
      </c>
      <c r="BA540">
        <v>9</v>
      </c>
      <c r="BB540">
        <v>7.3</v>
      </c>
      <c r="BC540" t="str" cm="1">
        <f t="array" ref="BC540">_xlfn.IFS((F540/(G540*G540)*10000)&lt; 18.5,"Underweight",(F540/(G540*G540)*10000)&lt;24.9,"Normal",(F540/(G540*G540)*10000)&lt;29.9,"Overweight",(F540/(G540*G540)*10000)&gt;=30,"obesity")</f>
        <v>Normal</v>
      </c>
      <c r="BD540">
        <f>Table1[[#This Row],[Follicle No. (L)]]+Table1[[#This Row],[Follicle No. (R)]]</f>
        <v>1</v>
      </c>
      <c r="BE540">
        <f>Table1[[#This Row],[Avg. F size (L) (mm)]]+Table1[[#This Row],[Avg. F size (R) (mm)]]</f>
        <v>27</v>
      </c>
      <c r="BF540">
        <f>Table1[[#This Row],[BP _Diastolic (mmHg)]]+(Table1[[#This Row],[BP _Diastolic (mmHg)]]+Table1[[#This Row],[Follicle No. (L)]])/3</f>
        <v>107</v>
      </c>
      <c r="BG540" s="4" t="str" cm="1">
        <f t="array" ref="BG540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Low risk</v>
      </c>
      <c r="BH540" s="4">
        <f>SUM(Table1[[#This Row],[Pimples(Y/N)]],Table1[[#This Row],[hair growth(Y/N)]],Table1[[#This Row],[Skin darkening (Y/N)]],Table1[[#This Row],[Hair loss(Y/N)]])</f>
        <v>0</v>
      </c>
      <c r="BI540" s="4" t="str">
        <f>IF(AND(Table1[[#This Row],[Pregnant(Y/N)]]=0, Table1[[#This Row],[  I   beta-HCG(mIU/mL)]]&gt;5), "Investigation Required", "Clear")</f>
        <v>Clear</v>
      </c>
    </row>
    <row r="541" spans="1:61" ht="15.75" customHeight="1" x14ac:dyDescent="0.25">
      <c r="A541">
        <v>540</v>
      </c>
      <c r="B541">
        <v>540</v>
      </c>
      <c r="C541">
        <v>0</v>
      </c>
      <c r="D541" t="str">
        <f>IF(Table1[[#This Row],[PCOS (Y/N)]]=0,"NO","YES")</f>
        <v>NO</v>
      </c>
      <c r="E541">
        <v>27</v>
      </c>
      <c r="F541">
        <v>50</v>
      </c>
      <c r="G541">
        <v>150</v>
      </c>
      <c r="H541">
        <v>15</v>
      </c>
      <c r="I541">
        <v>74</v>
      </c>
      <c r="J541">
        <v>20</v>
      </c>
      <c r="K541">
        <v>12</v>
      </c>
      <c r="L541">
        <v>4</v>
      </c>
      <c r="M541">
        <v>2</v>
      </c>
      <c r="N541">
        <v>2</v>
      </c>
      <c r="O541">
        <v>0</v>
      </c>
      <c r="P541" t="str">
        <f>IF(Table1[[#This Row],[Pregnant(Y/N)]]=1,"YES","NO")</f>
        <v>NO</v>
      </c>
      <c r="Q541">
        <v>0</v>
      </c>
      <c r="R541">
        <v>292.92</v>
      </c>
      <c r="S541">
        <v>1.99</v>
      </c>
      <c r="T541">
        <v>4.4000000000000004</v>
      </c>
      <c r="U541">
        <v>4.33</v>
      </c>
      <c r="V541">
        <f>Table1[[#This Row],[FSH(mIU/mL)]]/Table1[[#This Row],[LH(mIU/mL)]]</f>
        <v>1.0161662817551964</v>
      </c>
      <c r="W541" t="str">
        <f>IF(Table1[[#This Row],[FSH/LH]]&gt;=2,"Abnormal","Normal")</f>
        <v>Normal</v>
      </c>
      <c r="X541">
        <v>28</v>
      </c>
      <c r="Y541">
        <v>26</v>
      </c>
      <c r="Z541">
        <f>ROUND(Table1[[#This Row],[Waist(inch)]]/Table1[[#This Row],[Hip(inch)]],2)</f>
        <v>0.93</v>
      </c>
      <c r="AA541">
        <v>2.5</v>
      </c>
      <c r="AB541">
        <v>5.2</v>
      </c>
      <c r="AC541">
        <v>38.89</v>
      </c>
      <c r="AD541">
        <v>22.4</v>
      </c>
      <c r="AE541" t="str">
        <f>IF(Table1[[#This Row],[Vit D3 (ng/mL)]]&lt;20,"Deficiency","Normal")</f>
        <v>Normal</v>
      </c>
      <c r="AF541">
        <v>0.25</v>
      </c>
      <c r="AG541">
        <v>115</v>
      </c>
      <c r="AH541">
        <v>0</v>
      </c>
      <c r="AI541" t="str">
        <f>IF(Table1[[#This Row],[Weight gain(Y/N)]]=0,"NO","YES")</f>
        <v>NO</v>
      </c>
      <c r="AJ541">
        <v>0</v>
      </c>
      <c r="AK541" t="str">
        <f>IF(Table1[[#This Row],[hair growth(Y/N)]]=1,"YES","NO")</f>
        <v>NO</v>
      </c>
      <c r="AL541">
        <v>0</v>
      </c>
      <c r="AM541" t="str">
        <f>IF(Table1[[#This Row],[Skin darkening (Y/N)]]=1,"YES","NO")</f>
        <v>NO</v>
      </c>
      <c r="AN541">
        <v>0</v>
      </c>
      <c r="AO541" t="str">
        <f>IF(Table1[[#This Row],[Hair loss(Y/N)]]=1,"YES","NO")</f>
        <v>NO</v>
      </c>
      <c r="AP541">
        <v>1</v>
      </c>
      <c r="AQ541" t="str">
        <f>IF(Table1[[#This Row],[Pimples(Y/N)]]=1,"YES","NO")</f>
        <v>YES</v>
      </c>
      <c r="AR541">
        <v>0</v>
      </c>
      <c r="AS541" t="str">
        <f>IF(Table1[[#This Row],[Fast food (Y/N)]]=1,"YES","NO")</f>
        <v>NO</v>
      </c>
      <c r="AT541">
        <v>0</v>
      </c>
      <c r="AU541" t="str">
        <f>IF(Table1[[#This Row],[Reg.Exercise(Y/N)]]=1,"YES","NO")</f>
        <v>NO</v>
      </c>
      <c r="AV541">
        <v>110</v>
      </c>
      <c r="AW541">
        <v>70</v>
      </c>
      <c r="AX541">
        <v>7</v>
      </c>
      <c r="AY541">
        <v>6</v>
      </c>
      <c r="AZ541">
        <v>18</v>
      </c>
      <c r="BA541">
        <v>16</v>
      </c>
      <c r="BB541">
        <v>11.5</v>
      </c>
      <c r="BC541" t="str" cm="1">
        <f t="array" ref="BC541">_xlfn.IFS((F541/(G541*G541)*10000)&lt; 18.5,"Underweight",(F541/(G541*G541)*10000)&lt;24.9,"Normal",(F541/(G541*G541)*10000)&lt;29.9,"Overweight",(F541/(G541*G541)*10000)&gt;=30,"obesity")</f>
        <v>Normal</v>
      </c>
      <c r="BD541">
        <f>Table1[[#This Row],[Follicle No. (L)]]+Table1[[#This Row],[Follicle No. (R)]]</f>
        <v>13</v>
      </c>
      <c r="BE541">
        <f>Table1[[#This Row],[Avg. F size (L) (mm)]]+Table1[[#This Row],[Avg. F size (R) (mm)]]</f>
        <v>34</v>
      </c>
      <c r="BF541">
        <f>Table1[[#This Row],[BP _Diastolic (mmHg)]]+(Table1[[#This Row],[BP _Diastolic (mmHg)]]+Table1[[#This Row],[Follicle No. (L)]])/3</f>
        <v>95.666666666666671</v>
      </c>
      <c r="BG541" s="4" t="str" cm="1">
        <f t="array" ref="BG541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Moderate risk</v>
      </c>
      <c r="BH541" s="4">
        <f>SUM(Table1[[#This Row],[Pimples(Y/N)]],Table1[[#This Row],[hair growth(Y/N)]],Table1[[#This Row],[Skin darkening (Y/N)]],Table1[[#This Row],[Hair loss(Y/N)]])</f>
        <v>1</v>
      </c>
      <c r="BI541" s="4" t="str">
        <f>IF(AND(Table1[[#This Row],[Pregnant(Y/N)]]=0, Table1[[#This Row],[  I   beta-HCG(mIU/mL)]]&gt;5), "Investigation Required", "Clear")</f>
        <v>Investigation Required</v>
      </c>
    </row>
    <row r="542" spans="1:61" ht="15.75" customHeight="1" x14ac:dyDescent="0.25">
      <c r="A542">
        <v>541</v>
      </c>
      <c r="B542">
        <v>541</v>
      </c>
      <c r="C542">
        <v>1</v>
      </c>
      <c r="D542" t="str">
        <f>IF(Table1[[#This Row],[PCOS (Y/N)]]=0,"NO","YES")</f>
        <v>YES</v>
      </c>
      <c r="E542">
        <v>23</v>
      </c>
      <c r="F542">
        <v>82</v>
      </c>
      <c r="G542">
        <v>165</v>
      </c>
      <c r="H542">
        <v>13</v>
      </c>
      <c r="I542">
        <v>80</v>
      </c>
      <c r="J542">
        <v>20</v>
      </c>
      <c r="K542">
        <v>10.199999999999999</v>
      </c>
      <c r="L542">
        <v>4</v>
      </c>
      <c r="M542">
        <v>7</v>
      </c>
      <c r="N542">
        <v>2</v>
      </c>
      <c r="O542">
        <v>0</v>
      </c>
      <c r="P542" t="str">
        <f>IF(Table1[[#This Row],[Pregnant(Y/N)]]=1,"YES","NO")</f>
        <v>NO</v>
      </c>
      <c r="Q542">
        <v>0</v>
      </c>
      <c r="R542">
        <v>1.99</v>
      </c>
      <c r="S542">
        <v>1.99</v>
      </c>
      <c r="T542">
        <v>3.99</v>
      </c>
      <c r="U542">
        <v>4.3</v>
      </c>
      <c r="V542">
        <f>Table1[[#This Row],[FSH(mIU/mL)]]/Table1[[#This Row],[LH(mIU/mL)]]</f>
        <v>0.9279069767441861</v>
      </c>
      <c r="W542" t="str">
        <f>IF(Table1[[#This Row],[FSH/LH]]&gt;=2,"Abnormal","Normal")</f>
        <v>Normal</v>
      </c>
      <c r="X542">
        <v>48</v>
      </c>
      <c r="Y542">
        <v>46</v>
      </c>
      <c r="Z542">
        <f>ROUND(Table1[[#This Row],[Waist(inch)]]/Table1[[#This Row],[Hip(inch)]],2)</f>
        <v>0.96</v>
      </c>
      <c r="AA542">
        <v>1.66</v>
      </c>
      <c r="AB542">
        <v>20</v>
      </c>
      <c r="AC542">
        <v>20.74</v>
      </c>
      <c r="AD542">
        <v>17.399999999999999</v>
      </c>
      <c r="AE542" t="str">
        <f>IF(Table1[[#This Row],[Vit D3 (ng/mL)]]&lt;20,"Deficiency","Normal")</f>
        <v>Deficiency</v>
      </c>
      <c r="AF542">
        <v>0.37</v>
      </c>
      <c r="AG542">
        <v>108</v>
      </c>
      <c r="AH542">
        <v>1</v>
      </c>
      <c r="AI542" t="str">
        <f>IF(Table1[[#This Row],[Weight gain(Y/N)]]=0,"NO","YES")</f>
        <v>YES</v>
      </c>
      <c r="AJ542">
        <v>1</v>
      </c>
      <c r="AK542" t="str">
        <f>IF(Table1[[#This Row],[hair growth(Y/N)]]=1,"YES","NO")</f>
        <v>YES</v>
      </c>
      <c r="AL542">
        <v>1</v>
      </c>
      <c r="AM542" t="str">
        <f>IF(Table1[[#This Row],[Skin darkening (Y/N)]]=1,"YES","NO")</f>
        <v>YES</v>
      </c>
      <c r="AN542">
        <v>1</v>
      </c>
      <c r="AO542" t="str">
        <f>IF(Table1[[#This Row],[Hair loss(Y/N)]]=1,"YES","NO")</f>
        <v>YES</v>
      </c>
      <c r="AP542">
        <v>1</v>
      </c>
      <c r="AQ542" t="str">
        <f>IF(Table1[[#This Row],[Pimples(Y/N)]]=1,"YES","NO")</f>
        <v>YES</v>
      </c>
      <c r="AR542">
        <v>1</v>
      </c>
      <c r="AS542" t="str">
        <f>IF(Table1[[#This Row],[Fast food (Y/N)]]=1,"YES","NO")</f>
        <v>YES</v>
      </c>
      <c r="AT542">
        <v>0</v>
      </c>
      <c r="AU542" t="str">
        <f>IF(Table1[[#This Row],[Reg.Exercise(Y/N)]]=1,"YES","NO")</f>
        <v>NO</v>
      </c>
      <c r="AV542">
        <v>120</v>
      </c>
      <c r="AW542">
        <v>70</v>
      </c>
      <c r="AX542">
        <v>9</v>
      </c>
      <c r="AY542">
        <v>10</v>
      </c>
      <c r="AZ542">
        <v>19</v>
      </c>
      <c r="BA542">
        <v>18</v>
      </c>
      <c r="BB542">
        <v>6.9</v>
      </c>
      <c r="BC542" t="str" cm="1">
        <f t="array" ref="BC542">_xlfn.IFS((F542/(G542*G542)*10000)&lt; 18.5,"Underweight",(F542/(G542*G542)*10000)&lt;24.9,"Normal",(F542/(G542*G542)*10000)&lt;29.9,"Overweight",(F542/(G542*G542)*10000)&gt;=30,"obesity")</f>
        <v>obesity</v>
      </c>
      <c r="BD542">
        <f>Table1[[#This Row],[Follicle No. (L)]]+Table1[[#This Row],[Follicle No. (R)]]</f>
        <v>19</v>
      </c>
      <c r="BE542">
        <f>Table1[[#This Row],[Avg. F size (L) (mm)]]+Table1[[#This Row],[Avg. F size (R) (mm)]]</f>
        <v>37</v>
      </c>
      <c r="BF542">
        <f>Table1[[#This Row],[BP _Diastolic (mmHg)]]+(Table1[[#This Row],[BP _Diastolic (mmHg)]]+Table1[[#This Row],[Follicle No. (L)]])/3</f>
        <v>96.333333333333329</v>
      </c>
      <c r="BG542" s="4" t="str" cm="1">
        <f t="array" ref="BG542">_xlfn.IFS(AND(Table1[[#This Row],[Total_Follicles_number]]&gt;=15,Table1[[#This Row],[Cycle(R/I)]] =4),"High risk and irregular cycle",OR(Table1[[#This Row],[Total_Follicles_number]]&gt;=10,Table1[[#This Row],[Skin darkening (Y/N)]]=1),"Moderate risk",TRUE,"Low risk")</f>
        <v>High risk and irregular cycle</v>
      </c>
      <c r="BH542" s="4">
        <f>SUM(Table1[[#This Row],[Pimples(Y/N)]],Table1[[#This Row],[hair growth(Y/N)]],Table1[[#This Row],[Skin darkening (Y/N)]],Table1[[#This Row],[Hair loss(Y/N)]])</f>
        <v>4</v>
      </c>
      <c r="BI542" s="4" t="str">
        <f>IF(AND(Table1[[#This Row],[Pregnant(Y/N)]]=0, Table1[[#This Row],[  I   beta-HCG(mIU/mL)]]&gt;5), "Investigation Required", "Clear")</f>
        <v>Clear</v>
      </c>
    </row>
    <row r="543" spans="1:61" ht="15.75" customHeight="1" x14ac:dyDescent="0.25"/>
    <row r="544" spans="1:61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E523-76CD-4432-BF22-3769ABE1DF3D}">
  <dimension ref="A5:CD14"/>
  <sheetViews>
    <sheetView tabSelected="1" topLeftCell="S5" zoomScale="90" workbookViewId="0">
      <selection activeCell="AE9" sqref="AE9"/>
    </sheetView>
  </sheetViews>
  <sheetFormatPr defaultRowHeight="13.2" x14ac:dyDescent="0.25"/>
  <cols>
    <col min="2" max="2" width="14.77734375" bestFit="1" customWidth="1"/>
    <col min="3" max="3" width="15" bestFit="1" customWidth="1"/>
    <col min="4" max="4" width="30" bestFit="1" customWidth="1"/>
    <col min="9" max="9" width="21.109375" bestFit="1" customWidth="1"/>
    <col min="10" max="10" width="30.21875" bestFit="1" customWidth="1"/>
    <col min="11" max="11" width="45.77734375" bestFit="1" customWidth="1"/>
    <col min="12" max="12" width="44.21875" bestFit="1" customWidth="1"/>
    <col min="18" max="18" width="22.6640625" bestFit="1" customWidth="1"/>
    <col min="19" max="19" width="16.44140625" bestFit="1" customWidth="1"/>
    <col min="20" max="20" width="4.5546875" bestFit="1" customWidth="1"/>
    <col min="21" max="21" width="11.33203125" bestFit="1" customWidth="1"/>
    <col min="22" max="22" width="6.44140625" bestFit="1" customWidth="1"/>
    <col min="23" max="23" width="4.5546875" bestFit="1" customWidth="1"/>
    <col min="24" max="24" width="9.44140625" bestFit="1" customWidth="1"/>
    <col min="25" max="25" width="11.33203125" bestFit="1" customWidth="1"/>
    <col min="28" max="28" width="21.109375" bestFit="1" customWidth="1"/>
    <col min="29" max="29" width="24.88671875" bestFit="1" customWidth="1"/>
    <col min="30" max="30" width="6.44140625" bestFit="1" customWidth="1"/>
    <col min="31" max="31" width="15.6640625" bestFit="1" customWidth="1"/>
    <col min="35" max="35" width="48.33203125" bestFit="1" customWidth="1"/>
    <col min="36" max="36" width="24.88671875" bestFit="1" customWidth="1"/>
    <col min="37" max="37" width="6.44140625" bestFit="1" customWidth="1"/>
    <col min="38" max="38" width="15.6640625" bestFit="1" customWidth="1"/>
    <col min="42" max="42" width="31.5546875" bestFit="1" customWidth="1"/>
    <col min="43" max="43" width="24.88671875" bestFit="1" customWidth="1"/>
    <col min="44" max="44" width="6.44140625" bestFit="1" customWidth="1"/>
    <col min="45" max="45" width="15.6640625" bestFit="1" customWidth="1"/>
    <col min="51" max="51" width="31.5546875" bestFit="1" customWidth="1"/>
    <col min="52" max="52" width="24.88671875" bestFit="1" customWidth="1"/>
    <col min="53" max="53" width="6.44140625" bestFit="1" customWidth="1"/>
    <col min="54" max="54" width="15.6640625" bestFit="1" customWidth="1"/>
    <col min="55" max="55" width="10" customWidth="1"/>
    <col min="56" max="56" width="6.88671875" customWidth="1"/>
    <col min="57" max="57" width="11.33203125" bestFit="1" customWidth="1"/>
    <col min="58" max="58" width="31.5546875" bestFit="1" customWidth="1"/>
    <col min="59" max="59" width="24.88671875" bestFit="1" customWidth="1"/>
    <col min="60" max="60" width="6.44140625" bestFit="1" customWidth="1"/>
    <col min="61" max="61" width="15.6640625" bestFit="1" customWidth="1"/>
    <col min="65" max="65" width="21.109375" bestFit="1" customWidth="1"/>
    <col min="66" max="66" width="30.21875" bestFit="1" customWidth="1"/>
    <col min="67" max="67" width="41.109375" bestFit="1" customWidth="1"/>
    <col min="68" max="68" width="31.5546875" bestFit="1" customWidth="1"/>
    <col min="69" max="69" width="30.21875" bestFit="1" customWidth="1"/>
    <col min="70" max="70" width="41.109375" bestFit="1" customWidth="1"/>
    <col min="71" max="71" width="31.5546875" bestFit="1" customWidth="1"/>
    <col min="72" max="72" width="27" bestFit="1" customWidth="1"/>
    <col min="73" max="73" width="34.6640625" bestFit="1" customWidth="1"/>
    <col min="74" max="74" width="27.6640625" bestFit="1" customWidth="1"/>
    <col min="79" max="79" width="19.6640625" bestFit="1" customWidth="1"/>
    <col min="80" max="80" width="24.109375" bestFit="1" customWidth="1"/>
    <col min="81" max="82" width="33" bestFit="1" customWidth="1"/>
  </cols>
  <sheetData>
    <row r="5" spans="1:82" s="6" customFormat="1" ht="24.6" x14ac:dyDescent="0.4">
      <c r="A5" s="6">
        <v>6</v>
      </c>
      <c r="I5" s="6">
        <v>7</v>
      </c>
      <c r="R5" s="6">
        <v>8</v>
      </c>
      <c r="AB5" s="6">
        <v>9</v>
      </c>
      <c r="AI5" s="6">
        <v>10</v>
      </c>
      <c r="AP5" s="6">
        <v>11</v>
      </c>
      <c r="AY5" s="6">
        <v>12</v>
      </c>
      <c r="BF5" s="6">
        <v>13</v>
      </c>
      <c r="BM5" s="6">
        <v>14</v>
      </c>
      <c r="CA5" s="6">
        <v>15</v>
      </c>
    </row>
    <row r="7" spans="1:82" x14ac:dyDescent="0.25">
      <c r="B7" s="1" t="s">
        <v>48</v>
      </c>
      <c r="C7" t="s">
        <v>52</v>
      </c>
      <c r="I7" s="1" t="s">
        <v>48</v>
      </c>
      <c r="J7" t="s">
        <v>55</v>
      </c>
      <c r="K7" t="s">
        <v>57</v>
      </c>
      <c r="L7" t="s">
        <v>56</v>
      </c>
      <c r="R7" s="1" t="s">
        <v>70</v>
      </c>
      <c r="S7" s="1" t="s">
        <v>58</v>
      </c>
      <c r="AB7" s="1" t="s">
        <v>74</v>
      </c>
      <c r="AC7" s="1" t="s">
        <v>58</v>
      </c>
      <c r="AI7" s="1" t="s">
        <v>73</v>
      </c>
      <c r="AJ7" s="1" t="s">
        <v>58</v>
      </c>
      <c r="AP7" s="1" t="s">
        <v>70</v>
      </c>
      <c r="AQ7" s="1" t="s">
        <v>58</v>
      </c>
      <c r="AY7" s="1" t="s">
        <v>70</v>
      </c>
      <c r="AZ7" s="1" t="s">
        <v>58</v>
      </c>
      <c r="BF7" s="1" t="s">
        <v>70</v>
      </c>
      <c r="BG7" s="1" t="s">
        <v>58</v>
      </c>
      <c r="BN7" s="1" t="s">
        <v>58</v>
      </c>
      <c r="CA7" s="1" t="s">
        <v>48</v>
      </c>
      <c r="CB7" t="s">
        <v>70</v>
      </c>
      <c r="CC7" t="s">
        <v>88</v>
      </c>
      <c r="CD7" t="s">
        <v>89</v>
      </c>
    </row>
    <row r="8" spans="1:82" x14ac:dyDescent="0.25">
      <c r="B8" s="2" t="s">
        <v>49</v>
      </c>
      <c r="C8" s="4">
        <v>364</v>
      </c>
      <c r="I8" s="2" t="s">
        <v>49</v>
      </c>
      <c r="J8" s="4">
        <v>4.541495867768595</v>
      </c>
      <c r="K8" s="4">
        <v>29.91346153846154</v>
      </c>
      <c r="L8" s="4">
        <v>8.9890109890109891</v>
      </c>
      <c r="R8" s="1" t="s">
        <v>48</v>
      </c>
      <c r="S8" t="s">
        <v>49</v>
      </c>
      <c r="T8" t="s">
        <v>50</v>
      </c>
      <c r="AB8" s="1" t="s">
        <v>48</v>
      </c>
      <c r="AC8" t="s">
        <v>49</v>
      </c>
      <c r="AD8" t="s">
        <v>50</v>
      </c>
      <c r="AE8" t="s">
        <v>51</v>
      </c>
      <c r="AI8" s="1" t="s">
        <v>48</v>
      </c>
      <c r="AJ8" t="s">
        <v>49</v>
      </c>
      <c r="AK8" t="s">
        <v>50</v>
      </c>
      <c r="AL8" t="s">
        <v>51</v>
      </c>
      <c r="AP8" s="1" t="s">
        <v>48</v>
      </c>
      <c r="AQ8" t="s">
        <v>49</v>
      </c>
      <c r="AR8" t="s">
        <v>50</v>
      </c>
      <c r="AS8" t="s">
        <v>51</v>
      </c>
      <c r="AY8" s="1" t="s">
        <v>48</v>
      </c>
      <c r="AZ8" t="s">
        <v>49</v>
      </c>
      <c r="BA8" t="s">
        <v>50</v>
      </c>
      <c r="BB8" t="s">
        <v>51</v>
      </c>
      <c r="BF8" s="1" t="s">
        <v>48</v>
      </c>
      <c r="BG8" t="s">
        <v>49</v>
      </c>
      <c r="BH8" t="s">
        <v>50</v>
      </c>
      <c r="BI8" t="s">
        <v>51</v>
      </c>
      <c r="BN8" t="s">
        <v>49</v>
      </c>
      <c r="BQ8" t="s">
        <v>50</v>
      </c>
      <c r="CA8" s="2" t="s">
        <v>86</v>
      </c>
      <c r="CB8" s="4">
        <v>425</v>
      </c>
      <c r="CC8" s="4">
        <v>635.11326117646877</v>
      </c>
      <c r="CD8" s="4">
        <v>290.22926650943509</v>
      </c>
    </row>
    <row r="9" spans="1:82" x14ac:dyDescent="0.25">
      <c r="B9" s="2" t="s">
        <v>50</v>
      </c>
      <c r="C9" s="4">
        <v>177</v>
      </c>
      <c r="I9" s="2" t="s">
        <v>50</v>
      </c>
      <c r="J9" s="4">
        <v>7.8446327683615804</v>
      </c>
      <c r="K9" s="4">
        <v>31.613954802259887</v>
      </c>
      <c r="L9" s="4">
        <v>20.548022598870055</v>
      </c>
      <c r="R9" s="2" t="s">
        <v>49</v>
      </c>
      <c r="S9" s="4">
        <v>225</v>
      </c>
      <c r="T9" s="4">
        <v>139</v>
      </c>
      <c r="AB9" s="2" t="s">
        <v>68</v>
      </c>
      <c r="AC9" s="4">
        <v>213</v>
      </c>
      <c r="AD9" s="4">
        <v>92</v>
      </c>
      <c r="AE9" s="4">
        <v>305</v>
      </c>
      <c r="AI9" s="2" t="s">
        <v>72</v>
      </c>
      <c r="AJ9" s="4">
        <v>69</v>
      </c>
      <c r="AK9" s="4">
        <v>50</v>
      </c>
      <c r="AL9" s="4">
        <v>119</v>
      </c>
      <c r="AP9" s="2" t="s">
        <v>78</v>
      </c>
      <c r="AQ9" s="4">
        <v>9</v>
      </c>
      <c r="AR9" s="4">
        <v>74</v>
      </c>
      <c r="AS9" s="4">
        <v>83</v>
      </c>
      <c r="AY9" s="2" t="s">
        <v>80</v>
      </c>
      <c r="AZ9" s="4">
        <v>347</v>
      </c>
      <c r="BA9" s="4">
        <v>81</v>
      </c>
      <c r="BB9" s="4">
        <v>428</v>
      </c>
      <c r="BF9" s="2" t="s">
        <v>69</v>
      </c>
      <c r="BG9" s="4">
        <v>199</v>
      </c>
      <c r="BH9" s="4">
        <v>72</v>
      </c>
      <c r="BI9" s="4">
        <v>271</v>
      </c>
      <c r="BM9" s="1" t="s">
        <v>48</v>
      </c>
      <c r="BN9" t="s">
        <v>55</v>
      </c>
      <c r="BO9" t="s">
        <v>85</v>
      </c>
      <c r="BP9" t="s">
        <v>70</v>
      </c>
      <c r="BQ9" t="s">
        <v>55</v>
      </c>
      <c r="BR9" t="s">
        <v>85</v>
      </c>
      <c r="BS9" t="s">
        <v>70</v>
      </c>
      <c r="CA9" s="2" t="s">
        <v>87</v>
      </c>
      <c r="CB9" s="4">
        <v>116</v>
      </c>
      <c r="CC9" s="4">
        <v>772.39655172413813</v>
      </c>
      <c r="CD9" s="4">
        <v>50.214224137930913</v>
      </c>
    </row>
    <row r="10" spans="1:82" x14ac:dyDescent="0.25">
      <c r="B10" s="2" t="s">
        <v>51</v>
      </c>
      <c r="C10" s="4">
        <v>541</v>
      </c>
      <c r="I10" s="2" t="s">
        <v>51</v>
      </c>
      <c r="J10" s="4">
        <v>5.6241907407407412</v>
      </c>
      <c r="K10" s="4">
        <v>30.469815157116447</v>
      </c>
      <c r="L10" s="4">
        <v>12.77079482439926</v>
      </c>
      <c r="R10" s="5" t="s">
        <v>49</v>
      </c>
      <c r="S10" s="4">
        <v>191</v>
      </c>
      <c r="T10" s="4">
        <v>90</v>
      </c>
      <c r="AB10" s="2" t="s">
        <v>69</v>
      </c>
      <c r="AC10" s="4">
        <v>151</v>
      </c>
      <c r="AD10" s="4">
        <v>85</v>
      </c>
      <c r="AE10" s="4">
        <v>236</v>
      </c>
      <c r="AI10" s="2" t="s">
        <v>69</v>
      </c>
      <c r="AJ10" s="4">
        <v>295</v>
      </c>
      <c r="AK10" s="4">
        <v>127</v>
      </c>
      <c r="AL10" s="4">
        <v>422</v>
      </c>
      <c r="AP10" s="2" t="s">
        <v>76</v>
      </c>
      <c r="AQ10" s="4">
        <v>173</v>
      </c>
      <c r="AR10" s="4">
        <v>5</v>
      </c>
      <c r="AS10" s="4">
        <v>178</v>
      </c>
      <c r="AY10" s="2" t="s">
        <v>81</v>
      </c>
      <c r="AZ10" s="4">
        <v>17</v>
      </c>
      <c r="BA10" s="4">
        <v>96</v>
      </c>
      <c r="BB10" s="4">
        <v>113</v>
      </c>
      <c r="BF10" s="2" t="s">
        <v>82</v>
      </c>
      <c r="BG10" s="4">
        <v>19</v>
      </c>
      <c r="BH10" s="4">
        <v>24</v>
      </c>
      <c r="BI10" s="4">
        <v>43</v>
      </c>
      <c r="BM10" s="2" t="s">
        <v>69</v>
      </c>
      <c r="BN10" s="4">
        <v>4.734949494949495</v>
      </c>
      <c r="BO10" s="4">
        <v>199</v>
      </c>
      <c r="BP10" s="3">
        <v>0.36783733826247689</v>
      </c>
      <c r="BQ10" s="4">
        <v>7.0505555555555537</v>
      </c>
      <c r="BR10" s="4">
        <v>72</v>
      </c>
      <c r="BS10" s="3">
        <v>0.13308687615526801</v>
      </c>
      <c r="CA10" s="2" t="s">
        <v>51</v>
      </c>
      <c r="CB10" s="4">
        <v>541</v>
      </c>
      <c r="CC10" s="4">
        <v>664.54923475046087</v>
      </c>
      <c r="CD10" s="4">
        <v>238.6704796296313</v>
      </c>
    </row>
    <row r="11" spans="1:82" x14ac:dyDescent="0.25">
      <c r="R11" s="5" t="s">
        <v>50</v>
      </c>
      <c r="S11" s="4">
        <v>34</v>
      </c>
      <c r="T11" s="4">
        <v>49</v>
      </c>
      <c r="AI11" s="2" t="s">
        <v>51</v>
      </c>
      <c r="AJ11" s="4">
        <v>364</v>
      </c>
      <c r="AK11" s="4">
        <v>177</v>
      </c>
      <c r="AL11" s="4">
        <v>541</v>
      </c>
      <c r="AP11" s="2" t="s">
        <v>77</v>
      </c>
      <c r="AQ11" s="4">
        <v>182</v>
      </c>
      <c r="AR11" s="4">
        <v>98</v>
      </c>
      <c r="AS11" s="4">
        <v>280</v>
      </c>
      <c r="AY11" s="2" t="s">
        <v>51</v>
      </c>
      <c r="AZ11" s="4">
        <v>364</v>
      </c>
      <c r="BA11" s="4">
        <v>177</v>
      </c>
      <c r="BB11" s="4">
        <v>541</v>
      </c>
      <c r="BF11" s="2" t="s">
        <v>83</v>
      </c>
      <c r="BG11" s="4">
        <v>120</v>
      </c>
      <c r="BH11" s="4">
        <v>71</v>
      </c>
      <c r="BI11" s="4">
        <v>191</v>
      </c>
      <c r="BM11" s="2" t="s">
        <v>82</v>
      </c>
      <c r="BN11" s="4">
        <v>5.0131578947368416</v>
      </c>
      <c r="BO11" s="4">
        <v>19</v>
      </c>
      <c r="BP11" s="3">
        <v>3.512014787430684E-2</v>
      </c>
      <c r="BQ11" s="4">
        <v>10.682916666666666</v>
      </c>
      <c r="BR11" s="4">
        <v>24</v>
      </c>
      <c r="BS11" s="3">
        <v>4.4362292051756007E-2</v>
      </c>
    </row>
    <row r="12" spans="1:82" x14ac:dyDescent="0.25">
      <c r="R12" s="2" t="s">
        <v>50</v>
      </c>
      <c r="S12" s="4">
        <v>38</v>
      </c>
      <c r="T12" s="4">
        <v>139</v>
      </c>
      <c r="BF12" s="2" t="s">
        <v>84</v>
      </c>
      <c r="BG12" s="4">
        <v>26</v>
      </c>
      <c r="BH12" s="4">
        <v>10</v>
      </c>
      <c r="BI12" s="4">
        <v>36</v>
      </c>
      <c r="BM12" s="2" t="s">
        <v>83</v>
      </c>
      <c r="BN12" s="4">
        <v>4.0684416666666658</v>
      </c>
      <c r="BO12" s="4">
        <v>120</v>
      </c>
      <c r="BP12" s="3">
        <v>0.22181146025878004</v>
      </c>
      <c r="BQ12" s="4">
        <v>7.3888732394366201</v>
      </c>
      <c r="BR12" s="4">
        <v>71</v>
      </c>
      <c r="BS12" s="3">
        <v>0.13123844731977818</v>
      </c>
    </row>
    <row r="13" spans="1:82" x14ac:dyDescent="0.25">
      <c r="R13" s="5" t="s">
        <v>49</v>
      </c>
      <c r="S13" s="4">
        <v>22</v>
      </c>
      <c r="T13" s="4">
        <v>34</v>
      </c>
      <c r="BF13" s="2" t="s">
        <v>51</v>
      </c>
      <c r="BG13" s="4">
        <v>364</v>
      </c>
      <c r="BH13" s="4">
        <v>177</v>
      </c>
      <c r="BI13" s="4">
        <v>541</v>
      </c>
      <c r="BM13" s="2" t="s">
        <v>84</v>
      </c>
      <c r="BN13" s="4">
        <v>4.9069230769230767</v>
      </c>
      <c r="BO13" s="4">
        <v>26</v>
      </c>
      <c r="BP13" s="3">
        <v>4.8059149722735672E-2</v>
      </c>
      <c r="BQ13" s="4">
        <v>9.9860000000000007</v>
      </c>
      <c r="BR13" s="4">
        <v>10</v>
      </c>
      <c r="BS13" s="3">
        <v>1.8484288354898338E-2</v>
      </c>
    </row>
    <row r="14" spans="1:82" x14ac:dyDescent="0.25">
      <c r="R14" s="5" t="s">
        <v>50</v>
      </c>
      <c r="S14" s="4">
        <v>16</v>
      </c>
      <c r="T14" s="4">
        <v>105</v>
      </c>
    </row>
  </sheetData>
  <pageMargins left="0.7" right="0.7" top="0.75" bottom="0.75" header="0.3" footer="0.3"/>
  <pageSetup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Full_new</vt:lpstr>
      <vt:lpstr>Charts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mishra</cp:lastModifiedBy>
  <dcterms:modified xsi:type="dcterms:W3CDTF">2026-08-18T11:17:45Z</dcterms:modified>
</cp:coreProperties>
</file>