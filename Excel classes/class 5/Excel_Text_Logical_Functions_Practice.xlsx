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3\Downloads\Upgrad classes\class 5\"/>
    </mc:Choice>
  </mc:AlternateContent>
  <xr:revisionPtr revIDLastSave="0" documentId="13_ncr:1_{97903291-474D-40CC-9F3D-AF3040693F6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Raw Data" sheetId="1" r:id="rId1"/>
    <sheet name="Instructions" sheetId="2" r:id="rId2"/>
    <sheet name="Practice" sheetId="3" r:id="rId3"/>
    <sheet name="Solution Key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2" i="4" l="1"/>
  <c r="AF4" i="3"/>
  <c r="AF5" i="3"/>
  <c r="AF6" i="3"/>
  <c r="AF7" i="3"/>
  <c r="AF8" i="3"/>
  <c r="AF9" i="3"/>
  <c r="AF10" i="3"/>
  <c r="AF3" i="3"/>
  <c r="AF2" i="3"/>
  <c r="X2" i="3"/>
  <c r="AE4" i="3"/>
  <c r="AE5" i="3"/>
  <c r="AE6" i="3"/>
  <c r="AE7" i="3"/>
  <c r="AE8" i="3"/>
  <c r="AE9" i="3"/>
  <c r="AE10" i="3"/>
  <c r="AE3" i="3"/>
  <c r="AD3" i="3"/>
  <c r="AD4" i="3"/>
  <c r="AD5" i="3"/>
  <c r="AD6" i="3"/>
  <c r="AD7" i="3"/>
  <c r="AD8" i="3"/>
  <c r="AD9" i="3"/>
  <c r="AD10" i="3"/>
  <c r="AC3" i="3"/>
  <c r="AC4" i="3"/>
  <c r="AC5" i="3"/>
  <c r="AC6" i="3"/>
  <c r="AC7" i="3"/>
  <c r="AC8" i="3"/>
  <c r="AC9" i="3"/>
  <c r="AC10" i="3"/>
  <c r="AC2" i="3"/>
  <c r="AB3" i="3"/>
  <c r="AB4" i="3"/>
  <c r="AB5" i="3"/>
  <c r="AB6" i="3"/>
  <c r="AB7" i="3"/>
  <c r="AB8" i="3"/>
  <c r="AB9" i="3"/>
  <c r="AB10" i="3"/>
  <c r="AA3" i="3"/>
  <c r="AA2" i="3"/>
  <c r="AA4" i="3"/>
  <c r="AA5" i="3"/>
  <c r="AA6" i="3"/>
  <c r="AA7" i="3"/>
  <c r="AA8" i="3"/>
  <c r="AA9" i="3"/>
  <c r="AA10" i="3"/>
  <c r="X3" i="3"/>
  <c r="X4" i="3"/>
  <c r="X5" i="3"/>
  <c r="X6" i="3"/>
  <c r="X7" i="3"/>
  <c r="X8" i="3"/>
  <c r="X9" i="3"/>
  <c r="X10" i="3"/>
  <c r="Z3" i="3"/>
  <c r="Z4" i="3"/>
  <c r="Z5" i="3"/>
  <c r="Z6" i="3"/>
  <c r="Z7" i="3"/>
  <c r="Z8" i="3"/>
  <c r="Z9" i="3"/>
  <c r="Z10" i="3"/>
  <c r="Y3" i="3"/>
  <c r="Y4" i="3"/>
  <c r="Y5" i="3"/>
  <c r="Y6" i="3"/>
  <c r="Y7" i="3"/>
  <c r="Y8" i="3"/>
  <c r="Y9" i="3"/>
  <c r="Y10" i="3"/>
  <c r="W4" i="3"/>
  <c r="W5" i="3"/>
  <c r="W6" i="3"/>
  <c r="W7" i="3"/>
  <c r="W8" i="3"/>
  <c r="W9" i="3"/>
  <c r="W10" i="3"/>
  <c r="W3" i="3"/>
  <c r="Y2" i="3"/>
  <c r="W2" i="3"/>
  <c r="V3" i="3"/>
  <c r="V4" i="3"/>
  <c r="V5" i="3"/>
  <c r="V6" i="3"/>
  <c r="V7" i="3"/>
  <c r="V8" i="3"/>
  <c r="V9" i="3"/>
  <c r="V10" i="3"/>
  <c r="V2" i="3"/>
  <c r="U3" i="3"/>
  <c r="U4" i="3"/>
  <c r="U5" i="3"/>
  <c r="U6" i="3"/>
  <c r="U7" i="3"/>
  <c r="U8" i="3"/>
  <c r="U9" i="3"/>
  <c r="U10" i="3"/>
  <c r="U2" i="3"/>
  <c r="T3" i="3"/>
  <c r="T4" i="3"/>
  <c r="T5" i="3"/>
  <c r="T6" i="3"/>
  <c r="T7" i="3"/>
  <c r="T8" i="3"/>
  <c r="T9" i="3"/>
  <c r="T10" i="3"/>
  <c r="S3" i="3"/>
  <c r="S4" i="3"/>
  <c r="S5" i="3"/>
  <c r="S6" i="3"/>
  <c r="S7" i="3"/>
  <c r="S8" i="3"/>
  <c r="S9" i="3"/>
  <c r="S10" i="3"/>
  <c r="R3" i="3"/>
  <c r="R4" i="3"/>
  <c r="R5" i="3"/>
  <c r="R6" i="3"/>
  <c r="R7" i="3"/>
  <c r="R8" i="3"/>
  <c r="R9" i="3"/>
  <c r="R10" i="3"/>
  <c r="Q3" i="3"/>
  <c r="Q4" i="3"/>
  <c r="Q5" i="3"/>
  <c r="Q6" i="3"/>
  <c r="Q7" i="3"/>
  <c r="Q8" i="3"/>
  <c r="Q9" i="3"/>
  <c r="Q10" i="3"/>
  <c r="Q2" i="3"/>
  <c r="Q2" i="4"/>
  <c r="A2" i="3"/>
  <c r="P3" i="3"/>
  <c r="P4" i="3"/>
  <c r="P5" i="3"/>
  <c r="P6" i="3"/>
  <c r="P7" i="3"/>
  <c r="P8" i="3"/>
  <c r="P9" i="3"/>
  <c r="P10" i="3"/>
  <c r="O3" i="3"/>
  <c r="O4" i="3"/>
  <c r="O5" i="3"/>
  <c r="O6" i="3"/>
  <c r="O7" i="3"/>
  <c r="O8" i="3"/>
  <c r="O9" i="3"/>
  <c r="O10" i="3"/>
  <c r="K3" i="4"/>
  <c r="J3" i="3"/>
  <c r="J4" i="3"/>
  <c r="J5" i="3"/>
  <c r="J6" i="3"/>
  <c r="J7" i="3"/>
  <c r="J8" i="3"/>
  <c r="J9" i="3"/>
  <c r="J10" i="3"/>
  <c r="J2" i="3"/>
  <c r="J2" i="4"/>
  <c r="I3" i="3"/>
  <c r="I4" i="3"/>
  <c r="I5" i="3"/>
  <c r="I6" i="3"/>
  <c r="I7" i="3"/>
  <c r="I8" i="3"/>
  <c r="I9" i="3"/>
  <c r="I10" i="3"/>
  <c r="I2" i="3"/>
  <c r="H2" i="3"/>
  <c r="H3" i="3"/>
  <c r="H4" i="3"/>
  <c r="H5" i="3"/>
  <c r="H6" i="3"/>
  <c r="H7" i="3"/>
  <c r="H8" i="3"/>
  <c r="H9" i="3"/>
  <c r="H10" i="3"/>
  <c r="G3" i="3"/>
  <c r="G4" i="3"/>
  <c r="G5" i="3"/>
  <c r="G6" i="3"/>
  <c r="G7" i="3"/>
  <c r="G8" i="3"/>
  <c r="G9" i="3"/>
  <c r="G10" i="3"/>
  <c r="G2" i="3"/>
  <c r="F2" i="3"/>
  <c r="F3" i="3"/>
  <c r="F4" i="3"/>
  <c r="F5" i="3"/>
  <c r="F6" i="3"/>
  <c r="F7" i="3"/>
  <c r="F8" i="3"/>
  <c r="F9" i="3"/>
  <c r="F10" i="3"/>
  <c r="E3" i="3"/>
  <c r="E4" i="3"/>
  <c r="E5" i="3"/>
  <c r="E6" i="3"/>
  <c r="E7" i="3"/>
  <c r="E8" i="3"/>
  <c r="E9" i="3"/>
  <c r="E10" i="3"/>
  <c r="E2" i="3"/>
  <c r="D3" i="3"/>
  <c r="D4" i="3"/>
  <c r="D5" i="3"/>
  <c r="D6" i="3"/>
  <c r="D7" i="3"/>
  <c r="D8" i="3"/>
  <c r="D9" i="3"/>
  <c r="D10" i="3"/>
  <c r="D2" i="3"/>
  <c r="C2" i="3"/>
  <c r="C3" i="3"/>
  <c r="C4" i="3"/>
  <c r="C5" i="3"/>
  <c r="C6" i="3"/>
  <c r="C7" i="3"/>
  <c r="C8" i="3"/>
  <c r="C9" i="3"/>
  <c r="C10" i="3"/>
  <c r="Y2" i="4"/>
  <c r="O2" i="3" l="1"/>
  <c r="P2" i="3"/>
  <c r="AG10" i="4"/>
  <c r="AE10" i="4"/>
  <c r="AF10" i="4" s="1"/>
  <c r="AD10" i="4"/>
  <c r="AB10" i="4"/>
  <c r="AC10" i="4" s="1"/>
  <c r="AA10" i="4"/>
  <c r="Z10" i="4"/>
  <c r="Y10" i="4"/>
  <c r="X10" i="4"/>
  <c r="V10" i="4"/>
  <c r="W10" i="4" s="1"/>
  <c r="U10" i="4"/>
  <c r="T10" i="4"/>
  <c r="S10" i="4"/>
  <c r="K10" i="4"/>
  <c r="G10" i="4"/>
  <c r="F10" i="4"/>
  <c r="E10" i="4"/>
  <c r="D10" i="4"/>
  <c r="C10" i="4"/>
  <c r="J10" i="4" s="1"/>
  <c r="A10" i="4"/>
  <c r="Q10" i="4" s="1"/>
  <c r="AG9" i="4"/>
  <c r="AE9" i="4"/>
  <c r="AF9" i="4" s="1"/>
  <c r="AD9" i="4"/>
  <c r="AC9" i="4"/>
  <c r="AB9" i="4"/>
  <c r="AA9" i="4"/>
  <c r="Z9" i="4"/>
  <c r="Y9" i="4"/>
  <c r="X9" i="4"/>
  <c r="W9" i="4"/>
  <c r="V9" i="4"/>
  <c r="U9" i="4"/>
  <c r="T9" i="4"/>
  <c r="S9" i="4"/>
  <c r="R9" i="4"/>
  <c r="K9" i="4"/>
  <c r="G9" i="4"/>
  <c r="F9" i="4"/>
  <c r="E9" i="4"/>
  <c r="D9" i="4"/>
  <c r="C9" i="4"/>
  <c r="J9" i="4" s="1"/>
  <c r="A9" i="4"/>
  <c r="Q9" i="4" s="1"/>
  <c r="AG8" i="4"/>
  <c r="AF8" i="4"/>
  <c r="AE8" i="4"/>
  <c r="AD8" i="4"/>
  <c r="AB8" i="4"/>
  <c r="AC8" i="4" s="1"/>
  <c r="AA8" i="4"/>
  <c r="Z8" i="4"/>
  <c r="Y8" i="4"/>
  <c r="X8" i="4"/>
  <c r="W8" i="4"/>
  <c r="V8" i="4"/>
  <c r="U8" i="4"/>
  <c r="T8" i="4"/>
  <c r="S8" i="4"/>
  <c r="R8" i="4"/>
  <c r="Q8" i="4"/>
  <c r="P8" i="4"/>
  <c r="O8" i="4"/>
  <c r="K8" i="4"/>
  <c r="G8" i="4"/>
  <c r="F8" i="4"/>
  <c r="E8" i="4"/>
  <c r="D8" i="4"/>
  <c r="C8" i="4"/>
  <c r="H8" i="4" s="1"/>
  <c r="A8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K7" i="4"/>
  <c r="J7" i="4"/>
  <c r="G7" i="4"/>
  <c r="F7" i="4"/>
  <c r="E7" i="4"/>
  <c r="D7" i="4"/>
  <c r="C7" i="4"/>
  <c r="I7" i="4" s="1"/>
  <c r="A7" i="4"/>
  <c r="O7" i="4" s="1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K6" i="4"/>
  <c r="J6" i="4"/>
  <c r="H6" i="4"/>
  <c r="G6" i="4"/>
  <c r="F6" i="4"/>
  <c r="E6" i="4"/>
  <c r="D6" i="4"/>
  <c r="C6" i="4"/>
  <c r="I6" i="4" s="1"/>
  <c r="A6" i="4"/>
  <c r="R6" i="4" s="1"/>
  <c r="AG5" i="4"/>
  <c r="AE5" i="4"/>
  <c r="AF5" i="4" s="1"/>
  <c r="AD5" i="4"/>
  <c r="AC5" i="4"/>
  <c r="AB5" i="4"/>
  <c r="AA5" i="4"/>
  <c r="Z5" i="4"/>
  <c r="Y5" i="4"/>
  <c r="X5" i="4"/>
  <c r="W5" i="4"/>
  <c r="V5" i="4"/>
  <c r="U5" i="4"/>
  <c r="T5" i="4"/>
  <c r="S5" i="4"/>
  <c r="K5" i="4"/>
  <c r="J5" i="4"/>
  <c r="G5" i="4"/>
  <c r="F5" i="4"/>
  <c r="E5" i="4"/>
  <c r="D5" i="4"/>
  <c r="C5" i="4"/>
  <c r="I5" i="4" s="1"/>
  <c r="A5" i="4"/>
  <c r="Q5" i="4" s="1"/>
  <c r="AG4" i="4"/>
  <c r="AE4" i="4"/>
  <c r="AF4" i="4" s="1"/>
  <c r="AD4" i="4"/>
  <c r="AB4" i="4"/>
  <c r="AC4" i="4" s="1"/>
  <c r="AA4" i="4"/>
  <c r="Z4" i="4"/>
  <c r="Y4" i="4"/>
  <c r="X4" i="4"/>
  <c r="W4" i="4"/>
  <c r="V4" i="4"/>
  <c r="U4" i="4"/>
  <c r="T4" i="4"/>
  <c r="S4" i="4"/>
  <c r="R4" i="4"/>
  <c r="O4" i="4"/>
  <c r="K4" i="4"/>
  <c r="J4" i="4"/>
  <c r="I4" i="4"/>
  <c r="G4" i="4"/>
  <c r="F4" i="4"/>
  <c r="E4" i="4"/>
  <c r="D4" i="4"/>
  <c r="H4" i="4" s="1"/>
  <c r="C4" i="4"/>
  <c r="A4" i="4"/>
  <c r="Q4" i="4" s="1"/>
  <c r="AG3" i="4"/>
  <c r="AE3" i="4"/>
  <c r="AF3" i="4" s="1"/>
  <c r="AD3" i="4"/>
  <c r="AB3" i="4"/>
  <c r="AC3" i="4" s="1"/>
  <c r="AA3" i="4"/>
  <c r="Z3" i="4"/>
  <c r="Y3" i="4"/>
  <c r="X3" i="4"/>
  <c r="W3" i="4"/>
  <c r="V3" i="4"/>
  <c r="U3" i="4"/>
  <c r="T3" i="4"/>
  <c r="S3" i="4"/>
  <c r="R3" i="4"/>
  <c r="Q3" i="4"/>
  <c r="P3" i="4"/>
  <c r="O3" i="4"/>
  <c r="G3" i="4"/>
  <c r="F3" i="4"/>
  <c r="E3" i="4"/>
  <c r="D3" i="4"/>
  <c r="H3" i="4" s="1"/>
  <c r="C3" i="4"/>
  <c r="J3" i="4" s="1"/>
  <c r="A3" i="4"/>
  <c r="AG2" i="4"/>
  <c r="AE2" i="4"/>
  <c r="AF2" i="4" s="1"/>
  <c r="AD2" i="4"/>
  <c r="AB2" i="4"/>
  <c r="AC2" i="4" s="1"/>
  <c r="AA2" i="4"/>
  <c r="Z2" i="4"/>
  <c r="V2" i="4"/>
  <c r="W2" i="4" s="1"/>
  <c r="U2" i="4"/>
  <c r="T2" i="4"/>
  <c r="S2" i="4"/>
  <c r="K2" i="4"/>
  <c r="I2" i="4"/>
  <c r="G2" i="4"/>
  <c r="F2" i="4"/>
  <c r="E2" i="4"/>
  <c r="D2" i="4"/>
  <c r="C2" i="4"/>
  <c r="A2" i="4"/>
  <c r="P2" i="4" s="1"/>
  <c r="A10" i="3"/>
  <c r="A9" i="3"/>
  <c r="A8" i="3"/>
  <c r="A7" i="3"/>
  <c r="A6" i="3"/>
  <c r="A5" i="3"/>
  <c r="A4" i="3"/>
  <c r="A3" i="3"/>
  <c r="AE2" i="3"/>
  <c r="AD2" i="3"/>
  <c r="AB2" i="3"/>
  <c r="Z2" i="3"/>
  <c r="T2" i="3"/>
  <c r="S2" i="3"/>
  <c r="R2" i="3" l="1"/>
  <c r="P7" i="4"/>
  <c r="R2" i="4"/>
  <c r="P4" i="4"/>
  <c r="H5" i="4"/>
  <c r="Q7" i="4"/>
  <c r="I8" i="4"/>
  <c r="O9" i="4"/>
  <c r="R10" i="4"/>
  <c r="I3" i="4"/>
  <c r="R5" i="4"/>
  <c r="H2" i="4"/>
  <c r="O6" i="4"/>
  <c r="R7" i="4"/>
  <c r="J8" i="4"/>
  <c r="P9" i="4"/>
  <c r="H10" i="4"/>
  <c r="H7" i="4"/>
  <c r="I10" i="4"/>
  <c r="P6" i="4"/>
  <c r="Q6" i="4"/>
  <c r="O5" i="4"/>
  <c r="H9" i="4"/>
  <c r="P5" i="4"/>
  <c r="I9" i="4"/>
  <c r="O10" i="4"/>
  <c r="P10" i="4"/>
</calcChain>
</file>

<file path=xl/sharedStrings.xml><?xml version="1.0" encoding="utf-8"?>
<sst xmlns="http://schemas.openxmlformats.org/spreadsheetml/2006/main" count="329" uniqueCount="309">
  <si>
    <t>EmployeeID</t>
  </si>
  <si>
    <t>FirstName</t>
  </si>
  <si>
    <t>LastName</t>
  </si>
  <si>
    <t>FullName_Raw</t>
  </si>
  <si>
    <t>Email</t>
  </si>
  <si>
    <t>PhoneRaw</t>
  </si>
  <si>
    <t>Dept_A</t>
  </si>
  <si>
    <t>Dept_B</t>
  </si>
  <si>
    <t>SalesValue</t>
  </si>
  <si>
    <t>PerformanceScore</t>
  </si>
  <si>
    <t>SkillsList</t>
  </si>
  <si>
    <t>RatingLevel</t>
  </si>
  <si>
    <t>SymbolCode</t>
  </si>
  <si>
    <t>Notes_Raw</t>
  </si>
  <si>
    <t>EMP-2023-045-HR</t>
  </si>
  <si>
    <t xml:space="preserve">  rahul</t>
  </si>
  <si>
    <t xml:space="preserve">SHARMA </t>
  </si>
  <si>
    <t xml:space="preserve">  rahul 
  SHARMA  </t>
  </si>
  <si>
    <t>Rahul.Sharma@COMPANY.com</t>
  </si>
  <si>
    <t>(011)-4567-8910</t>
  </si>
  <si>
    <t>Sales</t>
  </si>
  <si>
    <t>sales</t>
  </si>
  <si>
    <t>Excel, Power BI,SQL , Python</t>
  </si>
  <si>
    <t>Promoted in 2023, manager review pending</t>
  </si>
  <si>
    <t>EMP-2022-032-IT</t>
  </si>
  <si>
    <t>ANITA</t>
  </si>
  <si>
    <t xml:space="preserve">  verma</t>
  </si>
  <si>
    <t>ANITA   verma</t>
  </si>
  <si>
    <t>anita_verma@company.com</t>
  </si>
  <si>
    <t>011.2345.6789</t>
  </si>
  <si>
    <t>IT</t>
  </si>
  <si>
    <t>N/A</t>
  </si>
  <si>
    <t>Absent</t>
  </si>
  <si>
    <t>Java;C++;Python</t>
  </si>
  <si>
    <t>On approved leave this month</t>
  </si>
  <si>
    <t>EMP-2021-018-HR</t>
  </si>
  <si>
    <t>Vikram</t>
  </si>
  <si>
    <t>Nair</t>
  </si>
  <si>
    <t>Vikram Nair</t>
  </si>
  <si>
    <t>vikram.nair@company.co.in</t>
  </si>
  <si>
    <t>+91-9876543210</t>
  </si>
  <si>
    <t>Human Resources</t>
  </si>
  <si>
    <t>HR</t>
  </si>
  <si>
    <t>Recruitment, Payroll,  Onboarding</t>
  </si>
  <si>
    <t>Transferred from Mumbai office</t>
  </si>
  <si>
    <t>EMP-2023-050-FIN</t>
  </si>
  <si>
    <t>priya</t>
  </si>
  <si>
    <t>GUPTA</t>
  </si>
  <si>
    <t>priya    GUPTA</t>
  </si>
  <si>
    <t>Priya.Gupta@COMPANY.COM</t>
  </si>
  <si>
    <t xml:space="preserve">011-2233-4455 </t>
  </si>
  <si>
    <t>Finance</t>
  </si>
  <si>
    <t xml:space="preserve">Finance </t>
  </si>
  <si>
    <t>210000</t>
  </si>
  <si>
    <t>Excel,VBA,Power Query</t>
  </si>
  <si>
    <t>Top performer this quarter</t>
  </si>
  <si>
    <t>EMP-2020-005-IT</t>
  </si>
  <si>
    <t xml:space="preserve">Rohit </t>
  </si>
  <si>
    <t xml:space="preserve"> Malhotra</t>
  </si>
  <si>
    <t>Rohit  Malhotra</t>
  </si>
  <si>
    <t>rohit.malhotra@company.com</t>
  </si>
  <si>
    <t>(011) 3344 5566</t>
  </si>
  <si>
    <t>I.T.</t>
  </si>
  <si>
    <t>SQL,Excel,Tableau</t>
  </si>
  <si>
    <t>System export - formatting inconsistent</t>
  </si>
  <si>
    <t>EMP-2019-011-SALES</t>
  </si>
  <si>
    <t>SUNITA</t>
  </si>
  <si>
    <t>reddy</t>
  </si>
  <si>
    <t>SUNITA reddy</t>
  </si>
  <si>
    <t>sunita_reddy@COMPANY.com</t>
  </si>
  <si>
    <t>9998887770</t>
  </si>
  <si>
    <t>SALES</t>
  </si>
  <si>
    <t>175000</t>
  </si>
  <si>
    <t>Negotiation,CRM,Excel</t>
  </si>
  <si>
    <t>Regional lead</t>
  </si>
  <si>
    <t>EMP-2022-029-MKT</t>
  </si>
  <si>
    <t>Aman</t>
  </si>
  <si>
    <t>Khanna</t>
  </si>
  <si>
    <t xml:space="preserve"> Aman Khanna </t>
  </si>
  <si>
    <t>aman.khanna@company.com</t>
  </si>
  <si>
    <t>011-5566-7788</t>
  </si>
  <si>
    <t>Marketing</t>
  </si>
  <si>
    <t>marketing</t>
  </si>
  <si>
    <t>SEO, Content Writing,Analytics</t>
  </si>
  <si>
    <t>Campaign launch pending</t>
  </si>
  <si>
    <t>EMP-2023-041-HR</t>
  </si>
  <si>
    <t>kiran</t>
  </si>
  <si>
    <t xml:space="preserve">  Joshi</t>
  </si>
  <si>
    <t>kiran 
  Joshi</t>
  </si>
  <si>
    <t>Kiran.Joshi@Company.com</t>
  </si>
  <si>
    <t>(011)-9988-7766</t>
  </si>
  <si>
    <t>Error</t>
  </si>
  <si>
    <t>Onboarding,Payroll</t>
  </si>
  <si>
    <t>New joiner, onboarding in progress</t>
  </si>
  <si>
    <t>EMP-2021-022-FIN</t>
  </si>
  <si>
    <t>DEEPAK</t>
  </si>
  <si>
    <t>Chopra</t>
  </si>
  <si>
    <t>DEEPAK Chopra</t>
  </si>
  <si>
    <t>deepak.chopra@company.com</t>
  </si>
  <si>
    <t>011 2233 9900</t>
  </si>
  <si>
    <t>FINANCE</t>
  </si>
  <si>
    <t>Excel,SAP,Forecasting</t>
  </si>
  <si>
    <t>Consistent top scorer</t>
  </si>
  <si>
    <t>Excel Text &amp; Logical Functions - Practice Assignment</t>
  </si>
  <si>
    <t>Workbook tabs:</t>
  </si>
  <si>
    <t xml:space="preserve">  1. Raw Data       - messy source data. Do not edit.</t>
  </si>
  <si>
    <t xml:space="preserve">  2. Instructions    - this tab. The full task list.</t>
  </si>
  <si>
    <t xml:space="preserve">  3. Practice        - build your formulas here. Row 2 is a worked example (green). Yellow cells are for you to complete.</t>
  </si>
  <si>
    <t xml:space="preserve">  4. Solution Key    - instructor answer key. Don't peek until you've tried!</t>
  </si>
  <si>
    <t>All tasks reference the 'Raw Data' sheet. Row numbers match: Raw Data row 2 = Practice row 2, and so on through row 10.</t>
  </si>
  <si>
    <t>Module</t>
  </si>
  <si>
    <t>Task</t>
  </si>
  <si>
    <t>Scenario / Objective</t>
  </si>
  <si>
    <t>Function(s) Required</t>
  </si>
  <si>
    <t>Write Formula In (Practice tab)</t>
  </si>
  <si>
    <t>Module 1: Cleaning &amp; Formatting</t>
  </si>
  <si>
    <t>1.1</t>
  </si>
  <si>
    <t>Clean and properly capitalize First Name (Raw Data col B)</t>
  </si>
  <si>
    <t>TRIM, PROPER</t>
  </si>
  <si>
    <t>C</t>
  </si>
  <si>
    <t>1.2</t>
  </si>
  <si>
    <t>Clean and properly capitalize Last Name (Raw Data col C)</t>
  </si>
  <si>
    <t>D</t>
  </si>
  <si>
    <t>1.3</t>
  </si>
  <si>
    <t>Repair FullName_Raw (col D): remove the hidden line break, extra spaces, and fix casing</t>
  </si>
  <si>
    <t>CLEAN, TRIM, PROPER</t>
  </si>
  <si>
    <t>E</t>
  </si>
  <si>
    <t>1.4</t>
  </si>
  <si>
    <t>Produce an UPPERCASE version of the Email for a compliance report</t>
  </si>
  <si>
    <t>UPPER</t>
  </si>
  <si>
    <t>F</t>
  </si>
  <si>
    <t>1.5</t>
  </si>
  <si>
    <t>Produce a lowercase version of the Email for system login storage</t>
  </si>
  <si>
    <t>LOWER</t>
  </si>
  <si>
    <t>G</t>
  </si>
  <si>
    <t>Module 2: Building Names &amp; Lists</t>
  </si>
  <si>
    <t>2.1</t>
  </si>
  <si>
    <t>Join your cleaned First + Last name (cols C, D) with a space, the classic way</t>
  </si>
  <si>
    <t>CONCATENATE</t>
  </si>
  <si>
    <t>H</t>
  </si>
  <si>
    <t>2.2</t>
  </si>
  <si>
    <t>Do the same join using the modern function</t>
  </si>
  <si>
    <t>CONCAT</t>
  </si>
  <si>
    <t>I</t>
  </si>
  <si>
    <t>2.3</t>
  </si>
  <si>
    <t>Do the same join using TEXTJOIN (easier to extend later)</t>
  </si>
  <si>
    <t>TEXTJOIN</t>
  </si>
  <si>
    <t>J</t>
  </si>
  <si>
    <t>2.4</t>
  </si>
  <si>
    <t>Split SkillsList (col K) into separate cells - note some rows use commas, some use semicolons - trim extra spaces from each result</t>
  </si>
  <si>
    <t>TEXTSPLIT, TRIM</t>
  </si>
  <si>
    <t>K (spills into L, M, N)</t>
  </si>
  <si>
    <t>Module 3: Extracting Identifiers</t>
  </si>
  <si>
    <t>3.1</t>
  </si>
  <si>
    <t>Extract the 3-letter prefix from EmployeeID (col A)</t>
  </si>
  <si>
    <t>LEFT</t>
  </si>
  <si>
    <t>O</t>
  </si>
  <si>
    <t>3.2</t>
  </si>
  <si>
    <t>Extract the 4-digit year from EmployeeID (always starts at character 5)</t>
  </si>
  <si>
    <t>MID</t>
  </si>
  <si>
    <t>P</t>
  </si>
  <si>
    <t>3.3</t>
  </si>
  <si>
    <t>Extract the department code at the end of EmployeeID - length varies, so a fixed position will fail on some rows</t>
  </si>
  <si>
    <t>RIGHT, LEN, FIND, SUBSTITUTE</t>
  </si>
  <si>
    <t>Q</t>
  </si>
  <si>
    <t>3.4</t>
  </si>
  <si>
    <t>Return the character length of EmployeeID (data-quality check)</t>
  </si>
  <si>
    <t>LEN</t>
  </si>
  <si>
    <t>R</t>
  </si>
  <si>
    <t>3.5</t>
  </si>
  <si>
    <t>Extract the username portion of Email, before the @</t>
  </si>
  <si>
    <t>LEFT, FIND</t>
  </si>
  <si>
    <t>S</t>
  </si>
  <si>
    <t>Module 4: Searching &amp; Replacing</t>
  </si>
  <si>
    <t>4.1</t>
  </si>
  <si>
    <t>Return the position of '@' inside Email</t>
  </si>
  <si>
    <t>FIND</t>
  </si>
  <si>
    <t>T</t>
  </si>
  <si>
    <t>4.2</t>
  </si>
  <si>
    <t>Return the position of 'company' inside Email - case varies row to row, so this must be case-insensitive</t>
  </si>
  <si>
    <t>SEARCH</t>
  </si>
  <si>
    <t>U</t>
  </si>
  <si>
    <t>4.3</t>
  </si>
  <si>
    <t>Strip ALL punctuation and spaces from PhoneRaw so every number becomes digits only</t>
  </si>
  <si>
    <t>SUBSTITUTE (chained)</t>
  </si>
  <si>
    <t>V</t>
  </si>
  <si>
    <t>4.4</t>
  </si>
  <si>
    <t>Using your col V result, mask every digit except the last 4 with asterisks</t>
  </si>
  <si>
    <t>REPLACE, REPT, LEN</t>
  </si>
  <si>
    <t>W</t>
  </si>
  <si>
    <t>Module 5: Validation &amp; Symbols</t>
  </si>
  <si>
    <t>5.1</t>
  </si>
  <si>
    <t>Check whether Dept_A and Dept_B are an exact, case-sensitive match</t>
  </si>
  <si>
    <t>EXACT</t>
  </si>
  <si>
    <t>X</t>
  </si>
  <si>
    <t>5.2</t>
  </si>
  <si>
    <t>Check whether SalesValue is a genuine number</t>
  </si>
  <si>
    <t>ISNUMBER</t>
  </si>
  <si>
    <t>Y</t>
  </si>
  <si>
    <t>5.3</t>
  </si>
  <si>
    <t>Check whether SalesValue is text</t>
  </si>
  <si>
    <t>ISTEXT</t>
  </si>
  <si>
    <t>Z</t>
  </si>
  <si>
    <t>5.4</t>
  </si>
  <si>
    <t>Build a 5-symbol star rating: filled stars for RatingLevel, empty stars for the remainder</t>
  </si>
  <si>
    <t>REPT, UNICHAR</t>
  </si>
  <si>
    <t>AA</t>
  </si>
  <si>
    <t>5.5</t>
  </si>
  <si>
    <t>Convert SymbolCode into its character, then convert that character back to confirm the round trip</t>
  </si>
  <si>
    <t>UNICHAR, UNICODE</t>
  </si>
  <si>
    <t>AB (char), AC (code)</t>
  </si>
  <si>
    <t>Module 6: Error Handling &amp; Logic</t>
  </si>
  <si>
    <t>6.1</t>
  </si>
  <si>
    <t>Convert SalesValue to a true number safely; return 0 if not convertible</t>
  </si>
  <si>
    <t>IFERROR, VALUE</t>
  </si>
  <si>
    <t>AD</t>
  </si>
  <si>
    <t>6.2</t>
  </si>
  <si>
    <t>Convert PerformanceScore to a true number safely; return 'Data Missing' if not convertible</t>
  </si>
  <si>
    <t>AE</t>
  </si>
  <si>
    <t>Using col X, return a plain-English flag: 'Match' or 'Mismatch - Review'</t>
  </si>
  <si>
    <t>IF</t>
  </si>
  <si>
    <t>AG</t>
  </si>
  <si>
    <t>Color legend (Practice tab):</t>
  </si>
  <si>
    <t xml:space="preserve">   </t>
  </si>
  <si>
    <t>Green = worked example (row 2) - study this formula before starting</t>
  </si>
  <si>
    <t>Yellow = your task - write the formula here</t>
  </si>
  <si>
    <t>Gray = reference data linked from Raw Data - no need to edit</t>
  </si>
  <si>
    <t>EmployeeID (ref)</t>
  </si>
  <si>
    <t>1.1 Clean_FirstName</t>
  </si>
  <si>
    <t>1.2 Clean_LastName</t>
  </si>
  <si>
    <t>1.3 Clean_FullName</t>
  </si>
  <si>
    <t>1.4 Email_UPPER</t>
  </si>
  <si>
    <t>1.5 Email_lower</t>
  </si>
  <si>
    <t>2.1 FullName_CONCATENATE</t>
  </si>
  <si>
    <t>2.2 FullName_CONCAT</t>
  </si>
  <si>
    <t>2.3 FullName_TEXTJOIN</t>
  </si>
  <si>
    <t>2.4 Skill_1 (spills -&gt;)</t>
  </si>
  <si>
    <t>Skill_2</t>
  </si>
  <si>
    <t>Skill_3</t>
  </si>
  <si>
    <t>Skill_4</t>
  </si>
  <si>
    <t>3.1 ID_Prefix</t>
  </si>
  <si>
    <t>3.2 ID_Year</t>
  </si>
  <si>
    <t>3.3 ID_DeptCode</t>
  </si>
  <si>
    <t>3.4 ID_Length</t>
  </si>
  <si>
    <t>3.5 Email_Username</t>
  </si>
  <si>
    <t>4.1 At_Position</t>
  </si>
  <si>
    <t>4.2 Company_Position</t>
  </si>
  <si>
    <t>4.3 Phone_DigitsOnly</t>
  </si>
  <si>
    <t>4.4 Phone_Masked</t>
  </si>
  <si>
    <t>5.1 Dept_ExactMatch</t>
  </si>
  <si>
    <t>5.2 Sales_IsNumber</t>
  </si>
  <si>
    <t>5.3 Sales_IsText</t>
  </si>
  <si>
    <t>5.4 StarRating</t>
  </si>
  <si>
    <t>5.5 Symbol_Char</t>
  </si>
  <si>
    <t>5.5 Symbol_Code_RoundTrip</t>
  </si>
  <si>
    <t>6.1 SalesValue_Safe</t>
  </si>
  <si>
    <t>6.2 PerformanceScore_Safe</t>
  </si>
  <si>
    <t>6.3 Performance_Tier</t>
  </si>
  <si>
    <t>6.4 Dept_MatchFlag</t>
  </si>
  <si>
    <t>11 Clean_FirstName</t>
  </si>
  <si>
    <t>12 Clean_LastName</t>
  </si>
  <si>
    <t>13 Clean_FullName</t>
  </si>
  <si>
    <t>14 Email_UPPER</t>
  </si>
  <si>
    <t>15 Email_lower</t>
  </si>
  <si>
    <t>21 FullName_CONCATENATE</t>
  </si>
  <si>
    <t>22 FullName_CONCAT</t>
  </si>
  <si>
    <t>23 FullName_TEXTJOIN</t>
  </si>
  <si>
    <t>24 Skill_1 (spills -&gt;)</t>
  </si>
  <si>
    <t>31 ID_Prefix</t>
  </si>
  <si>
    <t>32 ID_Year</t>
  </si>
  <si>
    <t>33 ID_DeptCode</t>
  </si>
  <si>
    <t>34 ID_Length</t>
  </si>
  <si>
    <t>35 Email_Username</t>
  </si>
  <si>
    <t>41 At_Position</t>
  </si>
  <si>
    <t>42 Company_Position</t>
  </si>
  <si>
    <t>43 Phone_DigitsOnly</t>
  </si>
  <si>
    <t>44 Phone_Masked</t>
  </si>
  <si>
    <t>51 Dept_ExactMatch</t>
  </si>
  <si>
    <t>52 Sales_IsNumber</t>
  </si>
  <si>
    <t>53 Sales_IsText</t>
  </si>
  <si>
    <t>54 StarRating</t>
  </si>
  <si>
    <t>55 Symbol_Char</t>
  </si>
  <si>
    <t>55 Symbol_Code_RoundTrip</t>
  </si>
  <si>
    <t>61 SalesValue_Safe</t>
  </si>
  <si>
    <t>62 PerformanceScore_Safe</t>
  </si>
  <si>
    <t>63 Dept_MatchFlag</t>
  </si>
  <si>
    <t>Excel</t>
  </si>
  <si>
    <t>SQL</t>
  </si>
  <si>
    <t>Python</t>
  </si>
  <si>
    <t>Java</t>
  </si>
  <si>
    <t>C++</t>
  </si>
  <si>
    <t>Recruitment</t>
  </si>
  <si>
    <t>Payroll</t>
  </si>
  <si>
    <t>Onboarding</t>
  </si>
  <si>
    <t>VBA</t>
  </si>
  <si>
    <t>Tableau</t>
  </si>
  <si>
    <t>Negotiation</t>
  </si>
  <si>
    <t>CRM</t>
  </si>
  <si>
    <t>SEO</t>
  </si>
  <si>
    <t>Analytics</t>
  </si>
  <si>
    <t>SAP</t>
  </si>
  <si>
    <t>Forecasting</t>
  </si>
  <si>
    <t xml:space="preserve"> Power BI</t>
  </si>
  <si>
    <t xml:space="preserve">SQL </t>
  </si>
  <si>
    <t xml:space="preserve"> Python</t>
  </si>
  <si>
    <t xml:space="preserve"> Payroll</t>
  </si>
  <si>
    <t xml:space="preserve">  Onboarding</t>
  </si>
  <si>
    <t>Power Query</t>
  </si>
  <si>
    <t xml:space="preserve"> Content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</si>
</sst>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b/>
      <sz val="10"/>
      <name val="Arial"/>
      <charset val="1"/>
    </font>
    <font>
      <b/>
      <sz val="10"/>
      <color rgb="FFFFFFFF"/>
      <name val="Arial"/>
      <family val="2"/>
    </font>
    <font>
      <u/>
      <sz val="11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4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6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hul.Sharm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opLeftCell="E1" zoomScaleNormal="100" workbookViewId="0">
      <pane ySplit="1" topLeftCell="A2" activePane="bottomLeft" state="frozen"/>
      <selection pane="bottomLeft" activeCell="H2" sqref="H2"/>
    </sheetView>
  </sheetViews>
  <sheetFormatPr defaultColWidth="8.6640625" defaultRowHeight="14.4" x14ac:dyDescent="0.3"/>
  <cols>
    <col min="1" max="1" width="18" customWidth="1"/>
    <col min="2" max="2" width="10" customWidth="1"/>
    <col min="3" max="3" width="12" customWidth="1"/>
    <col min="4" max="4" width="20" customWidth="1"/>
    <col min="5" max="5" width="26" customWidth="1"/>
    <col min="6" max="8" width="16" customWidth="1"/>
    <col min="9" max="9" width="12" customWidth="1"/>
    <col min="10" max="10" width="16" customWidth="1"/>
    <col min="11" max="11" width="26" customWidth="1"/>
    <col min="12" max="12" width="10" customWidth="1"/>
    <col min="13" max="13" width="30" customWidth="1"/>
    <col min="14" max="14" width="32" customWidth="1"/>
  </cols>
  <sheetData>
    <row r="1" spans="1:14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7.75" customHeight="1" x14ac:dyDescent="0.3">
      <c r="A2" s="3" t="s">
        <v>14</v>
      </c>
      <c r="B2" s="3" t="s">
        <v>15</v>
      </c>
      <c r="C2" s="3" t="s">
        <v>16</v>
      </c>
      <c r="D2" s="3" t="s">
        <v>17</v>
      </c>
      <c r="E2" s="18" t="s">
        <v>18</v>
      </c>
      <c r="F2" s="3" t="s">
        <v>19</v>
      </c>
      <c r="G2" s="3" t="s">
        <v>20</v>
      </c>
      <c r="H2" s="3" t="s">
        <v>21</v>
      </c>
      <c r="I2" s="3">
        <v>125000</v>
      </c>
      <c r="J2" s="3">
        <v>88</v>
      </c>
      <c r="K2" s="3" t="s">
        <v>22</v>
      </c>
      <c r="L2" s="3">
        <v>5</v>
      </c>
      <c r="M2" s="3">
        <v>9733</v>
      </c>
      <c r="N2" s="3" t="s">
        <v>23</v>
      </c>
    </row>
    <row r="3" spans="1:14" ht="27.75" customHeight="1" x14ac:dyDescent="0.3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30</v>
      </c>
      <c r="I3" s="3" t="s">
        <v>31</v>
      </c>
      <c r="J3" s="3" t="s">
        <v>32</v>
      </c>
      <c r="K3" s="3" t="s">
        <v>33</v>
      </c>
      <c r="L3" s="3">
        <v>3</v>
      </c>
      <c r="M3" s="3">
        <v>9829</v>
      </c>
      <c r="N3" s="3" t="s">
        <v>34</v>
      </c>
    </row>
    <row r="4" spans="1:14" ht="27.75" customHeight="1" x14ac:dyDescent="0.3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>
        <v>98000</v>
      </c>
      <c r="J4" s="3">
        <v>72</v>
      </c>
      <c r="K4" s="3" t="s">
        <v>43</v>
      </c>
      <c r="L4" s="3">
        <v>4</v>
      </c>
      <c r="M4" s="3">
        <v>9734</v>
      </c>
      <c r="N4" s="3" t="s">
        <v>44</v>
      </c>
    </row>
    <row r="5" spans="1:14" ht="27.75" customHeight="1" x14ac:dyDescent="0.3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>
        <v>95</v>
      </c>
      <c r="K5" s="3" t="s">
        <v>54</v>
      </c>
      <c r="L5" s="3">
        <v>5</v>
      </c>
      <c r="M5" s="3">
        <v>9733</v>
      </c>
      <c r="N5" s="3" t="s">
        <v>55</v>
      </c>
    </row>
    <row r="6" spans="1:14" ht="27.75" customHeight="1" x14ac:dyDescent="0.3">
      <c r="A6" s="3" t="s">
        <v>56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61</v>
      </c>
      <c r="G6" s="3" t="s">
        <v>30</v>
      </c>
      <c r="H6" s="3" t="s">
        <v>62</v>
      </c>
      <c r="I6" s="3">
        <v>55000</v>
      </c>
      <c r="J6" s="3" t="s">
        <v>31</v>
      </c>
      <c r="K6" s="3" t="s">
        <v>63</v>
      </c>
      <c r="L6" s="3">
        <v>2</v>
      </c>
      <c r="M6" s="3">
        <v>9670</v>
      </c>
      <c r="N6" s="3" t="s">
        <v>64</v>
      </c>
    </row>
    <row r="7" spans="1:14" ht="27.75" customHeight="1" x14ac:dyDescent="0.3">
      <c r="A7" s="3" t="s">
        <v>65</v>
      </c>
      <c r="B7" s="3" t="s">
        <v>66</v>
      </c>
      <c r="C7" s="3" t="s">
        <v>67</v>
      </c>
      <c r="D7" s="3" t="s">
        <v>68</v>
      </c>
      <c r="E7" s="3" t="s">
        <v>69</v>
      </c>
      <c r="F7" s="3" t="s">
        <v>70</v>
      </c>
      <c r="G7" s="3" t="s">
        <v>20</v>
      </c>
      <c r="H7" s="3" t="s">
        <v>71</v>
      </c>
      <c r="I7" s="3" t="s">
        <v>72</v>
      </c>
      <c r="J7" s="3">
        <v>81</v>
      </c>
      <c r="K7" s="3" t="s">
        <v>73</v>
      </c>
      <c r="L7" s="3">
        <v>4</v>
      </c>
      <c r="M7" s="3">
        <v>9829</v>
      </c>
      <c r="N7" s="3" t="s">
        <v>74</v>
      </c>
    </row>
    <row r="8" spans="1:14" ht="27.75" customHeight="1" x14ac:dyDescent="0.3">
      <c r="A8" s="3" t="s">
        <v>75</v>
      </c>
      <c r="B8" s="3" t="s">
        <v>76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81</v>
      </c>
      <c r="H8" s="3" t="s">
        <v>82</v>
      </c>
      <c r="I8" s="3" t="s">
        <v>31</v>
      </c>
      <c r="J8" s="3">
        <v>66</v>
      </c>
      <c r="K8" s="3" t="s">
        <v>83</v>
      </c>
      <c r="L8" s="3">
        <v>3</v>
      </c>
      <c r="M8" s="3">
        <v>9734</v>
      </c>
      <c r="N8" s="3" t="s">
        <v>84</v>
      </c>
    </row>
    <row r="9" spans="1:14" ht="27.75" customHeight="1" x14ac:dyDescent="0.3">
      <c r="A9" s="3" t="s">
        <v>85</v>
      </c>
      <c r="B9" s="3" t="s">
        <v>86</v>
      </c>
      <c r="C9" s="3" t="s">
        <v>87</v>
      </c>
      <c r="D9" s="3" t="s">
        <v>88</v>
      </c>
      <c r="E9" s="3" t="s">
        <v>89</v>
      </c>
      <c r="F9" s="3" t="s">
        <v>90</v>
      </c>
      <c r="G9" s="3" t="s">
        <v>42</v>
      </c>
      <c r="H9" s="3" t="s">
        <v>41</v>
      </c>
      <c r="I9" s="3">
        <v>45000</v>
      </c>
      <c r="J9" s="3" t="s">
        <v>91</v>
      </c>
      <c r="K9" s="3" t="s">
        <v>92</v>
      </c>
      <c r="L9" s="3">
        <v>1</v>
      </c>
      <c r="M9" s="3">
        <v>9670</v>
      </c>
      <c r="N9" s="3" t="s">
        <v>93</v>
      </c>
    </row>
    <row r="10" spans="1:14" ht="27.75" customHeight="1" x14ac:dyDescent="0.3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  <c r="F10" s="3" t="s">
        <v>99</v>
      </c>
      <c r="G10" s="3" t="s">
        <v>51</v>
      </c>
      <c r="H10" s="3" t="s">
        <v>100</v>
      </c>
      <c r="I10" s="3">
        <v>302000</v>
      </c>
      <c r="J10" s="3">
        <v>91</v>
      </c>
      <c r="K10" s="3" t="s">
        <v>101</v>
      </c>
      <c r="L10" s="3">
        <v>5</v>
      </c>
      <c r="M10" s="3">
        <v>9733</v>
      </c>
      <c r="N10" s="3" t="s">
        <v>102</v>
      </c>
    </row>
  </sheetData>
  <hyperlinks>
    <hyperlink ref="E2" r:id="rId1" xr:uid="{19F076DE-94AB-4FAB-B11C-9FB363A33442}"/>
  </hyperlinks>
  <pageMargins left="0.75" right="0.75" top="1" bottom="1" header="0.511811023622047" footer="0.511811023622047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abSelected="1" zoomScaleNormal="100" workbookViewId="0">
      <pane ySplit="11" topLeftCell="A36" activePane="bottomLeft" state="frozen"/>
      <selection pane="bottomLeft" activeCell="I9" sqref="I9"/>
    </sheetView>
  </sheetViews>
  <sheetFormatPr defaultColWidth="8.6640625" defaultRowHeight="14.4" x14ac:dyDescent="0.3"/>
  <cols>
    <col min="1" max="1" width="12" customWidth="1"/>
    <col min="2" max="2" width="8" customWidth="1"/>
    <col min="3" max="3" width="55" customWidth="1"/>
    <col min="4" max="4" width="24" customWidth="1"/>
    <col min="5" max="5" width="22" customWidth="1"/>
  </cols>
  <sheetData>
    <row r="1" spans="1:5" ht="16.8" x14ac:dyDescent="0.3">
      <c r="A1" s="4" t="s">
        <v>103</v>
      </c>
    </row>
    <row r="2" spans="1:5" x14ac:dyDescent="0.3">
      <c r="A2" s="1"/>
    </row>
    <row r="3" spans="1:5" x14ac:dyDescent="0.3">
      <c r="A3" s="1" t="s">
        <v>104</v>
      </c>
    </row>
    <row r="4" spans="1:5" x14ac:dyDescent="0.3">
      <c r="A4" s="1" t="s">
        <v>105</v>
      </c>
    </row>
    <row r="5" spans="1:5" x14ac:dyDescent="0.3">
      <c r="A5" s="1" t="s">
        <v>106</v>
      </c>
    </row>
    <row r="6" spans="1:5" x14ac:dyDescent="0.3">
      <c r="A6" s="1" t="s">
        <v>107</v>
      </c>
    </row>
    <row r="7" spans="1:5" x14ac:dyDescent="0.3">
      <c r="A7" s="1" t="s">
        <v>108</v>
      </c>
    </row>
    <row r="8" spans="1:5" x14ac:dyDescent="0.3">
      <c r="A8" s="1"/>
    </row>
    <row r="9" spans="1:5" x14ac:dyDescent="0.3">
      <c r="A9" s="1" t="s">
        <v>109</v>
      </c>
    </row>
    <row r="11" spans="1:5" ht="26.4" x14ac:dyDescent="0.3">
      <c r="A11" s="2" t="s">
        <v>110</v>
      </c>
      <c r="B11" s="2" t="s">
        <v>111</v>
      </c>
      <c r="C11" s="2" t="s">
        <v>112</v>
      </c>
      <c r="D11" s="2" t="s">
        <v>113</v>
      </c>
      <c r="E11" s="2" t="s">
        <v>114</v>
      </c>
    </row>
    <row r="12" spans="1:5" ht="39.6" x14ac:dyDescent="0.3">
      <c r="A12" s="5" t="s">
        <v>115</v>
      </c>
      <c r="B12" s="5" t="s">
        <v>116</v>
      </c>
      <c r="C12" s="5" t="s">
        <v>117</v>
      </c>
      <c r="D12" s="5" t="s">
        <v>118</v>
      </c>
      <c r="E12" s="5" t="s">
        <v>119</v>
      </c>
    </row>
    <row r="13" spans="1:5" x14ac:dyDescent="0.3">
      <c r="A13" s="6"/>
      <c r="B13" s="6" t="s">
        <v>120</v>
      </c>
      <c r="C13" s="6" t="s">
        <v>121</v>
      </c>
      <c r="D13" s="6" t="s">
        <v>118</v>
      </c>
      <c r="E13" s="6" t="s">
        <v>122</v>
      </c>
    </row>
    <row r="14" spans="1:5" ht="26.4" x14ac:dyDescent="0.3">
      <c r="A14" s="6"/>
      <c r="B14" s="6" t="s">
        <v>123</v>
      </c>
      <c r="C14" s="6" t="s">
        <v>124</v>
      </c>
      <c r="D14" s="6" t="s">
        <v>125</v>
      </c>
      <c r="E14" s="6" t="s">
        <v>126</v>
      </c>
    </row>
    <row r="15" spans="1:5" ht="26.4" x14ac:dyDescent="0.3">
      <c r="A15" s="6"/>
      <c r="B15" s="6" t="s">
        <v>127</v>
      </c>
      <c r="C15" s="6" t="s">
        <v>128</v>
      </c>
      <c r="D15" s="6" t="s">
        <v>129</v>
      </c>
      <c r="E15" s="6" t="s">
        <v>130</v>
      </c>
    </row>
    <row r="16" spans="1:5" ht="26.4" x14ac:dyDescent="0.3">
      <c r="A16" s="6"/>
      <c r="B16" s="6" t="s">
        <v>131</v>
      </c>
      <c r="C16" s="6" t="s">
        <v>132</v>
      </c>
      <c r="D16" s="6" t="s">
        <v>133</v>
      </c>
      <c r="E16" s="6" t="s">
        <v>134</v>
      </c>
    </row>
    <row r="17" spans="1:5" ht="52.8" x14ac:dyDescent="0.3">
      <c r="A17" s="5" t="s">
        <v>135</v>
      </c>
      <c r="B17" s="5" t="s">
        <v>136</v>
      </c>
      <c r="C17" s="5" t="s">
        <v>137</v>
      </c>
      <c r="D17" s="5" t="s">
        <v>138</v>
      </c>
      <c r="E17" s="5" t="s">
        <v>139</v>
      </c>
    </row>
    <row r="18" spans="1:5" x14ac:dyDescent="0.3">
      <c r="A18" s="6"/>
      <c r="B18" s="6" t="s">
        <v>140</v>
      </c>
      <c r="C18" s="6" t="s">
        <v>141</v>
      </c>
      <c r="D18" s="6" t="s">
        <v>142</v>
      </c>
      <c r="E18" s="6" t="s">
        <v>143</v>
      </c>
    </row>
    <row r="19" spans="1:5" x14ac:dyDescent="0.3">
      <c r="A19" s="6"/>
      <c r="B19" s="6" t="s">
        <v>144</v>
      </c>
      <c r="C19" s="6" t="s">
        <v>145</v>
      </c>
      <c r="D19" s="6" t="s">
        <v>146</v>
      </c>
      <c r="E19" s="6" t="s">
        <v>147</v>
      </c>
    </row>
    <row r="20" spans="1:5" ht="39.6" x14ac:dyDescent="0.3">
      <c r="A20" s="6"/>
      <c r="B20" s="6" t="s">
        <v>148</v>
      </c>
      <c r="C20" s="6" t="s">
        <v>149</v>
      </c>
      <c r="D20" s="6" t="s">
        <v>150</v>
      </c>
      <c r="E20" s="6" t="s">
        <v>151</v>
      </c>
    </row>
    <row r="21" spans="1:5" ht="39.6" x14ac:dyDescent="0.3">
      <c r="A21" s="5" t="s">
        <v>152</v>
      </c>
      <c r="B21" s="5" t="s">
        <v>153</v>
      </c>
      <c r="C21" s="5" t="s">
        <v>154</v>
      </c>
      <c r="D21" s="5" t="s">
        <v>155</v>
      </c>
      <c r="E21" s="5" t="s">
        <v>156</v>
      </c>
    </row>
    <row r="22" spans="1:5" ht="26.4" x14ac:dyDescent="0.3">
      <c r="A22" s="6"/>
      <c r="B22" s="6" t="s">
        <v>157</v>
      </c>
      <c r="C22" s="6" t="s">
        <v>158</v>
      </c>
      <c r="D22" s="6" t="s">
        <v>159</v>
      </c>
      <c r="E22" s="6" t="s">
        <v>160</v>
      </c>
    </row>
    <row r="23" spans="1:5" ht="26.4" x14ac:dyDescent="0.3">
      <c r="A23" s="6"/>
      <c r="B23" s="6" t="s">
        <v>161</v>
      </c>
      <c r="C23" s="6" t="s">
        <v>162</v>
      </c>
      <c r="D23" s="6" t="s">
        <v>163</v>
      </c>
      <c r="E23" s="6" t="s">
        <v>164</v>
      </c>
    </row>
    <row r="24" spans="1:5" x14ac:dyDescent="0.3">
      <c r="A24" s="6"/>
      <c r="B24" s="6" t="s">
        <v>165</v>
      </c>
      <c r="C24" s="6" t="s">
        <v>166</v>
      </c>
      <c r="D24" s="6" t="s">
        <v>167</v>
      </c>
      <c r="E24" s="6" t="s">
        <v>168</v>
      </c>
    </row>
    <row r="25" spans="1:5" x14ac:dyDescent="0.3">
      <c r="A25" s="6"/>
      <c r="B25" s="6" t="s">
        <v>169</v>
      </c>
      <c r="C25" s="6" t="s">
        <v>170</v>
      </c>
      <c r="D25" s="6" t="s">
        <v>171</v>
      </c>
      <c r="E25" s="6" t="s">
        <v>172</v>
      </c>
    </row>
    <row r="26" spans="1:5" ht="39.6" x14ac:dyDescent="0.3">
      <c r="A26" s="5" t="s">
        <v>173</v>
      </c>
      <c r="B26" s="5" t="s">
        <v>174</v>
      </c>
      <c r="C26" s="5" t="s">
        <v>175</v>
      </c>
      <c r="D26" s="5" t="s">
        <v>176</v>
      </c>
      <c r="E26" s="5" t="s">
        <v>177</v>
      </c>
    </row>
    <row r="27" spans="1:5" ht="26.4" x14ac:dyDescent="0.3">
      <c r="A27" s="6"/>
      <c r="B27" s="6" t="s">
        <v>178</v>
      </c>
      <c r="C27" s="6" t="s">
        <v>179</v>
      </c>
      <c r="D27" s="6" t="s">
        <v>180</v>
      </c>
      <c r="E27" s="6" t="s">
        <v>181</v>
      </c>
    </row>
    <row r="28" spans="1:5" ht="26.4" x14ac:dyDescent="0.3">
      <c r="A28" s="6"/>
      <c r="B28" s="6" t="s">
        <v>182</v>
      </c>
      <c r="C28" s="6" t="s">
        <v>183</v>
      </c>
      <c r="D28" s="6" t="s">
        <v>184</v>
      </c>
      <c r="E28" s="6" t="s">
        <v>185</v>
      </c>
    </row>
    <row r="29" spans="1:5" ht="26.4" x14ac:dyDescent="0.3">
      <c r="A29" s="6"/>
      <c r="B29" s="6" t="s">
        <v>186</v>
      </c>
      <c r="C29" s="6" t="s">
        <v>187</v>
      </c>
      <c r="D29" s="6" t="s">
        <v>188</v>
      </c>
      <c r="E29" s="6" t="s">
        <v>189</v>
      </c>
    </row>
    <row r="30" spans="1:5" ht="39.6" x14ac:dyDescent="0.3">
      <c r="A30" s="5" t="s">
        <v>190</v>
      </c>
      <c r="B30" s="5" t="s">
        <v>191</v>
      </c>
      <c r="C30" s="5" t="s">
        <v>192</v>
      </c>
      <c r="D30" s="5" t="s">
        <v>193</v>
      </c>
      <c r="E30" s="5" t="s">
        <v>194</v>
      </c>
    </row>
    <row r="31" spans="1:5" x14ac:dyDescent="0.3">
      <c r="A31" s="6"/>
      <c r="B31" s="6" t="s">
        <v>195</v>
      </c>
      <c r="C31" s="6" t="s">
        <v>196</v>
      </c>
      <c r="D31" s="6" t="s">
        <v>197</v>
      </c>
      <c r="E31" s="6" t="s">
        <v>198</v>
      </c>
    </row>
    <row r="32" spans="1:5" x14ac:dyDescent="0.3">
      <c r="A32" s="6"/>
      <c r="B32" s="6" t="s">
        <v>199</v>
      </c>
      <c r="C32" s="6" t="s">
        <v>200</v>
      </c>
      <c r="D32" s="6" t="s">
        <v>201</v>
      </c>
      <c r="E32" s="6" t="s">
        <v>202</v>
      </c>
    </row>
    <row r="33" spans="1:5" ht="26.4" x14ac:dyDescent="0.3">
      <c r="A33" s="6"/>
      <c r="B33" s="6" t="s">
        <v>203</v>
      </c>
      <c r="C33" s="6" t="s">
        <v>204</v>
      </c>
      <c r="D33" s="6" t="s">
        <v>205</v>
      </c>
      <c r="E33" s="6" t="s">
        <v>206</v>
      </c>
    </row>
    <row r="34" spans="1:5" ht="26.4" x14ac:dyDescent="0.3">
      <c r="A34" s="6"/>
      <c r="B34" s="6" t="s">
        <v>207</v>
      </c>
      <c r="C34" s="6" t="s">
        <v>208</v>
      </c>
      <c r="D34" s="6" t="s">
        <v>209</v>
      </c>
      <c r="E34" s="6" t="s">
        <v>210</v>
      </c>
    </row>
    <row r="35" spans="1:5" ht="52.8" x14ac:dyDescent="0.3">
      <c r="A35" s="5" t="s">
        <v>211</v>
      </c>
      <c r="B35" s="5" t="s">
        <v>212</v>
      </c>
      <c r="C35" s="5" t="s">
        <v>213</v>
      </c>
      <c r="D35" s="5" t="s">
        <v>214</v>
      </c>
      <c r="E35" s="5" t="s">
        <v>215</v>
      </c>
    </row>
    <row r="36" spans="1:5" ht="26.4" x14ac:dyDescent="0.3">
      <c r="A36" s="6"/>
      <c r="B36" s="6" t="s">
        <v>216</v>
      </c>
      <c r="C36" s="6" t="s">
        <v>217</v>
      </c>
      <c r="D36" s="6" t="s">
        <v>214</v>
      </c>
      <c r="E36" s="6" t="s">
        <v>218</v>
      </c>
    </row>
    <row r="37" spans="1:5" x14ac:dyDescent="0.3">
      <c r="A37" s="6"/>
      <c r="B37" s="6"/>
      <c r="C37" s="6"/>
      <c r="D37" s="6"/>
      <c r="E37" s="6"/>
    </row>
    <row r="38" spans="1:5" ht="26.4" x14ac:dyDescent="0.3">
      <c r="A38" s="6"/>
      <c r="B38" s="6">
        <v>6.3</v>
      </c>
      <c r="C38" s="6" t="s">
        <v>219</v>
      </c>
      <c r="D38" s="6" t="s">
        <v>220</v>
      </c>
      <c r="E38" s="6" t="s">
        <v>221</v>
      </c>
    </row>
    <row r="41" spans="1:5" x14ac:dyDescent="0.3">
      <c r="A41" s="7" t="s">
        <v>222</v>
      </c>
    </row>
    <row r="42" spans="1:5" x14ac:dyDescent="0.3">
      <c r="A42" s="8" t="s">
        <v>223</v>
      </c>
      <c r="B42" s="17" t="s">
        <v>224</v>
      </c>
      <c r="C42" s="17"/>
      <c r="D42" s="17"/>
      <c r="E42" s="17"/>
    </row>
    <row r="43" spans="1:5" x14ac:dyDescent="0.3">
      <c r="A43" s="9" t="s">
        <v>223</v>
      </c>
      <c r="B43" s="17" t="s">
        <v>225</v>
      </c>
      <c r="C43" s="17"/>
      <c r="D43" s="17"/>
      <c r="E43" s="17"/>
    </row>
    <row r="44" spans="1:5" x14ac:dyDescent="0.3">
      <c r="A44" s="10" t="s">
        <v>223</v>
      </c>
      <c r="B44" s="17" t="s">
        <v>226</v>
      </c>
      <c r="C44" s="17"/>
      <c r="D44" s="17"/>
      <c r="E44" s="17"/>
    </row>
  </sheetData>
  <mergeCells count="3">
    <mergeCell ref="B42:E42"/>
    <mergeCell ref="B43:E43"/>
    <mergeCell ref="B44:E4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"/>
  <sheetViews>
    <sheetView zoomScale="130" zoomScaleNormal="100" workbookViewId="0">
      <pane xSplit="2" ySplit="1" topLeftCell="AE2" activePane="bottomRight" state="frozen"/>
      <selection pane="topRight" activeCell="C1" sqref="C1"/>
      <selection pane="bottomLeft" activeCell="A2" sqref="A2"/>
      <selection pane="bottomRight" activeCell="AH8" sqref="AH8"/>
    </sheetView>
  </sheetViews>
  <sheetFormatPr defaultColWidth="8.6640625" defaultRowHeight="14.4" x14ac:dyDescent="0.3"/>
  <cols>
    <col min="1" max="1" width="25.77734375" customWidth="1"/>
    <col min="2" max="2" width="3" customWidth="1"/>
    <col min="3" max="4" width="16" customWidth="1"/>
    <col min="5" max="5" width="19.5546875" customWidth="1"/>
    <col min="6" max="6" width="38.33203125" customWidth="1"/>
    <col min="7" max="7" width="39.6640625" customWidth="1"/>
    <col min="8" max="8" width="31.21875" customWidth="1"/>
    <col min="9" max="9" width="30.44140625" customWidth="1"/>
    <col min="10" max="10" width="24" customWidth="1"/>
    <col min="11" max="11" width="50.21875" customWidth="1"/>
    <col min="12" max="21" width="16" customWidth="1"/>
    <col min="22" max="22" width="31.44140625" customWidth="1"/>
    <col min="23" max="23" width="31" customWidth="1"/>
    <col min="24" max="26" width="16" customWidth="1"/>
    <col min="27" max="27" width="24" customWidth="1"/>
    <col min="28" max="28" width="32.6640625" customWidth="1"/>
    <col min="29" max="29" width="25.77734375" customWidth="1"/>
    <col min="30" max="30" width="18.88671875" customWidth="1"/>
    <col min="31" max="31" width="35.77734375" customWidth="1"/>
    <col min="32" max="32" width="24.21875" customWidth="1"/>
  </cols>
  <sheetData>
    <row r="1" spans="1:32" ht="31.5" customHeight="1" x14ac:dyDescent="0.3">
      <c r="A1" s="2" t="s">
        <v>227</v>
      </c>
      <c r="C1" s="2" t="s">
        <v>259</v>
      </c>
      <c r="D1" s="2" t="s">
        <v>260</v>
      </c>
      <c r="E1" s="2" t="s">
        <v>261</v>
      </c>
      <c r="F1" s="2" t="s">
        <v>262</v>
      </c>
      <c r="G1" s="2" t="s">
        <v>263</v>
      </c>
      <c r="H1" s="2" t="s">
        <v>264</v>
      </c>
      <c r="I1" s="2" t="s">
        <v>265</v>
      </c>
      <c r="J1" s="2" t="s">
        <v>266</v>
      </c>
      <c r="K1" s="2" t="s">
        <v>267</v>
      </c>
      <c r="L1" s="2" t="s">
        <v>237</v>
      </c>
      <c r="M1" s="2" t="s">
        <v>238</v>
      </c>
      <c r="N1" s="2" t="s">
        <v>239</v>
      </c>
      <c r="O1" s="2" t="s">
        <v>268</v>
      </c>
      <c r="P1" s="2" t="s">
        <v>269</v>
      </c>
      <c r="Q1" s="2" t="s">
        <v>270</v>
      </c>
      <c r="R1" s="2" t="s">
        <v>271</v>
      </c>
      <c r="S1" s="2" t="s">
        <v>272</v>
      </c>
      <c r="T1" s="2" t="s">
        <v>273</v>
      </c>
      <c r="U1" s="2" t="s">
        <v>274</v>
      </c>
      <c r="V1" s="2" t="s">
        <v>275</v>
      </c>
      <c r="W1" s="2" t="s">
        <v>276</v>
      </c>
      <c r="X1" s="2" t="s">
        <v>277</v>
      </c>
      <c r="Y1" s="2" t="s">
        <v>278</v>
      </c>
      <c r="Z1" s="2" t="s">
        <v>279</v>
      </c>
      <c r="AA1" s="2" t="s">
        <v>280</v>
      </c>
      <c r="AB1" s="2" t="s">
        <v>281</v>
      </c>
      <c r="AC1" s="2" t="s">
        <v>282</v>
      </c>
      <c r="AD1" s="2" t="s">
        <v>283</v>
      </c>
      <c r="AE1" s="2" t="s">
        <v>284</v>
      </c>
      <c r="AF1" s="15" t="s">
        <v>285</v>
      </c>
    </row>
    <row r="2" spans="1:32" ht="18" customHeight="1" x14ac:dyDescent="0.3">
      <c r="A2" s="11" t="str">
        <f>'Raw Data'!A2</f>
        <v>EMP-2023-045-HR</v>
      </c>
      <c r="C2" s="12" t="str">
        <f>PROPER(TRIM('Raw Data'!B2))</f>
        <v>Rahul</v>
      </c>
      <c r="D2" s="12" t="str">
        <f>PROPER(TRIM('Raw Data'!C2))</f>
        <v>Sharma</v>
      </c>
      <c r="E2" s="12" t="str">
        <f>PROPER(TRIM('Raw Data'!D2))</f>
        <v>Rahul 
 Sharma</v>
      </c>
      <c r="F2" s="16" t="str">
        <f>UPPER('Raw Data'!E2)</f>
        <v>RAHUL.SHARMA@COMPANY.COM</v>
      </c>
      <c r="G2" s="12" t="str">
        <f>LOWER('Raw Data'!E2)</f>
        <v>rahul.sharma@company.com</v>
      </c>
      <c r="H2" s="12" t="str">
        <f>CONCATENATE(C2," ",D2)</f>
        <v>Rahul Sharma</v>
      </c>
      <c r="I2" s="12" t="str">
        <f>_xlfn.CONCAT(C2," ",D2)</f>
        <v>Rahul Sharma</v>
      </c>
      <c r="J2" s="12" t="str">
        <f>_xlfn.TEXTJOIN(" ",TRUE(),C2,D2)</f>
        <v>Rahul Sharma</v>
      </c>
      <c r="K2" s="3" t="s">
        <v>286</v>
      </c>
      <c r="L2" s="12" t="s">
        <v>302</v>
      </c>
      <c r="M2" s="12" t="s">
        <v>303</v>
      </c>
      <c r="N2" s="12" t="s">
        <v>304</v>
      </c>
      <c r="O2" s="12" t="str">
        <f>LEFT(A2,3)</f>
        <v>EMP</v>
      </c>
      <c r="P2" s="12" t="str">
        <f>MID(A2,5,4)</f>
        <v>2023</v>
      </c>
      <c r="Q2" s="12" t="str">
        <f>RIGHT(A2,LEN(A2)-FIND("-",A2,FIND("-",A2,FIND("-",A2)+1)+1))</f>
        <v>HR</v>
      </c>
      <c r="R2" s="12">
        <f>LEN(A2)</f>
        <v>15</v>
      </c>
      <c r="S2" s="12" t="str">
        <f>LEFT('Raw Data'!E2,FIND("@",'Raw Data'!E2)-1)</f>
        <v>Rahul.Sharma</v>
      </c>
      <c r="T2" s="12">
        <f>FIND("@",'Raw Data'!E2)</f>
        <v>13</v>
      </c>
      <c r="U2" s="12">
        <f>SEARCH("company",'Raw Data'!E2)</f>
        <v>14</v>
      </c>
      <c r="V2" s="12" t="str">
        <f>SUBSTITUTE(SUBSTITUTE(SUBSTITUTE(SUBSTITUTE(SUBSTITUTE(SUBSTITUTE('Raw Data'!F3,"(",""),")",""),"-","")," ",""),"+",""),".","")</f>
        <v>01123456789</v>
      </c>
      <c r="W2" s="12" t="str">
        <f>REPLACE(V2,1,LEN(V2)-4,REPT("*",LEN(V2)-4))</f>
        <v>*******6789</v>
      </c>
      <c r="X2" s="12" t="b">
        <f>EXACT(PROPER(TRIM('Raw Data'!G2)),PROPER(TRIM('Raw Data'!H2)))</f>
        <v>1</v>
      </c>
      <c r="Y2" s="12" t="b">
        <f>ISNUMBER('Raw Data'!I2)</f>
        <v>1</v>
      </c>
      <c r="Z2" s="12" t="b">
        <f>ISTEXT('Raw Data'!I2)</f>
        <v>0</v>
      </c>
      <c r="AA2" s="12" t="str">
        <f>REPT(_xlfn.UNICHAR(9733),'Raw Data'!L2)&amp;REPT(_xlfn.UNICHAR(9734),5-'Raw Data'!L2)</f>
        <v>★★★★★</v>
      </c>
      <c r="AB2" s="12" t="str">
        <f>_xlfn.UNICHAR('Raw Data'!M2)</f>
        <v>★</v>
      </c>
      <c r="AC2" s="12">
        <f>_xlfn.UNICODE(AB2)</f>
        <v>9733</v>
      </c>
      <c r="AD2" s="12">
        <f>IFERROR(VALUE('Raw Data'!I2),0)</f>
        <v>125000</v>
      </c>
      <c r="AE2" s="12">
        <f>IFERROR(VALUE('Raw Data'!J2),"Data Missing")</f>
        <v>88</v>
      </c>
      <c r="AF2" s="12" t="str">
        <f>IF(EXACT('Raw Data'!G2,'Raw Data'!H2),"Match","Mismatch - Review")</f>
        <v>Mismatch - Review</v>
      </c>
    </row>
    <row r="3" spans="1:32" x14ac:dyDescent="0.3">
      <c r="A3" s="11" t="str">
        <f>'Raw Data'!A3</f>
        <v>EMP-2022-032-IT</v>
      </c>
      <c r="C3" s="12" t="str">
        <f>PROPER(TRIM('Raw Data'!B3))</f>
        <v>Anita</v>
      </c>
      <c r="D3" s="12" t="str">
        <f>PROPER(TRIM('Raw Data'!C3))</f>
        <v>Verma</v>
      </c>
      <c r="E3" s="12" t="str">
        <f>PROPER(TRIM('Raw Data'!D3))</f>
        <v>Anita Verma</v>
      </c>
      <c r="F3" s="16" t="str">
        <f>UPPER('Raw Data'!E3)</f>
        <v>ANITA_VERMA@COMPANY.COM</v>
      </c>
      <c r="G3" s="12" t="str">
        <f>LOWER('Raw Data'!E3)</f>
        <v>anita_verma@company.com</v>
      </c>
      <c r="H3" s="12" t="str">
        <f t="shared" ref="H3:H10" si="0">CONCATENATE(C3," ",D3)</f>
        <v>Anita Verma</v>
      </c>
      <c r="I3" s="12" t="str">
        <f t="shared" ref="I3:I10" si="1">_xlfn.CONCAT(C3," ",D3)</f>
        <v>Anita Verma</v>
      </c>
      <c r="J3" s="12" t="str">
        <f t="shared" ref="J3:J10" si="2">_xlfn.TEXTJOIN(" ",TRUE(),C3,D3)</f>
        <v>Anita Verma</v>
      </c>
      <c r="K3" s="3" t="s">
        <v>289</v>
      </c>
      <c r="L3" s="13" t="s">
        <v>290</v>
      </c>
      <c r="M3" s="13" t="s">
        <v>288</v>
      </c>
      <c r="N3" s="13"/>
      <c r="O3" s="12" t="str">
        <f t="shared" ref="O3:O10" si="3">LEFT(A3,3)</f>
        <v>EMP</v>
      </c>
      <c r="P3" s="12" t="str">
        <f t="shared" ref="P3:P10" si="4">MID(A3,5,4)</f>
        <v>2022</v>
      </c>
      <c r="Q3" s="12" t="str">
        <f t="shared" ref="Q3:Q10" si="5">RIGHT(A3,LEN(A3)-FIND("-",A3,FIND("-",A3,FIND("-",A3)+1)+1))</f>
        <v>IT</v>
      </c>
      <c r="R3" s="12">
        <f t="shared" ref="R3:R10" si="6">LEN(A3)</f>
        <v>15</v>
      </c>
      <c r="S3" s="12" t="str">
        <f>LEFT('Raw Data'!E3,FIND("@",'Raw Data'!E3)-1)</f>
        <v>anita_verma</v>
      </c>
      <c r="T3" s="12">
        <f>FIND("@",'Raw Data'!E3)</f>
        <v>12</v>
      </c>
      <c r="U3" s="12">
        <f>SEARCH("company",'Raw Data'!E3)</f>
        <v>13</v>
      </c>
      <c r="V3" s="12" t="str">
        <f>SUBSTITUTE(SUBSTITUTE(SUBSTITUTE(SUBSTITUTE(SUBSTITUTE(SUBSTITUTE('Raw Data'!F4,"(",""),")",""),"-","")," ",""),"+",""),".","")</f>
        <v>919876543210</v>
      </c>
      <c r="W3" s="12" t="str">
        <f>REPLACE(V3,1,LEN(V3)-3,REPT("*",LEN(V3)-3))</f>
        <v>*********210</v>
      </c>
      <c r="X3" s="12" t="b">
        <f>EXACT(PROPER(TRIM('Raw Data'!G3)),PROPER(TRIM('Raw Data'!H3)))</f>
        <v>1</v>
      </c>
      <c r="Y3" s="12" t="b">
        <f>ISNUMBER('Raw Data'!I3)</f>
        <v>0</v>
      </c>
      <c r="Z3" s="12" t="b">
        <f>ISTEXT('Raw Data'!I3)</f>
        <v>1</v>
      </c>
      <c r="AA3" s="12" t="str">
        <f>REPT(_xlfn.UNICHAR(9733),'Raw Data'!L3)&amp;REPT(_xlfn.UNICHAR(9734),5-'Raw Data'!L3)</f>
        <v>★★★☆☆</v>
      </c>
      <c r="AB3" s="12" t="str">
        <f>_xlfn.UNICHAR('Raw Data'!M3)</f>
        <v>♥</v>
      </c>
      <c r="AC3" s="12">
        <f t="shared" ref="AC3:AC10" si="7">_xlfn.UNICODE(AB3)</f>
        <v>9829</v>
      </c>
      <c r="AD3" s="12">
        <f>IFERROR(VALUE('Raw Data'!I3),0)</f>
        <v>0</v>
      </c>
      <c r="AE3" s="13" t="str">
        <f>IFERROR(VALUE('Raw Data'!I3),"missing buddy")</f>
        <v>missing buddy</v>
      </c>
      <c r="AF3" s="13" t="str">
        <f>IF(EXACT(PROPER(TRIM('Raw Data'!G2)),PROPER(TRIM('Raw Data'!H2))),"Match","Mismatch-Review")</f>
        <v>Match</v>
      </c>
    </row>
    <row r="4" spans="1:32" x14ac:dyDescent="0.3">
      <c r="A4" s="11" t="str">
        <f>'Raw Data'!A4</f>
        <v>EMP-2021-018-HR</v>
      </c>
      <c r="C4" s="12" t="str">
        <f>PROPER(TRIM('Raw Data'!B4))</f>
        <v>Vikram</v>
      </c>
      <c r="D4" s="12" t="str">
        <f>PROPER(TRIM('Raw Data'!C4))</f>
        <v>Nair</v>
      </c>
      <c r="E4" s="12" t="str">
        <f>PROPER(TRIM('Raw Data'!D4))</f>
        <v>Vikram Nair</v>
      </c>
      <c r="F4" s="16" t="str">
        <f>UPPER('Raw Data'!E4)</f>
        <v>VIKRAM.NAIR@COMPANY.CO.IN</v>
      </c>
      <c r="G4" s="12" t="str">
        <f>LOWER('Raw Data'!E4)</f>
        <v>vikram.nair@company.co.in</v>
      </c>
      <c r="H4" s="12" t="str">
        <f t="shared" si="0"/>
        <v>Vikram Nair</v>
      </c>
      <c r="I4" s="12" t="str">
        <f t="shared" si="1"/>
        <v>Vikram Nair</v>
      </c>
      <c r="J4" s="12" t="str">
        <f t="shared" si="2"/>
        <v>Vikram Nair</v>
      </c>
      <c r="K4" s="3" t="s">
        <v>291</v>
      </c>
      <c r="L4" s="13" t="s">
        <v>305</v>
      </c>
      <c r="M4" s="13" t="s">
        <v>306</v>
      </c>
      <c r="N4" s="13"/>
      <c r="O4" s="12" t="str">
        <f t="shared" si="3"/>
        <v>EMP</v>
      </c>
      <c r="P4" s="12" t="str">
        <f t="shared" si="4"/>
        <v>2021</v>
      </c>
      <c r="Q4" s="12" t="str">
        <f t="shared" si="5"/>
        <v>HR</v>
      </c>
      <c r="R4" s="12">
        <f t="shared" si="6"/>
        <v>15</v>
      </c>
      <c r="S4" s="12" t="str">
        <f>LEFT('Raw Data'!E4,FIND("@",'Raw Data'!E4)-1)</f>
        <v>vikram.nair</v>
      </c>
      <c r="T4" s="12">
        <f>FIND("@",'Raw Data'!E4)</f>
        <v>12</v>
      </c>
      <c r="U4" s="12">
        <f>SEARCH("company",'Raw Data'!E4)</f>
        <v>13</v>
      </c>
      <c r="V4" s="12" t="str">
        <f>SUBSTITUTE(SUBSTITUTE(SUBSTITUTE(SUBSTITUTE(SUBSTITUTE(SUBSTITUTE('Raw Data'!F5,"(",""),")",""),"-","")," ",""),"+",""),".","")</f>
        <v>01122334455</v>
      </c>
      <c r="W4" s="12" t="str">
        <f t="shared" ref="W4:W10" si="8">REPLACE(V4,1,LEN(V4)-3,REPT("*",LEN(V4)-3))</f>
        <v>********455</v>
      </c>
      <c r="X4" s="12" t="b">
        <f>EXACT(PROPER(TRIM('Raw Data'!G4)),PROPER(TRIM('Raw Data'!H4)))</f>
        <v>0</v>
      </c>
      <c r="Y4" s="12" t="b">
        <f>ISNUMBER('Raw Data'!I4)</f>
        <v>1</v>
      </c>
      <c r="Z4" s="12" t="b">
        <f>ISTEXT('Raw Data'!I4)</f>
        <v>0</v>
      </c>
      <c r="AA4" s="12" t="str">
        <f>REPT(_xlfn.UNICHAR(9733),'Raw Data'!L4)&amp;REPT(_xlfn.UNICHAR(9734),5-'Raw Data'!L4)</f>
        <v>★★★★☆</v>
      </c>
      <c r="AB4" s="12" t="str">
        <f>_xlfn.UNICHAR('Raw Data'!M4)</f>
        <v>☆</v>
      </c>
      <c r="AC4" s="12">
        <f t="shared" si="7"/>
        <v>9734</v>
      </c>
      <c r="AD4" s="12">
        <f>IFERROR(VALUE('Raw Data'!I4),0)</f>
        <v>98000</v>
      </c>
      <c r="AE4" s="13">
        <f>IFERROR(VALUE('Raw Data'!I4),"missing buddy")</f>
        <v>98000</v>
      </c>
      <c r="AF4" s="13" t="str">
        <f>IF(EXACT(PROPER(TRIM('Raw Data'!G3)),PROPER(TRIM('Raw Data'!H3))),"Match","Mismatch-Review")</f>
        <v>Match</v>
      </c>
    </row>
    <row r="5" spans="1:32" x14ac:dyDescent="0.3">
      <c r="A5" s="11" t="str">
        <f>'Raw Data'!A5</f>
        <v>EMP-2023-050-FIN</v>
      </c>
      <c r="C5" s="12" t="str">
        <f>PROPER(TRIM('Raw Data'!B5))</f>
        <v>Priya</v>
      </c>
      <c r="D5" s="12" t="str">
        <f>PROPER(TRIM('Raw Data'!C5))</f>
        <v>Gupta</v>
      </c>
      <c r="E5" s="12" t="str">
        <f>PROPER(TRIM('Raw Data'!D5))</f>
        <v>Priya Gupta</v>
      </c>
      <c r="F5" s="16" t="str">
        <f>UPPER('Raw Data'!E5)</f>
        <v>PRIYA.GUPTA@COMPANY.COM</v>
      </c>
      <c r="G5" s="12" t="str">
        <f>LOWER('Raw Data'!E5)</f>
        <v>priya.gupta@company.com</v>
      </c>
      <c r="H5" s="12" t="str">
        <f t="shared" si="0"/>
        <v>Priya Gupta</v>
      </c>
      <c r="I5" s="12" t="str">
        <f t="shared" si="1"/>
        <v>Priya Gupta</v>
      </c>
      <c r="J5" s="12" t="str">
        <f t="shared" si="2"/>
        <v>Priya Gupta</v>
      </c>
      <c r="K5" s="3" t="s">
        <v>286</v>
      </c>
      <c r="L5" s="13" t="s">
        <v>294</v>
      </c>
      <c r="M5" s="13" t="s">
        <v>307</v>
      </c>
      <c r="N5" s="13"/>
      <c r="O5" s="12" t="str">
        <f t="shared" si="3"/>
        <v>EMP</v>
      </c>
      <c r="P5" s="12" t="str">
        <f t="shared" si="4"/>
        <v>2023</v>
      </c>
      <c r="Q5" s="12" t="str">
        <f t="shared" si="5"/>
        <v>FIN</v>
      </c>
      <c r="R5" s="12">
        <f t="shared" si="6"/>
        <v>16</v>
      </c>
      <c r="S5" s="12" t="str">
        <f>LEFT('Raw Data'!E5,FIND("@",'Raw Data'!E5)-1)</f>
        <v>Priya.Gupta</v>
      </c>
      <c r="T5" s="12">
        <f>FIND("@",'Raw Data'!E5)</f>
        <v>12</v>
      </c>
      <c r="U5" s="12">
        <f>SEARCH("company",'Raw Data'!E5)</f>
        <v>13</v>
      </c>
      <c r="V5" s="12" t="str">
        <f>SUBSTITUTE(SUBSTITUTE(SUBSTITUTE(SUBSTITUTE(SUBSTITUTE(SUBSTITUTE('Raw Data'!F6,"(",""),")",""),"-","")," ",""),"+",""),".","")</f>
        <v>01133445566</v>
      </c>
      <c r="W5" s="12" t="str">
        <f t="shared" si="8"/>
        <v>********566</v>
      </c>
      <c r="X5" s="12" t="b">
        <f>EXACT(PROPER(TRIM('Raw Data'!G5)),PROPER(TRIM('Raw Data'!H5)))</f>
        <v>1</v>
      </c>
      <c r="Y5" s="12" t="b">
        <f>ISNUMBER('Raw Data'!I5)</f>
        <v>0</v>
      </c>
      <c r="Z5" s="12" t="b">
        <f>ISTEXT('Raw Data'!I5)</f>
        <v>1</v>
      </c>
      <c r="AA5" s="12" t="str">
        <f>REPT(_xlfn.UNICHAR(9733),'Raw Data'!L5)&amp;REPT(_xlfn.UNICHAR(9734),5-'Raw Data'!L5)</f>
        <v>★★★★★</v>
      </c>
      <c r="AB5" s="12" t="str">
        <f>_xlfn.UNICHAR('Raw Data'!M5)</f>
        <v>★</v>
      </c>
      <c r="AC5" s="12">
        <f t="shared" si="7"/>
        <v>9733</v>
      </c>
      <c r="AD5" s="12">
        <f>IFERROR(VALUE('Raw Data'!I5),0)</f>
        <v>210000</v>
      </c>
      <c r="AE5" s="13">
        <f>IFERROR(VALUE('Raw Data'!I5),"missing buddy")</f>
        <v>210000</v>
      </c>
      <c r="AF5" s="13" t="str">
        <f>IF(EXACT(PROPER(TRIM('Raw Data'!G4)),PROPER(TRIM('Raw Data'!H4))),"Match","Mismatch-Review")</f>
        <v>Mismatch-Review</v>
      </c>
    </row>
    <row r="6" spans="1:32" x14ac:dyDescent="0.3">
      <c r="A6" s="11" t="str">
        <f>'Raw Data'!A6</f>
        <v>EMP-2020-005-IT</v>
      </c>
      <c r="C6" s="12" t="str">
        <f>PROPER(TRIM('Raw Data'!B6))</f>
        <v>Rohit</v>
      </c>
      <c r="D6" s="12" t="str">
        <f>PROPER(TRIM('Raw Data'!C6))</f>
        <v>Malhotra</v>
      </c>
      <c r="E6" s="12" t="str">
        <f>PROPER(TRIM('Raw Data'!D6))</f>
        <v>Rohit Malhotra</v>
      </c>
      <c r="F6" s="16" t="str">
        <f>UPPER('Raw Data'!E6)</f>
        <v>ROHIT.MALHOTRA@COMPANY.COM</v>
      </c>
      <c r="G6" s="12" t="str">
        <f>LOWER('Raw Data'!E6)</f>
        <v>rohit.malhotra@company.com</v>
      </c>
      <c r="H6" s="12" t="str">
        <f t="shared" si="0"/>
        <v>Rohit Malhotra</v>
      </c>
      <c r="I6" s="12" t="str">
        <f t="shared" si="1"/>
        <v>Rohit Malhotra</v>
      </c>
      <c r="J6" s="12" t="str">
        <f t="shared" si="2"/>
        <v>Rohit Malhotra</v>
      </c>
      <c r="K6" s="3" t="s">
        <v>287</v>
      </c>
      <c r="L6" s="13" t="s">
        <v>286</v>
      </c>
      <c r="M6" s="13" t="s">
        <v>295</v>
      </c>
      <c r="N6" s="13"/>
      <c r="O6" s="12" t="str">
        <f t="shared" si="3"/>
        <v>EMP</v>
      </c>
      <c r="P6" s="12" t="str">
        <f t="shared" si="4"/>
        <v>2020</v>
      </c>
      <c r="Q6" s="12" t="str">
        <f t="shared" si="5"/>
        <v>IT</v>
      </c>
      <c r="R6" s="12">
        <f t="shared" si="6"/>
        <v>15</v>
      </c>
      <c r="S6" s="12" t="str">
        <f>LEFT('Raw Data'!E6,FIND("@",'Raw Data'!E6)-1)</f>
        <v>rohit.malhotra</v>
      </c>
      <c r="T6" s="12">
        <f>FIND("@",'Raw Data'!E6)</f>
        <v>15</v>
      </c>
      <c r="U6" s="12">
        <f>SEARCH("company",'Raw Data'!E6)</f>
        <v>16</v>
      </c>
      <c r="V6" s="12" t="str">
        <f>SUBSTITUTE(SUBSTITUTE(SUBSTITUTE(SUBSTITUTE(SUBSTITUTE(SUBSTITUTE('Raw Data'!F7,"(",""),")",""),"-","")," ",""),"+",""),".","")</f>
        <v>9998887770</v>
      </c>
      <c r="W6" s="12" t="str">
        <f t="shared" si="8"/>
        <v>*******770</v>
      </c>
      <c r="X6" s="12" t="b">
        <f>EXACT(PROPER(TRIM('Raw Data'!G6)),PROPER(TRIM('Raw Data'!H6)))</f>
        <v>0</v>
      </c>
      <c r="Y6" s="12" t="b">
        <f>ISNUMBER('Raw Data'!I6)</f>
        <v>1</v>
      </c>
      <c r="Z6" s="12" t="b">
        <f>ISTEXT('Raw Data'!I6)</f>
        <v>0</v>
      </c>
      <c r="AA6" s="12" t="str">
        <f>REPT(_xlfn.UNICHAR(9733),'Raw Data'!L6)&amp;REPT(_xlfn.UNICHAR(9734),5-'Raw Data'!L6)</f>
        <v>★★☆☆☆</v>
      </c>
      <c r="AB6" s="12" t="str">
        <f>_xlfn.UNICHAR('Raw Data'!M6)</f>
        <v>◆</v>
      </c>
      <c r="AC6" s="12">
        <f t="shared" si="7"/>
        <v>9670</v>
      </c>
      <c r="AD6" s="12">
        <f>IFERROR(VALUE('Raw Data'!I6),0)</f>
        <v>55000</v>
      </c>
      <c r="AE6" s="13">
        <f>IFERROR(VALUE('Raw Data'!I6),"missing buddy")</f>
        <v>55000</v>
      </c>
      <c r="AF6" s="13" t="str">
        <f>IF(EXACT(PROPER(TRIM('Raw Data'!G5)),PROPER(TRIM('Raw Data'!H5))),"Match","Mismatch-Review")</f>
        <v>Match</v>
      </c>
    </row>
    <row r="7" spans="1:32" x14ac:dyDescent="0.3">
      <c r="A7" s="11" t="str">
        <f>'Raw Data'!A7</f>
        <v>EMP-2019-011-SALES</v>
      </c>
      <c r="C7" s="12" t="str">
        <f>PROPER(TRIM('Raw Data'!B7))</f>
        <v>Sunita</v>
      </c>
      <c r="D7" s="12" t="str">
        <f>PROPER(TRIM('Raw Data'!C7))</f>
        <v>Reddy</v>
      </c>
      <c r="E7" s="12" t="str">
        <f>PROPER(TRIM('Raw Data'!D7))</f>
        <v>Sunita Reddy</v>
      </c>
      <c r="F7" s="16" t="str">
        <f>UPPER('Raw Data'!E7)</f>
        <v>SUNITA_REDDY@COMPANY.COM</v>
      </c>
      <c r="G7" s="12" t="str">
        <f>LOWER('Raw Data'!E7)</f>
        <v>sunita_reddy@company.com</v>
      </c>
      <c r="H7" s="12" t="str">
        <f t="shared" si="0"/>
        <v>Sunita Reddy</v>
      </c>
      <c r="I7" s="12" t="str">
        <f t="shared" si="1"/>
        <v>Sunita Reddy</v>
      </c>
      <c r="J7" s="12" t="str">
        <f t="shared" si="2"/>
        <v>Sunita Reddy</v>
      </c>
      <c r="K7" s="3" t="s">
        <v>296</v>
      </c>
      <c r="L7" s="13" t="s">
        <v>297</v>
      </c>
      <c r="M7" s="13" t="s">
        <v>286</v>
      </c>
      <c r="N7" s="13"/>
      <c r="O7" s="12" t="str">
        <f t="shared" si="3"/>
        <v>EMP</v>
      </c>
      <c r="P7" s="12" t="str">
        <f t="shared" si="4"/>
        <v>2019</v>
      </c>
      <c r="Q7" s="12" t="str">
        <f t="shared" si="5"/>
        <v>SALES</v>
      </c>
      <c r="R7" s="12">
        <f t="shared" si="6"/>
        <v>18</v>
      </c>
      <c r="S7" s="12" t="str">
        <f>LEFT('Raw Data'!E7,FIND("@",'Raw Data'!E7)-1)</f>
        <v>sunita_reddy</v>
      </c>
      <c r="T7" s="12">
        <f>FIND("@",'Raw Data'!E7)</f>
        <v>13</v>
      </c>
      <c r="U7" s="12">
        <f>SEARCH("company",'Raw Data'!E7)</f>
        <v>14</v>
      </c>
      <c r="V7" s="12" t="str">
        <f>SUBSTITUTE(SUBSTITUTE(SUBSTITUTE(SUBSTITUTE(SUBSTITUTE(SUBSTITUTE('Raw Data'!F8,"(",""),")",""),"-","")," ",""),"+",""),".","")</f>
        <v>01155667788</v>
      </c>
      <c r="W7" s="12" t="str">
        <f t="shared" si="8"/>
        <v>********788</v>
      </c>
      <c r="X7" s="12" t="b">
        <f>EXACT(PROPER(TRIM('Raw Data'!G7)),PROPER(TRIM('Raw Data'!H7)))</f>
        <v>1</v>
      </c>
      <c r="Y7" s="12" t="b">
        <f>ISNUMBER('Raw Data'!I7)</f>
        <v>0</v>
      </c>
      <c r="Z7" s="12" t="b">
        <f>ISTEXT('Raw Data'!I7)</f>
        <v>1</v>
      </c>
      <c r="AA7" s="12" t="str">
        <f>REPT(_xlfn.UNICHAR(9733),'Raw Data'!L7)&amp;REPT(_xlfn.UNICHAR(9734),5-'Raw Data'!L7)</f>
        <v>★★★★☆</v>
      </c>
      <c r="AB7" s="12" t="str">
        <f>_xlfn.UNICHAR('Raw Data'!M7)</f>
        <v>♥</v>
      </c>
      <c r="AC7" s="12">
        <f t="shared" si="7"/>
        <v>9829</v>
      </c>
      <c r="AD7" s="12">
        <f>IFERROR(VALUE('Raw Data'!I7),0)</f>
        <v>175000</v>
      </c>
      <c r="AE7" s="13">
        <f>IFERROR(VALUE('Raw Data'!I7),"missing buddy")</f>
        <v>175000</v>
      </c>
      <c r="AF7" s="13" t="str">
        <f>IF(EXACT(PROPER(TRIM('Raw Data'!G6)),PROPER(TRIM('Raw Data'!H6))),"Match","Mismatch-Review")</f>
        <v>Mismatch-Review</v>
      </c>
    </row>
    <row r="8" spans="1:32" x14ac:dyDescent="0.3">
      <c r="A8" s="11" t="str">
        <f>'Raw Data'!A8</f>
        <v>EMP-2022-029-MKT</v>
      </c>
      <c r="C8" s="12" t="str">
        <f>PROPER(TRIM('Raw Data'!B8))</f>
        <v>Aman</v>
      </c>
      <c r="D8" s="12" t="str">
        <f>PROPER(TRIM('Raw Data'!C8))</f>
        <v>Khanna</v>
      </c>
      <c r="E8" s="12" t="str">
        <f>PROPER(TRIM('Raw Data'!D8))</f>
        <v>Aman Khanna</v>
      </c>
      <c r="F8" s="16" t="str">
        <f>UPPER('Raw Data'!E8)</f>
        <v>AMAN.KHANNA@COMPANY.COM</v>
      </c>
      <c r="G8" s="12" t="str">
        <f>LOWER('Raw Data'!E8)</f>
        <v>aman.khanna@company.com</v>
      </c>
      <c r="H8" s="12" t="str">
        <f t="shared" si="0"/>
        <v>Aman Khanna</v>
      </c>
      <c r="I8" s="12" t="str">
        <f t="shared" si="1"/>
        <v>Aman Khanna</v>
      </c>
      <c r="J8" s="12" t="str">
        <f t="shared" si="2"/>
        <v>Aman Khanna</v>
      </c>
      <c r="K8" s="3" t="s">
        <v>298</v>
      </c>
      <c r="L8" s="13" t="s">
        <v>308</v>
      </c>
      <c r="M8" s="13" t="s">
        <v>299</v>
      </c>
      <c r="N8" s="13"/>
      <c r="O8" s="12" t="str">
        <f t="shared" si="3"/>
        <v>EMP</v>
      </c>
      <c r="P8" s="12" t="str">
        <f t="shared" si="4"/>
        <v>2022</v>
      </c>
      <c r="Q8" s="12" t="str">
        <f t="shared" si="5"/>
        <v>MKT</v>
      </c>
      <c r="R8" s="12">
        <f t="shared" si="6"/>
        <v>16</v>
      </c>
      <c r="S8" s="12" t="str">
        <f>LEFT('Raw Data'!E8,FIND("@",'Raw Data'!E8)-1)</f>
        <v>aman.khanna</v>
      </c>
      <c r="T8" s="12">
        <f>FIND("@",'Raw Data'!E8)</f>
        <v>12</v>
      </c>
      <c r="U8" s="12">
        <f>SEARCH("company",'Raw Data'!E8)</f>
        <v>13</v>
      </c>
      <c r="V8" s="12" t="str">
        <f>SUBSTITUTE(SUBSTITUTE(SUBSTITUTE(SUBSTITUTE(SUBSTITUTE(SUBSTITUTE('Raw Data'!F9,"(",""),")",""),"-","")," ",""),"+",""),".","")</f>
        <v>01199887766</v>
      </c>
      <c r="W8" s="12" t="str">
        <f t="shared" si="8"/>
        <v>********766</v>
      </c>
      <c r="X8" s="12" t="b">
        <f>EXACT(PROPER(TRIM('Raw Data'!G8)),PROPER(TRIM('Raw Data'!H8)))</f>
        <v>1</v>
      </c>
      <c r="Y8" s="12" t="b">
        <f>ISNUMBER('Raw Data'!I8)</f>
        <v>0</v>
      </c>
      <c r="Z8" s="12" t="b">
        <f>ISTEXT('Raw Data'!I8)</f>
        <v>1</v>
      </c>
      <c r="AA8" s="12" t="str">
        <f>REPT(_xlfn.UNICHAR(9733),'Raw Data'!L8)&amp;REPT(_xlfn.UNICHAR(9734),5-'Raw Data'!L8)</f>
        <v>★★★☆☆</v>
      </c>
      <c r="AB8" s="12" t="str">
        <f>_xlfn.UNICHAR('Raw Data'!M8)</f>
        <v>☆</v>
      </c>
      <c r="AC8" s="12">
        <f t="shared" si="7"/>
        <v>9734</v>
      </c>
      <c r="AD8" s="12">
        <f>IFERROR(VALUE('Raw Data'!I8),0)</f>
        <v>0</v>
      </c>
      <c r="AE8" s="13" t="str">
        <f>IFERROR(VALUE('Raw Data'!I8),"missing buddy")</f>
        <v>missing buddy</v>
      </c>
      <c r="AF8" s="13" t="str">
        <f>IF(EXACT(PROPER(TRIM('Raw Data'!G7)),PROPER(TRIM('Raw Data'!H7))),"Match","Mismatch-Review")</f>
        <v>Match</v>
      </c>
    </row>
    <row r="9" spans="1:32" x14ac:dyDescent="0.3">
      <c r="A9" s="11" t="str">
        <f>'Raw Data'!A9</f>
        <v>EMP-2023-041-HR</v>
      </c>
      <c r="C9" s="12" t="str">
        <f>PROPER(TRIM('Raw Data'!B9))</f>
        <v>Kiran</v>
      </c>
      <c r="D9" s="12" t="str">
        <f>PROPER(TRIM('Raw Data'!C9))</f>
        <v>Joshi</v>
      </c>
      <c r="E9" s="12" t="str">
        <f>PROPER(TRIM('Raw Data'!D9))</f>
        <v>Kiran 
 Joshi</v>
      </c>
      <c r="F9" s="16" t="str">
        <f>UPPER('Raw Data'!E9)</f>
        <v>KIRAN.JOSHI@COMPANY.COM</v>
      </c>
      <c r="G9" s="12" t="str">
        <f>LOWER('Raw Data'!E9)</f>
        <v>kiran.joshi@company.com</v>
      </c>
      <c r="H9" s="12" t="str">
        <f t="shared" si="0"/>
        <v>Kiran Joshi</v>
      </c>
      <c r="I9" s="12" t="str">
        <f t="shared" si="1"/>
        <v>Kiran Joshi</v>
      </c>
      <c r="J9" s="12" t="str">
        <f t="shared" si="2"/>
        <v>Kiran Joshi</v>
      </c>
      <c r="K9" s="3" t="s">
        <v>293</v>
      </c>
      <c r="L9" s="13" t="s">
        <v>292</v>
      </c>
      <c r="M9" s="13"/>
      <c r="N9" s="13"/>
      <c r="O9" s="12" t="str">
        <f t="shared" si="3"/>
        <v>EMP</v>
      </c>
      <c r="P9" s="12" t="str">
        <f t="shared" si="4"/>
        <v>2023</v>
      </c>
      <c r="Q9" s="12" t="str">
        <f t="shared" si="5"/>
        <v>HR</v>
      </c>
      <c r="R9" s="12">
        <f t="shared" si="6"/>
        <v>15</v>
      </c>
      <c r="S9" s="12" t="str">
        <f>LEFT('Raw Data'!E9,FIND("@",'Raw Data'!E9)-1)</f>
        <v>Kiran.Joshi</v>
      </c>
      <c r="T9" s="12">
        <f>FIND("@",'Raw Data'!E9)</f>
        <v>12</v>
      </c>
      <c r="U9" s="12">
        <f>SEARCH("company",'Raw Data'!E9)</f>
        <v>13</v>
      </c>
      <c r="V9" s="12" t="str">
        <f>SUBSTITUTE(SUBSTITUTE(SUBSTITUTE(SUBSTITUTE(SUBSTITUTE(SUBSTITUTE('Raw Data'!F10,"(",""),")",""),"-","")," ",""),"+",""),".","")</f>
        <v>01122339900</v>
      </c>
      <c r="W9" s="12" t="str">
        <f t="shared" si="8"/>
        <v>********900</v>
      </c>
      <c r="X9" s="12" t="b">
        <f>EXACT(PROPER(TRIM('Raw Data'!G9)),PROPER(TRIM('Raw Data'!H9)))</f>
        <v>0</v>
      </c>
      <c r="Y9" s="12" t="b">
        <f>ISNUMBER('Raw Data'!I9)</f>
        <v>1</v>
      </c>
      <c r="Z9" s="12" t="b">
        <f>ISTEXT('Raw Data'!I9)</f>
        <v>0</v>
      </c>
      <c r="AA9" s="12" t="str">
        <f>REPT(_xlfn.UNICHAR(9733),'Raw Data'!L9)&amp;REPT(_xlfn.UNICHAR(9734),5-'Raw Data'!L9)</f>
        <v>★☆☆☆☆</v>
      </c>
      <c r="AB9" s="12" t="str">
        <f>_xlfn.UNICHAR('Raw Data'!M9)</f>
        <v>◆</v>
      </c>
      <c r="AC9" s="12">
        <f t="shared" si="7"/>
        <v>9670</v>
      </c>
      <c r="AD9" s="12">
        <f>IFERROR(VALUE('Raw Data'!I9),0)</f>
        <v>45000</v>
      </c>
      <c r="AE9" s="13">
        <f>IFERROR(VALUE('Raw Data'!I9),"missing buddy")</f>
        <v>45000</v>
      </c>
      <c r="AF9" s="13" t="str">
        <f>IF(EXACT(PROPER(TRIM('Raw Data'!G8)),PROPER(TRIM('Raw Data'!H8))),"Match","Mismatch-Review")</f>
        <v>Match</v>
      </c>
    </row>
    <row r="10" spans="1:32" x14ac:dyDescent="0.3">
      <c r="A10" s="11" t="str">
        <f>'Raw Data'!A10</f>
        <v>EMP-2021-022-FIN</v>
      </c>
      <c r="C10" s="12" t="str">
        <f>PROPER(TRIM('Raw Data'!B10))</f>
        <v>Deepak</v>
      </c>
      <c r="D10" s="12" t="str">
        <f>PROPER(TRIM('Raw Data'!C10))</f>
        <v>Chopra</v>
      </c>
      <c r="E10" s="12" t="str">
        <f>PROPER(TRIM('Raw Data'!D10))</f>
        <v>Deepak Chopra</v>
      </c>
      <c r="F10" s="16" t="str">
        <f>UPPER('Raw Data'!E10)</f>
        <v>DEEPAK.CHOPRA@COMPANY.COM</v>
      </c>
      <c r="G10" s="12" t="str">
        <f>LOWER('Raw Data'!E10)</f>
        <v>deepak.chopra@company.com</v>
      </c>
      <c r="H10" s="12" t="str">
        <f t="shared" si="0"/>
        <v>Deepak Chopra</v>
      </c>
      <c r="I10" s="12" t="str">
        <f t="shared" si="1"/>
        <v>Deepak Chopra</v>
      </c>
      <c r="J10" s="12" t="str">
        <f t="shared" si="2"/>
        <v>Deepak Chopra</v>
      </c>
      <c r="K10" s="3" t="s">
        <v>286</v>
      </c>
      <c r="L10" s="13" t="s">
        <v>300</v>
      </c>
      <c r="M10" s="13" t="s">
        <v>301</v>
      </c>
      <c r="N10" s="13"/>
      <c r="O10" s="12" t="str">
        <f t="shared" si="3"/>
        <v>EMP</v>
      </c>
      <c r="P10" s="12" t="str">
        <f t="shared" si="4"/>
        <v>2021</v>
      </c>
      <c r="Q10" s="12" t="str">
        <f t="shared" si="5"/>
        <v>FIN</v>
      </c>
      <c r="R10" s="12">
        <f t="shared" si="6"/>
        <v>16</v>
      </c>
      <c r="S10" s="12" t="str">
        <f>LEFT('Raw Data'!E10,FIND("@",'Raw Data'!E10)-1)</f>
        <v>deepak.chopra</v>
      </c>
      <c r="T10" s="12">
        <f>FIND("@",'Raw Data'!E10)</f>
        <v>14</v>
      </c>
      <c r="U10" s="12">
        <f>SEARCH("company",'Raw Data'!E10)</f>
        <v>15</v>
      </c>
      <c r="V10" s="12" t="str">
        <f>SUBSTITUTE(SUBSTITUTE(SUBSTITUTE(SUBSTITUTE(SUBSTITUTE(SUBSTITUTE('Raw Data'!F11,"(",""),")",""),"-","")," ",""),"+",""),".","")</f>
        <v/>
      </c>
      <c r="W10" s="12" t="e">
        <f t="shared" si="8"/>
        <v>#VALUE!</v>
      </c>
      <c r="X10" s="12" t="b">
        <f>EXACT(PROPER(TRIM('Raw Data'!G10)),PROPER(TRIM('Raw Data'!H10)))</f>
        <v>1</v>
      </c>
      <c r="Y10" s="12" t="b">
        <f>ISNUMBER('Raw Data'!I10)</f>
        <v>1</v>
      </c>
      <c r="Z10" s="12" t="b">
        <f>ISTEXT('Raw Data'!I10)</f>
        <v>0</v>
      </c>
      <c r="AA10" s="12" t="str">
        <f>REPT(_xlfn.UNICHAR(9733),'Raw Data'!L10)&amp;REPT(_xlfn.UNICHAR(9734),5-'Raw Data'!L10)</f>
        <v>★★★★★</v>
      </c>
      <c r="AB10" s="12" t="str">
        <f>_xlfn.UNICHAR('Raw Data'!M10)</f>
        <v>★</v>
      </c>
      <c r="AC10" s="12">
        <f t="shared" si="7"/>
        <v>9733</v>
      </c>
      <c r="AD10" s="12">
        <f>IFERROR(VALUE('Raw Data'!I10),0)</f>
        <v>302000</v>
      </c>
      <c r="AE10" s="13">
        <f>IFERROR(VALUE('Raw Data'!I10),"missing buddy")</f>
        <v>302000</v>
      </c>
      <c r="AF10" s="13" t="str">
        <f>IF(EXACT(PROPER(TRIM('Raw Data'!G9)),PROPER(TRIM('Raw Data'!H9))),"Match","Mismatch-Review")</f>
        <v>Mismatch-Review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"/>
  <sheetViews>
    <sheetView zoomScaleNormal="100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X3" sqref="X3"/>
    </sheetView>
  </sheetViews>
  <sheetFormatPr defaultColWidth="8.6640625" defaultRowHeight="14.4" x14ac:dyDescent="0.3"/>
  <cols>
    <col min="1" max="1" width="18" customWidth="1"/>
    <col min="2" max="2" width="3" customWidth="1"/>
    <col min="3" max="33" width="16" customWidth="1"/>
  </cols>
  <sheetData>
    <row r="1" spans="1:33" ht="31.5" customHeight="1" x14ac:dyDescent="0.3">
      <c r="A1" s="2" t="s">
        <v>227</v>
      </c>
      <c r="C1" s="2" t="s">
        <v>228</v>
      </c>
      <c r="D1" s="2" t="s">
        <v>229</v>
      </c>
      <c r="E1" s="2" t="s">
        <v>230</v>
      </c>
      <c r="F1" s="2" t="s">
        <v>231</v>
      </c>
      <c r="G1" s="2" t="s">
        <v>232</v>
      </c>
      <c r="H1" s="2" t="s">
        <v>233</v>
      </c>
      <c r="I1" s="2" t="s">
        <v>234</v>
      </c>
      <c r="J1" s="2" t="s">
        <v>235</v>
      </c>
      <c r="K1" s="2" t="s">
        <v>236</v>
      </c>
      <c r="L1" s="2" t="s">
        <v>237</v>
      </c>
      <c r="M1" s="2" t="s">
        <v>238</v>
      </c>
      <c r="N1" s="2" t="s">
        <v>239</v>
      </c>
      <c r="O1" s="2" t="s">
        <v>240</v>
      </c>
      <c r="P1" s="2" t="s">
        <v>241</v>
      </c>
      <c r="Q1" s="2" t="s">
        <v>242</v>
      </c>
      <c r="R1" s="2" t="s">
        <v>243</v>
      </c>
      <c r="S1" s="2" t="s">
        <v>244</v>
      </c>
      <c r="T1" s="2" t="s">
        <v>245</v>
      </c>
      <c r="U1" s="2" t="s">
        <v>246</v>
      </c>
      <c r="V1" s="2" t="s">
        <v>247</v>
      </c>
      <c r="W1" s="2" t="s">
        <v>248</v>
      </c>
      <c r="X1" s="2" t="s">
        <v>249</v>
      </c>
      <c r="Y1" s="2" t="s">
        <v>250</v>
      </c>
      <c r="Z1" s="2" t="s">
        <v>251</v>
      </c>
      <c r="AA1" s="2" t="s">
        <v>252</v>
      </c>
      <c r="AB1" s="2" t="s">
        <v>253</v>
      </c>
      <c r="AC1" s="2" t="s">
        <v>254</v>
      </c>
      <c r="AD1" s="2" t="s">
        <v>255</v>
      </c>
      <c r="AE1" s="2" t="s">
        <v>256</v>
      </c>
      <c r="AF1" s="2" t="s">
        <v>257</v>
      </c>
      <c r="AG1" s="2" t="s">
        <v>258</v>
      </c>
    </row>
    <row r="2" spans="1:33" x14ac:dyDescent="0.3">
      <c r="A2" s="11" t="str">
        <f>'Raw Data'!A2</f>
        <v>EMP-2023-045-HR</v>
      </c>
      <c r="C2" s="14" t="str">
        <f>PROPER(TRIM('Raw Data'!B2))</f>
        <v>Rahul</v>
      </c>
      <c r="D2" s="14" t="str">
        <f>PROPER(TRIM('Raw Data'!C2))</f>
        <v>Sharma</v>
      </c>
      <c r="E2" s="14" t="str">
        <f>PROPER(TRIM(CLEAN('Raw Data'!D2)))</f>
        <v>Rahul Sharma</v>
      </c>
      <c r="F2" s="14" t="str">
        <f>UPPER('Raw Data'!E2)</f>
        <v>RAHUL.SHARMA@COMPANY.COM</v>
      </c>
      <c r="G2" s="14" t="str">
        <f>LOWER('Raw Data'!E2)</f>
        <v>rahul.sharma@company.com</v>
      </c>
      <c r="H2" s="14" t="str">
        <f t="shared" ref="H2:H10" si="0">CONCATENATE(C2," ",D2)</f>
        <v>Rahul Sharma</v>
      </c>
      <c r="I2" s="14" t="str">
        <f t="shared" ref="I2:I10" si="1">_xlfn.CONCAT(C2," ",D2)</f>
        <v>Rahul Sharma</v>
      </c>
      <c r="J2" s="14" t="str">
        <f>_xlfn.TEXTJOIN(" ",TRUE(),C2,D2)</f>
        <v>Rahul Sharma</v>
      </c>
      <c r="K2" s="14" t="e">
        <f ca="1">TRIM(_xlfn.TEXTSPLIT('Raw Data'!K2,{",",";"}))</f>
        <v>#NAME?</v>
      </c>
      <c r="L2" s="14"/>
      <c r="M2" s="14"/>
      <c r="N2" s="14"/>
      <c r="O2" s="14"/>
      <c r="P2" s="14" t="str">
        <f t="shared" ref="P2:P10" si="2">MID(A2,5,4)</f>
        <v>2023</v>
      </c>
      <c r="Q2" s="14" t="str">
        <f>RIGHT(A2,LEN(A2)-FIND("~",SUBSTITUTE(A2,"-","~",3)))</f>
        <v>HR</v>
      </c>
      <c r="R2" s="14">
        <f t="shared" ref="R2:R10" si="3">LEN(A2)</f>
        <v>15</v>
      </c>
      <c r="S2" s="14" t="str">
        <f>LEFT('Raw Data'!E2,FIND("@",'Raw Data'!E2)-1)</f>
        <v>Rahul.Sharma</v>
      </c>
      <c r="T2" s="14">
        <f>FIND("@",'Raw Data'!E2)</f>
        <v>13</v>
      </c>
      <c r="U2" s="14">
        <f>SEARCH("company",'Raw Data'!E2)</f>
        <v>14</v>
      </c>
      <c r="V2" s="14" t="str">
        <f>SUBSTITUTE(SUBSTITUTE(SUBSTITUTE(SUBSTITUTE(SUBSTITUTE(SUBSTITUTE('Raw Data'!F2,"(",""),")",""),"-",""),".","")," ",""),"+","")</f>
        <v>01145678910</v>
      </c>
      <c r="W2" s="14" t="str">
        <f t="shared" ref="W2:W10" si="4">REPLACE(V2,1,LEN(V2)-4,REPT("*",LEN(V2)-4))</f>
        <v>*******8910</v>
      </c>
      <c r="X2" s="14" t="b">
        <f>EXACT('Raw Data'!G2,'Raw Data'!H2)</f>
        <v>0</v>
      </c>
      <c r="Y2" s="14" t="b">
        <f>ISNUMBER('Raw Data'!I2)</f>
        <v>1</v>
      </c>
      <c r="Z2" s="14" t="b">
        <f>ISTEXT('Raw Data'!I2)</f>
        <v>0</v>
      </c>
      <c r="AA2" s="14" t="str">
        <f>REPT(_xlfn.UNICHAR(9733),'Raw Data'!L2)&amp;REPT(_xlfn.UNICHAR(9734),5-'Raw Data'!L2)</f>
        <v>★★★★★</v>
      </c>
      <c r="AB2" s="14" t="str">
        <f>_xlfn.UNICHAR('Raw Data'!M2)</f>
        <v>★</v>
      </c>
      <c r="AC2" s="14">
        <f t="shared" ref="AC2:AC10" si="5">_xlfn.UNICODE(AB2)</f>
        <v>9733</v>
      </c>
      <c r="AD2" s="14">
        <f>IFERROR(VALUE('Raw Data'!I2),0)</f>
        <v>125000</v>
      </c>
      <c r="AE2" s="14">
        <f>IFERROR(VALUE('Raw Data'!J2),"Data Missing")</f>
        <v>88</v>
      </c>
      <c r="AF2" s="14" t="str">
        <f t="shared" ref="AF2:AF10" si="6">IF(ISNUMBER(AE2)=FALSE(),"N/A",IF(AE2&gt;=80,"High Performer",IF(AE2&gt;=60,"Meets Expectations","Needs Improvement")))</f>
        <v>High Performer</v>
      </c>
      <c r="AG2" s="14" t="str">
        <f>IF(EXACT('Raw Data'!G2,'Raw Data'!H2),"Match","Mismatch - Review")</f>
        <v>Mismatch - Review</v>
      </c>
    </row>
    <row r="3" spans="1:33" x14ac:dyDescent="0.3">
      <c r="A3" s="11" t="str">
        <f>'Raw Data'!A3</f>
        <v>EMP-2022-032-IT</v>
      </c>
      <c r="C3" s="14" t="str">
        <f>PROPER(TRIM('Raw Data'!B3))</f>
        <v>Anita</v>
      </c>
      <c r="D3" s="14" t="str">
        <f>PROPER(TRIM('Raw Data'!C3))</f>
        <v>Verma</v>
      </c>
      <c r="E3" s="14" t="str">
        <f>PROPER(TRIM(CLEAN('Raw Data'!D3)))</f>
        <v>Anita Verma</v>
      </c>
      <c r="F3" s="14" t="str">
        <f>UPPER('Raw Data'!E3)</f>
        <v>ANITA_VERMA@COMPANY.COM</v>
      </c>
      <c r="G3" s="14" t="str">
        <f>LOWER('Raw Data'!E3)</f>
        <v>anita_verma@company.com</v>
      </c>
      <c r="H3" s="14" t="str">
        <f t="shared" si="0"/>
        <v>Anita Verma</v>
      </c>
      <c r="I3" s="14" t="str">
        <f t="shared" si="1"/>
        <v>Anita Verma</v>
      </c>
      <c r="J3" s="14" t="str">
        <f t="shared" ref="J2:J10" si="7">_xlfn.TEXTJOIN(" ",TRUE(),C3,D3)</f>
        <v>Anita Verma</v>
      </c>
      <c r="K3" s="14" t="e">
        <f ca="1">TRIM(_xlfn.TEXTSPLIT('Raw Data'!K3,{",",";"}))</f>
        <v>#NAME?</v>
      </c>
      <c r="L3" s="14"/>
      <c r="M3" s="14"/>
      <c r="N3" s="14"/>
      <c r="O3" s="14" t="str">
        <f t="shared" ref="O2:O10" si="8">LEFT(A3,3)</f>
        <v>EMP</v>
      </c>
      <c r="P3" s="14" t="str">
        <f t="shared" si="2"/>
        <v>2022</v>
      </c>
      <c r="Q3" s="14" t="str">
        <f t="shared" ref="Q2:Q10" si="9">RIGHT(A3,LEN(A3)-FIND("~",SUBSTITUTE(A3,"-","~",3)))</f>
        <v>IT</v>
      </c>
      <c r="R3" s="14">
        <f t="shared" si="3"/>
        <v>15</v>
      </c>
      <c r="S3" s="14" t="str">
        <f>LEFT('Raw Data'!E3,FIND("@",'Raw Data'!E3)-1)</f>
        <v>anita_verma</v>
      </c>
      <c r="T3" s="14">
        <f>FIND("@",'Raw Data'!E3)</f>
        <v>12</v>
      </c>
      <c r="U3" s="14">
        <f>SEARCH("company",'Raw Data'!E3)</f>
        <v>13</v>
      </c>
      <c r="V3" s="14" t="str">
        <f>SUBSTITUTE(SUBSTITUTE(SUBSTITUTE(SUBSTITUTE(SUBSTITUTE(SUBSTITUTE('Raw Data'!F3,"(",""),")",""),"-",""),".","")," ",""),"+","")</f>
        <v>01123456789</v>
      </c>
      <c r="W3" s="14" t="str">
        <f t="shared" si="4"/>
        <v>*******6789</v>
      </c>
      <c r="X3" s="14" t="b">
        <f>EXACT('Raw Data'!G3,'Raw Data'!H3)</f>
        <v>1</v>
      </c>
      <c r="Y3" s="14" t="b">
        <f>ISNUMBER('Raw Data'!I3)</f>
        <v>0</v>
      </c>
      <c r="Z3" s="14" t="b">
        <f>ISTEXT('Raw Data'!I3)</f>
        <v>1</v>
      </c>
      <c r="AA3" s="14" t="str">
        <f>REPT(_xlfn.UNICHAR(9733),'Raw Data'!L3)&amp;REPT(_xlfn.UNICHAR(9734),5-'Raw Data'!L3)</f>
        <v>★★★☆☆</v>
      </c>
      <c r="AB3" s="14" t="str">
        <f>_xlfn.UNICHAR('Raw Data'!M3)</f>
        <v>♥</v>
      </c>
      <c r="AC3" s="14">
        <f t="shared" si="5"/>
        <v>9829</v>
      </c>
      <c r="AD3" s="14">
        <f>IFERROR(VALUE('Raw Data'!I3),0)</f>
        <v>0</v>
      </c>
      <c r="AE3" s="14" t="str">
        <f>IFERROR(VALUE('Raw Data'!J3),"Data Missing")</f>
        <v>Data Missing</v>
      </c>
      <c r="AF3" s="14" t="str">
        <f t="shared" si="6"/>
        <v>N/A</v>
      </c>
      <c r="AG3" s="14" t="str">
        <f>IF(EXACT('Raw Data'!G3,'Raw Data'!H3),"Match","Mismatch - Review")</f>
        <v>Match</v>
      </c>
    </row>
    <row r="4" spans="1:33" x14ac:dyDescent="0.3">
      <c r="A4" s="11" t="str">
        <f>'Raw Data'!A4</f>
        <v>EMP-2021-018-HR</v>
      </c>
      <c r="C4" s="14" t="str">
        <f>PROPER(TRIM('Raw Data'!B4))</f>
        <v>Vikram</v>
      </c>
      <c r="D4" s="14" t="str">
        <f>PROPER(TRIM('Raw Data'!C4))</f>
        <v>Nair</v>
      </c>
      <c r="E4" s="14" t="str">
        <f>PROPER(TRIM(CLEAN('Raw Data'!D4)))</f>
        <v>Vikram Nair</v>
      </c>
      <c r="F4" s="14" t="str">
        <f>UPPER('Raw Data'!E4)</f>
        <v>VIKRAM.NAIR@COMPANY.CO.IN</v>
      </c>
      <c r="G4" s="14" t="str">
        <f>LOWER('Raw Data'!E4)</f>
        <v>vikram.nair@company.co.in</v>
      </c>
      <c r="H4" s="14" t="str">
        <f t="shared" si="0"/>
        <v>Vikram Nair</v>
      </c>
      <c r="I4" s="14" t="str">
        <f t="shared" si="1"/>
        <v>Vikram Nair</v>
      </c>
      <c r="J4" s="14" t="str">
        <f t="shared" si="7"/>
        <v>Vikram Nair</v>
      </c>
      <c r="K4" s="14" t="str">
        <f>TRIM(_xlfn.TEXTSPLIT('Raw Data'!K4,{",",";"}))</f>
        <v>Recruitment</v>
      </c>
      <c r="L4" s="14"/>
      <c r="M4" s="14"/>
      <c r="N4" s="14"/>
      <c r="O4" s="14" t="str">
        <f t="shared" si="8"/>
        <v>EMP</v>
      </c>
      <c r="P4" s="14" t="str">
        <f t="shared" si="2"/>
        <v>2021</v>
      </c>
      <c r="Q4" s="14" t="str">
        <f t="shared" si="9"/>
        <v>HR</v>
      </c>
      <c r="R4" s="14">
        <f t="shared" si="3"/>
        <v>15</v>
      </c>
      <c r="S4" s="14" t="str">
        <f>LEFT('Raw Data'!E4,FIND("@",'Raw Data'!E4)-1)</f>
        <v>vikram.nair</v>
      </c>
      <c r="T4" s="14">
        <f>FIND("@",'Raw Data'!E4)</f>
        <v>12</v>
      </c>
      <c r="U4" s="14">
        <f>SEARCH("company",'Raw Data'!E4)</f>
        <v>13</v>
      </c>
      <c r="V4" s="14" t="str">
        <f>SUBSTITUTE(SUBSTITUTE(SUBSTITUTE(SUBSTITUTE(SUBSTITUTE(SUBSTITUTE('Raw Data'!F4,"(",""),")",""),"-",""),".","")," ",""),"+","")</f>
        <v>919876543210</v>
      </c>
      <c r="W4" s="14" t="str">
        <f t="shared" si="4"/>
        <v>********3210</v>
      </c>
      <c r="X4" s="14" t="b">
        <f>EXACT('Raw Data'!G4,'Raw Data'!H4)</f>
        <v>0</v>
      </c>
      <c r="Y4" s="14" t="b">
        <f>ISNUMBER('Raw Data'!I4)</f>
        <v>1</v>
      </c>
      <c r="Z4" s="14" t="b">
        <f>ISTEXT('Raw Data'!I4)</f>
        <v>0</v>
      </c>
      <c r="AA4" s="14" t="str">
        <f>REPT(_xlfn.UNICHAR(9733),'Raw Data'!L4)&amp;REPT(_xlfn.UNICHAR(9734),5-'Raw Data'!L4)</f>
        <v>★★★★☆</v>
      </c>
      <c r="AB4" s="14" t="str">
        <f>_xlfn.UNICHAR('Raw Data'!M4)</f>
        <v>☆</v>
      </c>
      <c r="AC4" s="14">
        <f t="shared" si="5"/>
        <v>9734</v>
      </c>
      <c r="AD4" s="14">
        <f>IFERROR(VALUE('Raw Data'!I4),0)</f>
        <v>98000</v>
      </c>
      <c r="AE4" s="14">
        <f>IFERROR(VALUE('Raw Data'!J4),"Data Missing")</f>
        <v>72</v>
      </c>
      <c r="AF4" s="14" t="str">
        <f t="shared" si="6"/>
        <v>Meets Expectations</v>
      </c>
      <c r="AG4" s="14" t="str">
        <f>IF(EXACT('Raw Data'!G4,'Raw Data'!H4),"Match","Mismatch - Review")</f>
        <v>Mismatch - Review</v>
      </c>
    </row>
    <row r="5" spans="1:33" x14ac:dyDescent="0.3">
      <c r="A5" s="11" t="str">
        <f>'Raw Data'!A5</f>
        <v>EMP-2023-050-FIN</v>
      </c>
      <c r="C5" s="14" t="str">
        <f>PROPER(TRIM('Raw Data'!B5))</f>
        <v>Priya</v>
      </c>
      <c r="D5" s="14" t="str">
        <f>PROPER(TRIM('Raw Data'!C5))</f>
        <v>Gupta</v>
      </c>
      <c r="E5" s="14" t="str">
        <f>PROPER(TRIM(CLEAN('Raw Data'!D5)))</f>
        <v>Priya Gupta</v>
      </c>
      <c r="F5" s="14" t="str">
        <f>UPPER('Raw Data'!E5)</f>
        <v>PRIYA.GUPTA@COMPANY.COM</v>
      </c>
      <c r="G5" s="14" t="str">
        <f>LOWER('Raw Data'!E5)</f>
        <v>priya.gupta@company.com</v>
      </c>
      <c r="H5" s="14" t="str">
        <f t="shared" si="0"/>
        <v>Priya Gupta</v>
      </c>
      <c r="I5" s="14" t="str">
        <f t="shared" si="1"/>
        <v>Priya Gupta</v>
      </c>
      <c r="J5" s="14" t="str">
        <f t="shared" si="7"/>
        <v>Priya Gupta</v>
      </c>
      <c r="K5" s="14" t="str">
        <f>TRIM(_xlfn.TEXTSPLIT('Raw Data'!K5,{",",";"}))</f>
        <v>Excel</v>
      </c>
      <c r="L5" s="14"/>
      <c r="M5" s="14"/>
      <c r="N5" s="14"/>
      <c r="O5" s="14" t="str">
        <f t="shared" si="8"/>
        <v>EMP</v>
      </c>
      <c r="P5" s="14" t="str">
        <f t="shared" si="2"/>
        <v>2023</v>
      </c>
      <c r="Q5" s="14" t="str">
        <f t="shared" si="9"/>
        <v>FIN</v>
      </c>
      <c r="R5" s="14">
        <f t="shared" si="3"/>
        <v>16</v>
      </c>
      <c r="S5" s="14" t="str">
        <f>LEFT('Raw Data'!E5,FIND("@",'Raw Data'!E5)-1)</f>
        <v>Priya.Gupta</v>
      </c>
      <c r="T5" s="14">
        <f>FIND("@",'Raw Data'!E5)</f>
        <v>12</v>
      </c>
      <c r="U5" s="14">
        <f>SEARCH("company",'Raw Data'!E5)</f>
        <v>13</v>
      </c>
      <c r="V5" s="14" t="str">
        <f>SUBSTITUTE(SUBSTITUTE(SUBSTITUTE(SUBSTITUTE(SUBSTITUTE(SUBSTITUTE('Raw Data'!F5,"(",""),")",""),"-",""),".","")," ",""),"+","")</f>
        <v>01122334455</v>
      </c>
      <c r="W5" s="14" t="str">
        <f t="shared" si="4"/>
        <v>*******4455</v>
      </c>
      <c r="X5" s="14" t="b">
        <f>EXACT('Raw Data'!G5,'Raw Data'!H5)</f>
        <v>0</v>
      </c>
      <c r="Y5" s="14" t="b">
        <f>ISNUMBER('Raw Data'!I5)</f>
        <v>0</v>
      </c>
      <c r="Z5" s="14" t="b">
        <f>ISTEXT('Raw Data'!I5)</f>
        <v>1</v>
      </c>
      <c r="AA5" s="14" t="str">
        <f>REPT(_xlfn.UNICHAR(9733),'Raw Data'!L5)&amp;REPT(_xlfn.UNICHAR(9734),5-'Raw Data'!L5)</f>
        <v>★★★★★</v>
      </c>
      <c r="AB5" s="14" t="str">
        <f>_xlfn.UNICHAR('Raw Data'!M5)</f>
        <v>★</v>
      </c>
      <c r="AC5" s="14">
        <f t="shared" si="5"/>
        <v>9733</v>
      </c>
      <c r="AD5" s="14">
        <f>IFERROR(VALUE('Raw Data'!I5),0)</f>
        <v>210000</v>
      </c>
      <c r="AE5" s="14">
        <f>IFERROR(VALUE('Raw Data'!J5),"Data Missing")</f>
        <v>95</v>
      </c>
      <c r="AF5" s="14" t="str">
        <f t="shared" si="6"/>
        <v>High Performer</v>
      </c>
      <c r="AG5" s="14" t="str">
        <f>IF(EXACT('Raw Data'!G5,'Raw Data'!H5),"Match","Mismatch - Review")</f>
        <v>Mismatch - Review</v>
      </c>
    </row>
    <row r="6" spans="1:33" x14ac:dyDescent="0.3">
      <c r="A6" s="11" t="str">
        <f>'Raw Data'!A6</f>
        <v>EMP-2020-005-IT</v>
      </c>
      <c r="C6" s="14" t="str">
        <f>PROPER(TRIM('Raw Data'!B6))</f>
        <v>Rohit</v>
      </c>
      <c r="D6" s="14" t="str">
        <f>PROPER(TRIM('Raw Data'!C6))</f>
        <v>Malhotra</v>
      </c>
      <c r="E6" s="14" t="str">
        <f>PROPER(TRIM(CLEAN('Raw Data'!D6)))</f>
        <v>Rohit Malhotra</v>
      </c>
      <c r="F6" s="14" t="str">
        <f>UPPER('Raw Data'!E6)</f>
        <v>ROHIT.MALHOTRA@COMPANY.COM</v>
      </c>
      <c r="G6" s="14" t="str">
        <f>LOWER('Raw Data'!E6)</f>
        <v>rohit.malhotra@company.com</v>
      </c>
      <c r="H6" s="14" t="str">
        <f t="shared" si="0"/>
        <v>Rohit Malhotra</v>
      </c>
      <c r="I6" s="14" t="str">
        <f t="shared" si="1"/>
        <v>Rohit Malhotra</v>
      </c>
      <c r="J6" s="14" t="str">
        <f t="shared" si="7"/>
        <v>Rohit Malhotra</v>
      </c>
      <c r="K6" s="14" t="str">
        <f>TRIM(_xlfn.TEXTSPLIT('Raw Data'!K6,{",",";"}))</f>
        <v>SQL</v>
      </c>
      <c r="L6" s="14"/>
      <c r="M6" s="14"/>
      <c r="N6" s="14"/>
      <c r="O6" s="14" t="str">
        <f t="shared" si="8"/>
        <v>EMP</v>
      </c>
      <c r="P6" s="14" t="str">
        <f t="shared" si="2"/>
        <v>2020</v>
      </c>
      <c r="Q6" s="14" t="str">
        <f t="shared" si="9"/>
        <v>IT</v>
      </c>
      <c r="R6" s="14">
        <f t="shared" si="3"/>
        <v>15</v>
      </c>
      <c r="S6" s="14" t="str">
        <f>LEFT('Raw Data'!E6,FIND("@",'Raw Data'!E6)-1)</f>
        <v>rohit.malhotra</v>
      </c>
      <c r="T6" s="14">
        <f>FIND("@",'Raw Data'!E6)</f>
        <v>15</v>
      </c>
      <c r="U6" s="14">
        <f>SEARCH("company",'Raw Data'!E6)</f>
        <v>16</v>
      </c>
      <c r="V6" s="14" t="str">
        <f>SUBSTITUTE(SUBSTITUTE(SUBSTITUTE(SUBSTITUTE(SUBSTITUTE(SUBSTITUTE('Raw Data'!F6,"(",""),")",""),"-",""),".","")," ",""),"+","")</f>
        <v>01133445566</v>
      </c>
      <c r="W6" s="14" t="str">
        <f t="shared" si="4"/>
        <v>*******5566</v>
      </c>
      <c r="X6" s="14" t="b">
        <f>EXACT('Raw Data'!G6,'Raw Data'!H6)</f>
        <v>0</v>
      </c>
      <c r="Y6" s="14" t="b">
        <f>ISNUMBER('Raw Data'!I6)</f>
        <v>1</v>
      </c>
      <c r="Z6" s="14" t="b">
        <f>ISTEXT('Raw Data'!I6)</f>
        <v>0</v>
      </c>
      <c r="AA6" s="14" t="str">
        <f>REPT(_xlfn.UNICHAR(9733),'Raw Data'!L6)&amp;REPT(_xlfn.UNICHAR(9734),5-'Raw Data'!L6)</f>
        <v>★★☆☆☆</v>
      </c>
      <c r="AB6" s="14" t="str">
        <f>_xlfn.UNICHAR('Raw Data'!M6)</f>
        <v>◆</v>
      </c>
      <c r="AC6" s="14">
        <f t="shared" si="5"/>
        <v>9670</v>
      </c>
      <c r="AD6" s="14">
        <f>IFERROR(VALUE('Raw Data'!I6),0)</f>
        <v>55000</v>
      </c>
      <c r="AE6" s="14" t="str">
        <f>IFERROR(VALUE('Raw Data'!J6),"Data Missing")</f>
        <v>Data Missing</v>
      </c>
      <c r="AF6" s="14" t="str">
        <f t="shared" si="6"/>
        <v>N/A</v>
      </c>
      <c r="AG6" s="14" t="str">
        <f>IF(EXACT('Raw Data'!G6,'Raw Data'!H6),"Match","Mismatch - Review")</f>
        <v>Mismatch - Review</v>
      </c>
    </row>
    <row r="7" spans="1:33" x14ac:dyDescent="0.3">
      <c r="A7" s="11" t="str">
        <f>'Raw Data'!A7</f>
        <v>EMP-2019-011-SALES</v>
      </c>
      <c r="C7" s="14" t="str">
        <f>PROPER(TRIM('Raw Data'!B7))</f>
        <v>Sunita</v>
      </c>
      <c r="D7" s="14" t="str">
        <f>PROPER(TRIM('Raw Data'!C7))</f>
        <v>Reddy</v>
      </c>
      <c r="E7" s="14" t="str">
        <f>PROPER(TRIM(CLEAN('Raw Data'!D7)))</f>
        <v>Sunita Reddy</v>
      </c>
      <c r="F7" s="14" t="str">
        <f>UPPER('Raw Data'!E7)</f>
        <v>SUNITA_REDDY@COMPANY.COM</v>
      </c>
      <c r="G7" s="14" t="str">
        <f>LOWER('Raw Data'!E7)</f>
        <v>sunita_reddy@company.com</v>
      </c>
      <c r="H7" s="14" t="str">
        <f t="shared" si="0"/>
        <v>Sunita Reddy</v>
      </c>
      <c r="I7" s="14" t="str">
        <f t="shared" si="1"/>
        <v>Sunita Reddy</v>
      </c>
      <c r="J7" s="14" t="str">
        <f t="shared" si="7"/>
        <v>Sunita Reddy</v>
      </c>
      <c r="K7" s="14" t="str">
        <f>TRIM(_xlfn.TEXTSPLIT('Raw Data'!K7,{",",";"}))</f>
        <v>Negotiation</v>
      </c>
      <c r="L7" s="14"/>
      <c r="M7" s="14"/>
      <c r="N7" s="14"/>
      <c r="O7" s="14" t="str">
        <f t="shared" si="8"/>
        <v>EMP</v>
      </c>
      <c r="P7" s="14" t="str">
        <f t="shared" si="2"/>
        <v>2019</v>
      </c>
      <c r="Q7" s="14" t="str">
        <f t="shared" si="9"/>
        <v>SALES</v>
      </c>
      <c r="R7" s="14">
        <f t="shared" si="3"/>
        <v>18</v>
      </c>
      <c r="S7" s="14" t="str">
        <f>LEFT('Raw Data'!E7,FIND("@",'Raw Data'!E7)-1)</f>
        <v>sunita_reddy</v>
      </c>
      <c r="T7" s="14">
        <f>FIND("@",'Raw Data'!E7)</f>
        <v>13</v>
      </c>
      <c r="U7" s="14">
        <f>SEARCH("company",'Raw Data'!E7)</f>
        <v>14</v>
      </c>
      <c r="V7" s="14" t="str">
        <f>SUBSTITUTE(SUBSTITUTE(SUBSTITUTE(SUBSTITUTE(SUBSTITUTE(SUBSTITUTE('Raw Data'!F7,"(",""),")",""),"-",""),".","")," ",""),"+","")</f>
        <v>9998887770</v>
      </c>
      <c r="W7" s="14" t="str">
        <f t="shared" si="4"/>
        <v>******7770</v>
      </c>
      <c r="X7" s="14" t="b">
        <f>EXACT('Raw Data'!G7,'Raw Data'!H7)</f>
        <v>0</v>
      </c>
      <c r="Y7" s="14" t="b">
        <f>ISNUMBER('Raw Data'!I7)</f>
        <v>0</v>
      </c>
      <c r="Z7" s="14" t="b">
        <f>ISTEXT('Raw Data'!I7)</f>
        <v>1</v>
      </c>
      <c r="AA7" s="14" t="str">
        <f>REPT(_xlfn.UNICHAR(9733),'Raw Data'!L7)&amp;REPT(_xlfn.UNICHAR(9734),5-'Raw Data'!L7)</f>
        <v>★★★★☆</v>
      </c>
      <c r="AB7" s="14" t="str">
        <f>_xlfn.UNICHAR('Raw Data'!M7)</f>
        <v>♥</v>
      </c>
      <c r="AC7" s="14">
        <f t="shared" si="5"/>
        <v>9829</v>
      </c>
      <c r="AD7" s="14">
        <f>IFERROR(VALUE('Raw Data'!I7),0)</f>
        <v>175000</v>
      </c>
      <c r="AE7" s="14">
        <f>IFERROR(VALUE('Raw Data'!J7),"Data Missing")</f>
        <v>81</v>
      </c>
      <c r="AF7" s="14" t="str">
        <f t="shared" si="6"/>
        <v>High Performer</v>
      </c>
      <c r="AG7" s="14" t="str">
        <f>IF(EXACT('Raw Data'!G7,'Raw Data'!H7),"Match","Mismatch - Review")</f>
        <v>Mismatch - Review</v>
      </c>
    </row>
    <row r="8" spans="1:33" x14ac:dyDescent="0.3">
      <c r="A8" s="11" t="str">
        <f>'Raw Data'!A8</f>
        <v>EMP-2022-029-MKT</v>
      </c>
      <c r="C8" s="14" t="str">
        <f>PROPER(TRIM('Raw Data'!B8))</f>
        <v>Aman</v>
      </c>
      <c r="D8" s="14" t="str">
        <f>PROPER(TRIM('Raw Data'!C8))</f>
        <v>Khanna</v>
      </c>
      <c r="E8" s="14" t="str">
        <f>PROPER(TRIM(CLEAN('Raw Data'!D8)))</f>
        <v>Aman Khanna</v>
      </c>
      <c r="F8" s="14" t="str">
        <f>UPPER('Raw Data'!E8)</f>
        <v>AMAN.KHANNA@COMPANY.COM</v>
      </c>
      <c r="G8" s="14" t="str">
        <f>LOWER('Raw Data'!E8)</f>
        <v>aman.khanna@company.com</v>
      </c>
      <c r="H8" s="14" t="str">
        <f t="shared" si="0"/>
        <v>Aman Khanna</v>
      </c>
      <c r="I8" s="14" t="str">
        <f t="shared" si="1"/>
        <v>Aman Khanna</v>
      </c>
      <c r="J8" s="14" t="str">
        <f t="shared" si="7"/>
        <v>Aman Khanna</v>
      </c>
      <c r="K8" s="14" t="str">
        <f>TRIM(_xlfn.TEXTSPLIT('Raw Data'!K8,{",",";"}))</f>
        <v>SEO</v>
      </c>
      <c r="L8" s="14"/>
      <c r="M8" s="14"/>
      <c r="N8" s="14"/>
      <c r="O8" s="14" t="str">
        <f t="shared" si="8"/>
        <v>EMP</v>
      </c>
      <c r="P8" s="14" t="str">
        <f t="shared" si="2"/>
        <v>2022</v>
      </c>
      <c r="Q8" s="14" t="str">
        <f t="shared" si="9"/>
        <v>MKT</v>
      </c>
      <c r="R8" s="14">
        <f t="shared" si="3"/>
        <v>16</v>
      </c>
      <c r="S8" s="14" t="str">
        <f>LEFT('Raw Data'!E8,FIND("@",'Raw Data'!E8)-1)</f>
        <v>aman.khanna</v>
      </c>
      <c r="T8" s="14">
        <f>FIND("@",'Raw Data'!E8)</f>
        <v>12</v>
      </c>
      <c r="U8" s="14">
        <f>SEARCH("company",'Raw Data'!E8)</f>
        <v>13</v>
      </c>
      <c r="V8" s="14" t="str">
        <f>SUBSTITUTE(SUBSTITUTE(SUBSTITUTE(SUBSTITUTE(SUBSTITUTE(SUBSTITUTE('Raw Data'!F8,"(",""),")",""),"-",""),".","")," ",""),"+","")</f>
        <v>01155667788</v>
      </c>
      <c r="W8" s="14" t="str">
        <f t="shared" si="4"/>
        <v>*******7788</v>
      </c>
      <c r="X8" s="14" t="b">
        <f>EXACT('Raw Data'!G8,'Raw Data'!H8)</f>
        <v>0</v>
      </c>
      <c r="Y8" s="14" t="b">
        <f>ISNUMBER('Raw Data'!I8)</f>
        <v>0</v>
      </c>
      <c r="Z8" s="14" t="b">
        <f>ISTEXT('Raw Data'!I8)</f>
        <v>1</v>
      </c>
      <c r="AA8" s="14" t="str">
        <f>REPT(_xlfn.UNICHAR(9733),'Raw Data'!L8)&amp;REPT(_xlfn.UNICHAR(9734),5-'Raw Data'!L8)</f>
        <v>★★★☆☆</v>
      </c>
      <c r="AB8" s="14" t="str">
        <f>_xlfn.UNICHAR('Raw Data'!M8)</f>
        <v>☆</v>
      </c>
      <c r="AC8" s="14">
        <f t="shared" si="5"/>
        <v>9734</v>
      </c>
      <c r="AD8" s="14">
        <f>IFERROR(VALUE('Raw Data'!I8),0)</f>
        <v>0</v>
      </c>
      <c r="AE8" s="14">
        <f>IFERROR(VALUE('Raw Data'!J8),"Data Missing")</f>
        <v>66</v>
      </c>
      <c r="AF8" s="14" t="str">
        <f t="shared" si="6"/>
        <v>Meets Expectations</v>
      </c>
      <c r="AG8" s="14" t="str">
        <f>IF(EXACT('Raw Data'!G8,'Raw Data'!H8),"Match","Mismatch - Review")</f>
        <v>Mismatch - Review</v>
      </c>
    </row>
    <row r="9" spans="1:33" x14ac:dyDescent="0.3">
      <c r="A9" s="11" t="str">
        <f>'Raw Data'!A9</f>
        <v>EMP-2023-041-HR</v>
      </c>
      <c r="C9" s="14" t="str">
        <f>PROPER(TRIM('Raw Data'!B9))</f>
        <v>Kiran</v>
      </c>
      <c r="D9" s="14" t="str">
        <f>PROPER(TRIM('Raw Data'!C9))</f>
        <v>Joshi</v>
      </c>
      <c r="E9" s="14" t="str">
        <f>PROPER(TRIM(CLEAN('Raw Data'!D9)))</f>
        <v>Kiran Joshi</v>
      </c>
      <c r="F9" s="14" t="str">
        <f>UPPER('Raw Data'!E9)</f>
        <v>KIRAN.JOSHI@COMPANY.COM</v>
      </c>
      <c r="G9" s="14" t="str">
        <f>LOWER('Raw Data'!E9)</f>
        <v>kiran.joshi@company.com</v>
      </c>
      <c r="H9" s="14" t="str">
        <f t="shared" si="0"/>
        <v>Kiran Joshi</v>
      </c>
      <c r="I9" s="14" t="str">
        <f t="shared" si="1"/>
        <v>Kiran Joshi</v>
      </c>
      <c r="J9" s="14" t="str">
        <f t="shared" si="7"/>
        <v>Kiran Joshi</v>
      </c>
      <c r="K9" s="14" t="str">
        <f>TRIM(_xlfn.TEXTSPLIT('Raw Data'!K9,{",",";"}))</f>
        <v>Onboarding</v>
      </c>
      <c r="L9" s="14"/>
      <c r="M9" s="14"/>
      <c r="N9" s="14"/>
      <c r="O9" s="14" t="str">
        <f t="shared" si="8"/>
        <v>EMP</v>
      </c>
      <c r="P9" s="14" t="str">
        <f t="shared" si="2"/>
        <v>2023</v>
      </c>
      <c r="Q9" s="14" t="str">
        <f t="shared" si="9"/>
        <v>HR</v>
      </c>
      <c r="R9" s="14">
        <f t="shared" si="3"/>
        <v>15</v>
      </c>
      <c r="S9" s="14" t="str">
        <f>LEFT('Raw Data'!E9,FIND("@",'Raw Data'!E9)-1)</f>
        <v>Kiran.Joshi</v>
      </c>
      <c r="T9" s="14">
        <f>FIND("@",'Raw Data'!E9)</f>
        <v>12</v>
      </c>
      <c r="U9" s="14">
        <f>SEARCH("company",'Raw Data'!E9)</f>
        <v>13</v>
      </c>
      <c r="V9" s="14" t="str">
        <f>SUBSTITUTE(SUBSTITUTE(SUBSTITUTE(SUBSTITUTE(SUBSTITUTE(SUBSTITUTE('Raw Data'!F9,"(",""),")",""),"-",""),".","")," ",""),"+","")</f>
        <v>01199887766</v>
      </c>
      <c r="W9" s="14" t="str">
        <f t="shared" si="4"/>
        <v>*******7766</v>
      </c>
      <c r="X9" s="14" t="b">
        <f>EXACT('Raw Data'!G9,'Raw Data'!H9)</f>
        <v>0</v>
      </c>
      <c r="Y9" s="14" t="b">
        <f>ISNUMBER('Raw Data'!I9)</f>
        <v>1</v>
      </c>
      <c r="Z9" s="14" t="b">
        <f>ISTEXT('Raw Data'!I9)</f>
        <v>0</v>
      </c>
      <c r="AA9" s="14" t="str">
        <f>REPT(_xlfn.UNICHAR(9733),'Raw Data'!L9)&amp;REPT(_xlfn.UNICHAR(9734),5-'Raw Data'!L9)</f>
        <v>★☆☆☆☆</v>
      </c>
      <c r="AB9" s="14" t="str">
        <f>_xlfn.UNICHAR('Raw Data'!M9)</f>
        <v>◆</v>
      </c>
      <c r="AC9" s="14">
        <f t="shared" si="5"/>
        <v>9670</v>
      </c>
      <c r="AD9" s="14">
        <f>IFERROR(VALUE('Raw Data'!I9),0)</f>
        <v>45000</v>
      </c>
      <c r="AE9" s="14" t="str">
        <f>IFERROR(VALUE('Raw Data'!J9),"Data Missing")</f>
        <v>Data Missing</v>
      </c>
      <c r="AF9" s="14" t="str">
        <f t="shared" si="6"/>
        <v>N/A</v>
      </c>
      <c r="AG9" s="14" t="str">
        <f>IF(EXACT('Raw Data'!G9,'Raw Data'!H9),"Match","Mismatch - Review")</f>
        <v>Mismatch - Review</v>
      </c>
    </row>
    <row r="10" spans="1:33" x14ac:dyDescent="0.3">
      <c r="A10" s="11" t="str">
        <f>'Raw Data'!A10</f>
        <v>EMP-2021-022-FIN</v>
      </c>
      <c r="C10" s="14" t="str">
        <f>PROPER(TRIM('Raw Data'!B10))</f>
        <v>Deepak</v>
      </c>
      <c r="D10" s="14" t="str">
        <f>PROPER(TRIM('Raw Data'!C10))</f>
        <v>Chopra</v>
      </c>
      <c r="E10" s="14" t="str">
        <f>PROPER(TRIM(CLEAN('Raw Data'!D10)))</f>
        <v>Deepak Chopra</v>
      </c>
      <c r="F10" s="14" t="str">
        <f>UPPER('Raw Data'!E10)</f>
        <v>DEEPAK.CHOPRA@COMPANY.COM</v>
      </c>
      <c r="G10" s="14" t="str">
        <f>LOWER('Raw Data'!E10)</f>
        <v>deepak.chopra@company.com</v>
      </c>
      <c r="H10" s="14" t="str">
        <f t="shared" si="0"/>
        <v>Deepak Chopra</v>
      </c>
      <c r="I10" s="14" t="str">
        <f t="shared" si="1"/>
        <v>Deepak Chopra</v>
      </c>
      <c r="J10" s="14" t="str">
        <f t="shared" si="7"/>
        <v>Deepak Chopra</v>
      </c>
      <c r="K10" s="14" t="str">
        <f>TRIM(_xlfn.TEXTSPLIT('Raw Data'!K10,{",",";"}))</f>
        <v>Excel</v>
      </c>
      <c r="L10" s="14"/>
      <c r="M10" s="14"/>
      <c r="N10" s="14"/>
      <c r="O10" s="14" t="str">
        <f t="shared" si="8"/>
        <v>EMP</v>
      </c>
      <c r="P10" s="14" t="str">
        <f t="shared" si="2"/>
        <v>2021</v>
      </c>
      <c r="Q10" s="14" t="str">
        <f t="shared" si="9"/>
        <v>FIN</v>
      </c>
      <c r="R10" s="14">
        <f t="shared" si="3"/>
        <v>16</v>
      </c>
      <c r="S10" s="14" t="str">
        <f>LEFT('Raw Data'!E10,FIND("@",'Raw Data'!E10)-1)</f>
        <v>deepak.chopra</v>
      </c>
      <c r="T10" s="14">
        <f>FIND("@",'Raw Data'!E10)</f>
        <v>14</v>
      </c>
      <c r="U10" s="14">
        <f>SEARCH("company",'Raw Data'!E10)</f>
        <v>15</v>
      </c>
      <c r="V10" s="14" t="str">
        <f>SUBSTITUTE(SUBSTITUTE(SUBSTITUTE(SUBSTITUTE(SUBSTITUTE(SUBSTITUTE('Raw Data'!F10,"(",""),")",""),"-",""),".","")," ",""),"+","")</f>
        <v>01122339900</v>
      </c>
      <c r="W10" s="14" t="str">
        <f t="shared" si="4"/>
        <v>*******9900</v>
      </c>
      <c r="X10" s="14" t="b">
        <f>EXACT('Raw Data'!G10,'Raw Data'!H10)</f>
        <v>0</v>
      </c>
      <c r="Y10" s="14" t="b">
        <f>ISNUMBER('Raw Data'!I10)</f>
        <v>1</v>
      </c>
      <c r="Z10" s="14" t="b">
        <f>ISTEXT('Raw Data'!I10)</f>
        <v>0</v>
      </c>
      <c r="AA10" s="14" t="str">
        <f>REPT(_xlfn.UNICHAR(9733),'Raw Data'!L10)&amp;REPT(_xlfn.UNICHAR(9734),5-'Raw Data'!L10)</f>
        <v>★★★★★</v>
      </c>
      <c r="AB10" s="14" t="str">
        <f>_xlfn.UNICHAR('Raw Data'!M10)</f>
        <v>★</v>
      </c>
      <c r="AC10" s="14">
        <f t="shared" si="5"/>
        <v>9733</v>
      </c>
      <c r="AD10" s="14">
        <f>IFERROR(VALUE('Raw Data'!I10),0)</f>
        <v>302000</v>
      </c>
      <c r="AE10" s="14">
        <f>IFERROR(VALUE('Raw Data'!J10),"Data Missing")</f>
        <v>91</v>
      </c>
      <c r="AF10" s="14" t="str">
        <f t="shared" si="6"/>
        <v>High Performer</v>
      </c>
      <c r="AG10" s="14" t="str">
        <f>IF(EXACT('Raw Data'!G10,'Raw Data'!H10),"Match","Mismatch - Review")</f>
        <v>Mismatch - Review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Instructions</vt:lpstr>
      <vt:lpstr>Practice</vt:lpstr>
      <vt:lpstr>Solution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siddhant mishra</cp:lastModifiedBy>
  <cp:revision>0</cp:revision>
  <dcterms:created xsi:type="dcterms:W3CDTF">2026-07-21T07:11:52Z</dcterms:created>
  <dcterms:modified xsi:type="dcterms:W3CDTF">2026-07-24T16:55:48Z</dcterms:modified>
  <dc:language>en-US</dc:language>
</cp:coreProperties>
</file>