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Upgrad classes\Class 19\"/>
    </mc:Choice>
  </mc:AlternateContent>
  <xr:revisionPtr revIDLastSave="0" documentId="13_ncr:9_{3AA8C7B9-5DCA-4BB5-887F-F54DD158224C}" xr6:coauthVersionLast="47" xr6:coauthVersionMax="47" xr10:uidLastSave="{00000000-0000-0000-0000-000000000000}"/>
  <bookViews>
    <workbookView xWindow="-108" yWindow="-108" windowWidth="23256" windowHeight="13176" activeTab="1" xr2:uid="{61FBBD2D-5C61-429A-ACB3-9FB5D1141D61}"/>
  </bookViews>
  <sheets>
    <sheet name="Indian Liver Patient Dataset (I" sheetId="1" r:id="rId1"/>
    <sheet name="Dashboard" sheetId="2" r:id="rId2"/>
  </sheets>
  <calcPr calcId="0"/>
  <pivotCaches>
    <pivotCache cacheId="16" r:id="rId3"/>
  </pivotCaches>
</workbook>
</file>

<file path=xl/calcChain.xml><?xml version="1.0" encoding="utf-8"?>
<calcChain xmlns="http://schemas.openxmlformats.org/spreadsheetml/2006/main">
  <c r="T13" i="2" l="1"/>
  <c r="P13" i="2"/>
  <c r="X13" i="2"/>
  <c r="L10" i="1"/>
  <c r="L2" i="1"/>
  <c r="L3" i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</calcChain>
</file>

<file path=xl/sharedStrings.xml><?xml version="1.0" encoding="utf-8"?>
<sst xmlns="http://schemas.openxmlformats.org/spreadsheetml/2006/main" count="636" uniqueCount="38">
  <si>
    <t>age</t>
  </si>
  <si>
    <t>gender</t>
  </si>
  <si>
    <t>tot_bilirubin</t>
  </si>
  <si>
    <t>direct_bilirubin</t>
  </si>
  <si>
    <t>tot_proteins</t>
  </si>
  <si>
    <t>albumin</t>
  </si>
  <si>
    <t>ag_ratio</t>
  </si>
  <si>
    <t>sgpt</t>
  </si>
  <si>
    <t>sgot</t>
  </si>
  <si>
    <t>alkphos</t>
  </si>
  <si>
    <t>is_patient</t>
  </si>
  <si>
    <t>Female</t>
  </si>
  <si>
    <t>Male</t>
  </si>
  <si>
    <t xml:space="preserve"> </t>
  </si>
  <si>
    <t>Row Labels</t>
  </si>
  <si>
    <t>Grand Total</t>
  </si>
  <si>
    <t>Count of gender</t>
  </si>
  <si>
    <t>Is_patient_true</t>
  </si>
  <si>
    <t xml:space="preserve"> Patient</t>
  </si>
  <si>
    <t>Not Patient</t>
  </si>
  <si>
    <t>Column Labels</t>
  </si>
  <si>
    <t>the total no of people</t>
  </si>
  <si>
    <t>total no of patients</t>
  </si>
  <si>
    <t>total no of non-patients</t>
  </si>
  <si>
    <t>Average of age</t>
  </si>
  <si>
    <t>Max of age</t>
  </si>
  <si>
    <t>Min of age</t>
  </si>
  <si>
    <t>Average of tot_bilirubin</t>
  </si>
  <si>
    <t>Average of sgpt</t>
  </si>
  <si>
    <t>Average of sgot</t>
  </si>
  <si>
    <t>Count of age</t>
  </si>
  <si>
    <t>&lt;30</t>
  </si>
  <si>
    <t>30-50</t>
  </si>
  <si>
    <t>&gt;50</t>
  </si>
  <si>
    <t>alkphos column is missing 4 values</t>
  </si>
  <si>
    <t>Total Count of age</t>
  </si>
  <si>
    <t>Total Average of albumin</t>
  </si>
  <si>
    <t>Average of albumin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</si>
</sst>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 Liver Patient Dataset (ILPD).csv.xlsx]Dashboard!PivotTable2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</a:t>
            </a:r>
          </a:p>
        </c:rich>
      </c:tx>
      <c:layout>
        <c:manualLayout>
          <c:xMode val="edge"/>
          <c:yMode val="edge"/>
          <c:x val="0.30345930685044736"/>
          <c:y val="2.4826149308656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54673150518764"/>
          <c:y val="9.8236802229618211E-2"/>
          <c:w val="0.57054597469794799"/>
          <c:h val="0.5697141272289416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Dashboard!$D$7:$D$8</c:f>
              <c:strCache>
                <c:ptCount val="1"/>
                <c:pt idx="0">
                  <c:v> Patient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Dashboard!$C$9:$C$11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Dashboard!$D$9:$D$11</c:f>
              <c:numCache>
                <c:formatCode>General</c:formatCode>
                <c:ptCount val="2"/>
                <c:pt idx="0">
                  <c:v>92</c:v>
                </c:pt>
                <c:pt idx="1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6-4C87-9D88-ED272EDF919E}"/>
            </c:ext>
          </c:extLst>
        </c:ser>
        <c:ser>
          <c:idx val="1"/>
          <c:order val="1"/>
          <c:tx>
            <c:strRef>
              <c:f>Dashboard!$E$7:$E$8</c:f>
              <c:strCache>
                <c:ptCount val="1"/>
                <c:pt idx="0">
                  <c:v>Not Patient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Dashboard!$C$9:$C$11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Dashboard!$E$9:$E$11</c:f>
              <c:numCache>
                <c:formatCode>General</c:formatCode>
                <c:ptCount val="2"/>
                <c:pt idx="0">
                  <c:v>50</c:v>
                </c:pt>
                <c:pt idx="1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6-4C87-9D88-ED272EDF91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86390560"/>
        <c:axId val="1366038640"/>
      </c:barChart>
      <c:catAx>
        <c:axId val="158639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38640"/>
        <c:auto val="1"/>
        <c:lblAlgn val="ctr"/>
        <c:lblOffset val="100"/>
        <c:noMultiLvlLbl val="0"/>
      </c:catAx>
      <c:valAx>
        <c:axId val="1366038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6390560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40081799591004"/>
          <c:y val="0.49959243174500095"/>
          <c:w val="0.16359918200408999"/>
          <c:h val="0.27182029114917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 Liver Patient Dataset (ILPD).csv.xlsx]Dashboard!PivotTable4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age for patient and non patient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1856823266219231"/>
          <c:y val="4.0354330708661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910979877515294E-2"/>
          <c:y val="0.21066054243219598"/>
          <c:w val="0.61992294677721049"/>
          <c:h val="0.78933957956450662"/>
        </c:manualLayout>
      </c:layout>
      <c:pieChart>
        <c:varyColors val="1"/>
        <c:ser>
          <c:idx val="0"/>
          <c:order val="0"/>
          <c:tx>
            <c:strRef>
              <c:f>Dashboard!$D$24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Dashboard!$C$25:$C$26</c:f>
              <c:strCache>
                <c:ptCount val="2"/>
                <c:pt idx="0">
                  <c:v> Patient</c:v>
                </c:pt>
                <c:pt idx="1">
                  <c:v>Not Patient</c:v>
                </c:pt>
              </c:strCache>
            </c:strRef>
          </c:cat>
          <c:val>
            <c:numRef>
              <c:f>Dashboard!$D$25:$D$26</c:f>
              <c:numCache>
                <c:formatCode>General</c:formatCode>
                <c:ptCount val="2"/>
                <c:pt idx="0">
                  <c:v>46.153846153846153</c:v>
                </c:pt>
                <c:pt idx="1">
                  <c:v>41.23952095808383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3-4CCA-AE03-294571B9A4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 Liver Patient Dataset (ILPD).csv.xlsx]Dashboard!PivotTable5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effectLst/>
              </a:rPr>
              <a:t>average Total Bilirubin of liver patients vs non-patients.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Dashboard!$D$32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CF6-4972-83D8-8D19887C4E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Dashboard!$C$33:$C$34</c:f>
              <c:strCache>
                <c:ptCount val="2"/>
                <c:pt idx="0">
                  <c:v> Patient</c:v>
                </c:pt>
                <c:pt idx="1">
                  <c:v>Not Patient</c:v>
                </c:pt>
              </c:strCache>
            </c:strRef>
          </c:cat>
          <c:val>
            <c:numRef>
              <c:f>Dashboard!$D$33:$D$34</c:f>
              <c:numCache>
                <c:formatCode>General</c:formatCode>
                <c:ptCount val="2"/>
                <c:pt idx="0">
                  <c:v>4.1644230769230752</c:v>
                </c:pt>
                <c:pt idx="1">
                  <c:v>1.1425149700598793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972-83D8-8D19887C4E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 Liver Patient Dataset (ILPD).csv.xlsx]Dashboard!PivotTable6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61338892869431"/>
          <c:y val="0.10836741126638506"/>
          <c:w val="0.66480811711238663"/>
          <c:h val="0.8529041994936200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Dashboard!$B$42:$B$44</c:f>
              <c:strCache>
                <c:ptCount val="1"/>
                <c:pt idx="0">
                  <c:v> Patient - Count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Dashboard!$A$45:$A$47</c:f>
              <c:strCache>
                <c:ptCount val="3"/>
                <c:pt idx="0">
                  <c:v>&lt;30</c:v>
                </c:pt>
                <c:pt idx="1">
                  <c:v>30-50</c:v>
                </c:pt>
                <c:pt idx="2">
                  <c:v>&gt;50</c:v>
                </c:pt>
              </c:strCache>
            </c:strRef>
          </c:cat>
          <c:val>
            <c:numRef>
              <c:f>Dashboard!$B$45:$B$47</c:f>
              <c:numCache>
                <c:formatCode>General</c:formatCode>
                <c:ptCount val="3"/>
                <c:pt idx="0">
                  <c:v>57</c:v>
                </c:pt>
                <c:pt idx="1">
                  <c:v>201</c:v>
                </c:pt>
                <c:pt idx="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F-432E-A228-BCEC72F2C803}"/>
            </c:ext>
          </c:extLst>
        </c:ser>
        <c:ser>
          <c:idx val="1"/>
          <c:order val="1"/>
          <c:tx>
            <c:strRef>
              <c:f>Dashboard!$C$42:$C$44</c:f>
              <c:strCache>
                <c:ptCount val="1"/>
                <c:pt idx="0">
                  <c:v> Patient - Average of albumin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Dashboard!$A$45:$A$47</c:f>
              <c:strCache>
                <c:ptCount val="3"/>
                <c:pt idx="0">
                  <c:v>&lt;30</c:v>
                </c:pt>
                <c:pt idx="1">
                  <c:v>30-50</c:v>
                </c:pt>
                <c:pt idx="2">
                  <c:v>&gt;50</c:v>
                </c:pt>
              </c:strCache>
            </c:strRef>
          </c:cat>
          <c:val>
            <c:numRef>
              <c:f>Dashboard!$C$45:$C$47</c:f>
              <c:numCache>
                <c:formatCode>General</c:formatCode>
                <c:ptCount val="3"/>
                <c:pt idx="0">
                  <c:v>89.122807017543863</c:v>
                </c:pt>
                <c:pt idx="1">
                  <c:v>126.87562189054727</c:v>
                </c:pt>
                <c:pt idx="2">
                  <c:v>68.696202531645568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F-432E-A228-BCEC72F2C803}"/>
            </c:ext>
          </c:extLst>
        </c:ser>
        <c:ser>
          <c:idx val="2"/>
          <c:order val="2"/>
          <c:tx>
            <c:strRef>
              <c:f>Dashboard!$D$42:$D$44</c:f>
              <c:strCache>
                <c:ptCount val="1"/>
                <c:pt idx="0">
                  <c:v>Not Patient - Count of 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Dashboard!$A$45:$A$47</c:f>
              <c:strCache>
                <c:ptCount val="3"/>
                <c:pt idx="0">
                  <c:v>&lt;30</c:v>
                </c:pt>
                <c:pt idx="1">
                  <c:v>30-50</c:v>
                </c:pt>
                <c:pt idx="2">
                  <c:v>&gt;50</c:v>
                </c:pt>
              </c:strCache>
            </c:strRef>
          </c:cat>
          <c:val>
            <c:numRef>
              <c:f>Dashboard!$D$45:$D$47</c:f>
              <c:numCache>
                <c:formatCode>General</c:formatCode>
                <c:ptCount val="3"/>
                <c:pt idx="0">
                  <c:v>48</c:v>
                </c:pt>
                <c:pt idx="1">
                  <c:v>70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F-432E-A228-BCEC72F2C803}"/>
            </c:ext>
          </c:extLst>
        </c:ser>
        <c:ser>
          <c:idx val="3"/>
          <c:order val="3"/>
          <c:tx>
            <c:strRef>
              <c:f>Dashboard!$E$42:$E$44</c:f>
              <c:strCache>
                <c:ptCount val="1"/>
                <c:pt idx="0">
                  <c:v>Not Patient - Average of albumin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Dashboard!$A$45:$A$47</c:f>
              <c:strCache>
                <c:ptCount val="3"/>
                <c:pt idx="0">
                  <c:v>&lt;30</c:v>
                </c:pt>
                <c:pt idx="1">
                  <c:v>30-50</c:v>
                </c:pt>
                <c:pt idx="2">
                  <c:v>&gt;50</c:v>
                </c:pt>
              </c:strCache>
            </c:strRef>
          </c:cat>
          <c:val>
            <c:numRef>
              <c:f>Dashboard!$E$45:$E$47</c:f>
              <c:numCache>
                <c:formatCode>General</c:formatCode>
                <c:ptCount val="3"/>
                <c:pt idx="0">
                  <c:v>32.875</c:v>
                </c:pt>
                <c:pt idx="1">
                  <c:v>37.657142857142858</c:v>
                </c:pt>
                <c:pt idx="2">
                  <c:v>28.693877551020407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BF-432E-A228-BCEC72F2C8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06390880"/>
        <c:axId val="1365956560"/>
      </c:barChart>
      <c:catAx>
        <c:axId val="16063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956560"/>
        <c:crosses val="autoZero"/>
        <c:auto val="1"/>
        <c:lblAlgn val="ctr"/>
        <c:lblOffset val="100"/>
        <c:noMultiLvlLbl val="0"/>
      </c:catAx>
      <c:valAx>
        <c:axId val="136595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639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511748</xdr:colOff>
      <xdr:row>23</xdr:row>
      <xdr:rowOff>14241</xdr:rowOff>
    </xdr:from>
    <xdr:to>
      <xdr:col>18</xdr:col>
      <xdr:colOff>502750</xdr:colOff>
      <xdr:row>39</xdr:row>
      <xdr:rowOff>44719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0FBC6F-B706-B291-84A0-F5FAE6CA7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842615</xdr:colOff>
      <xdr:row>32</xdr:row>
      <xdr:rowOff>22411</xdr:rowOff>
    </xdr:from>
    <xdr:to>
      <xdr:col>25</xdr:col>
      <xdr:colOff>1322295</xdr:colOff>
      <xdr:row>46</xdr:row>
      <xdr:rowOff>44824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2FEB53-D489-B5A4-04C0-290E6582E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144814</xdr:colOff>
      <xdr:row>48</xdr:row>
      <xdr:rowOff>156882</xdr:rowOff>
    </xdr:from>
    <xdr:to>
      <xdr:col>25</xdr:col>
      <xdr:colOff>1322295</xdr:colOff>
      <xdr:row>73</xdr:row>
      <xdr:rowOff>67235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A3491C-A642-5D11-30A8-D13FD3690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433580</xdr:colOff>
      <xdr:row>40</xdr:row>
      <xdr:rowOff>99387</xdr:rowOff>
    </xdr:from>
    <xdr:to>
      <xdr:col>20</xdr:col>
      <xdr:colOff>818890</xdr:colOff>
      <xdr:row>73</xdr:row>
      <xdr:rowOff>42238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67F95E-CE5A-E91A-1AFB-CC3D6980F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nt mishra" refreshedDate="46248.650038194442" createdVersion="8" refreshedVersion="8" minRefreshableVersion="3" recordCount="583" xr:uid="{2D44A611-8B02-4962-BC7D-6917D1DBCE6B}">
  <cacheSource type="worksheet">
    <worksheetSource name="Table1"/>
  </cacheSource>
  <cacheFields count="12">
    <cacheField name="age" numFmtId="0">
      <sharedItems containsSemiMixedTypes="0" containsString="0" containsNumber="1" containsInteger="1" minValue="4" maxValue="90" count="72">
        <n v="65"/>
        <n v="62"/>
        <n v="58"/>
        <n v="72"/>
        <n v="46"/>
        <n v="26"/>
        <n v="29"/>
        <n v="17"/>
        <n v="55"/>
        <n v="57"/>
        <n v="64"/>
        <n v="74"/>
        <n v="61"/>
        <n v="25"/>
        <n v="38"/>
        <n v="33"/>
        <n v="40"/>
        <n v="51"/>
        <n v="63"/>
        <n v="34"/>
        <n v="20"/>
        <n v="84"/>
        <n v="52"/>
        <n v="30"/>
        <n v="48"/>
        <n v="47"/>
        <n v="45"/>
        <n v="42"/>
        <n v="50"/>
        <n v="85"/>
        <n v="35"/>
        <n v="21"/>
        <n v="32"/>
        <n v="31"/>
        <n v="54"/>
        <n v="37"/>
        <n v="66"/>
        <n v="60"/>
        <n v="19"/>
        <n v="75"/>
        <n v="68"/>
        <n v="70"/>
        <n v="49"/>
        <n v="14"/>
        <n v="13"/>
        <n v="18"/>
        <n v="39"/>
        <n v="27"/>
        <n v="36"/>
        <n v="24"/>
        <n v="28"/>
        <n v="53"/>
        <n v="15"/>
        <n v="56"/>
        <n v="44"/>
        <n v="41"/>
        <n v="7"/>
        <n v="22"/>
        <n v="8"/>
        <n v="6"/>
        <n v="4"/>
        <n v="43"/>
        <n v="23"/>
        <n v="12"/>
        <n v="69"/>
        <n v="16"/>
        <n v="78"/>
        <n v="11"/>
        <n v="73"/>
        <n v="67"/>
        <n v="10"/>
        <n v="90"/>
      </sharedItems>
      <fieldGroup base="0">
        <rangePr autoStart="0" autoEnd="0" startNum="30" endNum="50" groupInterval="20"/>
        <groupItems count="3">
          <s v="&lt;30"/>
          <s v="30-50"/>
          <s v="&gt;50"/>
        </groupItems>
      </fieldGroup>
    </cacheField>
    <cacheField name="gender" numFmtId="0">
      <sharedItems count="2">
        <s v="Female"/>
        <s v="Male"/>
      </sharedItems>
    </cacheField>
    <cacheField name="tot_bilirubin" numFmtId="0">
      <sharedItems containsSemiMixedTypes="0" containsString="0" containsNumber="1" minValue="0.4" maxValue="75"/>
    </cacheField>
    <cacheField name="direct_bilirubin" numFmtId="0">
      <sharedItems containsSemiMixedTypes="0" containsString="0" containsNumber="1" minValue="0.1" maxValue="19.7"/>
    </cacheField>
    <cacheField name="tot_proteins" numFmtId="0">
      <sharedItems containsSemiMixedTypes="0" containsString="0" containsNumber="1" containsInteger="1" minValue="63" maxValue="2110"/>
    </cacheField>
    <cacheField name="albumin" numFmtId="0">
      <sharedItems containsSemiMixedTypes="0" containsString="0" containsNumber="1" containsInteger="1" minValue="10" maxValue="2000"/>
    </cacheField>
    <cacheField name="ag_ratio" numFmtId="0">
      <sharedItems containsSemiMixedTypes="0" containsString="0" containsNumber="1" containsInteger="1" minValue="10" maxValue="4929"/>
    </cacheField>
    <cacheField name="sgpt" numFmtId="0">
      <sharedItems containsSemiMixedTypes="0" containsString="0" containsNumber="1" minValue="2.7" maxValue="9.6"/>
    </cacheField>
    <cacheField name="sgot" numFmtId="0">
      <sharedItems containsSemiMixedTypes="0" containsString="0" containsNumber="1" minValue="0.9" maxValue="5.5"/>
    </cacheField>
    <cacheField name="alkphos" numFmtId="0">
      <sharedItems containsString="0" containsBlank="1" containsNumber="1" minValue="0.3" maxValue="2.8"/>
    </cacheField>
    <cacheField name="is_patient" numFmtId="0">
      <sharedItems containsSemiMixedTypes="0" containsString="0" containsNumber="1" containsInteger="1" minValue="1" maxValue="2"/>
    </cacheField>
    <cacheField name="Is_patient_true" numFmtId="0">
      <sharedItems count="2">
        <s v=" Patient"/>
        <s v="Not Pati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x v="0"/>
    <x v="0"/>
    <n v="0.7"/>
    <n v="0.1"/>
    <n v="187"/>
    <n v="16"/>
    <n v="18"/>
    <n v="6.8"/>
    <n v="3.3"/>
    <n v="0.9"/>
    <n v="1"/>
    <x v="0"/>
  </r>
  <r>
    <x v="1"/>
    <x v="1"/>
    <n v="10.9"/>
    <n v="5.5"/>
    <n v="699"/>
    <n v="64"/>
    <n v="100"/>
    <n v="7.5"/>
    <n v="3.2"/>
    <n v="0.74"/>
    <n v="1"/>
    <x v="0"/>
  </r>
  <r>
    <x v="1"/>
    <x v="1"/>
    <n v="7.3"/>
    <n v="4.0999999999999996"/>
    <n v="490"/>
    <n v="60"/>
    <n v="68"/>
    <n v="7"/>
    <n v="3.3"/>
    <n v="0.89"/>
    <n v="1"/>
    <x v="0"/>
  </r>
  <r>
    <x v="2"/>
    <x v="1"/>
    <n v="1"/>
    <n v="0.4"/>
    <n v="182"/>
    <n v="14"/>
    <n v="20"/>
    <n v="6.8"/>
    <n v="3.4"/>
    <n v="1"/>
    <n v="1"/>
    <x v="0"/>
  </r>
  <r>
    <x v="3"/>
    <x v="1"/>
    <n v="3.9"/>
    <n v="2"/>
    <n v="195"/>
    <n v="27"/>
    <n v="59"/>
    <n v="7.3"/>
    <n v="2.4"/>
    <n v="0.4"/>
    <n v="1"/>
    <x v="0"/>
  </r>
  <r>
    <x v="4"/>
    <x v="1"/>
    <n v="1.8"/>
    <n v="0.7"/>
    <n v="208"/>
    <n v="19"/>
    <n v="14"/>
    <n v="7.6"/>
    <n v="4.4000000000000004"/>
    <n v="1.3"/>
    <n v="1"/>
    <x v="0"/>
  </r>
  <r>
    <x v="5"/>
    <x v="0"/>
    <n v="0.9"/>
    <n v="0.2"/>
    <n v="154"/>
    <n v="16"/>
    <n v="12"/>
    <n v="7"/>
    <n v="3.5"/>
    <n v="1"/>
    <n v="1"/>
    <x v="0"/>
  </r>
  <r>
    <x v="6"/>
    <x v="0"/>
    <n v="0.9"/>
    <n v="0.3"/>
    <n v="202"/>
    <n v="14"/>
    <n v="11"/>
    <n v="6.7"/>
    <n v="3.6"/>
    <n v="1.1000000000000001"/>
    <n v="1"/>
    <x v="0"/>
  </r>
  <r>
    <x v="7"/>
    <x v="1"/>
    <n v="0.9"/>
    <n v="0.3"/>
    <n v="202"/>
    <n v="22"/>
    <n v="19"/>
    <n v="7.4"/>
    <n v="4.0999999999999996"/>
    <n v="1.2"/>
    <n v="2"/>
    <x v="1"/>
  </r>
  <r>
    <x v="8"/>
    <x v="1"/>
    <n v="0.7"/>
    <n v="0.2"/>
    <n v="290"/>
    <n v="53"/>
    <n v="58"/>
    <n v="6.8"/>
    <n v="3.4"/>
    <n v="1"/>
    <n v="1"/>
    <x v="0"/>
  </r>
  <r>
    <x v="9"/>
    <x v="1"/>
    <n v="0.6"/>
    <n v="0.1"/>
    <n v="210"/>
    <n v="51"/>
    <n v="59"/>
    <n v="5.9"/>
    <n v="2.7"/>
    <n v="0.8"/>
    <n v="1"/>
    <x v="0"/>
  </r>
  <r>
    <x v="3"/>
    <x v="1"/>
    <n v="2.7"/>
    <n v="1.3"/>
    <n v="260"/>
    <n v="31"/>
    <n v="56"/>
    <n v="7.4"/>
    <n v="3"/>
    <n v="0.6"/>
    <n v="1"/>
    <x v="0"/>
  </r>
  <r>
    <x v="10"/>
    <x v="1"/>
    <n v="0.9"/>
    <n v="0.3"/>
    <n v="310"/>
    <n v="61"/>
    <n v="58"/>
    <n v="7"/>
    <n v="3.4"/>
    <n v="0.9"/>
    <n v="2"/>
    <x v="1"/>
  </r>
  <r>
    <x v="11"/>
    <x v="0"/>
    <n v="1.1000000000000001"/>
    <n v="0.4"/>
    <n v="214"/>
    <n v="22"/>
    <n v="30"/>
    <n v="8.1"/>
    <n v="4.0999999999999996"/>
    <n v="1"/>
    <n v="1"/>
    <x v="0"/>
  </r>
  <r>
    <x v="12"/>
    <x v="1"/>
    <n v="0.7"/>
    <n v="0.2"/>
    <n v="145"/>
    <n v="53"/>
    <n v="41"/>
    <n v="5.8"/>
    <n v="2.7"/>
    <n v="0.87"/>
    <n v="1"/>
    <x v="0"/>
  </r>
  <r>
    <x v="13"/>
    <x v="1"/>
    <n v="0.6"/>
    <n v="0.1"/>
    <n v="183"/>
    <n v="91"/>
    <n v="53"/>
    <n v="5.5"/>
    <n v="2.2999999999999998"/>
    <n v="0.7"/>
    <n v="2"/>
    <x v="1"/>
  </r>
  <r>
    <x v="14"/>
    <x v="1"/>
    <n v="1.8"/>
    <n v="0.8"/>
    <n v="342"/>
    <n v="168"/>
    <n v="441"/>
    <n v="7.6"/>
    <n v="4.4000000000000004"/>
    <n v="1.3"/>
    <n v="1"/>
    <x v="0"/>
  </r>
  <r>
    <x v="15"/>
    <x v="1"/>
    <n v="1.6"/>
    <n v="0.5"/>
    <n v="165"/>
    <n v="15"/>
    <n v="23"/>
    <n v="7.3"/>
    <n v="3.5"/>
    <n v="0.92"/>
    <n v="2"/>
    <x v="1"/>
  </r>
  <r>
    <x v="16"/>
    <x v="0"/>
    <n v="0.9"/>
    <n v="0.3"/>
    <n v="293"/>
    <n v="232"/>
    <n v="245"/>
    <n v="6.8"/>
    <n v="3.1"/>
    <n v="0.8"/>
    <n v="1"/>
    <x v="0"/>
  </r>
  <r>
    <x v="16"/>
    <x v="0"/>
    <n v="0.9"/>
    <n v="0.3"/>
    <n v="293"/>
    <n v="232"/>
    <n v="245"/>
    <n v="6.8"/>
    <n v="3.1"/>
    <n v="0.8"/>
    <n v="1"/>
    <x v="0"/>
  </r>
  <r>
    <x v="17"/>
    <x v="1"/>
    <n v="2.2000000000000002"/>
    <n v="1"/>
    <n v="610"/>
    <n v="17"/>
    <n v="28"/>
    <n v="7.3"/>
    <n v="2.6"/>
    <n v="0.55000000000000004"/>
    <n v="1"/>
    <x v="0"/>
  </r>
  <r>
    <x v="17"/>
    <x v="1"/>
    <n v="2.9"/>
    <n v="1.3"/>
    <n v="482"/>
    <n v="22"/>
    <n v="34"/>
    <n v="7"/>
    <n v="2.4"/>
    <n v="0.5"/>
    <n v="1"/>
    <x v="0"/>
  </r>
  <r>
    <x v="1"/>
    <x v="1"/>
    <n v="6.8"/>
    <n v="3"/>
    <n v="542"/>
    <n v="116"/>
    <n v="66"/>
    <n v="6.4"/>
    <n v="3.1"/>
    <n v="0.9"/>
    <n v="1"/>
    <x v="0"/>
  </r>
  <r>
    <x v="16"/>
    <x v="1"/>
    <n v="1.9"/>
    <n v="1"/>
    <n v="231"/>
    <n v="16"/>
    <n v="55"/>
    <n v="4.3"/>
    <n v="1.6"/>
    <n v="0.6"/>
    <n v="1"/>
    <x v="0"/>
  </r>
  <r>
    <x v="18"/>
    <x v="1"/>
    <n v="0.9"/>
    <n v="0.2"/>
    <n v="194"/>
    <n v="52"/>
    <n v="45"/>
    <n v="6"/>
    <n v="3.9"/>
    <n v="1.85"/>
    <n v="2"/>
    <x v="1"/>
  </r>
  <r>
    <x v="19"/>
    <x v="1"/>
    <n v="4.0999999999999996"/>
    <n v="2"/>
    <n v="289"/>
    <n v="875"/>
    <n v="731"/>
    <n v="5"/>
    <n v="2.7"/>
    <n v="1.1000000000000001"/>
    <n v="1"/>
    <x v="0"/>
  </r>
  <r>
    <x v="19"/>
    <x v="1"/>
    <n v="4.0999999999999996"/>
    <n v="2"/>
    <n v="289"/>
    <n v="875"/>
    <n v="731"/>
    <n v="5"/>
    <n v="2.7"/>
    <n v="1.1000000000000001"/>
    <n v="1"/>
    <x v="0"/>
  </r>
  <r>
    <x v="19"/>
    <x v="1"/>
    <n v="6.2"/>
    <n v="3"/>
    <n v="240"/>
    <n v="1680"/>
    <n v="850"/>
    <n v="7.2"/>
    <n v="4"/>
    <n v="1.2"/>
    <n v="1"/>
    <x v="0"/>
  </r>
  <r>
    <x v="20"/>
    <x v="1"/>
    <n v="1.1000000000000001"/>
    <n v="0.5"/>
    <n v="128"/>
    <n v="20"/>
    <n v="30"/>
    <n v="3.9"/>
    <n v="1.9"/>
    <n v="0.95"/>
    <n v="2"/>
    <x v="1"/>
  </r>
  <r>
    <x v="21"/>
    <x v="0"/>
    <n v="0.7"/>
    <n v="0.2"/>
    <n v="188"/>
    <n v="13"/>
    <n v="21"/>
    <n v="6"/>
    <n v="3.2"/>
    <n v="1.1000000000000001"/>
    <n v="2"/>
    <x v="1"/>
  </r>
  <r>
    <x v="9"/>
    <x v="1"/>
    <n v="4"/>
    <n v="1.9"/>
    <n v="190"/>
    <n v="45"/>
    <n v="111"/>
    <n v="5.2"/>
    <n v="1.5"/>
    <n v="0.4"/>
    <n v="1"/>
    <x v="0"/>
  </r>
  <r>
    <x v="22"/>
    <x v="1"/>
    <n v="0.9"/>
    <n v="0.2"/>
    <n v="156"/>
    <n v="35"/>
    <n v="44"/>
    <n v="4.9000000000000004"/>
    <n v="2.9"/>
    <n v="1.4"/>
    <n v="1"/>
    <x v="0"/>
  </r>
  <r>
    <x v="9"/>
    <x v="1"/>
    <n v="1"/>
    <n v="0.3"/>
    <n v="187"/>
    <n v="19"/>
    <n v="23"/>
    <n v="5.2"/>
    <n v="2.9"/>
    <n v="1.2"/>
    <n v="2"/>
    <x v="1"/>
  </r>
  <r>
    <x v="14"/>
    <x v="0"/>
    <n v="2.6"/>
    <n v="1.2"/>
    <n v="410"/>
    <n v="59"/>
    <n v="57"/>
    <n v="5.6"/>
    <n v="3"/>
    <n v="0.8"/>
    <n v="2"/>
    <x v="1"/>
  </r>
  <r>
    <x v="14"/>
    <x v="0"/>
    <n v="2.6"/>
    <n v="1.2"/>
    <n v="410"/>
    <n v="59"/>
    <n v="57"/>
    <n v="5.6"/>
    <n v="3"/>
    <n v="0.8"/>
    <n v="2"/>
    <x v="1"/>
  </r>
  <r>
    <x v="23"/>
    <x v="1"/>
    <n v="1.3"/>
    <n v="0.4"/>
    <n v="482"/>
    <n v="102"/>
    <n v="80"/>
    <n v="6.9"/>
    <n v="3.3"/>
    <n v="0.9"/>
    <n v="1"/>
    <x v="0"/>
  </r>
  <r>
    <x v="7"/>
    <x v="0"/>
    <n v="0.7"/>
    <n v="0.2"/>
    <n v="145"/>
    <n v="18"/>
    <n v="36"/>
    <n v="7.2"/>
    <n v="3.9"/>
    <n v="1.18"/>
    <n v="2"/>
    <x v="1"/>
  </r>
  <r>
    <x v="4"/>
    <x v="0"/>
    <n v="14.2"/>
    <n v="7.8"/>
    <n v="374"/>
    <n v="38"/>
    <n v="77"/>
    <n v="4.3"/>
    <n v="2"/>
    <n v="0.8"/>
    <n v="1"/>
    <x v="0"/>
  </r>
  <r>
    <x v="24"/>
    <x v="1"/>
    <n v="1.4"/>
    <n v="0.6"/>
    <n v="263"/>
    <n v="38"/>
    <n v="66"/>
    <n v="5.8"/>
    <n v="2.2000000000000002"/>
    <n v="0.61"/>
    <n v="1"/>
    <x v="0"/>
  </r>
  <r>
    <x v="25"/>
    <x v="1"/>
    <n v="2.7"/>
    <n v="1.3"/>
    <n v="275"/>
    <n v="123"/>
    <n v="73"/>
    <n v="6.2"/>
    <n v="3.3"/>
    <n v="1.1000000000000001"/>
    <n v="1"/>
    <x v="0"/>
  </r>
  <r>
    <x v="26"/>
    <x v="1"/>
    <n v="2.4"/>
    <n v="1.1000000000000001"/>
    <n v="168"/>
    <n v="33"/>
    <n v="50"/>
    <n v="5.0999999999999996"/>
    <n v="2.6"/>
    <n v="1"/>
    <n v="1"/>
    <x v="0"/>
  </r>
  <r>
    <x v="1"/>
    <x v="1"/>
    <n v="0.6"/>
    <n v="0.1"/>
    <n v="160"/>
    <n v="42"/>
    <n v="110"/>
    <n v="4.9000000000000004"/>
    <n v="2.6"/>
    <n v="1.1000000000000001"/>
    <n v="2"/>
    <x v="1"/>
  </r>
  <r>
    <x v="27"/>
    <x v="1"/>
    <n v="6.8"/>
    <n v="3.2"/>
    <n v="630"/>
    <n v="25"/>
    <n v="47"/>
    <n v="6.1"/>
    <n v="2.2999999999999998"/>
    <n v="0.6"/>
    <n v="2"/>
    <x v="1"/>
  </r>
  <r>
    <x v="28"/>
    <x v="1"/>
    <n v="2.6"/>
    <n v="1.2"/>
    <n v="415"/>
    <n v="407"/>
    <n v="576"/>
    <n v="6.4"/>
    <n v="3.2"/>
    <n v="1"/>
    <n v="1"/>
    <x v="0"/>
  </r>
  <r>
    <x v="29"/>
    <x v="0"/>
    <n v="1"/>
    <n v="0.3"/>
    <n v="208"/>
    <n v="17"/>
    <n v="15"/>
    <n v="7"/>
    <n v="3.6"/>
    <n v="1"/>
    <n v="2"/>
    <x v="1"/>
  </r>
  <r>
    <x v="30"/>
    <x v="1"/>
    <n v="1.8"/>
    <n v="0.6"/>
    <n v="275"/>
    <n v="48"/>
    <n v="178"/>
    <n v="6.5"/>
    <n v="3.2"/>
    <n v="0.9"/>
    <n v="2"/>
    <x v="1"/>
  </r>
  <r>
    <x v="31"/>
    <x v="1"/>
    <n v="3.9"/>
    <n v="1.8"/>
    <n v="150"/>
    <n v="36"/>
    <n v="27"/>
    <n v="6.8"/>
    <n v="3.9"/>
    <n v="1.34"/>
    <n v="1"/>
    <x v="0"/>
  </r>
  <r>
    <x v="16"/>
    <x v="1"/>
    <n v="1.1000000000000001"/>
    <n v="0.3"/>
    <n v="230"/>
    <n v="1630"/>
    <n v="960"/>
    <n v="4.9000000000000004"/>
    <n v="2.8"/>
    <n v="1.3"/>
    <n v="1"/>
    <x v="0"/>
  </r>
  <r>
    <x v="32"/>
    <x v="0"/>
    <n v="0.6"/>
    <n v="0.1"/>
    <n v="176"/>
    <n v="39"/>
    <n v="28"/>
    <n v="6"/>
    <n v="3"/>
    <n v="1"/>
    <n v="1"/>
    <x v="0"/>
  </r>
  <r>
    <x v="8"/>
    <x v="1"/>
    <n v="18.399999999999999"/>
    <n v="8.8000000000000007"/>
    <n v="206"/>
    <n v="64"/>
    <n v="178"/>
    <n v="6.2"/>
    <n v="1.8"/>
    <n v="0.4"/>
    <n v="1"/>
    <x v="0"/>
  </r>
  <r>
    <x v="26"/>
    <x v="0"/>
    <n v="0.7"/>
    <n v="0.2"/>
    <n v="170"/>
    <n v="21"/>
    <n v="14"/>
    <n v="5.7"/>
    <n v="2.5"/>
    <n v="0.7"/>
    <n v="1"/>
    <x v="0"/>
  </r>
  <r>
    <x v="19"/>
    <x v="0"/>
    <n v="0.6"/>
    <n v="0.1"/>
    <n v="161"/>
    <n v="15"/>
    <n v="19"/>
    <n v="6.6"/>
    <n v="3.4"/>
    <n v="1"/>
    <n v="1"/>
    <x v="0"/>
  </r>
  <r>
    <x v="14"/>
    <x v="1"/>
    <n v="3.1"/>
    <n v="1.6"/>
    <n v="253"/>
    <n v="80"/>
    <n v="406"/>
    <n v="6.8"/>
    <n v="3.9"/>
    <n v="1.3"/>
    <n v="1"/>
    <x v="0"/>
  </r>
  <r>
    <x v="14"/>
    <x v="1"/>
    <n v="1.1000000000000001"/>
    <n v="0.3"/>
    <n v="198"/>
    <n v="86"/>
    <n v="150"/>
    <n v="6.3"/>
    <n v="3.5"/>
    <n v="1.2"/>
    <n v="1"/>
    <x v="0"/>
  </r>
  <r>
    <x v="27"/>
    <x v="1"/>
    <n v="8.9"/>
    <n v="4.5"/>
    <n v="272"/>
    <n v="31"/>
    <n v="61"/>
    <n v="5.8"/>
    <n v="2"/>
    <n v="0.5"/>
    <n v="1"/>
    <x v="0"/>
  </r>
  <r>
    <x v="27"/>
    <x v="1"/>
    <n v="8.9"/>
    <n v="4.5"/>
    <n v="272"/>
    <n v="31"/>
    <n v="61"/>
    <n v="5.8"/>
    <n v="2"/>
    <n v="0.5"/>
    <n v="1"/>
    <x v="0"/>
  </r>
  <r>
    <x v="15"/>
    <x v="1"/>
    <n v="0.8"/>
    <n v="0.2"/>
    <n v="198"/>
    <n v="26"/>
    <n v="23"/>
    <n v="8"/>
    <n v="4"/>
    <n v="1"/>
    <n v="2"/>
    <x v="1"/>
  </r>
  <r>
    <x v="24"/>
    <x v="0"/>
    <n v="0.9"/>
    <n v="0.2"/>
    <n v="175"/>
    <n v="24"/>
    <n v="54"/>
    <n v="5.5"/>
    <n v="2.7"/>
    <n v="0.9"/>
    <n v="2"/>
    <x v="1"/>
  </r>
  <r>
    <x v="17"/>
    <x v="1"/>
    <n v="0.8"/>
    <n v="0.2"/>
    <n v="367"/>
    <n v="42"/>
    <n v="18"/>
    <n v="5.2"/>
    <n v="2"/>
    <n v="0.6"/>
    <n v="1"/>
    <x v="0"/>
  </r>
  <r>
    <x v="10"/>
    <x v="1"/>
    <n v="1.1000000000000001"/>
    <n v="0.5"/>
    <n v="145"/>
    <n v="20"/>
    <n v="24"/>
    <n v="5.5"/>
    <n v="3.2"/>
    <n v="1.39"/>
    <n v="2"/>
    <x v="1"/>
  </r>
  <r>
    <x v="33"/>
    <x v="0"/>
    <n v="0.8"/>
    <n v="0.2"/>
    <n v="158"/>
    <n v="21"/>
    <n v="16"/>
    <n v="6"/>
    <n v="3"/>
    <n v="1"/>
    <n v="1"/>
    <x v="0"/>
  </r>
  <r>
    <x v="2"/>
    <x v="1"/>
    <n v="1"/>
    <n v="0.5"/>
    <n v="158"/>
    <n v="37"/>
    <n v="43"/>
    <n v="7.2"/>
    <n v="3.6"/>
    <n v="1"/>
    <n v="1"/>
    <x v="0"/>
  </r>
  <r>
    <x v="2"/>
    <x v="1"/>
    <n v="1"/>
    <n v="0.5"/>
    <n v="158"/>
    <n v="37"/>
    <n v="43"/>
    <n v="7.2"/>
    <n v="3.6"/>
    <n v="1"/>
    <n v="1"/>
    <x v="0"/>
  </r>
  <r>
    <x v="9"/>
    <x v="1"/>
    <n v="0.7"/>
    <n v="0.2"/>
    <n v="208"/>
    <n v="35"/>
    <n v="97"/>
    <n v="5.0999999999999996"/>
    <n v="2.1"/>
    <n v="0.7"/>
    <n v="1"/>
    <x v="0"/>
  </r>
  <r>
    <x v="9"/>
    <x v="1"/>
    <n v="1.3"/>
    <n v="0.4"/>
    <n v="259"/>
    <n v="40"/>
    <n v="86"/>
    <n v="6.5"/>
    <n v="2.5"/>
    <n v="0.6"/>
    <n v="1"/>
    <x v="0"/>
  </r>
  <r>
    <x v="9"/>
    <x v="1"/>
    <n v="1.4"/>
    <n v="0.7"/>
    <n v="470"/>
    <n v="62"/>
    <n v="88"/>
    <n v="5.6"/>
    <n v="2.5"/>
    <n v="0.8"/>
    <n v="1"/>
    <x v="0"/>
  </r>
  <r>
    <x v="34"/>
    <x v="1"/>
    <n v="2.2000000000000002"/>
    <n v="1.2"/>
    <n v="195"/>
    <n v="55"/>
    <n v="95"/>
    <n v="6"/>
    <n v="3.7"/>
    <n v="1.6"/>
    <n v="1"/>
    <x v="0"/>
  </r>
  <r>
    <x v="35"/>
    <x v="1"/>
    <n v="1.8"/>
    <n v="0.8"/>
    <n v="215"/>
    <n v="53"/>
    <n v="58"/>
    <n v="6.4"/>
    <n v="3.8"/>
    <n v="1.4"/>
    <n v="1"/>
    <x v="0"/>
  </r>
  <r>
    <x v="36"/>
    <x v="1"/>
    <n v="0.7"/>
    <n v="0.2"/>
    <n v="239"/>
    <n v="27"/>
    <n v="26"/>
    <n v="6.3"/>
    <n v="3.7"/>
    <n v="1.4"/>
    <n v="1"/>
    <x v="0"/>
  </r>
  <r>
    <x v="37"/>
    <x v="1"/>
    <n v="0.8"/>
    <n v="0.2"/>
    <n v="215"/>
    <n v="24"/>
    <n v="17"/>
    <n v="6.3"/>
    <n v="3"/>
    <n v="0.9"/>
    <n v="2"/>
    <x v="1"/>
  </r>
  <r>
    <x v="38"/>
    <x v="0"/>
    <n v="0.7"/>
    <n v="0.2"/>
    <n v="186"/>
    <n v="166"/>
    <n v="397"/>
    <n v="5.5"/>
    <n v="3"/>
    <n v="1.2"/>
    <n v="1"/>
    <x v="0"/>
  </r>
  <r>
    <x v="39"/>
    <x v="0"/>
    <n v="0.8"/>
    <n v="0.2"/>
    <n v="188"/>
    <n v="20"/>
    <n v="29"/>
    <n v="4.4000000000000004"/>
    <n v="1.8"/>
    <n v="0.6"/>
    <n v="1"/>
    <x v="0"/>
  </r>
  <r>
    <x v="39"/>
    <x v="0"/>
    <n v="0.8"/>
    <n v="0.2"/>
    <n v="205"/>
    <n v="27"/>
    <n v="24"/>
    <n v="4.4000000000000004"/>
    <n v="2"/>
    <n v="0.8"/>
    <n v="1"/>
    <x v="0"/>
  </r>
  <r>
    <x v="22"/>
    <x v="1"/>
    <n v="0.6"/>
    <n v="0.1"/>
    <n v="171"/>
    <n v="22"/>
    <n v="16"/>
    <n v="6.6"/>
    <n v="3.6"/>
    <n v="1.2"/>
    <n v="1"/>
    <x v="0"/>
  </r>
  <r>
    <x v="40"/>
    <x v="1"/>
    <n v="0.7"/>
    <n v="0.1"/>
    <n v="145"/>
    <n v="20"/>
    <n v="22"/>
    <n v="5.8"/>
    <n v="2.9"/>
    <n v="1"/>
    <n v="1"/>
    <x v="0"/>
  </r>
  <r>
    <x v="6"/>
    <x v="0"/>
    <n v="0.7"/>
    <n v="0.1"/>
    <n v="162"/>
    <n v="52"/>
    <n v="41"/>
    <n v="5.2"/>
    <n v="2.5"/>
    <n v="0.9"/>
    <n v="2"/>
    <x v="1"/>
  </r>
  <r>
    <x v="33"/>
    <x v="1"/>
    <n v="0.9"/>
    <n v="0.2"/>
    <n v="518"/>
    <n v="189"/>
    <n v="17"/>
    <n v="5.3"/>
    <n v="2.2999999999999998"/>
    <n v="0.7"/>
    <n v="1"/>
    <x v="0"/>
  </r>
  <r>
    <x v="40"/>
    <x v="0"/>
    <n v="0.6"/>
    <n v="0.1"/>
    <n v="1620"/>
    <n v="95"/>
    <n v="127"/>
    <n v="4.5999999999999996"/>
    <n v="2.1"/>
    <n v="0.8"/>
    <n v="1"/>
    <x v="0"/>
  </r>
  <r>
    <x v="41"/>
    <x v="1"/>
    <n v="1.4"/>
    <n v="0.6"/>
    <n v="146"/>
    <n v="12"/>
    <n v="24"/>
    <n v="6.2"/>
    <n v="3.8"/>
    <n v="1.58"/>
    <n v="2"/>
    <x v="1"/>
  </r>
  <r>
    <x v="2"/>
    <x v="0"/>
    <n v="2.8"/>
    <n v="1.3"/>
    <n v="670"/>
    <n v="48"/>
    <n v="79"/>
    <n v="4.7"/>
    <n v="1.6"/>
    <n v="0.5"/>
    <n v="1"/>
    <x v="0"/>
  </r>
  <r>
    <x v="2"/>
    <x v="0"/>
    <n v="2.4"/>
    <n v="1.1000000000000001"/>
    <n v="915"/>
    <n v="60"/>
    <n v="142"/>
    <n v="4.7"/>
    <n v="1.8"/>
    <n v="0.6"/>
    <n v="1"/>
    <x v="0"/>
  </r>
  <r>
    <x v="6"/>
    <x v="1"/>
    <n v="1"/>
    <n v="0.3"/>
    <n v="75"/>
    <n v="25"/>
    <n v="26"/>
    <n v="5.0999999999999996"/>
    <n v="2.9"/>
    <n v="1.3"/>
    <n v="1"/>
    <x v="0"/>
  </r>
  <r>
    <x v="42"/>
    <x v="1"/>
    <n v="0.7"/>
    <n v="0.1"/>
    <n v="148"/>
    <n v="14"/>
    <n v="12"/>
    <n v="5.4"/>
    <n v="2.8"/>
    <n v="1"/>
    <n v="2"/>
    <x v="1"/>
  </r>
  <r>
    <x v="15"/>
    <x v="1"/>
    <n v="2"/>
    <n v="1"/>
    <n v="258"/>
    <n v="194"/>
    <n v="152"/>
    <n v="5.4"/>
    <n v="3"/>
    <n v="1.25"/>
    <n v="1"/>
    <x v="0"/>
  </r>
  <r>
    <x v="32"/>
    <x v="1"/>
    <n v="0.6"/>
    <n v="0.1"/>
    <n v="237"/>
    <n v="45"/>
    <n v="31"/>
    <n v="7.5"/>
    <n v="4.3"/>
    <n v="1.34"/>
    <n v="1"/>
    <x v="0"/>
  </r>
  <r>
    <x v="43"/>
    <x v="1"/>
    <n v="1.4"/>
    <n v="0.5"/>
    <n v="269"/>
    <n v="58"/>
    <n v="45"/>
    <n v="6.7"/>
    <n v="3.9"/>
    <n v="1.4"/>
    <n v="1"/>
    <x v="0"/>
  </r>
  <r>
    <x v="44"/>
    <x v="1"/>
    <n v="0.6"/>
    <n v="0.1"/>
    <n v="320"/>
    <n v="28"/>
    <n v="56"/>
    <n v="7.2"/>
    <n v="3.6"/>
    <n v="1"/>
    <n v="2"/>
    <x v="1"/>
  </r>
  <r>
    <x v="2"/>
    <x v="1"/>
    <n v="0.8"/>
    <n v="0.2"/>
    <n v="298"/>
    <n v="33"/>
    <n v="59"/>
    <n v="6.2"/>
    <n v="3.1"/>
    <n v="1"/>
    <n v="1"/>
    <x v="0"/>
  </r>
  <r>
    <x v="45"/>
    <x v="1"/>
    <n v="0.6"/>
    <n v="0.2"/>
    <n v="538"/>
    <n v="33"/>
    <n v="34"/>
    <n v="7.5"/>
    <n v="3.2"/>
    <n v="0.7"/>
    <n v="1"/>
    <x v="0"/>
  </r>
  <r>
    <x v="37"/>
    <x v="1"/>
    <n v="4"/>
    <n v="1.9"/>
    <n v="238"/>
    <n v="119"/>
    <n v="350"/>
    <n v="7.1"/>
    <n v="3.3"/>
    <n v="0.8"/>
    <n v="1"/>
    <x v="0"/>
  </r>
  <r>
    <x v="37"/>
    <x v="1"/>
    <n v="5.7"/>
    <n v="2.8"/>
    <n v="214"/>
    <n v="412"/>
    <n v="850"/>
    <n v="7.3"/>
    <n v="3.2"/>
    <n v="0.78"/>
    <n v="1"/>
    <x v="0"/>
  </r>
  <r>
    <x v="37"/>
    <x v="1"/>
    <n v="6.8"/>
    <n v="3.2"/>
    <n v="308"/>
    <n v="404"/>
    <n v="794"/>
    <n v="6.8"/>
    <n v="3"/>
    <n v="0.7"/>
    <n v="1"/>
    <x v="0"/>
  </r>
  <r>
    <x v="37"/>
    <x v="1"/>
    <n v="8.6"/>
    <n v="4"/>
    <n v="298"/>
    <n v="412"/>
    <n v="850"/>
    <n v="7.4"/>
    <n v="3"/>
    <n v="0.6"/>
    <n v="1"/>
    <x v="0"/>
  </r>
  <r>
    <x v="37"/>
    <x v="1"/>
    <n v="5.8"/>
    <n v="2.7"/>
    <n v="204"/>
    <n v="220"/>
    <n v="400"/>
    <n v="7"/>
    <n v="3"/>
    <n v="0.7"/>
    <n v="1"/>
    <x v="0"/>
  </r>
  <r>
    <x v="37"/>
    <x v="1"/>
    <n v="5.2"/>
    <n v="2.4"/>
    <n v="168"/>
    <n v="126"/>
    <n v="202"/>
    <n v="6.8"/>
    <n v="2.9"/>
    <n v="0.7"/>
    <n v="1"/>
    <x v="0"/>
  </r>
  <r>
    <x v="39"/>
    <x v="1"/>
    <n v="0.9"/>
    <n v="0.2"/>
    <n v="282"/>
    <n v="25"/>
    <n v="23"/>
    <n v="4.4000000000000004"/>
    <n v="2.2000000000000002"/>
    <n v="1"/>
    <n v="1"/>
    <x v="0"/>
  </r>
  <r>
    <x v="46"/>
    <x v="1"/>
    <n v="3.8"/>
    <n v="1.5"/>
    <n v="298"/>
    <n v="102"/>
    <n v="630"/>
    <n v="7.1"/>
    <n v="3.3"/>
    <n v="0.8"/>
    <n v="1"/>
    <x v="0"/>
  </r>
  <r>
    <x v="46"/>
    <x v="1"/>
    <n v="6.6"/>
    <n v="3"/>
    <n v="215"/>
    <n v="190"/>
    <n v="950"/>
    <n v="4"/>
    <n v="1.7"/>
    <n v="0.7"/>
    <n v="1"/>
    <x v="0"/>
  </r>
  <r>
    <x v="45"/>
    <x v="1"/>
    <n v="0.6"/>
    <n v="0.1"/>
    <n v="265"/>
    <n v="97"/>
    <n v="161"/>
    <n v="5.9"/>
    <n v="3.1"/>
    <n v="1.1000000000000001"/>
    <n v="1"/>
    <x v="0"/>
  </r>
  <r>
    <x v="45"/>
    <x v="1"/>
    <n v="0.7"/>
    <n v="0.1"/>
    <n v="312"/>
    <n v="308"/>
    <n v="405"/>
    <n v="6.9"/>
    <n v="3.7"/>
    <n v="1.1000000000000001"/>
    <n v="1"/>
    <x v="0"/>
  </r>
  <r>
    <x v="47"/>
    <x v="1"/>
    <n v="0.6"/>
    <n v="0.2"/>
    <n v="161"/>
    <n v="27"/>
    <n v="28"/>
    <n v="3.7"/>
    <n v="1.6"/>
    <n v="0.76"/>
    <n v="2"/>
    <x v="1"/>
  </r>
  <r>
    <x v="47"/>
    <x v="1"/>
    <n v="0.7"/>
    <n v="0.2"/>
    <n v="243"/>
    <n v="21"/>
    <n v="23"/>
    <n v="5.3"/>
    <n v="2.2999999999999998"/>
    <n v="0.7"/>
    <n v="2"/>
    <x v="1"/>
  </r>
  <r>
    <x v="7"/>
    <x v="1"/>
    <n v="0.9"/>
    <n v="0.2"/>
    <n v="224"/>
    <n v="36"/>
    <n v="45"/>
    <n v="6.9"/>
    <n v="4.2"/>
    <n v="1.55"/>
    <n v="1"/>
    <x v="0"/>
  </r>
  <r>
    <x v="8"/>
    <x v="0"/>
    <n v="0.8"/>
    <n v="0.2"/>
    <n v="225"/>
    <n v="14"/>
    <n v="23"/>
    <n v="6.1"/>
    <n v="3.3"/>
    <n v="1.2"/>
    <n v="2"/>
    <x v="1"/>
  </r>
  <r>
    <x v="18"/>
    <x v="1"/>
    <n v="0.5"/>
    <n v="0.1"/>
    <n v="170"/>
    <n v="21"/>
    <n v="28"/>
    <n v="5.5"/>
    <n v="2.5"/>
    <n v="0.8"/>
    <n v="1"/>
    <x v="0"/>
  </r>
  <r>
    <x v="48"/>
    <x v="1"/>
    <n v="5.3"/>
    <n v="2.2999999999999998"/>
    <n v="145"/>
    <n v="32"/>
    <n v="92"/>
    <n v="5.0999999999999996"/>
    <n v="2.6"/>
    <n v="1"/>
    <n v="2"/>
    <x v="1"/>
  </r>
  <r>
    <x v="48"/>
    <x v="1"/>
    <n v="5.3"/>
    <n v="2.2999999999999998"/>
    <n v="145"/>
    <n v="32"/>
    <n v="92"/>
    <n v="5.0999999999999996"/>
    <n v="2.6"/>
    <n v="1"/>
    <n v="2"/>
    <x v="1"/>
  </r>
  <r>
    <x v="48"/>
    <x v="1"/>
    <n v="0.8"/>
    <n v="0.2"/>
    <n v="158"/>
    <n v="29"/>
    <n v="39"/>
    <n v="6"/>
    <n v="2.2000000000000002"/>
    <n v="0.5"/>
    <n v="2"/>
    <x v="1"/>
  </r>
  <r>
    <x v="48"/>
    <x v="1"/>
    <n v="0.8"/>
    <n v="0.2"/>
    <n v="158"/>
    <n v="29"/>
    <n v="39"/>
    <n v="6"/>
    <n v="2.2000000000000002"/>
    <n v="0.5"/>
    <n v="2"/>
    <x v="1"/>
  </r>
  <r>
    <x v="48"/>
    <x v="1"/>
    <n v="0.9"/>
    <n v="0.1"/>
    <n v="486"/>
    <n v="25"/>
    <n v="34"/>
    <n v="5.9"/>
    <n v="2.8"/>
    <n v="0.9"/>
    <n v="2"/>
    <x v="1"/>
  </r>
  <r>
    <x v="49"/>
    <x v="0"/>
    <n v="0.7"/>
    <n v="0.2"/>
    <n v="188"/>
    <n v="11"/>
    <n v="10"/>
    <n v="5.5"/>
    <n v="2.2999999999999998"/>
    <n v="0.71"/>
    <n v="2"/>
    <x v="1"/>
  </r>
  <r>
    <x v="24"/>
    <x v="1"/>
    <n v="3.2"/>
    <n v="1.6"/>
    <n v="257"/>
    <n v="33"/>
    <n v="116"/>
    <n v="5.7"/>
    <n v="2.2000000000000002"/>
    <n v="0.62"/>
    <n v="1"/>
    <x v="0"/>
  </r>
  <r>
    <x v="47"/>
    <x v="1"/>
    <n v="1.2"/>
    <n v="0.4"/>
    <n v="179"/>
    <n v="63"/>
    <n v="39"/>
    <n v="6.1"/>
    <n v="3.3"/>
    <n v="1.1000000000000001"/>
    <n v="2"/>
    <x v="1"/>
  </r>
  <r>
    <x v="11"/>
    <x v="1"/>
    <n v="0.6"/>
    <n v="0.1"/>
    <n v="272"/>
    <n v="24"/>
    <n v="98"/>
    <n v="5"/>
    <n v="2"/>
    <n v="0.6"/>
    <n v="1"/>
    <x v="0"/>
  </r>
  <r>
    <x v="28"/>
    <x v="1"/>
    <n v="5.8"/>
    <n v="3"/>
    <n v="661"/>
    <n v="181"/>
    <n v="285"/>
    <n v="5.7"/>
    <n v="2.2999999999999998"/>
    <n v="0.67"/>
    <n v="2"/>
    <x v="1"/>
  </r>
  <r>
    <x v="28"/>
    <x v="1"/>
    <n v="7.3"/>
    <n v="3.6"/>
    <n v="1580"/>
    <n v="88"/>
    <n v="64"/>
    <n v="5.6"/>
    <n v="2.2999999999999998"/>
    <n v="0.6"/>
    <n v="2"/>
    <x v="1"/>
  </r>
  <r>
    <x v="24"/>
    <x v="1"/>
    <n v="0.7"/>
    <n v="0.1"/>
    <n v="1630"/>
    <n v="74"/>
    <n v="149"/>
    <n v="5.3"/>
    <n v="2"/>
    <n v="0.6"/>
    <n v="1"/>
    <x v="0"/>
  </r>
  <r>
    <x v="32"/>
    <x v="1"/>
    <n v="12.7"/>
    <n v="6.2"/>
    <n v="194"/>
    <n v="2000"/>
    <n v="2946"/>
    <n v="5.7"/>
    <n v="3.3"/>
    <n v="1.3"/>
    <n v="1"/>
    <x v="0"/>
  </r>
  <r>
    <x v="32"/>
    <x v="1"/>
    <n v="15.9"/>
    <n v="7"/>
    <n v="280"/>
    <n v="1350"/>
    <n v="1600"/>
    <n v="5.6"/>
    <n v="2.8"/>
    <n v="1"/>
    <n v="1"/>
    <x v="0"/>
  </r>
  <r>
    <x v="32"/>
    <x v="1"/>
    <n v="18"/>
    <n v="8.1999999999999993"/>
    <n v="298"/>
    <n v="1250"/>
    <n v="1050"/>
    <n v="5.4"/>
    <n v="2.6"/>
    <n v="0.9"/>
    <n v="1"/>
    <x v="0"/>
  </r>
  <r>
    <x v="32"/>
    <x v="1"/>
    <n v="23"/>
    <n v="11.3"/>
    <n v="300"/>
    <n v="482"/>
    <n v="275"/>
    <n v="7.1"/>
    <n v="3.5"/>
    <n v="0.9"/>
    <n v="1"/>
    <x v="0"/>
  </r>
  <r>
    <x v="32"/>
    <x v="1"/>
    <n v="22.7"/>
    <n v="10.199999999999999"/>
    <n v="290"/>
    <n v="322"/>
    <n v="113"/>
    <n v="6.6"/>
    <n v="2.8"/>
    <n v="0.7"/>
    <n v="1"/>
    <x v="0"/>
  </r>
  <r>
    <x v="2"/>
    <x v="1"/>
    <n v="1.7"/>
    <n v="0.8"/>
    <n v="188"/>
    <n v="60"/>
    <n v="84"/>
    <n v="5.9"/>
    <n v="3.5"/>
    <n v="1.4"/>
    <n v="2"/>
    <x v="1"/>
  </r>
  <r>
    <x v="10"/>
    <x v="0"/>
    <n v="0.8"/>
    <n v="0.2"/>
    <n v="178"/>
    <n v="17"/>
    <n v="18"/>
    <n v="6.3"/>
    <n v="3.1"/>
    <n v="0.9"/>
    <n v="1"/>
    <x v="0"/>
  </r>
  <r>
    <x v="50"/>
    <x v="1"/>
    <n v="0.6"/>
    <n v="0.1"/>
    <n v="177"/>
    <n v="36"/>
    <n v="29"/>
    <n v="6.9"/>
    <n v="4.0999999999999996"/>
    <n v="1.4"/>
    <n v="2"/>
    <x v="1"/>
  </r>
  <r>
    <x v="37"/>
    <x v="1"/>
    <n v="1.8"/>
    <n v="0.5"/>
    <n v="201"/>
    <n v="45"/>
    <n v="25"/>
    <n v="3.9"/>
    <n v="1.7"/>
    <n v="0.7"/>
    <n v="2"/>
    <x v="1"/>
  </r>
  <r>
    <x v="24"/>
    <x v="1"/>
    <n v="5.8"/>
    <n v="2.5"/>
    <n v="802"/>
    <n v="133"/>
    <n v="88"/>
    <n v="6"/>
    <n v="2.8"/>
    <n v="0.8"/>
    <n v="1"/>
    <x v="0"/>
  </r>
  <r>
    <x v="10"/>
    <x v="1"/>
    <n v="3"/>
    <n v="1.4"/>
    <n v="248"/>
    <n v="46"/>
    <n v="40"/>
    <n v="6.5"/>
    <n v="3.2"/>
    <n v="0.9"/>
    <n v="1"/>
    <x v="0"/>
  </r>
  <r>
    <x v="2"/>
    <x v="0"/>
    <n v="1.7"/>
    <n v="0.8"/>
    <n v="1896"/>
    <n v="61"/>
    <n v="83"/>
    <n v="8"/>
    <n v="3.9"/>
    <n v="0.95"/>
    <n v="1"/>
    <x v="0"/>
  </r>
  <r>
    <x v="26"/>
    <x v="1"/>
    <n v="2.8"/>
    <n v="1.7"/>
    <n v="263"/>
    <n v="57"/>
    <n v="65"/>
    <n v="5.0999999999999996"/>
    <n v="2.2999999999999998"/>
    <n v="0.8"/>
    <n v="1"/>
    <x v="0"/>
  </r>
  <r>
    <x v="26"/>
    <x v="1"/>
    <n v="3.2"/>
    <n v="1.4"/>
    <n v="512"/>
    <n v="50"/>
    <n v="58"/>
    <n v="6"/>
    <n v="2.7"/>
    <n v="0.8"/>
    <n v="1"/>
    <x v="0"/>
  </r>
  <r>
    <x v="41"/>
    <x v="0"/>
    <n v="0.7"/>
    <n v="0.2"/>
    <n v="237"/>
    <n v="18"/>
    <n v="28"/>
    <n v="5.8"/>
    <n v="2.5"/>
    <n v="0.75"/>
    <n v="2"/>
    <x v="1"/>
  </r>
  <r>
    <x v="45"/>
    <x v="0"/>
    <n v="0.8"/>
    <n v="0.2"/>
    <n v="199"/>
    <n v="34"/>
    <n v="31"/>
    <n v="6.5"/>
    <n v="3.5"/>
    <n v="1.1599999999999999"/>
    <n v="2"/>
    <x v="1"/>
  </r>
  <r>
    <x v="51"/>
    <x v="1"/>
    <n v="0.9"/>
    <n v="0.4"/>
    <n v="238"/>
    <n v="17"/>
    <n v="14"/>
    <n v="6.6"/>
    <n v="2.9"/>
    <n v="0.8"/>
    <n v="1"/>
    <x v="0"/>
  </r>
  <r>
    <x v="45"/>
    <x v="1"/>
    <n v="1.8"/>
    <n v="0.7"/>
    <n v="178"/>
    <n v="35"/>
    <n v="36"/>
    <n v="6.8"/>
    <n v="3.6"/>
    <n v="1.1000000000000001"/>
    <n v="1"/>
    <x v="0"/>
  </r>
  <r>
    <x v="36"/>
    <x v="1"/>
    <n v="11.3"/>
    <n v="5.6"/>
    <n v="1110"/>
    <n v="1250"/>
    <n v="4929"/>
    <n v="7"/>
    <n v="2.4"/>
    <n v="0.5"/>
    <n v="1"/>
    <x v="0"/>
  </r>
  <r>
    <x v="4"/>
    <x v="0"/>
    <n v="4.7"/>
    <n v="2.2000000000000002"/>
    <n v="310"/>
    <n v="62"/>
    <n v="90"/>
    <n v="6.4"/>
    <n v="2.5"/>
    <n v="0.6"/>
    <n v="1"/>
    <x v="0"/>
  </r>
  <r>
    <x v="45"/>
    <x v="1"/>
    <n v="0.8"/>
    <n v="0.2"/>
    <n v="282"/>
    <n v="72"/>
    <n v="140"/>
    <n v="5.5"/>
    <n v="2.5"/>
    <n v="0.8"/>
    <n v="1"/>
    <x v="0"/>
  </r>
  <r>
    <x v="45"/>
    <x v="1"/>
    <n v="0.8"/>
    <n v="0.2"/>
    <n v="282"/>
    <n v="72"/>
    <n v="140"/>
    <n v="5.5"/>
    <n v="2.5"/>
    <n v="0.8"/>
    <n v="1"/>
    <x v="0"/>
  </r>
  <r>
    <x v="52"/>
    <x v="1"/>
    <n v="0.8"/>
    <n v="0.2"/>
    <n v="380"/>
    <n v="25"/>
    <n v="66"/>
    <n v="6.1"/>
    <n v="3.7"/>
    <n v="1.5"/>
    <n v="1"/>
    <x v="0"/>
  </r>
  <r>
    <x v="37"/>
    <x v="1"/>
    <n v="0.6"/>
    <n v="0.1"/>
    <n v="186"/>
    <n v="20"/>
    <n v="21"/>
    <n v="6.2"/>
    <n v="3.3"/>
    <n v="1.1000000000000001"/>
    <n v="2"/>
    <x v="1"/>
  </r>
  <r>
    <x v="36"/>
    <x v="0"/>
    <n v="4.2"/>
    <n v="2.1"/>
    <n v="159"/>
    <n v="15"/>
    <n v="30"/>
    <n v="7.1"/>
    <n v="2.2000000000000002"/>
    <n v="0.4"/>
    <n v="1"/>
    <x v="0"/>
  </r>
  <r>
    <x v="23"/>
    <x v="1"/>
    <n v="1.6"/>
    <n v="0.4"/>
    <n v="332"/>
    <n v="84"/>
    <n v="139"/>
    <n v="5.6"/>
    <n v="2.7"/>
    <n v="0.9"/>
    <n v="1"/>
    <x v="0"/>
  </r>
  <r>
    <x v="23"/>
    <x v="1"/>
    <n v="1.6"/>
    <n v="0.4"/>
    <n v="332"/>
    <n v="84"/>
    <n v="139"/>
    <n v="5.6"/>
    <n v="2.7"/>
    <n v="0.9"/>
    <n v="1"/>
    <x v="0"/>
  </r>
  <r>
    <x v="26"/>
    <x v="0"/>
    <n v="3.5"/>
    <n v="1.5"/>
    <n v="189"/>
    <n v="63"/>
    <n v="87"/>
    <n v="5.6"/>
    <n v="2.9"/>
    <n v="1"/>
    <n v="1"/>
    <x v="0"/>
  </r>
  <r>
    <x v="0"/>
    <x v="1"/>
    <n v="0.8"/>
    <n v="0.2"/>
    <n v="201"/>
    <n v="18"/>
    <n v="22"/>
    <n v="5.4"/>
    <n v="2.9"/>
    <n v="1.1000000000000001"/>
    <n v="2"/>
    <x v="1"/>
  </r>
  <r>
    <x v="36"/>
    <x v="0"/>
    <n v="2.9"/>
    <n v="1.3"/>
    <n v="168"/>
    <n v="21"/>
    <n v="38"/>
    <n v="5.5"/>
    <n v="1.8"/>
    <n v="0.4"/>
    <n v="1"/>
    <x v="0"/>
  </r>
  <r>
    <x v="0"/>
    <x v="1"/>
    <n v="0.7"/>
    <n v="0.1"/>
    <n v="392"/>
    <n v="20"/>
    <n v="30"/>
    <n v="5.3"/>
    <n v="2.8"/>
    <n v="1.1000000000000001"/>
    <n v="1"/>
    <x v="0"/>
  </r>
  <r>
    <x v="28"/>
    <x v="1"/>
    <n v="0.9"/>
    <n v="0.2"/>
    <n v="202"/>
    <n v="20"/>
    <n v="26"/>
    <n v="7.2"/>
    <n v="4.5"/>
    <n v="1.66"/>
    <n v="1"/>
    <x v="0"/>
  </r>
  <r>
    <x v="37"/>
    <x v="1"/>
    <n v="0.8"/>
    <n v="0.2"/>
    <n v="286"/>
    <n v="21"/>
    <n v="27"/>
    <n v="7.1"/>
    <n v="4"/>
    <n v="1.2"/>
    <n v="1"/>
    <x v="0"/>
  </r>
  <r>
    <x v="53"/>
    <x v="1"/>
    <n v="1.1000000000000001"/>
    <n v="0.5"/>
    <n v="180"/>
    <n v="30"/>
    <n v="42"/>
    <n v="6.9"/>
    <n v="3.8"/>
    <n v="1.2"/>
    <n v="2"/>
    <x v="1"/>
  </r>
  <r>
    <x v="28"/>
    <x v="1"/>
    <n v="1.6"/>
    <n v="0.8"/>
    <n v="218"/>
    <n v="18"/>
    <n v="20"/>
    <n v="5.9"/>
    <n v="2.9"/>
    <n v="0.96"/>
    <n v="1"/>
    <x v="0"/>
  </r>
  <r>
    <x v="4"/>
    <x v="0"/>
    <n v="0.8"/>
    <n v="0.2"/>
    <n v="182"/>
    <n v="20"/>
    <n v="40"/>
    <n v="6"/>
    <n v="2.9"/>
    <n v="0.9"/>
    <n v="1"/>
    <x v="0"/>
  </r>
  <r>
    <x v="22"/>
    <x v="1"/>
    <n v="0.6"/>
    <n v="0.1"/>
    <n v="178"/>
    <n v="26"/>
    <n v="27"/>
    <n v="6.5"/>
    <n v="3.6"/>
    <n v="1.2"/>
    <n v="2"/>
    <x v="1"/>
  </r>
  <r>
    <x v="19"/>
    <x v="1"/>
    <n v="5.9"/>
    <n v="2.5"/>
    <n v="290"/>
    <n v="45"/>
    <n v="233"/>
    <n v="5.6"/>
    <n v="2.7"/>
    <n v="0.9"/>
    <n v="1"/>
    <x v="0"/>
  </r>
  <r>
    <x v="19"/>
    <x v="1"/>
    <n v="8.6999999999999993"/>
    <n v="4"/>
    <n v="298"/>
    <n v="58"/>
    <n v="138"/>
    <n v="5.8"/>
    <n v="2.4"/>
    <n v="0.7"/>
    <n v="1"/>
    <x v="0"/>
  </r>
  <r>
    <x v="32"/>
    <x v="1"/>
    <n v="0.9"/>
    <n v="0.3"/>
    <n v="462"/>
    <n v="70"/>
    <n v="82"/>
    <n v="6.2"/>
    <n v="3.1"/>
    <n v="1"/>
    <n v="1"/>
    <x v="0"/>
  </r>
  <r>
    <x v="3"/>
    <x v="1"/>
    <n v="0.7"/>
    <n v="0.1"/>
    <n v="196"/>
    <n v="20"/>
    <n v="35"/>
    <n v="5.8"/>
    <n v="2"/>
    <n v="0.5"/>
    <n v="1"/>
    <x v="0"/>
  </r>
  <r>
    <x v="3"/>
    <x v="1"/>
    <n v="0.7"/>
    <n v="0.1"/>
    <n v="196"/>
    <n v="20"/>
    <n v="35"/>
    <n v="5.8"/>
    <n v="2"/>
    <n v="0.5"/>
    <n v="1"/>
    <x v="0"/>
  </r>
  <r>
    <x v="28"/>
    <x v="1"/>
    <n v="1.2"/>
    <n v="0.4"/>
    <n v="282"/>
    <n v="36"/>
    <n v="32"/>
    <n v="7.2"/>
    <n v="3.9"/>
    <n v="1.1000000000000001"/>
    <n v="1"/>
    <x v="0"/>
  </r>
  <r>
    <x v="37"/>
    <x v="1"/>
    <n v="11"/>
    <n v="4.9000000000000004"/>
    <n v="750"/>
    <n v="140"/>
    <n v="350"/>
    <n v="5.5"/>
    <n v="2.1"/>
    <n v="0.6"/>
    <n v="1"/>
    <x v="0"/>
  </r>
  <r>
    <x v="37"/>
    <x v="1"/>
    <n v="11.5"/>
    <n v="5"/>
    <n v="1050"/>
    <n v="99"/>
    <n v="187"/>
    <n v="6.2"/>
    <n v="2.8"/>
    <n v="0.8"/>
    <n v="1"/>
    <x v="0"/>
  </r>
  <r>
    <x v="37"/>
    <x v="1"/>
    <n v="5.8"/>
    <n v="2.7"/>
    <n v="599"/>
    <n v="43"/>
    <n v="66"/>
    <n v="5.4"/>
    <n v="1.8"/>
    <n v="0.5"/>
    <n v="1"/>
    <x v="0"/>
  </r>
  <r>
    <x v="46"/>
    <x v="1"/>
    <n v="1.9"/>
    <n v="0.9"/>
    <n v="180"/>
    <n v="42"/>
    <n v="62"/>
    <n v="7.4"/>
    <n v="4.3"/>
    <n v="1.38"/>
    <n v="1"/>
    <x v="0"/>
  </r>
  <r>
    <x v="46"/>
    <x v="1"/>
    <n v="1.9"/>
    <n v="0.9"/>
    <n v="180"/>
    <n v="42"/>
    <n v="62"/>
    <n v="7.4"/>
    <n v="4.3"/>
    <n v="1.38"/>
    <n v="1"/>
    <x v="0"/>
  </r>
  <r>
    <x v="24"/>
    <x v="1"/>
    <n v="4.5"/>
    <n v="2.2999999999999998"/>
    <n v="282"/>
    <n v="13"/>
    <n v="74"/>
    <n v="7"/>
    <n v="2.4"/>
    <n v="0.52"/>
    <n v="1"/>
    <x v="0"/>
  </r>
  <r>
    <x v="8"/>
    <x v="1"/>
    <n v="75"/>
    <n v="3.6"/>
    <n v="332"/>
    <n v="40"/>
    <n v="66"/>
    <n v="6.2"/>
    <n v="2.5"/>
    <n v="0.6"/>
    <n v="1"/>
    <x v="0"/>
  </r>
  <r>
    <x v="25"/>
    <x v="0"/>
    <n v="3"/>
    <n v="1.5"/>
    <n v="292"/>
    <n v="64"/>
    <n v="67"/>
    <n v="5.6"/>
    <n v="1.8"/>
    <n v="0.47"/>
    <n v="1"/>
    <x v="0"/>
  </r>
  <r>
    <x v="37"/>
    <x v="1"/>
    <n v="22.8"/>
    <n v="12.6"/>
    <n v="962"/>
    <n v="53"/>
    <n v="41"/>
    <n v="6.9"/>
    <n v="3.3"/>
    <n v="0.9"/>
    <n v="1"/>
    <x v="0"/>
  </r>
  <r>
    <x v="37"/>
    <x v="1"/>
    <n v="8.9"/>
    <n v="4"/>
    <n v="950"/>
    <n v="33"/>
    <n v="32"/>
    <n v="6.8"/>
    <n v="3.1"/>
    <n v="0.8"/>
    <n v="1"/>
    <x v="0"/>
  </r>
  <r>
    <x v="3"/>
    <x v="1"/>
    <n v="1.7"/>
    <n v="0.8"/>
    <n v="200"/>
    <n v="28"/>
    <n v="37"/>
    <n v="6.2"/>
    <n v="3"/>
    <n v="0.93"/>
    <n v="1"/>
    <x v="0"/>
  </r>
  <r>
    <x v="54"/>
    <x v="0"/>
    <n v="1.9"/>
    <n v="0.6"/>
    <n v="298"/>
    <n v="378"/>
    <n v="602"/>
    <n v="6.6"/>
    <n v="3.3"/>
    <n v="1"/>
    <n v="1"/>
    <x v="0"/>
  </r>
  <r>
    <x v="8"/>
    <x v="1"/>
    <n v="14.1"/>
    <n v="7.6"/>
    <n v="750"/>
    <n v="35"/>
    <n v="63"/>
    <n v="5"/>
    <n v="1.6"/>
    <n v="0.47"/>
    <n v="1"/>
    <x v="0"/>
  </r>
  <r>
    <x v="33"/>
    <x v="1"/>
    <n v="0.6"/>
    <n v="0.1"/>
    <n v="175"/>
    <n v="48"/>
    <n v="34"/>
    <n v="6"/>
    <n v="3.7"/>
    <n v="1.6"/>
    <n v="1"/>
    <x v="0"/>
  </r>
  <r>
    <x v="33"/>
    <x v="1"/>
    <n v="0.6"/>
    <n v="0.1"/>
    <n v="175"/>
    <n v="48"/>
    <n v="34"/>
    <n v="6"/>
    <n v="3.7"/>
    <n v="1.6"/>
    <n v="1"/>
    <x v="0"/>
  </r>
  <r>
    <x v="33"/>
    <x v="1"/>
    <n v="0.8"/>
    <n v="0.2"/>
    <n v="198"/>
    <n v="43"/>
    <n v="31"/>
    <n v="7.3"/>
    <n v="4"/>
    <n v="1.2"/>
    <n v="1"/>
    <x v="0"/>
  </r>
  <r>
    <x v="8"/>
    <x v="1"/>
    <n v="0.8"/>
    <n v="0.2"/>
    <n v="482"/>
    <n v="112"/>
    <n v="99"/>
    <n v="5.7"/>
    <n v="2.6"/>
    <n v="0.8"/>
    <n v="1"/>
    <x v="0"/>
  </r>
  <r>
    <x v="39"/>
    <x v="1"/>
    <n v="14.8"/>
    <n v="9"/>
    <n v="1020"/>
    <n v="71"/>
    <n v="42"/>
    <n v="5.3"/>
    <n v="2.2000000000000002"/>
    <n v="0.7"/>
    <n v="1"/>
    <x v="0"/>
  </r>
  <r>
    <x v="39"/>
    <x v="1"/>
    <n v="10.6"/>
    <n v="5"/>
    <n v="562"/>
    <n v="37"/>
    <n v="29"/>
    <n v="5.0999999999999996"/>
    <n v="1.8"/>
    <n v="0.5"/>
    <n v="1"/>
    <x v="0"/>
  </r>
  <r>
    <x v="39"/>
    <x v="1"/>
    <n v="8"/>
    <n v="4.5999999999999996"/>
    <n v="386"/>
    <n v="30"/>
    <n v="25"/>
    <n v="5.5"/>
    <n v="1.8"/>
    <n v="0.48"/>
    <n v="1"/>
    <x v="0"/>
  </r>
  <r>
    <x v="39"/>
    <x v="1"/>
    <n v="2.8"/>
    <n v="1.3"/>
    <n v="250"/>
    <n v="23"/>
    <n v="29"/>
    <n v="2.7"/>
    <n v="0.9"/>
    <n v="0.5"/>
    <n v="1"/>
    <x v="0"/>
  </r>
  <r>
    <x v="39"/>
    <x v="1"/>
    <n v="2.9"/>
    <n v="1.3"/>
    <n v="218"/>
    <n v="33"/>
    <n v="37"/>
    <n v="3"/>
    <n v="1.5"/>
    <n v="1"/>
    <n v="1"/>
    <x v="0"/>
  </r>
  <r>
    <x v="0"/>
    <x v="1"/>
    <n v="1.9"/>
    <n v="0.8"/>
    <n v="170"/>
    <n v="36"/>
    <n v="43"/>
    <n v="3.8"/>
    <n v="1.4"/>
    <n v="0.57999999999999996"/>
    <n v="2"/>
    <x v="1"/>
  </r>
  <r>
    <x v="16"/>
    <x v="1"/>
    <n v="0.6"/>
    <n v="0.1"/>
    <n v="171"/>
    <n v="20"/>
    <n v="17"/>
    <n v="5.4"/>
    <n v="2.5"/>
    <n v="0.8"/>
    <n v="1"/>
    <x v="0"/>
  </r>
  <r>
    <x v="10"/>
    <x v="1"/>
    <n v="1.1000000000000001"/>
    <n v="0.4"/>
    <n v="201"/>
    <n v="18"/>
    <n v="19"/>
    <n v="6.9"/>
    <n v="4.0999999999999996"/>
    <n v="1.4"/>
    <n v="1"/>
    <x v="0"/>
  </r>
  <r>
    <x v="14"/>
    <x v="1"/>
    <n v="1.5"/>
    <n v="0.4"/>
    <n v="298"/>
    <n v="60"/>
    <n v="103"/>
    <n v="6"/>
    <n v="3"/>
    <n v="1"/>
    <n v="2"/>
    <x v="1"/>
  </r>
  <r>
    <x v="37"/>
    <x v="1"/>
    <n v="3.2"/>
    <n v="1.8"/>
    <n v="750"/>
    <n v="79"/>
    <n v="145"/>
    <n v="7.8"/>
    <n v="3.2"/>
    <n v="0.69"/>
    <n v="1"/>
    <x v="0"/>
  </r>
  <r>
    <x v="37"/>
    <x v="1"/>
    <n v="2.1"/>
    <n v="1"/>
    <n v="191"/>
    <n v="114"/>
    <n v="247"/>
    <n v="4"/>
    <n v="1.6"/>
    <n v="0.6"/>
    <n v="1"/>
    <x v="0"/>
  </r>
  <r>
    <x v="37"/>
    <x v="1"/>
    <n v="1.9"/>
    <n v="0.8"/>
    <n v="614"/>
    <n v="42"/>
    <n v="38"/>
    <n v="4.5"/>
    <n v="1.8"/>
    <n v="0.6"/>
    <n v="1"/>
    <x v="0"/>
  </r>
  <r>
    <x v="24"/>
    <x v="0"/>
    <n v="0.8"/>
    <n v="0.2"/>
    <n v="218"/>
    <n v="32"/>
    <n v="28"/>
    <n v="5.2"/>
    <n v="2.5"/>
    <n v="0.9"/>
    <n v="2"/>
    <x v="1"/>
  </r>
  <r>
    <x v="37"/>
    <x v="1"/>
    <n v="6.3"/>
    <n v="3.2"/>
    <n v="314"/>
    <n v="118"/>
    <n v="114"/>
    <n v="6.6"/>
    <n v="3.7"/>
    <n v="1.27"/>
    <n v="1"/>
    <x v="0"/>
  </r>
  <r>
    <x v="37"/>
    <x v="1"/>
    <n v="5.8"/>
    <n v="3"/>
    <n v="257"/>
    <n v="107"/>
    <n v="104"/>
    <n v="6.6"/>
    <n v="3.5"/>
    <n v="1.1200000000000001"/>
    <n v="1"/>
    <x v="0"/>
  </r>
  <r>
    <x v="37"/>
    <x v="1"/>
    <n v="2.2999999999999998"/>
    <n v="0.6"/>
    <n v="272"/>
    <n v="79"/>
    <n v="51"/>
    <n v="6.6"/>
    <n v="3.5"/>
    <n v="1.1000000000000001"/>
    <n v="1"/>
    <x v="0"/>
  </r>
  <r>
    <x v="42"/>
    <x v="1"/>
    <n v="1.3"/>
    <n v="0.4"/>
    <n v="206"/>
    <n v="30"/>
    <n v="25"/>
    <n v="6"/>
    <n v="3.1"/>
    <n v="1.06"/>
    <n v="2"/>
    <x v="1"/>
  </r>
  <r>
    <x v="42"/>
    <x v="1"/>
    <n v="2"/>
    <n v="0.6"/>
    <n v="209"/>
    <n v="48"/>
    <n v="32"/>
    <n v="5.7"/>
    <n v="3"/>
    <n v="1.1000000000000001"/>
    <n v="2"/>
    <x v="1"/>
  </r>
  <r>
    <x v="37"/>
    <x v="1"/>
    <n v="2.4"/>
    <n v="1"/>
    <n v="1124"/>
    <n v="30"/>
    <n v="54"/>
    <n v="5.2"/>
    <n v="1.9"/>
    <n v="0.5"/>
    <n v="1"/>
    <x v="0"/>
  </r>
  <r>
    <x v="37"/>
    <x v="1"/>
    <n v="2"/>
    <n v="1.1000000000000001"/>
    <n v="664"/>
    <n v="52"/>
    <n v="104"/>
    <n v="6"/>
    <n v="2.1"/>
    <n v="0.53"/>
    <n v="1"/>
    <x v="0"/>
  </r>
  <r>
    <x v="5"/>
    <x v="0"/>
    <n v="0.6"/>
    <n v="0.2"/>
    <n v="142"/>
    <n v="12"/>
    <n v="32"/>
    <n v="5.7"/>
    <n v="2.4"/>
    <n v="0.75"/>
    <n v="1"/>
    <x v="0"/>
  </r>
  <r>
    <x v="55"/>
    <x v="1"/>
    <n v="0.9"/>
    <n v="0.2"/>
    <n v="169"/>
    <n v="22"/>
    <n v="18"/>
    <n v="6.1"/>
    <n v="3"/>
    <n v="0.9"/>
    <n v="2"/>
    <x v="1"/>
  </r>
  <r>
    <x v="56"/>
    <x v="0"/>
    <n v="27.2"/>
    <n v="11.8"/>
    <n v="1420"/>
    <n v="790"/>
    <n v="1050"/>
    <n v="6.1"/>
    <n v="2"/>
    <n v="0.4"/>
    <n v="1"/>
    <x v="0"/>
  </r>
  <r>
    <x v="42"/>
    <x v="1"/>
    <n v="0.6"/>
    <n v="0.1"/>
    <n v="218"/>
    <n v="50"/>
    <n v="53"/>
    <n v="5"/>
    <n v="2.4"/>
    <n v="0.9"/>
    <n v="1"/>
    <x v="0"/>
  </r>
  <r>
    <x v="42"/>
    <x v="1"/>
    <n v="0.6"/>
    <n v="0.1"/>
    <n v="218"/>
    <n v="50"/>
    <n v="53"/>
    <n v="5"/>
    <n v="2.4"/>
    <n v="0.9"/>
    <n v="1"/>
    <x v="0"/>
  </r>
  <r>
    <x v="14"/>
    <x v="0"/>
    <n v="0.8"/>
    <n v="0.2"/>
    <n v="145"/>
    <n v="19"/>
    <n v="23"/>
    <n v="6.1"/>
    <n v="3.1"/>
    <n v="1.03"/>
    <n v="2"/>
    <x v="1"/>
  </r>
  <r>
    <x v="31"/>
    <x v="1"/>
    <n v="1"/>
    <n v="0.3"/>
    <n v="142"/>
    <n v="27"/>
    <n v="21"/>
    <n v="6.4"/>
    <n v="3.5"/>
    <n v="1.2"/>
    <n v="2"/>
    <x v="1"/>
  </r>
  <r>
    <x v="31"/>
    <x v="1"/>
    <n v="0.7"/>
    <n v="0.2"/>
    <n v="135"/>
    <n v="27"/>
    <n v="26"/>
    <n v="6.4"/>
    <n v="3.3"/>
    <n v="1"/>
    <n v="2"/>
    <x v="1"/>
  </r>
  <r>
    <x v="26"/>
    <x v="1"/>
    <n v="2.5"/>
    <n v="1.2"/>
    <n v="163"/>
    <n v="28"/>
    <n v="22"/>
    <n v="7.6"/>
    <n v="4"/>
    <n v="1.1000000000000001"/>
    <n v="1"/>
    <x v="0"/>
  </r>
  <r>
    <x v="16"/>
    <x v="1"/>
    <n v="3.6"/>
    <n v="1.8"/>
    <n v="285"/>
    <n v="50"/>
    <n v="60"/>
    <n v="7"/>
    <n v="2.9"/>
    <n v="0.7"/>
    <n v="1"/>
    <x v="0"/>
  </r>
  <r>
    <x v="16"/>
    <x v="1"/>
    <n v="3.9"/>
    <n v="1.7"/>
    <n v="350"/>
    <n v="950"/>
    <n v="1500"/>
    <n v="6.7"/>
    <n v="3.8"/>
    <n v="1.3"/>
    <n v="1"/>
    <x v="0"/>
  </r>
  <r>
    <x v="41"/>
    <x v="0"/>
    <n v="0.9"/>
    <n v="0.3"/>
    <n v="220"/>
    <n v="53"/>
    <n v="95"/>
    <n v="6.1"/>
    <n v="2.8"/>
    <n v="0.68"/>
    <n v="1"/>
    <x v="0"/>
  </r>
  <r>
    <x v="26"/>
    <x v="0"/>
    <n v="0.9"/>
    <n v="0.3"/>
    <n v="189"/>
    <n v="23"/>
    <n v="33"/>
    <n v="6.6"/>
    <n v="3.9"/>
    <m/>
    <n v="1"/>
    <x v="0"/>
  </r>
  <r>
    <x v="50"/>
    <x v="1"/>
    <n v="0.8"/>
    <n v="0.3"/>
    <n v="190"/>
    <n v="20"/>
    <n v="14"/>
    <n v="4.0999999999999996"/>
    <n v="2.4"/>
    <n v="1.4"/>
    <n v="1"/>
    <x v="0"/>
  </r>
  <r>
    <x v="27"/>
    <x v="1"/>
    <n v="2.7"/>
    <n v="1.3"/>
    <n v="219"/>
    <n v="60"/>
    <n v="180"/>
    <n v="7"/>
    <n v="3.2"/>
    <n v="0.8"/>
    <n v="1"/>
    <x v="0"/>
  </r>
  <r>
    <x v="57"/>
    <x v="1"/>
    <n v="2.7"/>
    <n v="1"/>
    <n v="160"/>
    <n v="82"/>
    <n v="127"/>
    <n v="5.5"/>
    <n v="3.1"/>
    <n v="1.2"/>
    <n v="2"/>
    <x v="1"/>
  </r>
  <r>
    <x v="58"/>
    <x v="0"/>
    <n v="0.9"/>
    <n v="0.2"/>
    <n v="401"/>
    <n v="25"/>
    <n v="58"/>
    <n v="7.5"/>
    <n v="3.4"/>
    <n v="0.8"/>
    <n v="1"/>
    <x v="0"/>
  </r>
  <r>
    <x v="14"/>
    <x v="1"/>
    <n v="1.7"/>
    <n v="1"/>
    <n v="180"/>
    <n v="18"/>
    <n v="34"/>
    <n v="7.2"/>
    <n v="3.6"/>
    <n v="1"/>
    <n v="1"/>
    <x v="0"/>
  </r>
  <r>
    <x v="36"/>
    <x v="1"/>
    <n v="0.6"/>
    <n v="0.2"/>
    <n v="100"/>
    <n v="17"/>
    <n v="148"/>
    <n v="5"/>
    <n v="3.3"/>
    <n v="1.9"/>
    <n v="2"/>
    <x v="1"/>
  </r>
  <r>
    <x v="8"/>
    <x v="1"/>
    <n v="0.9"/>
    <n v="0.2"/>
    <n v="116"/>
    <n v="36"/>
    <n v="16"/>
    <n v="6.2"/>
    <n v="3.2"/>
    <n v="1"/>
    <n v="2"/>
    <x v="1"/>
  </r>
  <r>
    <x v="42"/>
    <x v="1"/>
    <n v="1.1000000000000001"/>
    <n v="0.5"/>
    <n v="159"/>
    <n v="30"/>
    <n v="31"/>
    <n v="7"/>
    <n v="4.3"/>
    <n v="1.5"/>
    <n v="1"/>
    <x v="0"/>
  </r>
  <r>
    <x v="59"/>
    <x v="1"/>
    <n v="0.6"/>
    <n v="0.1"/>
    <n v="289"/>
    <n v="38"/>
    <n v="30"/>
    <n v="4.8"/>
    <n v="2"/>
    <n v="0.7"/>
    <n v="2"/>
    <x v="1"/>
  </r>
  <r>
    <x v="35"/>
    <x v="1"/>
    <n v="0.8"/>
    <n v="0.2"/>
    <n v="125"/>
    <n v="41"/>
    <n v="39"/>
    <n v="6.4"/>
    <n v="3.4"/>
    <n v="1.1000000000000001"/>
    <n v="1"/>
    <x v="0"/>
  </r>
  <r>
    <x v="35"/>
    <x v="1"/>
    <n v="0.8"/>
    <n v="0.2"/>
    <n v="147"/>
    <n v="27"/>
    <n v="46"/>
    <n v="5"/>
    <n v="2.5"/>
    <n v="1"/>
    <n v="1"/>
    <x v="0"/>
  </r>
  <r>
    <x v="25"/>
    <x v="1"/>
    <n v="0.9"/>
    <n v="0.2"/>
    <n v="192"/>
    <n v="38"/>
    <n v="24"/>
    <n v="7.3"/>
    <n v="4.3"/>
    <n v="1.4"/>
    <n v="1"/>
    <x v="0"/>
  </r>
  <r>
    <x v="25"/>
    <x v="1"/>
    <n v="0.9"/>
    <n v="0.2"/>
    <n v="265"/>
    <n v="40"/>
    <n v="28"/>
    <n v="8"/>
    <n v="4"/>
    <n v="1"/>
    <n v="1"/>
    <x v="0"/>
  </r>
  <r>
    <x v="28"/>
    <x v="1"/>
    <n v="1.1000000000000001"/>
    <n v="0.3"/>
    <n v="175"/>
    <n v="20"/>
    <n v="19"/>
    <n v="7.1"/>
    <n v="4.5"/>
    <n v="1.7"/>
    <n v="2"/>
    <x v="1"/>
  </r>
  <r>
    <x v="41"/>
    <x v="1"/>
    <n v="1.7"/>
    <n v="0.5"/>
    <n v="400"/>
    <n v="56"/>
    <n v="44"/>
    <n v="5.7"/>
    <n v="3.1"/>
    <n v="1.1000000000000001"/>
    <n v="1"/>
    <x v="0"/>
  </r>
  <r>
    <x v="5"/>
    <x v="1"/>
    <n v="0.6"/>
    <n v="0.2"/>
    <n v="120"/>
    <n v="45"/>
    <n v="51"/>
    <n v="7.9"/>
    <n v="4"/>
    <n v="1"/>
    <n v="1"/>
    <x v="0"/>
  </r>
  <r>
    <x v="5"/>
    <x v="1"/>
    <n v="1.3"/>
    <n v="0.4"/>
    <n v="173"/>
    <n v="38"/>
    <n v="62"/>
    <n v="8"/>
    <n v="4"/>
    <n v="1"/>
    <n v="1"/>
    <x v="0"/>
  </r>
  <r>
    <x v="40"/>
    <x v="0"/>
    <n v="0.7"/>
    <n v="0.2"/>
    <n v="186"/>
    <n v="18"/>
    <n v="15"/>
    <n v="6.4"/>
    <n v="3.8"/>
    <n v="1.4"/>
    <n v="1"/>
    <x v="0"/>
  </r>
  <r>
    <x v="0"/>
    <x v="0"/>
    <n v="1"/>
    <n v="0.3"/>
    <n v="202"/>
    <n v="26"/>
    <n v="13"/>
    <n v="5.3"/>
    <n v="2.6"/>
    <n v="0.9"/>
    <n v="2"/>
    <x v="1"/>
  </r>
  <r>
    <x v="4"/>
    <x v="1"/>
    <n v="0.6"/>
    <n v="0.2"/>
    <n v="290"/>
    <n v="26"/>
    <n v="21"/>
    <n v="6"/>
    <n v="3"/>
    <n v="1"/>
    <n v="1"/>
    <x v="0"/>
  </r>
  <r>
    <x v="12"/>
    <x v="1"/>
    <n v="1.5"/>
    <n v="0.6"/>
    <n v="196"/>
    <n v="61"/>
    <n v="85"/>
    <n v="6.7"/>
    <n v="3.8"/>
    <n v="1.3"/>
    <n v="2"/>
    <x v="1"/>
  </r>
  <r>
    <x v="12"/>
    <x v="1"/>
    <n v="0.8"/>
    <n v="0.1"/>
    <n v="282"/>
    <n v="85"/>
    <n v="231"/>
    <n v="8.5"/>
    <n v="4.3"/>
    <n v="1"/>
    <n v="1"/>
    <x v="0"/>
  </r>
  <r>
    <x v="28"/>
    <x v="1"/>
    <n v="2.7"/>
    <n v="1.6"/>
    <n v="157"/>
    <n v="149"/>
    <n v="156"/>
    <n v="7.9"/>
    <n v="3.1"/>
    <n v="0.6"/>
    <n v="1"/>
    <x v="0"/>
  </r>
  <r>
    <x v="15"/>
    <x v="1"/>
    <n v="2"/>
    <n v="1.4"/>
    <n v="2110"/>
    <n v="48"/>
    <n v="89"/>
    <n v="6.2"/>
    <n v="3"/>
    <n v="0.9"/>
    <n v="1"/>
    <x v="0"/>
  </r>
  <r>
    <x v="16"/>
    <x v="0"/>
    <n v="0.9"/>
    <n v="0.2"/>
    <n v="285"/>
    <n v="32"/>
    <n v="27"/>
    <n v="7.7"/>
    <n v="3.5"/>
    <n v="0.8"/>
    <n v="1"/>
    <x v="0"/>
  </r>
  <r>
    <x v="37"/>
    <x v="1"/>
    <n v="1.5"/>
    <n v="0.6"/>
    <n v="360"/>
    <n v="230"/>
    <n v="298"/>
    <n v="4.5"/>
    <n v="2"/>
    <n v="0.8"/>
    <n v="1"/>
    <x v="0"/>
  </r>
  <r>
    <x v="57"/>
    <x v="1"/>
    <n v="0.8"/>
    <n v="0.2"/>
    <n v="300"/>
    <n v="57"/>
    <n v="40"/>
    <n v="7.9"/>
    <n v="3.8"/>
    <n v="0.9"/>
    <n v="2"/>
    <x v="1"/>
  </r>
  <r>
    <x v="30"/>
    <x v="0"/>
    <n v="0.9"/>
    <n v="0.3"/>
    <n v="158"/>
    <n v="20"/>
    <n v="16"/>
    <n v="8"/>
    <n v="4"/>
    <n v="1"/>
    <n v="1"/>
    <x v="0"/>
  </r>
  <r>
    <x v="30"/>
    <x v="0"/>
    <n v="0.9"/>
    <n v="0.2"/>
    <n v="190"/>
    <n v="40"/>
    <n v="35"/>
    <n v="7.3"/>
    <n v="4.7"/>
    <n v="1.8"/>
    <n v="2"/>
    <x v="1"/>
  </r>
  <r>
    <x v="16"/>
    <x v="1"/>
    <n v="0.9"/>
    <n v="0.3"/>
    <n v="196"/>
    <n v="69"/>
    <n v="48"/>
    <n v="6.8"/>
    <n v="3.1"/>
    <n v="0.8"/>
    <n v="1"/>
    <x v="0"/>
  </r>
  <r>
    <x v="24"/>
    <x v="1"/>
    <n v="0.7"/>
    <n v="0.2"/>
    <n v="165"/>
    <n v="32"/>
    <n v="30"/>
    <n v="8"/>
    <n v="4"/>
    <n v="1"/>
    <n v="2"/>
    <x v="1"/>
  </r>
  <r>
    <x v="17"/>
    <x v="1"/>
    <n v="0.8"/>
    <n v="0.2"/>
    <n v="230"/>
    <n v="24"/>
    <n v="46"/>
    <n v="6.5"/>
    <n v="3.1"/>
    <m/>
    <n v="1"/>
    <x v="0"/>
  </r>
  <r>
    <x v="6"/>
    <x v="0"/>
    <n v="0.8"/>
    <n v="0.2"/>
    <n v="205"/>
    <n v="30"/>
    <n v="23"/>
    <n v="8.1999999999999993"/>
    <n v="4.0999999999999996"/>
    <n v="1"/>
    <n v="1"/>
    <x v="0"/>
  </r>
  <r>
    <x v="50"/>
    <x v="0"/>
    <n v="0.9"/>
    <n v="0.2"/>
    <n v="316"/>
    <n v="25"/>
    <n v="23"/>
    <n v="8.5"/>
    <n v="5.5"/>
    <n v="1.8"/>
    <n v="1"/>
    <x v="0"/>
  </r>
  <r>
    <x v="34"/>
    <x v="1"/>
    <n v="0.8"/>
    <n v="0.2"/>
    <n v="218"/>
    <n v="20"/>
    <n v="19"/>
    <n v="6.3"/>
    <n v="2.5"/>
    <n v="0.6"/>
    <n v="1"/>
    <x v="0"/>
  </r>
  <r>
    <x v="34"/>
    <x v="1"/>
    <n v="0.9"/>
    <n v="0.2"/>
    <n v="290"/>
    <n v="15"/>
    <n v="18"/>
    <n v="6.1"/>
    <n v="2.8"/>
    <n v="0.8"/>
    <n v="1"/>
    <x v="0"/>
  </r>
  <r>
    <x v="8"/>
    <x v="1"/>
    <n v="1.8"/>
    <n v="9"/>
    <n v="272"/>
    <n v="22"/>
    <n v="79"/>
    <n v="6.1"/>
    <n v="2.7"/>
    <n v="0.7"/>
    <n v="1"/>
    <x v="0"/>
  </r>
  <r>
    <x v="8"/>
    <x v="1"/>
    <n v="0.9"/>
    <n v="0.2"/>
    <n v="190"/>
    <n v="25"/>
    <n v="28"/>
    <n v="5.9"/>
    <n v="2.7"/>
    <n v="0.8"/>
    <n v="1"/>
    <x v="0"/>
  </r>
  <r>
    <x v="16"/>
    <x v="1"/>
    <n v="0.7"/>
    <n v="0.1"/>
    <n v="202"/>
    <n v="37"/>
    <n v="29"/>
    <n v="5"/>
    <n v="2.6"/>
    <n v="1"/>
    <n v="1"/>
    <x v="0"/>
  </r>
  <r>
    <x v="15"/>
    <x v="1"/>
    <n v="1.2"/>
    <n v="0.3"/>
    <n v="498"/>
    <n v="28"/>
    <n v="25"/>
    <n v="7"/>
    <n v="3"/>
    <n v="0.7"/>
    <n v="1"/>
    <x v="0"/>
  </r>
  <r>
    <x v="15"/>
    <x v="1"/>
    <n v="2.1"/>
    <n v="1.3"/>
    <n v="480"/>
    <n v="38"/>
    <n v="22"/>
    <n v="6.5"/>
    <n v="3"/>
    <n v="0.8"/>
    <n v="1"/>
    <x v="0"/>
  </r>
  <r>
    <x v="15"/>
    <x v="1"/>
    <n v="0.9"/>
    <n v="0.8"/>
    <n v="680"/>
    <n v="37"/>
    <n v="40"/>
    <n v="5.9"/>
    <n v="2.6"/>
    <n v="0.8"/>
    <n v="1"/>
    <x v="0"/>
  </r>
  <r>
    <x v="0"/>
    <x v="1"/>
    <n v="1.1000000000000001"/>
    <n v="0.3"/>
    <n v="258"/>
    <n v="48"/>
    <n v="40"/>
    <n v="7"/>
    <n v="3.9"/>
    <n v="1.2"/>
    <n v="2"/>
    <x v="1"/>
  </r>
  <r>
    <x v="30"/>
    <x v="0"/>
    <n v="0.6"/>
    <n v="0.2"/>
    <n v="180"/>
    <n v="12"/>
    <n v="15"/>
    <n v="5.2"/>
    <n v="2.7"/>
    <m/>
    <n v="2"/>
    <x v="1"/>
  </r>
  <r>
    <x v="14"/>
    <x v="0"/>
    <n v="0.7"/>
    <n v="0.1"/>
    <n v="152"/>
    <n v="90"/>
    <n v="21"/>
    <n v="7.1"/>
    <n v="4.2"/>
    <n v="1.4"/>
    <n v="2"/>
    <x v="1"/>
  </r>
  <r>
    <x v="14"/>
    <x v="1"/>
    <n v="1.7"/>
    <n v="0.7"/>
    <n v="859"/>
    <n v="89"/>
    <n v="48"/>
    <n v="6"/>
    <n v="3"/>
    <n v="1"/>
    <n v="1"/>
    <x v="0"/>
  </r>
  <r>
    <x v="28"/>
    <x v="1"/>
    <n v="0.9"/>
    <n v="0.3"/>
    <n v="901"/>
    <n v="23"/>
    <n v="17"/>
    <n v="6.2"/>
    <n v="3.5"/>
    <n v="1.2"/>
    <n v="1"/>
    <x v="0"/>
  </r>
  <r>
    <x v="54"/>
    <x v="1"/>
    <n v="0.8"/>
    <n v="0.2"/>
    <n v="335"/>
    <n v="148"/>
    <n v="86"/>
    <n v="5.6"/>
    <n v="3"/>
    <n v="1.1000000000000001"/>
    <n v="1"/>
    <x v="0"/>
  </r>
  <r>
    <x v="48"/>
    <x v="1"/>
    <n v="0.8"/>
    <n v="0.2"/>
    <n v="182"/>
    <n v="31"/>
    <n v="34"/>
    <n v="6.4"/>
    <n v="3.8"/>
    <n v="1.4"/>
    <n v="2"/>
    <x v="1"/>
  </r>
  <r>
    <x v="27"/>
    <x v="1"/>
    <n v="30.5"/>
    <n v="14.2"/>
    <n v="285"/>
    <n v="65"/>
    <n v="130"/>
    <n v="5.2"/>
    <n v="2.1"/>
    <n v="0.6"/>
    <n v="1"/>
    <x v="0"/>
  </r>
  <r>
    <x v="27"/>
    <x v="1"/>
    <n v="16.399999999999999"/>
    <n v="8.9"/>
    <n v="245"/>
    <n v="56"/>
    <n v="87"/>
    <n v="5.4"/>
    <n v="2"/>
    <n v="0.5"/>
    <n v="1"/>
    <x v="0"/>
  </r>
  <r>
    <x v="15"/>
    <x v="1"/>
    <n v="1.5"/>
    <n v="7"/>
    <n v="505"/>
    <n v="205"/>
    <n v="140"/>
    <n v="7.5"/>
    <n v="3.9"/>
    <n v="1"/>
    <n v="1"/>
    <x v="0"/>
  </r>
  <r>
    <x v="45"/>
    <x v="1"/>
    <n v="0.8"/>
    <n v="0.2"/>
    <n v="228"/>
    <n v="55"/>
    <n v="54"/>
    <n v="6.9"/>
    <n v="4"/>
    <n v="1.3"/>
    <n v="1"/>
    <x v="0"/>
  </r>
  <r>
    <x v="14"/>
    <x v="0"/>
    <n v="0.8"/>
    <n v="0.2"/>
    <n v="185"/>
    <n v="25"/>
    <n v="21"/>
    <n v="7"/>
    <n v="3"/>
    <n v="0.7"/>
    <n v="1"/>
    <x v="0"/>
  </r>
  <r>
    <x v="14"/>
    <x v="1"/>
    <n v="0.8"/>
    <n v="0.2"/>
    <n v="247"/>
    <n v="55"/>
    <n v="92"/>
    <n v="7.4"/>
    <n v="4.3"/>
    <n v="1.38"/>
    <n v="2"/>
    <x v="1"/>
  </r>
  <r>
    <x v="60"/>
    <x v="1"/>
    <n v="0.9"/>
    <n v="0.2"/>
    <n v="348"/>
    <n v="30"/>
    <n v="34"/>
    <n v="8"/>
    <n v="4"/>
    <n v="1"/>
    <n v="2"/>
    <x v="1"/>
  </r>
  <r>
    <x v="1"/>
    <x v="1"/>
    <n v="1.2"/>
    <n v="0.4"/>
    <n v="195"/>
    <n v="38"/>
    <n v="54"/>
    <n v="6.3"/>
    <n v="3.8"/>
    <n v="1.5"/>
    <n v="1"/>
    <x v="0"/>
  </r>
  <r>
    <x v="61"/>
    <x v="0"/>
    <n v="0.9"/>
    <n v="0.3"/>
    <n v="140"/>
    <n v="12"/>
    <n v="29"/>
    <n v="7.4"/>
    <n v="3.5"/>
    <n v="1.8"/>
    <n v="1"/>
    <x v="0"/>
  </r>
  <r>
    <x v="16"/>
    <x v="1"/>
    <n v="14.5"/>
    <n v="6.4"/>
    <n v="358"/>
    <n v="50"/>
    <n v="75"/>
    <n v="5.7"/>
    <n v="2.1"/>
    <n v="0.5"/>
    <n v="1"/>
    <x v="0"/>
  </r>
  <r>
    <x v="5"/>
    <x v="1"/>
    <n v="0.6"/>
    <n v="0.1"/>
    <n v="110"/>
    <n v="15"/>
    <n v="20"/>
    <n v="2.8"/>
    <n v="1.6"/>
    <n v="1.3"/>
    <n v="1"/>
    <x v="0"/>
  </r>
  <r>
    <x v="35"/>
    <x v="1"/>
    <n v="0.7"/>
    <n v="0.2"/>
    <n v="235"/>
    <n v="96"/>
    <n v="54"/>
    <n v="9.5"/>
    <n v="4.9000000000000004"/>
    <n v="1"/>
    <n v="1"/>
    <x v="0"/>
  </r>
  <r>
    <x v="60"/>
    <x v="1"/>
    <n v="0.8"/>
    <n v="0.2"/>
    <n v="460"/>
    <n v="152"/>
    <n v="231"/>
    <n v="6.5"/>
    <n v="3.2"/>
    <n v="0.9"/>
    <n v="2"/>
    <x v="1"/>
  </r>
  <r>
    <x v="31"/>
    <x v="1"/>
    <n v="18.5"/>
    <n v="9.5"/>
    <n v="380"/>
    <n v="390"/>
    <n v="500"/>
    <n v="8.1999999999999993"/>
    <n v="4.0999999999999996"/>
    <n v="1"/>
    <n v="1"/>
    <x v="0"/>
  </r>
  <r>
    <x v="23"/>
    <x v="1"/>
    <n v="0.7"/>
    <n v="0.2"/>
    <n v="262"/>
    <n v="15"/>
    <n v="18"/>
    <n v="9.6"/>
    <n v="4.7"/>
    <n v="1.2"/>
    <n v="1"/>
    <x v="0"/>
  </r>
  <r>
    <x v="15"/>
    <x v="1"/>
    <n v="1.8"/>
    <n v="0.8"/>
    <n v="196"/>
    <n v="25"/>
    <n v="22"/>
    <n v="8"/>
    <n v="4"/>
    <n v="1"/>
    <n v="1"/>
    <x v="0"/>
  </r>
  <r>
    <x v="5"/>
    <x v="1"/>
    <n v="1.9"/>
    <n v="0.8"/>
    <n v="180"/>
    <n v="22"/>
    <n v="19"/>
    <n v="8.1999999999999993"/>
    <n v="4.0999999999999996"/>
    <n v="1"/>
    <n v="2"/>
    <x v="1"/>
  </r>
  <r>
    <x v="30"/>
    <x v="1"/>
    <n v="0.9"/>
    <n v="0.2"/>
    <n v="190"/>
    <n v="25"/>
    <n v="20"/>
    <n v="6.4"/>
    <n v="3.6"/>
    <n v="1.2"/>
    <n v="2"/>
    <x v="1"/>
  </r>
  <r>
    <x v="37"/>
    <x v="1"/>
    <n v="2"/>
    <n v="0.8"/>
    <n v="190"/>
    <n v="45"/>
    <n v="40"/>
    <n v="6"/>
    <n v="2.8"/>
    <n v="0.8"/>
    <n v="1"/>
    <x v="0"/>
  </r>
  <r>
    <x v="26"/>
    <x v="1"/>
    <n v="2.2000000000000002"/>
    <n v="0.8"/>
    <n v="209"/>
    <n v="25"/>
    <n v="20"/>
    <n v="8"/>
    <n v="4"/>
    <n v="1"/>
    <n v="1"/>
    <x v="0"/>
  </r>
  <r>
    <x v="24"/>
    <x v="0"/>
    <n v="1"/>
    <n v="1.4"/>
    <n v="144"/>
    <n v="18"/>
    <n v="14"/>
    <n v="8.3000000000000007"/>
    <n v="4.2"/>
    <n v="1"/>
    <n v="1"/>
    <x v="0"/>
  </r>
  <r>
    <x v="2"/>
    <x v="1"/>
    <n v="0.8"/>
    <n v="0.2"/>
    <n v="123"/>
    <n v="56"/>
    <n v="48"/>
    <n v="6"/>
    <n v="3"/>
    <n v="1"/>
    <n v="1"/>
    <x v="0"/>
  </r>
  <r>
    <x v="28"/>
    <x v="1"/>
    <n v="0.7"/>
    <n v="0.2"/>
    <n v="192"/>
    <n v="18"/>
    <n v="15"/>
    <n v="7.4"/>
    <n v="4.2"/>
    <n v="1.3"/>
    <n v="2"/>
    <x v="1"/>
  </r>
  <r>
    <x v="28"/>
    <x v="1"/>
    <n v="0.7"/>
    <n v="0.2"/>
    <n v="188"/>
    <n v="12"/>
    <n v="14"/>
    <n v="7"/>
    <n v="3.4"/>
    <n v="0.9"/>
    <n v="1"/>
    <x v="0"/>
  </r>
  <r>
    <x v="45"/>
    <x v="1"/>
    <n v="1.3"/>
    <n v="0.7"/>
    <n v="316"/>
    <n v="10"/>
    <n v="21"/>
    <n v="6"/>
    <n v="2.1"/>
    <n v="0.5"/>
    <n v="2"/>
    <x v="1"/>
  </r>
  <r>
    <x v="45"/>
    <x v="1"/>
    <n v="0.9"/>
    <n v="0.3"/>
    <n v="300"/>
    <n v="30"/>
    <n v="48"/>
    <n v="8"/>
    <n v="4"/>
    <n v="1"/>
    <n v="1"/>
    <x v="0"/>
  </r>
  <r>
    <x v="44"/>
    <x v="1"/>
    <n v="1.5"/>
    <n v="0.5"/>
    <n v="575"/>
    <n v="29"/>
    <n v="24"/>
    <n v="7.9"/>
    <n v="3.9"/>
    <n v="0.9"/>
    <n v="1"/>
    <x v="0"/>
  </r>
  <r>
    <x v="19"/>
    <x v="0"/>
    <n v="0.8"/>
    <n v="0.2"/>
    <n v="192"/>
    <n v="15"/>
    <n v="12"/>
    <n v="8.6"/>
    <n v="4.7"/>
    <n v="1.2"/>
    <n v="1"/>
    <x v="0"/>
  </r>
  <r>
    <x v="61"/>
    <x v="1"/>
    <n v="1.3"/>
    <n v="0.6"/>
    <n v="155"/>
    <n v="15"/>
    <n v="20"/>
    <n v="8"/>
    <n v="4"/>
    <n v="1"/>
    <n v="2"/>
    <x v="1"/>
  </r>
  <r>
    <x v="28"/>
    <x v="0"/>
    <n v="1"/>
    <n v="0.5"/>
    <n v="239"/>
    <n v="16"/>
    <n v="39"/>
    <n v="7.5"/>
    <n v="3.7"/>
    <n v="0.9"/>
    <n v="1"/>
    <x v="0"/>
  </r>
  <r>
    <x v="9"/>
    <x v="1"/>
    <n v="4.5"/>
    <n v="2.2999999999999998"/>
    <n v="315"/>
    <n v="120"/>
    <n v="105"/>
    <n v="7"/>
    <n v="4"/>
    <n v="1.3"/>
    <n v="1"/>
    <x v="0"/>
  </r>
  <r>
    <x v="26"/>
    <x v="0"/>
    <n v="1"/>
    <n v="0.3"/>
    <n v="250"/>
    <n v="48"/>
    <n v="44"/>
    <n v="8.6"/>
    <n v="4.3"/>
    <n v="1"/>
    <n v="1"/>
    <x v="0"/>
  </r>
  <r>
    <x v="37"/>
    <x v="1"/>
    <n v="0.7"/>
    <n v="0.2"/>
    <n v="174"/>
    <n v="32"/>
    <n v="14"/>
    <n v="7.8"/>
    <n v="4.2"/>
    <n v="1.1000000000000001"/>
    <n v="2"/>
    <x v="1"/>
  </r>
  <r>
    <x v="26"/>
    <x v="1"/>
    <n v="0.6"/>
    <n v="0.2"/>
    <n v="245"/>
    <n v="22"/>
    <n v="24"/>
    <n v="7.1"/>
    <n v="3.4"/>
    <n v="0.9"/>
    <n v="1"/>
    <x v="0"/>
  </r>
  <r>
    <x v="62"/>
    <x v="1"/>
    <n v="1.1000000000000001"/>
    <n v="0.5"/>
    <n v="191"/>
    <n v="37"/>
    <n v="41"/>
    <n v="7.7"/>
    <n v="4.3"/>
    <n v="1.2"/>
    <n v="2"/>
    <x v="1"/>
  </r>
  <r>
    <x v="57"/>
    <x v="1"/>
    <n v="2.4"/>
    <n v="1"/>
    <n v="340"/>
    <n v="25"/>
    <n v="21"/>
    <n v="8.3000000000000007"/>
    <n v="4.5"/>
    <n v="1.1000000000000001"/>
    <n v="1"/>
    <x v="0"/>
  </r>
  <r>
    <x v="57"/>
    <x v="1"/>
    <n v="0.6"/>
    <n v="0.2"/>
    <n v="202"/>
    <n v="78"/>
    <n v="41"/>
    <n v="8"/>
    <n v="3.9"/>
    <n v="0.9"/>
    <n v="1"/>
    <x v="0"/>
  </r>
  <r>
    <x v="11"/>
    <x v="0"/>
    <n v="0.9"/>
    <n v="0.3"/>
    <n v="234"/>
    <n v="16"/>
    <n v="19"/>
    <n v="7.9"/>
    <n v="4"/>
    <n v="1"/>
    <n v="1"/>
    <x v="0"/>
  </r>
  <r>
    <x v="13"/>
    <x v="0"/>
    <n v="0.9"/>
    <n v="0.3"/>
    <n v="159"/>
    <n v="24"/>
    <n v="25"/>
    <n v="6.9"/>
    <n v="4.4000000000000004"/>
    <n v="1.7"/>
    <n v="2"/>
    <x v="1"/>
  </r>
  <r>
    <x v="33"/>
    <x v="0"/>
    <n v="1.1000000000000001"/>
    <n v="0.3"/>
    <n v="190"/>
    <n v="26"/>
    <n v="15"/>
    <n v="7.9"/>
    <n v="3.8"/>
    <n v="0.9"/>
    <n v="1"/>
    <x v="0"/>
  </r>
  <r>
    <x v="49"/>
    <x v="0"/>
    <n v="0.9"/>
    <n v="0.2"/>
    <n v="195"/>
    <n v="40"/>
    <n v="35"/>
    <n v="7.4"/>
    <n v="4.0999999999999996"/>
    <n v="1.2"/>
    <n v="2"/>
    <x v="1"/>
  </r>
  <r>
    <x v="2"/>
    <x v="1"/>
    <n v="0.8"/>
    <n v="0.2"/>
    <n v="180"/>
    <n v="32"/>
    <n v="25"/>
    <n v="8.1999999999999993"/>
    <n v="4.4000000000000004"/>
    <n v="1.1000000000000001"/>
    <n v="2"/>
    <x v="1"/>
  </r>
  <r>
    <x v="17"/>
    <x v="0"/>
    <n v="0.9"/>
    <n v="0.2"/>
    <n v="280"/>
    <n v="21"/>
    <n v="30"/>
    <n v="6.7"/>
    <n v="3.2"/>
    <n v="0.8"/>
    <n v="1"/>
    <x v="0"/>
  </r>
  <r>
    <x v="28"/>
    <x v="0"/>
    <n v="1.7"/>
    <n v="0.6"/>
    <n v="430"/>
    <n v="28"/>
    <n v="32"/>
    <n v="6.8"/>
    <n v="3.5"/>
    <n v="1"/>
    <n v="1"/>
    <x v="0"/>
  </r>
  <r>
    <x v="28"/>
    <x v="1"/>
    <n v="0.7"/>
    <n v="0.2"/>
    <n v="206"/>
    <n v="18"/>
    <n v="17"/>
    <n v="8.4"/>
    <n v="4.2"/>
    <n v="1"/>
    <n v="2"/>
    <x v="1"/>
  </r>
  <r>
    <x v="8"/>
    <x v="0"/>
    <n v="0.8"/>
    <n v="0.2"/>
    <n v="155"/>
    <n v="21"/>
    <n v="17"/>
    <n v="6.9"/>
    <n v="3.8"/>
    <n v="1.4"/>
    <n v="1"/>
    <x v="0"/>
  </r>
  <r>
    <x v="34"/>
    <x v="0"/>
    <n v="1.4"/>
    <n v="0.7"/>
    <n v="195"/>
    <n v="36"/>
    <n v="16"/>
    <n v="7.9"/>
    <n v="3.7"/>
    <n v="0.9"/>
    <n v="2"/>
    <x v="1"/>
  </r>
  <r>
    <x v="24"/>
    <x v="1"/>
    <n v="1.6"/>
    <n v="1"/>
    <n v="588"/>
    <n v="74"/>
    <n v="113"/>
    <n v="7.3"/>
    <n v="2.4"/>
    <n v="0.4"/>
    <n v="1"/>
    <x v="0"/>
  </r>
  <r>
    <x v="23"/>
    <x v="1"/>
    <n v="0.8"/>
    <n v="0.2"/>
    <n v="174"/>
    <n v="21"/>
    <n v="47"/>
    <n v="4.5999999999999996"/>
    <n v="2.2999999999999998"/>
    <n v="1"/>
    <n v="1"/>
    <x v="0"/>
  </r>
  <r>
    <x v="26"/>
    <x v="0"/>
    <n v="0.8"/>
    <n v="0.2"/>
    <n v="165"/>
    <n v="22"/>
    <n v="18"/>
    <n v="8.1999999999999993"/>
    <n v="4.0999999999999996"/>
    <n v="1"/>
    <n v="1"/>
    <x v="0"/>
  </r>
  <r>
    <x v="24"/>
    <x v="0"/>
    <n v="1.1000000000000001"/>
    <n v="0.7"/>
    <n v="527"/>
    <n v="178"/>
    <n v="250"/>
    <n v="8"/>
    <n v="4.2"/>
    <n v="1.1000000000000001"/>
    <n v="1"/>
    <x v="0"/>
  </r>
  <r>
    <x v="17"/>
    <x v="1"/>
    <n v="0.8"/>
    <n v="0.2"/>
    <n v="175"/>
    <n v="48"/>
    <n v="22"/>
    <n v="8.1"/>
    <n v="4.5999999999999996"/>
    <n v="1.3"/>
    <n v="1"/>
    <x v="0"/>
  </r>
  <r>
    <x v="34"/>
    <x v="0"/>
    <n v="23.2"/>
    <n v="12.6"/>
    <n v="574"/>
    <n v="43"/>
    <n v="47"/>
    <n v="7.2"/>
    <n v="3.5"/>
    <n v="0.9"/>
    <n v="1"/>
    <x v="0"/>
  </r>
  <r>
    <x v="47"/>
    <x v="1"/>
    <n v="1.3"/>
    <n v="0.6"/>
    <n v="106"/>
    <n v="25"/>
    <n v="54"/>
    <n v="8.5"/>
    <n v="4.8"/>
    <m/>
    <n v="2"/>
    <x v="1"/>
  </r>
  <r>
    <x v="23"/>
    <x v="0"/>
    <n v="0.8"/>
    <n v="0.2"/>
    <n v="158"/>
    <n v="25"/>
    <n v="22"/>
    <n v="7.9"/>
    <n v="4.5"/>
    <n v="1.3"/>
    <n v="2"/>
    <x v="1"/>
  </r>
  <r>
    <x v="5"/>
    <x v="1"/>
    <n v="2"/>
    <n v="0.9"/>
    <n v="195"/>
    <n v="24"/>
    <n v="65"/>
    <n v="7.8"/>
    <n v="4.3"/>
    <n v="1.2"/>
    <n v="1"/>
    <x v="0"/>
  </r>
  <r>
    <x v="57"/>
    <x v="1"/>
    <n v="0.9"/>
    <n v="0.3"/>
    <n v="179"/>
    <n v="18"/>
    <n v="21"/>
    <n v="6.7"/>
    <n v="3.7"/>
    <n v="1.2"/>
    <n v="2"/>
    <x v="1"/>
  </r>
  <r>
    <x v="54"/>
    <x v="1"/>
    <n v="0.9"/>
    <n v="0.2"/>
    <n v="182"/>
    <n v="29"/>
    <n v="82"/>
    <n v="7.1"/>
    <n v="3.7"/>
    <n v="1"/>
    <n v="2"/>
    <x v="1"/>
  </r>
  <r>
    <x v="30"/>
    <x v="1"/>
    <n v="0.7"/>
    <n v="0.2"/>
    <n v="198"/>
    <n v="42"/>
    <n v="30"/>
    <n v="6.8"/>
    <n v="3.4"/>
    <n v="1"/>
    <n v="1"/>
    <x v="0"/>
  </r>
  <r>
    <x v="14"/>
    <x v="1"/>
    <n v="3.7"/>
    <n v="2.2000000000000002"/>
    <n v="216"/>
    <n v="179"/>
    <n v="232"/>
    <n v="7.8"/>
    <n v="4.5"/>
    <n v="1.3"/>
    <n v="1"/>
    <x v="0"/>
  </r>
  <r>
    <x v="43"/>
    <x v="1"/>
    <n v="0.9"/>
    <n v="0.3"/>
    <n v="310"/>
    <n v="21"/>
    <n v="16"/>
    <n v="8.1"/>
    <n v="4.2"/>
    <n v="1"/>
    <n v="2"/>
    <x v="1"/>
  </r>
  <r>
    <x v="23"/>
    <x v="0"/>
    <n v="0.7"/>
    <n v="0.2"/>
    <n v="63"/>
    <n v="31"/>
    <n v="27"/>
    <n v="5.8"/>
    <n v="3.4"/>
    <n v="1.4"/>
    <n v="1"/>
    <x v="0"/>
  </r>
  <r>
    <x v="23"/>
    <x v="0"/>
    <n v="0.8"/>
    <n v="0.2"/>
    <n v="198"/>
    <n v="30"/>
    <n v="58"/>
    <n v="5.2"/>
    <n v="2.8"/>
    <n v="1.1000000000000001"/>
    <n v="1"/>
    <x v="0"/>
  </r>
  <r>
    <x v="48"/>
    <x v="1"/>
    <n v="1.7"/>
    <n v="0.5"/>
    <n v="205"/>
    <n v="36"/>
    <n v="34"/>
    <n v="7.1"/>
    <n v="3.9"/>
    <n v="1.2"/>
    <n v="1"/>
    <x v="0"/>
  </r>
  <r>
    <x v="63"/>
    <x v="1"/>
    <n v="0.8"/>
    <n v="0.2"/>
    <n v="302"/>
    <n v="47"/>
    <n v="67"/>
    <n v="6.7"/>
    <n v="3.5"/>
    <n v="1.1000000000000001"/>
    <n v="2"/>
    <x v="1"/>
  </r>
  <r>
    <x v="37"/>
    <x v="1"/>
    <n v="2.6"/>
    <n v="1.2"/>
    <n v="171"/>
    <n v="42"/>
    <n v="37"/>
    <n v="5.4"/>
    <n v="2.7"/>
    <n v="1"/>
    <n v="1"/>
    <x v="0"/>
  </r>
  <r>
    <x v="27"/>
    <x v="1"/>
    <n v="0.8"/>
    <n v="0.2"/>
    <n v="158"/>
    <n v="27"/>
    <n v="23"/>
    <n v="6.7"/>
    <n v="3.1"/>
    <n v="0.8"/>
    <n v="2"/>
    <x v="1"/>
  </r>
  <r>
    <x v="48"/>
    <x v="0"/>
    <n v="1.2"/>
    <n v="0.4"/>
    <n v="358"/>
    <n v="160"/>
    <n v="90"/>
    <n v="8.3000000000000007"/>
    <n v="4.4000000000000004"/>
    <n v="1.1000000000000001"/>
    <n v="2"/>
    <x v="1"/>
  </r>
  <r>
    <x v="49"/>
    <x v="1"/>
    <n v="3.3"/>
    <n v="1.6"/>
    <n v="174"/>
    <n v="11"/>
    <n v="33"/>
    <n v="7.6"/>
    <n v="3.9"/>
    <n v="1"/>
    <n v="2"/>
    <x v="1"/>
  </r>
  <r>
    <x v="61"/>
    <x v="1"/>
    <n v="0.8"/>
    <n v="0.2"/>
    <n v="192"/>
    <n v="29"/>
    <n v="20"/>
    <n v="6"/>
    <n v="2.9"/>
    <n v="0.9"/>
    <n v="2"/>
    <x v="1"/>
  </r>
  <r>
    <x v="31"/>
    <x v="1"/>
    <n v="0.7"/>
    <n v="0.2"/>
    <n v="211"/>
    <n v="14"/>
    <n v="23"/>
    <n v="7.3"/>
    <n v="4.0999999999999996"/>
    <n v="1.2"/>
    <n v="2"/>
    <x v="1"/>
  </r>
  <r>
    <x v="5"/>
    <x v="1"/>
    <n v="2"/>
    <n v="0.9"/>
    <n v="157"/>
    <n v="54"/>
    <n v="68"/>
    <n v="6.1"/>
    <n v="2.7"/>
    <n v="0.8"/>
    <n v="1"/>
    <x v="0"/>
  </r>
  <r>
    <x v="5"/>
    <x v="1"/>
    <n v="1.7"/>
    <n v="0.6"/>
    <n v="210"/>
    <n v="62"/>
    <n v="56"/>
    <n v="5.4"/>
    <n v="2.2000000000000002"/>
    <n v="0.6"/>
    <n v="1"/>
    <x v="0"/>
  </r>
  <r>
    <x v="5"/>
    <x v="1"/>
    <n v="7.1"/>
    <n v="3.3"/>
    <n v="258"/>
    <n v="80"/>
    <n v="113"/>
    <n v="6.2"/>
    <n v="2.9"/>
    <n v="0.8"/>
    <n v="1"/>
    <x v="0"/>
  </r>
  <r>
    <x v="48"/>
    <x v="0"/>
    <n v="0.7"/>
    <n v="0.2"/>
    <n v="152"/>
    <n v="21"/>
    <n v="25"/>
    <n v="5.9"/>
    <n v="3.1"/>
    <n v="1.1000000000000001"/>
    <n v="2"/>
    <x v="1"/>
  </r>
  <r>
    <x v="44"/>
    <x v="0"/>
    <n v="0.7"/>
    <n v="0.2"/>
    <n v="350"/>
    <n v="17"/>
    <n v="24"/>
    <n v="7.4"/>
    <n v="4"/>
    <n v="1.1000000000000001"/>
    <n v="1"/>
    <x v="0"/>
  </r>
  <r>
    <x v="44"/>
    <x v="0"/>
    <n v="0.7"/>
    <n v="0.1"/>
    <n v="182"/>
    <n v="24"/>
    <n v="19"/>
    <n v="8.9"/>
    <n v="4.9000000000000004"/>
    <n v="1.2"/>
    <n v="1"/>
    <x v="0"/>
  </r>
  <r>
    <x v="39"/>
    <x v="1"/>
    <n v="6.7"/>
    <n v="3.6"/>
    <n v="458"/>
    <n v="198"/>
    <n v="143"/>
    <n v="6.2"/>
    <n v="3.2"/>
    <n v="1"/>
    <n v="1"/>
    <x v="0"/>
  </r>
  <r>
    <x v="39"/>
    <x v="1"/>
    <n v="2.5"/>
    <n v="1.2"/>
    <n v="375"/>
    <n v="85"/>
    <n v="68"/>
    <n v="6.4"/>
    <n v="2.9"/>
    <n v="0.8"/>
    <n v="1"/>
    <x v="0"/>
  </r>
  <r>
    <x v="39"/>
    <x v="1"/>
    <n v="1.8"/>
    <n v="0.8"/>
    <n v="405"/>
    <n v="79"/>
    <n v="50"/>
    <n v="6.1"/>
    <n v="2.9"/>
    <n v="0.9"/>
    <n v="1"/>
    <x v="0"/>
  </r>
  <r>
    <x v="39"/>
    <x v="1"/>
    <n v="1.4"/>
    <n v="0.4"/>
    <n v="215"/>
    <n v="50"/>
    <n v="30"/>
    <n v="5.9"/>
    <n v="2.6"/>
    <n v="0.7"/>
    <n v="1"/>
    <x v="0"/>
  </r>
  <r>
    <x v="39"/>
    <x v="1"/>
    <n v="0.9"/>
    <n v="0.2"/>
    <n v="206"/>
    <n v="44"/>
    <n v="33"/>
    <n v="6.2"/>
    <n v="2.9"/>
    <n v="0.8"/>
    <n v="1"/>
    <x v="0"/>
  </r>
  <r>
    <x v="48"/>
    <x v="0"/>
    <n v="0.8"/>
    <n v="0.2"/>
    <n v="650"/>
    <n v="70"/>
    <n v="138"/>
    <n v="6.6"/>
    <n v="3.1"/>
    <n v="0.8"/>
    <n v="1"/>
    <x v="0"/>
  </r>
  <r>
    <x v="30"/>
    <x v="1"/>
    <n v="0.8"/>
    <n v="0.2"/>
    <n v="198"/>
    <n v="36"/>
    <n v="32"/>
    <n v="7"/>
    <n v="4"/>
    <n v="1.3"/>
    <n v="2"/>
    <x v="1"/>
  </r>
  <r>
    <x v="41"/>
    <x v="1"/>
    <n v="3.1"/>
    <n v="1.6"/>
    <n v="198"/>
    <n v="40"/>
    <n v="28"/>
    <n v="5.6"/>
    <n v="2"/>
    <n v="0.5"/>
    <n v="1"/>
    <x v="0"/>
  </r>
  <r>
    <x v="35"/>
    <x v="1"/>
    <n v="0.8"/>
    <n v="0.2"/>
    <n v="195"/>
    <n v="60"/>
    <n v="40"/>
    <n v="8.1999999999999993"/>
    <n v="5"/>
    <n v="1.5"/>
    <n v="2"/>
    <x v="1"/>
  </r>
  <r>
    <x v="37"/>
    <x v="1"/>
    <n v="2.9"/>
    <n v="1.3"/>
    <n v="230"/>
    <n v="32"/>
    <n v="44"/>
    <n v="5.6"/>
    <n v="2"/>
    <n v="0.5"/>
    <n v="1"/>
    <x v="0"/>
  </r>
  <r>
    <x v="4"/>
    <x v="1"/>
    <n v="0.6"/>
    <n v="0.2"/>
    <n v="115"/>
    <n v="14"/>
    <n v="11"/>
    <n v="6.9"/>
    <n v="3.4"/>
    <n v="0.9"/>
    <n v="1"/>
    <x v="0"/>
  </r>
  <r>
    <x v="14"/>
    <x v="1"/>
    <n v="0.7"/>
    <n v="0.2"/>
    <n v="216"/>
    <n v="349"/>
    <n v="105"/>
    <n v="7"/>
    <n v="3.5"/>
    <n v="1"/>
    <n v="1"/>
    <x v="0"/>
  </r>
  <r>
    <x v="41"/>
    <x v="1"/>
    <n v="1.3"/>
    <n v="0.4"/>
    <n v="358"/>
    <n v="19"/>
    <n v="14"/>
    <n v="6.1"/>
    <n v="2.8"/>
    <n v="0.8"/>
    <n v="1"/>
    <x v="0"/>
  </r>
  <r>
    <x v="42"/>
    <x v="0"/>
    <n v="0.8"/>
    <n v="0.2"/>
    <n v="158"/>
    <n v="19"/>
    <n v="15"/>
    <n v="6.6"/>
    <n v="3.6"/>
    <n v="1.2"/>
    <n v="2"/>
    <x v="1"/>
  </r>
  <r>
    <x v="35"/>
    <x v="1"/>
    <n v="1.8"/>
    <n v="0.8"/>
    <n v="145"/>
    <n v="62"/>
    <n v="58"/>
    <n v="5.7"/>
    <n v="2.9"/>
    <n v="1"/>
    <n v="1"/>
    <x v="0"/>
  </r>
  <r>
    <x v="35"/>
    <x v="1"/>
    <n v="1.3"/>
    <n v="0.4"/>
    <n v="195"/>
    <n v="41"/>
    <n v="38"/>
    <n v="5.3"/>
    <n v="2.1"/>
    <n v="0.6"/>
    <n v="1"/>
    <x v="0"/>
  </r>
  <r>
    <x v="5"/>
    <x v="0"/>
    <n v="0.7"/>
    <n v="0.2"/>
    <n v="144"/>
    <n v="36"/>
    <n v="33"/>
    <n v="8.1999999999999993"/>
    <n v="4.3"/>
    <n v="1.1000000000000001"/>
    <n v="1"/>
    <x v="0"/>
  </r>
  <r>
    <x v="24"/>
    <x v="0"/>
    <n v="1.4"/>
    <n v="0.8"/>
    <n v="621"/>
    <n v="110"/>
    <n v="176"/>
    <n v="7.2"/>
    <n v="3.9"/>
    <n v="1.1000000000000001"/>
    <n v="1"/>
    <x v="0"/>
  </r>
  <r>
    <x v="24"/>
    <x v="0"/>
    <n v="0.8"/>
    <n v="0.2"/>
    <n v="150"/>
    <n v="25"/>
    <n v="23"/>
    <n v="7.5"/>
    <n v="3.9"/>
    <n v="1"/>
    <n v="1"/>
    <x v="0"/>
  </r>
  <r>
    <x v="38"/>
    <x v="1"/>
    <n v="1.4"/>
    <n v="0.8"/>
    <n v="178"/>
    <n v="13"/>
    <n v="26"/>
    <n v="8"/>
    <n v="4.5999999999999996"/>
    <n v="1.3"/>
    <n v="2"/>
    <x v="1"/>
  </r>
  <r>
    <x v="15"/>
    <x v="1"/>
    <n v="0.7"/>
    <n v="0.2"/>
    <n v="256"/>
    <n v="21"/>
    <n v="30"/>
    <n v="8.5"/>
    <n v="3.9"/>
    <n v="0.8"/>
    <n v="1"/>
    <x v="0"/>
  </r>
  <r>
    <x v="15"/>
    <x v="1"/>
    <n v="2.1"/>
    <n v="0.7"/>
    <n v="205"/>
    <n v="50"/>
    <n v="38"/>
    <n v="6.8"/>
    <n v="3"/>
    <n v="0.7"/>
    <n v="1"/>
    <x v="0"/>
  </r>
  <r>
    <x v="35"/>
    <x v="1"/>
    <n v="0.7"/>
    <n v="0.2"/>
    <n v="176"/>
    <n v="28"/>
    <n v="34"/>
    <n v="5.6"/>
    <n v="2.6"/>
    <n v="0.8"/>
    <n v="1"/>
    <x v="0"/>
  </r>
  <r>
    <x v="64"/>
    <x v="0"/>
    <n v="0.8"/>
    <n v="0.2"/>
    <n v="146"/>
    <n v="42"/>
    <n v="70"/>
    <n v="8.4"/>
    <n v="4.9000000000000004"/>
    <n v="1.4"/>
    <n v="2"/>
    <x v="1"/>
  </r>
  <r>
    <x v="49"/>
    <x v="1"/>
    <n v="0.7"/>
    <n v="0.2"/>
    <n v="218"/>
    <n v="47"/>
    <n v="26"/>
    <n v="6.6"/>
    <n v="3.3"/>
    <n v="1"/>
    <n v="1"/>
    <x v="0"/>
  </r>
  <r>
    <x v="0"/>
    <x v="0"/>
    <n v="0.7"/>
    <n v="0.2"/>
    <n v="182"/>
    <n v="23"/>
    <n v="28"/>
    <n v="6.8"/>
    <n v="2.9"/>
    <n v="0.7"/>
    <n v="2"/>
    <x v="1"/>
  </r>
  <r>
    <x v="8"/>
    <x v="1"/>
    <n v="1.1000000000000001"/>
    <n v="0.3"/>
    <n v="215"/>
    <n v="21"/>
    <n v="15"/>
    <n v="6.2"/>
    <n v="2.9"/>
    <n v="0.8"/>
    <n v="2"/>
    <x v="1"/>
  </r>
  <r>
    <x v="27"/>
    <x v="0"/>
    <n v="0.9"/>
    <n v="0.2"/>
    <n v="165"/>
    <n v="26"/>
    <n v="29"/>
    <n v="8.5"/>
    <n v="4.4000000000000004"/>
    <n v="1"/>
    <n v="2"/>
    <x v="1"/>
  </r>
  <r>
    <x v="31"/>
    <x v="1"/>
    <n v="0.8"/>
    <n v="0.2"/>
    <n v="183"/>
    <n v="33"/>
    <n v="57"/>
    <n v="6.8"/>
    <n v="3.5"/>
    <n v="1"/>
    <n v="2"/>
    <x v="1"/>
  </r>
  <r>
    <x v="16"/>
    <x v="1"/>
    <n v="0.7"/>
    <n v="0.2"/>
    <n v="176"/>
    <n v="28"/>
    <n v="43"/>
    <n v="5.3"/>
    <n v="2.4"/>
    <n v="0.8"/>
    <n v="2"/>
    <x v="1"/>
  </r>
  <r>
    <x v="65"/>
    <x v="1"/>
    <n v="0.7"/>
    <n v="0.2"/>
    <n v="418"/>
    <n v="28"/>
    <n v="35"/>
    <n v="7.2"/>
    <n v="4.0999999999999996"/>
    <n v="1.3"/>
    <n v="2"/>
    <x v="1"/>
  </r>
  <r>
    <x v="37"/>
    <x v="1"/>
    <n v="2.2000000000000002"/>
    <n v="1"/>
    <n v="271"/>
    <n v="45"/>
    <n v="52"/>
    <n v="6.1"/>
    <n v="2.9"/>
    <n v="0.9"/>
    <n v="2"/>
    <x v="1"/>
  </r>
  <r>
    <x v="27"/>
    <x v="0"/>
    <n v="0.8"/>
    <n v="0.2"/>
    <n v="182"/>
    <n v="22"/>
    <n v="20"/>
    <n v="7.2"/>
    <n v="3.9"/>
    <n v="1.1000000000000001"/>
    <n v="1"/>
    <x v="0"/>
  </r>
  <r>
    <x v="2"/>
    <x v="0"/>
    <n v="0.8"/>
    <n v="0.2"/>
    <n v="130"/>
    <n v="24"/>
    <n v="25"/>
    <n v="7"/>
    <n v="4"/>
    <n v="1.3"/>
    <n v="1"/>
    <x v="0"/>
  </r>
  <r>
    <x v="34"/>
    <x v="0"/>
    <n v="22.6"/>
    <n v="11.4"/>
    <n v="558"/>
    <n v="30"/>
    <n v="37"/>
    <n v="7.8"/>
    <n v="3.4"/>
    <n v="0.8"/>
    <n v="1"/>
    <x v="0"/>
  </r>
  <r>
    <x v="15"/>
    <x v="1"/>
    <n v="0.8"/>
    <n v="0.2"/>
    <n v="135"/>
    <n v="30"/>
    <n v="29"/>
    <n v="7.2"/>
    <n v="4.4000000000000004"/>
    <n v="1.5"/>
    <n v="2"/>
    <x v="1"/>
  </r>
  <r>
    <x v="24"/>
    <x v="1"/>
    <n v="0.7"/>
    <n v="0.2"/>
    <n v="326"/>
    <n v="29"/>
    <n v="17"/>
    <n v="8.6999999999999993"/>
    <n v="5.5"/>
    <n v="1.7"/>
    <n v="1"/>
    <x v="0"/>
  </r>
  <r>
    <x v="13"/>
    <x v="0"/>
    <n v="0.7"/>
    <n v="0.1"/>
    <n v="140"/>
    <n v="32"/>
    <n v="25"/>
    <n v="7.6"/>
    <n v="4.3"/>
    <n v="1.3"/>
    <n v="2"/>
    <x v="1"/>
  </r>
  <r>
    <x v="53"/>
    <x v="0"/>
    <n v="0.7"/>
    <n v="0.1"/>
    <n v="145"/>
    <n v="26"/>
    <n v="23"/>
    <n v="7"/>
    <n v="4"/>
    <n v="1.3"/>
    <n v="2"/>
    <x v="1"/>
  </r>
  <r>
    <x v="25"/>
    <x v="1"/>
    <n v="3.5"/>
    <n v="1.6"/>
    <n v="206"/>
    <n v="32"/>
    <n v="31"/>
    <n v="6.8"/>
    <n v="3.4"/>
    <n v="1"/>
    <n v="1"/>
    <x v="0"/>
  </r>
  <r>
    <x v="15"/>
    <x v="1"/>
    <n v="0.7"/>
    <n v="0.1"/>
    <n v="168"/>
    <n v="35"/>
    <n v="33"/>
    <n v="7"/>
    <n v="3.7"/>
    <n v="1.1000000000000001"/>
    <n v="1"/>
    <x v="0"/>
  </r>
  <r>
    <x v="20"/>
    <x v="0"/>
    <n v="0.6"/>
    <n v="0.2"/>
    <n v="202"/>
    <n v="12"/>
    <n v="13"/>
    <n v="6.1"/>
    <n v="3"/>
    <n v="0.9"/>
    <n v="2"/>
    <x v="1"/>
  </r>
  <r>
    <x v="28"/>
    <x v="0"/>
    <n v="0.7"/>
    <n v="0.1"/>
    <n v="192"/>
    <n v="20"/>
    <n v="41"/>
    <n v="7.3"/>
    <n v="3.3"/>
    <n v="0.8"/>
    <n v="1"/>
    <x v="0"/>
  </r>
  <r>
    <x v="3"/>
    <x v="1"/>
    <n v="0.7"/>
    <n v="0.2"/>
    <n v="185"/>
    <n v="16"/>
    <n v="22"/>
    <n v="7.3"/>
    <n v="3.7"/>
    <n v="1"/>
    <n v="2"/>
    <x v="1"/>
  </r>
  <r>
    <x v="28"/>
    <x v="1"/>
    <n v="1.7"/>
    <n v="0.8"/>
    <n v="331"/>
    <n v="36"/>
    <n v="53"/>
    <n v="7.3"/>
    <n v="3.4"/>
    <n v="0.9"/>
    <n v="1"/>
    <x v="0"/>
  </r>
  <r>
    <x v="46"/>
    <x v="1"/>
    <n v="0.6"/>
    <n v="0.2"/>
    <n v="188"/>
    <n v="28"/>
    <n v="43"/>
    <n v="8.1"/>
    <n v="3.3"/>
    <n v="0.6"/>
    <n v="1"/>
    <x v="0"/>
  </r>
  <r>
    <x v="2"/>
    <x v="0"/>
    <n v="0.7"/>
    <n v="0.1"/>
    <n v="172"/>
    <n v="27"/>
    <n v="22"/>
    <n v="6.7"/>
    <n v="3.2"/>
    <n v="0.9"/>
    <n v="1"/>
    <x v="0"/>
  </r>
  <r>
    <x v="37"/>
    <x v="0"/>
    <n v="1.4"/>
    <n v="0.7"/>
    <n v="159"/>
    <n v="10"/>
    <n v="12"/>
    <n v="4.9000000000000004"/>
    <n v="2.5"/>
    <n v="1"/>
    <n v="2"/>
    <x v="1"/>
  </r>
  <r>
    <x v="19"/>
    <x v="1"/>
    <n v="3.7"/>
    <n v="2.1"/>
    <n v="490"/>
    <n v="115"/>
    <n v="91"/>
    <n v="6.5"/>
    <n v="2.8"/>
    <n v="0.7"/>
    <n v="1"/>
    <x v="0"/>
  </r>
  <r>
    <x v="28"/>
    <x v="1"/>
    <n v="0.8"/>
    <n v="0.2"/>
    <n v="152"/>
    <n v="29"/>
    <n v="30"/>
    <n v="7.4"/>
    <n v="4.0999999999999996"/>
    <n v="1.3"/>
    <n v="1"/>
    <x v="0"/>
  </r>
  <r>
    <x v="14"/>
    <x v="1"/>
    <n v="2.7"/>
    <n v="1.4"/>
    <n v="105"/>
    <n v="25"/>
    <n v="21"/>
    <n v="7.5"/>
    <n v="4.2"/>
    <n v="1.2"/>
    <n v="2"/>
    <x v="1"/>
  </r>
  <r>
    <x v="17"/>
    <x v="1"/>
    <n v="0.8"/>
    <n v="0.2"/>
    <n v="160"/>
    <n v="34"/>
    <n v="20"/>
    <n v="6.9"/>
    <n v="3.7"/>
    <n v="1.1000000000000001"/>
    <n v="1"/>
    <x v="0"/>
  </r>
  <r>
    <x v="4"/>
    <x v="1"/>
    <n v="0.8"/>
    <n v="0.2"/>
    <n v="160"/>
    <n v="31"/>
    <n v="40"/>
    <n v="7.3"/>
    <n v="3.8"/>
    <n v="1.1000000000000001"/>
    <n v="1"/>
    <x v="0"/>
  </r>
  <r>
    <x v="3"/>
    <x v="1"/>
    <n v="0.6"/>
    <n v="0.1"/>
    <n v="102"/>
    <n v="31"/>
    <n v="35"/>
    <n v="6.3"/>
    <n v="3.2"/>
    <n v="1"/>
    <n v="1"/>
    <x v="0"/>
  </r>
  <r>
    <x v="3"/>
    <x v="1"/>
    <n v="0.8"/>
    <n v="0.2"/>
    <n v="148"/>
    <n v="23"/>
    <n v="35"/>
    <n v="6"/>
    <n v="3"/>
    <n v="1"/>
    <n v="1"/>
    <x v="0"/>
  </r>
  <r>
    <x v="39"/>
    <x v="1"/>
    <n v="0.9"/>
    <n v="0.2"/>
    <n v="162"/>
    <n v="25"/>
    <n v="20"/>
    <n v="6.9"/>
    <n v="3.7"/>
    <n v="1.1000000000000001"/>
    <n v="1"/>
    <x v="0"/>
  </r>
  <r>
    <x v="55"/>
    <x v="1"/>
    <n v="7.5"/>
    <n v="4.3"/>
    <n v="149"/>
    <n v="94"/>
    <n v="92"/>
    <n v="6.3"/>
    <n v="3.1"/>
    <n v="0.9"/>
    <n v="1"/>
    <x v="0"/>
  </r>
  <r>
    <x v="55"/>
    <x v="1"/>
    <n v="2.7"/>
    <n v="1.3"/>
    <n v="580"/>
    <n v="142"/>
    <n v="68"/>
    <n v="8"/>
    <n v="4"/>
    <n v="1"/>
    <n v="1"/>
    <x v="0"/>
  </r>
  <r>
    <x v="24"/>
    <x v="0"/>
    <n v="1"/>
    <n v="0.3"/>
    <n v="310"/>
    <n v="37"/>
    <n v="56"/>
    <n v="5.9"/>
    <n v="2.5"/>
    <n v="0.7"/>
    <n v="1"/>
    <x v="0"/>
  </r>
  <r>
    <x v="26"/>
    <x v="1"/>
    <n v="0.8"/>
    <n v="0.2"/>
    <n v="140"/>
    <n v="24"/>
    <n v="20"/>
    <n v="6.3"/>
    <n v="3.2"/>
    <n v="1"/>
    <n v="2"/>
    <x v="1"/>
  </r>
  <r>
    <x v="11"/>
    <x v="1"/>
    <n v="1"/>
    <n v="0.3"/>
    <n v="175"/>
    <n v="30"/>
    <n v="32"/>
    <n v="6.4"/>
    <n v="3.4"/>
    <n v="1.1000000000000001"/>
    <n v="1"/>
    <x v="0"/>
  </r>
  <r>
    <x v="66"/>
    <x v="1"/>
    <n v="1"/>
    <n v="0.3"/>
    <n v="152"/>
    <n v="28"/>
    <n v="70"/>
    <n v="6.3"/>
    <n v="3.1"/>
    <n v="0.9"/>
    <n v="1"/>
    <x v="0"/>
  </r>
  <r>
    <x v="14"/>
    <x v="1"/>
    <n v="0.8"/>
    <n v="0.2"/>
    <n v="208"/>
    <n v="25"/>
    <n v="50"/>
    <n v="7.1"/>
    <n v="3.7"/>
    <n v="1"/>
    <n v="1"/>
    <x v="0"/>
  </r>
  <r>
    <x v="47"/>
    <x v="1"/>
    <n v="1"/>
    <n v="0.2"/>
    <n v="205"/>
    <n v="137"/>
    <n v="145"/>
    <n v="6"/>
    <n v="3"/>
    <n v="1"/>
    <n v="1"/>
    <x v="0"/>
  </r>
  <r>
    <x v="36"/>
    <x v="0"/>
    <n v="0.7"/>
    <n v="0.2"/>
    <n v="162"/>
    <n v="24"/>
    <n v="20"/>
    <n v="6.4"/>
    <n v="3.2"/>
    <n v="1"/>
    <n v="2"/>
    <x v="1"/>
  </r>
  <r>
    <x v="28"/>
    <x v="1"/>
    <n v="7.3"/>
    <n v="3.7"/>
    <n v="92"/>
    <n v="44"/>
    <n v="236"/>
    <n v="6.8"/>
    <n v="1.6"/>
    <n v="0.3"/>
    <n v="1"/>
    <x v="0"/>
  </r>
  <r>
    <x v="27"/>
    <x v="0"/>
    <n v="0.5"/>
    <n v="0.1"/>
    <n v="162"/>
    <n v="155"/>
    <n v="108"/>
    <n v="8.1"/>
    <n v="4"/>
    <n v="0.9"/>
    <n v="1"/>
    <x v="0"/>
  </r>
  <r>
    <x v="0"/>
    <x v="1"/>
    <n v="0.7"/>
    <n v="0.2"/>
    <n v="199"/>
    <n v="19"/>
    <n v="22"/>
    <n v="6.3"/>
    <n v="3.6"/>
    <n v="1.3"/>
    <n v="2"/>
    <x v="1"/>
  </r>
  <r>
    <x v="57"/>
    <x v="1"/>
    <n v="0.8"/>
    <n v="0.2"/>
    <n v="198"/>
    <n v="20"/>
    <n v="26"/>
    <n v="6.8"/>
    <n v="3.9"/>
    <n v="1.3"/>
    <n v="1"/>
    <x v="0"/>
  </r>
  <r>
    <x v="33"/>
    <x v="0"/>
    <n v="0.8"/>
    <n v="0.2"/>
    <n v="215"/>
    <n v="15"/>
    <n v="21"/>
    <n v="7.6"/>
    <n v="4"/>
    <n v="1.1000000000000001"/>
    <n v="1"/>
    <x v="0"/>
  </r>
  <r>
    <x v="26"/>
    <x v="1"/>
    <n v="0.7"/>
    <n v="0.2"/>
    <n v="180"/>
    <n v="18"/>
    <n v="58"/>
    <n v="6.7"/>
    <n v="3.7"/>
    <n v="1.2"/>
    <n v="2"/>
    <x v="1"/>
  </r>
  <r>
    <x v="63"/>
    <x v="1"/>
    <n v="1"/>
    <n v="0.2"/>
    <n v="719"/>
    <n v="157"/>
    <n v="108"/>
    <n v="7.2"/>
    <n v="3.7"/>
    <n v="1"/>
    <n v="1"/>
    <x v="0"/>
  </r>
  <r>
    <x v="24"/>
    <x v="1"/>
    <n v="2.4"/>
    <n v="1.1000000000000001"/>
    <n v="554"/>
    <n v="141"/>
    <n v="73"/>
    <n v="7.5"/>
    <n v="3.6"/>
    <n v="0.9"/>
    <n v="1"/>
    <x v="0"/>
  </r>
  <r>
    <x v="24"/>
    <x v="1"/>
    <n v="5"/>
    <n v="2.6"/>
    <n v="555"/>
    <n v="284"/>
    <n v="190"/>
    <n v="6.5"/>
    <n v="3.3"/>
    <n v="1"/>
    <n v="1"/>
    <x v="0"/>
  </r>
  <r>
    <x v="45"/>
    <x v="1"/>
    <n v="1.4"/>
    <n v="0.6"/>
    <n v="215"/>
    <n v="440"/>
    <n v="850"/>
    <n v="5"/>
    <n v="1.9"/>
    <n v="0.6"/>
    <n v="1"/>
    <x v="0"/>
  </r>
  <r>
    <x v="62"/>
    <x v="0"/>
    <n v="2.2999999999999998"/>
    <n v="0.8"/>
    <n v="509"/>
    <n v="28"/>
    <n v="44"/>
    <n v="6.9"/>
    <n v="2.9"/>
    <n v="0.7"/>
    <n v="2"/>
    <x v="1"/>
  </r>
  <r>
    <x v="0"/>
    <x v="1"/>
    <n v="4.9000000000000004"/>
    <n v="2.7"/>
    <n v="190"/>
    <n v="33"/>
    <n v="71"/>
    <n v="7.1"/>
    <n v="2.9"/>
    <n v="0.7"/>
    <n v="1"/>
    <x v="0"/>
  </r>
  <r>
    <x v="24"/>
    <x v="1"/>
    <n v="0.7"/>
    <n v="0.2"/>
    <n v="208"/>
    <n v="15"/>
    <n v="30"/>
    <n v="4.5999999999999996"/>
    <n v="2.1"/>
    <n v="0.8"/>
    <n v="2"/>
    <x v="1"/>
  </r>
  <r>
    <x v="0"/>
    <x v="1"/>
    <n v="1.4"/>
    <n v="0.6"/>
    <n v="260"/>
    <n v="28"/>
    <n v="24"/>
    <n v="5.2"/>
    <n v="2.2000000000000002"/>
    <n v="0.7"/>
    <n v="2"/>
    <x v="1"/>
  </r>
  <r>
    <x v="41"/>
    <x v="1"/>
    <n v="1.3"/>
    <n v="0.3"/>
    <n v="690"/>
    <n v="93"/>
    <n v="40"/>
    <n v="3.6"/>
    <n v="2.7"/>
    <n v="0.7"/>
    <n v="1"/>
    <x v="0"/>
  </r>
  <r>
    <x v="41"/>
    <x v="1"/>
    <n v="0.6"/>
    <n v="0.1"/>
    <n v="862"/>
    <n v="76"/>
    <n v="180"/>
    <n v="6.3"/>
    <n v="2.7"/>
    <n v="0.75"/>
    <n v="1"/>
    <x v="0"/>
  </r>
  <r>
    <x v="67"/>
    <x v="1"/>
    <n v="0.7"/>
    <n v="0.1"/>
    <n v="592"/>
    <n v="26"/>
    <n v="29"/>
    <n v="7.1"/>
    <n v="4.2"/>
    <n v="1.4"/>
    <n v="2"/>
    <x v="1"/>
  </r>
  <r>
    <x v="28"/>
    <x v="1"/>
    <n v="4.2"/>
    <n v="2.2999999999999998"/>
    <n v="450"/>
    <n v="69"/>
    <n v="50"/>
    <n v="7"/>
    <n v="3"/>
    <n v="0.7"/>
    <n v="1"/>
    <x v="0"/>
  </r>
  <r>
    <x v="8"/>
    <x v="0"/>
    <n v="8.1999999999999993"/>
    <n v="3.9"/>
    <n v="1350"/>
    <n v="52"/>
    <n v="65"/>
    <n v="6.7"/>
    <n v="2.9"/>
    <n v="0.7"/>
    <n v="1"/>
    <x v="0"/>
  </r>
  <r>
    <x v="8"/>
    <x v="0"/>
    <n v="10.9"/>
    <n v="5.0999999999999996"/>
    <n v="1350"/>
    <n v="48"/>
    <n v="57"/>
    <n v="6.4"/>
    <n v="2.2999999999999998"/>
    <n v="0.5"/>
    <n v="1"/>
    <x v="0"/>
  </r>
  <r>
    <x v="5"/>
    <x v="1"/>
    <n v="1"/>
    <n v="0.3"/>
    <n v="163"/>
    <n v="48"/>
    <n v="71"/>
    <n v="7.1"/>
    <n v="3.7"/>
    <n v="1"/>
    <n v="2"/>
    <x v="1"/>
  </r>
  <r>
    <x v="55"/>
    <x v="1"/>
    <n v="1.2"/>
    <n v="0.5"/>
    <n v="246"/>
    <n v="34"/>
    <n v="42"/>
    <n v="6.9"/>
    <n v="3.4"/>
    <n v="0.97"/>
    <n v="1"/>
    <x v="0"/>
  </r>
  <r>
    <x v="51"/>
    <x v="1"/>
    <n v="1.6"/>
    <n v="0.9"/>
    <n v="178"/>
    <n v="44"/>
    <n v="59"/>
    <n v="6.5"/>
    <n v="3.9"/>
    <n v="1.5"/>
    <n v="2"/>
    <x v="1"/>
  </r>
  <r>
    <x v="32"/>
    <x v="0"/>
    <n v="0.7"/>
    <n v="0.1"/>
    <n v="240"/>
    <n v="12"/>
    <n v="15"/>
    <n v="7"/>
    <n v="3"/>
    <n v="0.7"/>
    <n v="1"/>
    <x v="0"/>
  </r>
  <r>
    <x v="2"/>
    <x v="1"/>
    <n v="0.4"/>
    <n v="0.1"/>
    <n v="100"/>
    <n v="59"/>
    <n v="126"/>
    <n v="4.3"/>
    <n v="2.5"/>
    <n v="1.4"/>
    <n v="1"/>
    <x v="0"/>
  </r>
  <r>
    <x v="26"/>
    <x v="1"/>
    <n v="1.3"/>
    <n v="0.6"/>
    <n v="166"/>
    <n v="49"/>
    <n v="42"/>
    <n v="5.6"/>
    <n v="2.5"/>
    <n v="0.8"/>
    <n v="2"/>
    <x v="1"/>
  </r>
  <r>
    <x v="0"/>
    <x v="1"/>
    <n v="0.9"/>
    <n v="0.2"/>
    <n v="170"/>
    <n v="33"/>
    <n v="66"/>
    <n v="7"/>
    <n v="3"/>
    <n v="0.75"/>
    <n v="1"/>
    <x v="0"/>
  </r>
  <r>
    <x v="22"/>
    <x v="0"/>
    <n v="0.6"/>
    <n v="0.1"/>
    <n v="194"/>
    <n v="10"/>
    <n v="12"/>
    <n v="6.9"/>
    <n v="3.3"/>
    <n v="0.9"/>
    <n v="2"/>
    <x v="1"/>
  </r>
  <r>
    <x v="68"/>
    <x v="1"/>
    <n v="1.9"/>
    <n v="0.7"/>
    <n v="1750"/>
    <n v="102"/>
    <n v="141"/>
    <n v="5.5"/>
    <n v="2"/>
    <n v="0.5"/>
    <n v="1"/>
    <x v="0"/>
  </r>
  <r>
    <x v="51"/>
    <x v="0"/>
    <n v="0.7"/>
    <n v="0.1"/>
    <n v="182"/>
    <n v="20"/>
    <n v="33"/>
    <n v="4.8"/>
    <n v="1.9"/>
    <n v="0.6"/>
    <n v="1"/>
    <x v="0"/>
  </r>
  <r>
    <x v="25"/>
    <x v="0"/>
    <n v="0.8"/>
    <n v="0.2"/>
    <n v="236"/>
    <n v="10"/>
    <n v="13"/>
    <n v="6.7"/>
    <n v="2.9"/>
    <n v="0.76"/>
    <n v="2"/>
    <x v="1"/>
  </r>
  <r>
    <x v="6"/>
    <x v="1"/>
    <n v="0.7"/>
    <n v="0.2"/>
    <n v="165"/>
    <n v="55"/>
    <n v="87"/>
    <n v="7.5"/>
    <n v="4.5999999999999996"/>
    <n v="1.58"/>
    <n v="1"/>
    <x v="0"/>
  </r>
  <r>
    <x v="55"/>
    <x v="0"/>
    <n v="0.9"/>
    <n v="0.2"/>
    <n v="201"/>
    <n v="31"/>
    <n v="24"/>
    <n v="7.6"/>
    <n v="3.8"/>
    <n v="1"/>
    <n v="2"/>
    <x v="1"/>
  </r>
  <r>
    <x v="23"/>
    <x v="0"/>
    <n v="0.7"/>
    <n v="0.2"/>
    <n v="194"/>
    <n v="32"/>
    <n v="36"/>
    <n v="7.5"/>
    <n v="3.6"/>
    <n v="0.92"/>
    <n v="2"/>
    <x v="1"/>
  </r>
  <r>
    <x v="7"/>
    <x v="0"/>
    <n v="0.5"/>
    <n v="0.1"/>
    <n v="206"/>
    <n v="28"/>
    <n v="21"/>
    <n v="7.1"/>
    <n v="4.5"/>
    <n v="1.7"/>
    <n v="2"/>
    <x v="1"/>
  </r>
  <r>
    <x v="62"/>
    <x v="1"/>
    <n v="1"/>
    <n v="0.3"/>
    <n v="212"/>
    <n v="41"/>
    <n v="80"/>
    <n v="6.2"/>
    <n v="3.1"/>
    <n v="1"/>
    <n v="1"/>
    <x v="0"/>
  </r>
  <r>
    <x v="30"/>
    <x v="1"/>
    <n v="1.6"/>
    <n v="0.7"/>
    <n v="157"/>
    <n v="15"/>
    <n v="44"/>
    <n v="5.2"/>
    <n v="2.5"/>
    <n v="0.9"/>
    <n v="1"/>
    <x v="0"/>
  </r>
  <r>
    <x v="0"/>
    <x v="1"/>
    <n v="0.8"/>
    <n v="0.2"/>
    <n v="162"/>
    <n v="30"/>
    <n v="90"/>
    <n v="3.8"/>
    <n v="1.4"/>
    <n v="0.5"/>
    <n v="1"/>
    <x v="0"/>
  </r>
  <r>
    <x v="27"/>
    <x v="0"/>
    <n v="0.8"/>
    <n v="0.2"/>
    <n v="168"/>
    <n v="25"/>
    <n v="18"/>
    <n v="6.2"/>
    <n v="3.1"/>
    <n v="1"/>
    <n v="1"/>
    <x v="0"/>
  </r>
  <r>
    <x v="42"/>
    <x v="0"/>
    <n v="0.8"/>
    <n v="0.2"/>
    <n v="198"/>
    <n v="23"/>
    <n v="20"/>
    <n v="7"/>
    <n v="4.3"/>
    <n v="1.5"/>
    <n v="1"/>
    <x v="0"/>
  </r>
  <r>
    <x v="27"/>
    <x v="0"/>
    <n v="2.2999999999999998"/>
    <n v="1.1000000000000001"/>
    <n v="292"/>
    <n v="29"/>
    <n v="39"/>
    <n v="4.0999999999999996"/>
    <n v="1.8"/>
    <n v="0.7"/>
    <n v="1"/>
    <x v="0"/>
  </r>
  <r>
    <x v="27"/>
    <x v="0"/>
    <n v="7.4"/>
    <n v="3.6"/>
    <n v="298"/>
    <n v="52"/>
    <n v="102"/>
    <n v="4.5999999999999996"/>
    <n v="1.9"/>
    <n v="0.7"/>
    <n v="1"/>
    <x v="0"/>
  </r>
  <r>
    <x v="27"/>
    <x v="0"/>
    <n v="0.7"/>
    <n v="0.2"/>
    <n v="152"/>
    <n v="35"/>
    <n v="81"/>
    <n v="6.2"/>
    <n v="3.2"/>
    <n v="1.06"/>
    <n v="1"/>
    <x v="0"/>
  </r>
  <r>
    <x v="12"/>
    <x v="1"/>
    <n v="0.8"/>
    <n v="0.2"/>
    <n v="163"/>
    <n v="18"/>
    <n v="19"/>
    <n v="6.3"/>
    <n v="2.8"/>
    <n v="0.8"/>
    <n v="2"/>
    <x v="1"/>
  </r>
  <r>
    <x v="7"/>
    <x v="1"/>
    <n v="0.9"/>
    <n v="0.2"/>
    <n v="279"/>
    <n v="40"/>
    <n v="46"/>
    <n v="7.3"/>
    <n v="4"/>
    <n v="1.2"/>
    <n v="2"/>
    <x v="1"/>
  </r>
  <r>
    <x v="34"/>
    <x v="1"/>
    <n v="0.8"/>
    <n v="0.2"/>
    <n v="181"/>
    <n v="35"/>
    <n v="20"/>
    <n v="5.5"/>
    <n v="2.7"/>
    <n v="0.96"/>
    <n v="1"/>
    <x v="0"/>
  </r>
  <r>
    <x v="26"/>
    <x v="0"/>
    <n v="23.3"/>
    <n v="12.8"/>
    <n v="1550"/>
    <n v="425"/>
    <n v="511"/>
    <n v="7.7"/>
    <n v="3.5"/>
    <n v="0.8"/>
    <n v="1"/>
    <x v="0"/>
  </r>
  <r>
    <x v="24"/>
    <x v="0"/>
    <n v="0.8"/>
    <n v="0.2"/>
    <n v="142"/>
    <n v="26"/>
    <n v="25"/>
    <n v="6"/>
    <n v="2.6"/>
    <n v="0.7"/>
    <n v="1"/>
    <x v="0"/>
  </r>
  <r>
    <x v="24"/>
    <x v="0"/>
    <n v="0.9"/>
    <n v="0.2"/>
    <n v="173"/>
    <n v="26"/>
    <n v="27"/>
    <n v="6.2"/>
    <n v="3.1"/>
    <n v="1"/>
    <n v="1"/>
    <x v="0"/>
  </r>
  <r>
    <x v="0"/>
    <x v="1"/>
    <n v="7.9"/>
    <n v="4.3"/>
    <n v="282"/>
    <n v="50"/>
    <n v="72"/>
    <n v="6"/>
    <n v="3"/>
    <n v="1"/>
    <n v="1"/>
    <x v="0"/>
  </r>
  <r>
    <x v="30"/>
    <x v="1"/>
    <n v="0.8"/>
    <n v="0.2"/>
    <n v="279"/>
    <n v="20"/>
    <n v="25"/>
    <n v="7.2"/>
    <n v="3.2"/>
    <n v="0.8"/>
    <n v="1"/>
    <x v="0"/>
  </r>
  <r>
    <x v="2"/>
    <x v="1"/>
    <n v="0.9"/>
    <n v="0.2"/>
    <n v="1100"/>
    <n v="25"/>
    <n v="36"/>
    <n v="7.1"/>
    <n v="3.5"/>
    <n v="0.9"/>
    <n v="1"/>
    <x v="0"/>
  </r>
  <r>
    <x v="4"/>
    <x v="1"/>
    <n v="0.7"/>
    <n v="0.2"/>
    <n v="224"/>
    <n v="40"/>
    <n v="23"/>
    <n v="7.1"/>
    <n v="3"/>
    <n v="0.7"/>
    <n v="1"/>
    <x v="0"/>
  </r>
  <r>
    <x v="50"/>
    <x v="1"/>
    <n v="0.6"/>
    <n v="0.2"/>
    <n v="159"/>
    <n v="15"/>
    <n v="16"/>
    <n v="7"/>
    <n v="3.5"/>
    <n v="1"/>
    <n v="2"/>
    <x v="1"/>
  </r>
  <r>
    <x v="31"/>
    <x v="0"/>
    <n v="0.6"/>
    <n v="0.1"/>
    <n v="186"/>
    <n v="25"/>
    <n v="22"/>
    <n v="6.8"/>
    <n v="3.4"/>
    <n v="1"/>
    <n v="1"/>
    <x v="0"/>
  </r>
  <r>
    <x v="32"/>
    <x v="1"/>
    <n v="0.7"/>
    <n v="0.2"/>
    <n v="189"/>
    <n v="22"/>
    <n v="43"/>
    <n v="7.4"/>
    <n v="3.1"/>
    <n v="0.7"/>
    <n v="2"/>
    <x v="1"/>
  </r>
  <r>
    <x v="12"/>
    <x v="1"/>
    <n v="0.8"/>
    <n v="0.2"/>
    <n v="192"/>
    <n v="28"/>
    <n v="35"/>
    <n v="6.9"/>
    <n v="3.4"/>
    <n v="0.9"/>
    <n v="2"/>
    <x v="1"/>
  </r>
  <r>
    <x v="5"/>
    <x v="1"/>
    <n v="6.8"/>
    <n v="3.2"/>
    <n v="140"/>
    <n v="37"/>
    <n v="19"/>
    <n v="3.6"/>
    <n v="0.9"/>
    <n v="0.3"/>
    <n v="1"/>
    <x v="0"/>
  </r>
  <r>
    <x v="0"/>
    <x v="1"/>
    <n v="1.1000000000000001"/>
    <n v="0.5"/>
    <n v="686"/>
    <n v="16"/>
    <n v="46"/>
    <n v="5.7"/>
    <n v="1.5"/>
    <n v="0.35"/>
    <n v="1"/>
    <x v="0"/>
  </r>
  <r>
    <x v="57"/>
    <x v="0"/>
    <n v="2.2000000000000002"/>
    <n v="1"/>
    <n v="215"/>
    <n v="159"/>
    <n v="51"/>
    <n v="5.5"/>
    <n v="2.5"/>
    <n v="0.8"/>
    <n v="1"/>
    <x v="0"/>
  </r>
  <r>
    <x v="50"/>
    <x v="0"/>
    <n v="0.8"/>
    <n v="0.2"/>
    <n v="309"/>
    <n v="55"/>
    <n v="23"/>
    <n v="6.8"/>
    <n v="4.0999999999999996"/>
    <n v="1.51"/>
    <n v="1"/>
    <x v="0"/>
  </r>
  <r>
    <x v="14"/>
    <x v="1"/>
    <n v="0.7"/>
    <n v="0.2"/>
    <n v="110"/>
    <n v="22"/>
    <n v="18"/>
    <n v="6.4"/>
    <n v="2.5"/>
    <n v="0.64"/>
    <n v="1"/>
    <x v="0"/>
  </r>
  <r>
    <x v="13"/>
    <x v="1"/>
    <n v="0.8"/>
    <n v="0.1"/>
    <n v="130"/>
    <n v="23"/>
    <n v="42"/>
    <n v="8"/>
    <n v="4"/>
    <n v="1"/>
    <n v="1"/>
    <x v="0"/>
  </r>
  <r>
    <x v="26"/>
    <x v="0"/>
    <n v="0.7"/>
    <n v="0.2"/>
    <n v="164"/>
    <n v="21"/>
    <n v="53"/>
    <n v="4.5"/>
    <n v="1.4"/>
    <n v="0.45"/>
    <n v="2"/>
    <x v="1"/>
  </r>
  <r>
    <x v="26"/>
    <x v="0"/>
    <n v="0.6"/>
    <n v="0.1"/>
    <n v="270"/>
    <n v="23"/>
    <n v="42"/>
    <n v="5.0999999999999996"/>
    <n v="2"/>
    <n v="0.5"/>
    <n v="2"/>
    <x v="1"/>
  </r>
  <r>
    <x v="50"/>
    <x v="0"/>
    <n v="0.6"/>
    <n v="0.1"/>
    <n v="137"/>
    <n v="22"/>
    <n v="16"/>
    <n v="4.9000000000000004"/>
    <n v="1.9"/>
    <n v="0.6"/>
    <n v="2"/>
    <x v="1"/>
  </r>
  <r>
    <x v="50"/>
    <x v="0"/>
    <n v="1"/>
    <n v="0.3"/>
    <n v="90"/>
    <n v="18"/>
    <n v="108"/>
    <n v="6.8"/>
    <n v="3.1"/>
    <n v="0.8"/>
    <n v="2"/>
    <x v="1"/>
  </r>
  <r>
    <x v="36"/>
    <x v="1"/>
    <n v="1"/>
    <n v="0.3"/>
    <n v="190"/>
    <n v="30"/>
    <n v="54"/>
    <n v="5.3"/>
    <n v="2.1"/>
    <n v="0.6"/>
    <n v="1"/>
    <x v="0"/>
  </r>
  <r>
    <x v="36"/>
    <x v="1"/>
    <n v="0.8"/>
    <n v="0.2"/>
    <n v="165"/>
    <n v="22"/>
    <n v="32"/>
    <n v="4.4000000000000004"/>
    <n v="2"/>
    <n v="0.8"/>
    <n v="1"/>
    <x v="0"/>
  </r>
  <r>
    <x v="36"/>
    <x v="1"/>
    <n v="1.1000000000000001"/>
    <n v="0.5"/>
    <n v="167"/>
    <n v="13"/>
    <n v="56"/>
    <n v="7.1"/>
    <n v="4.0999999999999996"/>
    <n v="1.36"/>
    <n v="1"/>
    <x v="0"/>
  </r>
  <r>
    <x v="42"/>
    <x v="0"/>
    <n v="0.6"/>
    <n v="0.1"/>
    <n v="185"/>
    <n v="17"/>
    <n v="26"/>
    <n v="6.6"/>
    <n v="2.9"/>
    <n v="0.7"/>
    <n v="2"/>
    <x v="1"/>
  </r>
  <r>
    <x v="27"/>
    <x v="1"/>
    <n v="0.7"/>
    <n v="0.2"/>
    <n v="197"/>
    <n v="64"/>
    <n v="33"/>
    <n v="5.8"/>
    <n v="2.4"/>
    <n v="0.7"/>
    <n v="2"/>
    <x v="1"/>
  </r>
  <r>
    <x v="27"/>
    <x v="1"/>
    <n v="1"/>
    <n v="0.3"/>
    <n v="154"/>
    <n v="38"/>
    <n v="21"/>
    <n v="6.8"/>
    <n v="3.9"/>
    <n v="1.3"/>
    <n v="2"/>
    <x v="1"/>
  </r>
  <r>
    <x v="30"/>
    <x v="1"/>
    <n v="2"/>
    <n v="1.1000000000000001"/>
    <n v="226"/>
    <n v="33"/>
    <n v="135"/>
    <n v="6"/>
    <n v="2.7"/>
    <n v="0.8"/>
    <n v="2"/>
    <x v="1"/>
  </r>
  <r>
    <x v="14"/>
    <x v="1"/>
    <n v="2.2000000000000002"/>
    <n v="1"/>
    <n v="310"/>
    <n v="119"/>
    <n v="42"/>
    <n v="7.9"/>
    <n v="4.0999999999999996"/>
    <n v="1"/>
    <n v="2"/>
    <x v="1"/>
  </r>
  <r>
    <x v="14"/>
    <x v="1"/>
    <n v="0.9"/>
    <n v="0.3"/>
    <n v="310"/>
    <n v="15"/>
    <n v="25"/>
    <n v="5.5"/>
    <n v="2.7"/>
    <n v="1"/>
    <n v="1"/>
    <x v="0"/>
  </r>
  <r>
    <x v="8"/>
    <x v="1"/>
    <n v="0.6"/>
    <n v="0.2"/>
    <n v="220"/>
    <n v="24"/>
    <n v="32"/>
    <n v="5.0999999999999996"/>
    <n v="2.4"/>
    <n v="0.88"/>
    <n v="1"/>
    <x v="0"/>
  </r>
  <r>
    <x v="15"/>
    <x v="1"/>
    <n v="7.1"/>
    <n v="3.7"/>
    <n v="196"/>
    <n v="622"/>
    <n v="497"/>
    <n v="6.9"/>
    <n v="3.6"/>
    <n v="1.0900000000000001"/>
    <n v="1"/>
    <x v="0"/>
  </r>
  <r>
    <x v="15"/>
    <x v="1"/>
    <n v="3.4"/>
    <n v="1.6"/>
    <n v="186"/>
    <n v="779"/>
    <n v="844"/>
    <n v="7.3"/>
    <n v="3.2"/>
    <n v="0.7"/>
    <n v="1"/>
    <x v="0"/>
  </r>
  <r>
    <x v="56"/>
    <x v="1"/>
    <n v="0.5"/>
    <n v="0.1"/>
    <n v="352"/>
    <n v="28"/>
    <n v="51"/>
    <n v="7.9"/>
    <n v="4.2"/>
    <n v="1.1000000000000001"/>
    <n v="2"/>
    <x v="1"/>
  </r>
  <r>
    <x v="26"/>
    <x v="1"/>
    <n v="2.2999999999999998"/>
    <n v="1.3"/>
    <n v="282"/>
    <n v="132"/>
    <n v="368"/>
    <n v="7.3"/>
    <n v="4"/>
    <n v="1.2"/>
    <n v="1"/>
    <x v="0"/>
  </r>
  <r>
    <x v="26"/>
    <x v="1"/>
    <n v="1.1000000000000001"/>
    <n v="0.4"/>
    <n v="92"/>
    <n v="91"/>
    <n v="188"/>
    <n v="7.2"/>
    <n v="3.8"/>
    <n v="1.1100000000000001"/>
    <n v="1"/>
    <x v="0"/>
  </r>
  <r>
    <x v="23"/>
    <x v="1"/>
    <n v="0.8"/>
    <n v="0.2"/>
    <n v="182"/>
    <n v="46"/>
    <n v="57"/>
    <n v="7.8"/>
    <n v="4.3"/>
    <n v="1.2"/>
    <n v="2"/>
    <x v="1"/>
  </r>
  <r>
    <x v="1"/>
    <x v="1"/>
    <n v="5"/>
    <n v="2.1"/>
    <n v="103"/>
    <n v="18"/>
    <n v="40"/>
    <n v="5"/>
    <n v="2.1"/>
    <n v="1.72"/>
    <n v="1"/>
    <x v="0"/>
  </r>
  <r>
    <x v="57"/>
    <x v="0"/>
    <n v="6.7"/>
    <n v="3.2"/>
    <n v="850"/>
    <n v="154"/>
    <n v="248"/>
    <n v="6.2"/>
    <n v="2.8"/>
    <n v="0.8"/>
    <n v="1"/>
    <x v="0"/>
  </r>
  <r>
    <x v="27"/>
    <x v="0"/>
    <n v="0.8"/>
    <n v="0.2"/>
    <n v="195"/>
    <n v="18"/>
    <n v="15"/>
    <n v="6.7"/>
    <n v="3"/>
    <n v="0.8"/>
    <n v="1"/>
    <x v="0"/>
  </r>
  <r>
    <x v="32"/>
    <x v="1"/>
    <n v="0.7"/>
    <n v="0.2"/>
    <n v="276"/>
    <n v="102"/>
    <n v="190"/>
    <n v="6"/>
    <n v="2.9"/>
    <n v="0.93"/>
    <n v="1"/>
    <x v="0"/>
  </r>
  <r>
    <x v="37"/>
    <x v="1"/>
    <n v="0.7"/>
    <n v="0.2"/>
    <n v="171"/>
    <n v="31"/>
    <n v="26"/>
    <n v="7"/>
    <n v="3.5"/>
    <n v="1"/>
    <n v="2"/>
    <x v="1"/>
  </r>
  <r>
    <x v="0"/>
    <x v="1"/>
    <n v="0.8"/>
    <n v="0.1"/>
    <n v="146"/>
    <n v="17"/>
    <n v="29"/>
    <n v="5.9"/>
    <n v="3.2"/>
    <n v="1.18"/>
    <n v="2"/>
    <x v="1"/>
  </r>
  <r>
    <x v="51"/>
    <x v="0"/>
    <n v="0.8"/>
    <n v="0.2"/>
    <n v="193"/>
    <n v="96"/>
    <n v="57"/>
    <n v="6.7"/>
    <n v="3.6"/>
    <n v="1.1599999999999999"/>
    <n v="1"/>
    <x v="0"/>
  </r>
  <r>
    <x v="47"/>
    <x v="1"/>
    <n v="1"/>
    <n v="0.3"/>
    <n v="180"/>
    <n v="56"/>
    <n v="111"/>
    <n v="6.8"/>
    <n v="3.9"/>
    <n v="1.85"/>
    <n v="2"/>
    <x v="1"/>
  </r>
  <r>
    <x v="30"/>
    <x v="0"/>
    <n v="1"/>
    <n v="0.3"/>
    <n v="805"/>
    <n v="133"/>
    <n v="103"/>
    <n v="7.9"/>
    <n v="3.3"/>
    <n v="0.7"/>
    <n v="1"/>
    <x v="0"/>
  </r>
  <r>
    <x v="0"/>
    <x v="1"/>
    <n v="0.7"/>
    <n v="0.2"/>
    <n v="265"/>
    <n v="30"/>
    <n v="28"/>
    <n v="5.2"/>
    <n v="1.8"/>
    <n v="0.52"/>
    <n v="2"/>
    <x v="1"/>
  </r>
  <r>
    <x v="13"/>
    <x v="1"/>
    <n v="0.7"/>
    <n v="0.2"/>
    <n v="185"/>
    <n v="196"/>
    <n v="401"/>
    <n v="6.5"/>
    <n v="3.9"/>
    <n v="1.5"/>
    <n v="1"/>
    <x v="0"/>
  </r>
  <r>
    <x v="32"/>
    <x v="1"/>
    <n v="0.7"/>
    <n v="0.2"/>
    <n v="165"/>
    <n v="31"/>
    <n v="29"/>
    <n v="6.1"/>
    <n v="3"/>
    <n v="0.96"/>
    <n v="2"/>
    <x v="1"/>
  </r>
  <r>
    <x v="49"/>
    <x v="1"/>
    <n v="1"/>
    <n v="0.2"/>
    <n v="189"/>
    <n v="52"/>
    <n v="31"/>
    <n v="8"/>
    <n v="4.8"/>
    <n v="1.5"/>
    <n v="1"/>
    <x v="0"/>
  </r>
  <r>
    <x v="69"/>
    <x v="1"/>
    <n v="2.2000000000000002"/>
    <n v="1.1000000000000001"/>
    <n v="198"/>
    <n v="42"/>
    <n v="39"/>
    <n v="7.2"/>
    <n v="3"/>
    <n v="0.7"/>
    <n v="1"/>
    <x v="0"/>
  </r>
  <r>
    <x v="40"/>
    <x v="1"/>
    <n v="1.8"/>
    <n v="0.5"/>
    <n v="151"/>
    <n v="18"/>
    <n v="22"/>
    <n v="6.5"/>
    <n v="4"/>
    <n v="1.6"/>
    <n v="1"/>
    <x v="0"/>
  </r>
  <r>
    <x v="8"/>
    <x v="1"/>
    <n v="3.6"/>
    <n v="1.6"/>
    <n v="349"/>
    <n v="40"/>
    <n v="70"/>
    <n v="7.2"/>
    <n v="2.9"/>
    <n v="0.6"/>
    <n v="1"/>
    <x v="0"/>
  </r>
  <r>
    <x v="41"/>
    <x v="1"/>
    <n v="2.7"/>
    <n v="1.2"/>
    <n v="365"/>
    <n v="62"/>
    <n v="55"/>
    <n v="6"/>
    <n v="2.4"/>
    <n v="0.6"/>
    <n v="1"/>
    <x v="0"/>
  </r>
  <r>
    <x v="48"/>
    <x v="1"/>
    <n v="2.8"/>
    <n v="1.5"/>
    <n v="305"/>
    <n v="28"/>
    <n v="76"/>
    <n v="5.9"/>
    <n v="2.5"/>
    <n v="0.7"/>
    <n v="1"/>
    <x v="0"/>
  </r>
  <r>
    <x v="27"/>
    <x v="1"/>
    <n v="0.8"/>
    <n v="0.2"/>
    <n v="127"/>
    <n v="29"/>
    <n v="30"/>
    <n v="4.9000000000000004"/>
    <n v="2.7"/>
    <n v="1.2"/>
    <n v="1"/>
    <x v="0"/>
  </r>
  <r>
    <x v="51"/>
    <x v="1"/>
    <n v="19.8"/>
    <n v="10.4"/>
    <n v="238"/>
    <n v="39"/>
    <n v="221"/>
    <n v="8.1"/>
    <n v="2.5"/>
    <n v="0.4"/>
    <n v="1"/>
    <x v="0"/>
  </r>
  <r>
    <x v="32"/>
    <x v="1"/>
    <n v="30.5"/>
    <n v="17.100000000000001"/>
    <n v="218"/>
    <n v="39"/>
    <n v="79"/>
    <n v="5.5"/>
    <n v="2.7"/>
    <n v="0.9"/>
    <n v="1"/>
    <x v="0"/>
  </r>
  <r>
    <x v="32"/>
    <x v="1"/>
    <n v="32.6"/>
    <n v="14.1"/>
    <n v="219"/>
    <n v="95"/>
    <n v="235"/>
    <n v="5.8"/>
    <n v="3.1"/>
    <n v="1.1000000000000001"/>
    <n v="1"/>
    <x v="0"/>
  </r>
  <r>
    <x v="53"/>
    <x v="1"/>
    <n v="17.7"/>
    <n v="8.8000000000000007"/>
    <n v="239"/>
    <n v="43"/>
    <n v="185"/>
    <n v="5.6"/>
    <n v="2.4"/>
    <n v="0.7"/>
    <n v="1"/>
    <x v="0"/>
  </r>
  <r>
    <x v="28"/>
    <x v="1"/>
    <n v="0.9"/>
    <n v="0.3"/>
    <n v="194"/>
    <n v="190"/>
    <n v="73"/>
    <n v="7.5"/>
    <n v="3.9"/>
    <n v="1"/>
    <n v="1"/>
    <x v="0"/>
  </r>
  <r>
    <x v="4"/>
    <x v="1"/>
    <n v="18.399999999999999"/>
    <n v="8.5"/>
    <n v="450"/>
    <n v="119"/>
    <n v="230"/>
    <n v="7.5"/>
    <n v="3.3"/>
    <n v="0.7"/>
    <n v="1"/>
    <x v="0"/>
  </r>
  <r>
    <x v="4"/>
    <x v="1"/>
    <n v="20"/>
    <n v="10"/>
    <n v="254"/>
    <n v="140"/>
    <n v="540"/>
    <n v="5.4"/>
    <n v="3"/>
    <n v="1.2"/>
    <n v="1"/>
    <x v="0"/>
  </r>
  <r>
    <x v="35"/>
    <x v="0"/>
    <n v="0.8"/>
    <n v="0.2"/>
    <n v="205"/>
    <n v="31"/>
    <n v="36"/>
    <n v="9.1999999999999993"/>
    <n v="4.5999999999999996"/>
    <n v="1"/>
    <n v="2"/>
    <x v="1"/>
  </r>
  <r>
    <x v="26"/>
    <x v="1"/>
    <n v="2.2000000000000002"/>
    <n v="1.6"/>
    <n v="320"/>
    <n v="37"/>
    <n v="48"/>
    <n v="6.8"/>
    <n v="3.4"/>
    <n v="1"/>
    <n v="1"/>
    <x v="0"/>
  </r>
  <r>
    <x v="53"/>
    <x v="1"/>
    <n v="1"/>
    <n v="0.3"/>
    <n v="195"/>
    <n v="22"/>
    <n v="28"/>
    <n v="5.8"/>
    <n v="2.6"/>
    <n v="0.8"/>
    <n v="2"/>
    <x v="1"/>
  </r>
  <r>
    <x v="64"/>
    <x v="1"/>
    <n v="0.9"/>
    <n v="0.2"/>
    <n v="215"/>
    <n v="32"/>
    <n v="24"/>
    <n v="6.9"/>
    <n v="3"/>
    <n v="0.7"/>
    <n v="1"/>
    <x v="0"/>
  </r>
  <r>
    <x v="42"/>
    <x v="1"/>
    <n v="1"/>
    <n v="0.3"/>
    <n v="230"/>
    <n v="48"/>
    <n v="58"/>
    <n v="8.4"/>
    <n v="4.2"/>
    <n v="1"/>
    <n v="1"/>
    <x v="0"/>
  </r>
  <r>
    <x v="42"/>
    <x v="1"/>
    <n v="3.9"/>
    <n v="2.1"/>
    <n v="189"/>
    <n v="65"/>
    <n v="181"/>
    <n v="6.9"/>
    <n v="3"/>
    <n v="0.7"/>
    <n v="1"/>
    <x v="0"/>
  </r>
  <r>
    <x v="37"/>
    <x v="1"/>
    <n v="0.9"/>
    <n v="0.3"/>
    <n v="168"/>
    <n v="16"/>
    <n v="24"/>
    <n v="6.7"/>
    <n v="3"/>
    <n v="0.8"/>
    <n v="1"/>
    <x v="0"/>
  </r>
  <r>
    <x v="50"/>
    <x v="1"/>
    <n v="0.9"/>
    <n v="0.2"/>
    <n v="215"/>
    <n v="50"/>
    <n v="28"/>
    <n v="8"/>
    <n v="4"/>
    <n v="1"/>
    <n v="1"/>
    <x v="0"/>
  </r>
  <r>
    <x v="26"/>
    <x v="1"/>
    <n v="2.9"/>
    <n v="1.4"/>
    <n v="210"/>
    <n v="74"/>
    <n v="68"/>
    <n v="7.2"/>
    <n v="3.6"/>
    <n v="1"/>
    <n v="1"/>
    <x v="0"/>
  </r>
  <r>
    <x v="30"/>
    <x v="1"/>
    <n v="26.3"/>
    <n v="12.1"/>
    <n v="108"/>
    <n v="168"/>
    <n v="630"/>
    <n v="9.1999999999999993"/>
    <n v="2"/>
    <n v="0.3"/>
    <n v="1"/>
    <x v="0"/>
  </r>
  <r>
    <x v="1"/>
    <x v="1"/>
    <n v="1.8"/>
    <n v="0.9"/>
    <n v="224"/>
    <n v="69"/>
    <n v="155"/>
    <n v="8.6"/>
    <n v="4"/>
    <n v="0.8"/>
    <n v="1"/>
    <x v="0"/>
  </r>
  <r>
    <x v="8"/>
    <x v="1"/>
    <n v="4.4000000000000004"/>
    <n v="2.9"/>
    <n v="230"/>
    <n v="14"/>
    <n v="25"/>
    <n v="7.1"/>
    <n v="2.1"/>
    <n v="0.4"/>
    <n v="1"/>
    <x v="0"/>
  </r>
  <r>
    <x v="4"/>
    <x v="0"/>
    <n v="0.8"/>
    <n v="0.2"/>
    <n v="185"/>
    <n v="24"/>
    <n v="15"/>
    <n v="7.9"/>
    <n v="3.7"/>
    <n v="0.8"/>
    <n v="1"/>
    <x v="0"/>
  </r>
  <r>
    <x v="28"/>
    <x v="1"/>
    <n v="0.6"/>
    <n v="0.2"/>
    <n v="137"/>
    <n v="15"/>
    <n v="16"/>
    <n v="4.8"/>
    <n v="2.6"/>
    <n v="1.1000000000000001"/>
    <n v="1"/>
    <x v="0"/>
  </r>
  <r>
    <x v="6"/>
    <x v="1"/>
    <n v="0.8"/>
    <n v="0.2"/>
    <n v="156"/>
    <n v="12"/>
    <n v="15"/>
    <n v="6.8"/>
    <n v="3.7"/>
    <n v="1.1000000000000001"/>
    <n v="2"/>
    <x v="1"/>
  </r>
  <r>
    <x v="51"/>
    <x v="0"/>
    <n v="0.9"/>
    <n v="0.2"/>
    <n v="210"/>
    <n v="35"/>
    <n v="32"/>
    <n v="8"/>
    <n v="3.9"/>
    <n v="0.9"/>
    <n v="2"/>
    <x v="1"/>
  </r>
  <r>
    <x v="4"/>
    <x v="1"/>
    <n v="9.4"/>
    <n v="5.2"/>
    <n v="268"/>
    <n v="21"/>
    <n v="63"/>
    <n v="6.4"/>
    <n v="2.8"/>
    <n v="0.8"/>
    <n v="1"/>
    <x v="0"/>
  </r>
  <r>
    <x v="16"/>
    <x v="1"/>
    <n v="3.5"/>
    <n v="1.6"/>
    <n v="298"/>
    <n v="68"/>
    <n v="200"/>
    <n v="7.1"/>
    <n v="3.4"/>
    <n v="0.9"/>
    <n v="1"/>
    <x v="0"/>
  </r>
  <r>
    <x v="26"/>
    <x v="1"/>
    <n v="1.7"/>
    <n v="0.8"/>
    <n v="315"/>
    <n v="12"/>
    <n v="38"/>
    <n v="6.3"/>
    <n v="2.1"/>
    <n v="0.5"/>
    <n v="1"/>
    <x v="0"/>
  </r>
  <r>
    <x v="8"/>
    <x v="1"/>
    <n v="3.3"/>
    <n v="1.5"/>
    <n v="214"/>
    <n v="54"/>
    <n v="152"/>
    <n v="5.0999999999999996"/>
    <n v="1.8"/>
    <n v="0.5"/>
    <n v="1"/>
    <x v="0"/>
  </r>
  <r>
    <x v="57"/>
    <x v="0"/>
    <n v="1.1000000000000001"/>
    <n v="0.3"/>
    <n v="138"/>
    <n v="14"/>
    <n v="21"/>
    <n v="7"/>
    <n v="3.8"/>
    <n v="1.1000000000000001"/>
    <n v="2"/>
    <x v="1"/>
  </r>
  <r>
    <x v="16"/>
    <x v="1"/>
    <n v="30.8"/>
    <n v="18.3"/>
    <n v="285"/>
    <n v="110"/>
    <n v="186"/>
    <n v="7.9"/>
    <n v="2.7"/>
    <n v="0.5"/>
    <n v="1"/>
    <x v="0"/>
  </r>
  <r>
    <x v="1"/>
    <x v="1"/>
    <n v="0.7"/>
    <n v="0.2"/>
    <n v="162"/>
    <n v="12"/>
    <n v="17"/>
    <n v="8.1999999999999993"/>
    <n v="3.2"/>
    <n v="0.6"/>
    <n v="2"/>
    <x v="1"/>
  </r>
  <r>
    <x v="4"/>
    <x v="0"/>
    <n v="1.4"/>
    <n v="0.4"/>
    <n v="298"/>
    <n v="509"/>
    <n v="623"/>
    <n v="3.6"/>
    <n v="1"/>
    <n v="0.3"/>
    <n v="1"/>
    <x v="0"/>
  </r>
  <r>
    <x v="46"/>
    <x v="1"/>
    <n v="1.6"/>
    <n v="0.8"/>
    <n v="230"/>
    <n v="88"/>
    <n v="74"/>
    <n v="8"/>
    <n v="4"/>
    <n v="1"/>
    <n v="2"/>
    <x v="1"/>
  </r>
  <r>
    <x v="37"/>
    <x v="1"/>
    <n v="19.600000000000001"/>
    <n v="9.5"/>
    <n v="466"/>
    <n v="46"/>
    <n v="52"/>
    <n v="6.1"/>
    <n v="2"/>
    <n v="0.4"/>
    <n v="1"/>
    <x v="0"/>
  </r>
  <r>
    <x v="4"/>
    <x v="1"/>
    <n v="15.8"/>
    <n v="7.2"/>
    <n v="227"/>
    <n v="67"/>
    <n v="220"/>
    <n v="6.9"/>
    <n v="2.6"/>
    <n v="0.6"/>
    <n v="1"/>
    <x v="0"/>
  </r>
  <r>
    <x v="70"/>
    <x v="0"/>
    <n v="0.8"/>
    <n v="0.1"/>
    <n v="395"/>
    <n v="25"/>
    <n v="75"/>
    <n v="7.6"/>
    <n v="3.6"/>
    <n v="0.9"/>
    <n v="1"/>
    <x v="0"/>
  </r>
  <r>
    <x v="22"/>
    <x v="1"/>
    <n v="1.8"/>
    <n v="0.8"/>
    <n v="97"/>
    <n v="85"/>
    <n v="78"/>
    <n v="6.4"/>
    <n v="2.7"/>
    <n v="0.7"/>
    <n v="1"/>
    <x v="0"/>
  </r>
  <r>
    <x v="0"/>
    <x v="0"/>
    <n v="0.7"/>
    <n v="0.2"/>
    <n v="406"/>
    <n v="24"/>
    <n v="45"/>
    <n v="7.2"/>
    <n v="3.5"/>
    <n v="0.9"/>
    <n v="2"/>
    <x v="1"/>
  </r>
  <r>
    <x v="27"/>
    <x v="1"/>
    <n v="0.8"/>
    <n v="0.2"/>
    <n v="114"/>
    <n v="21"/>
    <n v="23"/>
    <n v="7"/>
    <n v="3"/>
    <n v="0.7"/>
    <n v="2"/>
    <x v="1"/>
  </r>
  <r>
    <x v="27"/>
    <x v="1"/>
    <n v="0.8"/>
    <n v="0.2"/>
    <n v="198"/>
    <n v="29"/>
    <n v="19"/>
    <n v="6.6"/>
    <n v="3"/>
    <n v="0.8"/>
    <n v="2"/>
    <x v="1"/>
  </r>
  <r>
    <x v="1"/>
    <x v="1"/>
    <n v="0.7"/>
    <n v="0.2"/>
    <n v="173"/>
    <n v="46"/>
    <n v="47"/>
    <n v="7.3"/>
    <n v="4.0999999999999996"/>
    <n v="1.2"/>
    <n v="2"/>
    <x v="1"/>
  </r>
  <r>
    <x v="16"/>
    <x v="1"/>
    <n v="1.2"/>
    <n v="0.6"/>
    <n v="204"/>
    <n v="23"/>
    <n v="27"/>
    <n v="7.6"/>
    <n v="4"/>
    <n v="1.1000000000000001"/>
    <n v="1"/>
    <x v="0"/>
  </r>
  <r>
    <x v="34"/>
    <x v="0"/>
    <n v="5.5"/>
    <n v="3.2"/>
    <n v="350"/>
    <n v="67"/>
    <n v="42"/>
    <n v="7"/>
    <n v="3.2"/>
    <n v="0.8"/>
    <n v="1"/>
    <x v="0"/>
  </r>
  <r>
    <x v="26"/>
    <x v="0"/>
    <n v="0.7"/>
    <n v="0.2"/>
    <n v="153"/>
    <n v="41"/>
    <n v="42"/>
    <n v="4.5"/>
    <n v="2.2000000000000002"/>
    <n v="0.9"/>
    <n v="2"/>
    <x v="1"/>
  </r>
  <r>
    <x v="26"/>
    <x v="1"/>
    <n v="20.2"/>
    <n v="11.7"/>
    <n v="188"/>
    <n v="47"/>
    <n v="32"/>
    <n v="5.4"/>
    <n v="2.2999999999999998"/>
    <n v="0.7"/>
    <n v="1"/>
    <x v="0"/>
  </r>
  <r>
    <x v="28"/>
    <x v="0"/>
    <n v="27.7"/>
    <n v="10.8"/>
    <n v="380"/>
    <n v="39"/>
    <n v="348"/>
    <n v="7.1"/>
    <n v="2.2999999999999998"/>
    <n v="0.4"/>
    <n v="1"/>
    <x v="0"/>
  </r>
  <r>
    <x v="27"/>
    <x v="1"/>
    <n v="11.1"/>
    <n v="6.1"/>
    <n v="214"/>
    <n v="60"/>
    <n v="186"/>
    <n v="6.9"/>
    <n v="2.8"/>
    <n v="2.8"/>
    <n v="1"/>
    <x v="0"/>
  </r>
  <r>
    <x v="16"/>
    <x v="0"/>
    <n v="2.1"/>
    <n v="1"/>
    <n v="768"/>
    <n v="74"/>
    <n v="141"/>
    <n v="7.8"/>
    <n v="4.9000000000000004"/>
    <n v="1.6"/>
    <n v="1"/>
    <x v="0"/>
  </r>
  <r>
    <x v="4"/>
    <x v="1"/>
    <n v="3.3"/>
    <n v="1.5"/>
    <n v="172"/>
    <n v="25"/>
    <n v="41"/>
    <n v="5.6"/>
    <n v="2.4"/>
    <n v="0.7"/>
    <n v="1"/>
    <x v="0"/>
  </r>
  <r>
    <x v="6"/>
    <x v="1"/>
    <n v="1.2"/>
    <n v="0.4"/>
    <n v="160"/>
    <n v="20"/>
    <n v="22"/>
    <n v="6.2"/>
    <n v="3"/>
    <n v="0.9"/>
    <n v="2"/>
    <x v="1"/>
  </r>
  <r>
    <x v="26"/>
    <x v="1"/>
    <n v="0.6"/>
    <n v="0.1"/>
    <n v="196"/>
    <n v="29"/>
    <n v="30"/>
    <n v="5.8"/>
    <n v="2.9"/>
    <n v="1"/>
    <n v="1"/>
    <x v="0"/>
  </r>
  <r>
    <x v="4"/>
    <x v="1"/>
    <n v="10.199999999999999"/>
    <n v="4.2"/>
    <n v="232"/>
    <n v="58"/>
    <n v="140"/>
    <n v="7"/>
    <n v="2.7"/>
    <n v="0.6"/>
    <n v="1"/>
    <x v="0"/>
  </r>
  <r>
    <x v="68"/>
    <x v="1"/>
    <n v="1.8"/>
    <n v="0.9"/>
    <n v="220"/>
    <n v="20"/>
    <n v="43"/>
    <n v="6.5"/>
    <n v="3"/>
    <n v="0.8"/>
    <n v="1"/>
    <x v="0"/>
  </r>
  <r>
    <x v="8"/>
    <x v="1"/>
    <n v="0.8"/>
    <n v="0.2"/>
    <n v="290"/>
    <n v="139"/>
    <n v="87"/>
    <n v="7"/>
    <n v="3"/>
    <n v="0.7"/>
    <n v="1"/>
    <x v="0"/>
  </r>
  <r>
    <x v="17"/>
    <x v="1"/>
    <n v="0.7"/>
    <n v="0.1"/>
    <n v="180"/>
    <n v="25"/>
    <n v="27"/>
    <n v="6.1"/>
    <n v="3.1"/>
    <n v="1"/>
    <n v="1"/>
    <x v="0"/>
  </r>
  <r>
    <x v="17"/>
    <x v="1"/>
    <n v="2.9"/>
    <n v="1.2"/>
    <n v="189"/>
    <n v="80"/>
    <n v="125"/>
    <n v="6.2"/>
    <n v="3.1"/>
    <n v="1"/>
    <n v="1"/>
    <x v="0"/>
  </r>
  <r>
    <x v="17"/>
    <x v="1"/>
    <n v="4"/>
    <n v="2.5"/>
    <n v="275"/>
    <n v="382"/>
    <n v="330"/>
    <n v="7.5"/>
    <n v="4"/>
    <n v="1.1000000000000001"/>
    <n v="1"/>
    <x v="0"/>
  </r>
  <r>
    <x v="5"/>
    <x v="1"/>
    <n v="42.8"/>
    <n v="19.7"/>
    <n v="390"/>
    <n v="75"/>
    <n v="138"/>
    <n v="7.5"/>
    <n v="2.6"/>
    <n v="0.5"/>
    <n v="1"/>
    <x v="0"/>
  </r>
  <r>
    <x v="36"/>
    <x v="1"/>
    <n v="15.2"/>
    <n v="7.7"/>
    <n v="356"/>
    <n v="321"/>
    <n v="562"/>
    <n v="6.5"/>
    <n v="2.2000000000000002"/>
    <n v="0.4"/>
    <n v="1"/>
    <x v="0"/>
  </r>
  <r>
    <x v="36"/>
    <x v="1"/>
    <n v="16.600000000000001"/>
    <n v="7.6"/>
    <n v="315"/>
    <n v="233"/>
    <n v="384"/>
    <n v="6.9"/>
    <n v="2"/>
    <n v="0.4"/>
    <n v="1"/>
    <x v="0"/>
  </r>
  <r>
    <x v="36"/>
    <x v="1"/>
    <n v="17.3"/>
    <n v="8.5"/>
    <n v="388"/>
    <n v="173"/>
    <n v="367"/>
    <n v="7.8"/>
    <n v="2.6"/>
    <n v="0.5"/>
    <n v="1"/>
    <x v="0"/>
  </r>
  <r>
    <x v="10"/>
    <x v="1"/>
    <n v="1.4"/>
    <n v="0.5"/>
    <n v="298"/>
    <n v="31"/>
    <n v="83"/>
    <n v="7.2"/>
    <n v="2.6"/>
    <n v="0.5"/>
    <n v="1"/>
    <x v="0"/>
  </r>
  <r>
    <x v="14"/>
    <x v="0"/>
    <n v="0.6"/>
    <n v="0.1"/>
    <n v="165"/>
    <n v="22"/>
    <n v="34"/>
    <n v="5.9"/>
    <n v="2.9"/>
    <n v="0.9"/>
    <n v="2"/>
    <x v="1"/>
  </r>
  <r>
    <x v="61"/>
    <x v="1"/>
    <n v="22.5"/>
    <n v="11.8"/>
    <n v="143"/>
    <n v="22"/>
    <n v="143"/>
    <n v="6.6"/>
    <n v="2.1"/>
    <n v="0.46"/>
    <n v="1"/>
    <x v="0"/>
  </r>
  <r>
    <x v="28"/>
    <x v="0"/>
    <n v="1"/>
    <n v="0.3"/>
    <n v="191"/>
    <n v="22"/>
    <n v="31"/>
    <n v="7.8"/>
    <n v="4"/>
    <n v="1"/>
    <n v="2"/>
    <x v="1"/>
  </r>
  <r>
    <x v="22"/>
    <x v="1"/>
    <n v="2.7"/>
    <n v="1.4"/>
    <n v="251"/>
    <n v="20"/>
    <n v="40"/>
    <n v="6"/>
    <n v="1.7"/>
    <n v="0.39"/>
    <n v="1"/>
    <x v="0"/>
  </r>
  <r>
    <x v="20"/>
    <x v="0"/>
    <n v="16.7"/>
    <n v="8.4"/>
    <n v="200"/>
    <n v="91"/>
    <n v="101"/>
    <n v="6.9"/>
    <n v="3.5"/>
    <n v="1.02"/>
    <n v="1"/>
    <x v="0"/>
  </r>
  <r>
    <x v="65"/>
    <x v="1"/>
    <n v="7.7"/>
    <n v="4.0999999999999996"/>
    <n v="268"/>
    <n v="213"/>
    <n v="168"/>
    <n v="7.1"/>
    <n v="4"/>
    <n v="1.2"/>
    <n v="1"/>
    <x v="0"/>
  </r>
  <r>
    <x v="65"/>
    <x v="1"/>
    <n v="2.6"/>
    <n v="1.2"/>
    <n v="236"/>
    <n v="131"/>
    <n v="90"/>
    <n v="5.4"/>
    <n v="2.6"/>
    <n v="0.9"/>
    <n v="1"/>
    <x v="0"/>
  </r>
  <r>
    <x v="71"/>
    <x v="1"/>
    <n v="1.1000000000000001"/>
    <n v="0.3"/>
    <n v="215"/>
    <n v="46"/>
    <n v="134"/>
    <n v="6.9"/>
    <n v="3"/>
    <n v="0.7"/>
    <n v="1"/>
    <x v="0"/>
  </r>
  <r>
    <x v="32"/>
    <x v="1"/>
    <n v="15.6"/>
    <n v="9.5"/>
    <n v="134"/>
    <n v="54"/>
    <n v="125"/>
    <n v="5.6"/>
    <n v="4"/>
    <n v="2.5"/>
    <n v="1"/>
    <x v="0"/>
  </r>
  <r>
    <x v="32"/>
    <x v="1"/>
    <n v="3.7"/>
    <n v="1.6"/>
    <n v="612"/>
    <n v="50"/>
    <n v="88"/>
    <n v="6.2"/>
    <n v="1.9"/>
    <n v="0.4"/>
    <n v="1"/>
    <x v="0"/>
  </r>
  <r>
    <x v="32"/>
    <x v="1"/>
    <n v="12.1"/>
    <n v="6"/>
    <n v="515"/>
    <n v="48"/>
    <n v="92"/>
    <n v="6.6"/>
    <n v="2.4"/>
    <n v="0.5"/>
    <n v="1"/>
    <x v="0"/>
  </r>
  <r>
    <x v="32"/>
    <x v="1"/>
    <n v="25"/>
    <n v="13.7"/>
    <n v="560"/>
    <n v="41"/>
    <n v="88"/>
    <n v="7.9"/>
    <n v="2.5"/>
    <n v="2.5"/>
    <n v="1"/>
    <x v="0"/>
  </r>
  <r>
    <x v="32"/>
    <x v="1"/>
    <n v="15"/>
    <n v="8.1999999999999993"/>
    <n v="289"/>
    <n v="58"/>
    <n v="80"/>
    <n v="5.3"/>
    <n v="2.2000000000000002"/>
    <n v="0.7"/>
    <n v="1"/>
    <x v="0"/>
  </r>
  <r>
    <x v="32"/>
    <x v="1"/>
    <n v="12.7"/>
    <n v="8.4"/>
    <n v="190"/>
    <n v="28"/>
    <n v="47"/>
    <n v="5.4"/>
    <n v="2.6"/>
    <n v="0.9"/>
    <n v="1"/>
    <x v="0"/>
  </r>
  <r>
    <x v="37"/>
    <x v="1"/>
    <n v="0.5"/>
    <n v="0.1"/>
    <n v="500"/>
    <n v="20"/>
    <n v="34"/>
    <n v="5.9"/>
    <n v="1.6"/>
    <n v="0.37"/>
    <n v="2"/>
    <x v="1"/>
  </r>
  <r>
    <x v="16"/>
    <x v="1"/>
    <n v="0.6"/>
    <n v="0.1"/>
    <n v="98"/>
    <n v="35"/>
    <n v="31"/>
    <n v="6"/>
    <n v="3.2"/>
    <n v="1.1000000000000001"/>
    <n v="1"/>
    <x v="0"/>
  </r>
  <r>
    <x v="22"/>
    <x v="1"/>
    <n v="0.8"/>
    <n v="0.2"/>
    <n v="245"/>
    <n v="48"/>
    <n v="49"/>
    <n v="6.4"/>
    <n v="3.2"/>
    <n v="1"/>
    <n v="1"/>
    <x v="0"/>
  </r>
  <r>
    <x v="33"/>
    <x v="1"/>
    <n v="1.3"/>
    <n v="0.5"/>
    <n v="184"/>
    <n v="29"/>
    <n v="32"/>
    <n v="6.8"/>
    <n v="3.4"/>
    <n v="1"/>
    <n v="1"/>
    <x v="0"/>
  </r>
  <r>
    <x v="14"/>
    <x v="1"/>
    <n v="1"/>
    <n v="0.3"/>
    <n v="216"/>
    <n v="21"/>
    <n v="24"/>
    <n v="7.3"/>
    <n v="4.4000000000000004"/>
    <n v="1.5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24C6E-DF8A-4302-A9F7-F503022E2828}" name="PivotTable6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>
  <location ref="A42:G47" firstHeaderRow="1" firstDataRow="3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>
      <x v="2"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age" fld="0" subtotal="count" baseField="0" baseItem="0"/>
    <dataField name="Average of albumin" fld="5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CF282-A5DB-4C8B-B2DD-E644B04A5B58}" name="PivotTable5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>
  <location ref="C32:D34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Average of tot_bilirubin" fld="2" subtotal="average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A5FE4-85CB-479B-8651-8D0553E65AD1}" name="PivotTable4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C24:D26" firstHeaderRow="1" firstDataRow="1" firstDataCol="1"/>
  <pivotFields count="12"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Average of age" fld="0" subtotal="average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37F76-6484-4468-A7AA-5FC899D54BA7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U28:Z29" firstHeaderRow="0" firstDataRow="1" firstDataCol="0"/>
  <pivotFields count="12">
    <pivotField dataField="1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age" fld="0" subtotal="average" baseField="0" baseItem="0"/>
    <dataField name="Max of age" fld="0" subtotal="max" baseField="0" baseItem="1"/>
    <dataField name="Min of age" fld="0" subtotal="min" baseField="0" baseItem="1"/>
    <dataField name="Average of tot_bilirubin" fld="2" subtotal="average" baseField="0" baseItem="1"/>
    <dataField name="Average of sgpt" fld="7" subtotal="average" baseField="0" baseItem="1"/>
    <dataField name="Average of sgot" fld="8" subtotal="average" baseField="0" baseItem="1"/>
  </dataFields>
  <formats count="3"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DC80B-C658-4A8C-A64A-66C812B70C8F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C7:F11" firstHeaderRow="1" firstDataRow="2" firstDataCol="1"/>
  <pivotFields count="12">
    <pivotField showAll="0">
      <items count="4">
        <item x="0"/>
        <item x="1"/>
        <item x="2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gender" fld="1" subtotal="count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A8DB4-5A28-4700-B54B-934D6CF60B02}" name="Table1" displayName="Table1" ref="A1:L584" totalsRowShown="0">
  <autoFilter ref="A1:L584" xr:uid="{3FEA8DB4-5A28-4700-B54B-934D6CF60B02}"/>
  <tableColumns count="12">
    <tableColumn id="1" xr3:uid="{5BC2AA93-2EC0-4133-964C-F9CC5431F98B}" name="age"/>
    <tableColumn id="2" xr3:uid="{D936B25F-A654-4022-8E24-12C56A82F4C9}" name="gender"/>
    <tableColumn id="3" xr3:uid="{C222930C-37BD-4C09-B4DF-4227C7A198B8}" name="tot_bilirubin"/>
    <tableColumn id="4" xr3:uid="{67492BCB-6D7E-4942-98F9-0BA0C17F6F3E}" name="direct_bilirubin"/>
    <tableColumn id="5" xr3:uid="{E462C43B-B21B-4A77-A1B1-508F9F93F023}" name="tot_proteins"/>
    <tableColumn id="6" xr3:uid="{75A9CA43-814B-44B3-B560-8EE8D22CDA69}" name="albumin"/>
    <tableColumn id="7" xr3:uid="{D8E8C243-F02E-422A-924F-9371DB06DD2C}" name="ag_ratio"/>
    <tableColumn id="8" xr3:uid="{42030683-4309-41C7-B848-BA91A258510F}" name="sgpt"/>
    <tableColumn id="9" xr3:uid="{38EF05A1-9296-4FD3-98BC-B7510C6B9250}" name="sgot"/>
    <tableColumn id="10" xr3:uid="{755E1A98-3B87-4E8F-A6AB-C36595583D6D}" name="alkphos"/>
    <tableColumn id="11" xr3:uid="{B2BCE8F6-C1A5-407D-AE19-5FD1C2A7B2B0}" name="is_patient"/>
    <tableColumn id="12" xr3:uid="{4BC106EB-1E42-4C5B-85F0-B56CCD28C86B}" name="Is_patient_true" dataDxfId="15">
      <calculatedColumnFormula>IF(Table1[[#This Row],[is_patient]]=1, " Patient","Not Patient")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B81C-13DD-4311-9EB1-42F5A154E15D}">
  <dimension ref="A1:N584"/>
  <sheetViews>
    <sheetView zoomScale="80" workbookViewId="0">
      <selection activeCell="N15" sqref="N15"/>
    </sheetView>
  </sheetViews>
  <sheetFormatPr defaultRowHeight="14.4" x14ac:dyDescent="0.3"/>
  <cols>
    <col min="3" max="3" width="26.88671875" customWidth="1"/>
    <col min="4" max="4" width="23.33203125" customWidth="1"/>
    <col min="5" max="5" width="16.77734375" customWidth="1"/>
    <col min="6" max="6" width="21.5546875" customWidth="1"/>
    <col min="7" max="7" width="12.109375" customWidth="1"/>
    <col min="8" max="8" width="16.6640625" customWidth="1"/>
    <col min="9" max="9" width="13.33203125" customWidth="1"/>
    <col min="10" max="10" width="13.21875" customWidth="1"/>
    <col min="11" max="11" width="14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</row>
    <row r="2" spans="1:14" x14ac:dyDescent="0.3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  <c r="L2" t="str">
        <f>IF(Table1[[#This Row],[is_patient]]=1, " Patient","Not Patient")</f>
        <v xml:space="preserve"> Patient</v>
      </c>
    </row>
    <row r="3" spans="1:14" x14ac:dyDescent="0.3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  <c r="L3" t="str">
        <f>IF(Table1[[#This Row],[is_patient]]=1, " Patient","Not Patient")</f>
        <v xml:space="preserve"> Patient</v>
      </c>
    </row>
    <row r="4" spans="1:14" x14ac:dyDescent="0.3">
      <c r="A4">
        <v>62</v>
      </c>
      <c r="B4" t="s">
        <v>12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  <c r="L4" t="str">
        <f>IF(Table1[[#This Row],[is_patient]]=1, " Patient","Not Patient")</f>
        <v xml:space="preserve"> Patient</v>
      </c>
    </row>
    <row r="5" spans="1:14" x14ac:dyDescent="0.3">
      <c r="A5">
        <v>58</v>
      </c>
      <c r="B5" t="s">
        <v>12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  <c r="L5" t="str">
        <f>IF(Table1[[#This Row],[is_patient]]=1, " Patient","Not Patient")</f>
        <v xml:space="preserve"> Patient</v>
      </c>
    </row>
    <row r="6" spans="1:14" x14ac:dyDescent="0.3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  <c r="L6" t="str">
        <f>IF(Table1[[#This Row],[is_patient]]=1, " Patient","Not Patient")</f>
        <v xml:space="preserve"> Patient</v>
      </c>
    </row>
    <row r="7" spans="1:14" x14ac:dyDescent="0.3">
      <c r="A7">
        <v>46</v>
      </c>
      <c r="B7" t="s">
        <v>12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>
        <v>1</v>
      </c>
      <c r="L7" t="str">
        <f>IF(Table1[[#This Row],[is_patient]]=1, " Patient","Not Patient")</f>
        <v xml:space="preserve"> Patient</v>
      </c>
    </row>
    <row r="8" spans="1:14" x14ac:dyDescent="0.3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  <c r="L8" t="str">
        <f>IF(Table1[[#This Row],[is_patient]]=1, " Patient","Not Patient")</f>
        <v xml:space="preserve"> Patient</v>
      </c>
    </row>
    <row r="9" spans="1:14" x14ac:dyDescent="0.3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  <c r="L9" t="str">
        <f>IF(Table1[[#This Row],[is_patient]]=1, " Patient","Not Patient")</f>
        <v xml:space="preserve"> Patient</v>
      </c>
    </row>
    <row r="10" spans="1:14" x14ac:dyDescent="0.3">
      <c r="A10">
        <v>17</v>
      </c>
      <c r="B10" t="s">
        <v>12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2</v>
      </c>
      <c r="L10" t="str">
        <f>IF(Table1[[#This Row],[is_patient]]=1, " Patient","Not Patient")</f>
        <v>Not Patient</v>
      </c>
    </row>
    <row r="11" spans="1:14" x14ac:dyDescent="0.3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  <c r="L11" t="str">
        <f>IF(Table1[[#This Row],[is_patient]]=1, " Patient","Not Patient")</f>
        <v xml:space="preserve"> Patient</v>
      </c>
    </row>
    <row r="12" spans="1:14" x14ac:dyDescent="0.3">
      <c r="A12">
        <v>57</v>
      </c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  <c r="L12" t="str">
        <f>IF(Table1[[#This Row],[is_patient]]=1, " Patient","Not Patient")</f>
        <v xml:space="preserve"> Patient</v>
      </c>
      <c r="N12" t="s">
        <v>13</v>
      </c>
    </row>
    <row r="13" spans="1:14" x14ac:dyDescent="0.3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  <c r="L13" t="str">
        <f>IF(Table1[[#This Row],[is_patient]]=1, " Patient","Not Patient")</f>
        <v xml:space="preserve"> Patient</v>
      </c>
    </row>
    <row r="14" spans="1:14" x14ac:dyDescent="0.3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  <c r="L14" t="str">
        <f>IF(Table1[[#This Row],[is_patient]]=1, " Patient","Not Patient")</f>
        <v>Not Patient</v>
      </c>
    </row>
    <row r="15" spans="1:14" x14ac:dyDescent="0.3">
      <c r="A15">
        <v>74</v>
      </c>
      <c r="B15" t="s">
        <v>11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  <c r="L15" t="str">
        <f>IF(Table1[[#This Row],[is_patient]]=1, " Patient","Not Patient")</f>
        <v xml:space="preserve"> Patient</v>
      </c>
    </row>
    <row r="16" spans="1:14" x14ac:dyDescent="0.3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  <c r="L16" t="str">
        <f>IF(Table1[[#This Row],[is_patient]]=1, " Patient","Not Patient")</f>
        <v xml:space="preserve"> Patient</v>
      </c>
    </row>
    <row r="17" spans="1:12" x14ac:dyDescent="0.3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>
        <v>2</v>
      </c>
      <c r="L17" t="str">
        <f>IF(Table1[[#This Row],[is_patient]]=1, " Patient","Not Patient")</f>
        <v>Not Patient</v>
      </c>
    </row>
    <row r="18" spans="1:12" x14ac:dyDescent="0.3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  <c r="L18" t="str">
        <f>IF(Table1[[#This Row],[is_patient]]=1, " Patient","Not Patient")</f>
        <v xml:space="preserve"> Patient</v>
      </c>
    </row>
    <row r="19" spans="1:12" x14ac:dyDescent="0.3">
      <c r="A19">
        <v>33</v>
      </c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  <c r="L19" t="str">
        <f>IF(Table1[[#This Row],[is_patient]]=1, " Patient","Not Patient")</f>
        <v>Not Patient</v>
      </c>
    </row>
    <row r="20" spans="1:12" x14ac:dyDescent="0.3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  <c r="L20" t="str">
        <f>IF(Table1[[#This Row],[is_patient]]=1, " Patient","Not Patient")</f>
        <v xml:space="preserve"> Patient</v>
      </c>
    </row>
    <row r="21" spans="1:12" x14ac:dyDescent="0.3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  <c r="L21" t="str">
        <f>IF(Table1[[#This Row],[is_patient]]=1, " Patient","Not Patient")</f>
        <v xml:space="preserve"> Patient</v>
      </c>
    </row>
    <row r="22" spans="1:12" x14ac:dyDescent="0.3">
      <c r="A22">
        <v>51</v>
      </c>
      <c r="B22" t="s">
        <v>12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>
        <v>1</v>
      </c>
      <c r="L22" t="str">
        <f>IF(Table1[[#This Row],[is_patient]]=1, " Patient","Not Patient")</f>
        <v xml:space="preserve"> Patient</v>
      </c>
    </row>
    <row r="23" spans="1:12" x14ac:dyDescent="0.3">
      <c r="A23">
        <v>51</v>
      </c>
      <c r="B23" t="s">
        <v>12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  <c r="L23" t="str">
        <f>IF(Table1[[#This Row],[is_patient]]=1, " Patient","Not Patient")</f>
        <v xml:space="preserve"> Patient</v>
      </c>
    </row>
    <row r="24" spans="1:12" x14ac:dyDescent="0.3">
      <c r="A24">
        <v>62</v>
      </c>
      <c r="B24" t="s">
        <v>12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  <c r="L24" t="str">
        <f>IF(Table1[[#This Row],[is_patient]]=1, " Patient","Not Patient")</f>
        <v xml:space="preserve"> Patient</v>
      </c>
    </row>
    <row r="25" spans="1:12" x14ac:dyDescent="0.3">
      <c r="A25">
        <v>40</v>
      </c>
      <c r="B25" t="s">
        <v>12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  <c r="L25" t="str">
        <f>IF(Table1[[#This Row],[is_patient]]=1, " Patient","Not Patient")</f>
        <v xml:space="preserve"> Patient</v>
      </c>
    </row>
    <row r="26" spans="1:12" x14ac:dyDescent="0.3">
      <c r="A26">
        <v>63</v>
      </c>
      <c r="B26" t="s">
        <v>12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  <c r="L26" t="str">
        <f>IF(Table1[[#This Row],[is_patient]]=1, " Patient","Not Patient")</f>
        <v>Not Patient</v>
      </c>
    </row>
    <row r="27" spans="1:12" x14ac:dyDescent="0.3">
      <c r="A27">
        <v>34</v>
      </c>
      <c r="B27" t="s">
        <v>12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  <c r="L27" t="str">
        <f>IF(Table1[[#This Row],[is_patient]]=1, " Patient","Not Patient")</f>
        <v xml:space="preserve"> Patient</v>
      </c>
    </row>
    <row r="28" spans="1:12" x14ac:dyDescent="0.3">
      <c r="A28">
        <v>34</v>
      </c>
      <c r="B28" t="s">
        <v>12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>
        <v>1</v>
      </c>
      <c r="L28" t="str">
        <f>IF(Table1[[#This Row],[is_patient]]=1, " Patient","Not Patient")</f>
        <v xml:space="preserve"> Patient</v>
      </c>
    </row>
    <row r="29" spans="1:12" x14ac:dyDescent="0.3">
      <c r="A29">
        <v>34</v>
      </c>
      <c r="B29" t="s">
        <v>12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  <c r="L29" t="str">
        <f>IF(Table1[[#This Row],[is_patient]]=1, " Patient","Not Patient")</f>
        <v xml:space="preserve"> Patient</v>
      </c>
    </row>
    <row r="30" spans="1:12" x14ac:dyDescent="0.3">
      <c r="A30">
        <v>20</v>
      </c>
      <c r="B30" t="s">
        <v>12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  <c r="L30" t="str">
        <f>IF(Table1[[#This Row],[is_patient]]=1, " Patient","Not Patient")</f>
        <v>Not Patient</v>
      </c>
    </row>
    <row r="31" spans="1:12" x14ac:dyDescent="0.3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>
        <v>2</v>
      </c>
      <c r="L31" t="str">
        <f>IF(Table1[[#This Row],[is_patient]]=1, " Patient","Not Patient")</f>
        <v>Not Patient</v>
      </c>
    </row>
    <row r="32" spans="1:12" x14ac:dyDescent="0.3">
      <c r="A32">
        <v>57</v>
      </c>
      <c r="B32" t="s">
        <v>12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  <c r="L32" t="str">
        <f>IF(Table1[[#This Row],[is_patient]]=1, " Patient","Not Patient")</f>
        <v xml:space="preserve"> Patient</v>
      </c>
    </row>
    <row r="33" spans="1:12" x14ac:dyDescent="0.3">
      <c r="A33">
        <v>52</v>
      </c>
      <c r="B33" t="s">
        <v>12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>
        <v>1</v>
      </c>
      <c r="L33" t="str">
        <f>IF(Table1[[#This Row],[is_patient]]=1, " Patient","Not Patient")</f>
        <v xml:space="preserve"> Patient</v>
      </c>
    </row>
    <row r="34" spans="1:12" x14ac:dyDescent="0.3">
      <c r="A34">
        <v>57</v>
      </c>
      <c r="B34" t="s">
        <v>12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  <c r="L34" t="str">
        <f>IF(Table1[[#This Row],[is_patient]]=1, " Patient","Not Patient")</f>
        <v>Not Patient</v>
      </c>
    </row>
    <row r="35" spans="1:12" x14ac:dyDescent="0.3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  <c r="L35" t="str">
        <f>IF(Table1[[#This Row],[is_patient]]=1, " Patient","Not Patient")</f>
        <v>Not Patient</v>
      </c>
    </row>
    <row r="36" spans="1:12" x14ac:dyDescent="0.3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  <c r="L36" t="str">
        <f>IF(Table1[[#This Row],[is_patient]]=1, " Patient","Not Patient")</f>
        <v>Not Patient</v>
      </c>
    </row>
    <row r="37" spans="1:12" x14ac:dyDescent="0.3">
      <c r="A37">
        <v>30</v>
      </c>
      <c r="B37" t="s">
        <v>12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  <c r="L37" t="str">
        <f>IF(Table1[[#This Row],[is_patient]]=1, " Patient","Not Patient")</f>
        <v xml:space="preserve"> Patient</v>
      </c>
    </row>
    <row r="38" spans="1:12" x14ac:dyDescent="0.3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  <c r="L38" t="str">
        <f>IF(Table1[[#This Row],[is_patient]]=1, " Patient","Not Patient")</f>
        <v>Not Patient</v>
      </c>
    </row>
    <row r="39" spans="1:12" x14ac:dyDescent="0.3">
      <c r="A39">
        <v>46</v>
      </c>
      <c r="B39" t="s">
        <v>11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  <c r="L39" t="str">
        <f>IF(Table1[[#This Row],[is_patient]]=1, " Patient","Not Patient")</f>
        <v xml:space="preserve"> Patient</v>
      </c>
    </row>
    <row r="40" spans="1:12" x14ac:dyDescent="0.3">
      <c r="A40">
        <v>48</v>
      </c>
      <c r="B40" t="s">
        <v>12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>
        <v>1</v>
      </c>
      <c r="L40" t="str">
        <f>IF(Table1[[#This Row],[is_patient]]=1, " Patient","Not Patient")</f>
        <v xml:space="preserve"> Patient</v>
      </c>
    </row>
    <row r="41" spans="1:12" x14ac:dyDescent="0.3">
      <c r="A41">
        <v>47</v>
      </c>
      <c r="B41" t="s">
        <v>12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>
        <v>1</v>
      </c>
      <c r="L41" t="str">
        <f>IF(Table1[[#This Row],[is_patient]]=1, " Patient","Not Patient")</f>
        <v xml:space="preserve"> Patient</v>
      </c>
    </row>
    <row r="42" spans="1:12" x14ac:dyDescent="0.3">
      <c r="A42">
        <v>45</v>
      </c>
      <c r="B42" t="s">
        <v>12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>
        <v>1</v>
      </c>
      <c r="L42" t="str">
        <f>IF(Table1[[#This Row],[is_patient]]=1, " Patient","Not Patient")</f>
        <v xml:space="preserve"> Patient</v>
      </c>
    </row>
    <row r="43" spans="1:12" x14ac:dyDescent="0.3">
      <c r="A43">
        <v>62</v>
      </c>
      <c r="B43" t="s">
        <v>12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>
        <v>2</v>
      </c>
      <c r="L43" t="str">
        <f>IF(Table1[[#This Row],[is_patient]]=1, " Patient","Not Patient")</f>
        <v>Not Patient</v>
      </c>
    </row>
    <row r="44" spans="1:12" x14ac:dyDescent="0.3">
      <c r="A44">
        <v>42</v>
      </c>
      <c r="B44" t="s">
        <v>12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>
        <v>2</v>
      </c>
      <c r="L44" t="str">
        <f>IF(Table1[[#This Row],[is_patient]]=1, " Patient","Not Patient")</f>
        <v>Not Patient</v>
      </c>
    </row>
    <row r="45" spans="1:12" x14ac:dyDescent="0.3">
      <c r="A45">
        <v>50</v>
      </c>
      <c r="B45" t="s">
        <v>12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  <c r="L45" t="str">
        <f>IF(Table1[[#This Row],[is_patient]]=1, " Patient","Not Patient")</f>
        <v xml:space="preserve"> Patient</v>
      </c>
    </row>
    <row r="46" spans="1:12" x14ac:dyDescent="0.3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  <c r="L46" t="str">
        <f>IF(Table1[[#This Row],[is_patient]]=1, " Patient","Not Patient")</f>
        <v>Not Patient</v>
      </c>
    </row>
    <row r="47" spans="1:12" x14ac:dyDescent="0.3">
      <c r="A47">
        <v>35</v>
      </c>
      <c r="B47" t="s">
        <v>12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  <c r="L47" t="str">
        <f>IF(Table1[[#This Row],[is_patient]]=1, " Patient","Not Patient")</f>
        <v>Not Patient</v>
      </c>
    </row>
    <row r="48" spans="1:12" x14ac:dyDescent="0.3">
      <c r="A48">
        <v>21</v>
      </c>
      <c r="B48" t="s">
        <v>12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  <c r="L48" t="str">
        <f>IF(Table1[[#This Row],[is_patient]]=1, " Patient","Not Patient")</f>
        <v xml:space="preserve"> Patient</v>
      </c>
    </row>
    <row r="49" spans="1:12" x14ac:dyDescent="0.3">
      <c r="A49">
        <v>40</v>
      </c>
      <c r="B49" t="s">
        <v>12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>
        <v>1</v>
      </c>
      <c r="L49" t="str">
        <f>IF(Table1[[#This Row],[is_patient]]=1, " Patient","Not Patient")</f>
        <v xml:space="preserve"> Patient</v>
      </c>
    </row>
    <row r="50" spans="1:12" x14ac:dyDescent="0.3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  <c r="L50" t="str">
        <f>IF(Table1[[#This Row],[is_patient]]=1, " Patient","Not Patient")</f>
        <v xml:space="preserve"> Patient</v>
      </c>
    </row>
    <row r="51" spans="1:12" x14ac:dyDescent="0.3">
      <c r="A51">
        <v>55</v>
      </c>
      <c r="B51" t="s">
        <v>12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  <c r="L51" t="str">
        <f>IF(Table1[[#This Row],[is_patient]]=1, " Patient","Not Patient")</f>
        <v xml:space="preserve"> Patient</v>
      </c>
    </row>
    <row r="52" spans="1:12" x14ac:dyDescent="0.3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  <c r="L52" t="str">
        <f>IF(Table1[[#This Row],[is_patient]]=1, " Patient","Not Patient")</f>
        <v xml:space="preserve"> Patient</v>
      </c>
    </row>
    <row r="53" spans="1:12" x14ac:dyDescent="0.3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  <c r="L53" t="str">
        <f>IF(Table1[[#This Row],[is_patient]]=1, " Patient","Not Patient")</f>
        <v xml:space="preserve"> Patient</v>
      </c>
    </row>
    <row r="54" spans="1:12" x14ac:dyDescent="0.3">
      <c r="A54">
        <v>38</v>
      </c>
      <c r="B54" t="s">
        <v>12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  <c r="L54" t="str">
        <f>IF(Table1[[#This Row],[is_patient]]=1, " Patient","Not Patient")</f>
        <v xml:space="preserve"> Patient</v>
      </c>
    </row>
    <row r="55" spans="1:12" x14ac:dyDescent="0.3">
      <c r="A55">
        <v>38</v>
      </c>
      <c r="B55" t="s">
        <v>12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  <c r="L55" t="str">
        <f>IF(Table1[[#This Row],[is_patient]]=1, " Patient","Not Patient")</f>
        <v xml:space="preserve"> Patient</v>
      </c>
    </row>
    <row r="56" spans="1:12" x14ac:dyDescent="0.3">
      <c r="A56">
        <v>42</v>
      </c>
      <c r="B56" t="s">
        <v>12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  <c r="L56" t="str">
        <f>IF(Table1[[#This Row],[is_patient]]=1, " Patient","Not Patient")</f>
        <v xml:space="preserve"> Patient</v>
      </c>
    </row>
    <row r="57" spans="1:12" x14ac:dyDescent="0.3">
      <c r="A57">
        <v>42</v>
      </c>
      <c r="B57" t="s">
        <v>12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  <c r="L57" t="str">
        <f>IF(Table1[[#This Row],[is_patient]]=1, " Patient","Not Patient")</f>
        <v xml:space="preserve"> Patient</v>
      </c>
    </row>
    <row r="58" spans="1:12" x14ac:dyDescent="0.3">
      <c r="A58">
        <v>33</v>
      </c>
      <c r="B58" t="s">
        <v>12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  <c r="L58" t="str">
        <f>IF(Table1[[#This Row],[is_patient]]=1, " Patient","Not Patient")</f>
        <v>Not Patient</v>
      </c>
    </row>
    <row r="59" spans="1:12" x14ac:dyDescent="0.3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  <c r="L59" t="str">
        <f>IF(Table1[[#This Row],[is_patient]]=1, " Patient","Not Patient")</f>
        <v>Not Patient</v>
      </c>
    </row>
    <row r="60" spans="1:12" x14ac:dyDescent="0.3">
      <c r="A60">
        <v>51</v>
      </c>
      <c r="B60" t="s">
        <v>12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  <c r="L60" t="str">
        <f>IF(Table1[[#This Row],[is_patient]]=1, " Patient","Not Patient")</f>
        <v xml:space="preserve"> Patient</v>
      </c>
    </row>
    <row r="61" spans="1:12" x14ac:dyDescent="0.3">
      <c r="A61">
        <v>64</v>
      </c>
      <c r="B61" t="s">
        <v>12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  <c r="L61" t="str">
        <f>IF(Table1[[#This Row],[is_patient]]=1, " Patient","Not Patient")</f>
        <v>Not Patient</v>
      </c>
    </row>
    <row r="62" spans="1:12" x14ac:dyDescent="0.3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  <c r="L62" t="str">
        <f>IF(Table1[[#This Row],[is_patient]]=1, " Patient","Not Patient")</f>
        <v xml:space="preserve"> Patient</v>
      </c>
    </row>
    <row r="63" spans="1:12" x14ac:dyDescent="0.3">
      <c r="A63">
        <v>58</v>
      </c>
      <c r="B63" t="s">
        <v>12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  <c r="L63" t="str">
        <f>IF(Table1[[#This Row],[is_patient]]=1, " Patient","Not Patient")</f>
        <v xml:space="preserve"> Patient</v>
      </c>
    </row>
    <row r="64" spans="1:12" x14ac:dyDescent="0.3">
      <c r="A64">
        <v>58</v>
      </c>
      <c r="B64" t="s">
        <v>12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  <c r="L64" t="str">
        <f>IF(Table1[[#This Row],[is_patient]]=1, " Patient","Not Patient")</f>
        <v xml:space="preserve"> Patient</v>
      </c>
    </row>
    <row r="65" spans="1:12" x14ac:dyDescent="0.3">
      <c r="A65">
        <v>57</v>
      </c>
      <c r="B65" t="s">
        <v>12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>
        <v>1</v>
      </c>
      <c r="L65" t="str">
        <f>IF(Table1[[#This Row],[is_patient]]=1, " Patient","Not Patient")</f>
        <v xml:space="preserve"> Patient</v>
      </c>
    </row>
    <row r="66" spans="1:12" x14ac:dyDescent="0.3">
      <c r="A66">
        <v>57</v>
      </c>
      <c r="B66" t="s">
        <v>12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  <c r="L66" t="str">
        <f>IF(Table1[[#This Row],[is_patient]]=1, " Patient","Not Patient")</f>
        <v xml:space="preserve"> Patient</v>
      </c>
    </row>
    <row r="67" spans="1:12" x14ac:dyDescent="0.3">
      <c r="A67">
        <v>57</v>
      </c>
      <c r="B67" t="s">
        <v>12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  <c r="L67" t="str">
        <f>IF(Table1[[#This Row],[is_patient]]=1, " Patient","Not Patient")</f>
        <v xml:space="preserve"> Patient</v>
      </c>
    </row>
    <row r="68" spans="1:12" x14ac:dyDescent="0.3">
      <c r="A68">
        <v>54</v>
      </c>
      <c r="B68" t="s">
        <v>12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  <c r="L68" t="str">
        <f>IF(Table1[[#This Row],[is_patient]]=1, " Patient","Not Patient")</f>
        <v xml:space="preserve"> Patient</v>
      </c>
    </row>
    <row r="69" spans="1:12" x14ac:dyDescent="0.3">
      <c r="A69">
        <v>37</v>
      </c>
      <c r="B69" t="s">
        <v>12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  <c r="L69" t="str">
        <f>IF(Table1[[#This Row],[is_patient]]=1, " Patient","Not Patient")</f>
        <v xml:space="preserve"> Patient</v>
      </c>
    </row>
    <row r="70" spans="1:12" x14ac:dyDescent="0.3">
      <c r="A70">
        <v>66</v>
      </c>
      <c r="B70" t="s">
        <v>12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  <c r="L70" t="str">
        <f>IF(Table1[[#This Row],[is_patient]]=1, " Patient","Not Patient")</f>
        <v xml:space="preserve"> Patient</v>
      </c>
    </row>
    <row r="71" spans="1:12" x14ac:dyDescent="0.3">
      <c r="A71">
        <v>60</v>
      </c>
      <c r="B71" t="s">
        <v>12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  <c r="L71" t="str">
        <f>IF(Table1[[#This Row],[is_patient]]=1, " Patient","Not Patient")</f>
        <v>Not Patient</v>
      </c>
    </row>
    <row r="72" spans="1:12" x14ac:dyDescent="0.3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  <c r="L72" t="str">
        <f>IF(Table1[[#This Row],[is_patient]]=1, " Patient","Not Patient")</f>
        <v xml:space="preserve"> Patient</v>
      </c>
    </row>
    <row r="73" spans="1:12" x14ac:dyDescent="0.3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>
        <v>1</v>
      </c>
      <c r="L73" t="str">
        <f>IF(Table1[[#This Row],[is_patient]]=1, " Patient","Not Patient")</f>
        <v xml:space="preserve"> Patient</v>
      </c>
    </row>
    <row r="74" spans="1:12" x14ac:dyDescent="0.3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>
        <v>1</v>
      </c>
      <c r="L74" t="str">
        <f>IF(Table1[[#This Row],[is_patient]]=1, " Patient","Not Patient")</f>
        <v xml:space="preserve"> Patient</v>
      </c>
    </row>
    <row r="75" spans="1:12" x14ac:dyDescent="0.3">
      <c r="A75">
        <v>52</v>
      </c>
      <c r="B75" t="s">
        <v>12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  <c r="L75" t="str">
        <f>IF(Table1[[#This Row],[is_patient]]=1, " Patient","Not Patient")</f>
        <v xml:space="preserve"> Patient</v>
      </c>
    </row>
    <row r="76" spans="1:12" x14ac:dyDescent="0.3">
      <c r="A76">
        <v>68</v>
      </c>
      <c r="B76" t="s">
        <v>12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  <c r="L76" t="str">
        <f>IF(Table1[[#This Row],[is_patient]]=1, " Patient","Not Patient")</f>
        <v xml:space="preserve"> Patient</v>
      </c>
    </row>
    <row r="77" spans="1:12" x14ac:dyDescent="0.3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  <c r="L77" t="str">
        <f>IF(Table1[[#This Row],[is_patient]]=1, " Patient","Not Patient")</f>
        <v>Not Patient</v>
      </c>
    </row>
    <row r="78" spans="1:12" x14ac:dyDescent="0.3">
      <c r="A78">
        <v>31</v>
      </c>
      <c r="B78" t="s">
        <v>12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>
        <v>1</v>
      </c>
      <c r="L78" t="str">
        <f>IF(Table1[[#This Row],[is_patient]]=1, " Patient","Not Patient")</f>
        <v xml:space="preserve"> Patient</v>
      </c>
    </row>
    <row r="79" spans="1:12" x14ac:dyDescent="0.3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>
        <v>1</v>
      </c>
      <c r="L79" t="str">
        <f>IF(Table1[[#This Row],[is_patient]]=1, " Patient","Not Patient")</f>
        <v xml:space="preserve"> Patient</v>
      </c>
    </row>
    <row r="80" spans="1:12" x14ac:dyDescent="0.3">
      <c r="A80">
        <v>70</v>
      </c>
      <c r="B80" t="s">
        <v>12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  <c r="L80" t="str">
        <f>IF(Table1[[#This Row],[is_patient]]=1, " Patient","Not Patient")</f>
        <v>Not Patient</v>
      </c>
    </row>
    <row r="81" spans="1:12" x14ac:dyDescent="0.3">
      <c r="A81">
        <v>58</v>
      </c>
      <c r="B81" t="s">
        <v>11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  <c r="L81" t="str">
        <f>IF(Table1[[#This Row],[is_patient]]=1, " Patient","Not Patient")</f>
        <v xml:space="preserve"> Patient</v>
      </c>
    </row>
    <row r="82" spans="1:12" x14ac:dyDescent="0.3">
      <c r="A82">
        <v>58</v>
      </c>
      <c r="B82" t="s">
        <v>11</v>
      </c>
      <c r="C82">
        <v>2.4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  <c r="L82" t="str">
        <f>IF(Table1[[#This Row],[is_patient]]=1, " Patient","Not Patient")</f>
        <v xml:space="preserve"> Patient</v>
      </c>
    </row>
    <row r="83" spans="1:12" x14ac:dyDescent="0.3">
      <c r="A83">
        <v>29</v>
      </c>
      <c r="B83" t="s">
        <v>12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>
        <v>1</v>
      </c>
      <c r="L83" t="str">
        <f>IF(Table1[[#This Row],[is_patient]]=1, " Patient","Not Patient")</f>
        <v xml:space="preserve"> Patient</v>
      </c>
    </row>
    <row r="84" spans="1:12" x14ac:dyDescent="0.3">
      <c r="A84">
        <v>49</v>
      </c>
      <c r="B84" t="s">
        <v>12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  <c r="L84" t="str">
        <f>IF(Table1[[#This Row],[is_patient]]=1, " Patient","Not Patient")</f>
        <v>Not Patient</v>
      </c>
    </row>
    <row r="85" spans="1:12" x14ac:dyDescent="0.3">
      <c r="A85">
        <v>33</v>
      </c>
      <c r="B85" t="s">
        <v>12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  <c r="L85" t="str">
        <f>IF(Table1[[#This Row],[is_patient]]=1, " Patient","Not Patient")</f>
        <v xml:space="preserve"> Patient</v>
      </c>
    </row>
    <row r="86" spans="1:12" x14ac:dyDescent="0.3">
      <c r="A86">
        <v>32</v>
      </c>
      <c r="B86" t="s">
        <v>12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  <c r="L86" t="str">
        <f>IF(Table1[[#This Row],[is_patient]]=1, " Patient","Not Patient")</f>
        <v xml:space="preserve"> Patient</v>
      </c>
    </row>
    <row r="87" spans="1:12" x14ac:dyDescent="0.3">
      <c r="A87">
        <v>14</v>
      </c>
      <c r="B87" t="s">
        <v>12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  <c r="L87" t="str">
        <f>IF(Table1[[#This Row],[is_patient]]=1, " Patient","Not Patient")</f>
        <v xml:space="preserve"> Patient</v>
      </c>
    </row>
    <row r="88" spans="1:12" x14ac:dyDescent="0.3">
      <c r="A88">
        <v>13</v>
      </c>
      <c r="B88" t="s">
        <v>12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  <c r="L88" t="str">
        <f>IF(Table1[[#This Row],[is_patient]]=1, " Patient","Not Patient")</f>
        <v>Not Patient</v>
      </c>
    </row>
    <row r="89" spans="1:12" x14ac:dyDescent="0.3">
      <c r="A89">
        <v>58</v>
      </c>
      <c r="B89" t="s">
        <v>12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  <c r="L89" t="str">
        <f>IF(Table1[[#This Row],[is_patient]]=1, " Patient","Not Patient")</f>
        <v xml:space="preserve"> Patient</v>
      </c>
    </row>
    <row r="90" spans="1:12" x14ac:dyDescent="0.3">
      <c r="A90">
        <v>18</v>
      </c>
      <c r="B90" t="s">
        <v>12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  <c r="L90" t="str">
        <f>IF(Table1[[#This Row],[is_patient]]=1, " Patient","Not Patient")</f>
        <v xml:space="preserve"> Patient</v>
      </c>
    </row>
    <row r="91" spans="1:12" x14ac:dyDescent="0.3">
      <c r="A91">
        <v>60</v>
      </c>
      <c r="B91" t="s">
        <v>12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  <c r="L91" t="str">
        <f>IF(Table1[[#This Row],[is_patient]]=1, " Patient","Not Patient")</f>
        <v xml:space="preserve"> Patient</v>
      </c>
    </row>
    <row r="92" spans="1:12" x14ac:dyDescent="0.3">
      <c r="A92">
        <v>60</v>
      </c>
      <c r="B92" t="s">
        <v>12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  <c r="L92" t="str">
        <f>IF(Table1[[#This Row],[is_patient]]=1, " Patient","Not Patient")</f>
        <v xml:space="preserve"> Patient</v>
      </c>
    </row>
    <row r="93" spans="1:12" x14ac:dyDescent="0.3">
      <c r="A93">
        <v>60</v>
      </c>
      <c r="B93" t="s">
        <v>12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  <c r="L93" t="str">
        <f>IF(Table1[[#This Row],[is_patient]]=1, " Patient","Not Patient")</f>
        <v xml:space="preserve"> Patient</v>
      </c>
    </row>
    <row r="94" spans="1:12" x14ac:dyDescent="0.3">
      <c r="A94">
        <v>60</v>
      </c>
      <c r="B94" t="s">
        <v>12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  <c r="L94" t="str">
        <f>IF(Table1[[#This Row],[is_patient]]=1, " Patient","Not Patient")</f>
        <v xml:space="preserve"> Patient</v>
      </c>
    </row>
    <row r="95" spans="1:12" x14ac:dyDescent="0.3">
      <c r="A95">
        <v>60</v>
      </c>
      <c r="B95" t="s">
        <v>12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  <c r="L95" t="str">
        <f>IF(Table1[[#This Row],[is_patient]]=1, " Patient","Not Patient")</f>
        <v xml:space="preserve"> Patient</v>
      </c>
    </row>
    <row r="96" spans="1:12" x14ac:dyDescent="0.3">
      <c r="A96">
        <v>60</v>
      </c>
      <c r="B96" t="s">
        <v>12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  <c r="L96" t="str">
        <f>IF(Table1[[#This Row],[is_patient]]=1, " Patient","Not Patient")</f>
        <v xml:space="preserve"> Patient</v>
      </c>
    </row>
    <row r="97" spans="1:12" x14ac:dyDescent="0.3">
      <c r="A97">
        <v>75</v>
      </c>
      <c r="B97" t="s">
        <v>12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>
        <v>1</v>
      </c>
      <c r="L97" t="str">
        <f>IF(Table1[[#This Row],[is_patient]]=1, " Patient","Not Patient")</f>
        <v xml:space="preserve"> Patient</v>
      </c>
    </row>
    <row r="98" spans="1:12" x14ac:dyDescent="0.3">
      <c r="A98">
        <v>39</v>
      </c>
      <c r="B98" t="s">
        <v>12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  <c r="L98" t="str">
        <f>IF(Table1[[#This Row],[is_patient]]=1, " Patient","Not Patient")</f>
        <v xml:space="preserve"> Patient</v>
      </c>
    </row>
    <row r="99" spans="1:12" x14ac:dyDescent="0.3">
      <c r="A99">
        <v>39</v>
      </c>
      <c r="B99" t="s">
        <v>12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  <c r="L99" t="str">
        <f>IF(Table1[[#This Row],[is_patient]]=1, " Patient","Not Patient")</f>
        <v xml:space="preserve"> Patient</v>
      </c>
    </row>
    <row r="100" spans="1:12" x14ac:dyDescent="0.3">
      <c r="A100">
        <v>18</v>
      </c>
      <c r="B100" t="s">
        <v>12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>
        <v>1</v>
      </c>
      <c r="L100" t="str">
        <f>IF(Table1[[#This Row],[is_patient]]=1, " Patient","Not Patient")</f>
        <v xml:space="preserve"> Patient</v>
      </c>
    </row>
    <row r="101" spans="1:12" x14ac:dyDescent="0.3">
      <c r="A101">
        <v>18</v>
      </c>
      <c r="B101" t="s">
        <v>12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>
        <v>1</v>
      </c>
      <c r="L101" t="str">
        <f>IF(Table1[[#This Row],[is_patient]]=1, " Patient","Not Patient")</f>
        <v xml:space="preserve"> Patient</v>
      </c>
    </row>
    <row r="102" spans="1:12" x14ac:dyDescent="0.3">
      <c r="A102">
        <v>27</v>
      </c>
      <c r="B102" t="s">
        <v>12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  <c r="L102" t="str">
        <f>IF(Table1[[#This Row],[is_patient]]=1, " Patient","Not Patient")</f>
        <v>Not Patient</v>
      </c>
    </row>
    <row r="103" spans="1:12" x14ac:dyDescent="0.3">
      <c r="A103">
        <v>27</v>
      </c>
      <c r="B103" t="s">
        <v>12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>
        <v>2</v>
      </c>
      <c r="L103" t="str">
        <f>IF(Table1[[#This Row],[is_patient]]=1, " Patient","Not Patient")</f>
        <v>Not Patient</v>
      </c>
    </row>
    <row r="104" spans="1:12" x14ac:dyDescent="0.3">
      <c r="A104">
        <v>17</v>
      </c>
      <c r="B104" t="s">
        <v>12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  <c r="L104" t="str">
        <f>IF(Table1[[#This Row],[is_patient]]=1, " Patient","Not Patient")</f>
        <v xml:space="preserve"> Patient</v>
      </c>
    </row>
    <row r="105" spans="1:12" x14ac:dyDescent="0.3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  <c r="L105" t="str">
        <f>IF(Table1[[#This Row],[is_patient]]=1, " Patient","Not Patient")</f>
        <v>Not Patient</v>
      </c>
    </row>
    <row r="106" spans="1:12" x14ac:dyDescent="0.3">
      <c r="A106">
        <v>63</v>
      </c>
      <c r="B106" t="s">
        <v>12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  <c r="L106" t="str">
        <f>IF(Table1[[#This Row],[is_patient]]=1, " Patient","Not Patient")</f>
        <v xml:space="preserve"> Patient</v>
      </c>
    </row>
    <row r="107" spans="1:12" x14ac:dyDescent="0.3">
      <c r="A107">
        <v>36</v>
      </c>
      <c r="B107" t="s">
        <v>12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2</v>
      </c>
      <c r="L107" t="str">
        <f>IF(Table1[[#This Row],[is_patient]]=1, " Patient","Not Patient")</f>
        <v>Not Patient</v>
      </c>
    </row>
    <row r="108" spans="1:12" x14ac:dyDescent="0.3">
      <c r="A108">
        <v>36</v>
      </c>
      <c r="B108" t="s">
        <v>12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>
        <v>2</v>
      </c>
      <c r="L108" t="str">
        <f>IF(Table1[[#This Row],[is_patient]]=1, " Patient","Not Patient")</f>
        <v>Not Patient</v>
      </c>
    </row>
    <row r="109" spans="1:12" x14ac:dyDescent="0.3">
      <c r="A109">
        <v>36</v>
      </c>
      <c r="B109" t="s">
        <v>12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2</v>
      </c>
      <c r="L109" t="str">
        <f>IF(Table1[[#This Row],[is_patient]]=1, " Patient","Not Patient")</f>
        <v>Not Patient</v>
      </c>
    </row>
    <row r="110" spans="1:12" x14ac:dyDescent="0.3">
      <c r="A110">
        <v>36</v>
      </c>
      <c r="B110" t="s">
        <v>12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>
        <v>2</v>
      </c>
      <c r="L110" t="str">
        <f>IF(Table1[[#This Row],[is_patient]]=1, " Patient","Not Patient")</f>
        <v>Not Patient</v>
      </c>
    </row>
    <row r="111" spans="1:12" x14ac:dyDescent="0.3">
      <c r="A111">
        <v>36</v>
      </c>
      <c r="B111" t="s">
        <v>12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  <c r="L111" t="str">
        <f>IF(Table1[[#This Row],[is_patient]]=1, " Patient","Not Patient")</f>
        <v>Not Patient</v>
      </c>
    </row>
    <row r="112" spans="1:12" x14ac:dyDescent="0.3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>
        <v>2</v>
      </c>
      <c r="L112" t="str">
        <f>IF(Table1[[#This Row],[is_patient]]=1, " Patient","Not Patient")</f>
        <v>Not Patient</v>
      </c>
    </row>
    <row r="113" spans="1:12" x14ac:dyDescent="0.3">
      <c r="A113">
        <v>48</v>
      </c>
      <c r="B113" t="s">
        <v>12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>
        <v>1</v>
      </c>
      <c r="L113" t="str">
        <f>IF(Table1[[#This Row],[is_patient]]=1, " Patient","Not Patient")</f>
        <v xml:space="preserve"> Patient</v>
      </c>
    </row>
    <row r="114" spans="1:12" x14ac:dyDescent="0.3">
      <c r="A114">
        <v>27</v>
      </c>
      <c r="B114" t="s">
        <v>12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>
        <v>2</v>
      </c>
      <c r="L114" t="str">
        <f>IF(Table1[[#This Row],[is_patient]]=1, " Patient","Not Patient")</f>
        <v>Not Patient</v>
      </c>
    </row>
    <row r="115" spans="1:12" x14ac:dyDescent="0.3">
      <c r="A115">
        <v>74</v>
      </c>
      <c r="B115" t="s">
        <v>12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  <c r="L115" t="str">
        <f>IF(Table1[[#This Row],[is_patient]]=1, " Patient","Not Patient")</f>
        <v xml:space="preserve"> Patient</v>
      </c>
    </row>
    <row r="116" spans="1:12" x14ac:dyDescent="0.3">
      <c r="A116">
        <v>50</v>
      </c>
      <c r="B116" t="s">
        <v>12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>
        <v>2</v>
      </c>
      <c r="L116" t="str">
        <f>IF(Table1[[#This Row],[is_patient]]=1, " Patient","Not Patient")</f>
        <v>Not Patient</v>
      </c>
    </row>
    <row r="117" spans="1:12" x14ac:dyDescent="0.3">
      <c r="A117">
        <v>50</v>
      </c>
      <c r="B117" t="s">
        <v>12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>
        <v>2</v>
      </c>
      <c r="L117" t="str">
        <f>IF(Table1[[#This Row],[is_patient]]=1, " Patient","Not Patient")</f>
        <v>Not Patient</v>
      </c>
    </row>
    <row r="118" spans="1:12" x14ac:dyDescent="0.3">
      <c r="A118">
        <v>48</v>
      </c>
      <c r="B118" t="s">
        <v>12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  <c r="L118" t="str">
        <f>IF(Table1[[#This Row],[is_patient]]=1, " Patient","Not Patient")</f>
        <v xml:space="preserve"> Patient</v>
      </c>
    </row>
    <row r="119" spans="1:12" x14ac:dyDescent="0.3">
      <c r="A119">
        <v>32</v>
      </c>
      <c r="B119" t="s">
        <v>12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  <c r="L119" t="str">
        <f>IF(Table1[[#This Row],[is_patient]]=1, " Patient","Not Patient")</f>
        <v xml:space="preserve"> Patient</v>
      </c>
    </row>
    <row r="120" spans="1:12" x14ac:dyDescent="0.3">
      <c r="A120">
        <v>32</v>
      </c>
      <c r="B120" t="s">
        <v>12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  <c r="L120" t="str">
        <f>IF(Table1[[#This Row],[is_patient]]=1, " Patient","Not Patient")</f>
        <v xml:space="preserve"> Patient</v>
      </c>
    </row>
    <row r="121" spans="1:12" x14ac:dyDescent="0.3">
      <c r="A121">
        <v>32</v>
      </c>
      <c r="B121" t="s">
        <v>12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  <c r="L121" t="str">
        <f>IF(Table1[[#This Row],[is_patient]]=1, " Patient","Not Patient")</f>
        <v xml:space="preserve"> Patient</v>
      </c>
    </row>
    <row r="122" spans="1:12" x14ac:dyDescent="0.3">
      <c r="A122">
        <v>32</v>
      </c>
      <c r="B122" t="s">
        <v>12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  <c r="L122" t="str">
        <f>IF(Table1[[#This Row],[is_patient]]=1, " Patient","Not Patient")</f>
        <v xml:space="preserve"> Patient</v>
      </c>
    </row>
    <row r="123" spans="1:12" x14ac:dyDescent="0.3">
      <c r="A123">
        <v>32</v>
      </c>
      <c r="B123" t="s">
        <v>12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  <c r="L123" t="str">
        <f>IF(Table1[[#This Row],[is_patient]]=1, " Patient","Not Patient")</f>
        <v xml:space="preserve"> Patient</v>
      </c>
    </row>
    <row r="124" spans="1:12" x14ac:dyDescent="0.3">
      <c r="A124">
        <v>58</v>
      </c>
      <c r="B124" t="s">
        <v>12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  <c r="L124" t="str">
        <f>IF(Table1[[#This Row],[is_patient]]=1, " Patient","Not Patient")</f>
        <v>Not Patient</v>
      </c>
    </row>
    <row r="125" spans="1:12" x14ac:dyDescent="0.3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  <c r="L125" t="str">
        <f>IF(Table1[[#This Row],[is_patient]]=1, " Patient","Not Patient")</f>
        <v xml:space="preserve"> Patient</v>
      </c>
    </row>
    <row r="126" spans="1:12" x14ac:dyDescent="0.3">
      <c r="A126">
        <v>28</v>
      </c>
      <c r="B126" t="s">
        <v>12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>
        <v>2</v>
      </c>
      <c r="L126" t="str">
        <f>IF(Table1[[#This Row],[is_patient]]=1, " Patient","Not Patient")</f>
        <v>Not Patient</v>
      </c>
    </row>
    <row r="127" spans="1:12" x14ac:dyDescent="0.3">
      <c r="A127">
        <v>60</v>
      </c>
      <c r="B127" t="s">
        <v>12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  <c r="L127" t="str">
        <f>IF(Table1[[#This Row],[is_patient]]=1, " Patient","Not Patient")</f>
        <v>Not Patient</v>
      </c>
    </row>
    <row r="128" spans="1:12" x14ac:dyDescent="0.3">
      <c r="A128">
        <v>48</v>
      </c>
      <c r="B128" t="s">
        <v>12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  <c r="L128" t="str">
        <f>IF(Table1[[#This Row],[is_patient]]=1, " Patient","Not Patient")</f>
        <v xml:space="preserve"> Patient</v>
      </c>
    </row>
    <row r="129" spans="1:12" x14ac:dyDescent="0.3">
      <c r="A129">
        <v>64</v>
      </c>
      <c r="B129" t="s">
        <v>12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  <c r="L129" t="str">
        <f>IF(Table1[[#This Row],[is_patient]]=1, " Patient","Not Patient")</f>
        <v xml:space="preserve"> Patient</v>
      </c>
    </row>
    <row r="130" spans="1:12" x14ac:dyDescent="0.3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  <c r="L130" t="str">
        <f>IF(Table1[[#This Row],[is_patient]]=1, " Patient","Not Patient")</f>
        <v xml:space="preserve"> Patient</v>
      </c>
    </row>
    <row r="131" spans="1:12" x14ac:dyDescent="0.3">
      <c r="A131">
        <v>45</v>
      </c>
      <c r="B131" t="s">
        <v>12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>
        <v>1</v>
      </c>
      <c r="L131" t="str">
        <f>IF(Table1[[#This Row],[is_patient]]=1, " Patient","Not Patient")</f>
        <v xml:space="preserve"> Patient</v>
      </c>
    </row>
    <row r="132" spans="1:12" x14ac:dyDescent="0.3">
      <c r="A132">
        <v>45</v>
      </c>
      <c r="B132" t="s">
        <v>12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  <c r="L132" t="str">
        <f>IF(Table1[[#This Row],[is_patient]]=1, " Patient","Not Patient")</f>
        <v xml:space="preserve"> Patient</v>
      </c>
    </row>
    <row r="133" spans="1:12" x14ac:dyDescent="0.3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  <c r="L133" t="str">
        <f>IF(Table1[[#This Row],[is_patient]]=1, " Patient","Not Patient")</f>
        <v>Not Patient</v>
      </c>
    </row>
    <row r="134" spans="1:12" x14ac:dyDescent="0.3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>
        <v>2</v>
      </c>
      <c r="L134" t="str">
        <f>IF(Table1[[#This Row],[is_patient]]=1, " Patient","Not Patient")</f>
        <v>Not Patient</v>
      </c>
    </row>
    <row r="135" spans="1:12" x14ac:dyDescent="0.3">
      <c r="A135">
        <v>53</v>
      </c>
      <c r="B135" t="s">
        <v>12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  <c r="L135" t="str">
        <f>IF(Table1[[#This Row],[is_patient]]=1, " Patient","Not Patient")</f>
        <v xml:space="preserve"> Patient</v>
      </c>
    </row>
    <row r="136" spans="1:12" x14ac:dyDescent="0.3">
      <c r="A136">
        <v>18</v>
      </c>
      <c r="B136" t="s">
        <v>12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>
        <v>1</v>
      </c>
      <c r="L136" t="str">
        <f>IF(Table1[[#This Row],[is_patient]]=1, " Patient","Not Patient")</f>
        <v xml:space="preserve"> Patient</v>
      </c>
    </row>
    <row r="137" spans="1:12" x14ac:dyDescent="0.3">
      <c r="A137">
        <v>66</v>
      </c>
      <c r="B137" t="s">
        <v>12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  <c r="L137" t="str">
        <f>IF(Table1[[#This Row],[is_patient]]=1, " Patient","Not Patient")</f>
        <v xml:space="preserve"> Patient</v>
      </c>
    </row>
    <row r="138" spans="1:12" x14ac:dyDescent="0.3">
      <c r="A138">
        <v>46</v>
      </c>
      <c r="B138" t="s">
        <v>11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  <c r="L138" t="str">
        <f>IF(Table1[[#This Row],[is_patient]]=1, " Patient","Not Patient")</f>
        <v xml:space="preserve"> Patient</v>
      </c>
    </row>
    <row r="139" spans="1:12" x14ac:dyDescent="0.3">
      <c r="A139">
        <v>18</v>
      </c>
      <c r="B139" t="s">
        <v>12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  <c r="L139" t="str">
        <f>IF(Table1[[#This Row],[is_patient]]=1, " Patient","Not Patient")</f>
        <v xml:space="preserve"> Patient</v>
      </c>
    </row>
    <row r="140" spans="1:12" x14ac:dyDescent="0.3">
      <c r="A140">
        <v>18</v>
      </c>
      <c r="B140" t="s">
        <v>12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  <c r="L140" t="str">
        <f>IF(Table1[[#This Row],[is_patient]]=1, " Patient","Not Patient")</f>
        <v xml:space="preserve"> Patient</v>
      </c>
    </row>
    <row r="141" spans="1:12" x14ac:dyDescent="0.3">
      <c r="A141">
        <v>15</v>
      </c>
      <c r="B141" t="s">
        <v>12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  <c r="L141" t="str">
        <f>IF(Table1[[#This Row],[is_patient]]=1, " Patient","Not Patient")</f>
        <v xml:space="preserve"> Patient</v>
      </c>
    </row>
    <row r="142" spans="1:12" x14ac:dyDescent="0.3">
      <c r="A142">
        <v>60</v>
      </c>
      <c r="B142" t="s">
        <v>12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>
        <v>2</v>
      </c>
      <c r="L142" t="str">
        <f>IF(Table1[[#This Row],[is_patient]]=1, " Patient","Not Patient")</f>
        <v>Not Patient</v>
      </c>
    </row>
    <row r="143" spans="1:12" x14ac:dyDescent="0.3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>
        <v>1</v>
      </c>
      <c r="L143" t="str">
        <f>IF(Table1[[#This Row],[is_patient]]=1, " Patient","Not Patient")</f>
        <v xml:space="preserve"> Patient</v>
      </c>
    </row>
    <row r="144" spans="1:12" x14ac:dyDescent="0.3">
      <c r="A144">
        <v>30</v>
      </c>
      <c r="B144" t="s">
        <v>12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  <c r="L144" t="str">
        <f>IF(Table1[[#This Row],[is_patient]]=1, " Patient","Not Patient")</f>
        <v xml:space="preserve"> Patient</v>
      </c>
    </row>
    <row r="145" spans="1:12" x14ac:dyDescent="0.3">
      <c r="A145">
        <v>30</v>
      </c>
      <c r="B145" t="s">
        <v>12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  <c r="L145" t="str">
        <f>IF(Table1[[#This Row],[is_patient]]=1, " Patient","Not Patient")</f>
        <v xml:space="preserve"> Patient</v>
      </c>
    </row>
    <row r="146" spans="1:12" x14ac:dyDescent="0.3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  <c r="L146" t="str">
        <f>IF(Table1[[#This Row],[is_patient]]=1, " Patient","Not Patient")</f>
        <v xml:space="preserve"> Patient</v>
      </c>
    </row>
    <row r="147" spans="1:12" x14ac:dyDescent="0.3">
      <c r="A147">
        <v>65</v>
      </c>
      <c r="B147" t="s">
        <v>12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>
        <v>2</v>
      </c>
      <c r="L147" t="str">
        <f>IF(Table1[[#This Row],[is_patient]]=1, " Patient","Not Patient")</f>
        <v>Not Patient</v>
      </c>
    </row>
    <row r="148" spans="1:12" x14ac:dyDescent="0.3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  <c r="L148" t="str">
        <f>IF(Table1[[#This Row],[is_patient]]=1, " Patient","Not Patient")</f>
        <v xml:space="preserve"> Patient</v>
      </c>
    </row>
    <row r="149" spans="1:12" x14ac:dyDescent="0.3">
      <c r="A149">
        <v>65</v>
      </c>
      <c r="B149" t="s">
        <v>12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>
        <v>1</v>
      </c>
      <c r="L149" t="str">
        <f>IF(Table1[[#This Row],[is_patient]]=1, " Patient","Not Patient")</f>
        <v xml:space="preserve"> Patient</v>
      </c>
    </row>
    <row r="150" spans="1:12" x14ac:dyDescent="0.3">
      <c r="A150">
        <v>50</v>
      </c>
      <c r="B150" t="s">
        <v>12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  <c r="L150" t="str">
        <f>IF(Table1[[#This Row],[is_patient]]=1, " Patient","Not Patient")</f>
        <v xml:space="preserve"> Patient</v>
      </c>
    </row>
    <row r="151" spans="1:12" x14ac:dyDescent="0.3">
      <c r="A151">
        <v>60</v>
      </c>
      <c r="B151" t="s">
        <v>12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  <c r="L151" t="str">
        <f>IF(Table1[[#This Row],[is_patient]]=1, " Patient","Not Patient")</f>
        <v xml:space="preserve"> Patient</v>
      </c>
    </row>
    <row r="152" spans="1:12" x14ac:dyDescent="0.3">
      <c r="A152">
        <v>56</v>
      </c>
      <c r="B152" t="s">
        <v>12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  <c r="L152" t="str">
        <f>IF(Table1[[#This Row],[is_patient]]=1, " Patient","Not Patient")</f>
        <v>Not Patient</v>
      </c>
    </row>
    <row r="153" spans="1:12" x14ac:dyDescent="0.3">
      <c r="A153">
        <v>50</v>
      </c>
      <c r="B153" t="s">
        <v>12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  <c r="L153" t="str">
        <f>IF(Table1[[#This Row],[is_patient]]=1, " Patient","Not Patient")</f>
        <v xml:space="preserve"> Patient</v>
      </c>
    </row>
    <row r="154" spans="1:12" x14ac:dyDescent="0.3">
      <c r="A154">
        <v>46</v>
      </c>
      <c r="B154" t="s">
        <v>11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  <c r="L154" t="str">
        <f>IF(Table1[[#This Row],[is_patient]]=1, " Patient","Not Patient")</f>
        <v xml:space="preserve"> Patient</v>
      </c>
    </row>
    <row r="155" spans="1:12" x14ac:dyDescent="0.3">
      <c r="A155">
        <v>52</v>
      </c>
      <c r="B155" t="s">
        <v>12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  <c r="L155" t="str">
        <f>IF(Table1[[#This Row],[is_patient]]=1, " Patient","Not Patient")</f>
        <v>Not Patient</v>
      </c>
    </row>
    <row r="156" spans="1:12" x14ac:dyDescent="0.3">
      <c r="A156">
        <v>34</v>
      </c>
      <c r="B156" t="s">
        <v>12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  <c r="L156" t="str">
        <f>IF(Table1[[#This Row],[is_patient]]=1, " Patient","Not Patient")</f>
        <v xml:space="preserve"> Patient</v>
      </c>
    </row>
    <row r="157" spans="1:12" x14ac:dyDescent="0.3">
      <c r="A157">
        <v>34</v>
      </c>
      <c r="B157" t="s">
        <v>12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  <c r="L157" t="str">
        <f>IF(Table1[[#This Row],[is_patient]]=1, " Patient","Not Patient")</f>
        <v xml:space="preserve"> Patient</v>
      </c>
    </row>
    <row r="158" spans="1:12" x14ac:dyDescent="0.3">
      <c r="A158">
        <v>32</v>
      </c>
      <c r="B158" t="s">
        <v>12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  <c r="L158" t="str">
        <f>IF(Table1[[#This Row],[is_patient]]=1, " Patient","Not Patient")</f>
        <v xml:space="preserve"> Patient</v>
      </c>
    </row>
    <row r="159" spans="1:12" x14ac:dyDescent="0.3">
      <c r="A159">
        <v>72</v>
      </c>
      <c r="B159" t="s">
        <v>12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  <c r="L159" t="str">
        <f>IF(Table1[[#This Row],[is_patient]]=1, " Patient","Not Patient")</f>
        <v xml:space="preserve"> Patient</v>
      </c>
    </row>
    <row r="160" spans="1:12" x14ac:dyDescent="0.3">
      <c r="A160">
        <v>72</v>
      </c>
      <c r="B160" t="s">
        <v>12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  <c r="L160" t="str">
        <f>IF(Table1[[#This Row],[is_patient]]=1, " Patient","Not Patient")</f>
        <v xml:space="preserve"> Patient</v>
      </c>
    </row>
    <row r="161" spans="1:12" x14ac:dyDescent="0.3">
      <c r="A161">
        <v>50</v>
      </c>
      <c r="B161" t="s">
        <v>12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>
        <v>1</v>
      </c>
      <c r="L161" t="str">
        <f>IF(Table1[[#This Row],[is_patient]]=1, " Patient","Not Patient")</f>
        <v xml:space="preserve"> Patient</v>
      </c>
    </row>
    <row r="162" spans="1:12" x14ac:dyDescent="0.3">
      <c r="A162">
        <v>60</v>
      </c>
      <c r="B162" t="s">
        <v>12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  <c r="L162" t="str">
        <f>IF(Table1[[#This Row],[is_patient]]=1, " Patient","Not Patient")</f>
        <v xml:space="preserve"> Patient</v>
      </c>
    </row>
    <row r="163" spans="1:12" x14ac:dyDescent="0.3">
      <c r="A163">
        <v>60</v>
      </c>
      <c r="B163" t="s">
        <v>12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  <c r="L163" t="str">
        <f>IF(Table1[[#This Row],[is_patient]]=1, " Patient","Not Patient")</f>
        <v xml:space="preserve"> Patient</v>
      </c>
    </row>
    <row r="164" spans="1:12" x14ac:dyDescent="0.3">
      <c r="A164">
        <v>60</v>
      </c>
      <c r="B164" t="s">
        <v>12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  <c r="L164" t="str">
        <f>IF(Table1[[#This Row],[is_patient]]=1, " Patient","Not Patient")</f>
        <v xml:space="preserve"> Patient</v>
      </c>
    </row>
    <row r="165" spans="1:12" x14ac:dyDescent="0.3">
      <c r="A165">
        <v>39</v>
      </c>
      <c r="B165" t="s">
        <v>12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  <c r="L165" t="str">
        <f>IF(Table1[[#This Row],[is_patient]]=1, " Patient","Not Patient")</f>
        <v xml:space="preserve"> Patient</v>
      </c>
    </row>
    <row r="166" spans="1:12" x14ac:dyDescent="0.3">
      <c r="A166">
        <v>39</v>
      </c>
      <c r="B166" t="s">
        <v>12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  <c r="L166" t="str">
        <f>IF(Table1[[#This Row],[is_patient]]=1, " Patient","Not Patient")</f>
        <v xml:space="preserve"> Patient</v>
      </c>
    </row>
    <row r="167" spans="1:12" x14ac:dyDescent="0.3">
      <c r="A167">
        <v>48</v>
      </c>
      <c r="B167" t="s">
        <v>12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  <c r="L167" t="str">
        <f>IF(Table1[[#This Row],[is_patient]]=1, " Patient","Not Patient")</f>
        <v xml:space="preserve"> Patient</v>
      </c>
    </row>
    <row r="168" spans="1:12" x14ac:dyDescent="0.3">
      <c r="A168">
        <v>55</v>
      </c>
      <c r="B168" t="s">
        <v>12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  <c r="L168" t="str">
        <f>IF(Table1[[#This Row],[is_patient]]=1, " Patient","Not Patient")</f>
        <v xml:space="preserve"> Patient</v>
      </c>
    </row>
    <row r="169" spans="1:12" x14ac:dyDescent="0.3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  <c r="L169" t="str">
        <f>IF(Table1[[#This Row],[is_patient]]=1, " Patient","Not Patient")</f>
        <v xml:space="preserve"> Patient</v>
      </c>
    </row>
    <row r="170" spans="1:12" x14ac:dyDescent="0.3">
      <c r="A170">
        <v>60</v>
      </c>
      <c r="B170" t="s">
        <v>12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  <c r="L170" t="str">
        <f>IF(Table1[[#This Row],[is_patient]]=1, " Patient","Not Patient")</f>
        <v xml:space="preserve"> Patient</v>
      </c>
    </row>
    <row r="171" spans="1:12" x14ac:dyDescent="0.3">
      <c r="A171">
        <v>60</v>
      </c>
      <c r="B171" t="s">
        <v>12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  <c r="L171" t="str">
        <f>IF(Table1[[#This Row],[is_patient]]=1, " Patient","Not Patient")</f>
        <v xml:space="preserve"> Patient</v>
      </c>
    </row>
    <row r="172" spans="1:12" x14ac:dyDescent="0.3">
      <c r="A172">
        <v>72</v>
      </c>
      <c r="B172" t="s">
        <v>12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  <c r="L172" t="str">
        <f>IF(Table1[[#This Row],[is_patient]]=1, " Patient","Not Patient")</f>
        <v xml:space="preserve"> Patient</v>
      </c>
    </row>
    <row r="173" spans="1:12" x14ac:dyDescent="0.3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  <c r="L173" t="str">
        <f>IF(Table1[[#This Row],[is_patient]]=1, " Patient","Not Patient")</f>
        <v xml:space="preserve"> Patient</v>
      </c>
    </row>
    <row r="174" spans="1:12" x14ac:dyDescent="0.3">
      <c r="A174">
        <v>55</v>
      </c>
      <c r="B174" t="s">
        <v>12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  <c r="L174" t="str">
        <f>IF(Table1[[#This Row],[is_patient]]=1, " Patient","Not Patient")</f>
        <v xml:space="preserve"> Patient</v>
      </c>
    </row>
    <row r="175" spans="1:12" x14ac:dyDescent="0.3">
      <c r="A175">
        <v>31</v>
      </c>
      <c r="B175" t="s">
        <v>12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  <c r="L175" t="str">
        <f>IF(Table1[[#This Row],[is_patient]]=1, " Patient","Not Patient")</f>
        <v xml:space="preserve"> Patient</v>
      </c>
    </row>
    <row r="176" spans="1:12" x14ac:dyDescent="0.3">
      <c r="A176">
        <v>31</v>
      </c>
      <c r="B176" t="s">
        <v>12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  <c r="L176" t="str">
        <f>IF(Table1[[#This Row],[is_patient]]=1, " Patient","Not Patient")</f>
        <v xml:space="preserve"> Patient</v>
      </c>
    </row>
    <row r="177" spans="1:12" x14ac:dyDescent="0.3">
      <c r="A177">
        <v>31</v>
      </c>
      <c r="B177" t="s">
        <v>12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  <c r="L177" t="str">
        <f>IF(Table1[[#This Row],[is_patient]]=1, " Patient","Not Patient")</f>
        <v xml:space="preserve"> Patient</v>
      </c>
    </row>
    <row r="178" spans="1:12" x14ac:dyDescent="0.3">
      <c r="A178">
        <v>55</v>
      </c>
      <c r="B178" t="s">
        <v>12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  <c r="L178" t="str">
        <f>IF(Table1[[#This Row],[is_patient]]=1, " Patient","Not Patient")</f>
        <v xml:space="preserve"> Patient</v>
      </c>
    </row>
    <row r="179" spans="1:12" x14ac:dyDescent="0.3">
      <c r="A179">
        <v>75</v>
      </c>
      <c r="B179" t="s">
        <v>12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>
        <v>1</v>
      </c>
      <c r="L179" t="str">
        <f>IF(Table1[[#This Row],[is_patient]]=1, " Patient","Not Patient")</f>
        <v xml:space="preserve"> Patient</v>
      </c>
    </row>
    <row r="180" spans="1:12" x14ac:dyDescent="0.3">
      <c r="A180">
        <v>75</v>
      </c>
      <c r="B180" t="s">
        <v>12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>
        <v>1</v>
      </c>
      <c r="L180" t="str">
        <f>IF(Table1[[#This Row],[is_patient]]=1, " Patient","Not Patient")</f>
        <v xml:space="preserve"> Patient</v>
      </c>
    </row>
    <row r="181" spans="1:12" x14ac:dyDescent="0.3">
      <c r="A181">
        <v>75</v>
      </c>
      <c r="B181" t="s">
        <v>12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  <c r="L181" t="str">
        <f>IF(Table1[[#This Row],[is_patient]]=1, " Patient","Not Patient")</f>
        <v xml:space="preserve"> Patient</v>
      </c>
    </row>
    <row r="182" spans="1:12" x14ac:dyDescent="0.3">
      <c r="A182">
        <v>75</v>
      </c>
      <c r="B182" t="s">
        <v>12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  <c r="L182" t="str">
        <f>IF(Table1[[#This Row],[is_patient]]=1, " Patient","Not Patient")</f>
        <v xml:space="preserve"> Patient</v>
      </c>
    </row>
    <row r="183" spans="1:12" x14ac:dyDescent="0.3">
      <c r="A183">
        <v>75</v>
      </c>
      <c r="B183" t="s">
        <v>12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  <c r="L183" t="str">
        <f>IF(Table1[[#This Row],[is_patient]]=1, " Patient","Not Patient")</f>
        <v xml:space="preserve"> Patient</v>
      </c>
    </row>
    <row r="184" spans="1:12" x14ac:dyDescent="0.3">
      <c r="A184">
        <v>65</v>
      </c>
      <c r="B184" t="s">
        <v>12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>
        <v>2</v>
      </c>
      <c r="L184" t="str">
        <f>IF(Table1[[#This Row],[is_patient]]=1, " Patient","Not Patient")</f>
        <v>Not Patient</v>
      </c>
    </row>
    <row r="185" spans="1:12" x14ac:dyDescent="0.3">
      <c r="A185">
        <v>40</v>
      </c>
      <c r="B185" t="s">
        <v>12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  <c r="L185" t="str">
        <f>IF(Table1[[#This Row],[is_patient]]=1, " Patient","Not Patient")</f>
        <v xml:space="preserve"> Patient</v>
      </c>
    </row>
    <row r="186" spans="1:12" x14ac:dyDescent="0.3">
      <c r="A186">
        <v>64</v>
      </c>
      <c r="B186" t="s">
        <v>12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>
        <v>1</v>
      </c>
      <c r="L186" t="str">
        <f>IF(Table1[[#This Row],[is_patient]]=1, " Patient","Not Patient")</f>
        <v xml:space="preserve"> Patient</v>
      </c>
    </row>
    <row r="187" spans="1:12" x14ac:dyDescent="0.3">
      <c r="A187">
        <v>38</v>
      </c>
      <c r="B187" t="s">
        <v>12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  <c r="L187" t="str">
        <f>IF(Table1[[#This Row],[is_patient]]=1, " Patient","Not Patient")</f>
        <v>Not Patient</v>
      </c>
    </row>
    <row r="188" spans="1:12" x14ac:dyDescent="0.3">
      <c r="A188">
        <v>60</v>
      </c>
      <c r="B188" t="s">
        <v>12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  <c r="L188" t="str">
        <f>IF(Table1[[#This Row],[is_patient]]=1, " Patient","Not Patient")</f>
        <v xml:space="preserve"> Patient</v>
      </c>
    </row>
    <row r="189" spans="1:12" x14ac:dyDescent="0.3">
      <c r="A189">
        <v>60</v>
      </c>
      <c r="B189" t="s">
        <v>12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  <c r="L189" t="str">
        <f>IF(Table1[[#This Row],[is_patient]]=1, " Patient","Not Patient")</f>
        <v xml:space="preserve"> Patient</v>
      </c>
    </row>
    <row r="190" spans="1:12" x14ac:dyDescent="0.3">
      <c r="A190">
        <v>60</v>
      </c>
      <c r="B190" t="s">
        <v>12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  <c r="L190" t="str">
        <f>IF(Table1[[#This Row],[is_patient]]=1, " Patient","Not Patient")</f>
        <v xml:space="preserve"> Patient</v>
      </c>
    </row>
    <row r="191" spans="1:12" x14ac:dyDescent="0.3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  <c r="L191" t="str">
        <f>IF(Table1[[#This Row],[is_patient]]=1, " Patient","Not Patient")</f>
        <v>Not Patient</v>
      </c>
    </row>
    <row r="192" spans="1:12" x14ac:dyDescent="0.3">
      <c r="A192">
        <v>60</v>
      </c>
      <c r="B192" t="s">
        <v>12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  <c r="L192" t="str">
        <f>IF(Table1[[#This Row],[is_patient]]=1, " Patient","Not Patient")</f>
        <v xml:space="preserve"> Patient</v>
      </c>
    </row>
    <row r="193" spans="1:12" x14ac:dyDescent="0.3">
      <c r="A193">
        <v>60</v>
      </c>
      <c r="B193" t="s">
        <v>12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>
        <v>1</v>
      </c>
      <c r="L193" t="str">
        <f>IF(Table1[[#This Row],[is_patient]]=1, " Patient","Not Patient")</f>
        <v xml:space="preserve"> Patient</v>
      </c>
    </row>
    <row r="194" spans="1:12" x14ac:dyDescent="0.3">
      <c r="A194">
        <v>60</v>
      </c>
      <c r="B194" t="s">
        <v>12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>
        <v>1</v>
      </c>
      <c r="L194" t="str">
        <f>IF(Table1[[#This Row],[is_patient]]=1, " Patient","Not Patient")</f>
        <v xml:space="preserve"> Patient</v>
      </c>
    </row>
    <row r="195" spans="1:12" x14ac:dyDescent="0.3">
      <c r="A195">
        <v>49</v>
      </c>
      <c r="B195" t="s">
        <v>12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  <c r="L195" t="str">
        <f>IF(Table1[[#This Row],[is_patient]]=1, " Patient","Not Patient")</f>
        <v>Not Patient</v>
      </c>
    </row>
    <row r="196" spans="1:12" x14ac:dyDescent="0.3">
      <c r="A196">
        <v>49</v>
      </c>
      <c r="B196" t="s">
        <v>12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>
        <v>2</v>
      </c>
      <c r="L196" t="str">
        <f>IF(Table1[[#This Row],[is_patient]]=1, " Patient","Not Patient")</f>
        <v>Not Patient</v>
      </c>
    </row>
    <row r="197" spans="1:12" x14ac:dyDescent="0.3">
      <c r="A197">
        <v>60</v>
      </c>
      <c r="B197" t="s">
        <v>12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  <c r="L197" t="str">
        <f>IF(Table1[[#This Row],[is_patient]]=1, " Patient","Not Patient")</f>
        <v xml:space="preserve"> Patient</v>
      </c>
    </row>
    <row r="198" spans="1:12" x14ac:dyDescent="0.3">
      <c r="A198">
        <v>60</v>
      </c>
      <c r="B198" t="s">
        <v>12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  <c r="L198" t="str">
        <f>IF(Table1[[#This Row],[is_patient]]=1, " Patient","Not Patient")</f>
        <v xml:space="preserve"> Patient</v>
      </c>
    </row>
    <row r="199" spans="1:12" x14ac:dyDescent="0.3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  <c r="L199" t="str">
        <f>IF(Table1[[#This Row],[is_patient]]=1, " Patient","Not Patient")</f>
        <v xml:space="preserve"> Patient</v>
      </c>
    </row>
    <row r="200" spans="1:12" x14ac:dyDescent="0.3">
      <c r="A200">
        <v>41</v>
      </c>
      <c r="B200" t="s">
        <v>12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  <c r="L200" t="str">
        <f>IF(Table1[[#This Row],[is_patient]]=1, " Patient","Not Patient")</f>
        <v>Not Patient</v>
      </c>
    </row>
    <row r="201" spans="1:12" x14ac:dyDescent="0.3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  <c r="L201" t="str">
        <f>IF(Table1[[#This Row],[is_patient]]=1, " Patient","Not Patient")</f>
        <v xml:space="preserve"> Patient</v>
      </c>
    </row>
    <row r="202" spans="1:12" x14ac:dyDescent="0.3">
      <c r="A202">
        <v>49</v>
      </c>
      <c r="B202" t="s">
        <v>12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  <c r="L202" t="str">
        <f>IF(Table1[[#This Row],[is_patient]]=1, " Patient","Not Patient")</f>
        <v xml:space="preserve"> Patient</v>
      </c>
    </row>
    <row r="203" spans="1:12" x14ac:dyDescent="0.3">
      <c r="A203">
        <v>49</v>
      </c>
      <c r="B203" t="s">
        <v>12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  <c r="L203" t="str">
        <f>IF(Table1[[#This Row],[is_patient]]=1, " Patient","Not Patient")</f>
        <v xml:space="preserve"> Patient</v>
      </c>
    </row>
    <row r="204" spans="1:12" x14ac:dyDescent="0.3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  <c r="L204" t="str">
        <f>IF(Table1[[#This Row],[is_patient]]=1, " Patient","Not Patient")</f>
        <v>Not Patient</v>
      </c>
    </row>
    <row r="205" spans="1:12" x14ac:dyDescent="0.3">
      <c r="A205">
        <v>21</v>
      </c>
      <c r="B205" t="s">
        <v>12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  <c r="L205" t="str">
        <f>IF(Table1[[#This Row],[is_patient]]=1, " Patient","Not Patient")</f>
        <v>Not Patient</v>
      </c>
    </row>
    <row r="206" spans="1:12" x14ac:dyDescent="0.3">
      <c r="A206">
        <v>21</v>
      </c>
      <c r="B206" t="s">
        <v>12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  <c r="L206" t="str">
        <f>IF(Table1[[#This Row],[is_patient]]=1, " Patient","Not Patient")</f>
        <v>Not Patient</v>
      </c>
    </row>
    <row r="207" spans="1:12" x14ac:dyDescent="0.3">
      <c r="A207">
        <v>45</v>
      </c>
      <c r="B207" t="s">
        <v>12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>
        <v>1</v>
      </c>
      <c r="L207" t="str">
        <f>IF(Table1[[#This Row],[is_patient]]=1, " Patient","Not Patient")</f>
        <v xml:space="preserve"> Patient</v>
      </c>
    </row>
    <row r="208" spans="1:12" x14ac:dyDescent="0.3">
      <c r="A208">
        <v>40</v>
      </c>
      <c r="B208" t="s">
        <v>12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  <c r="L208" t="str">
        <f>IF(Table1[[#This Row],[is_patient]]=1, " Patient","Not Patient")</f>
        <v xml:space="preserve"> Patient</v>
      </c>
    </row>
    <row r="209" spans="1:12" x14ac:dyDescent="0.3">
      <c r="A209">
        <v>40</v>
      </c>
      <c r="B209" t="s">
        <v>12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  <c r="L209" t="str">
        <f>IF(Table1[[#This Row],[is_patient]]=1, " Patient","Not Patient")</f>
        <v xml:space="preserve"> Patient</v>
      </c>
    </row>
    <row r="210" spans="1:12" x14ac:dyDescent="0.3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  <c r="L210" t="str">
        <f>IF(Table1[[#This Row],[is_patient]]=1, " Patient","Not Patient")</f>
        <v xml:space="preserve"> Patient</v>
      </c>
    </row>
    <row r="211" spans="1:12" x14ac:dyDescent="0.3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  <c r="L211" t="str">
        <f>IF(Table1[[#This Row],[is_patient]]=1, " Patient","Not Patient")</f>
        <v xml:space="preserve"> Patient</v>
      </c>
    </row>
    <row r="212" spans="1:12" x14ac:dyDescent="0.3">
      <c r="A212">
        <v>28</v>
      </c>
      <c r="B212" t="s">
        <v>12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>
        <v>1</v>
      </c>
      <c r="L212" t="str">
        <f>IF(Table1[[#This Row],[is_patient]]=1, " Patient","Not Patient")</f>
        <v xml:space="preserve"> Patient</v>
      </c>
    </row>
    <row r="213" spans="1:12" x14ac:dyDescent="0.3">
      <c r="A213">
        <v>42</v>
      </c>
      <c r="B213" t="s">
        <v>12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  <c r="L213" t="str">
        <f>IF(Table1[[#This Row],[is_patient]]=1, " Patient","Not Patient")</f>
        <v xml:space="preserve"> Patient</v>
      </c>
    </row>
    <row r="214" spans="1:12" x14ac:dyDescent="0.3">
      <c r="A214">
        <v>22</v>
      </c>
      <c r="B214" t="s">
        <v>12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  <c r="L214" t="str">
        <f>IF(Table1[[#This Row],[is_patient]]=1, " Patient","Not Patient")</f>
        <v>Not Patient</v>
      </c>
    </row>
    <row r="215" spans="1:12" x14ac:dyDescent="0.3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  <c r="L215" t="str">
        <f>IF(Table1[[#This Row],[is_patient]]=1, " Patient","Not Patient")</f>
        <v xml:space="preserve"> Patient</v>
      </c>
    </row>
    <row r="216" spans="1:12" x14ac:dyDescent="0.3">
      <c r="A216">
        <v>38</v>
      </c>
      <c r="B216" t="s">
        <v>12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  <c r="L216" t="str">
        <f>IF(Table1[[#This Row],[is_patient]]=1, " Patient","Not Patient")</f>
        <v xml:space="preserve"> Patient</v>
      </c>
    </row>
    <row r="217" spans="1:12" x14ac:dyDescent="0.3">
      <c r="A217">
        <v>66</v>
      </c>
      <c r="B217" t="s">
        <v>12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  <c r="L217" t="str">
        <f>IF(Table1[[#This Row],[is_patient]]=1, " Patient","Not Patient")</f>
        <v>Not Patient</v>
      </c>
    </row>
    <row r="218" spans="1:12" x14ac:dyDescent="0.3">
      <c r="A218">
        <v>55</v>
      </c>
      <c r="B218" t="s">
        <v>12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  <c r="L218" t="str">
        <f>IF(Table1[[#This Row],[is_patient]]=1, " Patient","Not Patient")</f>
        <v>Not Patient</v>
      </c>
    </row>
    <row r="219" spans="1:12" x14ac:dyDescent="0.3">
      <c r="A219">
        <v>49</v>
      </c>
      <c r="B219" t="s">
        <v>12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  <c r="L219" t="str">
        <f>IF(Table1[[#This Row],[is_patient]]=1, " Patient","Not Patient")</f>
        <v xml:space="preserve"> Patient</v>
      </c>
    </row>
    <row r="220" spans="1:12" x14ac:dyDescent="0.3">
      <c r="A220">
        <v>6</v>
      </c>
      <c r="B220" t="s">
        <v>12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  <c r="L220" t="str">
        <f>IF(Table1[[#This Row],[is_patient]]=1, " Patient","Not Patient")</f>
        <v>Not Patient</v>
      </c>
    </row>
    <row r="221" spans="1:12" x14ac:dyDescent="0.3">
      <c r="A221">
        <v>37</v>
      </c>
      <c r="B221" t="s">
        <v>12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>
        <v>1</v>
      </c>
      <c r="L221" t="str">
        <f>IF(Table1[[#This Row],[is_patient]]=1, " Patient","Not Patient")</f>
        <v xml:space="preserve"> Patient</v>
      </c>
    </row>
    <row r="222" spans="1:12" x14ac:dyDescent="0.3">
      <c r="A222">
        <v>37</v>
      </c>
      <c r="B222" t="s">
        <v>12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  <c r="L222" t="str">
        <f>IF(Table1[[#This Row],[is_patient]]=1, " Patient","Not Patient")</f>
        <v xml:space="preserve"> Patient</v>
      </c>
    </row>
    <row r="223" spans="1:12" x14ac:dyDescent="0.3">
      <c r="A223">
        <v>47</v>
      </c>
      <c r="B223" t="s">
        <v>12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  <c r="L223" t="str">
        <f>IF(Table1[[#This Row],[is_patient]]=1, " Patient","Not Patient")</f>
        <v xml:space="preserve"> Patient</v>
      </c>
    </row>
    <row r="224" spans="1:12" x14ac:dyDescent="0.3">
      <c r="A224">
        <v>47</v>
      </c>
      <c r="B224" t="s">
        <v>12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  <c r="L224" t="str">
        <f>IF(Table1[[#This Row],[is_patient]]=1, " Patient","Not Patient")</f>
        <v xml:space="preserve"> Patient</v>
      </c>
    </row>
    <row r="225" spans="1:12" x14ac:dyDescent="0.3">
      <c r="A225">
        <v>50</v>
      </c>
      <c r="B225" t="s">
        <v>12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  <c r="L225" t="str">
        <f>IF(Table1[[#This Row],[is_patient]]=1, " Patient","Not Patient")</f>
        <v>Not Patient</v>
      </c>
    </row>
    <row r="226" spans="1:12" x14ac:dyDescent="0.3">
      <c r="A226">
        <v>70</v>
      </c>
      <c r="B226" t="s">
        <v>12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>
        <v>1</v>
      </c>
      <c r="L226" t="str">
        <f>IF(Table1[[#This Row],[is_patient]]=1, " Patient","Not Patient")</f>
        <v xml:space="preserve"> Patient</v>
      </c>
    </row>
    <row r="227" spans="1:12" x14ac:dyDescent="0.3">
      <c r="A227">
        <v>26</v>
      </c>
      <c r="B227" t="s">
        <v>12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  <c r="L227" t="str">
        <f>IF(Table1[[#This Row],[is_patient]]=1, " Patient","Not Patient")</f>
        <v xml:space="preserve"> Patient</v>
      </c>
    </row>
    <row r="228" spans="1:12" x14ac:dyDescent="0.3">
      <c r="A228">
        <v>26</v>
      </c>
      <c r="B228" t="s">
        <v>12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  <c r="L228" t="str">
        <f>IF(Table1[[#This Row],[is_patient]]=1, " Patient","Not Patient")</f>
        <v xml:space="preserve"> Patient</v>
      </c>
    </row>
    <row r="229" spans="1:12" x14ac:dyDescent="0.3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  <c r="L229" t="str">
        <f>IF(Table1[[#This Row],[is_patient]]=1, " Patient","Not Patient")</f>
        <v xml:space="preserve"> Patient</v>
      </c>
    </row>
    <row r="230" spans="1:12" x14ac:dyDescent="0.3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  <c r="L230" t="str">
        <f>IF(Table1[[#This Row],[is_patient]]=1, " Patient","Not Patient")</f>
        <v>Not Patient</v>
      </c>
    </row>
    <row r="231" spans="1:12" x14ac:dyDescent="0.3">
      <c r="A231">
        <v>46</v>
      </c>
      <c r="B231" t="s">
        <v>12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  <c r="L231" t="str">
        <f>IF(Table1[[#This Row],[is_patient]]=1, " Patient","Not Patient")</f>
        <v xml:space="preserve"> Patient</v>
      </c>
    </row>
    <row r="232" spans="1:12" x14ac:dyDescent="0.3">
      <c r="A232">
        <v>61</v>
      </c>
      <c r="B232" t="s">
        <v>12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  <c r="L232" t="str">
        <f>IF(Table1[[#This Row],[is_patient]]=1, " Patient","Not Patient")</f>
        <v>Not Patient</v>
      </c>
    </row>
    <row r="233" spans="1:12" x14ac:dyDescent="0.3">
      <c r="A233">
        <v>61</v>
      </c>
      <c r="B233" t="s">
        <v>12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  <c r="L233" t="str">
        <f>IF(Table1[[#This Row],[is_patient]]=1, " Patient","Not Patient")</f>
        <v xml:space="preserve"> Patient</v>
      </c>
    </row>
    <row r="234" spans="1:12" x14ac:dyDescent="0.3">
      <c r="A234">
        <v>50</v>
      </c>
      <c r="B234" t="s">
        <v>12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  <c r="L234" t="str">
        <f>IF(Table1[[#This Row],[is_patient]]=1, " Patient","Not Patient")</f>
        <v xml:space="preserve"> Patient</v>
      </c>
    </row>
    <row r="235" spans="1:12" x14ac:dyDescent="0.3">
      <c r="A235">
        <v>33</v>
      </c>
      <c r="B235" t="s">
        <v>12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  <c r="L235" t="str">
        <f>IF(Table1[[#This Row],[is_patient]]=1, " Patient","Not Patient")</f>
        <v xml:space="preserve"> Patient</v>
      </c>
    </row>
    <row r="236" spans="1:12" x14ac:dyDescent="0.3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  <c r="L236" t="str">
        <f>IF(Table1[[#This Row],[is_patient]]=1, " Patient","Not Patient")</f>
        <v xml:space="preserve"> Patient</v>
      </c>
    </row>
    <row r="237" spans="1:12" x14ac:dyDescent="0.3">
      <c r="A237">
        <v>60</v>
      </c>
      <c r="B237" t="s">
        <v>12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  <c r="L237" t="str">
        <f>IF(Table1[[#This Row],[is_patient]]=1, " Patient","Not Patient")</f>
        <v xml:space="preserve"> Patient</v>
      </c>
    </row>
    <row r="238" spans="1:12" x14ac:dyDescent="0.3">
      <c r="A238">
        <v>22</v>
      </c>
      <c r="B238" t="s">
        <v>12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  <c r="L238" t="str">
        <f>IF(Table1[[#This Row],[is_patient]]=1, " Patient","Not Patient")</f>
        <v>Not Patient</v>
      </c>
    </row>
    <row r="239" spans="1:12" x14ac:dyDescent="0.3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  <c r="L239" t="str">
        <f>IF(Table1[[#This Row],[is_patient]]=1, " Patient","Not Patient")</f>
        <v xml:space="preserve"> Patient</v>
      </c>
    </row>
    <row r="240" spans="1:12" x14ac:dyDescent="0.3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  <c r="L240" t="str">
        <f>IF(Table1[[#This Row],[is_patient]]=1, " Patient","Not Patient")</f>
        <v>Not Patient</v>
      </c>
    </row>
    <row r="241" spans="1:12" x14ac:dyDescent="0.3">
      <c r="A241">
        <v>40</v>
      </c>
      <c r="B241" t="s">
        <v>12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  <c r="L241" t="str">
        <f>IF(Table1[[#This Row],[is_patient]]=1, " Patient","Not Patient")</f>
        <v xml:space="preserve"> Patient</v>
      </c>
    </row>
    <row r="242" spans="1:12" x14ac:dyDescent="0.3">
      <c r="A242">
        <v>48</v>
      </c>
      <c r="B242" t="s">
        <v>12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  <c r="L242" t="str">
        <f>IF(Table1[[#This Row],[is_patient]]=1, " Patient","Not Patient")</f>
        <v>Not Patient</v>
      </c>
    </row>
    <row r="243" spans="1:12" x14ac:dyDescent="0.3">
      <c r="A243">
        <v>51</v>
      </c>
      <c r="B243" t="s">
        <v>12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  <c r="L243" t="str">
        <f>IF(Table1[[#This Row],[is_patient]]=1, " Patient","Not Patient")</f>
        <v xml:space="preserve"> Patient</v>
      </c>
    </row>
    <row r="244" spans="1:12" x14ac:dyDescent="0.3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>
        <v>1</v>
      </c>
      <c r="L244" t="str">
        <f>IF(Table1[[#This Row],[is_patient]]=1, " Patient","Not Patient")</f>
        <v xml:space="preserve"> Patient</v>
      </c>
    </row>
    <row r="245" spans="1:12" x14ac:dyDescent="0.3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  <c r="L245" t="str">
        <f>IF(Table1[[#This Row],[is_patient]]=1, " Patient","Not Patient")</f>
        <v xml:space="preserve"> Patient</v>
      </c>
    </row>
    <row r="246" spans="1:12" x14ac:dyDescent="0.3">
      <c r="A246">
        <v>54</v>
      </c>
      <c r="B246" t="s">
        <v>12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  <c r="L246" t="str">
        <f>IF(Table1[[#This Row],[is_patient]]=1, " Patient","Not Patient")</f>
        <v xml:space="preserve"> Patient</v>
      </c>
    </row>
    <row r="247" spans="1:12" x14ac:dyDescent="0.3">
      <c r="A247">
        <v>54</v>
      </c>
      <c r="B247" t="s">
        <v>12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  <c r="L247" t="str">
        <f>IF(Table1[[#This Row],[is_patient]]=1, " Patient","Not Patient")</f>
        <v xml:space="preserve"> Patient</v>
      </c>
    </row>
    <row r="248" spans="1:12" x14ac:dyDescent="0.3">
      <c r="A248">
        <v>55</v>
      </c>
      <c r="B248" t="s">
        <v>12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  <c r="L248" t="str">
        <f>IF(Table1[[#This Row],[is_patient]]=1, " Patient","Not Patient")</f>
        <v xml:space="preserve"> Patient</v>
      </c>
    </row>
    <row r="249" spans="1:12" x14ac:dyDescent="0.3">
      <c r="A249">
        <v>55</v>
      </c>
      <c r="B249" t="s">
        <v>12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  <c r="L249" t="str">
        <f>IF(Table1[[#This Row],[is_patient]]=1, " Patient","Not Patient")</f>
        <v xml:space="preserve"> Patient</v>
      </c>
    </row>
    <row r="250" spans="1:12" x14ac:dyDescent="0.3">
      <c r="A250">
        <v>40</v>
      </c>
      <c r="B250" t="s">
        <v>12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  <c r="L250" t="str">
        <f>IF(Table1[[#This Row],[is_patient]]=1, " Patient","Not Patient")</f>
        <v xml:space="preserve"> Patient</v>
      </c>
    </row>
    <row r="251" spans="1:12" x14ac:dyDescent="0.3">
      <c r="A251">
        <v>33</v>
      </c>
      <c r="B251" t="s">
        <v>12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  <c r="L251" t="str">
        <f>IF(Table1[[#This Row],[is_patient]]=1, " Patient","Not Patient")</f>
        <v xml:space="preserve"> Patient</v>
      </c>
    </row>
    <row r="252" spans="1:12" x14ac:dyDescent="0.3">
      <c r="A252">
        <v>33</v>
      </c>
      <c r="B252" t="s">
        <v>12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  <c r="L252" t="str">
        <f>IF(Table1[[#This Row],[is_patient]]=1, " Patient","Not Patient")</f>
        <v xml:space="preserve"> Patient</v>
      </c>
    </row>
    <row r="253" spans="1:12" x14ac:dyDescent="0.3">
      <c r="A253">
        <v>33</v>
      </c>
      <c r="B253" t="s">
        <v>12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  <c r="L253" t="str">
        <f>IF(Table1[[#This Row],[is_patient]]=1, " Patient","Not Patient")</f>
        <v xml:space="preserve"> Patient</v>
      </c>
    </row>
    <row r="254" spans="1:12" x14ac:dyDescent="0.3">
      <c r="A254">
        <v>65</v>
      </c>
      <c r="B254" t="s">
        <v>12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  <c r="L254" t="str">
        <f>IF(Table1[[#This Row],[is_patient]]=1, " Patient","Not Patient")</f>
        <v>Not Patient</v>
      </c>
    </row>
    <row r="255" spans="1:12" x14ac:dyDescent="0.3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  <c r="L255" t="str">
        <f>IF(Table1[[#This Row],[is_patient]]=1, " Patient","Not Patient")</f>
        <v>Not Patient</v>
      </c>
    </row>
    <row r="256" spans="1:12" x14ac:dyDescent="0.3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  <c r="L256" t="str">
        <f>IF(Table1[[#This Row],[is_patient]]=1, " Patient","Not Patient")</f>
        <v>Not Patient</v>
      </c>
    </row>
    <row r="257" spans="1:12" x14ac:dyDescent="0.3">
      <c r="A257">
        <v>38</v>
      </c>
      <c r="B257" t="s">
        <v>12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  <c r="L257" t="str">
        <f>IF(Table1[[#This Row],[is_patient]]=1, " Patient","Not Patient")</f>
        <v xml:space="preserve"> Patient</v>
      </c>
    </row>
    <row r="258" spans="1:12" x14ac:dyDescent="0.3">
      <c r="A258">
        <v>50</v>
      </c>
      <c r="B258" t="s">
        <v>12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  <c r="L258" t="str">
        <f>IF(Table1[[#This Row],[is_patient]]=1, " Patient","Not Patient")</f>
        <v xml:space="preserve"> Patient</v>
      </c>
    </row>
    <row r="259" spans="1:12" x14ac:dyDescent="0.3">
      <c r="A259">
        <v>44</v>
      </c>
      <c r="B259" t="s">
        <v>12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>
        <v>1</v>
      </c>
      <c r="L259" t="str">
        <f>IF(Table1[[#This Row],[is_patient]]=1, " Patient","Not Patient")</f>
        <v xml:space="preserve"> Patient</v>
      </c>
    </row>
    <row r="260" spans="1:12" x14ac:dyDescent="0.3">
      <c r="A260">
        <v>36</v>
      </c>
      <c r="B260" t="s">
        <v>12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  <c r="L260" t="str">
        <f>IF(Table1[[#This Row],[is_patient]]=1, " Patient","Not Patient")</f>
        <v>Not Patient</v>
      </c>
    </row>
    <row r="261" spans="1:12" x14ac:dyDescent="0.3">
      <c r="A261">
        <v>42</v>
      </c>
      <c r="B261" t="s">
        <v>12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  <c r="L261" t="str">
        <f>IF(Table1[[#This Row],[is_patient]]=1, " Patient","Not Patient")</f>
        <v xml:space="preserve"> Patient</v>
      </c>
    </row>
    <row r="262" spans="1:12" x14ac:dyDescent="0.3">
      <c r="A262">
        <v>42</v>
      </c>
      <c r="B262" t="s">
        <v>12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  <c r="L262" t="str">
        <f>IF(Table1[[#This Row],[is_patient]]=1, " Patient","Not Patient")</f>
        <v xml:space="preserve"> Patient</v>
      </c>
    </row>
    <row r="263" spans="1:12" x14ac:dyDescent="0.3">
      <c r="A263">
        <v>33</v>
      </c>
      <c r="B263" t="s">
        <v>12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  <c r="L263" t="str">
        <f>IF(Table1[[#This Row],[is_patient]]=1, " Patient","Not Patient")</f>
        <v xml:space="preserve"> Patient</v>
      </c>
    </row>
    <row r="264" spans="1:12" x14ac:dyDescent="0.3">
      <c r="A264">
        <v>18</v>
      </c>
      <c r="B264" t="s">
        <v>12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  <c r="L264" t="str">
        <f>IF(Table1[[#This Row],[is_patient]]=1, " Patient","Not Patient")</f>
        <v xml:space="preserve"> Patient</v>
      </c>
    </row>
    <row r="265" spans="1:12" x14ac:dyDescent="0.3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  <c r="L265" t="str">
        <f>IF(Table1[[#This Row],[is_patient]]=1, " Patient","Not Patient")</f>
        <v xml:space="preserve"> Patient</v>
      </c>
    </row>
    <row r="266" spans="1:12" x14ac:dyDescent="0.3">
      <c r="A266">
        <v>38</v>
      </c>
      <c r="B266" t="s">
        <v>12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  <c r="L266" t="str">
        <f>IF(Table1[[#This Row],[is_patient]]=1, " Patient","Not Patient")</f>
        <v>Not Patient</v>
      </c>
    </row>
    <row r="267" spans="1:12" x14ac:dyDescent="0.3">
      <c r="A267">
        <v>4</v>
      </c>
      <c r="B267" t="s">
        <v>12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  <c r="L267" t="str">
        <f>IF(Table1[[#This Row],[is_patient]]=1, " Patient","Not Patient")</f>
        <v>Not Patient</v>
      </c>
    </row>
    <row r="268" spans="1:12" x14ac:dyDescent="0.3">
      <c r="A268">
        <v>62</v>
      </c>
      <c r="B268" t="s">
        <v>12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  <c r="L268" t="str">
        <f>IF(Table1[[#This Row],[is_patient]]=1, " Patient","Not Patient")</f>
        <v xml:space="preserve"> Patient</v>
      </c>
    </row>
    <row r="269" spans="1:12" x14ac:dyDescent="0.3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  <c r="L269" t="str">
        <f>IF(Table1[[#This Row],[is_patient]]=1, " Patient","Not Patient")</f>
        <v xml:space="preserve"> Patient</v>
      </c>
    </row>
    <row r="270" spans="1:12" x14ac:dyDescent="0.3">
      <c r="A270">
        <v>40</v>
      </c>
      <c r="B270" t="s">
        <v>12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  <c r="L270" t="str">
        <f>IF(Table1[[#This Row],[is_patient]]=1, " Patient","Not Patient")</f>
        <v xml:space="preserve"> Patient</v>
      </c>
    </row>
    <row r="271" spans="1:12" x14ac:dyDescent="0.3">
      <c r="A271">
        <v>26</v>
      </c>
      <c r="B271" t="s">
        <v>12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  <c r="L271" t="str">
        <f>IF(Table1[[#This Row],[is_patient]]=1, " Patient","Not Patient")</f>
        <v xml:space="preserve"> Patient</v>
      </c>
    </row>
    <row r="272" spans="1:12" x14ac:dyDescent="0.3">
      <c r="A272">
        <v>37</v>
      </c>
      <c r="B272" t="s">
        <v>12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>
        <v>1</v>
      </c>
      <c r="L272" t="str">
        <f>IF(Table1[[#This Row],[is_patient]]=1, " Patient","Not Patient")</f>
        <v xml:space="preserve"> Patient</v>
      </c>
    </row>
    <row r="273" spans="1:12" x14ac:dyDescent="0.3">
      <c r="A273">
        <v>4</v>
      </c>
      <c r="B273" t="s">
        <v>12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  <c r="L273" t="str">
        <f>IF(Table1[[#This Row],[is_patient]]=1, " Patient","Not Patient")</f>
        <v>Not Patient</v>
      </c>
    </row>
    <row r="274" spans="1:12" x14ac:dyDescent="0.3">
      <c r="A274">
        <v>21</v>
      </c>
      <c r="B274" t="s">
        <v>12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>
        <v>1</v>
      </c>
      <c r="L274" t="str">
        <f>IF(Table1[[#This Row],[is_patient]]=1, " Patient","Not Patient")</f>
        <v xml:space="preserve"> Patient</v>
      </c>
    </row>
    <row r="275" spans="1:12" x14ac:dyDescent="0.3">
      <c r="A275">
        <v>30</v>
      </c>
      <c r="B275" t="s">
        <v>12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  <c r="L275" t="str">
        <f>IF(Table1[[#This Row],[is_patient]]=1, " Patient","Not Patient")</f>
        <v xml:space="preserve"> Patient</v>
      </c>
    </row>
    <row r="276" spans="1:12" x14ac:dyDescent="0.3">
      <c r="A276">
        <v>33</v>
      </c>
      <c r="B276" t="s">
        <v>12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  <c r="L276" t="str">
        <f>IF(Table1[[#This Row],[is_patient]]=1, " Patient","Not Patient")</f>
        <v xml:space="preserve"> Patient</v>
      </c>
    </row>
    <row r="277" spans="1:12" x14ac:dyDescent="0.3">
      <c r="A277">
        <v>26</v>
      </c>
      <c r="B277" t="s">
        <v>12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>
        <v>2</v>
      </c>
      <c r="L277" t="str">
        <f>IF(Table1[[#This Row],[is_patient]]=1, " Patient","Not Patient")</f>
        <v>Not Patient</v>
      </c>
    </row>
    <row r="278" spans="1:12" x14ac:dyDescent="0.3">
      <c r="A278">
        <v>35</v>
      </c>
      <c r="B278" t="s">
        <v>12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  <c r="L278" t="str">
        <f>IF(Table1[[#This Row],[is_patient]]=1, " Patient","Not Patient")</f>
        <v>Not Patient</v>
      </c>
    </row>
    <row r="279" spans="1:12" x14ac:dyDescent="0.3">
      <c r="A279">
        <v>60</v>
      </c>
      <c r="B279" t="s">
        <v>12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  <c r="L279" t="str">
        <f>IF(Table1[[#This Row],[is_patient]]=1, " Patient","Not Patient")</f>
        <v xml:space="preserve"> Patient</v>
      </c>
    </row>
    <row r="280" spans="1:12" x14ac:dyDescent="0.3">
      <c r="A280">
        <v>45</v>
      </c>
      <c r="B280" t="s">
        <v>12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  <c r="L280" t="str">
        <f>IF(Table1[[#This Row],[is_patient]]=1, " Patient","Not Patient")</f>
        <v xml:space="preserve"> Patient</v>
      </c>
    </row>
    <row r="281" spans="1:12" x14ac:dyDescent="0.3">
      <c r="A281">
        <v>48</v>
      </c>
      <c r="B281" t="s">
        <v>11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>
        <v>1</v>
      </c>
      <c r="L281" t="str">
        <f>IF(Table1[[#This Row],[is_patient]]=1, " Patient","Not Patient")</f>
        <v xml:space="preserve"> Patient</v>
      </c>
    </row>
    <row r="282" spans="1:12" x14ac:dyDescent="0.3">
      <c r="A282">
        <v>58</v>
      </c>
      <c r="B282" t="s">
        <v>12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  <c r="L282" t="str">
        <f>IF(Table1[[#This Row],[is_patient]]=1, " Patient","Not Patient")</f>
        <v xml:space="preserve"> Patient</v>
      </c>
    </row>
    <row r="283" spans="1:12" x14ac:dyDescent="0.3">
      <c r="A283">
        <v>50</v>
      </c>
      <c r="B283" t="s">
        <v>12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  <c r="L283" t="str">
        <f>IF(Table1[[#This Row],[is_patient]]=1, " Patient","Not Patient")</f>
        <v>Not Patient</v>
      </c>
    </row>
    <row r="284" spans="1:12" x14ac:dyDescent="0.3">
      <c r="A284">
        <v>50</v>
      </c>
      <c r="B284" t="s">
        <v>12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  <c r="L284" t="str">
        <f>IF(Table1[[#This Row],[is_patient]]=1, " Patient","Not Patient")</f>
        <v xml:space="preserve"> Patient</v>
      </c>
    </row>
    <row r="285" spans="1:12" x14ac:dyDescent="0.3">
      <c r="A285">
        <v>18</v>
      </c>
      <c r="B285" t="s">
        <v>12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  <c r="L285" t="str">
        <f>IF(Table1[[#This Row],[is_patient]]=1, " Patient","Not Patient")</f>
        <v>Not Patient</v>
      </c>
    </row>
    <row r="286" spans="1:12" x14ac:dyDescent="0.3">
      <c r="A286">
        <v>18</v>
      </c>
      <c r="B286" t="s">
        <v>12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  <c r="L286" t="str">
        <f>IF(Table1[[#This Row],[is_patient]]=1, " Patient","Not Patient")</f>
        <v xml:space="preserve"> Patient</v>
      </c>
    </row>
    <row r="287" spans="1:12" x14ac:dyDescent="0.3">
      <c r="A287">
        <v>13</v>
      </c>
      <c r="B287" t="s">
        <v>12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  <c r="L287" t="str">
        <f>IF(Table1[[#This Row],[is_patient]]=1, " Patient","Not Patient")</f>
        <v xml:space="preserve"> Patient</v>
      </c>
    </row>
    <row r="288" spans="1:12" x14ac:dyDescent="0.3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  <c r="L288" t="str">
        <f>IF(Table1[[#This Row],[is_patient]]=1, " Patient","Not Patient")</f>
        <v xml:space="preserve"> Patient</v>
      </c>
    </row>
    <row r="289" spans="1:12" x14ac:dyDescent="0.3">
      <c r="A289">
        <v>43</v>
      </c>
      <c r="B289" t="s">
        <v>12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  <c r="L289" t="str">
        <f>IF(Table1[[#This Row],[is_patient]]=1, " Patient","Not Patient")</f>
        <v>Not Patient</v>
      </c>
    </row>
    <row r="290" spans="1:12" x14ac:dyDescent="0.3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  <c r="L290" t="str">
        <f>IF(Table1[[#This Row],[is_patient]]=1, " Patient","Not Patient")</f>
        <v xml:space="preserve"> Patient</v>
      </c>
    </row>
    <row r="291" spans="1:12" x14ac:dyDescent="0.3">
      <c r="A291">
        <v>57</v>
      </c>
      <c r="B291" t="s">
        <v>12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  <c r="L291" t="str">
        <f>IF(Table1[[#This Row],[is_patient]]=1, " Patient","Not Patient")</f>
        <v xml:space="preserve"> Patient</v>
      </c>
    </row>
    <row r="292" spans="1:12" x14ac:dyDescent="0.3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  <c r="L292" t="str">
        <f>IF(Table1[[#This Row],[is_patient]]=1, " Patient","Not Patient")</f>
        <v xml:space="preserve"> Patient</v>
      </c>
    </row>
    <row r="293" spans="1:12" x14ac:dyDescent="0.3">
      <c r="A293">
        <v>60</v>
      </c>
      <c r="B293" t="s">
        <v>12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>
        <v>2</v>
      </c>
      <c r="L293" t="str">
        <f>IF(Table1[[#This Row],[is_patient]]=1, " Patient","Not Patient")</f>
        <v>Not Patient</v>
      </c>
    </row>
    <row r="294" spans="1:12" x14ac:dyDescent="0.3">
      <c r="A294">
        <v>45</v>
      </c>
      <c r="B294" t="s">
        <v>12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  <c r="L294" t="str">
        <f>IF(Table1[[#This Row],[is_patient]]=1, " Patient","Not Patient")</f>
        <v xml:space="preserve"> Patient</v>
      </c>
    </row>
    <row r="295" spans="1:12" x14ac:dyDescent="0.3">
      <c r="A295">
        <v>23</v>
      </c>
      <c r="B295" t="s">
        <v>12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  <c r="L295" t="str">
        <f>IF(Table1[[#This Row],[is_patient]]=1, " Patient","Not Patient")</f>
        <v>Not Patient</v>
      </c>
    </row>
    <row r="296" spans="1:12" x14ac:dyDescent="0.3">
      <c r="A296">
        <v>22</v>
      </c>
      <c r="B296" t="s">
        <v>12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>
        <v>1</v>
      </c>
      <c r="L296" t="str">
        <f>IF(Table1[[#This Row],[is_patient]]=1, " Patient","Not Patient")</f>
        <v xml:space="preserve"> Patient</v>
      </c>
    </row>
    <row r="297" spans="1:12" x14ac:dyDescent="0.3">
      <c r="A297">
        <v>22</v>
      </c>
      <c r="B297" t="s">
        <v>12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  <c r="L297" t="str">
        <f>IF(Table1[[#This Row],[is_patient]]=1, " Patient","Not Patient")</f>
        <v xml:space="preserve"> Patient</v>
      </c>
    </row>
    <row r="298" spans="1:12" x14ac:dyDescent="0.3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  <c r="L298" t="str">
        <f>IF(Table1[[#This Row],[is_patient]]=1, " Patient","Not Patient")</f>
        <v xml:space="preserve"> Patient</v>
      </c>
    </row>
    <row r="299" spans="1:12" x14ac:dyDescent="0.3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>
        <v>2</v>
      </c>
      <c r="L299" t="str">
        <f>IF(Table1[[#This Row],[is_patient]]=1, " Patient","Not Patient")</f>
        <v>Not Patient</v>
      </c>
    </row>
    <row r="300" spans="1:12" x14ac:dyDescent="0.3">
      <c r="A300">
        <v>31</v>
      </c>
      <c r="B300" t="s">
        <v>11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  <c r="L300" t="str">
        <f>IF(Table1[[#This Row],[is_patient]]=1, " Patient","Not Patient")</f>
        <v xml:space="preserve"> Patient</v>
      </c>
    </row>
    <row r="301" spans="1:12" x14ac:dyDescent="0.3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>
        <v>2</v>
      </c>
      <c r="L301" t="str">
        <f>IF(Table1[[#This Row],[is_patient]]=1, " Patient","Not Patient")</f>
        <v>Not Patient</v>
      </c>
    </row>
    <row r="302" spans="1:12" x14ac:dyDescent="0.3">
      <c r="A302">
        <v>58</v>
      </c>
      <c r="B302" t="s">
        <v>12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>
        <v>2</v>
      </c>
      <c r="L302" t="str">
        <f>IF(Table1[[#This Row],[is_patient]]=1, " Patient","Not Patient")</f>
        <v>Not Patient</v>
      </c>
    </row>
    <row r="303" spans="1:12" x14ac:dyDescent="0.3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  <c r="L303" t="str">
        <f>IF(Table1[[#This Row],[is_patient]]=1, " Patient","Not Patient")</f>
        <v xml:space="preserve"> Patient</v>
      </c>
    </row>
    <row r="304" spans="1:12" x14ac:dyDescent="0.3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  <c r="L304" t="str">
        <f>IF(Table1[[#This Row],[is_patient]]=1, " Patient","Not Patient")</f>
        <v xml:space="preserve"> Patient</v>
      </c>
    </row>
    <row r="305" spans="1:12" x14ac:dyDescent="0.3">
      <c r="A305">
        <v>50</v>
      </c>
      <c r="B305" t="s">
        <v>12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  <c r="L305" t="str">
        <f>IF(Table1[[#This Row],[is_patient]]=1, " Patient","Not Patient")</f>
        <v>Not Patient</v>
      </c>
    </row>
    <row r="306" spans="1:12" x14ac:dyDescent="0.3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  <c r="L306" t="str">
        <f>IF(Table1[[#This Row],[is_patient]]=1, " Patient","Not Patient")</f>
        <v xml:space="preserve"> Patient</v>
      </c>
    </row>
    <row r="307" spans="1:12" x14ac:dyDescent="0.3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  <c r="L307" t="str">
        <f>IF(Table1[[#This Row],[is_patient]]=1, " Patient","Not Patient")</f>
        <v>Not Patient</v>
      </c>
    </row>
    <row r="308" spans="1:12" x14ac:dyDescent="0.3">
      <c r="A308">
        <v>48</v>
      </c>
      <c r="B308" t="s">
        <v>12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  <c r="L308" t="str">
        <f>IF(Table1[[#This Row],[is_patient]]=1, " Patient","Not Patient")</f>
        <v xml:space="preserve"> Patient</v>
      </c>
    </row>
    <row r="309" spans="1:12" x14ac:dyDescent="0.3">
      <c r="A309">
        <v>30</v>
      </c>
      <c r="B309" t="s">
        <v>12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>
        <v>1</v>
      </c>
      <c r="L309" t="str">
        <f>IF(Table1[[#This Row],[is_patient]]=1, " Patient","Not Patient")</f>
        <v xml:space="preserve"> Patient</v>
      </c>
    </row>
    <row r="310" spans="1:12" x14ac:dyDescent="0.3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>
        <v>1</v>
      </c>
      <c r="L310" t="str">
        <f>IF(Table1[[#This Row],[is_patient]]=1, " Patient","Not Patient")</f>
        <v xml:space="preserve"> Patient</v>
      </c>
    </row>
    <row r="311" spans="1:12" x14ac:dyDescent="0.3">
      <c r="A311">
        <v>48</v>
      </c>
      <c r="B311" t="s">
        <v>11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>
        <v>1</v>
      </c>
      <c r="L311" t="str">
        <f>IF(Table1[[#This Row],[is_patient]]=1, " Patient","Not Patient")</f>
        <v xml:space="preserve"> Patient</v>
      </c>
    </row>
    <row r="312" spans="1:12" x14ac:dyDescent="0.3">
      <c r="A312">
        <v>51</v>
      </c>
      <c r="B312" t="s">
        <v>12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>
        <v>1</v>
      </c>
      <c r="L312" t="str">
        <f>IF(Table1[[#This Row],[is_patient]]=1, " Patient","Not Patient")</f>
        <v xml:space="preserve"> Patient</v>
      </c>
    </row>
    <row r="313" spans="1:12" x14ac:dyDescent="0.3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  <c r="L313" t="str">
        <f>IF(Table1[[#This Row],[is_patient]]=1, " Patient","Not Patient")</f>
        <v xml:space="preserve"> Patient</v>
      </c>
    </row>
    <row r="314" spans="1:12" x14ac:dyDescent="0.3">
      <c r="A314">
        <v>27</v>
      </c>
      <c r="B314" t="s">
        <v>12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  <c r="L314" t="str">
        <f>IF(Table1[[#This Row],[is_patient]]=1, " Patient","Not Patient")</f>
        <v>Not Patient</v>
      </c>
    </row>
    <row r="315" spans="1:12" x14ac:dyDescent="0.3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  <c r="L315" t="str">
        <f>IF(Table1[[#This Row],[is_patient]]=1, " Patient","Not Patient")</f>
        <v>Not Patient</v>
      </c>
    </row>
    <row r="316" spans="1:12" x14ac:dyDescent="0.3">
      <c r="A316">
        <v>26</v>
      </c>
      <c r="B316" t="s">
        <v>12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  <c r="L316" t="str">
        <f>IF(Table1[[#This Row],[is_patient]]=1, " Patient","Not Patient")</f>
        <v xml:space="preserve"> Patient</v>
      </c>
    </row>
    <row r="317" spans="1:12" x14ac:dyDescent="0.3">
      <c r="A317">
        <v>22</v>
      </c>
      <c r="B317" t="s">
        <v>12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  <c r="L317" t="str">
        <f>IF(Table1[[#This Row],[is_patient]]=1, " Patient","Not Patient")</f>
        <v>Not Patient</v>
      </c>
    </row>
    <row r="318" spans="1:12" x14ac:dyDescent="0.3">
      <c r="A318">
        <v>44</v>
      </c>
      <c r="B318" t="s">
        <v>12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  <c r="L318" t="str">
        <f>IF(Table1[[#This Row],[is_patient]]=1, " Patient","Not Patient")</f>
        <v>Not Patient</v>
      </c>
    </row>
    <row r="319" spans="1:12" x14ac:dyDescent="0.3">
      <c r="A319">
        <v>35</v>
      </c>
      <c r="B319" t="s">
        <v>12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  <c r="L319" t="str">
        <f>IF(Table1[[#This Row],[is_patient]]=1, " Patient","Not Patient")</f>
        <v xml:space="preserve"> Patient</v>
      </c>
    </row>
    <row r="320" spans="1:12" x14ac:dyDescent="0.3">
      <c r="A320">
        <v>38</v>
      </c>
      <c r="B320" t="s">
        <v>12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  <c r="L320" t="str">
        <f>IF(Table1[[#This Row],[is_patient]]=1, " Patient","Not Patient")</f>
        <v xml:space="preserve"> Patient</v>
      </c>
    </row>
    <row r="321" spans="1:12" x14ac:dyDescent="0.3">
      <c r="A321">
        <v>14</v>
      </c>
      <c r="B321" t="s">
        <v>12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  <c r="L321" t="str">
        <f>IF(Table1[[#This Row],[is_patient]]=1, " Patient","Not Patient")</f>
        <v>Not Patient</v>
      </c>
    </row>
    <row r="322" spans="1:12" x14ac:dyDescent="0.3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  <c r="L322" t="str">
        <f>IF(Table1[[#This Row],[is_patient]]=1, " Patient","Not Patient")</f>
        <v xml:space="preserve"> Patient</v>
      </c>
    </row>
    <row r="323" spans="1:12" x14ac:dyDescent="0.3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>
        <v>1</v>
      </c>
      <c r="L323" t="str">
        <f>IF(Table1[[#This Row],[is_patient]]=1, " Patient","Not Patient")</f>
        <v xml:space="preserve"> Patient</v>
      </c>
    </row>
    <row r="324" spans="1:12" x14ac:dyDescent="0.3">
      <c r="A324">
        <v>36</v>
      </c>
      <c r="B324" t="s">
        <v>12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  <c r="L324" t="str">
        <f>IF(Table1[[#This Row],[is_patient]]=1, " Patient","Not Patient")</f>
        <v xml:space="preserve"> Patient</v>
      </c>
    </row>
    <row r="325" spans="1:12" x14ac:dyDescent="0.3">
      <c r="A325">
        <v>12</v>
      </c>
      <c r="B325" t="s">
        <v>12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>
        <v>2</v>
      </c>
      <c r="L325" t="str">
        <f>IF(Table1[[#This Row],[is_patient]]=1, " Patient","Not Patient")</f>
        <v>Not Patient</v>
      </c>
    </row>
    <row r="326" spans="1:12" x14ac:dyDescent="0.3">
      <c r="A326">
        <v>60</v>
      </c>
      <c r="B326" t="s">
        <v>12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  <c r="L326" t="str">
        <f>IF(Table1[[#This Row],[is_patient]]=1, " Patient","Not Patient")</f>
        <v xml:space="preserve"> Patient</v>
      </c>
    </row>
    <row r="327" spans="1:12" x14ac:dyDescent="0.3">
      <c r="A327">
        <v>42</v>
      </c>
      <c r="B327" t="s">
        <v>12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  <c r="L327" t="str">
        <f>IF(Table1[[#This Row],[is_patient]]=1, " Patient","Not Patient")</f>
        <v>Not Patient</v>
      </c>
    </row>
    <row r="328" spans="1:12" x14ac:dyDescent="0.3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>
        <v>2</v>
      </c>
      <c r="L328" t="str">
        <f>IF(Table1[[#This Row],[is_patient]]=1, " Patient","Not Patient")</f>
        <v>Not Patient</v>
      </c>
    </row>
    <row r="329" spans="1:12" x14ac:dyDescent="0.3">
      <c r="A329">
        <v>24</v>
      </c>
      <c r="B329" t="s">
        <v>12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  <c r="L329" t="str">
        <f>IF(Table1[[#This Row],[is_patient]]=1, " Patient","Not Patient")</f>
        <v>Not Patient</v>
      </c>
    </row>
    <row r="330" spans="1:12" x14ac:dyDescent="0.3">
      <c r="A330">
        <v>43</v>
      </c>
      <c r="B330" t="s">
        <v>12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  <c r="L330" t="str">
        <f>IF(Table1[[#This Row],[is_patient]]=1, " Patient","Not Patient")</f>
        <v>Not Patient</v>
      </c>
    </row>
    <row r="331" spans="1:12" x14ac:dyDescent="0.3">
      <c r="A331">
        <v>21</v>
      </c>
      <c r="B331" t="s">
        <v>12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>
        <v>2</v>
      </c>
      <c r="L331" t="str">
        <f>IF(Table1[[#This Row],[is_patient]]=1, " Patient","Not Patient")</f>
        <v>Not Patient</v>
      </c>
    </row>
    <row r="332" spans="1:12" x14ac:dyDescent="0.3">
      <c r="A332">
        <v>26</v>
      </c>
      <c r="B332" t="s">
        <v>12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  <c r="L332" t="str">
        <f>IF(Table1[[#This Row],[is_patient]]=1, " Patient","Not Patient")</f>
        <v xml:space="preserve"> Patient</v>
      </c>
    </row>
    <row r="333" spans="1:12" x14ac:dyDescent="0.3">
      <c r="A333">
        <v>26</v>
      </c>
      <c r="B333" t="s">
        <v>12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>
        <v>1</v>
      </c>
      <c r="L333" t="str">
        <f>IF(Table1[[#This Row],[is_patient]]=1, " Patient","Not Patient")</f>
        <v xml:space="preserve"> Patient</v>
      </c>
    </row>
    <row r="334" spans="1:12" x14ac:dyDescent="0.3">
      <c r="A334">
        <v>26</v>
      </c>
      <c r="B334" t="s">
        <v>12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  <c r="L334" t="str">
        <f>IF(Table1[[#This Row],[is_patient]]=1, " Patient","Not Patient")</f>
        <v xml:space="preserve"> Patient</v>
      </c>
    </row>
    <row r="335" spans="1:12" x14ac:dyDescent="0.3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>
        <v>2</v>
      </c>
      <c r="L335" t="str">
        <f>IF(Table1[[#This Row],[is_patient]]=1, " Patient","Not Patient")</f>
        <v>Not Patient</v>
      </c>
    </row>
    <row r="336" spans="1:12" x14ac:dyDescent="0.3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>
        <v>1</v>
      </c>
      <c r="L336" t="str">
        <f>IF(Table1[[#This Row],[is_patient]]=1, " Patient","Not Patient")</f>
        <v xml:space="preserve"> Patient</v>
      </c>
    </row>
    <row r="337" spans="1:12" x14ac:dyDescent="0.3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>
        <v>1</v>
      </c>
      <c r="L337" t="str">
        <f>IF(Table1[[#This Row],[is_patient]]=1, " Patient","Not Patient")</f>
        <v xml:space="preserve"> Patient</v>
      </c>
    </row>
    <row r="338" spans="1:12" x14ac:dyDescent="0.3">
      <c r="A338">
        <v>75</v>
      </c>
      <c r="B338" t="s">
        <v>12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  <c r="L338" t="str">
        <f>IF(Table1[[#This Row],[is_patient]]=1, " Patient","Not Patient")</f>
        <v xml:space="preserve"> Patient</v>
      </c>
    </row>
    <row r="339" spans="1:12" x14ac:dyDescent="0.3">
      <c r="A339">
        <v>75</v>
      </c>
      <c r="B339" t="s">
        <v>12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  <c r="L339" t="str">
        <f>IF(Table1[[#This Row],[is_patient]]=1, " Patient","Not Patient")</f>
        <v xml:space="preserve"> Patient</v>
      </c>
    </row>
    <row r="340" spans="1:12" x14ac:dyDescent="0.3">
      <c r="A340">
        <v>75</v>
      </c>
      <c r="B340" t="s">
        <v>12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  <c r="L340" t="str">
        <f>IF(Table1[[#This Row],[is_patient]]=1, " Patient","Not Patient")</f>
        <v xml:space="preserve"> Patient</v>
      </c>
    </row>
    <row r="341" spans="1:12" x14ac:dyDescent="0.3">
      <c r="A341">
        <v>75</v>
      </c>
      <c r="B341" t="s">
        <v>12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  <c r="L341" t="str">
        <f>IF(Table1[[#This Row],[is_patient]]=1, " Patient","Not Patient")</f>
        <v xml:space="preserve"> Patient</v>
      </c>
    </row>
    <row r="342" spans="1:12" x14ac:dyDescent="0.3">
      <c r="A342">
        <v>75</v>
      </c>
      <c r="B342" t="s">
        <v>12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  <c r="L342" t="str">
        <f>IF(Table1[[#This Row],[is_patient]]=1, " Patient","Not Patient")</f>
        <v xml:space="preserve"> Patient</v>
      </c>
    </row>
    <row r="343" spans="1:12" x14ac:dyDescent="0.3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  <c r="L343" t="str">
        <f>IF(Table1[[#This Row],[is_patient]]=1, " Patient","Not Patient")</f>
        <v xml:space="preserve"> Patient</v>
      </c>
    </row>
    <row r="344" spans="1:12" x14ac:dyDescent="0.3">
      <c r="A344">
        <v>35</v>
      </c>
      <c r="B344" t="s">
        <v>12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  <c r="L344" t="str">
        <f>IF(Table1[[#This Row],[is_patient]]=1, " Patient","Not Patient")</f>
        <v>Not Patient</v>
      </c>
    </row>
    <row r="345" spans="1:12" x14ac:dyDescent="0.3">
      <c r="A345">
        <v>70</v>
      </c>
      <c r="B345" t="s">
        <v>12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  <c r="L345" t="str">
        <f>IF(Table1[[#This Row],[is_patient]]=1, " Patient","Not Patient")</f>
        <v xml:space="preserve"> Patient</v>
      </c>
    </row>
    <row r="346" spans="1:12" x14ac:dyDescent="0.3">
      <c r="A346">
        <v>37</v>
      </c>
      <c r="B346" t="s">
        <v>12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>
        <v>2</v>
      </c>
      <c r="L346" t="str">
        <f>IF(Table1[[#This Row],[is_patient]]=1, " Patient","Not Patient")</f>
        <v>Not Patient</v>
      </c>
    </row>
    <row r="347" spans="1:12" x14ac:dyDescent="0.3">
      <c r="A347">
        <v>60</v>
      </c>
      <c r="B347" t="s">
        <v>12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  <c r="L347" t="str">
        <f>IF(Table1[[#This Row],[is_patient]]=1, " Patient","Not Patient")</f>
        <v xml:space="preserve"> Patient</v>
      </c>
    </row>
    <row r="348" spans="1:12" x14ac:dyDescent="0.3">
      <c r="A348">
        <v>46</v>
      </c>
      <c r="B348" t="s">
        <v>12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  <c r="L348" t="str">
        <f>IF(Table1[[#This Row],[is_patient]]=1, " Patient","Not Patient")</f>
        <v xml:space="preserve"> Patient</v>
      </c>
    </row>
    <row r="349" spans="1:12" x14ac:dyDescent="0.3">
      <c r="A349">
        <v>38</v>
      </c>
      <c r="B349" t="s">
        <v>12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  <c r="L349" t="str">
        <f>IF(Table1[[#This Row],[is_patient]]=1, " Patient","Not Patient")</f>
        <v xml:space="preserve"> Patient</v>
      </c>
    </row>
    <row r="350" spans="1:12" x14ac:dyDescent="0.3">
      <c r="A350">
        <v>70</v>
      </c>
      <c r="B350" t="s">
        <v>12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  <c r="L350" t="str">
        <f>IF(Table1[[#This Row],[is_patient]]=1, " Patient","Not Patient")</f>
        <v xml:space="preserve"> Patient</v>
      </c>
    </row>
    <row r="351" spans="1:12" x14ac:dyDescent="0.3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  <c r="L351" t="str">
        <f>IF(Table1[[#This Row],[is_patient]]=1, " Patient","Not Patient")</f>
        <v>Not Patient</v>
      </c>
    </row>
    <row r="352" spans="1:12" x14ac:dyDescent="0.3">
      <c r="A352">
        <v>37</v>
      </c>
      <c r="B352" t="s">
        <v>12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  <c r="L352" t="str">
        <f>IF(Table1[[#This Row],[is_patient]]=1, " Patient","Not Patient")</f>
        <v xml:space="preserve"> Patient</v>
      </c>
    </row>
    <row r="353" spans="1:12" x14ac:dyDescent="0.3">
      <c r="A353">
        <v>37</v>
      </c>
      <c r="B353" t="s">
        <v>12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  <c r="L353" t="str">
        <f>IF(Table1[[#This Row],[is_patient]]=1, " Patient","Not Patient")</f>
        <v xml:space="preserve"> Patient</v>
      </c>
    </row>
    <row r="354" spans="1:12" x14ac:dyDescent="0.3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>
        <v>1</v>
      </c>
      <c r="L354" t="str">
        <f>IF(Table1[[#This Row],[is_patient]]=1, " Patient","Not Patient")</f>
        <v xml:space="preserve"> Patient</v>
      </c>
    </row>
    <row r="355" spans="1:12" x14ac:dyDescent="0.3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>
        <v>1</v>
      </c>
      <c r="L355" t="str">
        <f>IF(Table1[[#This Row],[is_patient]]=1, " Patient","Not Patient")</f>
        <v xml:space="preserve"> Patient</v>
      </c>
    </row>
    <row r="356" spans="1:12" x14ac:dyDescent="0.3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  <c r="L356" t="str">
        <f>IF(Table1[[#This Row],[is_patient]]=1, " Patient","Not Patient")</f>
        <v xml:space="preserve"> Patient</v>
      </c>
    </row>
    <row r="357" spans="1:12" x14ac:dyDescent="0.3">
      <c r="A357">
        <v>19</v>
      </c>
      <c r="B357" t="s">
        <v>12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>
        <v>2</v>
      </c>
      <c r="L357" t="str">
        <f>IF(Table1[[#This Row],[is_patient]]=1, " Patient","Not Patient")</f>
        <v>Not Patient</v>
      </c>
    </row>
    <row r="358" spans="1:12" x14ac:dyDescent="0.3">
      <c r="A358">
        <v>33</v>
      </c>
      <c r="B358" t="s">
        <v>12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  <c r="L358" t="str">
        <f>IF(Table1[[#This Row],[is_patient]]=1, " Patient","Not Patient")</f>
        <v xml:space="preserve"> Patient</v>
      </c>
    </row>
    <row r="359" spans="1:12" x14ac:dyDescent="0.3">
      <c r="A359">
        <v>33</v>
      </c>
      <c r="B359" t="s">
        <v>12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  <c r="L359" t="str">
        <f>IF(Table1[[#This Row],[is_patient]]=1, " Patient","Not Patient")</f>
        <v xml:space="preserve"> Patient</v>
      </c>
    </row>
    <row r="360" spans="1:12" x14ac:dyDescent="0.3">
      <c r="A360">
        <v>37</v>
      </c>
      <c r="B360" t="s">
        <v>12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  <c r="L360" t="str">
        <f>IF(Table1[[#This Row],[is_patient]]=1, " Patient","Not Patient")</f>
        <v xml:space="preserve"> Patient</v>
      </c>
    </row>
    <row r="361" spans="1:12" x14ac:dyDescent="0.3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>
        <v>2</v>
      </c>
      <c r="L361" t="str">
        <f>IF(Table1[[#This Row],[is_patient]]=1, " Patient","Not Patient")</f>
        <v>Not Patient</v>
      </c>
    </row>
    <row r="362" spans="1:12" x14ac:dyDescent="0.3">
      <c r="A362">
        <v>24</v>
      </c>
      <c r="B362" t="s">
        <v>12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  <c r="L362" t="str">
        <f>IF(Table1[[#This Row],[is_patient]]=1, " Patient","Not Patient")</f>
        <v xml:space="preserve"> Patient</v>
      </c>
    </row>
    <row r="363" spans="1:12" x14ac:dyDescent="0.3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  <c r="L363" t="str">
        <f>IF(Table1[[#This Row],[is_patient]]=1, " Patient","Not Patient")</f>
        <v>Not Patient</v>
      </c>
    </row>
    <row r="364" spans="1:12" x14ac:dyDescent="0.3">
      <c r="A364">
        <v>55</v>
      </c>
      <c r="B364" t="s">
        <v>12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  <c r="L364" t="str">
        <f>IF(Table1[[#This Row],[is_patient]]=1, " Patient","Not Patient")</f>
        <v>Not Patient</v>
      </c>
    </row>
    <row r="365" spans="1:12" x14ac:dyDescent="0.3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>
        <v>2</v>
      </c>
      <c r="L365" t="str">
        <f>IF(Table1[[#This Row],[is_patient]]=1, " Patient","Not Patient")</f>
        <v>Not Patient</v>
      </c>
    </row>
    <row r="366" spans="1:12" x14ac:dyDescent="0.3">
      <c r="A366">
        <v>21</v>
      </c>
      <c r="B366" t="s">
        <v>12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  <c r="L366" t="str">
        <f>IF(Table1[[#This Row],[is_patient]]=1, " Patient","Not Patient")</f>
        <v>Not Patient</v>
      </c>
    </row>
    <row r="367" spans="1:12" x14ac:dyDescent="0.3">
      <c r="A367">
        <v>40</v>
      </c>
      <c r="B367" t="s">
        <v>12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  <c r="L367" t="str">
        <f>IF(Table1[[#This Row],[is_patient]]=1, " Patient","Not Patient")</f>
        <v>Not Patient</v>
      </c>
    </row>
    <row r="368" spans="1:12" x14ac:dyDescent="0.3">
      <c r="A368">
        <v>16</v>
      </c>
      <c r="B368" t="s">
        <v>12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>
        <v>2</v>
      </c>
      <c r="L368" t="str">
        <f>IF(Table1[[#This Row],[is_patient]]=1, " Patient","Not Patient")</f>
        <v>Not Patient</v>
      </c>
    </row>
    <row r="369" spans="1:12" x14ac:dyDescent="0.3">
      <c r="A369">
        <v>60</v>
      </c>
      <c r="B369" t="s">
        <v>12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  <c r="L369" t="str">
        <f>IF(Table1[[#This Row],[is_patient]]=1, " Patient","Not Patient")</f>
        <v>Not Patient</v>
      </c>
    </row>
    <row r="370" spans="1:12" x14ac:dyDescent="0.3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>
        <v>1</v>
      </c>
      <c r="L370" t="str">
        <f>IF(Table1[[#This Row],[is_patient]]=1, " Patient","Not Patient")</f>
        <v xml:space="preserve"> Patient</v>
      </c>
    </row>
    <row r="371" spans="1:12" x14ac:dyDescent="0.3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  <c r="L371" t="str">
        <f>IF(Table1[[#This Row],[is_patient]]=1, " Patient","Not Patient")</f>
        <v xml:space="preserve"> Patient</v>
      </c>
    </row>
    <row r="372" spans="1:12" x14ac:dyDescent="0.3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  <c r="L372" t="str">
        <f>IF(Table1[[#This Row],[is_patient]]=1, " Patient","Not Patient")</f>
        <v xml:space="preserve"> Patient</v>
      </c>
    </row>
    <row r="373" spans="1:12" x14ac:dyDescent="0.3">
      <c r="A373">
        <v>33</v>
      </c>
      <c r="B373" t="s">
        <v>12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>
        <v>2</v>
      </c>
      <c r="L373" t="str">
        <f>IF(Table1[[#This Row],[is_patient]]=1, " Patient","Not Patient")</f>
        <v>Not Patient</v>
      </c>
    </row>
    <row r="374" spans="1:12" x14ac:dyDescent="0.3">
      <c r="A374">
        <v>48</v>
      </c>
      <c r="B374" t="s">
        <v>12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>
        <v>1</v>
      </c>
      <c r="L374" t="str">
        <f>IF(Table1[[#This Row],[is_patient]]=1, " Patient","Not Patient")</f>
        <v xml:space="preserve"> Patient</v>
      </c>
    </row>
    <row r="375" spans="1:12" x14ac:dyDescent="0.3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  <c r="L375" t="str">
        <f>IF(Table1[[#This Row],[is_patient]]=1, " Patient","Not Patient")</f>
        <v>Not Patient</v>
      </c>
    </row>
    <row r="376" spans="1:12" x14ac:dyDescent="0.3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  <c r="L376" t="str">
        <f>IF(Table1[[#This Row],[is_patient]]=1, " Patient","Not Patient")</f>
        <v>Not Patient</v>
      </c>
    </row>
    <row r="377" spans="1:12" x14ac:dyDescent="0.3">
      <c r="A377">
        <v>47</v>
      </c>
      <c r="B377" t="s">
        <v>12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  <c r="L377" t="str">
        <f>IF(Table1[[#This Row],[is_patient]]=1, " Patient","Not Patient")</f>
        <v xml:space="preserve"> Patient</v>
      </c>
    </row>
    <row r="378" spans="1:12" x14ac:dyDescent="0.3">
      <c r="A378">
        <v>33</v>
      </c>
      <c r="B378" t="s">
        <v>12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>
        <v>1</v>
      </c>
      <c r="L378" t="str">
        <f>IF(Table1[[#This Row],[is_patient]]=1, " Patient","Not Patient")</f>
        <v xml:space="preserve"> Patient</v>
      </c>
    </row>
    <row r="379" spans="1:12" x14ac:dyDescent="0.3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  <c r="L379" t="str">
        <f>IF(Table1[[#This Row],[is_patient]]=1, " Patient","Not Patient")</f>
        <v>Not Patient</v>
      </c>
    </row>
    <row r="380" spans="1:12" x14ac:dyDescent="0.3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  <c r="L380" t="str">
        <f>IF(Table1[[#This Row],[is_patient]]=1, " Patient","Not Patient")</f>
        <v xml:space="preserve"> Patient</v>
      </c>
    </row>
    <row r="381" spans="1:12" x14ac:dyDescent="0.3">
      <c r="A381">
        <v>72</v>
      </c>
      <c r="B381" t="s">
        <v>12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  <c r="L381" t="str">
        <f>IF(Table1[[#This Row],[is_patient]]=1, " Patient","Not Patient")</f>
        <v>Not Patient</v>
      </c>
    </row>
    <row r="382" spans="1:12" x14ac:dyDescent="0.3">
      <c r="A382">
        <v>50</v>
      </c>
      <c r="B382" t="s">
        <v>12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  <c r="L382" t="str">
        <f>IF(Table1[[#This Row],[is_patient]]=1, " Patient","Not Patient")</f>
        <v xml:space="preserve"> Patient</v>
      </c>
    </row>
    <row r="383" spans="1:12" x14ac:dyDescent="0.3">
      <c r="A383">
        <v>39</v>
      </c>
      <c r="B383" t="s">
        <v>12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  <c r="L383" t="str">
        <f>IF(Table1[[#This Row],[is_patient]]=1, " Patient","Not Patient")</f>
        <v xml:space="preserve"> Patient</v>
      </c>
    </row>
    <row r="384" spans="1:12" x14ac:dyDescent="0.3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  <c r="L384" t="str">
        <f>IF(Table1[[#This Row],[is_patient]]=1, " Patient","Not Patient")</f>
        <v xml:space="preserve"> Patient</v>
      </c>
    </row>
    <row r="385" spans="1:12" x14ac:dyDescent="0.3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>
        <v>2</v>
      </c>
      <c r="L385" t="str">
        <f>IF(Table1[[#This Row],[is_patient]]=1, " Patient","Not Patient")</f>
        <v>Not Patient</v>
      </c>
    </row>
    <row r="386" spans="1:12" x14ac:dyDescent="0.3">
      <c r="A386">
        <v>34</v>
      </c>
      <c r="B386" t="s">
        <v>12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  <c r="L386" t="str">
        <f>IF(Table1[[#This Row],[is_patient]]=1, " Patient","Not Patient")</f>
        <v xml:space="preserve"> Patient</v>
      </c>
    </row>
    <row r="387" spans="1:12" x14ac:dyDescent="0.3">
      <c r="A387">
        <v>50</v>
      </c>
      <c r="B387" t="s">
        <v>12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>
        <v>1</v>
      </c>
      <c r="L387" t="str">
        <f>IF(Table1[[#This Row],[is_patient]]=1, " Patient","Not Patient")</f>
        <v xml:space="preserve"> Patient</v>
      </c>
    </row>
    <row r="388" spans="1:12" x14ac:dyDescent="0.3">
      <c r="A388">
        <v>38</v>
      </c>
      <c r="B388" t="s">
        <v>12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  <c r="L388" t="str">
        <f>IF(Table1[[#This Row],[is_patient]]=1, " Patient","Not Patient")</f>
        <v>Not Patient</v>
      </c>
    </row>
    <row r="389" spans="1:12" x14ac:dyDescent="0.3">
      <c r="A389">
        <v>51</v>
      </c>
      <c r="B389" t="s">
        <v>12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>
        <v>1</v>
      </c>
      <c r="L389" t="str">
        <f>IF(Table1[[#This Row],[is_patient]]=1, " Patient","Not Patient")</f>
        <v xml:space="preserve"> Patient</v>
      </c>
    </row>
    <row r="390" spans="1:12" x14ac:dyDescent="0.3">
      <c r="A390">
        <v>46</v>
      </c>
      <c r="B390" t="s">
        <v>12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>
        <v>1</v>
      </c>
      <c r="L390" t="str">
        <f>IF(Table1[[#This Row],[is_patient]]=1, " Patient","Not Patient")</f>
        <v xml:space="preserve"> Patient</v>
      </c>
    </row>
    <row r="391" spans="1:12" x14ac:dyDescent="0.3">
      <c r="A391">
        <v>72</v>
      </c>
      <c r="B391" t="s">
        <v>12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  <c r="L391" t="str">
        <f>IF(Table1[[#This Row],[is_patient]]=1, " Patient","Not Patient")</f>
        <v xml:space="preserve"> Patient</v>
      </c>
    </row>
    <row r="392" spans="1:12" x14ac:dyDescent="0.3">
      <c r="A392">
        <v>72</v>
      </c>
      <c r="B392" t="s">
        <v>12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  <c r="L392" t="str">
        <f>IF(Table1[[#This Row],[is_patient]]=1, " Patient","Not Patient")</f>
        <v xml:space="preserve"> Patient</v>
      </c>
    </row>
    <row r="393" spans="1:12" x14ac:dyDescent="0.3">
      <c r="A393">
        <v>75</v>
      </c>
      <c r="B393" t="s">
        <v>12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>
        <v>1</v>
      </c>
      <c r="L393" t="str">
        <f>IF(Table1[[#This Row],[is_patient]]=1, " Patient","Not Patient")</f>
        <v xml:space="preserve"> Patient</v>
      </c>
    </row>
    <row r="394" spans="1:12" x14ac:dyDescent="0.3">
      <c r="A394">
        <v>41</v>
      </c>
      <c r="B394" t="s">
        <v>12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  <c r="L394" t="str">
        <f>IF(Table1[[#This Row],[is_patient]]=1, " Patient","Not Patient")</f>
        <v xml:space="preserve"> Patient</v>
      </c>
    </row>
    <row r="395" spans="1:12" x14ac:dyDescent="0.3">
      <c r="A395">
        <v>41</v>
      </c>
      <c r="B395" t="s">
        <v>12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  <c r="L395" t="str">
        <f>IF(Table1[[#This Row],[is_patient]]=1, " Patient","Not Patient")</f>
        <v xml:space="preserve"> Patient</v>
      </c>
    </row>
    <row r="396" spans="1:12" x14ac:dyDescent="0.3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  <c r="L396" t="str">
        <f>IF(Table1[[#This Row],[is_patient]]=1, " Patient","Not Patient")</f>
        <v xml:space="preserve"> Patient</v>
      </c>
    </row>
    <row r="397" spans="1:12" x14ac:dyDescent="0.3">
      <c r="A397">
        <v>45</v>
      </c>
      <c r="B397" t="s">
        <v>12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  <c r="L397" t="str">
        <f>IF(Table1[[#This Row],[is_patient]]=1, " Patient","Not Patient")</f>
        <v>Not Patient</v>
      </c>
    </row>
    <row r="398" spans="1:12" x14ac:dyDescent="0.3">
      <c r="A398">
        <v>74</v>
      </c>
      <c r="B398" t="s">
        <v>12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>
        <v>1</v>
      </c>
      <c r="L398" t="str">
        <f>IF(Table1[[#This Row],[is_patient]]=1, " Patient","Not Patient")</f>
        <v xml:space="preserve"> Patient</v>
      </c>
    </row>
    <row r="399" spans="1:12" x14ac:dyDescent="0.3">
      <c r="A399">
        <v>78</v>
      </c>
      <c r="B399" t="s">
        <v>12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  <c r="L399" t="str">
        <f>IF(Table1[[#This Row],[is_patient]]=1, " Patient","Not Patient")</f>
        <v xml:space="preserve"> Patient</v>
      </c>
    </row>
    <row r="400" spans="1:12" x14ac:dyDescent="0.3">
      <c r="A400">
        <v>38</v>
      </c>
      <c r="B400" t="s">
        <v>12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  <c r="L400" t="str">
        <f>IF(Table1[[#This Row],[is_patient]]=1, " Patient","Not Patient")</f>
        <v xml:space="preserve"> Patient</v>
      </c>
    </row>
    <row r="401" spans="1:12" x14ac:dyDescent="0.3">
      <c r="A401">
        <v>27</v>
      </c>
      <c r="B401" t="s">
        <v>12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  <c r="L401" t="str">
        <f>IF(Table1[[#This Row],[is_patient]]=1, " Patient","Not Patient")</f>
        <v xml:space="preserve"> Patient</v>
      </c>
    </row>
    <row r="402" spans="1:12" x14ac:dyDescent="0.3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  <c r="L402" t="str">
        <f>IF(Table1[[#This Row],[is_patient]]=1, " Patient","Not Patient")</f>
        <v>Not Patient</v>
      </c>
    </row>
    <row r="403" spans="1:12" x14ac:dyDescent="0.3">
      <c r="A403">
        <v>50</v>
      </c>
      <c r="B403" t="s">
        <v>12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  <c r="L403" t="str">
        <f>IF(Table1[[#This Row],[is_patient]]=1, " Patient","Not Patient")</f>
        <v xml:space="preserve"> Patient</v>
      </c>
    </row>
    <row r="404" spans="1:12" x14ac:dyDescent="0.3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  <c r="L404" t="str">
        <f>IF(Table1[[#This Row],[is_patient]]=1, " Patient","Not Patient")</f>
        <v xml:space="preserve"> Patient</v>
      </c>
    </row>
    <row r="405" spans="1:12" x14ac:dyDescent="0.3">
      <c r="A405">
        <v>65</v>
      </c>
      <c r="B405" t="s">
        <v>12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  <c r="L405" t="str">
        <f>IF(Table1[[#This Row],[is_patient]]=1, " Patient","Not Patient")</f>
        <v>Not Patient</v>
      </c>
    </row>
    <row r="406" spans="1:12" x14ac:dyDescent="0.3">
      <c r="A406">
        <v>22</v>
      </c>
      <c r="B406" t="s">
        <v>12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  <c r="L406" t="str">
        <f>IF(Table1[[#This Row],[is_patient]]=1, " Patient","Not Patient")</f>
        <v xml:space="preserve"> Patient</v>
      </c>
    </row>
    <row r="407" spans="1:12" x14ac:dyDescent="0.3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>
        <v>1</v>
      </c>
      <c r="L407" t="str">
        <f>IF(Table1[[#This Row],[is_patient]]=1, " Patient","Not Patient")</f>
        <v xml:space="preserve"> Patient</v>
      </c>
    </row>
    <row r="408" spans="1:12" x14ac:dyDescent="0.3">
      <c r="A408">
        <v>45</v>
      </c>
      <c r="B408" t="s">
        <v>12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  <c r="L408" t="str">
        <f>IF(Table1[[#This Row],[is_patient]]=1, " Patient","Not Patient")</f>
        <v>Not Patient</v>
      </c>
    </row>
    <row r="409" spans="1:12" x14ac:dyDescent="0.3">
      <c r="A409">
        <v>12</v>
      </c>
      <c r="B409" t="s">
        <v>12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  <c r="L409" t="str">
        <f>IF(Table1[[#This Row],[is_patient]]=1, " Patient","Not Patient")</f>
        <v xml:space="preserve"> Patient</v>
      </c>
    </row>
    <row r="410" spans="1:12" x14ac:dyDescent="0.3">
      <c r="A410">
        <v>48</v>
      </c>
      <c r="B410" t="s">
        <v>12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  <c r="L410" t="str">
        <f>IF(Table1[[#This Row],[is_patient]]=1, " Patient","Not Patient")</f>
        <v xml:space="preserve"> Patient</v>
      </c>
    </row>
    <row r="411" spans="1:12" x14ac:dyDescent="0.3">
      <c r="A411">
        <v>48</v>
      </c>
      <c r="B411" t="s">
        <v>12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  <c r="L411" t="str">
        <f>IF(Table1[[#This Row],[is_patient]]=1, " Patient","Not Patient")</f>
        <v xml:space="preserve"> Patient</v>
      </c>
    </row>
    <row r="412" spans="1:12" x14ac:dyDescent="0.3">
      <c r="A412">
        <v>18</v>
      </c>
      <c r="B412" t="s">
        <v>12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  <c r="L412" t="str">
        <f>IF(Table1[[#This Row],[is_patient]]=1, " Patient","Not Patient")</f>
        <v xml:space="preserve"> Patient</v>
      </c>
    </row>
    <row r="413" spans="1:12" x14ac:dyDescent="0.3">
      <c r="A413">
        <v>23</v>
      </c>
      <c r="B413" t="s">
        <v>11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  <c r="L413" t="str">
        <f>IF(Table1[[#This Row],[is_patient]]=1, " Patient","Not Patient")</f>
        <v>Not Patient</v>
      </c>
    </row>
    <row r="414" spans="1:12" x14ac:dyDescent="0.3">
      <c r="A414">
        <v>65</v>
      </c>
      <c r="B414" t="s">
        <v>12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  <c r="L414" t="str">
        <f>IF(Table1[[#This Row],[is_patient]]=1, " Patient","Not Patient")</f>
        <v xml:space="preserve"> Patient</v>
      </c>
    </row>
    <row r="415" spans="1:12" x14ac:dyDescent="0.3">
      <c r="A415">
        <v>48</v>
      </c>
      <c r="B415" t="s">
        <v>12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>
        <v>2</v>
      </c>
      <c r="L415" t="str">
        <f>IF(Table1[[#This Row],[is_patient]]=1, " Patient","Not Patient")</f>
        <v>Not Patient</v>
      </c>
    </row>
    <row r="416" spans="1:12" x14ac:dyDescent="0.3">
      <c r="A416">
        <v>65</v>
      </c>
      <c r="B416" t="s">
        <v>12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>
        <v>2</v>
      </c>
      <c r="L416" t="str">
        <f>IF(Table1[[#This Row],[is_patient]]=1, " Patient","Not Patient")</f>
        <v>Not Patient</v>
      </c>
    </row>
    <row r="417" spans="1:12" x14ac:dyDescent="0.3">
      <c r="A417">
        <v>70</v>
      </c>
      <c r="B417" t="s">
        <v>12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  <c r="L417" t="str">
        <f>IF(Table1[[#This Row],[is_patient]]=1, " Patient","Not Patient")</f>
        <v xml:space="preserve"> Patient</v>
      </c>
    </row>
    <row r="418" spans="1:12" x14ac:dyDescent="0.3">
      <c r="A418">
        <v>70</v>
      </c>
      <c r="B418" t="s">
        <v>12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  <c r="L418" t="str">
        <f>IF(Table1[[#This Row],[is_patient]]=1, " Patient","Not Patient")</f>
        <v xml:space="preserve"> Patient</v>
      </c>
    </row>
    <row r="419" spans="1:12" x14ac:dyDescent="0.3">
      <c r="A419">
        <v>11</v>
      </c>
      <c r="B419" t="s">
        <v>12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  <c r="L419" t="str">
        <f>IF(Table1[[#This Row],[is_patient]]=1, " Patient","Not Patient")</f>
        <v>Not Patient</v>
      </c>
    </row>
    <row r="420" spans="1:12" x14ac:dyDescent="0.3">
      <c r="A420">
        <v>50</v>
      </c>
      <c r="B420" t="s">
        <v>12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  <c r="L420" t="str">
        <f>IF(Table1[[#This Row],[is_patient]]=1, " Patient","Not Patient")</f>
        <v xml:space="preserve"> Patient</v>
      </c>
    </row>
    <row r="421" spans="1:12" x14ac:dyDescent="0.3">
      <c r="A421">
        <v>55</v>
      </c>
      <c r="B421" t="s">
        <v>11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  <c r="L421" t="str">
        <f>IF(Table1[[#This Row],[is_patient]]=1, " Patient","Not Patient")</f>
        <v xml:space="preserve"> Patient</v>
      </c>
    </row>
    <row r="422" spans="1:12" x14ac:dyDescent="0.3">
      <c r="A422">
        <v>55</v>
      </c>
      <c r="B422" t="s">
        <v>11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>
        <v>1</v>
      </c>
      <c r="L422" t="str">
        <f>IF(Table1[[#This Row],[is_patient]]=1, " Patient","Not Patient")</f>
        <v xml:space="preserve"> Patient</v>
      </c>
    </row>
    <row r="423" spans="1:12" x14ac:dyDescent="0.3">
      <c r="A423">
        <v>26</v>
      </c>
      <c r="B423" t="s">
        <v>12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  <c r="L423" t="str">
        <f>IF(Table1[[#This Row],[is_patient]]=1, " Patient","Not Patient")</f>
        <v>Not Patient</v>
      </c>
    </row>
    <row r="424" spans="1:12" x14ac:dyDescent="0.3">
      <c r="A424">
        <v>41</v>
      </c>
      <c r="B424" t="s">
        <v>12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  <c r="L424" t="str">
        <f>IF(Table1[[#This Row],[is_patient]]=1, " Patient","Not Patient")</f>
        <v xml:space="preserve"> Patient</v>
      </c>
    </row>
    <row r="425" spans="1:12" x14ac:dyDescent="0.3">
      <c r="A425">
        <v>53</v>
      </c>
      <c r="B425" t="s">
        <v>12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  <c r="L425" t="str">
        <f>IF(Table1[[#This Row],[is_patient]]=1, " Patient","Not Patient")</f>
        <v>Not Patient</v>
      </c>
    </row>
    <row r="426" spans="1:12" x14ac:dyDescent="0.3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  <c r="L426" t="str">
        <f>IF(Table1[[#This Row],[is_patient]]=1, " Patient","Not Patient")</f>
        <v xml:space="preserve"> Patient</v>
      </c>
    </row>
    <row r="427" spans="1:12" x14ac:dyDescent="0.3">
      <c r="A427">
        <v>58</v>
      </c>
      <c r="B427" t="s">
        <v>12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  <c r="L427" t="str">
        <f>IF(Table1[[#This Row],[is_patient]]=1, " Patient","Not Patient")</f>
        <v xml:space="preserve"> Patient</v>
      </c>
    </row>
    <row r="428" spans="1:12" x14ac:dyDescent="0.3">
      <c r="A428">
        <v>45</v>
      </c>
      <c r="B428" t="s">
        <v>12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  <c r="L428" t="str">
        <f>IF(Table1[[#This Row],[is_patient]]=1, " Patient","Not Patient")</f>
        <v>Not Patient</v>
      </c>
    </row>
    <row r="429" spans="1:12" x14ac:dyDescent="0.3">
      <c r="A429">
        <v>65</v>
      </c>
      <c r="B429" t="s">
        <v>12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  <c r="L429" t="str">
        <f>IF(Table1[[#This Row],[is_patient]]=1, " Patient","Not Patient")</f>
        <v xml:space="preserve"> Patient</v>
      </c>
    </row>
    <row r="430" spans="1:12" x14ac:dyDescent="0.3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  <c r="L430" t="str">
        <f>IF(Table1[[#This Row],[is_patient]]=1, " Patient","Not Patient")</f>
        <v>Not Patient</v>
      </c>
    </row>
    <row r="431" spans="1:12" x14ac:dyDescent="0.3">
      <c r="A431">
        <v>73</v>
      </c>
      <c r="B431" t="s">
        <v>12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  <c r="L431" t="str">
        <f>IF(Table1[[#This Row],[is_patient]]=1, " Patient","Not Patient")</f>
        <v xml:space="preserve"> Patient</v>
      </c>
    </row>
    <row r="432" spans="1:12" x14ac:dyDescent="0.3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  <c r="L432" t="str">
        <f>IF(Table1[[#This Row],[is_patient]]=1, " Patient","Not Patient")</f>
        <v xml:space="preserve"> Patient</v>
      </c>
    </row>
    <row r="433" spans="1:12" x14ac:dyDescent="0.3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  <c r="L433" t="str">
        <f>IF(Table1[[#This Row],[is_patient]]=1, " Patient","Not Patient")</f>
        <v>Not Patient</v>
      </c>
    </row>
    <row r="434" spans="1:12" x14ac:dyDescent="0.3">
      <c r="A434">
        <v>29</v>
      </c>
      <c r="B434" t="s">
        <v>12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>
        <v>1</v>
      </c>
      <c r="L434" t="str">
        <f>IF(Table1[[#This Row],[is_patient]]=1, " Patient","Not Patient")</f>
        <v xml:space="preserve"> Patient</v>
      </c>
    </row>
    <row r="435" spans="1:12" x14ac:dyDescent="0.3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  <c r="L435" t="str">
        <f>IF(Table1[[#This Row],[is_patient]]=1, " Patient","Not Patient")</f>
        <v>Not Patient</v>
      </c>
    </row>
    <row r="436" spans="1:12" x14ac:dyDescent="0.3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  <c r="L436" t="str">
        <f>IF(Table1[[#This Row],[is_patient]]=1, " Patient","Not Patient")</f>
        <v>Not Patient</v>
      </c>
    </row>
    <row r="437" spans="1:12" x14ac:dyDescent="0.3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  <c r="L437" t="str">
        <f>IF(Table1[[#This Row],[is_patient]]=1, " Patient","Not Patient")</f>
        <v>Not Patient</v>
      </c>
    </row>
    <row r="438" spans="1:12" x14ac:dyDescent="0.3">
      <c r="A438">
        <v>23</v>
      </c>
      <c r="B438" t="s">
        <v>12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  <c r="L438" t="str">
        <f>IF(Table1[[#This Row],[is_patient]]=1, " Patient","Not Patient")</f>
        <v xml:space="preserve"> Patient</v>
      </c>
    </row>
    <row r="439" spans="1:12" x14ac:dyDescent="0.3">
      <c r="A439">
        <v>35</v>
      </c>
      <c r="B439" t="s">
        <v>12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  <c r="L439" t="str">
        <f>IF(Table1[[#This Row],[is_patient]]=1, " Patient","Not Patient")</f>
        <v xml:space="preserve"> Patient</v>
      </c>
    </row>
    <row r="440" spans="1:12" x14ac:dyDescent="0.3">
      <c r="A440">
        <v>65</v>
      </c>
      <c r="B440" t="s">
        <v>12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  <c r="L440" t="str">
        <f>IF(Table1[[#This Row],[is_patient]]=1, " Patient","Not Patient")</f>
        <v xml:space="preserve"> Patient</v>
      </c>
    </row>
    <row r="441" spans="1:12" x14ac:dyDescent="0.3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  <c r="L441" t="str">
        <f>IF(Table1[[#This Row],[is_patient]]=1, " Patient","Not Patient")</f>
        <v xml:space="preserve"> Patient</v>
      </c>
    </row>
    <row r="442" spans="1:12" x14ac:dyDescent="0.3">
      <c r="A442">
        <v>49</v>
      </c>
      <c r="B442" t="s">
        <v>11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  <c r="L442" t="str">
        <f>IF(Table1[[#This Row],[is_patient]]=1, " Patient","Not Patient")</f>
        <v xml:space="preserve"> Patient</v>
      </c>
    </row>
    <row r="443" spans="1:12" x14ac:dyDescent="0.3">
      <c r="A443">
        <v>42</v>
      </c>
      <c r="B443" t="s">
        <v>11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>
        <v>1</v>
      </c>
      <c r="L443" t="str">
        <f>IF(Table1[[#This Row],[is_patient]]=1, " Patient","Not Patient")</f>
        <v xml:space="preserve"> Patient</v>
      </c>
    </row>
    <row r="444" spans="1:12" x14ac:dyDescent="0.3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>
        <v>1</v>
      </c>
      <c r="L444" t="str">
        <f>IF(Table1[[#This Row],[is_patient]]=1, " Patient","Not Patient")</f>
        <v xml:space="preserve"> Patient</v>
      </c>
    </row>
    <row r="445" spans="1:12" x14ac:dyDescent="0.3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  <c r="L445" t="str">
        <f>IF(Table1[[#This Row],[is_patient]]=1, " Patient","Not Patient")</f>
        <v xml:space="preserve"> Patient</v>
      </c>
    </row>
    <row r="446" spans="1:12" x14ac:dyDescent="0.3">
      <c r="A446">
        <v>61</v>
      </c>
      <c r="B446" t="s">
        <v>12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  <c r="L446" t="str">
        <f>IF(Table1[[#This Row],[is_patient]]=1, " Patient","Not Patient")</f>
        <v>Not Patient</v>
      </c>
    </row>
    <row r="447" spans="1:12" x14ac:dyDescent="0.3">
      <c r="A447">
        <v>17</v>
      </c>
      <c r="B447" t="s">
        <v>12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2</v>
      </c>
      <c r="L447" t="str">
        <f>IF(Table1[[#This Row],[is_patient]]=1, " Patient","Not Patient")</f>
        <v>Not Patient</v>
      </c>
    </row>
    <row r="448" spans="1:12" x14ac:dyDescent="0.3">
      <c r="A448">
        <v>54</v>
      </c>
      <c r="B448" t="s">
        <v>12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  <c r="L448" t="str">
        <f>IF(Table1[[#This Row],[is_patient]]=1, " Patient","Not Patient")</f>
        <v xml:space="preserve"> Patient</v>
      </c>
    </row>
    <row r="449" spans="1:12" x14ac:dyDescent="0.3">
      <c r="A449">
        <v>45</v>
      </c>
      <c r="B449" t="s">
        <v>11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  <c r="L449" t="str">
        <f>IF(Table1[[#This Row],[is_patient]]=1, " Patient","Not Patient")</f>
        <v xml:space="preserve"> Patient</v>
      </c>
    </row>
    <row r="450" spans="1:12" x14ac:dyDescent="0.3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  <c r="L450" t="str">
        <f>IF(Table1[[#This Row],[is_patient]]=1, " Patient","Not Patient")</f>
        <v xml:space="preserve"> Patient</v>
      </c>
    </row>
    <row r="451" spans="1:12" x14ac:dyDescent="0.3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  <c r="L451" t="str">
        <f>IF(Table1[[#This Row],[is_patient]]=1, " Patient","Not Patient")</f>
        <v xml:space="preserve"> Patient</v>
      </c>
    </row>
    <row r="452" spans="1:12" x14ac:dyDescent="0.3">
      <c r="A452">
        <v>65</v>
      </c>
      <c r="B452" t="s">
        <v>12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  <c r="L452" t="str">
        <f>IF(Table1[[#This Row],[is_patient]]=1, " Patient","Not Patient")</f>
        <v xml:space="preserve"> Patient</v>
      </c>
    </row>
    <row r="453" spans="1:12" x14ac:dyDescent="0.3">
      <c r="A453">
        <v>35</v>
      </c>
      <c r="B453" t="s">
        <v>12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  <c r="L453" t="str">
        <f>IF(Table1[[#This Row],[is_patient]]=1, " Patient","Not Patient")</f>
        <v xml:space="preserve"> Patient</v>
      </c>
    </row>
    <row r="454" spans="1:12" x14ac:dyDescent="0.3">
      <c r="A454">
        <v>58</v>
      </c>
      <c r="B454" t="s">
        <v>12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  <c r="L454" t="str">
        <f>IF(Table1[[#This Row],[is_patient]]=1, " Patient","Not Patient")</f>
        <v xml:space="preserve"> Patient</v>
      </c>
    </row>
    <row r="455" spans="1:12" x14ac:dyDescent="0.3">
      <c r="A455">
        <v>46</v>
      </c>
      <c r="B455" t="s">
        <v>12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  <c r="L455" t="str">
        <f>IF(Table1[[#This Row],[is_patient]]=1, " Patient","Not Patient")</f>
        <v xml:space="preserve"> Patient</v>
      </c>
    </row>
    <row r="456" spans="1:12" x14ac:dyDescent="0.3">
      <c r="A456">
        <v>28</v>
      </c>
      <c r="B456" t="s">
        <v>12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  <c r="L456" t="str">
        <f>IF(Table1[[#This Row],[is_patient]]=1, " Patient","Not Patient")</f>
        <v>Not Patient</v>
      </c>
    </row>
    <row r="457" spans="1:12" x14ac:dyDescent="0.3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  <c r="L457" t="str">
        <f>IF(Table1[[#This Row],[is_patient]]=1, " Patient","Not Patient")</f>
        <v xml:space="preserve"> Patient</v>
      </c>
    </row>
    <row r="458" spans="1:12" x14ac:dyDescent="0.3">
      <c r="A458">
        <v>32</v>
      </c>
      <c r="B458" t="s">
        <v>12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  <c r="L458" t="str">
        <f>IF(Table1[[#This Row],[is_patient]]=1, " Patient","Not Patient")</f>
        <v>Not Patient</v>
      </c>
    </row>
    <row r="459" spans="1:12" x14ac:dyDescent="0.3">
      <c r="A459">
        <v>61</v>
      </c>
      <c r="B459" t="s">
        <v>12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2</v>
      </c>
      <c r="L459" t="str">
        <f>IF(Table1[[#This Row],[is_patient]]=1, " Patient","Not Patient")</f>
        <v>Not Patient</v>
      </c>
    </row>
    <row r="460" spans="1:12" x14ac:dyDescent="0.3">
      <c r="A460">
        <v>26</v>
      </c>
      <c r="B460" t="s">
        <v>12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  <c r="L460" t="str">
        <f>IF(Table1[[#This Row],[is_patient]]=1, " Patient","Not Patient")</f>
        <v xml:space="preserve"> Patient</v>
      </c>
    </row>
    <row r="461" spans="1:12" x14ac:dyDescent="0.3">
      <c r="A461">
        <v>65</v>
      </c>
      <c r="B461" t="s">
        <v>12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  <c r="L461" t="str">
        <f>IF(Table1[[#This Row],[is_patient]]=1, " Patient","Not Patient")</f>
        <v xml:space="preserve"> Patient</v>
      </c>
    </row>
    <row r="462" spans="1:12" x14ac:dyDescent="0.3">
      <c r="A462">
        <v>22</v>
      </c>
      <c r="B462" t="s">
        <v>11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  <c r="L462" t="str">
        <f>IF(Table1[[#This Row],[is_patient]]=1, " Patient","Not Patient")</f>
        <v xml:space="preserve"> Patient</v>
      </c>
    </row>
    <row r="463" spans="1:12" x14ac:dyDescent="0.3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>
        <v>1</v>
      </c>
      <c r="L463" t="str">
        <f>IF(Table1[[#This Row],[is_patient]]=1, " Patient","Not Patient")</f>
        <v xml:space="preserve"> Patient</v>
      </c>
    </row>
    <row r="464" spans="1:12" x14ac:dyDescent="0.3">
      <c r="A464">
        <v>38</v>
      </c>
      <c r="B464" t="s">
        <v>12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  <c r="L464" t="str">
        <f>IF(Table1[[#This Row],[is_patient]]=1, " Patient","Not Patient")</f>
        <v xml:space="preserve"> Patient</v>
      </c>
    </row>
    <row r="465" spans="1:12" x14ac:dyDescent="0.3">
      <c r="A465">
        <v>25</v>
      </c>
      <c r="B465" t="s">
        <v>12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  <c r="L465" t="str">
        <f>IF(Table1[[#This Row],[is_patient]]=1, " Patient","Not Patient")</f>
        <v xml:space="preserve"> Patient</v>
      </c>
    </row>
    <row r="466" spans="1:12" x14ac:dyDescent="0.3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  <c r="L466" t="str">
        <f>IF(Table1[[#This Row],[is_patient]]=1, " Patient","Not Patient")</f>
        <v>Not Patient</v>
      </c>
    </row>
    <row r="467" spans="1:12" x14ac:dyDescent="0.3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>
        <v>2</v>
      </c>
      <c r="L467" t="str">
        <f>IF(Table1[[#This Row],[is_patient]]=1, " Patient","Not Patient")</f>
        <v>Not Patient</v>
      </c>
    </row>
    <row r="468" spans="1:12" x14ac:dyDescent="0.3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>
        <v>2</v>
      </c>
      <c r="L468" t="str">
        <f>IF(Table1[[#This Row],[is_patient]]=1, " Patient","Not Patient")</f>
        <v>Not Patient</v>
      </c>
    </row>
    <row r="469" spans="1:12" x14ac:dyDescent="0.3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  <c r="L469" t="str">
        <f>IF(Table1[[#This Row],[is_patient]]=1, " Patient","Not Patient")</f>
        <v>Not Patient</v>
      </c>
    </row>
    <row r="470" spans="1:12" x14ac:dyDescent="0.3">
      <c r="A470">
        <v>66</v>
      </c>
      <c r="B470" t="s">
        <v>12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  <c r="L470" t="str">
        <f>IF(Table1[[#This Row],[is_patient]]=1, " Patient","Not Patient")</f>
        <v xml:space="preserve"> Patient</v>
      </c>
    </row>
    <row r="471" spans="1:12" x14ac:dyDescent="0.3">
      <c r="A471">
        <v>66</v>
      </c>
      <c r="B471" t="s">
        <v>12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>
        <v>1</v>
      </c>
      <c r="L471" t="str">
        <f>IF(Table1[[#This Row],[is_patient]]=1, " Patient","Not Patient")</f>
        <v xml:space="preserve"> Patient</v>
      </c>
    </row>
    <row r="472" spans="1:12" x14ac:dyDescent="0.3">
      <c r="A472">
        <v>66</v>
      </c>
      <c r="B472" t="s">
        <v>12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>
        <v>1</v>
      </c>
      <c r="L472" t="str">
        <f>IF(Table1[[#This Row],[is_patient]]=1, " Patient","Not Patient")</f>
        <v xml:space="preserve"> Patient</v>
      </c>
    </row>
    <row r="473" spans="1:12" x14ac:dyDescent="0.3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  <c r="L473" t="str">
        <f>IF(Table1[[#This Row],[is_patient]]=1, " Patient","Not Patient")</f>
        <v>Not Patient</v>
      </c>
    </row>
    <row r="474" spans="1:12" x14ac:dyDescent="0.3">
      <c r="A474">
        <v>42</v>
      </c>
      <c r="B474" t="s">
        <v>12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  <c r="L474" t="str">
        <f>IF(Table1[[#This Row],[is_patient]]=1, " Patient","Not Patient")</f>
        <v>Not Patient</v>
      </c>
    </row>
    <row r="475" spans="1:12" x14ac:dyDescent="0.3">
      <c r="A475">
        <v>42</v>
      </c>
      <c r="B475" t="s">
        <v>12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  <c r="L475" t="str">
        <f>IF(Table1[[#This Row],[is_patient]]=1, " Patient","Not Patient")</f>
        <v>Not Patient</v>
      </c>
    </row>
    <row r="476" spans="1:12" x14ac:dyDescent="0.3">
      <c r="A476">
        <v>35</v>
      </c>
      <c r="B476" t="s">
        <v>12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  <c r="L476" t="str">
        <f>IF(Table1[[#This Row],[is_patient]]=1, " Patient","Not Patient")</f>
        <v>Not Patient</v>
      </c>
    </row>
    <row r="477" spans="1:12" x14ac:dyDescent="0.3">
      <c r="A477">
        <v>38</v>
      </c>
      <c r="B477" t="s">
        <v>12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>
        <v>2</v>
      </c>
      <c r="L477" t="str">
        <f>IF(Table1[[#This Row],[is_patient]]=1, " Patient","Not Patient")</f>
        <v>Not Patient</v>
      </c>
    </row>
    <row r="478" spans="1:12" x14ac:dyDescent="0.3">
      <c r="A478">
        <v>38</v>
      </c>
      <c r="B478" t="s">
        <v>12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  <c r="L478" t="str">
        <f>IF(Table1[[#This Row],[is_patient]]=1, " Patient","Not Patient")</f>
        <v xml:space="preserve"> Patient</v>
      </c>
    </row>
    <row r="479" spans="1:12" x14ac:dyDescent="0.3">
      <c r="A479">
        <v>55</v>
      </c>
      <c r="B479" t="s">
        <v>12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>
        <v>1</v>
      </c>
      <c r="L479" t="str">
        <f>IF(Table1[[#This Row],[is_patient]]=1, " Patient","Not Patient")</f>
        <v xml:space="preserve"> Patient</v>
      </c>
    </row>
    <row r="480" spans="1:12" x14ac:dyDescent="0.3">
      <c r="A480">
        <v>33</v>
      </c>
      <c r="B480" t="s">
        <v>12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>
        <v>1</v>
      </c>
      <c r="L480" t="str">
        <f>IF(Table1[[#This Row],[is_patient]]=1, " Patient","Not Patient")</f>
        <v xml:space="preserve"> Patient</v>
      </c>
    </row>
    <row r="481" spans="1:12" x14ac:dyDescent="0.3">
      <c r="A481">
        <v>33</v>
      </c>
      <c r="B481" t="s">
        <v>12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  <c r="L481" t="str">
        <f>IF(Table1[[#This Row],[is_patient]]=1, " Patient","Not Patient")</f>
        <v xml:space="preserve"> Patient</v>
      </c>
    </row>
    <row r="482" spans="1:12" x14ac:dyDescent="0.3">
      <c r="A482">
        <v>7</v>
      </c>
      <c r="B482" t="s">
        <v>12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>
        <v>2</v>
      </c>
      <c r="L482" t="str">
        <f>IF(Table1[[#This Row],[is_patient]]=1, " Patient","Not Patient")</f>
        <v>Not Patient</v>
      </c>
    </row>
    <row r="483" spans="1:12" x14ac:dyDescent="0.3">
      <c r="A483">
        <v>45</v>
      </c>
      <c r="B483" t="s">
        <v>12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  <c r="L483" t="str">
        <f>IF(Table1[[#This Row],[is_patient]]=1, " Patient","Not Patient")</f>
        <v xml:space="preserve"> Patient</v>
      </c>
    </row>
    <row r="484" spans="1:12" x14ac:dyDescent="0.3">
      <c r="A484">
        <v>45</v>
      </c>
      <c r="B484" t="s">
        <v>12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>
        <v>1</v>
      </c>
      <c r="L484" t="str">
        <f>IF(Table1[[#This Row],[is_patient]]=1, " Patient","Not Patient")</f>
        <v xml:space="preserve"> Patient</v>
      </c>
    </row>
    <row r="485" spans="1:12" x14ac:dyDescent="0.3">
      <c r="A485">
        <v>30</v>
      </c>
      <c r="B485" t="s">
        <v>12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  <c r="L485" t="str">
        <f>IF(Table1[[#This Row],[is_patient]]=1, " Patient","Not Patient")</f>
        <v>Not Patient</v>
      </c>
    </row>
    <row r="486" spans="1:12" x14ac:dyDescent="0.3">
      <c r="A486">
        <v>62</v>
      </c>
      <c r="B486" t="s">
        <v>12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  <c r="L486" t="str">
        <f>IF(Table1[[#This Row],[is_patient]]=1, " Patient","Not Patient")</f>
        <v xml:space="preserve"> Patient</v>
      </c>
    </row>
    <row r="487" spans="1:12" x14ac:dyDescent="0.3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  <c r="L487" t="str">
        <f>IF(Table1[[#This Row],[is_patient]]=1, " Patient","Not Patient")</f>
        <v xml:space="preserve"> Patient</v>
      </c>
    </row>
    <row r="488" spans="1:12" x14ac:dyDescent="0.3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  <c r="L488" t="str">
        <f>IF(Table1[[#This Row],[is_patient]]=1, " Patient","Not Patient")</f>
        <v xml:space="preserve"> Patient</v>
      </c>
    </row>
    <row r="489" spans="1:12" x14ac:dyDescent="0.3">
      <c r="A489">
        <v>32</v>
      </c>
      <c r="B489" t="s">
        <v>12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  <c r="L489" t="str">
        <f>IF(Table1[[#This Row],[is_patient]]=1, " Patient","Not Patient")</f>
        <v xml:space="preserve"> Patient</v>
      </c>
    </row>
    <row r="490" spans="1:12" x14ac:dyDescent="0.3">
      <c r="A490">
        <v>60</v>
      </c>
      <c r="B490" t="s">
        <v>12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  <c r="L490" t="str">
        <f>IF(Table1[[#This Row],[is_patient]]=1, " Patient","Not Patient")</f>
        <v>Not Patient</v>
      </c>
    </row>
    <row r="491" spans="1:12" x14ac:dyDescent="0.3">
      <c r="A491">
        <v>65</v>
      </c>
      <c r="B491" t="s">
        <v>12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  <c r="L491" t="str">
        <f>IF(Table1[[#This Row],[is_patient]]=1, " Patient","Not Patient")</f>
        <v>Not Patient</v>
      </c>
    </row>
    <row r="492" spans="1:12" x14ac:dyDescent="0.3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>
        <v>1</v>
      </c>
      <c r="L492" t="str">
        <f>IF(Table1[[#This Row],[is_patient]]=1, " Patient","Not Patient")</f>
        <v xml:space="preserve"> Patient</v>
      </c>
    </row>
    <row r="493" spans="1:12" x14ac:dyDescent="0.3">
      <c r="A493">
        <v>27</v>
      </c>
      <c r="B493" t="s">
        <v>12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  <c r="L493" t="str">
        <f>IF(Table1[[#This Row],[is_patient]]=1, " Patient","Not Patient")</f>
        <v>Not Patient</v>
      </c>
    </row>
    <row r="494" spans="1:12" x14ac:dyDescent="0.3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  <c r="L494" t="str">
        <f>IF(Table1[[#This Row],[is_patient]]=1, " Patient","Not Patient")</f>
        <v xml:space="preserve"> Patient</v>
      </c>
    </row>
    <row r="495" spans="1:12" x14ac:dyDescent="0.3">
      <c r="A495">
        <v>65</v>
      </c>
      <c r="B495" t="s">
        <v>12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  <c r="L495" t="str">
        <f>IF(Table1[[#This Row],[is_patient]]=1, " Patient","Not Patient")</f>
        <v>Not Patient</v>
      </c>
    </row>
    <row r="496" spans="1:12" x14ac:dyDescent="0.3">
      <c r="A496">
        <v>25</v>
      </c>
      <c r="B496" t="s">
        <v>12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  <c r="L496" t="str">
        <f>IF(Table1[[#This Row],[is_patient]]=1, " Patient","Not Patient")</f>
        <v xml:space="preserve"> Patient</v>
      </c>
    </row>
    <row r="497" spans="1:12" x14ac:dyDescent="0.3">
      <c r="A497">
        <v>32</v>
      </c>
      <c r="B497" t="s">
        <v>12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  <c r="L497" t="str">
        <f>IF(Table1[[#This Row],[is_patient]]=1, " Patient","Not Patient")</f>
        <v>Not Patient</v>
      </c>
    </row>
    <row r="498" spans="1:12" x14ac:dyDescent="0.3">
      <c r="A498">
        <v>24</v>
      </c>
      <c r="B498" t="s">
        <v>12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  <c r="L498" t="str">
        <f>IF(Table1[[#This Row],[is_patient]]=1, " Patient","Not Patient")</f>
        <v xml:space="preserve"> Patient</v>
      </c>
    </row>
    <row r="499" spans="1:12" x14ac:dyDescent="0.3">
      <c r="A499">
        <v>67</v>
      </c>
      <c r="B499" t="s">
        <v>12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  <c r="L499" t="str">
        <f>IF(Table1[[#This Row],[is_patient]]=1, " Patient","Not Patient")</f>
        <v xml:space="preserve"> Patient</v>
      </c>
    </row>
    <row r="500" spans="1:12" x14ac:dyDescent="0.3">
      <c r="A500">
        <v>68</v>
      </c>
      <c r="B500" t="s">
        <v>12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  <c r="L500" t="str">
        <f>IF(Table1[[#This Row],[is_patient]]=1, " Patient","Not Patient")</f>
        <v xml:space="preserve"> Patient</v>
      </c>
    </row>
    <row r="501" spans="1:12" x14ac:dyDescent="0.3">
      <c r="A501">
        <v>55</v>
      </c>
      <c r="B501" t="s">
        <v>12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  <c r="L501" t="str">
        <f>IF(Table1[[#This Row],[is_patient]]=1, " Patient","Not Patient")</f>
        <v xml:space="preserve"> Patient</v>
      </c>
    </row>
    <row r="502" spans="1:12" x14ac:dyDescent="0.3">
      <c r="A502">
        <v>70</v>
      </c>
      <c r="B502" t="s">
        <v>12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  <c r="L502" t="str">
        <f>IF(Table1[[#This Row],[is_patient]]=1, " Patient","Not Patient")</f>
        <v xml:space="preserve"> Patient</v>
      </c>
    </row>
    <row r="503" spans="1:12" x14ac:dyDescent="0.3">
      <c r="A503">
        <v>36</v>
      </c>
      <c r="B503" t="s">
        <v>12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  <c r="L503" t="str">
        <f>IF(Table1[[#This Row],[is_patient]]=1, " Patient","Not Patient")</f>
        <v xml:space="preserve"> Patient</v>
      </c>
    </row>
    <row r="504" spans="1:12" x14ac:dyDescent="0.3">
      <c r="A504">
        <v>42</v>
      </c>
      <c r="B504" t="s">
        <v>12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>
        <v>1</v>
      </c>
      <c r="L504" t="str">
        <f>IF(Table1[[#This Row],[is_patient]]=1, " Patient","Not Patient")</f>
        <v xml:space="preserve"> Patient</v>
      </c>
    </row>
    <row r="505" spans="1:12" x14ac:dyDescent="0.3">
      <c r="A505">
        <v>53</v>
      </c>
      <c r="B505" t="s">
        <v>12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  <c r="L505" t="str">
        <f>IF(Table1[[#This Row],[is_patient]]=1, " Patient","Not Patient")</f>
        <v xml:space="preserve"> Patient</v>
      </c>
    </row>
    <row r="506" spans="1:12" x14ac:dyDescent="0.3">
      <c r="A506">
        <v>32</v>
      </c>
      <c r="B506" t="s">
        <v>12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  <c r="L506" t="str">
        <f>IF(Table1[[#This Row],[is_patient]]=1, " Patient","Not Patient")</f>
        <v xml:space="preserve"> Patient</v>
      </c>
    </row>
    <row r="507" spans="1:12" x14ac:dyDescent="0.3">
      <c r="A507">
        <v>32</v>
      </c>
      <c r="B507" t="s">
        <v>12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>
        <v>1</v>
      </c>
      <c r="L507" t="str">
        <f>IF(Table1[[#This Row],[is_patient]]=1, " Patient","Not Patient")</f>
        <v xml:space="preserve"> Patient</v>
      </c>
    </row>
    <row r="508" spans="1:12" x14ac:dyDescent="0.3">
      <c r="A508">
        <v>56</v>
      </c>
      <c r="B508" t="s">
        <v>12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  <c r="L508" t="str">
        <f>IF(Table1[[#This Row],[is_patient]]=1, " Patient","Not Patient")</f>
        <v xml:space="preserve"> Patient</v>
      </c>
    </row>
    <row r="509" spans="1:12" x14ac:dyDescent="0.3">
      <c r="A509">
        <v>50</v>
      </c>
      <c r="B509" t="s">
        <v>12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  <c r="L509" t="str">
        <f>IF(Table1[[#This Row],[is_patient]]=1, " Patient","Not Patient")</f>
        <v xml:space="preserve"> Patient</v>
      </c>
    </row>
    <row r="510" spans="1:12" x14ac:dyDescent="0.3">
      <c r="A510">
        <v>46</v>
      </c>
      <c r="B510" t="s">
        <v>12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  <c r="L510" t="str">
        <f>IF(Table1[[#This Row],[is_patient]]=1, " Patient","Not Patient")</f>
        <v xml:space="preserve"> Patient</v>
      </c>
    </row>
    <row r="511" spans="1:12" x14ac:dyDescent="0.3">
      <c r="A511">
        <v>46</v>
      </c>
      <c r="B511" t="s">
        <v>12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  <c r="L511" t="str">
        <f>IF(Table1[[#This Row],[is_patient]]=1, " Patient","Not Patient")</f>
        <v xml:space="preserve"> Patient</v>
      </c>
    </row>
    <row r="512" spans="1:12" x14ac:dyDescent="0.3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>
        <v>2</v>
      </c>
      <c r="L512" t="str">
        <f>IF(Table1[[#This Row],[is_patient]]=1, " Patient","Not Patient")</f>
        <v>Not Patient</v>
      </c>
    </row>
    <row r="513" spans="1:12" x14ac:dyDescent="0.3">
      <c r="A513">
        <v>45</v>
      </c>
      <c r="B513" t="s">
        <v>12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  <c r="L513" t="str">
        <f>IF(Table1[[#This Row],[is_patient]]=1, " Patient","Not Patient")</f>
        <v xml:space="preserve"> Patient</v>
      </c>
    </row>
    <row r="514" spans="1:12" x14ac:dyDescent="0.3">
      <c r="A514">
        <v>56</v>
      </c>
      <c r="B514" t="s">
        <v>12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  <c r="L514" t="str">
        <f>IF(Table1[[#This Row],[is_patient]]=1, " Patient","Not Patient")</f>
        <v>Not Patient</v>
      </c>
    </row>
    <row r="515" spans="1:12" x14ac:dyDescent="0.3">
      <c r="A515">
        <v>69</v>
      </c>
      <c r="B515" t="s">
        <v>12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  <c r="L515" t="str">
        <f>IF(Table1[[#This Row],[is_patient]]=1, " Patient","Not Patient")</f>
        <v xml:space="preserve"> Patient</v>
      </c>
    </row>
    <row r="516" spans="1:12" x14ac:dyDescent="0.3">
      <c r="A516">
        <v>49</v>
      </c>
      <c r="B516" t="s">
        <v>12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  <c r="L516" t="str">
        <f>IF(Table1[[#This Row],[is_patient]]=1, " Patient","Not Patient")</f>
        <v xml:space="preserve"> Patient</v>
      </c>
    </row>
    <row r="517" spans="1:12" x14ac:dyDescent="0.3">
      <c r="A517">
        <v>49</v>
      </c>
      <c r="B517" t="s">
        <v>12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  <c r="L517" t="str">
        <f>IF(Table1[[#This Row],[is_patient]]=1, " Patient","Not Patient")</f>
        <v xml:space="preserve"> Patient</v>
      </c>
    </row>
    <row r="518" spans="1:12" x14ac:dyDescent="0.3">
      <c r="A518">
        <v>60</v>
      </c>
      <c r="B518" t="s">
        <v>12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  <c r="L518" t="str">
        <f>IF(Table1[[#This Row],[is_patient]]=1, " Patient","Not Patient")</f>
        <v xml:space="preserve"> Patient</v>
      </c>
    </row>
    <row r="519" spans="1:12" x14ac:dyDescent="0.3">
      <c r="A519">
        <v>28</v>
      </c>
      <c r="B519" t="s">
        <v>12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  <c r="L519" t="str">
        <f>IF(Table1[[#This Row],[is_patient]]=1, " Patient","Not Patient")</f>
        <v xml:space="preserve"> Patient</v>
      </c>
    </row>
    <row r="520" spans="1:12" x14ac:dyDescent="0.3">
      <c r="A520">
        <v>45</v>
      </c>
      <c r="B520" t="s">
        <v>12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  <c r="L520" t="str">
        <f>IF(Table1[[#This Row],[is_patient]]=1, " Patient","Not Patient")</f>
        <v xml:space="preserve"> Patient</v>
      </c>
    </row>
    <row r="521" spans="1:12" x14ac:dyDescent="0.3">
      <c r="A521">
        <v>35</v>
      </c>
      <c r="B521" t="s">
        <v>12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I521">
        <v>2</v>
      </c>
      <c r="J521">
        <v>0.3</v>
      </c>
      <c r="K521">
        <v>1</v>
      </c>
      <c r="L521" t="str">
        <f>IF(Table1[[#This Row],[is_patient]]=1, " Patient","Not Patient")</f>
        <v xml:space="preserve"> Patient</v>
      </c>
    </row>
    <row r="522" spans="1:12" x14ac:dyDescent="0.3">
      <c r="A522">
        <v>62</v>
      </c>
      <c r="B522" t="s">
        <v>12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  <c r="L522" t="str">
        <f>IF(Table1[[#This Row],[is_patient]]=1, " Patient","Not Patient")</f>
        <v xml:space="preserve"> Patient</v>
      </c>
    </row>
    <row r="523" spans="1:12" x14ac:dyDescent="0.3">
      <c r="A523">
        <v>55</v>
      </c>
      <c r="B523" t="s">
        <v>12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  <c r="L523" t="str">
        <f>IF(Table1[[#This Row],[is_patient]]=1, " Patient","Not Patient")</f>
        <v xml:space="preserve"> Patient</v>
      </c>
    </row>
    <row r="524" spans="1:12" x14ac:dyDescent="0.3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  <c r="L524" t="str">
        <f>IF(Table1[[#This Row],[is_patient]]=1, " Patient","Not Patient")</f>
        <v xml:space="preserve"> Patient</v>
      </c>
    </row>
    <row r="525" spans="1:12" x14ac:dyDescent="0.3">
      <c r="A525">
        <v>50</v>
      </c>
      <c r="B525" t="s">
        <v>12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>
        <v>1</v>
      </c>
      <c r="L525" t="str">
        <f>IF(Table1[[#This Row],[is_patient]]=1, " Patient","Not Patient")</f>
        <v xml:space="preserve"> Patient</v>
      </c>
    </row>
    <row r="526" spans="1:12" x14ac:dyDescent="0.3">
      <c r="A526">
        <v>29</v>
      </c>
      <c r="B526" t="s">
        <v>12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>
        <v>2</v>
      </c>
      <c r="L526" t="str">
        <f>IF(Table1[[#This Row],[is_patient]]=1, " Patient","Not Patient")</f>
        <v>Not Patient</v>
      </c>
    </row>
    <row r="527" spans="1:12" x14ac:dyDescent="0.3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  <c r="L527" t="str">
        <f>IF(Table1[[#This Row],[is_patient]]=1, " Patient","Not Patient")</f>
        <v>Not Patient</v>
      </c>
    </row>
    <row r="528" spans="1:12" x14ac:dyDescent="0.3">
      <c r="A528">
        <v>46</v>
      </c>
      <c r="B528" t="s">
        <v>12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  <c r="L528" t="str">
        <f>IF(Table1[[#This Row],[is_patient]]=1, " Patient","Not Patient")</f>
        <v xml:space="preserve"> Patient</v>
      </c>
    </row>
    <row r="529" spans="1:12" x14ac:dyDescent="0.3">
      <c r="A529">
        <v>40</v>
      </c>
      <c r="B529" t="s">
        <v>12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  <c r="L529" t="str">
        <f>IF(Table1[[#This Row],[is_patient]]=1, " Patient","Not Patient")</f>
        <v xml:space="preserve"> Patient</v>
      </c>
    </row>
    <row r="530" spans="1:12" x14ac:dyDescent="0.3">
      <c r="A530">
        <v>45</v>
      </c>
      <c r="B530" t="s">
        <v>12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  <c r="L530" t="str">
        <f>IF(Table1[[#This Row],[is_patient]]=1, " Patient","Not Patient")</f>
        <v xml:space="preserve"> Patient</v>
      </c>
    </row>
    <row r="531" spans="1:12" x14ac:dyDescent="0.3">
      <c r="A531">
        <v>55</v>
      </c>
      <c r="B531" t="s">
        <v>12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>
        <v>1</v>
      </c>
      <c r="L531" t="str">
        <f>IF(Table1[[#This Row],[is_patient]]=1, " Patient","Not Patient")</f>
        <v xml:space="preserve"> Patient</v>
      </c>
    </row>
    <row r="532" spans="1:12" x14ac:dyDescent="0.3">
      <c r="A532">
        <v>22</v>
      </c>
      <c r="B532" t="s">
        <v>11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>
        <v>2</v>
      </c>
      <c r="L532" t="str">
        <f>IF(Table1[[#This Row],[is_patient]]=1, " Patient","Not Patient")</f>
        <v>Not Patient</v>
      </c>
    </row>
    <row r="533" spans="1:12" x14ac:dyDescent="0.3">
      <c r="A533">
        <v>40</v>
      </c>
      <c r="B533" t="s">
        <v>12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  <c r="L533" t="str">
        <f>IF(Table1[[#This Row],[is_patient]]=1, " Patient","Not Patient")</f>
        <v xml:space="preserve"> Patient</v>
      </c>
    </row>
    <row r="534" spans="1:12" x14ac:dyDescent="0.3">
      <c r="A534">
        <v>62</v>
      </c>
      <c r="B534" t="s">
        <v>12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>
        <v>2</v>
      </c>
      <c r="L534" t="str">
        <f>IF(Table1[[#This Row],[is_patient]]=1, " Patient","Not Patient")</f>
        <v>Not Patient</v>
      </c>
    </row>
    <row r="535" spans="1:12" x14ac:dyDescent="0.3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  <c r="L535" t="str">
        <f>IF(Table1[[#This Row],[is_patient]]=1, " Patient","Not Patient")</f>
        <v xml:space="preserve"> Patient</v>
      </c>
    </row>
    <row r="536" spans="1:12" x14ac:dyDescent="0.3">
      <c r="A536">
        <v>39</v>
      </c>
      <c r="B536" t="s">
        <v>12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  <c r="L536" t="str">
        <f>IF(Table1[[#This Row],[is_patient]]=1, " Patient","Not Patient")</f>
        <v>Not Patient</v>
      </c>
    </row>
    <row r="537" spans="1:12" x14ac:dyDescent="0.3">
      <c r="A537">
        <v>60</v>
      </c>
      <c r="B537" t="s">
        <v>12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  <c r="L537" t="str">
        <f>IF(Table1[[#This Row],[is_patient]]=1, " Patient","Not Patient")</f>
        <v xml:space="preserve"> Patient</v>
      </c>
    </row>
    <row r="538" spans="1:12" x14ac:dyDescent="0.3">
      <c r="A538">
        <v>46</v>
      </c>
      <c r="B538" t="s">
        <v>12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  <c r="L538" t="str">
        <f>IF(Table1[[#This Row],[is_patient]]=1, " Patient","Not Patient")</f>
        <v xml:space="preserve"> Patient</v>
      </c>
    </row>
    <row r="539" spans="1:12" x14ac:dyDescent="0.3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  <c r="L539" t="str">
        <f>IF(Table1[[#This Row],[is_patient]]=1, " Patient","Not Patient")</f>
        <v xml:space="preserve"> Patient</v>
      </c>
    </row>
    <row r="540" spans="1:12" x14ac:dyDescent="0.3">
      <c r="A540">
        <v>52</v>
      </c>
      <c r="B540" t="s">
        <v>12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  <c r="L540" t="str">
        <f>IF(Table1[[#This Row],[is_patient]]=1, " Patient","Not Patient")</f>
        <v xml:space="preserve"> Patient</v>
      </c>
    </row>
    <row r="541" spans="1:12" x14ac:dyDescent="0.3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  <c r="L541" t="str">
        <f>IF(Table1[[#This Row],[is_patient]]=1, " Patient","Not Patient")</f>
        <v>Not Patient</v>
      </c>
    </row>
    <row r="542" spans="1:12" x14ac:dyDescent="0.3">
      <c r="A542">
        <v>42</v>
      </c>
      <c r="B542" t="s">
        <v>12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  <c r="L542" t="str">
        <f>IF(Table1[[#This Row],[is_patient]]=1, " Patient","Not Patient")</f>
        <v>Not Patient</v>
      </c>
    </row>
    <row r="543" spans="1:12" x14ac:dyDescent="0.3">
      <c r="A543">
        <v>42</v>
      </c>
      <c r="B543" t="s">
        <v>12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  <c r="L543" t="str">
        <f>IF(Table1[[#This Row],[is_patient]]=1, " Patient","Not Patient")</f>
        <v>Not Patient</v>
      </c>
    </row>
    <row r="544" spans="1:12" x14ac:dyDescent="0.3">
      <c r="A544">
        <v>62</v>
      </c>
      <c r="B544" t="s">
        <v>12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>
        <v>2</v>
      </c>
      <c r="L544" t="str">
        <f>IF(Table1[[#This Row],[is_patient]]=1, " Patient","Not Patient")</f>
        <v>Not Patient</v>
      </c>
    </row>
    <row r="545" spans="1:12" x14ac:dyDescent="0.3">
      <c r="A545">
        <v>40</v>
      </c>
      <c r="B545" t="s">
        <v>12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>
        <v>1</v>
      </c>
      <c r="L545" t="str">
        <f>IF(Table1[[#This Row],[is_patient]]=1, " Patient","Not Patient")</f>
        <v xml:space="preserve"> Patient</v>
      </c>
    </row>
    <row r="546" spans="1:12" x14ac:dyDescent="0.3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  <c r="L546" t="str">
        <f>IF(Table1[[#This Row],[is_patient]]=1, " Patient","Not Patient")</f>
        <v xml:space="preserve"> Patient</v>
      </c>
    </row>
    <row r="547" spans="1:12" x14ac:dyDescent="0.3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>
        <v>2</v>
      </c>
      <c r="L547" t="str">
        <f>IF(Table1[[#This Row],[is_patient]]=1, " Patient","Not Patient")</f>
        <v>Not Patient</v>
      </c>
    </row>
    <row r="548" spans="1:12" x14ac:dyDescent="0.3">
      <c r="A548">
        <v>45</v>
      </c>
      <c r="B548" t="s">
        <v>12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J548">
        <v>0.7</v>
      </c>
      <c r="K548">
        <v>1</v>
      </c>
      <c r="L548" t="str">
        <f>IF(Table1[[#This Row],[is_patient]]=1, " Patient","Not Patient")</f>
        <v xml:space="preserve"> Patient</v>
      </c>
    </row>
    <row r="549" spans="1:12" x14ac:dyDescent="0.3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>
        <v>1</v>
      </c>
      <c r="L549" t="str">
        <f>IF(Table1[[#This Row],[is_patient]]=1, " Patient","Not Patient")</f>
        <v xml:space="preserve"> Patient</v>
      </c>
    </row>
    <row r="550" spans="1:12" x14ac:dyDescent="0.3">
      <c r="A550">
        <v>42</v>
      </c>
      <c r="B550" t="s">
        <v>12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  <c r="L550" t="str">
        <f>IF(Table1[[#This Row],[is_patient]]=1, " Patient","Not Patient")</f>
        <v xml:space="preserve"> Patient</v>
      </c>
    </row>
    <row r="551" spans="1:12" x14ac:dyDescent="0.3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>
        <v>1</v>
      </c>
      <c r="L551" t="str">
        <f>IF(Table1[[#This Row],[is_patient]]=1, " Patient","Not Patient")</f>
        <v xml:space="preserve"> Patient</v>
      </c>
    </row>
    <row r="552" spans="1:12" x14ac:dyDescent="0.3">
      <c r="A552">
        <v>46</v>
      </c>
      <c r="B552" t="s">
        <v>12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  <c r="L552" t="str">
        <f>IF(Table1[[#This Row],[is_patient]]=1, " Patient","Not Patient")</f>
        <v xml:space="preserve"> Patient</v>
      </c>
    </row>
    <row r="553" spans="1:12" x14ac:dyDescent="0.3">
      <c r="A553">
        <v>29</v>
      </c>
      <c r="B553" t="s">
        <v>12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  <c r="L553" t="str">
        <f>IF(Table1[[#This Row],[is_patient]]=1, " Patient","Not Patient")</f>
        <v>Not Patient</v>
      </c>
    </row>
    <row r="554" spans="1:12" x14ac:dyDescent="0.3">
      <c r="A554">
        <v>45</v>
      </c>
      <c r="B554" t="s">
        <v>12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  <c r="L554" t="str">
        <f>IF(Table1[[#This Row],[is_patient]]=1, " Patient","Not Patient")</f>
        <v xml:space="preserve"> Patient</v>
      </c>
    </row>
    <row r="555" spans="1:12" x14ac:dyDescent="0.3">
      <c r="A555">
        <v>46</v>
      </c>
      <c r="B555" t="s">
        <v>12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  <c r="L555" t="str">
        <f>IF(Table1[[#This Row],[is_patient]]=1, " Patient","Not Patient")</f>
        <v xml:space="preserve"> Patient</v>
      </c>
    </row>
    <row r="556" spans="1:12" x14ac:dyDescent="0.3">
      <c r="A556">
        <v>73</v>
      </c>
      <c r="B556" t="s">
        <v>12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  <c r="L556" t="str">
        <f>IF(Table1[[#This Row],[is_patient]]=1, " Patient","Not Patient")</f>
        <v xml:space="preserve"> Patient</v>
      </c>
    </row>
    <row r="557" spans="1:12" x14ac:dyDescent="0.3">
      <c r="A557">
        <v>55</v>
      </c>
      <c r="B557" t="s">
        <v>12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  <c r="L557" t="str">
        <f>IF(Table1[[#This Row],[is_patient]]=1, " Patient","Not Patient")</f>
        <v xml:space="preserve"> Patient</v>
      </c>
    </row>
    <row r="558" spans="1:12" x14ac:dyDescent="0.3">
      <c r="A558">
        <v>51</v>
      </c>
      <c r="B558" t="s">
        <v>12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  <c r="L558" t="str">
        <f>IF(Table1[[#This Row],[is_patient]]=1, " Patient","Not Patient")</f>
        <v xml:space="preserve"> Patient</v>
      </c>
    </row>
    <row r="559" spans="1:12" x14ac:dyDescent="0.3">
      <c r="A559">
        <v>51</v>
      </c>
      <c r="B559" t="s">
        <v>12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  <c r="L559" t="str">
        <f>IF(Table1[[#This Row],[is_patient]]=1, " Patient","Not Patient")</f>
        <v xml:space="preserve"> Patient</v>
      </c>
    </row>
    <row r="560" spans="1:12" x14ac:dyDescent="0.3">
      <c r="A560">
        <v>51</v>
      </c>
      <c r="B560" t="s">
        <v>12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>
        <v>1</v>
      </c>
      <c r="L560" t="str">
        <f>IF(Table1[[#This Row],[is_patient]]=1, " Patient","Not Patient")</f>
        <v xml:space="preserve"> Patient</v>
      </c>
    </row>
    <row r="561" spans="1:12" x14ac:dyDescent="0.3">
      <c r="A561">
        <v>26</v>
      </c>
      <c r="B561" t="s">
        <v>12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  <c r="L561" t="str">
        <f>IF(Table1[[#This Row],[is_patient]]=1, " Patient","Not Patient")</f>
        <v xml:space="preserve"> Patient</v>
      </c>
    </row>
    <row r="562" spans="1:12" x14ac:dyDescent="0.3">
      <c r="A562">
        <v>66</v>
      </c>
      <c r="B562" t="s">
        <v>12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>
        <v>1</v>
      </c>
      <c r="L562" t="str">
        <f>IF(Table1[[#This Row],[is_patient]]=1, " Patient","Not Patient")</f>
        <v xml:space="preserve"> Patient</v>
      </c>
    </row>
    <row r="563" spans="1:12" x14ac:dyDescent="0.3">
      <c r="A563">
        <v>66</v>
      </c>
      <c r="B563" t="s">
        <v>12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  <c r="L563" t="str">
        <f>IF(Table1[[#This Row],[is_patient]]=1, " Patient","Not Patient")</f>
        <v xml:space="preserve"> Patient</v>
      </c>
    </row>
    <row r="564" spans="1:12" x14ac:dyDescent="0.3">
      <c r="A564">
        <v>66</v>
      </c>
      <c r="B564" t="s">
        <v>12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  <c r="L564" t="str">
        <f>IF(Table1[[#This Row],[is_patient]]=1, " Patient","Not Patient")</f>
        <v xml:space="preserve"> Patient</v>
      </c>
    </row>
    <row r="565" spans="1:12" x14ac:dyDescent="0.3">
      <c r="A565">
        <v>64</v>
      </c>
      <c r="B565" t="s">
        <v>12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  <c r="L565" t="str">
        <f>IF(Table1[[#This Row],[is_patient]]=1, " Patient","Not Patient")</f>
        <v xml:space="preserve"> Patient</v>
      </c>
    </row>
    <row r="566" spans="1:12" x14ac:dyDescent="0.3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  <c r="L566" t="str">
        <f>IF(Table1[[#This Row],[is_patient]]=1, " Patient","Not Patient")</f>
        <v>Not Patient</v>
      </c>
    </row>
    <row r="567" spans="1:12" x14ac:dyDescent="0.3">
      <c r="A567">
        <v>43</v>
      </c>
      <c r="B567" t="s">
        <v>12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  <c r="L567" t="str">
        <f>IF(Table1[[#This Row],[is_patient]]=1, " Patient","Not Patient")</f>
        <v xml:space="preserve"> Patient</v>
      </c>
    </row>
    <row r="568" spans="1:12" x14ac:dyDescent="0.3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  <c r="L568" t="str">
        <f>IF(Table1[[#This Row],[is_patient]]=1, " Patient","Not Patient")</f>
        <v>Not Patient</v>
      </c>
    </row>
    <row r="569" spans="1:12" x14ac:dyDescent="0.3">
      <c r="A569">
        <v>52</v>
      </c>
      <c r="B569" t="s">
        <v>12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  <c r="L569" t="str">
        <f>IF(Table1[[#This Row],[is_patient]]=1, " Patient","Not Patient")</f>
        <v xml:space="preserve"> Patient</v>
      </c>
    </row>
    <row r="570" spans="1:12" x14ac:dyDescent="0.3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  <c r="L570" t="str">
        <f>IF(Table1[[#This Row],[is_patient]]=1, " Patient","Not Patient")</f>
        <v xml:space="preserve"> Patient</v>
      </c>
    </row>
    <row r="571" spans="1:12" x14ac:dyDescent="0.3">
      <c r="A571">
        <v>16</v>
      </c>
      <c r="B571" t="s">
        <v>12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  <c r="L571" t="str">
        <f>IF(Table1[[#This Row],[is_patient]]=1, " Patient","Not Patient")</f>
        <v xml:space="preserve"> Patient</v>
      </c>
    </row>
    <row r="572" spans="1:12" x14ac:dyDescent="0.3">
      <c r="A572">
        <v>16</v>
      </c>
      <c r="B572" t="s">
        <v>12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  <c r="L572" t="str">
        <f>IF(Table1[[#This Row],[is_patient]]=1, " Patient","Not Patient")</f>
        <v xml:space="preserve"> Patient</v>
      </c>
    </row>
    <row r="573" spans="1:12" x14ac:dyDescent="0.3">
      <c r="A573">
        <v>90</v>
      </c>
      <c r="B573" t="s">
        <v>12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  <c r="L573" t="str">
        <f>IF(Table1[[#This Row],[is_patient]]=1, " Patient","Not Patient")</f>
        <v xml:space="preserve"> Patient</v>
      </c>
    </row>
    <row r="574" spans="1:12" x14ac:dyDescent="0.3">
      <c r="A574">
        <v>32</v>
      </c>
      <c r="B574" t="s">
        <v>12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  <c r="L574" t="str">
        <f>IF(Table1[[#This Row],[is_patient]]=1, " Patient","Not Patient")</f>
        <v xml:space="preserve"> Patient</v>
      </c>
    </row>
    <row r="575" spans="1:12" x14ac:dyDescent="0.3">
      <c r="A575">
        <v>32</v>
      </c>
      <c r="B575" t="s">
        <v>12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  <c r="L575" t="str">
        <f>IF(Table1[[#This Row],[is_patient]]=1, " Patient","Not Patient")</f>
        <v xml:space="preserve"> Patient</v>
      </c>
    </row>
    <row r="576" spans="1:12" x14ac:dyDescent="0.3">
      <c r="A576">
        <v>32</v>
      </c>
      <c r="B576" t="s">
        <v>12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  <c r="L576" t="str">
        <f>IF(Table1[[#This Row],[is_patient]]=1, " Patient","Not Patient")</f>
        <v xml:space="preserve"> Patient</v>
      </c>
    </row>
    <row r="577" spans="1:12" x14ac:dyDescent="0.3">
      <c r="A577">
        <v>32</v>
      </c>
      <c r="B577" t="s">
        <v>12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  <c r="L577" t="str">
        <f>IF(Table1[[#This Row],[is_patient]]=1, " Patient","Not Patient")</f>
        <v xml:space="preserve"> Patient</v>
      </c>
    </row>
    <row r="578" spans="1:12" x14ac:dyDescent="0.3">
      <c r="A578">
        <v>32</v>
      </c>
      <c r="B578" t="s">
        <v>12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>
        <v>1</v>
      </c>
      <c r="L578" t="str">
        <f>IF(Table1[[#This Row],[is_patient]]=1, " Patient","Not Patient")</f>
        <v xml:space="preserve"> Patient</v>
      </c>
    </row>
    <row r="579" spans="1:12" x14ac:dyDescent="0.3">
      <c r="A579">
        <v>32</v>
      </c>
      <c r="B579" t="s">
        <v>12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  <c r="L579" t="str">
        <f>IF(Table1[[#This Row],[is_patient]]=1, " Patient","Not Patient")</f>
        <v xml:space="preserve"> Patient</v>
      </c>
    </row>
    <row r="580" spans="1:12" x14ac:dyDescent="0.3">
      <c r="A580">
        <v>60</v>
      </c>
      <c r="B580" t="s">
        <v>12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  <c r="L580" t="str">
        <f>IF(Table1[[#This Row],[is_patient]]=1, " Patient","Not Patient")</f>
        <v>Not Patient</v>
      </c>
    </row>
    <row r="581" spans="1:12" x14ac:dyDescent="0.3">
      <c r="A581">
        <v>40</v>
      </c>
      <c r="B581" t="s">
        <v>12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>
        <v>1</v>
      </c>
      <c r="L581" t="str">
        <f>IF(Table1[[#This Row],[is_patient]]=1, " Patient","Not Patient")</f>
        <v xml:space="preserve"> Patient</v>
      </c>
    </row>
    <row r="582" spans="1:12" x14ac:dyDescent="0.3">
      <c r="A582">
        <v>52</v>
      </c>
      <c r="B582" t="s">
        <v>12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  <c r="L582" t="str">
        <f>IF(Table1[[#This Row],[is_patient]]=1, " Patient","Not Patient")</f>
        <v xml:space="preserve"> Patient</v>
      </c>
    </row>
    <row r="583" spans="1:12" x14ac:dyDescent="0.3">
      <c r="A583">
        <v>31</v>
      </c>
      <c r="B583" t="s">
        <v>12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  <c r="L583" t="str">
        <f>IF(Table1[[#This Row],[is_patient]]=1, " Patient","Not Patient")</f>
        <v xml:space="preserve"> Patient</v>
      </c>
    </row>
    <row r="584" spans="1:12" x14ac:dyDescent="0.3">
      <c r="A584">
        <v>38</v>
      </c>
      <c r="B584" t="s">
        <v>12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>
        <v>2</v>
      </c>
      <c r="L584" t="str">
        <f>IF(Table1[[#This Row],[is_patient]]=1, " Patient","Not Patient")</f>
        <v>Not Patient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3CFF-377F-4530-B1BA-7F7F69030F9A}">
  <dimension ref="A7:Z47"/>
  <sheetViews>
    <sheetView tabSelected="1" topLeftCell="A39" zoomScale="76" zoomScaleNormal="67" workbookViewId="0">
      <selection activeCell="P12" sqref="P12:R14"/>
    </sheetView>
  </sheetViews>
  <sheetFormatPr defaultRowHeight="14.4" x14ac:dyDescent="0.3"/>
  <cols>
    <col min="3" max="3" width="14.33203125" bestFit="1" customWidth="1"/>
    <col min="4" max="4" width="17.5546875" bestFit="1" customWidth="1"/>
    <col min="5" max="5" width="17.88671875" bestFit="1" customWidth="1"/>
    <col min="6" max="6" width="12" bestFit="1" customWidth="1"/>
    <col min="7" max="7" width="17.88671875" bestFit="1" customWidth="1"/>
    <col min="8" max="8" width="16.88671875" bestFit="1" customWidth="1"/>
    <col min="9" max="9" width="22.77734375" bestFit="1" customWidth="1"/>
    <col min="17" max="17" width="13.6640625" bestFit="1" customWidth="1"/>
    <col min="18" max="18" width="10.21875" bestFit="1" customWidth="1"/>
    <col min="19" max="19" width="9.88671875" bestFit="1" customWidth="1"/>
    <col min="20" max="20" width="21.5546875" bestFit="1" customWidth="1"/>
    <col min="21" max="22" width="14.33203125" bestFit="1" customWidth="1"/>
    <col min="23" max="23" width="13.33203125" bestFit="1" customWidth="1"/>
    <col min="24" max="28" width="20.21875" bestFit="1" customWidth="1"/>
    <col min="29" max="29" width="17.33203125" bestFit="1" customWidth="1"/>
    <col min="30" max="30" width="14" bestFit="1" customWidth="1"/>
    <col min="31" max="31" width="13.6640625" bestFit="1" customWidth="1"/>
    <col min="32" max="32" width="24.77734375" bestFit="1" customWidth="1"/>
    <col min="33" max="33" width="18" bestFit="1" customWidth="1"/>
    <col min="34" max="34" width="17.88671875" bestFit="1" customWidth="1"/>
  </cols>
  <sheetData>
    <row r="7" spans="3:25" x14ac:dyDescent="0.3">
      <c r="C7" s="1" t="s">
        <v>16</v>
      </c>
      <c r="D7" s="1" t="s">
        <v>20</v>
      </c>
    </row>
    <row r="8" spans="3:25" x14ac:dyDescent="0.3">
      <c r="C8" s="1" t="s">
        <v>14</v>
      </c>
      <c r="D8" t="s">
        <v>18</v>
      </c>
      <c r="E8" t="s">
        <v>19</v>
      </c>
      <c r="F8" t="s">
        <v>15</v>
      </c>
    </row>
    <row r="9" spans="3:25" x14ac:dyDescent="0.3">
      <c r="C9" s="2" t="s">
        <v>11</v>
      </c>
      <c r="D9" s="3">
        <v>92</v>
      </c>
      <c r="E9" s="3">
        <v>50</v>
      </c>
      <c r="F9" s="3">
        <v>142</v>
      </c>
    </row>
    <row r="10" spans="3:25" x14ac:dyDescent="0.3">
      <c r="C10" s="2" t="s">
        <v>12</v>
      </c>
      <c r="D10" s="3">
        <v>324</v>
      </c>
      <c r="E10" s="3">
        <v>117</v>
      </c>
      <c r="F10" s="3">
        <v>441</v>
      </c>
    </row>
    <row r="11" spans="3:25" x14ac:dyDescent="0.3">
      <c r="C11" s="2" t="s">
        <v>15</v>
      </c>
      <c r="D11" s="3">
        <v>416</v>
      </c>
      <c r="E11" s="3">
        <v>167</v>
      </c>
      <c r="F11" s="3">
        <v>583</v>
      </c>
    </row>
    <row r="12" spans="3:25" x14ac:dyDescent="0.3">
      <c r="P12" s="4" t="s">
        <v>21</v>
      </c>
      <c r="Q12" s="4"/>
      <c r="R12" s="4"/>
      <c r="T12" s="4" t="s">
        <v>22</v>
      </c>
      <c r="U12" s="4"/>
      <c r="V12" s="4"/>
      <c r="X12" s="4" t="s">
        <v>23</v>
      </c>
      <c r="Y12" s="4"/>
    </row>
    <row r="13" spans="3:25" x14ac:dyDescent="0.3">
      <c r="P13" s="4">
        <f>GETPIVOTDATA("gender",$C$7)</f>
        <v>583</v>
      </c>
      <c r="Q13" s="4"/>
      <c r="R13" s="4"/>
      <c r="T13" s="4">
        <f>GETPIVOTDATA("gender",$C$7,"Is_patient_true"," Patient")</f>
        <v>416</v>
      </c>
      <c r="U13" s="4"/>
      <c r="V13" s="4"/>
      <c r="X13" s="4">
        <f>GETPIVOTDATA("gender",$C$7,"Is_patient_true","Not Patient")</f>
        <v>167</v>
      </c>
      <c r="Y13" s="4"/>
    </row>
    <row r="14" spans="3:25" x14ac:dyDescent="0.3">
      <c r="P14" s="4"/>
      <c r="Q14" s="4"/>
      <c r="R14" s="4"/>
      <c r="T14" s="4"/>
      <c r="U14" s="4"/>
      <c r="V14" s="4"/>
      <c r="X14" s="4"/>
      <c r="Y14" s="4"/>
    </row>
    <row r="17" spans="3:26" x14ac:dyDescent="0.3">
      <c r="C17" t="s">
        <v>34</v>
      </c>
    </row>
    <row r="24" spans="3:26" x14ac:dyDescent="0.3">
      <c r="C24" s="1" t="s">
        <v>14</v>
      </c>
      <c r="D24" t="s">
        <v>24</v>
      </c>
    </row>
    <row r="25" spans="3:26" x14ac:dyDescent="0.3">
      <c r="C25" s="2" t="s">
        <v>18</v>
      </c>
      <c r="D25" s="3">
        <v>46.153846153846153</v>
      </c>
    </row>
    <row r="26" spans="3:26" x14ac:dyDescent="0.3">
      <c r="C26" s="2" t="s">
        <v>19</v>
      </c>
      <c r="D26" s="3">
        <v>41.23952095808383</v>
      </c>
    </row>
    <row r="28" spans="3:26" x14ac:dyDescent="0.3">
      <c r="U28" s="5" t="s">
        <v>24</v>
      </c>
      <c r="V28" s="5" t="s">
        <v>25</v>
      </c>
      <c r="W28" s="5" t="s">
        <v>26</v>
      </c>
      <c r="X28" s="5" t="s">
        <v>27</v>
      </c>
      <c r="Y28" s="5" t="s">
        <v>28</v>
      </c>
      <c r="Z28" s="5" t="s">
        <v>29</v>
      </c>
    </row>
    <row r="29" spans="3:26" x14ac:dyDescent="0.3">
      <c r="U29" s="6">
        <v>44.746140651801028</v>
      </c>
      <c r="V29" s="6">
        <v>90</v>
      </c>
      <c r="W29" s="6">
        <v>4</v>
      </c>
      <c r="X29" s="6">
        <v>3.2987993138936522</v>
      </c>
      <c r="Y29" s="6">
        <v>6.4831903945111513</v>
      </c>
      <c r="Z29" s="6">
        <v>3.1418524871355098</v>
      </c>
    </row>
    <row r="32" spans="3:26" x14ac:dyDescent="0.3">
      <c r="C32" s="1" t="s">
        <v>14</v>
      </c>
      <c r="D32" t="s">
        <v>27</v>
      </c>
    </row>
    <row r="33" spans="1:7" x14ac:dyDescent="0.3">
      <c r="C33" s="2" t="s">
        <v>18</v>
      </c>
      <c r="D33" s="3">
        <v>4.1644230769230752</v>
      </c>
    </row>
    <row r="34" spans="1:7" x14ac:dyDescent="0.3">
      <c r="C34" s="2" t="s">
        <v>19</v>
      </c>
      <c r="D34" s="3">
        <v>1.1425149700598793</v>
      </c>
    </row>
    <row r="42" spans="1:7" x14ac:dyDescent="0.3">
      <c r="B42" s="1" t="s">
        <v>20</v>
      </c>
    </row>
    <row r="43" spans="1:7" x14ac:dyDescent="0.3">
      <c r="B43" t="s">
        <v>18</v>
      </c>
      <c r="D43" t="s">
        <v>19</v>
      </c>
      <c r="F43" t="s">
        <v>35</v>
      </c>
      <c r="G43" t="s">
        <v>36</v>
      </c>
    </row>
    <row r="44" spans="1:7" x14ac:dyDescent="0.3">
      <c r="A44" s="1" t="s">
        <v>14</v>
      </c>
      <c r="B44" t="s">
        <v>30</v>
      </c>
      <c r="C44" t="s">
        <v>37</v>
      </c>
      <c r="D44" t="s">
        <v>30</v>
      </c>
      <c r="E44" t="s">
        <v>37</v>
      </c>
    </row>
    <row r="45" spans="1:7" x14ac:dyDescent="0.3">
      <c r="A45" s="2" t="s">
        <v>31</v>
      </c>
      <c r="B45" s="3">
        <v>57</v>
      </c>
      <c r="C45" s="3">
        <v>89.122807017543863</v>
      </c>
      <c r="D45" s="3">
        <v>48</v>
      </c>
      <c r="E45" s="3">
        <v>32.875</v>
      </c>
      <c r="F45" s="3">
        <v>105</v>
      </c>
      <c r="G45" s="3">
        <v>63.409523809523812</v>
      </c>
    </row>
    <row r="46" spans="1:7" x14ac:dyDescent="0.3">
      <c r="A46" s="2" t="s">
        <v>32</v>
      </c>
      <c r="B46" s="3">
        <v>201</v>
      </c>
      <c r="C46" s="3">
        <v>126.87562189054727</v>
      </c>
      <c r="D46" s="3">
        <v>70</v>
      </c>
      <c r="E46" s="3">
        <v>37.657142857142858</v>
      </c>
      <c r="F46" s="3">
        <v>271</v>
      </c>
      <c r="G46" s="3">
        <v>103.83025830258302</v>
      </c>
    </row>
    <row r="47" spans="1:7" x14ac:dyDescent="0.3">
      <c r="A47" s="2" t="s">
        <v>33</v>
      </c>
      <c r="B47" s="3">
        <v>158</v>
      </c>
      <c r="C47" s="3">
        <v>68.696202531645568</v>
      </c>
      <c r="D47" s="3">
        <v>49</v>
      </c>
      <c r="E47" s="3">
        <v>28.693877551020407</v>
      </c>
      <c r="F47" s="3">
        <v>207</v>
      </c>
      <c r="G47" s="3">
        <v>59.227053140096615</v>
      </c>
    </row>
  </sheetData>
  <mergeCells count="6">
    <mergeCell ref="X12:Y12"/>
    <mergeCell ref="X13:Y14"/>
    <mergeCell ref="P12:R12"/>
    <mergeCell ref="P13:R14"/>
    <mergeCell ref="T12:V12"/>
    <mergeCell ref="T13:V14"/>
  </mergeCell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Liver Patient Dataset (I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mishra</cp:lastModifiedBy>
  <dcterms:created xsi:type="dcterms:W3CDTF">2026-08-14T09:50:47Z</dcterms:created>
  <dcterms:modified xsi:type="dcterms:W3CDTF">2026-08-14T11:02:42Z</dcterms:modified>
</cp:coreProperties>
</file>