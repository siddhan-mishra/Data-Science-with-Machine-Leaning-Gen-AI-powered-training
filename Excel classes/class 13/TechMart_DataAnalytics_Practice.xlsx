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91943\Downloads\Upgrad classes\class 13\"/>
    </mc:Choice>
  </mc:AlternateContent>
  <xr:revisionPtr revIDLastSave="0" documentId="13_ncr:1_{FF43D408-28E6-47DF-B83B-70FB5DA840A6}" xr6:coauthVersionLast="47" xr6:coauthVersionMax="47" xr10:uidLastSave="{00000000-0000-0000-0000-000000000000}"/>
  <bookViews>
    <workbookView xWindow="-108" yWindow="-108" windowWidth="23256" windowHeight="13176" tabRatio="500" activeTab="1" xr2:uid="{00000000-000D-0000-FFFF-FFFF00000000}"/>
  </bookViews>
  <sheets>
    <sheet name="Sheet1_Questions" sheetId="2" r:id="rId1"/>
    <sheet name="Sheet2_RawData" sheetId="1" r:id="rId2"/>
  </sheets>
  <definedNames>
    <definedName name="_xlnm._FilterDatabase" localSheetId="1" hidden="1">Sheet2_RawData!$A$1:$N$313</definedName>
  </definedNames>
  <calcPr calcId="191029"/>
  <extLst>
    <ext xmlns:loext="http://schemas.libreoffice.org/" uri="{7626C862-2A13-11E5-B345-FEFF819CDC9F}">
      <loext:extCalcPr stringRefSyntax="ExcelA1"/>
    </ext>
  </extLst>
</workbook>
</file>

<file path=xl/calcChain.xml><?xml version="1.0" encoding="utf-8"?>
<calcChain xmlns="http://schemas.openxmlformats.org/spreadsheetml/2006/main">
  <c r="P3" i="1" l="1"/>
  <c r="N3" i="1"/>
  <c r="N4" i="1"/>
  <c r="N5" i="1"/>
  <c r="N6" i="1"/>
  <c r="N7" i="1"/>
  <c r="N8" i="1"/>
  <c r="N9" i="1"/>
  <c r="N10" i="1"/>
  <c r="N11" i="1"/>
  <c r="N12" i="1"/>
  <c r="N13" i="1"/>
  <c r="N14" i="1"/>
  <c r="N15" i="1"/>
  <c r="N16" i="1"/>
  <c r="N17" i="1"/>
  <c r="N18" i="1"/>
  <c r="N19" i="1"/>
  <c r="N20" i="1"/>
  <c r="N21" i="1"/>
  <c r="N22" i="1"/>
  <c r="N23" i="1"/>
  <c r="N24" i="1"/>
  <c r="N25" i="1"/>
  <c r="N26" i="1"/>
  <c r="P26" i="1" s="1"/>
  <c r="N27" i="1"/>
  <c r="N28" i="1"/>
  <c r="N29" i="1"/>
  <c r="N30" i="1"/>
  <c r="P30" i="1" s="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P62" i="1" s="1"/>
  <c r="N63" i="1"/>
  <c r="N64" i="1"/>
  <c r="N65" i="1"/>
  <c r="N66" i="1"/>
  <c r="N67" i="1"/>
  <c r="N68" i="1"/>
  <c r="N69" i="1"/>
  <c r="N70" i="1"/>
  <c r="N71" i="1"/>
  <c r="N72" i="1"/>
  <c r="N73" i="1"/>
  <c r="N74" i="1"/>
  <c r="N75" i="1"/>
  <c r="N76" i="1"/>
  <c r="N77" i="1"/>
  <c r="N78" i="1"/>
  <c r="N79" i="1"/>
  <c r="N80" i="1"/>
  <c r="N81" i="1"/>
  <c r="N82" i="1"/>
  <c r="P82" i="1" s="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P230" i="1" s="1"/>
  <c r="N231" i="1"/>
  <c r="N232" i="1"/>
  <c r="N233" i="1"/>
  <c r="N234" i="1"/>
  <c r="N235" i="1"/>
  <c r="N236" i="1"/>
  <c r="N237" i="1"/>
  <c r="N238" i="1"/>
  <c r="N239" i="1"/>
  <c r="N240" i="1"/>
  <c r="N241" i="1"/>
  <c r="N242" i="1"/>
  <c r="N243" i="1"/>
  <c r="N244" i="1"/>
  <c r="N245" i="1"/>
  <c r="N246" i="1"/>
  <c r="N247" i="1"/>
  <c r="N248" i="1"/>
  <c r="N249" i="1"/>
  <c r="N250" i="1"/>
  <c r="P250" i="1" s="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P294" i="1" s="1"/>
  <c r="N295" i="1"/>
  <c r="N296" i="1"/>
  <c r="N297" i="1"/>
  <c r="N298" i="1"/>
  <c r="N299" i="1"/>
  <c r="N300" i="1"/>
  <c r="N301" i="1"/>
  <c r="N302" i="1"/>
  <c r="N303" i="1"/>
  <c r="N304" i="1"/>
  <c r="N305" i="1"/>
  <c r="N306" i="1"/>
  <c r="N307" i="1"/>
  <c r="N308" i="1"/>
  <c r="N309" i="1"/>
  <c r="N310" i="1"/>
  <c r="N311" i="1"/>
  <c r="N312" i="1"/>
  <c r="N313"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P235" i="1"/>
  <c r="P263" i="1"/>
  <c r="O2" i="1"/>
  <c r="N2" i="1"/>
  <c r="P313" i="1"/>
  <c r="P277" i="1"/>
  <c r="P215" i="1"/>
  <c r="P191" i="1"/>
  <c r="P171" i="1"/>
  <c r="P156" i="1"/>
  <c r="P147" i="1"/>
  <c r="P117" i="1"/>
  <c r="P107" i="1"/>
  <c r="P52" i="1"/>
  <c r="P31" i="1"/>
  <c r="P25" i="1"/>
  <c r="P13" i="1"/>
  <c r="P307" i="1"/>
  <c r="P300" i="1"/>
  <c r="P276" i="1"/>
  <c r="P272" i="1"/>
  <c r="P245" i="1"/>
  <c r="P244" i="1"/>
  <c r="P220" i="1"/>
  <c r="P216" i="1"/>
  <c r="P205" i="1"/>
  <c r="P192" i="1"/>
  <c r="P188" i="1"/>
  <c r="P185" i="1"/>
  <c r="P184" i="1"/>
  <c r="P177" i="1"/>
  <c r="P176" i="1"/>
  <c r="P173" i="1"/>
  <c r="P163" i="1"/>
  <c r="P157" i="1"/>
  <c r="P153" i="1"/>
  <c r="P148" i="1"/>
  <c r="P142" i="1"/>
  <c r="P136" i="1"/>
  <c r="P127" i="1"/>
  <c r="P121" i="1"/>
  <c r="P119" i="1"/>
  <c r="P115" i="1"/>
  <c r="P104" i="1"/>
  <c r="P73" i="1"/>
  <c r="P71" i="1"/>
  <c r="P59" i="1"/>
  <c r="P56" i="1"/>
  <c r="P51" i="1"/>
  <c r="P37" i="1"/>
  <c r="P36" i="1"/>
  <c r="P29" i="1"/>
  <c r="P23" i="1"/>
  <c r="P20" i="1"/>
  <c r="P17" i="1"/>
  <c r="P12" i="1"/>
  <c r="P7" i="1"/>
  <c r="M200" i="1"/>
  <c r="M81" i="1"/>
  <c r="M151" i="1"/>
  <c r="M135" i="1"/>
  <c r="M257" i="1"/>
  <c r="M44" i="1"/>
  <c r="M30" i="1"/>
  <c r="M67" i="1"/>
  <c r="M290" i="1"/>
  <c r="M312" i="1"/>
  <c r="M134" i="1"/>
  <c r="M265" i="1"/>
  <c r="M218" i="1"/>
  <c r="M168" i="1"/>
  <c r="M9" i="1"/>
  <c r="M19" i="1"/>
  <c r="M160" i="1"/>
  <c r="M161" i="1"/>
  <c r="M277" i="1"/>
  <c r="M303" i="1"/>
  <c r="M187" i="1"/>
  <c r="M203" i="1"/>
  <c r="M182" i="1"/>
  <c r="M306" i="1"/>
  <c r="M12" i="1"/>
  <c r="M251" i="1"/>
  <c r="M204" i="1"/>
  <c r="M207" i="1"/>
  <c r="M122" i="1"/>
  <c r="M271" i="1"/>
  <c r="M27" i="1"/>
  <c r="M285" i="1"/>
  <c r="M130" i="1"/>
  <c r="M156" i="1"/>
  <c r="M59" i="1"/>
  <c r="M176" i="1"/>
  <c r="M163" i="1"/>
  <c r="M8" i="1"/>
  <c r="M308" i="1"/>
  <c r="M82" i="1"/>
  <c r="M126" i="1"/>
  <c r="M250" i="1"/>
  <c r="M234" i="1"/>
  <c r="M196" i="1"/>
  <c r="M85" i="1"/>
  <c r="M136" i="1"/>
  <c r="M178" i="1"/>
  <c r="M249" i="1"/>
  <c r="M194" i="1"/>
  <c r="M288" i="1"/>
  <c r="M181" i="1"/>
  <c r="M127" i="1"/>
  <c r="M202" i="1"/>
  <c r="M3" i="1"/>
  <c r="M72" i="1"/>
  <c r="M236" i="1"/>
  <c r="M232" i="1"/>
  <c r="M299" i="1"/>
  <c r="M98" i="1"/>
  <c r="M279" i="1"/>
  <c r="M95" i="1"/>
  <c r="M185" i="1"/>
  <c r="M166" i="1"/>
  <c r="M77" i="1"/>
  <c r="M255" i="1"/>
  <c r="M143" i="1"/>
  <c r="M128" i="1"/>
  <c r="M103" i="1"/>
  <c r="M119" i="1"/>
  <c r="M52" i="1"/>
  <c r="M227" i="1"/>
  <c r="M53" i="1"/>
  <c r="M293" i="1"/>
  <c r="M222" i="1"/>
  <c r="M211" i="1"/>
  <c r="M37" i="1"/>
  <c r="M191" i="1"/>
  <c r="M311" i="1"/>
  <c r="M157" i="1"/>
  <c r="M213" i="1"/>
  <c r="M280" i="1"/>
  <c r="M300" i="1"/>
  <c r="M214" i="1"/>
  <c r="M313" i="1"/>
  <c r="M159" i="1"/>
  <c r="M113" i="1"/>
  <c r="M111" i="1"/>
  <c r="M20" i="1"/>
  <c r="M215" i="1"/>
  <c r="M106" i="1"/>
  <c r="M61" i="1"/>
  <c r="M28" i="1"/>
  <c r="M152" i="1"/>
  <c r="M83" i="1"/>
  <c r="M58" i="1"/>
  <c r="M175" i="1"/>
  <c r="M48" i="1"/>
  <c r="M90" i="1"/>
  <c r="M183" i="1"/>
  <c r="M177" i="1"/>
  <c r="M84" i="1"/>
  <c r="M287" i="1"/>
  <c r="M47" i="1"/>
  <c r="M233" i="1"/>
  <c r="M65" i="1"/>
  <c r="M282" i="1"/>
  <c r="M36" i="1"/>
  <c r="M41" i="1"/>
  <c r="M270" i="1"/>
  <c r="M91" i="1"/>
  <c r="M139" i="1"/>
  <c r="M2" i="1"/>
  <c r="E17" i="2" s="1"/>
  <c r="M256" i="1"/>
  <c r="M242" i="1"/>
  <c r="M292" i="1"/>
  <c r="M283" i="1"/>
  <c r="M79" i="1"/>
  <c r="M15" i="1"/>
  <c r="M229" i="1"/>
  <c r="M266" i="1"/>
  <c r="M220" i="1"/>
  <c r="M63" i="1"/>
  <c r="M142" i="1"/>
  <c r="M158" i="1"/>
  <c r="M173" i="1"/>
  <c r="M125" i="1"/>
  <c r="M69" i="1"/>
  <c r="M54" i="1"/>
  <c r="M118" i="1"/>
  <c r="M76" i="1"/>
  <c r="M246" i="1"/>
  <c r="M167" i="1"/>
  <c r="M131" i="1"/>
  <c r="M267" i="1"/>
  <c r="M101" i="1"/>
  <c r="M268" i="1"/>
  <c r="M239" i="1"/>
  <c r="M258" i="1"/>
  <c r="M254" i="1"/>
  <c r="M26" i="1"/>
  <c r="M305" i="1"/>
  <c r="M39" i="1"/>
  <c r="M33" i="1"/>
  <c r="M87" i="1"/>
  <c r="M120" i="1"/>
  <c r="M274" i="1"/>
  <c r="M273" i="1"/>
  <c r="M38" i="1"/>
  <c r="M35" i="1"/>
  <c r="M71" i="1"/>
  <c r="M5" i="1"/>
  <c r="M307" i="1"/>
  <c r="M241" i="1"/>
  <c r="M66" i="1"/>
  <c r="M298" i="1"/>
  <c r="M145" i="1"/>
  <c r="M64" i="1"/>
  <c r="M104" i="1"/>
  <c r="M260" i="1"/>
  <c r="M150" i="1"/>
  <c r="M278" i="1"/>
  <c r="M112" i="1"/>
  <c r="M88" i="1"/>
  <c r="M276" i="1"/>
  <c r="M281" i="1"/>
  <c r="M264" i="1"/>
  <c r="M286" i="1"/>
  <c r="M171" i="1"/>
  <c r="M102" i="1"/>
  <c r="M224" i="1"/>
  <c r="M7" i="1"/>
  <c r="M57" i="1"/>
  <c r="M291" i="1"/>
  <c r="M201" i="1"/>
  <c r="M140" i="1"/>
  <c r="M208" i="1"/>
  <c r="M133" i="1"/>
  <c r="M210" i="1"/>
  <c r="M78" i="1"/>
  <c r="M294" i="1"/>
  <c r="M148" i="1"/>
  <c r="M172" i="1"/>
  <c r="M115" i="1"/>
  <c r="M55" i="1"/>
  <c r="M23" i="1"/>
  <c r="M212" i="1"/>
  <c r="M269" i="1"/>
  <c r="M297" i="1"/>
  <c r="M73" i="1"/>
  <c r="M21" i="1"/>
  <c r="M245" i="1"/>
  <c r="M34" i="1"/>
  <c r="M165" i="1"/>
  <c r="M217" i="1"/>
  <c r="M238" i="1"/>
  <c r="M263" i="1"/>
  <c r="M40" i="1"/>
  <c r="M51" i="1"/>
  <c r="M137" i="1"/>
  <c r="M110" i="1"/>
  <c r="M226" i="1"/>
  <c r="M192" i="1"/>
  <c r="M198" i="1"/>
  <c r="M86" i="1"/>
  <c r="M247" i="1"/>
  <c r="M22" i="1"/>
  <c r="M197" i="1"/>
  <c r="M93" i="1"/>
  <c r="M189" i="1"/>
  <c r="M107" i="1"/>
  <c r="M188" i="1"/>
  <c r="M275" i="1"/>
  <c r="M252" i="1"/>
  <c r="M50" i="1"/>
  <c r="M32" i="1"/>
  <c r="M162" i="1"/>
  <c r="M235" i="1"/>
  <c r="M74" i="1"/>
  <c r="M75" i="1"/>
  <c r="M116" i="1"/>
  <c r="M170" i="1"/>
  <c r="M124" i="1"/>
  <c r="M174" i="1"/>
  <c r="M56" i="1"/>
  <c r="M96" i="1"/>
  <c r="M209" i="1"/>
  <c r="M109" i="1"/>
  <c r="M261" i="1"/>
  <c r="M262" i="1"/>
  <c r="M296" i="1"/>
  <c r="M253" i="1"/>
  <c r="M146" i="1"/>
  <c r="M301" i="1"/>
  <c r="M129" i="1"/>
  <c r="M94" i="1"/>
  <c r="M24" i="1"/>
  <c r="M302" i="1"/>
  <c r="M243" i="1"/>
  <c r="M121" i="1"/>
  <c r="M237" i="1"/>
  <c r="M132" i="1"/>
  <c r="M18" i="1"/>
  <c r="M60" i="1"/>
  <c r="M138" i="1"/>
  <c r="M193" i="1"/>
  <c r="M219" i="1"/>
  <c r="M231" i="1"/>
  <c r="M29" i="1"/>
  <c r="M155" i="1"/>
  <c r="M16" i="1"/>
  <c r="M272" i="1"/>
  <c r="M117" i="1"/>
  <c r="M99" i="1"/>
  <c r="M180" i="1"/>
  <c r="M14" i="1"/>
  <c r="M80" i="1"/>
  <c r="M68" i="1"/>
  <c r="M289" i="1"/>
  <c r="M221" i="1"/>
  <c r="M190" i="1"/>
  <c r="M216" i="1"/>
  <c r="M144" i="1"/>
  <c r="M230" i="1"/>
  <c r="M108" i="1"/>
  <c r="M46" i="1"/>
  <c r="M97" i="1"/>
  <c r="M149" i="1"/>
  <c r="M42" i="1"/>
  <c r="M114" i="1"/>
  <c r="M25" i="1"/>
  <c r="M240" i="1"/>
  <c r="M184" i="1"/>
  <c r="M105" i="1"/>
  <c r="M43" i="1"/>
  <c r="M4" i="1"/>
  <c r="M225" i="1"/>
  <c r="M179" i="1"/>
  <c r="M169" i="1"/>
  <c r="M62" i="1"/>
  <c r="M92" i="1"/>
  <c r="M205" i="1"/>
  <c r="M17" i="1"/>
  <c r="M244" i="1"/>
  <c r="M11" i="1"/>
  <c r="M70" i="1"/>
  <c r="M228" i="1"/>
  <c r="M10" i="1"/>
  <c r="M206" i="1"/>
  <c r="M284" i="1"/>
  <c r="M100" i="1"/>
  <c r="M141" i="1"/>
  <c r="M199" i="1"/>
  <c r="M248" i="1"/>
  <c r="M304" i="1"/>
  <c r="M153" i="1"/>
  <c r="M13" i="1"/>
  <c r="E16" i="2" s="1"/>
  <c r="M259" i="1"/>
  <c r="M89" i="1"/>
  <c r="M186" i="1"/>
  <c r="M31" i="1"/>
  <c r="M123" i="1"/>
  <c r="M164" i="1"/>
  <c r="M49" i="1"/>
  <c r="M295" i="1"/>
  <c r="M195" i="1"/>
  <c r="M45" i="1"/>
  <c r="M154" i="1"/>
  <c r="M310" i="1"/>
  <c r="M309" i="1"/>
  <c r="M6" i="1"/>
  <c r="M147" i="1"/>
  <c r="M223" i="1"/>
  <c r="E13" i="2"/>
  <c r="E10" i="2"/>
  <c r="E11" i="2"/>
  <c r="P298" i="1" l="1"/>
  <c r="P182" i="1"/>
  <c r="P122" i="1"/>
  <c r="P86" i="1"/>
  <c r="P98" i="1"/>
  <c r="P114" i="1"/>
  <c r="P54" i="1"/>
  <c r="P94" i="1"/>
  <c r="P110" i="1"/>
  <c r="P118" i="1"/>
  <c r="P271" i="1"/>
  <c r="P279" i="1"/>
  <c r="P150" i="1"/>
  <c r="P158" i="1"/>
  <c r="P194" i="1"/>
  <c r="P282" i="1"/>
  <c r="P306" i="1"/>
  <c r="E15" i="2"/>
  <c r="Q3" i="1" l="1"/>
  <c r="D251" i="1"/>
  <c r="D2" i="1"/>
  <c r="E9" i="2"/>
</calcChain>
</file>

<file path=xl/sharedStrings.xml><?xml version="1.0" encoding="utf-8"?>
<sst xmlns="http://schemas.openxmlformats.org/spreadsheetml/2006/main" count="2478" uniqueCount="538">
  <si>
    <t>Order ID</t>
  </si>
  <si>
    <t>Order Date</t>
  </si>
  <si>
    <t>Customer ID</t>
  </si>
  <si>
    <t>Sales Rep</t>
  </si>
  <si>
    <t>Region</t>
  </si>
  <si>
    <t>Category</t>
  </si>
  <si>
    <t>Product</t>
  </si>
  <si>
    <t>Quantity</t>
  </si>
  <si>
    <t>Unit Price (₹)</t>
  </si>
  <si>
    <t>Discount</t>
  </si>
  <si>
    <t>Status</t>
  </si>
  <si>
    <t>ORD-41925</t>
  </si>
  <si>
    <t>CUST-014</t>
  </si>
  <si>
    <t>Priya Shah</t>
  </si>
  <si>
    <t>West</t>
  </si>
  <si>
    <t>Furniture</t>
  </si>
  <si>
    <t>Desk</t>
  </si>
  <si>
    <t>Delivered</t>
  </si>
  <si>
    <t>ORD-92578</t>
  </si>
  <si>
    <t>CUST-009</t>
  </si>
  <si>
    <t>Rahul Kumar</t>
  </si>
  <si>
    <t>East</t>
  </si>
  <si>
    <t>Electronics</t>
  </si>
  <si>
    <t>Monitor</t>
  </si>
  <si>
    <t>ORD-48829</t>
  </si>
  <si>
    <t>CUST-038</t>
  </si>
  <si>
    <t>Vikram Nair</t>
  </si>
  <si>
    <t>Chair</t>
  </si>
  <si>
    <t>Processing</t>
  </si>
  <si>
    <t>ORD-29340</t>
  </si>
  <si>
    <t>CUST-036</t>
  </si>
  <si>
    <t>South</t>
  </si>
  <si>
    <t>Meeting Table</t>
  </si>
  <si>
    <t>Returned</t>
  </si>
  <si>
    <t>ORD-70901</t>
  </si>
  <si>
    <t>CUST-004</t>
  </si>
  <si>
    <t>Deepa Joshi</t>
  </si>
  <si>
    <t>Central</t>
  </si>
  <si>
    <t>ORD-39444</t>
  </si>
  <si>
    <t>CUST-022</t>
  </si>
  <si>
    <t>Neha Gupta</t>
  </si>
  <si>
    <t>Keyboard</t>
  </si>
  <si>
    <t>ORD-24534</t>
  </si>
  <si>
    <t>CUST-027</t>
  </si>
  <si>
    <t>Industrial Tools</t>
  </si>
  <si>
    <t>Voltage Tester</t>
  </si>
  <si>
    <t>ORD-64387</t>
  </si>
  <si>
    <t>CUST-013</t>
  </si>
  <si>
    <t>Amit Sharma</t>
  </si>
  <si>
    <t>Cutter</t>
  </si>
  <si>
    <t>ORD-52823</t>
  </si>
  <si>
    <t>CUST-029</t>
  </si>
  <si>
    <t>North</t>
  </si>
  <si>
    <t>ORD-82529</t>
  </si>
  <si>
    <t>CUST-001</t>
  </si>
  <si>
    <t>Cabinet</t>
  </si>
  <si>
    <t>ORD-95660</t>
  </si>
  <si>
    <t>CUST-025</t>
  </si>
  <si>
    <t>Safety Gloves</t>
  </si>
  <si>
    <t>ORD-13552</t>
  </si>
  <si>
    <t>CUST-040</t>
  </si>
  <si>
    <t>Rohan Desai</t>
  </si>
  <si>
    <t>Wrench Set</t>
  </si>
  <si>
    <t>Pending</t>
  </si>
  <si>
    <t>ORD-40311</t>
  </si>
  <si>
    <t>CUST-016</t>
  </si>
  <si>
    <t>Office Supplies</t>
  </si>
  <si>
    <t>Stapler</t>
  </si>
  <si>
    <t>ORD-31579</t>
  </si>
  <si>
    <t>CUST-011</t>
  </si>
  <si>
    <t>Sneha Patel</t>
  </si>
  <si>
    <t>Safety Equipment</t>
  </si>
  <si>
    <t>Helmet</t>
  </si>
  <si>
    <t>ORD-96752</t>
  </si>
  <si>
    <t>CUST-030</t>
  </si>
  <si>
    <t>Drill Machine</t>
  </si>
  <si>
    <t>ORD-89905</t>
  </si>
  <si>
    <t>CUST-020</t>
  </si>
  <si>
    <t>Goggles</t>
  </si>
  <si>
    <t>ORD-42725</t>
  </si>
  <si>
    <t>ORD-65724</t>
  </si>
  <si>
    <t>CUST-026</t>
  </si>
  <si>
    <t>Vest</t>
  </si>
  <si>
    <t>ORD-77286</t>
  </si>
  <si>
    <t>CUST-034</t>
  </si>
  <si>
    <t>ORD-70981</t>
  </si>
  <si>
    <t>CUST-015</t>
  </si>
  <si>
    <t>Shelf</t>
  </si>
  <si>
    <t>ORD-44664</t>
  </si>
  <si>
    <t>Arjun Mehta</t>
  </si>
  <si>
    <t>Binder</t>
  </si>
  <si>
    <t>ORD-99539</t>
  </si>
  <si>
    <t>CUST-012</t>
  </si>
  <si>
    <t>ORD-52982</t>
  </si>
  <si>
    <t>Paper Ream</t>
  </si>
  <si>
    <t>Cancelled</t>
  </si>
  <si>
    <t>ORD-46160</t>
  </si>
  <si>
    <t>CUST-007</t>
  </si>
  <si>
    <t>Kavya Iyer</t>
  </si>
  <si>
    <t>ORD-43246</t>
  </si>
  <si>
    <t>CUST-002</t>
  </si>
  <si>
    <t>Ear Plugs</t>
  </si>
  <si>
    <t>ORD-19961</t>
  </si>
  <si>
    <t>CUST-037</t>
  </si>
  <si>
    <t>Printer</t>
  </si>
  <si>
    <t>ORD-57400</t>
  </si>
  <si>
    <t>CUST-008</t>
  </si>
  <si>
    <t>Pen Set</t>
  </si>
  <si>
    <t>ORD-67939</t>
  </si>
  <si>
    <t>ORD-49857</t>
  </si>
  <si>
    <t>CUST-039</t>
  </si>
  <si>
    <t>Laptop</t>
  </si>
  <si>
    <t>ORD-29369</t>
  </si>
  <si>
    <t>ORD-94319</t>
  </si>
  <si>
    <t>ORD-89294</t>
  </si>
  <si>
    <t>CUST-035</t>
  </si>
  <si>
    <t>Scanner</t>
  </si>
  <si>
    <t>ORD-95686</t>
  </si>
  <si>
    <t>ORD-27154</t>
  </si>
  <si>
    <t>CUST-017</t>
  </si>
  <si>
    <t>ORD-40671</t>
  </si>
  <si>
    <t>ORD-12733</t>
  </si>
  <si>
    <t>ORD-38477</t>
  </si>
  <si>
    <t>CUST-032</t>
  </si>
  <si>
    <t>ORD-50768</t>
  </si>
  <si>
    <t>CUST-024</t>
  </si>
  <si>
    <t>ORD-79013</t>
  </si>
  <si>
    <t>CUST-005</t>
  </si>
  <si>
    <t>ORD-57964</t>
  </si>
  <si>
    <t>ORD-24790</t>
  </si>
  <si>
    <t>ORD-84928</t>
  </si>
  <si>
    <t>ORD-49507</t>
  </si>
  <si>
    <t>ORD-95054</t>
  </si>
  <si>
    <t>CUST-018</t>
  </si>
  <si>
    <t>ORD-19835</t>
  </si>
  <si>
    <t>CUST-023</t>
  </si>
  <si>
    <t>ORD-40389</t>
  </si>
  <si>
    <t>ORD-85066</t>
  </si>
  <si>
    <t>Gloves</t>
  </si>
  <si>
    <t>ORD-26021</t>
  </si>
  <si>
    <t>ORD-42495</t>
  </si>
  <si>
    <t>ORD-62487</t>
  </si>
  <si>
    <t>Notebook</t>
  </si>
  <si>
    <t>ORD-24026</t>
  </si>
  <si>
    <t>CUST-033</t>
  </si>
  <si>
    <t>ORD-90805</t>
  </si>
  <si>
    <t>ORD-64568</t>
  </si>
  <si>
    <t>ORD-78955</t>
  </si>
  <si>
    <t>CUST-021</t>
  </si>
  <si>
    <t>ORD-65108</t>
  </si>
  <si>
    <t>ORD-77552</t>
  </si>
  <si>
    <t>ORD-53947</t>
  </si>
  <si>
    <t>ORD-64935</t>
  </si>
  <si>
    <t>ORD-64477</t>
  </si>
  <si>
    <t>ORD-64921</t>
  </si>
  <si>
    <t>ORD-84289</t>
  </si>
  <si>
    <t>ORD-46932</t>
  </si>
  <si>
    <t>ORD-16734</t>
  </si>
  <si>
    <t>ORD-34267</t>
  </si>
  <si>
    <t>ORD-95814</t>
  </si>
  <si>
    <t>ORD-90584</t>
  </si>
  <si>
    <t>ORD-96474</t>
  </si>
  <si>
    <t>ORD-13396</t>
  </si>
  <si>
    <t>ORD-69028</t>
  </si>
  <si>
    <t>ORD-24573</t>
  </si>
  <si>
    <t>ORD-23173</t>
  </si>
  <si>
    <t>CUST-019</t>
  </si>
  <si>
    <t>ORD-65296</t>
  </si>
  <si>
    <t>ORD-41816</t>
  </si>
  <si>
    <t>ORD-90199</t>
  </si>
  <si>
    <t>ORD-72496</t>
  </si>
  <si>
    <t>ORD-42780</t>
  </si>
  <si>
    <t>ORD-99143</t>
  </si>
  <si>
    <t>ORD-17492</t>
  </si>
  <si>
    <t>ORD-47512</t>
  </si>
  <si>
    <t>ORD-65725</t>
  </si>
  <si>
    <t>ORD-45041</t>
  </si>
  <si>
    <t>ORD-72580</t>
  </si>
  <si>
    <t>ORD-84395</t>
  </si>
  <si>
    <t>ORD-71080</t>
  </si>
  <si>
    <t>ORD-72701</t>
  </si>
  <si>
    <t>ORD-85065</t>
  </si>
  <si>
    <t>ORD-52714</t>
  </si>
  <si>
    <t>ORD-69243</t>
  </si>
  <si>
    <t>ORD-40427</t>
  </si>
  <si>
    <t>CUST-006</t>
  </si>
  <si>
    <t>ORD-90541</t>
  </si>
  <si>
    <t>ORD-74942</t>
  </si>
  <si>
    <t>ORD-97670</t>
  </si>
  <si>
    <t>ORD-73736</t>
  </si>
  <si>
    <t>ORD-94040</t>
  </si>
  <si>
    <t>ORD-39581</t>
  </si>
  <si>
    <t>ORD-93584</t>
  </si>
  <si>
    <t>ORD-23474</t>
  </si>
  <si>
    <t>ORD-81496</t>
  </si>
  <si>
    <t>ORD-69054</t>
  </si>
  <si>
    <t>ORD-70931</t>
  </si>
  <si>
    <t>ORD-75612</t>
  </si>
  <si>
    <t>ORD-28920</t>
  </si>
  <si>
    <t>ORD-30033</t>
  </si>
  <si>
    <t>ORD-27675</t>
  </si>
  <si>
    <t>ORD-61543</t>
  </si>
  <si>
    <t>ORD-92544</t>
  </si>
  <si>
    <t>ORD-41946</t>
  </si>
  <si>
    <t>ORD-49552</t>
  </si>
  <si>
    <t>ORD-74764</t>
  </si>
  <si>
    <t>ORD-49107</t>
  </si>
  <si>
    <t>ORD-59823</t>
  </si>
  <si>
    <t>ORD-66420</t>
  </si>
  <si>
    <t>ORD-32185</t>
  </si>
  <si>
    <t>ORD-74178</t>
  </si>
  <si>
    <t>ORD-53309</t>
  </si>
  <si>
    <t>ORD-78879</t>
  </si>
  <si>
    <t>ORD-24945</t>
  </si>
  <si>
    <t>ORD-65069</t>
  </si>
  <si>
    <t>ORD-27486</t>
  </si>
  <si>
    <t>ORD-27589</t>
  </si>
  <si>
    <t>ORD-72094</t>
  </si>
  <si>
    <t>ORD-56030</t>
  </si>
  <si>
    <t>ORD-62386</t>
  </si>
  <si>
    <t>ORD-52898</t>
  </si>
  <si>
    <t>ORD-51436</t>
  </si>
  <si>
    <t>ORD-44362</t>
  </si>
  <si>
    <t>ORD-96761</t>
  </si>
  <si>
    <t>ORD-98181</t>
  </si>
  <si>
    <t>ORD-58971</t>
  </si>
  <si>
    <t>ORD-97833</t>
  </si>
  <si>
    <t>ORD-49739</t>
  </si>
  <si>
    <t>ORD-24993</t>
  </si>
  <si>
    <t>ORD-88644</t>
  </si>
  <si>
    <t>ORD-97122</t>
  </si>
  <si>
    <t>ORD-95181</t>
  </si>
  <si>
    <t>ORD-42208</t>
  </si>
  <si>
    <t>ORD-12960</t>
  </si>
  <si>
    <t>ORD-68446</t>
  </si>
  <si>
    <t>ORD-83526</t>
  </si>
  <si>
    <t>ORD-32946</t>
  </si>
  <si>
    <t>ORD-15683</t>
  </si>
  <si>
    <t>ORD-92050</t>
  </si>
  <si>
    <t>ORD-63545</t>
  </si>
  <si>
    <t>ORD-21053</t>
  </si>
  <si>
    <t>ORD-29555</t>
  </si>
  <si>
    <t>ORD-41358</t>
  </si>
  <si>
    <t>ORD-65353</t>
  </si>
  <si>
    <t>ORD-12125</t>
  </si>
  <si>
    <t>ORD-52727</t>
  </si>
  <si>
    <t>ORD-99381</t>
  </si>
  <si>
    <t>ORD-95477</t>
  </si>
  <si>
    <t>N/A</t>
  </si>
  <si>
    <t>ORD-21959</t>
  </si>
  <si>
    <t>ORD-12052</t>
  </si>
  <si>
    <t>ORD-68138</t>
  </si>
  <si>
    <t>ORD-87110</t>
  </si>
  <si>
    <t>ORD-48696</t>
  </si>
  <si>
    <t>CUST-031</t>
  </si>
  <si>
    <t>ORD-94015</t>
  </si>
  <si>
    <t>ORD-53288</t>
  </si>
  <si>
    <t>ORD-58760</t>
  </si>
  <si>
    <t>ORD-57303</t>
  </si>
  <si>
    <t>ORD-79514</t>
  </si>
  <si>
    <t>ORD-14018</t>
  </si>
  <si>
    <t>CUST-010</t>
  </si>
  <si>
    <t>ORD-21919</t>
  </si>
  <si>
    <t>ORD-98083</t>
  </si>
  <si>
    <t>ORD-83116</t>
  </si>
  <si>
    <t>ORD-23133</t>
  </si>
  <si>
    <t>ORD-40870</t>
  </si>
  <si>
    <t>ORD-89129</t>
  </si>
  <si>
    <t>ORD-73156</t>
  </si>
  <si>
    <t>ORD-57472</t>
  </si>
  <si>
    <t>ORD-85529</t>
  </si>
  <si>
    <t>ORD-62089</t>
  </si>
  <si>
    <t>ORD-43119</t>
  </si>
  <si>
    <t>ORD-76497</t>
  </si>
  <si>
    <t>ORD-86622</t>
  </si>
  <si>
    <t>ORD-96356</t>
  </si>
  <si>
    <t>ORD-39219</t>
  </si>
  <si>
    <t>ORD-29080</t>
  </si>
  <si>
    <t>CUST-003</t>
  </si>
  <si>
    <t>ORD-60604</t>
  </si>
  <si>
    <t>ORD-52622</t>
  </si>
  <si>
    <t>ORD-19564</t>
  </si>
  <si>
    <t>ORD-79827</t>
  </si>
  <si>
    <t>ORD-58916</t>
  </si>
  <si>
    <t>ORD-11504</t>
  </si>
  <si>
    <t>ORD-21395</t>
  </si>
  <si>
    <t>ORD-25974</t>
  </si>
  <si>
    <t>ORD-20357</t>
  </si>
  <si>
    <t>ORD-39389</t>
  </si>
  <si>
    <t>ORD-51507</t>
  </si>
  <si>
    <t>ORD-13969</t>
  </si>
  <si>
    <t>ORD-26545</t>
  </si>
  <si>
    <t>ORD-94575</t>
  </si>
  <si>
    <t>ORD-18981</t>
  </si>
  <si>
    <t>ORD-84691</t>
  </si>
  <si>
    <t>ORD-38971</t>
  </si>
  <si>
    <t>ORD-23069</t>
  </si>
  <si>
    <t>ORD-28367</t>
  </si>
  <si>
    <t>ORD-47079</t>
  </si>
  <si>
    <t>ORD-61451</t>
  </si>
  <si>
    <t>ORD-98740</t>
  </si>
  <si>
    <t>ORD-34727</t>
  </si>
  <si>
    <t>ORD-75038</t>
  </si>
  <si>
    <t>CUST-028</t>
  </si>
  <si>
    <t>ORD-82362</t>
  </si>
  <si>
    <t>ORD-85525</t>
  </si>
  <si>
    <t>ORD-24530</t>
  </si>
  <si>
    <t>ORD-50662</t>
  </si>
  <si>
    <t>ORD-47230</t>
  </si>
  <si>
    <t>ORD-49223</t>
  </si>
  <si>
    <t>ORD-36365</t>
  </si>
  <si>
    <t>ORD-41056</t>
  </si>
  <si>
    <t>ORD-69473</t>
  </si>
  <si>
    <t>ORD-39015</t>
  </si>
  <si>
    <t>ORD-24316</t>
  </si>
  <si>
    <t>ORD-77449</t>
  </si>
  <si>
    <t>ORD-17780</t>
  </si>
  <si>
    <t>ORD-94939</t>
  </si>
  <si>
    <t>ORD-79391</t>
  </si>
  <si>
    <t>ORD-66072</t>
  </si>
  <si>
    <t>ORD-50135</t>
  </si>
  <si>
    <t>ORD-59792</t>
  </si>
  <si>
    <t>ORD-98148</t>
  </si>
  <si>
    <t>ORD-93130</t>
  </si>
  <si>
    <t>ORD-54375</t>
  </si>
  <si>
    <t>ORD-15399</t>
  </si>
  <si>
    <t>ORD-54608</t>
  </si>
  <si>
    <t>ORD-87276</t>
  </si>
  <si>
    <t>ORD-11214</t>
  </si>
  <si>
    <t>ORD-13527</t>
  </si>
  <si>
    <t>ORD-59834</t>
  </si>
  <si>
    <t>ORD-37767</t>
  </si>
  <si>
    <t>ORD-50499</t>
  </si>
  <si>
    <t>ORD-67154</t>
  </si>
  <si>
    <t>ORD-65392</t>
  </si>
  <si>
    <t>ORD-72739</t>
  </si>
  <si>
    <t>ORD-56898</t>
  </si>
  <si>
    <t>ORD-26274</t>
  </si>
  <si>
    <t>ORD-89131</t>
  </si>
  <si>
    <t>ORD-39470</t>
  </si>
  <si>
    <t>ORD-76954</t>
  </si>
  <si>
    <t>ORD-20837</t>
  </si>
  <si>
    <t>ORD-85718</t>
  </si>
  <si>
    <t>ORD-31842</t>
  </si>
  <si>
    <t>ORD-64827</t>
  </si>
  <si>
    <t>ORD-17592</t>
  </si>
  <si>
    <t>ORD-59015</t>
  </si>
  <si>
    <t>ORD-27275</t>
  </si>
  <si>
    <t>ORD-31916</t>
  </si>
  <si>
    <t>ORD-18357</t>
  </si>
  <si>
    <t>ORD-66346</t>
  </si>
  <si>
    <t>ORD-30280</t>
  </si>
  <si>
    <t>ORD-80468</t>
  </si>
  <si>
    <t>ORD-94656</t>
  </si>
  <si>
    <t>ORD-23703</t>
  </si>
  <si>
    <t>ORD-53719</t>
  </si>
  <si>
    <t>ORD-95948</t>
  </si>
  <si>
    <t>ORD-28643</t>
  </si>
  <si>
    <t>ORD-99241</t>
  </si>
  <si>
    <t>ORD-72784</t>
  </si>
  <si>
    <t>ORD-66959</t>
  </si>
  <si>
    <t>ORD-90654</t>
  </si>
  <si>
    <t>ORD-60965</t>
  </si>
  <si>
    <t>ORD-90610</t>
  </si>
  <si>
    <t>ORD-19329</t>
  </si>
  <si>
    <t>ORD-51145</t>
  </si>
  <si>
    <t>ORD-55398</t>
  </si>
  <si>
    <t>ORD-25389</t>
  </si>
  <si>
    <t>ORD-11846</t>
  </si>
  <si>
    <t>ORD-88240</t>
  </si>
  <si>
    <t>ORD-98916</t>
  </si>
  <si>
    <t>ORD-87831</t>
  </si>
  <si>
    <t>ORD-47880</t>
  </si>
  <si>
    <t>ORD-81200</t>
  </si>
  <si>
    <t>ORD-71213</t>
  </si>
  <si>
    <t>ORD-25220</t>
  </si>
  <si>
    <t>ORD-70260</t>
  </si>
  <si>
    <t>ORD-83000</t>
  </si>
  <si>
    <t>ORD-29536</t>
  </si>
  <si>
    <t>ORD-51245</t>
  </si>
  <si>
    <t>ORD-44970</t>
  </si>
  <si>
    <t>ORD-97584</t>
  </si>
  <si>
    <t>ORD-70482</t>
  </si>
  <si>
    <t>ORD-57059</t>
  </si>
  <si>
    <t>ORD-55268</t>
  </si>
  <si>
    <t>ORD-40972</t>
  </si>
  <si>
    <t>ORD-99463</t>
  </si>
  <si>
    <t>ORD-44803</t>
  </si>
  <si>
    <t>ORD-74038</t>
  </si>
  <si>
    <t>ORD-78951</t>
  </si>
  <si>
    <t>ORD-73298</t>
  </si>
  <si>
    <t>ORD-31299</t>
  </si>
  <si>
    <t>ORD-34561</t>
  </si>
  <si>
    <t>ORD-22219</t>
  </si>
  <si>
    <t>ORD-54236</t>
  </si>
  <si>
    <t>ORD-58281</t>
  </si>
  <si>
    <t>ORD-91083</t>
  </si>
  <si>
    <t>ORD-50966</t>
  </si>
  <si>
    <t>ORD-64948</t>
  </si>
  <si>
    <t>ORD-31697</t>
  </si>
  <si>
    <t>ORD-36724</t>
  </si>
  <si>
    <t>ORD-80912</t>
  </si>
  <si>
    <t>📊  TechMart Distributors – Data Analytics Practice Workbook</t>
  </si>
  <si>
    <t>Topics: Data Types · Validation · Duplicates · Conditional Formatting · Sorting &amp; Filtering · Functions · Lookup · Logic</t>
  </si>
  <si>
    <t>Dataset lives in Sheet2_RawData (312 rows, Jan–Dec 2024). You are the analyst. Don't just use formulas — think like a problem solver.</t>
  </si>
  <si>
    <t xml:space="preserve">  SECTION 1: Data Cleaning &amp; Validation</t>
  </si>
  <si>
    <t xml:space="preserve">  Identify problems in raw data before any analysis. A clean dataset is the foundation of every business decision.</t>
  </si>
  <si>
    <t>#</t>
  </si>
  <si>
    <t>Question</t>
  </si>
  <si>
    <t>Skill Tag</t>
  </si>
  <si>
    <t>Difficulty</t>
  </si>
  <si>
    <t>Your Answer</t>
  </si>
  <si>
    <t>Formula / Steps Used</t>
  </si>
  <si>
    <t>Business Insight (write 1 sentence)</t>
  </si>
  <si>
    <t>Self-Check ✓</t>
  </si>
  <si>
    <t>Notes</t>
  </si>
  <si>
    <t>Open Sheet2_RawData. Scan the 'Sales Rep' column — some cells are blank. Using a COUNTBLANK function, find exactly how many sales rep entries are missing. Then, as a business analyst, explain: should these orders be assigned to a default rep or excluded from performance reports?</t>
  </si>
  <si>
    <t>COUNTBLANK, Data Audit</t>
  </si>
  <si>
    <t>Intermediate</t>
  </si>
  <si>
    <t>☐</t>
  </si>
  <si>
    <t>The 'Unit Price' column has a cell with the text 'N/A' instead of a number. Use ISNUMBER + IF to flag all rows where Unit Price is not a valid number. How many such rows exist? What risk does this create if you run a SUM formula on the whole column?</t>
  </si>
  <si>
    <t>ISNUMBER, Error Detection</t>
  </si>
  <si>
    <t>Remove all duplicate Order IDs from the dataset. Before deleting, use COUNTIF to count how many Order IDs appear more than once. After removing duplicates (Data → Remove Duplicates), how many rows remain? Write the exact count.</t>
  </si>
  <si>
    <t>COUNTIF, Remove Duplicates</t>
  </si>
  <si>
    <t>A new intern added orders with 'Status' values like 'delivered', 'PENDING', and 'cancelled' — inconsistent capitalisation. Use Data Validation to create a dropdown list for the Status column allowing only: Delivered, Pending, Cancelled, Returned, Processing. How does this prevent future data quality issues?</t>
  </si>
  <si>
    <t>Data Validation, Data Types</t>
  </si>
  <si>
    <t>Use conditional formatting to highlight all rows where Discount &gt; 15% in orange. Now count how many orders received more than 15% discount using COUNTIF. What percentage of total orders is this? Is a discount rate above 15% sustainable from a business perspective?</t>
  </si>
  <si>
    <t>Conditional Formatting, COUNTIF</t>
  </si>
  <si>
    <t>Apply conditional formatting with a colour scale on the 'Quantity' column from green (low) to red (high). What does the visual pattern tell you about typical order sizes? Which region or category tends to have the largest order volumes? (Use Sort &amp; Filter to validate your visual observation.)</t>
  </si>
  <si>
    <t>Conditional Formatting, Sorting</t>
  </si>
  <si>
    <t>Advanced</t>
  </si>
  <si>
    <t>Create a helper column called 'Revenue (₹)' that calculates: Quantity × Unit Price × (1 – Discount). Make sure the formula handles the text error in Unit Price gracefully using IFERROR. What is the total revenue across all valid rows?</t>
  </si>
  <si>
    <t>IFERROR, Formula Construction</t>
  </si>
  <si>
    <t>Sort the entire dataset by Region (A→Z), then by Category (A→Z), then by Revenue descending. What is the top-selling product in the East region? Write the product name and its revenue.</t>
  </si>
  <si>
    <t>Sorting, Multi-level Sort</t>
  </si>
  <si>
    <t>Use AutoFilter to show only 'Cancelled' and 'Returned' orders. Calculate the total lost revenue (use the Revenue helper column if built). Which Sales Rep has the most cancellations? This is a critical business KPI — what action would you recommend?</t>
  </si>
  <si>
    <t>Filter, Business Analysis</t>
  </si>
  <si>
    <t>Use a filter to find all orders placed in Q3 2024 (July–September). Then, within Q3, find the top 5 customers by total order value. Hint: use MONTH() and YEAR() as helper columns to isolate Q3 rows.</t>
  </si>
  <si>
    <t>MONTH, YEAR, Filter, Sorting</t>
  </si>
  <si>
    <t xml:space="preserve">  SECTION 2: Counting &amp; Statistical Functions</t>
  </si>
  <si>
    <t xml:space="preserve">  Measure performance, spot outliers, and summarise data the way a business analyst would present to management.</t>
  </si>
  <si>
    <t>Use COUNTA to count the total number of non-empty rows in the 'Order ID' column. Then use COUNT to count only numeric values in the 'Quantity' column. Why might these two numbers differ, and what does that tell you about data quality?</t>
  </si>
  <si>
    <t>COUNTA, COUNT, Data Quality</t>
  </si>
  <si>
    <t>Use COUNTIF to find: (a) how many orders are from the 'North' region, (b) how many orders have the product 'Laptop', (c) how many orders have a Discount of exactly 0%. Present these three results in a small summary table beside the data.</t>
  </si>
  <si>
    <t>COUNTIF, Summary Table</t>
  </si>
  <si>
    <t>Use COUNTIFS to find orders that are BOTH from the 'Electronics' category AND have 'Delivered' status AND have a Quantity &gt; 20. This is a multi-condition count — describe why COUNTIFS is more powerful than running three separate filters.</t>
  </si>
  <si>
    <t>COUNTIFS, Multi-criteria</t>
  </si>
  <si>
    <t>Calculate the AVERAGE, MEDIAN, and MODE of the 'Unit Price' column. If the average is much higher than the median, what does that suggest about the price distribution? What business decision could you make based on this insight?</t>
  </si>
  <si>
    <t>AVERAGE, MEDIAN, MODE</t>
  </si>
  <si>
    <t>Use AVERAGEIF to find the average unit price for each Category separately. Which category has the highest average price? Which has the lowest? Present this as a 5-row summary table.</t>
  </si>
  <si>
    <t>AVERAGEIF, Category Analysis</t>
  </si>
  <si>
    <t>Use AVERAGEIFS to find the average revenue per order for: Female-region = 'South' AND Status = 'Delivered'. Then compare it with the overall average revenue. Is the South region performing above or below average for successful deliveries?</t>
  </si>
  <si>
    <t>AVERAGEIFS, Regional KPI</t>
  </si>
  <si>
    <t>Find the MAX and MIN values in the 'Quantity' column. Then use LARGE(range,2) and SMALL(range,2) to find the 2nd largest and 2nd smallest order quantities. Why is LARGE/SMALL more flexible than MAX/MIN for business reporting?</t>
  </si>
  <si>
    <t>MAX, MIN, LARGE, SMALL</t>
  </si>
  <si>
    <t>Create a frequency distribution: count how many orders fall into these Quantity buckets — [1–10], [11–20], [21–30], [31–40], [41–50]. Use COUNTIFS for each bucket. Which bucket has the most orders? What does this tell the warehouse team about typical shipment sizes?</t>
  </si>
  <si>
    <t>COUNTIFS, Distribution Analysis</t>
  </si>
  <si>
    <t>Use SUMIF to calculate total revenue for each Region. Then calculate each region's % share of total revenue using absolute references ($). Which region contributes the most? Format the % column with one decimal place.</t>
  </si>
  <si>
    <t>SUMIF, Absolute Reference, % Share</t>
  </si>
  <si>
    <t>Use SUMIFS to find total revenue where: Category = 'Industrial Tools' AND Status = 'Delivered' AND Discount = 0%. This is the 'clean revenue' from Industrial Tools. Compare this to total Industrial Tools revenue. What % of revenue is discounted?</t>
  </si>
  <si>
    <t>SUMIFS, Business Margin Analysis</t>
  </si>
  <si>
    <t>Expert</t>
  </si>
  <si>
    <t xml:space="preserve">  SECTION 3: Logical Functions &amp; Conditional Intelligence</t>
  </si>
  <si>
    <t xml:space="preserve">  Build smart classifications, flag risk, and automate decisions — the core of any analytical model.</t>
  </si>
  <si>
    <t>Add a column 'Order Size' using IF: if Quantity ≥ 30 label it 'Large', else if Quantity ≥ 15 label it 'Medium', else 'Small'. Use nested IFs. Count how many orders fall into each category using COUNTIF.</t>
  </si>
  <si>
    <t>Nested IF, Classification</t>
  </si>
  <si>
    <t>Create a 'Risk Flag' column using IF + AND: flag as 'HIGH RISK' if Status = 'Cancelled' AND Discount &gt; 10%, otherwise 'OK'. How many high-risk orders exist? What is the total revenue value at risk?</t>
  </si>
  <si>
    <t>IF, AND, Risk Flagging</t>
  </si>
  <si>
    <t>Build a 'Bonus Eligible' column using IF + OR: a sales rep is bonus-eligible for an order if: Status = 'Delivered' OR (Status = 'Pending' AND Discount = 0%). Count bonus-eligible orders per Sales Rep using COUNTIF.</t>
  </si>
  <si>
    <t>IF, OR, Incentive Modelling</t>
  </si>
  <si>
    <t>Use IFS (not nested IF) to create a 'Discount Category' column: 0% → 'No Discount', 1–10% → 'Low', 11–20% → 'Medium', &gt;20% → 'High'. Rewrite the same logic using nested IF. Which approach is more readable and why does readability matter in a business setting?</t>
  </si>
  <si>
    <t>IFS, Nested IF, Readability</t>
  </si>
  <si>
    <t>Add a 'Performance Score' column using this rule: IF Delivered AND No Discount → 3 points; IF Delivered AND Discount ≤ 10% → 2 points; IF Delivered AND Discount &gt; 10% → 1 point; All other statuses → 0 points. Sum the total score per Sales Rep. Who is the top performer?</t>
  </si>
  <si>
    <t>IF, AND, Performance Scoring</t>
  </si>
  <si>
    <t>Use NOT to find all orders that are NOT from the 'North' or 'South' region. Combine NOT with OR inside an IF to add a 'Central/East/West' flag column. Count these orders and calculate their total revenue.</t>
  </si>
  <si>
    <t>NOT, OR, IF, Revenue Analysis</t>
  </si>
  <si>
    <t>Create a 'Delivery Alert' column: mark 'REVIEW' if Status = 'Pending' AND Order Date is more than 90 days ago from today (use TODAY()). Mark 'OVERDUE' if more than 180 days. All others = 'OK'. How many orders are overdue?</t>
  </si>
  <si>
    <t>IF, AND, TODAY, Date Logic</t>
  </si>
  <si>
    <t>Use IFERROR to build a safe 'Avg Price Check' column: divide Unit Price by Quantity — but use IFERROR to return 'Data Error' instead of crashing when a non-numeric value is encountered. Why is IFERROR essential in production dashboards?</t>
  </si>
  <si>
    <t>IFERROR, Error Handling</t>
  </si>
  <si>
    <t>Combine IF + COUNTIF to add a 'Duplicate Flag' column: if the Order ID appears more than once in the column, write 'DUPLICATE', else 'UNIQUE'. Verify this matches what Remove Duplicates found earlier. What are the dangers of double-counting in revenue reports?</t>
  </si>
  <si>
    <t>IF, COUNTIF, Duplicate Detection</t>
  </si>
  <si>
    <t>Create a 'Revenue Band' column using nested IFs on your Revenue column: &lt; ₹5,000 → 'Micro'; ₹5,000–₹25,000 → 'Small'; ₹25,001–₹1,00,000 → 'Medium'; &gt; ₹1,00,000 → 'Large'. Use COUNTIF to find the distribution. Present findings as if you were briefing a sales director.</t>
  </si>
  <si>
    <t>Nested IF, Revenue Segmentation, Communication</t>
  </si>
  <si>
    <t xml:space="preserve">  SECTION 4: Lookup Functions &amp; Cross-referencing</t>
  </si>
  <si>
    <t xml:space="preserve">  Connect data across tables — the backbone of every business intelligence system.</t>
  </si>
  <si>
    <t>Build a small 'Region Lookup Table' in a new area of the sheet with columns: Region | Target Revenue (₹) — assign targets: North 5L, South 4L, East 6L, West 3.5L, Central 4.5L. Use VLOOKUP to pull the target revenue for each order's region into a new column in the main table.</t>
  </si>
  <si>
    <t>VLOOKUP, Reference Table</t>
  </si>
  <si>
    <t>Using the same lookup table, calculate a 'Target Gap' column = Actual Revenue – Target (pulled via VLOOKUP). Highlight rows where actual revenue exceeds target in green using conditional formatting. Which region consistently beats its target?</t>
  </si>
  <si>
    <t>VLOOKUP, Conditional Formatting, KPI</t>
  </si>
  <si>
    <t>Create a Category Pricing Table: Category | Standard Unit Price. Use VLOOKUP with approximate match (TRUE) to classify whether each order's actual unit price is above or below the standard price. Flag 'Above Standard' or 'Below Standard'.</t>
  </si>
  <si>
    <t>VLOOKUP Approximate Match, Pricing Analysis</t>
  </si>
  <si>
    <t>Use HLOOKUP on a horizontal summary table you create: Categories as column headers, and rows for metrics like Count, Total Revenue, Avg Discount. Retrieve values dynamically using HLOOKUP. When would you choose HLOOKUP over VLOOKUP?</t>
  </si>
  <si>
    <t>HLOOKUP, Table Design</t>
  </si>
  <si>
    <t>Use INDEX + MATCH to find the Sales Rep who generated the single highest revenue order. INDEX+MATCH is considered superior to VLOOKUP — write a comment in the cell explaining why (hint: column order flexibility).</t>
  </si>
  <si>
    <t>INDEX, MATCH, Best Practices</t>
  </si>
  <si>
    <t>Use INDEX + MATCH with MATCH to do a two-way lookup: given a Region (e.g., 'East') and a Status (e.g., 'Delivered'), find the total count of orders meeting both criteria from a pivot summary table you create. This simulates a dynamic dashboard cell.</t>
  </si>
  <si>
    <t>INDEX, MATCH, Two-way Lookup</t>
  </si>
  <si>
    <t>Build a 'Sales Rep Performance Card' using VLOOKUP / INDEX+MATCH: for any Sales Rep name entered in a cell, automatically pull — Total Orders, Total Revenue, Avg Discount, Most Common Status. Use COUNTIF, SUMIF, AVERAGEIF, and INDEX+MATCH to power this card.</t>
  </si>
  <si>
    <t>Multiple Lookups, Dynamic Dashboard</t>
  </si>
  <si>
    <t>Use XLOOKUP (if available in your Excel version) to find the last order placed by customer 'CUST-007'. XLOOKUP can search from bottom to top — how does this differ from VLOOKUP's behaviour? If XLOOKUP isn't available, simulate it with INDEX+MATCH.</t>
  </si>
  <si>
    <t>XLOOKUP, Search Direction</t>
  </si>
  <si>
    <t>Create a 'Product Catalogue' table with: Product | Category | Recommended Retail Price. Use VLOOKUP with IFERROR to match products from the order data — if a product doesn't exist in the catalogue, return 'Not Listed' instead of an error. This simulates a real inventory system join.</t>
  </si>
  <si>
    <t>VLOOKUP, IFERROR, Data Joining</t>
  </si>
  <si>
    <t>Use MATCH to find the row number of the first 'Returned' order in the dataset. Then use INDEX to extract the full row details (Order ID, Customer, Rep, Revenue) for that row. Why would a logistics manager need to quickly find the first instance of a returned order?</t>
  </si>
  <si>
    <t>MATCH, INDEX, Row Extraction</t>
  </si>
  <si>
    <t xml:space="preserve">  SECTION 5: Reference Types &amp; Formula Architecture</t>
  </si>
  <si>
    <t xml:space="preserve">  Build formulas that scale — absolute vs relative references are what separate amateur spreadsheets from professional models.</t>
  </si>
  <si>
    <t>In a summary table, calculate each Region's revenue as a % of Grand Total. The Grand Total cell must be an ABSOLUTE reference ($). Copy the formula across all 5 regions. What happens to the formula if you forget to lock the denominator?</t>
  </si>
  <si>
    <t>Absolute Reference, % Calculation</t>
  </si>
  <si>
    <t>Build a 12-month revenue projection table. Row 1 = Jan revenue (hardcoded). Each subsequent month grows by a growth rate stored in a SINGLE cell (absolute reference). Write the formula for month 2 that you can drag to month 12 without breaking.</t>
  </si>
  <si>
    <t>Absolute Reference, Projection Model</t>
  </si>
  <si>
    <t>Create a multiplication table (10×10) using mixed references: the row headers are in column A, column headers in row 1. Write ONE formula for cell B2 that uses mixed references ($A2 * B$1) and can be copied to fill the entire 10×10 grid.</t>
  </si>
  <si>
    <t>Mixed References, Formula Efficiency</t>
  </si>
  <si>
    <t>Use 3D referencing to write a formula on a Summary sheet that sums a value across Sheet1 and Sheet2 simultaneously. Demonstrate this concept by creating a small example — explain in the 'Business Insight' column where this is used in financial consolidation.</t>
  </si>
  <si>
    <t>3D Reference, Cross-sheet Formulas</t>
  </si>
  <si>
    <t>Build a dynamic rank table: use RANK function to rank all 10 Sales Reps by total revenue. The revenue column should reference your SUMIF results. If two reps have the same revenue, how does RANK handle ties? How would you break a tie fairly?</t>
  </si>
  <si>
    <t>RANK, Absolute Reference, Tie-breaking</t>
  </si>
  <si>
    <t xml:space="preserve">  SECTION 6: Business Challenge Problems (Open-Ended)</t>
  </si>
  <si>
    <t xml:space="preserve">  No step-by-step guide. Read the scenario, decide which tools to use, build the solution. Think like an analyst.</t>
  </si>
  <si>
    <t>SCENARIO — Sales Director Meeting: The Director asks for a one-page summary showing: Top 3 Sales Reps by revenue, Bottom 3 Regions by order count, Month with highest cancellations, and overall average discount rate. Build this using SUMIF, COUNTIF, LARGE, and AVERAGEIF. No pivot table allowed — formulas only.</t>
  </si>
  <si>
    <t>Multi-function, Business Reporting</t>
  </si>
  <si>
    <t>SCENARIO — Customer Retention Analysis: Identify customers who have placed more than 5 orders AND have at least one 'Returned' order. These are 'At Risk' high-value customers. Use COUNTIF logic. List their IDs and total order values. What retention strategy would you recommend?</t>
  </si>
  <si>
    <t>COUNTIFS, Business Strategy</t>
  </si>
  <si>
    <t>SCENARIO — Pricing Audit: Management suspects that large orders (Qty &gt; 30) are being given excessive discounts (&gt; 15%) without approval, eroding margins. Identify all such orders, calculate the revenue lost due to discount, and name the Sales Reps involved. Use SUMPRODUCT or SUMIFS.</t>
  </si>
  <si>
    <t>SCENARIO — Year-End Inventory Planning: The warehouse team needs to know the top 5 products by total quantity ordered and the bottom 5 (to discontinue). Use SUMIF to aggregate quantity by product, then LARGE/SMALL or sorting to find top/bottom 5. Present findings with a recommended action for each.</t>
  </si>
  <si>
    <t>SUMIF, LARGE, Inventory Planning</t>
  </si>
  <si>
    <t>SCENARIO — Commission Calculation Engine: Build a commission table for all 10 Sales Reps using these rules: Revenue &lt; ₹1L → 3% commission; ₹1L–₹5L → 5%; &gt; ₹5L → 7%. Use nested IF on SUMIF totals. Calculate the total commission payout. Which rep earns the most? Is this model fair? Suggest an improvement.</t>
  </si>
  <si>
    <t>Nested IF, SUMIF, Commission Model</t>
  </si>
  <si>
    <t>SCENARIO — Regional Scorecard: Create a scorecard with one row per region showing: Total Revenue, Order Count, Avg Order Value, Delivered %, Cancelled %, Top Product, Top Sales Rep. Use SUMIF, COUNTIF, AVERAGEIF, COUNTIFS, and INDEX+MATCH. This is a real business dashboard — format it professionally.</t>
  </si>
  <si>
    <t>Full Analytics, Dashboard Design</t>
  </si>
  <si>
    <t>Remember: A formula that gives the right number but wrong insight is still a failure. Always ask — what does this number mean for the business?</t>
  </si>
  <si>
    <t>SUMPRODUCT, Margin Analysis, for sales Reps name use =Filter() function</t>
  </si>
  <si>
    <t>Revenue</t>
  </si>
  <si>
    <t>\</t>
  </si>
  <si>
    <t>year</t>
  </si>
  <si>
    <t>month</t>
  </si>
  <si>
    <t>week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</si>
</sst>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yyyy\-mm\-dd"/>
    <numFmt numFmtId="165" formatCode="\₹#,##0.00"/>
    <numFmt numFmtId="172" formatCode="&quot;₹&quot;\ #,##0.00"/>
  </numFmts>
  <fonts count="13" x14ac:knownFonts="1">
    <font>
      <sz val="11"/>
      <color theme="1"/>
      <name val="Calibri"/>
      <family val="2"/>
      <charset val="1"/>
    </font>
    <font>
      <b/>
      <sz val="11"/>
      <color rgb="FFFFFFFF"/>
      <name val="Arial"/>
      <charset val="1"/>
    </font>
    <font>
      <sz val="10"/>
      <color rgb="FF1A1A1A"/>
      <name val="Arial"/>
      <charset val="1"/>
    </font>
    <font>
      <b/>
      <sz val="16"/>
      <color rgb="FFFFFFFF"/>
      <name val="Arial"/>
      <charset val="1"/>
    </font>
    <font>
      <i/>
      <sz val="10"/>
      <color rgb="FFFFFFFF"/>
      <name val="Arial"/>
      <charset val="1"/>
    </font>
    <font>
      <sz val="10"/>
      <color rgb="FF1A5C38"/>
      <name val="Arial"/>
      <charset val="1"/>
    </font>
    <font>
      <b/>
      <sz val="13"/>
      <color rgb="FFFFFFFF"/>
      <name val="Arial"/>
      <charset val="1"/>
    </font>
    <font>
      <i/>
      <sz val="10"/>
      <color rgb="FF1A5C38"/>
      <name val="Arial"/>
      <charset val="1"/>
    </font>
    <font>
      <b/>
      <sz val="10"/>
      <color rgb="FFFFFFFF"/>
      <name val="Arial"/>
      <charset val="1"/>
    </font>
    <font>
      <b/>
      <i/>
      <sz val="11"/>
      <color rgb="FFF9A825"/>
      <name val="Arial"/>
      <charset val="1"/>
    </font>
    <font>
      <sz val="11"/>
      <color theme="1"/>
      <name val="Calibri"/>
      <family val="2"/>
      <charset val="1"/>
    </font>
    <font>
      <b/>
      <sz val="11"/>
      <color rgb="FFFFFFFF"/>
      <name val="Arial"/>
      <family val="2"/>
    </font>
    <font>
      <sz val="10"/>
      <color rgb="FF1A1A1A"/>
      <name val="Arial"/>
      <family val="2"/>
    </font>
  </fonts>
  <fills count="10">
    <fill>
      <patternFill patternType="none"/>
    </fill>
    <fill>
      <patternFill patternType="gray125"/>
    </fill>
    <fill>
      <patternFill patternType="solid">
        <fgColor rgb="FF1A5C38"/>
        <bgColor rgb="FF2E7D52"/>
      </patternFill>
    </fill>
    <fill>
      <patternFill patternType="solid">
        <fgColor rgb="FFFFFFFF"/>
        <bgColor rgb="FFF5F5F5"/>
      </patternFill>
    </fill>
    <fill>
      <patternFill patternType="solid">
        <fgColor rgb="FFF5F5F5"/>
        <bgColor rgb="FFFFEBEE"/>
      </patternFill>
    </fill>
    <fill>
      <patternFill patternType="solid">
        <fgColor rgb="FF2E7D52"/>
        <bgColor rgb="FF1A5C38"/>
      </patternFill>
    </fill>
    <fill>
      <patternFill patternType="solid">
        <fgColor rgb="FFD6EFE0"/>
        <bgColor rgb="FFE3F2FD"/>
      </patternFill>
    </fill>
    <fill>
      <patternFill patternType="solid">
        <fgColor rgb="FFE3F2FD"/>
        <bgColor rgb="FFF5F5F5"/>
      </patternFill>
    </fill>
    <fill>
      <patternFill patternType="solid">
        <fgColor rgb="FFFFF9C4"/>
        <bgColor rgb="FFF5F5F5"/>
      </patternFill>
    </fill>
    <fill>
      <patternFill patternType="solid">
        <fgColor rgb="FFFFEBEE"/>
        <bgColor rgb="FFF5F5F5"/>
      </patternFill>
    </fill>
  </fills>
  <borders count="3">
    <border>
      <left/>
      <right/>
      <top/>
      <bottom/>
      <diagonal/>
    </border>
    <border>
      <left style="thin">
        <color rgb="FFBDBDBD"/>
      </left>
      <right style="thin">
        <color rgb="FFBDBDBD"/>
      </right>
      <top style="thin">
        <color rgb="FFBDBDBD"/>
      </top>
      <bottom style="thin">
        <color rgb="FFBDBDBD"/>
      </bottom>
      <diagonal/>
    </border>
    <border>
      <left style="thin">
        <color rgb="FFBDBDBD"/>
      </left>
      <right style="thin">
        <color rgb="FFBDBDBD"/>
      </right>
      <top/>
      <bottom/>
      <diagonal/>
    </border>
  </borders>
  <cellStyleXfs count="2">
    <xf numFmtId="0" fontId="0" fillId="0" borderId="0"/>
    <xf numFmtId="44" fontId="10" fillId="0" borderId="0" applyFont="0" applyFill="0" applyBorder="0" applyAlignment="0" applyProtection="0"/>
  </cellStyleXfs>
  <cellXfs count="32">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164" fontId="2" fillId="3" borderId="1" xfId="0" applyNumberFormat="1" applyFont="1" applyFill="1" applyBorder="1" applyAlignment="1">
      <alignment horizontal="center" vertical="center"/>
    </xf>
    <xf numFmtId="165" fontId="2" fillId="3" borderId="1" xfId="0" applyNumberFormat="1" applyFont="1" applyFill="1" applyBorder="1" applyAlignment="1">
      <alignment horizontal="center" vertical="center"/>
    </xf>
    <xf numFmtId="9" fontId="2" fillId="3" borderId="1" xfId="0" applyNumberFormat="1" applyFont="1" applyFill="1" applyBorder="1" applyAlignment="1">
      <alignment horizontal="center" vertical="center"/>
    </xf>
    <xf numFmtId="0" fontId="2" fillId="4" borderId="1" xfId="0" applyFont="1" applyFill="1" applyBorder="1" applyAlignment="1">
      <alignment horizontal="center" vertical="center"/>
    </xf>
    <xf numFmtId="164" fontId="2" fillId="4" borderId="1" xfId="0" applyNumberFormat="1" applyFont="1" applyFill="1" applyBorder="1" applyAlignment="1">
      <alignment horizontal="center" vertical="center"/>
    </xf>
    <xf numFmtId="165" fontId="2" fillId="4" borderId="1" xfId="0" applyNumberFormat="1" applyFont="1" applyFill="1" applyBorder="1" applyAlignment="1">
      <alignment horizontal="center" vertical="center"/>
    </xf>
    <xf numFmtId="9" fontId="2" fillId="4" borderId="1" xfId="0" applyNumberFormat="1" applyFont="1" applyFill="1" applyBorder="1" applyAlignment="1">
      <alignment horizontal="center" vertical="center"/>
    </xf>
    <xf numFmtId="0" fontId="8" fillId="5" borderId="1" xfId="0" applyFont="1" applyFill="1" applyBorder="1" applyAlignment="1">
      <alignment horizontal="center" vertical="center" wrapText="1"/>
    </xf>
    <xf numFmtId="0" fontId="2" fillId="4" borderId="1" xfId="0" applyFont="1" applyFill="1" applyBorder="1" applyAlignment="1">
      <alignment horizontal="center" vertical="top" wrapText="1"/>
    </xf>
    <xf numFmtId="0" fontId="2" fillId="4" borderId="1" xfId="0" applyFont="1" applyFill="1" applyBorder="1" applyAlignment="1">
      <alignment horizontal="left" vertical="top" wrapText="1"/>
    </xf>
    <xf numFmtId="0" fontId="2" fillId="7" borderId="1" xfId="0" applyFont="1" applyFill="1" applyBorder="1" applyAlignment="1">
      <alignment horizontal="center" vertical="top" wrapText="1"/>
    </xf>
    <xf numFmtId="0" fontId="2" fillId="3" borderId="1" xfId="0" applyFont="1" applyFill="1" applyBorder="1" applyAlignment="1">
      <alignment horizontal="center" vertical="top" wrapText="1"/>
    </xf>
    <xf numFmtId="0" fontId="2" fillId="3" borderId="1" xfId="0" applyFont="1" applyFill="1" applyBorder="1" applyAlignment="1">
      <alignment horizontal="left" vertical="top" wrapText="1"/>
    </xf>
    <xf numFmtId="0" fontId="2" fillId="8" borderId="1" xfId="0" applyFont="1" applyFill="1" applyBorder="1" applyAlignment="1">
      <alignment horizontal="center" vertical="top" wrapText="1"/>
    </xf>
    <xf numFmtId="0" fontId="2" fillId="9" borderId="1" xfId="0" applyFont="1" applyFill="1" applyBorder="1" applyAlignment="1">
      <alignment horizontal="center" vertical="top" wrapText="1"/>
    </xf>
    <xf numFmtId="0" fontId="2" fillId="4" borderId="1" xfId="0" applyFont="1" applyFill="1" applyBorder="1" applyAlignment="1">
      <alignment horizontal="center" vertical="top" wrapText="1"/>
      <extLst>
        <ext xmlns:xfpb="http://schemas.microsoft.com/office/spreadsheetml/2022/featurepropertybag" uri="{C7286773-470A-42A8-94C5-96B5CB345126}">
          <xfpb:xfComplement i="0"/>
        </ext>
      </extLst>
    </xf>
    <xf numFmtId="0" fontId="2" fillId="3" borderId="1" xfId="0" applyFont="1" applyFill="1" applyBorder="1" applyAlignment="1">
      <alignment horizontal="center" vertical="top" wrapText="1"/>
      <extLst>
        <ext xmlns:xfpb="http://schemas.microsoft.com/office/spreadsheetml/2022/featurepropertybag" uri="{C7286773-470A-42A8-94C5-96B5CB345126}">
          <xfpb:xfComplement i="0"/>
        </ext>
      </extLst>
    </xf>
    <xf numFmtId="0" fontId="9" fillId="2" borderId="0" xfId="0" applyFont="1" applyFill="1" applyAlignment="1">
      <alignment horizontal="center" vertical="center"/>
    </xf>
    <xf numFmtId="0" fontId="7" fillId="6" borderId="0" xfId="0" applyFont="1" applyFill="1" applyAlignment="1">
      <alignment horizontal="left" vertical="center"/>
    </xf>
    <xf numFmtId="0" fontId="6" fillId="2" borderId="0" xfId="0" applyFont="1" applyFill="1" applyAlignment="1">
      <alignment horizontal="left" vertical="center"/>
    </xf>
    <xf numFmtId="0" fontId="3" fillId="2" borderId="0" xfId="0" applyFont="1" applyFill="1" applyAlignment="1">
      <alignment horizontal="center" vertical="center"/>
    </xf>
    <xf numFmtId="0" fontId="4" fillId="5" borderId="0" xfId="0" applyFont="1" applyFill="1" applyAlignment="1">
      <alignment horizontal="center" vertical="center"/>
    </xf>
    <xf numFmtId="0" fontId="5" fillId="6" borderId="0" xfId="0" applyFont="1" applyFill="1" applyAlignment="1">
      <alignment horizontal="center" vertical="center" wrapText="1"/>
    </xf>
    <xf numFmtId="0" fontId="12" fillId="4" borderId="1" xfId="0" applyFont="1" applyFill="1" applyBorder="1" applyAlignment="1">
      <alignment horizontal="left" vertical="top" wrapText="1"/>
    </xf>
    <xf numFmtId="0" fontId="12" fillId="4" borderId="1" xfId="0" applyFont="1" applyFill="1" applyBorder="1" applyAlignment="1">
      <alignment horizontal="center" vertical="center"/>
    </xf>
    <xf numFmtId="0" fontId="12" fillId="3" borderId="1" xfId="0" applyFont="1" applyFill="1" applyBorder="1" applyAlignment="1">
      <alignment horizontal="left" vertical="top" wrapText="1"/>
    </xf>
    <xf numFmtId="0" fontId="11" fillId="2" borderId="2" xfId="0" applyFont="1" applyFill="1" applyBorder="1" applyAlignment="1">
      <alignment horizontal="center" vertical="center"/>
    </xf>
    <xf numFmtId="172" fontId="2" fillId="4" borderId="1" xfId="1" applyNumberFormat="1" applyFont="1" applyFill="1" applyBorder="1" applyAlignment="1">
      <alignment horizontal="center" vertical="top" wrapText="1"/>
    </xf>
    <xf numFmtId="0" fontId="12" fillId="4" borderId="1" xfId="0" applyFont="1" applyFill="1" applyBorder="1" applyAlignment="1">
      <alignment horizontal="center" vertical="top" wrapText="1"/>
    </xf>
  </cellXfs>
  <cellStyles count="2">
    <cellStyle name="Currency" xfId="1" builtinId="4"/>
    <cellStyle name="Normal" xfId="0" builtinId="0"/>
  </cellStyles>
  <dxfs count="2">
    <dxf>
      <fill>
        <patternFill>
          <bgColor rgb="FFFFC000"/>
        </patternFill>
      </fill>
    </dxf>
    <dxf>
      <fill>
        <patternFill>
          <bgColor rgb="FFFFC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A5C38"/>
      <rgbColor rgb="FF000080"/>
      <rgbColor rgb="FF808000"/>
      <rgbColor rgb="FF800080"/>
      <rgbColor rgb="FF008080"/>
      <rgbColor rgb="FFBDBDBD"/>
      <rgbColor rgb="FF808080"/>
      <rgbColor rgb="FF9999FF"/>
      <rgbColor rgb="FF993366"/>
      <rgbColor rgb="FFFFF9C4"/>
      <rgbColor rgb="FFE3F2F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5F5F5"/>
      <rgbColor rgb="FFD6EFE0"/>
      <rgbColor rgb="FFFFEBEE"/>
      <rgbColor rgb="FF99CCFF"/>
      <rgbColor rgb="FFFF99CC"/>
      <rgbColor rgb="FFCC99FF"/>
      <rgbColor rgb="FFFFCC99"/>
      <rgbColor rgb="FF3366FF"/>
      <rgbColor rgb="FF33CCCC"/>
      <rgbColor rgb="FF99CC00"/>
      <rgbColor rgb="FFFFCC00"/>
      <rgbColor rgb="FFF9A825"/>
      <rgbColor rgb="FFFF6600"/>
      <rgbColor rgb="FF666699"/>
      <rgbColor rgb="FF969696"/>
      <rgbColor rgb="FF003366"/>
      <rgbColor rgb="FF2E7D52"/>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82"/>
  <sheetViews>
    <sheetView showGridLines="0" topLeftCell="E12" zoomScaleNormal="100" workbookViewId="0">
      <selection activeCell="E17" sqref="E17"/>
    </sheetView>
  </sheetViews>
  <sheetFormatPr defaultColWidth="8.6640625" defaultRowHeight="14.4" x14ac:dyDescent="0.3"/>
  <cols>
    <col min="1" max="1" width="5" customWidth="1"/>
    <col min="2" max="2" width="55" customWidth="1"/>
    <col min="3" max="3" width="20" customWidth="1"/>
    <col min="4" max="5" width="15" customWidth="1"/>
    <col min="6" max="7" width="30" customWidth="1"/>
    <col min="8" max="10" width="20" customWidth="1"/>
  </cols>
  <sheetData>
    <row r="1" spans="1:10" ht="45" customHeight="1" x14ac:dyDescent="0.3">
      <c r="A1" s="23" t="s">
        <v>402</v>
      </c>
      <c r="B1" s="23"/>
      <c r="C1" s="23"/>
      <c r="D1" s="23"/>
      <c r="E1" s="23"/>
      <c r="F1" s="23"/>
      <c r="G1" s="23"/>
      <c r="H1" s="23"/>
      <c r="I1" s="23"/>
      <c r="J1" s="23"/>
    </row>
    <row r="2" spans="1:10" ht="21.75" customHeight="1" x14ac:dyDescent="0.3">
      <c r="A2" s="24" t="s">
        <v>403</v>
      </c>
      <c r="B2" s="24"/>
      <c r="C2" s="24"/>
      <c r="D2" s="24"/>
      <c r="E2" s="24"/>
      <c r="F2" s="24"/>
      <c r="G2" s="24"/>
      <c r="H2" s="24"/>
      <c r="I2" s="24"/>
      <c r="J2" s="24"/>
    </row>
    <row r="3" spans="1:10" ht="30" customHeight="1" x14ac:dyDescent="0.3">
      <c r="A3" s="25" t="s">
        <v>404</v>
      </c>
      <c r="B3" s="25"/>
      <c r="C3" s="25"/>
      <c r="D3" s="25"/>
      <c r="E3" s="25"/>
      <c r="F3" s="25"/>
      <c r="G3" s="25"/>
      <c r="H3" s="25"/>
      <c r="I3" s="25"/>
      <c r="J3" s="25"/>
    </row>
    <row r="5" spans="1:10" ht="7.5" customHeight="1" x14ac:dyDescent="0.3"/>
    <row r="6" spans="1:10" ht="31.5" customHeight="1" x14ac:dyDescent="0.3">
      <c r="A6" s="22" t="s">
        <v>405</v>
      </c>
      <c r="B6" s="22"/>
      <c r="C6" s="22"/>
      <c r="D6" s="22"/>
      <c r="E6" s="22"/>
      <c r="F6" s="22"/>
      <c r="G6" s="22"/>
      <c r="H6" s="22"/>
      <c r="I6" s="22"/>
      <c r="J6" s="22"/>
    </row>
    <row r="7" spans="1:10" ht="19.5" customHeight="1" x14ac:dyDescent="0.3">
      <c r="A7" s="21" t="s">
        <v>406</v>
      </c>
      <c r="B7" s="21"/>
      <c r="C7" s="21"/>
      <c r="D7" s="21"/>
      <c r="E7" s="21"/>
      <c r="F7" s="21"/>
      <c r="G7" s="21"/>
      <c r="H7" s="21"/>
      <c r="I7" s="21"/>
      <c r="J7" s="21"/>
    </row>
    <row r="8" spans="1:10" ht="36" customHeight="1" x14ac:dyDescent="0.3">
      <c r="A8" s="10" t="s">
        <v>407</v>
      </c>
      <c r="B8" s="10" t="s">
        <v>408</v>
      </c>
      <c r="C8" s="10" t="s">
        <v>409</v>
      </c>
      <c r="D8" s="10" t="s">
        <v>410</v>
      </c>
      <c r="E8" s="10" t="s">
        <v>411</v>
      </c>
      <c r="F8" s="10" t="s">
        <v>412</v>
      </c>
      <c r="G8" s="10" t="s">
        <v>413</v>
      </c>
      <c r="H8" s="10" t="s">
        <v>414</v>
      </c>
      <c r="I8" s="10" t="s">
        <v>415</v>
      </c>
      <c r="J8" t="s">
        <v>415</v>
      </c>
    </row>
    <row r="9" spans="1:10" ht="60" customHeight="1" x14ac:dyDescent="0.3">
      <c r="A9" s="11">
        <v>1</v>
      </c>
      <c r="B9" s="12" t="s">
        <v>416</v>
      </c>
      <c r="C9" s="11" t="s">
        <v>417</v>
      </c>
      <c r="D9" s="13" t="s">
        <v>418</v>
      </c>
      <c r="E9" s="11">
        <f ca="1">COUNTBLANK(Sheet2_RawData!$D$2:$D$313)</f>
        <v>0</v>
      </c>
      <c r="F9" s="11"/>
      <c r="G9" s="11"/>
      <c r="H9" s="11" t="s">
        <v>419</v>
      </c>
      <c r="I9" s="11"/>
    </row>
    <row r="10" spans="1:10" ht="60" customHeight="1" x14ac:dyDescent="0.3">
      <c r="A10" s="14">
        <v>2</v>
      </c>
      <c r="B10" s="15" t="s">
        <v>420</v>
      </c>
      <c r="C10" s="14" t="s">
        <v>421</v>
      </c>
      <c r="D10" s="13" t="s">
        <v>418</v>
      </c>
      <c r="E10" s="14" t="b">
        <f>ISNUMBER(Sheet2_RawData!$I2)</f>
        <v>1</v>
      </c>
      <c r="F10" s="14"/>
      <c r="G10" s="14"/>
      <c r="H10" s="14" t="s">
        <v>419</v>
      </c>
      <c r="I10" s="14"/>
    </row>
    <row r="11" spans="1:10" ht="45" customHeight="1" x14ac:dyDescent="0.3">
      <c r="A11" s="11">
        <v>3</v>
      </c>
      <c r="B11" s="12" t="s">
        <v>422</v>
      </c>
      <c r="C11" s="11" t="s">
        <v>423</v>
      </c>
      <c r="D11" s="13" t="s">
        <v>418</v>
      </c>
      <c r="E11" s="11">
        <f>SUMPRODUCT((COUNTIF(Sheet2_RawData!$A$2:$A$313, Sheet2_RawData!$A$2:$A$313)&gt;1)*1)</f>
        <v>23</v>
      </c>
      <c r="F11" s="11"/>
      <c r="G11" s="11"/>
      <c r="H11" s="11" t="s">
        <v>419</v>
      </c>
      <c r="I11" s="11"/>
    </row>
    <row r="12" spans="1:10" ht="60" customHeight="1" x14ac:dyDescent="0.3">
      <c r="A12" s="14">
        <v>4</v>
      </c>
      <c r="B12" s="28" t="s">
        <v>424</v>
      </c>
      <c r="C12" s="14" t="s">
        <v>425</v>
      </c>
      <c r="D12" s="13" t="s">
        <v>418</v>
      </c>
      <c r="E12" s="14"/>
      <c r="F12" s="14"/>
      <c r="G12" s="14"/>
      <c r="H12" s="19" t="s">
        <v>419</v>
      </c>
      <c r="I12" s="14"/>
    </row>
    <row r="13" spans="1:10" ht="60" customHeight="1" x14ac:dyDescent="0.3">
      <c r="A13" s="11">
        <v>5</v>
      </c>
      <c r="B13" s="26" t="s">
        <v>426</v>
      </c>
      <c r="C13" s="11" t="s">
        <v>427</v>
      </c>
      <c r="D13" s="13" t="s">
        <v>418</v>
      </c>
      <c r="E13" s="11">
        <f>COUNTIF(Sheet2_RawData!J2:J313,"&gt;0.15")</f>
        <v>36</v>
      </c>
      <c r="F13" s="11"/>
      <c r="G13" s="11"/>
      <c r="H13" s="11" t="s">
        <v>419</v>
      </c>
      <c r="I13" s="11"/>
    </row>
    <row r="14" spans="1:10" ht="60" customHeight="1" x14ac:dyDescent="0.3">
      <c r="A14" s="14">
        <v>6</v>
      </c>
      <c r="B14" s="28" t="s">
        <v>428</v>
      </c>
      <c r="C14" s="14" t="s">
        <v>429</v>
      </c>
      <c r="D14" s="16" t="s">
        <v>430</v>
      </c>
      <c r="E14" s="14"/>
      <c r="F14" s="14"/>
      <c r="G14" s="14"/>
      <c r="H14" s="14" t="s">
        <v>419</v>
      </c>
      <c r="I14" s="14"/>
    </row>
    <row r="15" spans="1:10" ht="45" customHeight="1" x14ac:dyDescent="0.3">
      <c r="A15" s="11">
        <v>7</v>
      </c>
      <c r="B15" s="26" t="s">
        <v>431</v>
      </c>
      <c r="C15" s="11" t="s">
        <v>432</v>
      </c>
      <c r="D15" s="13" t="s">
        <v>418</v>
      </c>
      <c r="E15" s="11">
        <f>SUM(Sheet2_RawData!M1:M313)</f>
        <v>18013166.864499997</v>
      </c>
      <c r="F15" s="11"/>
      <c r="G15" s="11"/>
      <c r="H15" s="18" t="s">
        <v>419</v>
      </c>
      <c r="I15" s="11"/>
    </row>
    <row r="16" spans="1:10" ht="45" customHeight="1" x14ac:dyDescent="0.3">
      <c r="A16" s="14">
        <v>8</v>
      </c>
      <c r="B16" s="15" t="s">
        <v>433</v>
      </c>
      <c r="C16" s="14" t="s">
        <v>434</v>
      </c>
      <c r="D16" s="13" t="s">
        <v>418</v>
      </c>
      <c r="E16" s="14">
        <f>Sheet2_RawData!M13</f>
        <v>124989.62849999999</v>
      </c>
      <c r="F16" s="14"/>
      <c r="G16" s="14"/>
      <c r="H16" s="14" t="s">
        <v>419</v>
      </c>
      <c r="I16" s="14"/>
    </row>
    <row r="17" spans="1:10" ht="60" customHeight="1" x14ac:dyDescent="0.3">
      <c r="A17" s="11">
        <v>9</v>
      </c>
      <c r="B17" s="26" t="s">
        <v>435</v>
      </c>
      <c r="C17" s="11" t="s">
        <v>436</v>
      </c>
      <c r="D17" s="16" t="s">
        <v>430</v>
      </c>
      <c r="E17" s="30">
        <f>SUM(Sheet2_RawData!M2:M309)</f>
        <v>17712738.908499997</v>
      </c>
      <c r="F17" s="31" t="s">
        <v>534</v>
      </c>
      <c r="G17" s="11"/>
      <c r="H17" s="11" t="s">
        <v>419</v>
      </c>
      <c r="I17" s="11"/>
    </row>
    <row r="18" spans="1:10" ht="45" customHeight="1" x14ac:dyDescent="0.3">
      <c r="A18" s="14">
        <v>10</v>
      </c>
      <c r="B18" s="28" t="s">
        <v>437</v>
      </c>
      <c r="C18" s="14" t="s">
        <v>438</v>
      </c>
      <c r="D18" s="16" t="s">
        <v>430</v>
      </c>
      <c r="E18" s="14"/>
      <c r="F18" s="14"/>
      <c r="G18" s="14"/>
      <c r="H18" s="14" t="s">
        <v>419</v>
      </c>
      <c r="I18" s="14"/>
    </row>
    <row r="19" spans="1:10" ht="7.5" customHeight="1" x14ac:dyDescent="0.3"/>
    <row r="20" spans="1:10" ht="31.5" customHeight="1" x14ac:dyDescent="0.3">
      <c r="A20" s="22" t="s">
        <v>439</v>
      </c>
      <c r="B20" s="22"/>
      <c r="C20" s="22"/>
      <c r="D20" s="22"/>
      <c r="E20" s="22"/>
      <c r="F20" s="22"/>
      <c r="G20" s="22"/>
      <c r="H20" s="22"/>
      <c r="I20" s="22"/>
      <c r="J20" s="22"/>
    </row>
    <row r="21" spans="1:10" ht="19.5" customHeight="1" x14ac:dyDescent="0.3">
      <c r="A21" s="21" t="s">
        <v>440</v>
      </c>
      <c r="B21" s="21"/>
      <c r="C21" s="21"/>
      <c r="D21" s="21"/>
      <c r="E21" s="21"/>
      <c r="F21" s="21"/>
      <c r="G21" s="21"/>
      <c r="H21" s="21"/>
      <c r="I21" s="21"/>
      <c r="J21" s="21"/>
    </row>
    <row r="22" spans="1:10" ht="36" customHeight="1" x14ac:dyDescent="0.3">
      <c r="A22" s="10" t="s">
        <v>407</v>
      </c>
      <c r="B22" s="10" t="s">
        <v>408</v>
      </c>
      <c r="C22" s="10" t="s">
        <v>409</v>
      </c>
      <c r="D22" s="10" t="s">
        <v>410</v>
      </c>
      <c r="E22" s="10" t="s">
        <v>411</v>
      </c>
      <c r="F22" s="10" t="s">
        <v>412</v>
      </c>
      <c r="G22" s="10" t="s">
        <v>413</v>
      </c>
      <c r="H22" s="10" t="s">
        <v>414</v>
      </c>
      <c r="I22" s="10" t="s">
        <v>415</v>
      </c>
      <c r="J22" t="s">
        <v>415</v>
      </c>
    </row>
    <row r="23" spans="1:10" ht="45" customHeight="1" x14ac:dyDescent="0.3">
      <c r="A23" s="11">
        <v>11</v>
      </c>
      <c r="B23" s="12" t="s">
        <v>441</v>
      </c>
      <c r="C23" s="11" t="s">
        <v>442</v>
      </c>
      <c r="D23" s="13" t="s">
        <v>418</v>
      </c>
      <c r="E23" s="11"/>
      <c r="F23" s="11"/>
      <c r="G23" s="11"/>
      <c r="H23" s="11" t="s">
        <v>419</v>
      </c>
      <c r="I23" s="11"/>
    </row>
    <row r="24" spans="1:10" ht="45" customHeight="1" x14ac:dyDescent="0.3">
      <c r="A24" s="14">
        <v>12</v>
      </c>
      <c r="B24" s="15" t="s">
        <v>443</v>
      </c>
      <c r="C24" s="14" t="s">
        <v>444</v>
      </c>
      <c r="D24" s="13" t="s">
        <v>418</v>
      </c>
      <c r="E24" s="14"/>
      <c r="F24" s="14"/>
      <c r="G24" s="14"/>
      <c r="H24" s="14" t="s">
        <v>419</v>
      </c>
      <c r="I24" s="14"/>
    </row>
    <row r="25" spans="1:10" ht="45" customHeight="1" x14ac:dyDescent="0.3">
      <c r="A25" s="11">
        <v>13</v>
      </c>
      <c r="B25" s="12" t="s">
        <v>445</v>
      </c>
      <c r="C25" s="11" t="s">
        <v>446</v>
      </c>
      <c r="D25" s="16" t="s">
        <v>430</v>
      </c>
      <c r="E25" s="11"/>
      <c r="F25" s="11"/>
      <c r="G25" s="11"/>
      <c r="H25" s="11" t="s">
        <v>419</v>
      </c>
      <c r="I25" s="11"/>
    </row>
    <row r="26" spans="1:10" ht="45" customHeight="1" x14ac:dyDescent="0.3">
      <c r="A26" s="14">
        <v>14</v>
      </c>
      <c r="B26" s="15" t="s">
        <v>447</v>
      </c>
      <c r="C26" s="14" t="s">
        <v>448</v>
      </c>
      <c r="D26" s="13" t="s">
        <v>418</v>
      </c>
      <c r="E26" s="14"/>
      <c r="F26" s="14"/>
      <c r="G26" s="14"/>
      <c r="H26" s="14" t="s">
        <v>419</v>
      </c>
      <c r="I26" s="14"/>
    </row>
    <row r="27" spans="1:10" ht="45" customHeight="1" x14ac:dyDescent="0.3">
      <c r="A27" s="11">
        <v>15</v>
      </c>
      <c r="B27" s="12" t="s">
        <v>449</v>
      </c>
      <c r="C27" s="11" t="s">
        <v>450</v>
      </c>
      <c r="D27" s="13" t="s">
        <v>418</v>
      </c>
      <c r="E27" s="11"/>
      <c r="F27" s="11"/>
      <c r="G27" s="11"/>
      <c r="H27" s="11" t="s">
        <v>419</v>
      </c>
      <c r="I27" s="11"/>
    </row>
    <row r="28" spans="1:10" ht="45" customHeight="1" x14ac:dyDescent="0.3">
      <c r="A28" s="14">
        <v>16</v>
      </c>
      <c r="B28" s="15" t="s">
        <v>451</v>
      </c>
      <c r="C28" s="14" t="s">
        <v>452</v>
      </c>
      <c r="D28" s="16" t="s">
        <v>430</v>
      </c>
      <c r="E28" s="14"/>
      <c r="F28" s="14"/>
      <c r="G28" s="14"/>
      <c r="H28" s="14" t="s">
        <v>419</v>
      </c>
      <c r="I28" s="14"/>
    </row>
    <row r="29" spans="1:10" ht="45" customHeight="1" x14ac:dyDescent="0.3">
      <c r="A29" s="11">
        <v>17</v>
      </c>
      <c r="B29" s="12" t="s">
        <v>453</v>
      </c>
      <c r="C29" s="11" t="s">
        <v>454</v>
      </c>
      <c r="D29" s="13" t="s">
        <v>418</v>
      </c>
      <c r="E29" s="11"/>
      <c r="F29" s="11"/>
      <c r="G29" s="11"/>
      <c r="H29" s="11" t="s">
        <v>419</v>
      </c>
      <c r="I29" s="11"/>
    </row>
    <row r="30" spans="1:10" ht="60" customHeight="1" x14ac:dyDescent="0.3">
      <c r="A30" s="14">
        <v>18</v>
      </c>
      <c r="B30" s="15" t="s">
        <v>455</v>
      </c>
      <c r="C30" s="14" t="s">
        <v>456</v>
      </c>
      <c r="D30" s="16" t="s">
        <v>430</v>
      </c>
      <c r="E30" s="14"/>
      <c r="F30" s="14"/>
      <c r="G30" s="14"/>
      <c r="H30" s="14" t="s">
        <v>419</v>
      </c>
      <c r="I30" s="14"/>
    </row>
    <row r="31" spans="1:10" ht="45" customHeight="1" x14ac:dyDescent="0.3">
      <c r="A31" s="11">
        <v>19</v>
      </c>
      <c r="B31" s="12" t="s">
        <v>457</v>
      </c>
      <c r="C31" s="11" t="s">
        <v>458</v>
      </c>
      <c r="D31" s="16" t="s">
        <v>430</v>
      </c>
      <c r="E31" s="11"/>
      <c r="F31" s="11"/>
      <c r="G31" s="11"/>
      <c r="H31" s="11" t="s">
        <v>419</v>
      </c>
      <c r="I31" s="11"/>
    </row>
    <row r="32" spans="1:10" ht="60" customHeight="1" x14ac:dyDescent="0.3">
      <c r="A32" s="14">
        <v>20</v>
      </c>
      <c r="B32" s="15" t="s">
        <v>459</v>
      </c>
      <c r="C32" s="14" t="s">
        <v>460</v>
      </c>
      <c r="D32" s="17" t="s">
        <v>461</v>
      </c>
      <c r="E32" s="14"/>
      <c r="F32" s="14"/>
      <c r="G32" s="14"/>
      <c r="H32" s="14" t="s">
        <v>419</v>
      </c>
      <c r="I32" s="14"/>
    </row>
    <row r="33" spans="1:10" ht="7.5" customHeight="1" x14ac:dyDescent="0.3"/>
    <row r="34" spans="1:10" ht="31.5" customHeight="1" x14ac:dyDescent="0.3">
      <c r="A34" s="22" t="s">
        <v>462</v>
      </c>
      <c r="B34" s="22"/>
      <c r="C34" s="22"/>
      <c r="D34" s="22"/>
      <c r="E34" s="22"/>
      <c r="F34" s="22"/>
      <c r="G34" s="22"/>
      <c r="H34" s="22"/>
      <c r="I34" s="22"/>
      <c r="J34" s="22"/>
    </row>
    <row r="35" spans="1:10" ht="19.5" customHeight="1" x14ac:dyDescent="0.3">
      <c r="A35" s="21" t="s">
        <v>463</v>
      </c>
      <c r="B35" s="21"/>
      <c r="C35" s="21"/>
      <c r="D35" s="21"/>
      <c r="E35" s="21"/>
      <c r="F35" s="21"/>
      <c r="G35" s="21"/>
      <c r="H35" s="21"/>
      <c r="I35" s="21"/>
      <c r="J35" s="21"/>
    </row>
    <row r="36" spans="1:10" ht="36" customHeight="1" x14ac:dyDescent="0.3">
      <c r="A36" s="10" t="s">
        <v>407</v>
      </c>
      <c r="B36" s="10" t="s">
        <v>408</v>
      </c>
      <c r="C36" s="10" t="s">
        <v>409</v>
      </c>
      <c r="D36" s="10" t="s">
        <v>410</v>
      </c>
      <c r="E36" s="10" t="s">
        <v>411</v>
      </c>
      <c r="F36" s="10" t="s">
        <v>412</v>
      </c>
      <c r="G36" s="10" t="s">
        <v>413</v>
      </c>
      <c r="H36" s="10" t="s">
        <v>414</v>
      </c>
      <c r="I36" s="10" t="s">
        <v>415</v>
      </c>
      <c r="J36" t="s">
        <v>415</v>
      </c>
    </row>
    <row r="37" spans="1:10" ht="45" customHeight="1" x14ac:dyDescent="0.3">
      <c r="A37" s="11">
        <v>21</v>
      </c>
      <c r="B37" s="12" t="s">
        <v>464</v>
      </c>
      <c r="C37" s="11" t="s">
        <v>465</v>
      </c>
      <c r="D37" s="13" t="s">
        <v>418</v>
      </c>
      <c r="E37" s="11"/>
      <c r="F37" s="11"/>
      <c r="G37" s="11"/>
      <c r="H37" s="11" t="s">
        <v>419</v>
      </c>
      <c r="I37" s="11"/>
    </row>
    <row r="38" spans="1:10" ht="45" customHeight="1" x14ac:dyDescent="0.3">
      <c r="A38" s="14">
        <v>22</v>
      </c>
      <c r="B38" s="15" t="s">
        <v>466</v>
      </c>
      <c r="C38" s="14" t="s">
        <v>467</v>
      </c>
      <c r="D38" s="13" t="s">
        <v>418</v>
      </c>
      <c r="E38" s="14"/>
      <c r="F38" s="14"/>
      <c r="G38" s="14"/>
      <c r="H38" s="14" t="s">
        <v>419</v>
      </c>
      <c r="I38" s="14"/>
    </row>
    <row r="39" spans="1:10" ht="45" customHeight="1" x14ac:dyDescent="0.3">
      <c r="A39" s="11">
        <v>23</v>
      </c>
      <c r="B39" s="12" t="s">
        <v>468</v>
      </c>
      <c r="C39" s="11" t="s">
        <v>469</v>
      </c>
      <c r="D39" s="16" t="s">
        <v>430</v>
      </c>
      <c r="E39" s="11"/>
      <c r="F39" s="11"/>
      <c r="G39" s="11"/>
      <c r="H39" s="11" t="s">
        <v>419</v>
      </c>
      <c r="I39" s="11"/>
    </row>
    <row r="40" spans="1:10" ht="60" customHeight="1" x14ac:dyDescent="0.3">
      <c r="A40" s="14">
        <v>24</v>
      </c>
      <c r="B40" s="15" t="s">
        <v>470</v>
      </c>
      <c r="C40" s="14" t="s">
        <v>471</v>
      </c>
      <c r="D40" s="16" t="s">
        <v>430</v>
      </c>
      <c r="E40" s="14"/>
      <c r="F40" s="14"/>
      <c r="G40" s="14"/>
      <c r="H40" s="14" t="s">
        <v>419</v>
      </c>
      <c r="I40" s="14"/>
    </row>
    <row r="41" spans="1:10" ht="60" customHeight="1" x14ac:dyDescent="0.3">
      <c r="A41" s="11">
        <v>25</v>
      </c>
      <c r="B41" s="12" t="s">
        <v>472</v>
      </c>
      <c r="C41" s="11" t="s">
        <v>473</v>
      </c>
      <c r="D41" s="17" t="s">
        <v>461</v>
      </c>
      <c r="E41" s="11"/>
      <c r="F41" s="11"/>
      <c r="G41" s="11"/>
      <c r="H41" s="11" t="s">
        <v>419</v>
      </c>
      <c r="I41" s="11"/>
    </row>
    <row r="42" spans="1:10" ht="45" customHeight="1" x14ac:dyDescent="0.3">
      <c r="A42" s="14">
        <v>26</v>
      </c>
      <c r="B42" s="15" t="s">
        <v>474</v>
      </c>
      <c r="C42" s="14" t="s">
        <v>475</v>
      </c>
      <c r="D42" s="16" t="s">
        <v>430</v>
      </c>
      <c r="E42" s="14"/>
      <c r="F42" s="14"/>
      <c r="G42" s="14"/>
      <c r="H42" s="14" t="s">
        <v>419</v>
      </c>
      <c r="I42" s="14"/>
    </row>
    <row r="43" spans="1:10" ht="45" customHeight="1" x14ac:dyDescent="0.3">
      <c r="A43" s="11">
        <v>27</v>
      </c>
      <c r="B43" s="12" t="s">
        <v>476</v>
      </c>
      <c r="C43" s="11" t="s">
        <v>477</v>
      </c>
      <c r="D43" s="16" t="s">
        <v>430</v>
      </c>
      <c r="E43" s="11"/>
      <c r="F43" s="11"/>
      <c r="G43" s="11"/>
      <c r="H43" s="11" t="s">
        <v>419</v>
      </c>
      <c r="I43" s="11"/>
    </row>
    <row r="44" spans="1:10" ht="45" customHeight="1" x14ac:dyDescent="0.3">
      <c r="A44" s="14">
        <v>28</v>
      </c>
      <c r="B44" s="15" t="s">
        <v>478</v>
      </c>
      <c r="C44" s="14" t="s">
        <v>479</v>
      </c>
      <c r="D44" s="13" t="s">
        <v>418</v>
      </c>
      <c r="E44" s="14"/>
      <c r="F44" s="14"/>
      <c r="G44" s="14"/>
      <c r="H44" s="14" t="s">
        <v>419</v>
      </c>
      <c r="I44" s="14"/>
    </row>
    <row r="45" spans="1:10" ht="60" customHeight="1" x14ac:dyDescent="0.3">
      <c r="A45" s="11">
        <v>29</v>
      </c>
      <c r="B45" s="12" t="s">
        <v>480</v>
      </c>
      <c r="C45" s="11" t="s">
        <v>481</v>
      </c>
      <c r="D45" s="16" t="s">
        <v>430</v>
      </c>
      <c r="E45" s="11"/>
      <c r="F45" s="11"/>
      <c r="G45" s="11"/>
      <c r="H45" s="11" t="s">
        <v>419</v>
      </c>
      <c r="I45" s="11"/>
    </row>
    <row r="46" spans="1:10" ht="60" customHeight="1" x14ac:dyDescent="0.3">
      <c r="A46" s="14">
        <v>30</v>
      </c>
      <c r="B46" s="15" t="s">
        <v>482</v>
      </c>
      <c r="C46" s="14" t="s">
        <v>483</v>
      </c>
      <c r="D46" s="17" t="s">
        <v>461</v>
      </c>
      <c r="E46" s="14"/>
      <c r="F46" s="14"/>
      <c r="G46" s="14"/>
      <c r="H46" s="14" t="s">
        <v>419</v>
      </c>
      <c r="I46" s="14"/>
    </row>
    <row r="47" spans="1:10" ht="7.5" customHeight="1" x14ac:dyDescent="0.3"/>
    <row r="48" spans="1:10" ht="31.5" customHeight="1" x14ac:dyDescent="0.3">
      <c r="A48" s="22" t="s">
        <v>484</v>
      </c>
      <c r="B48" s="22"/>
      <c r="C48" s="22"/>
      <c r="D48" s="22"/>
      <c r="E48" s="22"/>
      <c r="F48" s="22"/>
      <c r="G48" s="22"/>
      <c r="H48" s="22"/>
      <c r="I48" s="22"/>
      <c r="J48" s="22"/>
    </row>
    <row r="49" spans="1:10" ht="19.5" customHeight="1" x14ac:dyDescent="0.3">
      <c r="A49" s="21" t="s">
        <v>485</v>
      </c>
      <c r="B49" s="21"/>
      <c r="C49" s="21"/>
      <c r="D49" s="21"/>
      <c r="E49" s="21"/>
      <c r="F49" s="21"/>
      <c r="G49" s="21"/>
      <c r="H49" s="21"/>
      <c r="I49" s="21"/>
      <c r="J49" s="21"/>
    </row>
    <row r="50" spans="1:10" ht="36" customHeight="1" x14ac:dyDescent="0.3">
      <c r="A50" s="10" t="s">
        <v>407</v>
      </c>
      <c r="B50" s="10" t="s">
        <v>408</v>
      </c>
      <c r="C50" s="10" t="s">
        <v>409</v>
      </c>
      <c r="D50" s="10" t="s">
        <v>410</v>
      </c>
      <c r="E50" s="10" t="s">
        <v>411</v>
      </c>
      <c r="F50" s="10" t="s">
        <v>412</v>
      </c>
      <c r="G50" s="10" t="s">
        <v>413</v>
      </c>
      <c r="H50" s="10" t="s">
        <v>414</v>
      </c>
      <c r="I50" s="10" t="s">
        <v>415</v>
      </c>
      <c r="J50" t="s">
        <v>415</v>
      </c>
    </row>
    <row r="51" spans="1:10" ht="60" customHeight="1" x14ac:dyDescent="0.3">
      <c r="A51" s="11">
        <v>31</v>
      </c>
      <c r="B51" s="12" t="s">
        <v>486</v>
      </c>
      <c r="C51" s="11" t="s">
        <v>487</v>
      </c>
      <c r="D51" s="13" t="s">
        <v>418</v>
      </c>
      <c r="E51" s="11"/>
      <c r="F51" s="11"/>
      <c r="G51" s="11"/>
      <c r="H51" s="11" t="s">
        <v>419</v>
      </c>
      <c r="I51" s="11"/>
    </row>
    <row r="52" spans="1:10" ht="60" customHeight="1" x14ac:dyDescent="0.3">
      <c r="A52" s="14">
        <v>32</v>
      </c>
      <c r="B52" s="15" t="s">
        <v>488</v>
      </c>
      <c r="C52" s="14" t="s">
        <v>489</v>
      </c>
      <c r="D52" s="16" t="s">
        <v>430</v>
      </c>
      <c r="E52" s="14"/>
      <c r="F52" s="14"/>
      <c r="G52" s="14"/>
      <c r="H52" s="14" t="s">
        <v>419</v>
      </c>
      <c r="I52" s="14"/>
    </row>
    <row r="53" spans="1:10" ht="45" customHeight="1" x14ac:dyDescent="0.3">
      <c r="A53" s="11">
        <v>33</v>
      </c>
      <c r="B53" s="12" t="s">
        <v>490</v>
      </c>
      <c r="C53" s="11" t="s">
        <v>491</v>
      </c>
      <c r="D53" s="16" t="s">
        <v>430</v>
      </c>
      <c r="E53" s="11"/>
      <c r="F53" s="11"/>
      <c r="G53" s="11"/>
      <c r="H53" s="11" t="s">
        <v>419</v>
      </c>
      <c r="I53" s="11"/>
    </row>
    <row r="54" spans="1:10" ht="45" customHeight="1" x14ac:dyDescent="0.3">
      <c r="A54" s="14">
        <v>34</v>
      </c>
      <c r="B54" s="15" t="s">
        <v>492</v>
      </c>
      <c r="C54" s="14" t="s">
        <v>493</v>
      </c>
      <c r="D54" s="16" t="s">
        <v>430</v>
      </c>
      <c r="E54" s="14"/>
      <c r="F54" s="14"/>
      <c r="G54" s="14"/>
      <c r="H54" s="14" t="s">
        <v>419</v>
      </c>
      <c r="I54" s="14"/>
    </row>
    <row r="55" spans="1:10" ht="45" customHeight="1" x14ac:dyDescent="0.3">
      <c r="A55" s="11">
        <v>35</v>
      </c>
      <c r="B55" s="12" t="s">
        <v>494</v>
      </c>
      <c r="C55" s="11" t="s">
        <v>495</v>
      </c>
      <c r="D55" s="16" t="s">
        <v>430</v>
      </c>
      <c r="E55" s="11"/>
      <c r="F55" s="11"/>
      <c r="G55" s="11"/>
      <c r="H55" s="11" t="s">
        <v>419</v>
      </c>
      <c r="I55" s="11"/>
    </row>
    <row r="56" spans="1:10" ht="60" customHeight="1" x14ac:dyDescent="0.3">
      <c r="A56" s="14">
        <v>36</v>
      </c>
      <c r="B56" s="15" t="s">
        <v>496</v>
      </c>
      <c r="C56" s="14" t="s">
        <v>497</v>
      </c>
      <c r="D56" s="17" t="s">
        <v>461</v>
      </c>
      <c r="E56" s="14"/>
      <c r="F56" s="14"/>
      <c r="G56" s="14"/>
      <c r="H56" s="14" t="s">
        <v>419</v>
      </c>
      <c r="I56" s="14"/>
    </row>
    <row r="57" spans="1:10" ht="60" customHeight="1" x14ac:dyDescent="0.3">
      <c r="A57" s="11">
        <v>37</v>
      </c>
      <c r="B57" s="12" t="s">
        <v>498</v>
      </c>
      <c r="C57" s="11" t="s">
        <v>499</v>
      </c>
      <c r="D57" s="17" t="s">
        <v>461</v>
      </c>
      <c r="E57" s="11"/>
      <c r="F57" s="11"/>
      <c r="G57" s="11"/>
      <c r="H57" s="11" t="s">
        <v>419</v>
      </c>
      <c r="I57" s="11"/>
    </row>
    <row r="58" spans="1:10" ht="60" customHeight="1" x14ac:dyDescent="0.3">
      <c r="A58" s="14">
        <v>38</v>
      </c>
      <c r="B58" s="15" t="s">
        <v>500</v>
      </c>
      <c r="C58" s="14" t="s">
        <v>501</v>
      </c>
      <c r="D58" s="17" t="s">
        <v>461</v>
      </c>
      <c r="E58" s="14"/>
      <c r="F58" s="14"/>
      <c r="G58" s="14"/>
      <c r="H58" s="14" t="s">
        <v>419</v>
      </c>
      <c r="I58" s="14"/>
    </row>
    <row r="59" spans="1:10" ht="60" customHeight="1" x14ac:dyDescent="0.3">
      <c r="A59" s="11">
        <v>39</v>
      </c>
      <c r="B59" s="12" t="s">
        <v>502</v>
      </c>
      <c r="C59" s="11" t="s">
        <v>503</v>
      </c>
      <c r="D59" s="16" t="s">
        <v>430</v>
      </c>
      <c r="E59" s="11"/>
      <c r="F59" s="11"/>
      <c r="G59" s="11"/>
      <c r="H59" s="11" t="s">
        <v>419</v>
      </c>
      <c r="I59" s="11"/>
    </row>
    <row r="60" spans="1:10" ht="60" customHeight="1" x14ac:dyDescent="0.3">
      <c r="A60" s="14">
        <v>40</v>
      </c>
      <c r="B60" s="15" t="s">
        <v>504</v>
      </c>
      <c r="C60" s="14" t="s">
        <v>505</v>
      </c>
      <c r="D60" s="16" t="s">
        <v>430</v>
      </c>
      <c r="E60" s="14"/>
      <c r="F60" s="14"/>
      <c r="G60" s="14"/>
      <c r="H60" s="14" t="s">
        <v>419</v>
      </c>
      <c r="I60" s="14"/>
    </row>
    <row r="61" spans="1:10" ht="7.5" customHeight="1" x14ac:dyDescent="0.3"/>
    <row r="62" spans="1:10" ht="31.5" customHeight="1" x14ac:dyDescent="0.3">
      <c r="A62" s="22" t="s">
        <v>506</v>
      </c>
      <c r="B62" s="22"/>
      <c r="C62" s="22"/>
      <c r="D62" s="22"/>
      <c r="E62" s="22"/>
      <c r="F62" s="22"/>
      <c r="G62" s="22"/>
      <c r="H62" s="22"/>
      <c r="I62" s="22"/>
      <c r="J62" s="22"/>
    </row>
    <row r="63" spans="1:10" ht="19.5" customHeight="1" x14ac:dyDescent="0.3">
      <c r="A63" s="21" t="s">
        <v>507</v>
      </c>
      <c r="B63" s="21"/>
      <c r="C63" s="21"/>
      <c r="D63" s="21"/>
      <c r="E63" s="21"/>
      <c r="F63" s="21"/>
      <c r="G63" s="21"/>
      <c r="H63" s="21"/>
      <c r="I63" s="21"/>
      <c r="J63" s="21"/>
    </row>
    <row r="64" spans="1:10" ht="36" customHeight="1" x14ac:dyDescent="0.3">
      <c r="A64" s="10" t="s">
        <v>407</v>
      </c>
      <c r="B64" s="10" t="s">
        <v>408</v>
      </c>
      <c r="C64" s="10" t="s">
        <v>409</v>
      </c>
      <c r="D64" s="10" t="s">
        <v>410</v>
      </c>
      <c r="E64" s="10" t="s">
        <v>411</v>
      </c>
      <c r="F64" s="10" t="s">
        <v>412</v>
      </c>
      <c r="G64" s="10" t="s">
        <v>413</v>
      </c>
      <c r="H64" s="10" t="s">
        <v>414</v>
      </c>
      <c r="I64" s="10" t="s">
        <v>415</v>
      </c>
      <c r="J64" t="s">
        <v>415</v>
      </c>
    </row>
    <row r="65" spans="1:10" ht="45" customHeight="1" x14ac:dyDescent="0.3">
      <c r="A65" s="11">
        <v>41</v>
      </c>
      <c r="B65" s="12" t="s">
        <v>508</v>
      </c>
      <c r="C65" s="11" t="s">
        <v>509</v>
      </c>
      <c r="D65" s="13" t="s">
        <v>418</v>
      </c>
      <c r="E65" s="11"/>
      <c r="F65" s="11"/>
      <c r="G65" s="11"/>
      <c r="H65" s="11" t="s">
        <v>419</v>
      </c>
      <c r="I65" s="11"/>
    </row>
    <row r="66" spans="1:10" ht="60" customHeight="1" x14ac:dyDescent="0.3">
      <c r="A66" s="14">
        <v>42</v>
      </c>
      <c r="B66" s="15" t="s">
        <v>510</v>
      </c>
      <c r="C66" s="14" t="s">
        <v>511</v>
      </c>
      <c r="D66" s="16" t="s">
        <v>430</v>
      </c>
      <c r="E66" s="14"/>
      <c r="F66" s="14"/>
      <c r="G66" s="14"/>
      <c r="H66" s="14" t="s">
        <v>419</v>
      </c>
      <c r="I66" s="14"/>
    </row>
    <row r="67" spans="1:10" ht="45" customHeight="1" x14ac:dyDescent="0.3">
      <c r="A67" s="11">
        <v>43</v>
      </c>
      <c r="B67" s="12" t="s">
        <v>512</v>
      </c>
      <c r="C67" s="11" t="s">
        <v>513</v>
      </c>
      <c r="D67" s="13" t="s">
        <v>418</v>
      </c>
      <c r="E67" s="11"/>
      <c r="F67" s="11"/>
      <c r="G67" s="11"/>
      <c r="H67" s="11" t="s">
        <v>419</v>
      </c>
      <c r="I67" s="11"/>
    </row>
    <row r="68" spans="1:10" ht="60" customHeight="1" x14ac:dyDescent="0.3">
      <c r="A68" s="14">
        <v>44</v>
      </c>
      <c r="B68" s="15" t="s">
        <v>514</v>
      </c>
      <c r="C68" s="14" t="s">
        <v>515</v>
      </c>
      <c r="D68" s="16" t="s">
        <v>430</v>
      </c>
      <c r="E68" s="14"/>
      <c r="F68" s="14"/>
      <c r="G68" s="14"/>
      <c r="H68" s="14" t="s">
        <v>419</v>
      </c>
      <c r="I68" s="14"/>
    </row>
    <row r="69" spans="1:10" ht="60" customHeight="1" x14ac:dyDescent="0.3">
      <c r="A69" s="11">
        <v>45</v>
      </c>
      <c r="B69" s="12" t="s">
        <v>516</v>
      </c>
      <c r="C69" s="11" t="s">
        <v>517</v>
      </c>
      <c r="D69" s="16" t="s">
        <v>430</v>
      </c>
      <c r="E69" s="11"/>
      <c r="F69" s="11"/>
      <c r="G69" s="11"/>
      <c r="H69" s="11" t="s">
        <v>419</v>
      </c>
      <c r="I69" s="11"/>
    </row>
    <row r="70" spans="1:10" ht="7.5" customHeight="1" x14ac:dyDescent="0.3"/>
    <row r="71" spans="1:10" ht="31.5" customHeight="1" x14ac:dyDescent="0.3">
      <c r="A71" s="22" t="s">
        <v>518</v>
      </c>
      <c r="B71" s="22"/>
      <c r="C71" s="22"/>
      <c r="D71" s="22"/>
      <c r="E71" s="22"/>
      <c r="F71" s="22"/>
      <c r="G71" s="22"/>
      <c r="H71" s="22"/>
      <c r="I71" s="22"/>
      <c r="J71" s="22"/>
    </row>
    <row r="72" spans="1:10" ht="19.5" customHeight="1" x14ac:dyDescent="0.3">
      <c r="A72" s="21" t="s">
        <v>519</v>
      </c>
      <c r="B72" s="21"/>
      <c r="C72" s="21"/>
      <c r="D72" s="21"/>
      <c r="E72" s="21"/>
      <c r="F72" s="21"/>
      <c r="G72" s="21"/>
      <c r="H72" s="21"/>
      <c r="I72" s="21"/>
      <c r="J72" s="21"/>
    </row>
    <row r="73" spans="1:10" ht="36" customHeight="1" x14ac:dyDescent="0.3">
      <c r="A73" s="10" t="s">
        <v>407</v>
      </c>
      <c r="B73" s="10" t="s">
        <v>408</v>
      </c>
      <c r="C73" s="10" t="s">
        <v>409</v>
      </c>
      <c r="D73" s="10" t="s">
        <v>410</v>
      </c>
      <c r="E73" s="10" t="s">
        <v>411</v>
      </c>
      <c r="F73" s="10" t="s">
        <v>412</v>
      </c>
      <c r="G73" s="10" t="s">
        <v>413</v>
      </c>
      <c r="H73" s="10" t="s">
        <v>414</v>
      </c>
      <c r="I73" s="10" t="s">
        <v>415</v>
      </c>
      <c r="J73" t="s">
        <v>415</v>
      </c>
    </row>
    <row r="74" spans="1:10" ht="60" customHeight="1" x14ac:dyDescent="0.3">
      <c r="A74" s="14">
        <v>46</v>
      </c>
      <c r="B74" s="15" t="s">
        <v>520</v>
      </c>
      <c r="C74" s="14" t="s">
        <v>521</v>
      </c>
      <c r="D74" s="17" t="s">
        <v>461</v>
      </c>
      <c r="E74" s="14"/>
      <c r="F74" s="14"/>
      <c r="G74" s="14"/>
      <c r="H74" s="14" t="s">
        <v>419</v>
      </c>
      <c r="I74" s="14"/>
    </row>
    <row r="75" spans="1:10" ht="60" customHeight="1" x14ac:dyDescent="0.3">
      <c r="A75" s="11">
        <v>47</v>
      </c>
      <c r="B75" s="12" t="s">
        <v>522</v>
      </c>
      <c r="C75" s="11" t="s">
        <v>523</v>
      </c>
      <c r="D75" s="17" t="s">
        <v>461</v>
      </c>
      <c r="E75" s="11"/>
      <c r="F75" s="11"/>
      <c r="G75" s="11"/>
      <c r="H75" s="11" t="s">
        <v>419</v>
      </c>
      <c r="I75" s="11"/>
    </row>
    <row r="76" spans="1:10" ht="127.5" customHeight="1" x14ac:dyDescent="0.3">
      <c r="A76" s="14">
        <v>48</v>
      </c>
      <c r="B76" s="15" t="s">
        <v>524</v>
      </c>
      <c r="C76" s="14" t="s">
        <v>532</v>
      </c>
      <c r="D76" s="17" t="s">
        <v>461</v>
      </c>
      <c r="E76" s="14"/>
      <c r="F76" s="14"/>
      <c r="G76" s="14"/>
      <c r="H76" s="14" t="s">
        <v>419</v>
      </c>
      <c r="I76" s="14"/>
    </row>
    <row r="77" spans="1:10" ht="60" customHeight="1" x14ac:dyDescent="0.3">
      <c r="A77" s="11">
        <v>49</v>
      </c>
      <c r="B77" s="12" t="s">
        <v>525</v>
      </c>
      <c r="C77" s="11" t="s">
        <v>526</v>
      </c>
      <c r="D77" s="17" t="s">
        <v>461</v>
      </c>
      <c r="E77" s="11"/>
      <c r="F77" s="11"/>
      <c r="G77" s="11"/>
      <c r="H77" s="11" t="s">
        <v>419</v>
      </c>
      <c r="I77" s="11"/>
    </row>
    <row r="78" spans="1:10" ht="60" customHeight="1" x14ac:dyDescent="0.3">
      <c r="A78" s="14">
        <v>50</v>
      </c>
      <c r="B78" s="15" t="s">
        <v>527</v>
      </c>
      <c r="C78" s="14" t="s">
        <v>528</v>
      </c>
      <c r="D78" s="17" t="s">
        <v>461</v>
      </c>
      <c r="E78" s="14"/>
      <c r="F78" s="14"/>
      <c r="G78" s="14"/>
      <c r="H78" s="14" t="s">
        <v>419</v>
      </c>
      <c r="I78" s="14"/>
    </row>
    <row r="79" spans="1:10" ht="60" customHeight="1" x14ac:dyDescent="0.3">
      <c r="A79" s="11">
        <v>51</v>
      </c>
      <c r="B79" s="12" t="s">
        <v>529</v>
      </c>
      <c r="C79" s="11" t="s">
        <v>530</v>
      </c>
      <c r="D79" s="17" t="s">
        <v>461</v>
      </c>
      <c r="E79" s="11"/>
      <c r="F79" s="11"/>
      <c r="G79" s="11"/>
      <c r="H79" s="11" t="s">
        <v>419</v>
      </c>
      <c r="I79" s="11"/>
    </row>
    <row r="80" spans="1:10" ht="7.5" customHeight="1" x14ac:dyDescent="0.3"/>
    <row r="82" spans="1:10" ht="34.5" customHeight="1" x14ac:dyDescent="0.3">
      <c r="A82" s="20" t="s">
        <v>531</v>
      </c>
      <c r="B82" s="20"/>
      <c r="C82" s="20"/>
      <c r="D82" s="20"/>
      <c r="E82" s="20"/>
      <c r="F82" s="20"/>
      <c r="G82" s="20"/>
      <c r="H82" s="20"/>
      <c r="I82" s="20"/>
      <c r="J82" s="20"/>
    </row>
  </sheetData>
  <mergeCells count="16">
    <mergeCell ref="A1:J1"/>
    <mergeCell ref="A2:J2"/>
    <mergeCell ref="A3:J3"/>
    <mergeCell ref="A6:J6"/>
    <mergeCell ref="A7:J7"/>
    <mergeCell ref="A20:J20"/>
    <mergeCell ref="A21:J21"/>
    <mergeCell ref="A34:J34"/>
    <mergeCell ref="A35:J35"/>
    <mergeCell ref="A48:J48"/>
    <mergeCell ref="A82:J82"/>
    <mergeCell ref="A49:J49"/>
    <mergeCell ref="A62:J62"/>
    <mergeCell ref="A63:J63"/>
    <mergeCell ref="A71:J71"/>
    <mergeCell ref="A72:J7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13"/>
  <sheetViews>
    <sheetView tabSelected="1" topLeftCell="I1" zoomScaleNormal="100" workbookViewId="0">
      <pane ySplit="1" topLeftCell="A2" activePane="bottomLeft" state="frozen"/>
      <selection pane="bottomLeft" activeCell="P3" sqref="P3"/>
    </sheetView>
  </sheetViews>
  <sheetFormatPr defaultColWidth="8.6640625" defaultRowHeight="14.4" x14ac:dyDescent="0.3"/>
  <cols>
    <col min="1" max="2" width="14" customWidth="1"/>
    <col min="3" max="3" width="12" customWidth="1"/>
    <col min="4" max="4" width="18" customWidth="1"/>
    <col min="5" max="5" width="10" customWidth="1"/>
    <col min="6" max="7" width="18" customWidth="1"/>
    <col min="8" max="8" width="10" customWidth="1"/>
    <col min="9" max="9" width="16" customWidth="1"/>
    <col min="10" max="10" width="10" customWidth="1"/>
    <col min="11" max="11" width="13" customWidth="1"/>
    <col min="13" max="13" width="38" customWidth="1"/>
    <col min="16" max="16" width="18.77734375" customWidth="1"/>
  </cols>
  <sheetData>
    <row r="1" spans="1:17" ht="30" customHeight="1" x14ac:dyDescent="0.3">
      <c r="A1" s="1" t="s">
        <v>0</v>
      </c>
      <c r="B1" s="1" t="s">
        <v>1</v>
      </c>
      <c r="C1" s="1" t="s">
        <v>2</v>
      </c>
      <c r="D1" s="1" t="s">
        <v>3</v>
      </c>
      <c r="E1" s="1" t="s">
        <v>4</v>
      </c>
      <c r="F1" s="1" t="s">
        <v>5</v>
      </c>
      <c r="G1" s="1" t="s">
        <v>6</v>
      </c>
      <c r="H1" s="1" t="s">
        <v>7</v>
      </c>
      <c r="I1" s="1" t="s">
        <v>8</v>
      </c>
      <c r="J1" s="1" t="s">
        <v>9</v>
      </c>
      <c r="K1" s="1" t="s">
        <v>10</v>
      </c>
      <c r="M1" s="29" t="s">
        <v>533</v>
      </c>
      <c r="N1" s="29" t="s">
        <v>535</v>
      </c>
      <c r="O1" s="29" t="s">
        <v>536</v>
      </c>
      <c r="P1" s="29" t="s">
        <v>537</v>
      </c>
    </row>
    <row r="2" spans="1:17" ht="15" customHeight="1" x14ac:dyDescent="0.3">
      <c r="A2" s="6" t="s">
        <v>207</v>
      </c>
      <c r="B2" s="7">
        <v>45343</v>
      </c>
      <c r="C2" s="6" t="s">
        <v>86</v>
      </c>
      <c r="D2" s="6">
        <f ca="1">_xlfn.MODE.SNGL(D1:D288)</f>
        <v>0</v>
      </c>
      <c r="E2" s="6" t="s">
        <v>52</v>
      </c>
      <c r="F2" s="6" t="s">
        <v>71</v>
      </c>
      <c r="G2" s="6" t="s">
        <v>82</v>
      </c>
      <c r="H2" s="6">
        <v>50</v>
      </c>
      <c r="I2" s="8">
        <v>1482.47</v>
      </c>
      <c r="J2" s="9">
        <v>0</v>
      </c>
      <c r="K2" s="6" t="s">
        <v>33</v>
      </c>
      <c r="M2">
        <f>IFERROR(
   Sheet2_RawData!$H113 * Sheet2_RawData!$I113 * (1 - Sheet2_RawData!$J113),
   ""
)</f>
        <v>2561.04</v>
      </c>
      <c r="N2">
        <f>YEAR(Sheet2_RawData!$B2)</f>
        <v>2024</v>
      </c>
      <c r="O2">
        <f>MONTH(Sheet2_RawData!$B2)</f>
        <v>2</v>
      </c>
    </row>
    <row r="3" spans="1:17" ht="15" customHeight="1" x14ac:dyDescent="0.3">
      <c r="A3" s="6" t="s">
        <v>147</v>
      </c>
      <c r="B3" s="7">
        <v>45507</v>
      </c>
      <c r="C3" s="6" t="s">
        <v>148</v>
      </c>
      <c r="D3" s="6" t="s">
        <v>40</v>
      </c>
      <c r="E3" s="6" t="s">
        <v>31</v>
      </c>
      <c r="F3" s="6" t="s">
        <v>22</v>
      </c>
      <c r="G3" s="6" t="s">
        <v>41</v>
      </c>
      <c r="H3" s="6">
        <v>2</v>
      </c>
      <c r="I3" s="8">
        <v>912.52</v>
      </c>
      <c r="J3" s="9">
        <v>0</v>
      </c>
      <c r="K3" s="6" t="s">
        <v>17</v>
      </c>
      <c r="M3">
        <f>IFERROR(
   Sheet2_RawData!$H55 * Sheet2_RawData!$I55 * (1 - Sheet2_RawData!$J55),
   ""
)</f>
        <v>28737.504000000001</v>
      </c>
      <c r="N3">
        <f>YEAR(Sheet2_RawData!$B3)</f>
        <v>2024</v>
      </c>
      <c r="O3">
        <f>MONTH(Sheet2_RawData!$B3)</f>
        <v>8</v>
      </c>
      <c r="P3" t="b">
        <f>AND($N3=2024, OR($O3=7, $O3=8, $O3=9))</f>
        <v>1</v>
      </c>
      <c r="Q3">
        <f>SUMIFS(Sheet2_RawData!$M$3:$M$313, Sheet2_RawData!$P$3:$P$313, TRUE)</f>
        <v>5733183.3215000033</v>
      </c>
    </row>
    <row r="4" spans="1:17" ht="15" customHeight="1" x14ac:dyDescent="0.3">
      <c r="A4" s="6" t="s">
        <v>367</v>
      </c>
      <c r="B4" s="7">
        <v>45645</v>
      </c>
      <c r="C4" s="6" t="s">
        <v>69</v>
      </c>
      <c r="D4" s="6" t="s">
        <v>26</v>
      </c>
      <c r="E4" s="6" t="s">
        <v>14</v>
      </c>
      <c r="F4" s="6" t="s">
        <v>22</v>
      </c>
      <c r="G4" s="6" t="s">
        <v>111</v>
      </c>
      <c r="H4" s="6">
        <v>26</v>
      </c>
      <c r="I4" s="8">
        <v>3446.06</v>
      </c>
      <c r="J4" s="9">
        <v>0.15</v>
      </c>
      <c r="K4" s="6" t="s">
        <v>95</v>
      </c>
      <c r="M4">
        <f>IFERROR(
   Sheet2_RawData!$H277 * Sheet2_RawData!$I277 * (1 - Sheet2_RawData!$J277),
   ""
)</f>
        <v>9350.7839999999997</v>
      </c>
      <c r="N4">
        <f>YEAR(Sheet2_RawData!$B4)</f>
        <v>2024</v>
      </c>
      <c r="O4">
        <f>MONTH(Sheet2_RawData!$B4)</f>
        <v>12</v>
      </c>
    </row>
    <row r="5" spans="1:17" ht="15" customHeight="1" x14ac:dyDescent="0.3">
      <c r="A5" s="2" t="s">
        <v>246</v>
      </c>
      <c r="B5" s="3">
        <v>45336</v>
      </c>
      <c r="C5" s="2" t="s">
        <v>19</v>
      </c>
      <c r="D5" s="2" t="s">
        <v>13</v>
      </c>
      <c r="E5" s="2" t="s">
        <v>31</v>
      </c>
      <c r="F5" s="2" t="s">
        <v>66</v>
      </c>
      <c r="G5" s="2" t="s">
        <v>67</v>
      </c>
      <c r="H5" s="2">
        <v>5</v>
      </c>
      <c r="I5" s="4">
        <v>2287.61</v>
      </c>
      <c r="J5" s="5">
        <v>0.15</v>
      </c>
      <c r="K5" s="2" t="s">
        <v>17</v>
      </c>
      <c r="M5">
        <f>IFERROR(
   Sheet2_RawData!$H152 * Sheet2_RawData!$I152 * (1 - Sheet2_RawData!$J152),
   ""
)</f>
        <v>3689.72</v>
      </c>
      <c r="N5">
        <f>YEAR(Sheet2_RawData!$B5)</f>
        <v>2024</v>
      </c>
      <c r="O5">
        <f>MONTH(Sheet2_RawData!$B5)</f>
        <v>2</v>
      </c>
    </row>
    <row r="6" spans="1:17" ht="15" customHeight="1" x14ac:dyDescent="0.3">
      <c r="A6" s="2" t="s">
        <v>400</v>
      </c>
      <c r="B6" s="3">
        <v>45645</v>
      </c>
      <c r="C6" s="2" t="s">
        <v>47</v>
      </c>
      <c r="D6" s="2" t="s">
        <v>13</v>
      </c>
      <c r="E6" s="2" t="s">
        <v>37</v>
      </c>
      <c r="F6" s="2" t="s">
        <v>15</v>
      </c>
      <c r="G6" s="2" t="s">
        <v>16</v>
      </c>
      <c r="H6" s="2">
        <v>2</v>
      </c>
      <c r="I6" s="4">
        <v>2233.14</v>
      </c>
      <c r="J6" s="5">
        <v>0.05</v>
      </c>
      <c r="K6" s="2" t="s">
        <v>17</v>
      </c>
      <c r="M6">
        <f>IFERROR(
   Sheet2_RawData!$H312 * Sheet2_RawData!$I312 * (1 - Sheet2_RawData!$J312),
   ""
)</f>
        <v>123922.62</v>
      </c>
      <c r="N6">
        <f>YEAR(Sheet2_RawData!$B6)</f>
        <v>2024</v>
      </c>
      <c r="O6">
        <f>MONTH(Sheet2_RawData!$B6)</f>
        <v>12</v>
      </c>
    </row>
    <row r="7" spans="1:17" ht="15" customHeight="1" x14ac:dyDescent="0.3">
      <c r="A7" s="6" t="s">
        <v>269</v>
      </c>
      <c r="B7" s="7">
        <v>45513</v>
      </c>
      <c r="C7" s="6" t="s">
        <v>39</v>
      </c>
      <c r="D7" s="6" t="s">
        <v>20</v>
      </c>
      <c r="E7" s="6" t="s">
        <v>52</v>
      </c>
      <c r="F7" s="6" t="s">
        <v>44</v>
      </c>
      <c r="G7" s="6" t="s">
        <v>58</v>
      </c>
      <c r="H7" s="6">
        <v>1</v>
      </c>
      <c r="I7" s="8">
        <v>4255.3999999999996</v>
      </c>
      <c r="J7" s="9">
        <v>0.2</v>
      </c>
      <c r="K7" s="6" t="s">
        <v>17</v>
      </c>
      <c r="M7">
        <f>IFERROR(
   Sheet2_RawData!$H173 * Sheet2_RawData!$I173 * (1 - Sheet2_RawData!$J173),
   ""
)</f>
        <v>210818.69999999998</v>
      </c>
      <c r="N7">
        <f>YEAR(Sheet2_RawData!$B7)</f>
        <v>2024</v>
      </c>
      <c r="O7">
        <f>MONTH(Sheet2_RawData!$B7)</f>
        <v>8</v>
      </c>
      <c r="P7" t="b">
        <f>AND($N7=2024, OR($O7=7, $O7=8, $O7=9))</f>
        <v>1</v>
      </c>
    </row>
    <row r="8" spans="1:17" ht="15" customHeight="1" x14ac:dyDescent="0.3">
      <c r="A8" s="6" t="s">
        <v>124</v>
      </c>
      <c r="B8" s="7">
        <v>45375</v>
      </c>
      <c r="C8" s="6" t="s">
        <v>125</v>
      </c>
      <c r="D8" s="6" t="s">
        <v>26</v>
      </c>
      <c r="E8" s="6" t="s">
        <v>14</v>
      </c>
      <c r="F8" s="6" t="s">
        <v>71</v>
      </c>
      <c r="G8" s="6" t="s">
        <v>82</v>
      </c>
      <c r="H8" s="6">
        <v>11</v>
      </c>
      <c r="I8" s="8">
        <v>3049.17</v>
      </c>
      <c r="J8" s="9">
        <v>0.15</v>
      </c>
      <c r="K8" s="6" t="s">
        <v>63</v>
      </c>
      <c r="M8">
        <f>IFERROR(
   Sheet2_RawData!$H39 * Sheet2_RawData!$I39 * (1 - Sheet2_RawData!$J39),
   ""
)</f>
        <v>93694.177499999991</v>
      </c>
      <c r="N8">
        <f>YEAR(Sheet2_RawData!$B8)</f>
        <v>2024</v>
      </c>
      <c r="O8">
        <f>MONTH(Sheet2_RawData!$B8)</f>
        <v>3</v>
      </c>
    </row>
    <row r="9" spans="1:17" ht="15" customHeight="1" x14ac:dyDescent="0.3">
      <c r="A9" s="2" t="s">
        <v>73</v>
      </c>
      <c r="B9" s="3">
        <v>45576</v>
      </c>
      <c r="C9" s="2" t="s">
        <v>74</v>
      </c>
      <c r="D9" s="2" t="s">
        <v>26</v>
      </c>
      <c r="E9" s="2" t="s">
        <v>14</v>
      </c>
      <c r="F9" s="2" t="s">
        <v>44</v>
      </c>
      <c r="G9" s="2" t="s">
        <v>75</v>
      </c>
      <c r="H9" s="2">
        <v>19</v>
      </c>
      <c r="I9" s="4">
        <v>2143.89</v>
      </c>
      <c r="J9" s="5">
        <v>0.15</v>
      </c>
      <c r="K9" s="2" t="s">
        <v>28</v>
      </c>
      <c r="M9">
        <f>IFERROR(
   Sheet2_RawData!$H16 * Sheet2_RawData!$I16 * (1 - Sheet2_RawData!$J16),
   ""
)</f>
        <v>29753.856</v>
      </c>
      <c r="N9">
        <f>YEAR(Sheet2_RawData!$B9)</f>
        <v>2024</v>
      </c>
      <c r="O9">
        <f>MONTH(Sheet2_RawData!$B9)</f>
        <v>10</v>
      </c>
    </row>
    <row r="10" spans="1:17" ht="15" customHeight="1" x14ac:dyDescent="0.3">
      <c r="A10" s="6" t="s">
        <v>379</v>
      </c>
      <c r="B10" s="7">
        <v>45582</v>
      </c>
      <c r="C10" s="6" t="s">
        <v>278</v>
      </c>
      <c r="D10" s="6" t="s">
        <v>70</v>
      </c>
      <c r="E10" s="6" t="s">
        <v>52</v>
      </c>
      <c r="F10" s="6" t="s">
        <v>15</v>
      </c>
      <c r="G10" s="6" t="s">
        <v>55</v>
      </c>
      <c r="H10" s="6">
        <v>21</v>
      </c>
      <c r="I10" s="8">
        <v>2035.77</v>
      </c>
      <c r="J10" s="9">
        <v>0</v>
      </c>
      <c r="K10" s="6" t="s">
        <v>17</v>
      </c>
      <c r="M10">
        <f>IFERROR(
   Sheet2_RawData!$H289 * Sheet2_RawData!$I289 * (1 - Sheet2_RawData!$J289),
   ""
)</f>
        <v>84367.98</v>
      </c>
      <c r="N10">
        <f>YEAR(Sheet2_RawData!$B10)</f>
        <v>2024</v>
      </c>
      <c r="O10">
        <f>MONTH(Sheet2_RawData!$B10)</f>
        <v>10</v>
      </c>
    </row>
    <row r="11" spans="1:17" ht="15" customHeight="1" x14ac:dyDescent="0.3">
      <c r="A11" s="2" t="s">
        <v>376</v>
      </c>
      <c r="B11" s="3">
        <v>45301</v>
      </c>
      <c r="C11" s="2" t="s">
        <v>135</v>
      </c>
      <c r="D11" s="2" t="s">
        <v>20</v>
      </c>
      <c r="E11" s="2" t="s">
        <v>37</v>
      </c>
      <c r="F11" s="2" t="s">
        <v>71</v>
      </c>
      <c r="G11" s="2" t="s">
        <v>82</v>
      </c>
      <c r="H11" s="2">
        <v>5</v>
      </c>
      <c r="I11" s="4">
        <v>2015.5</v>
      </c>
      <c r="J11" s="5">
        <v>0.15</v>
      </c>
      <c r="K11" s="2" t="s">
        <v>17</v>
      </c>
      <c r="M11">
        <f>IFERROR(
   Sheet2_RawData!$H286 * Sheet2_RawData!$I286 * (1 - Sheet2_RawData!$J286),
   ""
)</f>
        <v>194818.38</v>
      </c>
      <c r="N11">
        <f>YEAR(Sheet2_RawData!$B11)</f>
        <v>2024</v>
      </c>
      <c r="O11">
        <f>MONTH(Sheet2_RawData!$B11)</f>
        <v>1</v>
      </c>
    </row>
    <row r="12" spans="1:17" ht="15" customHeight="1" x14ac:dyDescent="0.3">
      <c r="A12" s="2" t="s">
        <v>99</v>
      </c>
      <c r="B12" s="3">
        <v>45483</v>
      </c>
      <c r="C12" s="2" t="s">
        <v>100</v>
      </c>
      <c r="D12" s="2" t="s">
        <v>20</v>
      </c>
      <c r="E12" s="2" t="s">
        <v>37</v>
      </c>
      <c r="F12" s="2" t="s">
        <v>71</v>
      </c>
      <c r="G12" s="2" t="s">
        <v>101</v>
      </c>
      <c r="H12" s="2">
        <v>25</v>
      </c>
      <c r="I12" s="4">
        <v>4372.99</v>
      </c>
      <c r="J12" s="5">
        <v>0</v>
      </c>
      <c r="K12" s="2" t="s">
        <v>63</v>
      </c>
      <c r="M12">
        <f>IFERROR(
   Sheet2_RawData!$H26 * Sheet2_RawData!$I26 * (1 - Sheet2_RawData!$J26),
   ""
)</f>
        <v>14848.32</v>
      </c>
      <c r="N12">
        <f>YEAR(Sheet2_RawData!$B12)</f>
        <v>2024</v>
      </c>
      <c r="O12">
        <f>MONTH(Sheet2_RawData!$B12)</f>
        <v>7</v>
      </c>
      <c r="P12" t="b">
        <f t="shared" ref="P12:P13" si="0">AND($N12=2024, OR($O12=7, $O12=8, $O12=9))</f>
        <v>1</v>
      </c>
    </row>
    <row r="13" spans="1:17" ht="15" customHeight="1" x14ac:dyDescent="0.3">
      <c r="A13" s="2" t="s">
        <v>388</v>
      </c>
      <c r="B13" s="3">
        <v>45500</v>
      </c>
      <c r="C13" s="2" t="s">
        <v>54</v>
      </c>
      <c r="D13" s="2" t="s">
        <v>20</v>
      </c>
      <c r="E13" s="2" t="s">
        <v>21</v>
      </c>
      <c r="F13" s="2" t="s">
        <v>66</v>
      </c>
      <c r="G13" s="2" t="s">
        <v>90</v>
      </c>
      <c r="H13" s="2">
        <v>34</v>
      </c>
      <c r="I13" s="4">
        <v>4742.91</v>
      </c>
      <c r="J13" s="5">
        <v>0</v>
      </c>
      <c r="K13" s="2" t="s">
        <v>17</v>
      </c>
      <c r="M13">
        <f>IFERROR(
   Sheet2_RawData!$H298 * Sheet2_RawData!$I298 * (1 - Sheet2_RawData!$J298),
   ""
)</f>
        <v>124989.62849999999</v>
      </c>
      <c r="N13">
        <f>YEAR(Sheet2_RawData!$B13)</f>
        <v>2024</v>
      </c>
      <c r="O13">
        <f>MONTH(Sheet2_RawData!$B13)</f>
        <v>7</v>
      </c>
      <c r="P13" t="b">
        <f t="shared" si="0"/>
        <v>1</v>
      </c>
    </row>
    <row r="14" spans="1:17" ht="15" customHeight="1" x14ac:dyDescent="0.3">
      <c r="A14" s="6" t="s">
        <v>349</v>
      </c>
      <c r="B14" s="7">
        <v>45468</v>
      </c>
      <c r="C14" s="6" t="s">
        <v>54</v>
      </c>
      <c r="D14" s="6" t="s">
        <v>26</v>
      </c>
      <c r="E14" s="6" t="s">
        <v>14</v>
      </c>
      <c r="F14" s="6" t="s">
        <v>66</v>
      </c>
      <c r="G14" s="6" t="s">
        <v>107</v>
      </c>
      <c r="H14" s="6">
        <v>48</v>
      </c>
      <c r="I14" s="8">
        <v>1128.6099999999999</v>
      </c>
      <c r="J14" s="9">
        <v>0</v>
      </c>
      <c r="K14" s="6" t="s">
        <v>17</v>
      </c>
      <c r="M14">
        <f>IFERROR(
   Sheet2_RawData!$H257 * Sheet2_RawData!$I257 * (1 - Sheet2_RawData!$J257),
   ""
)</f>
        <v>36965.664000000004</v>
      </c>
      <c r="N14">
        <f>YEAR(Sheet2_RawData!$B14)</f>
        <v>2024</v>
      </c>
      <c r="O14">
        <f>MONTH(Sheet2_RawData!$B14)</f>
        <v>6</v>
      </c>
    </row>
    <row r="15" spans="1:17" ht="15" customHeight="1" x14ac:dyDescent="0.3">
      <c r="A15" s="6" t="s">
        <v>213</v>
      </c>
      <c r="B15" s="7">
        <v>45616</v>
      </c>
      <c r="C15" s="6" t="s">
        <v>39</v>
      </c>
      <c r="D15" s="6" t="s">
        <v>26</v>
      </c>
      <c r="E15" s="6" t="s">
        <v>14</v>
      </c>
      <c r="F15" s="6" t="s">
        <v>71</v>
      </c>
      <c r="G15" s="6" t="s">
        <v>72</v>
      </c>
      <c r="H15" s="6">
        <v>15</v>
      </c>
      <c r="I15" s="8">
        <v>1698.69</v>
      </c>
      <c r="J15" s="9">
        <v>0</v>
      </c>
      <c r="K15" s="6" t="s">
        <v>17</v>
      </c>
      <c r="M15">
        <f>IFERROR(
   Sheet2_RawData!$H119 * Sheet2_RawData!$I119 * (1 - Sheet2_RawData!$J119),
   ""
)</f>
        <v>23978.37</v>
      </c>
      <c r="N15">
        <f>YEAR(Sheet2_RawData!$B15)</f>
        <v>2024</v>
      </c>
      <c r="O15">
        <f>MONTH(Sheet2_RawData!$B15)</f>
        <v>11</v>
      </c>
    </row>
    <row r="16" spans="1:17" ht="15" customHeight="1" x14ac:dyDescent="0.3">
      <c r="A16" s="2" t="s">
        <v>345</v>
      </c>
      <c r="B16" s="3">
        <v>45414</v>
      </c>
      <c r="C16" s="2" t="s">
        <v>100</v>
      </c>
      <c r="D16" s="2" t="s">
        <v>36</v>
      </c>
      <c r="E16" s="2" t="s">
        <v>21</v>
      </c>
      <c r="F16" s="2" t="s">
        <v>22</v>
      </c>
      <c r="G16" s="2" t="s">
        <v>104</v>
      </c>
      <c r="H16" s="2">
        <v>8</v>
      </c>
      <c r="I16" s="4">
        <v>4649.04</v>
      </c>
      <c r="J16" s="5">
        <v>0.2</v>
      </c>
      <c r="K16" s="2" t="s">
        <v>95</v>
      </c>
      <c r="M16">
        <f>IFERROR(
   Sheet2_RawData!$H252 * Sheet2_RawData!$I252 * (1 - Sheet2_RawData!$J252),
   ""
)</f>
        <v>24146.256000000001</v>
      </c>
      <c r="N16">
        <f>YEAR(Sheet2_RawData!$B16)</f>
        <v>2024</v>
      </c>
      <c r="O16">
        <f>MONTH(Sheet2_RawData!$B16)</f>
        <v>5</v>
      </c>
    </row>
    <row r="17" spans="1:16" ht="15" customHeight="1" x14ac:dyDescent="0.3">
      <c r="A17" s="2" t="s">
        <v>374</v>
      </c>
      <c r="B17" s="3">
        <v>45502</v>
      </c>
      <c r="C17" s="2" t="s">
        <v>47</v>
      </c>
      <c r="D17" s="2" t="s">
        <v>48</v>
      </c>
      <c r="E17" s="2" t="s">
        <v>14</v>
      </c>
      <c r="F17" s="2" t="s">
        <v>44</v>
      </c>
      <c r="G17" s="2" t="s">
        <v>62</v>
      </c>
      <c r="H17" s="2">
        <v>7</v>
      </c>
      <c r="I17" s="4">
        <v>529.80999999999995</v>
      </c>
      <c r="J17" s="5">
        <v>0.05</v>
      </c>
      <c r="K17" s="2" t="s">
        <v>17</v>
      </c>
      <c r="M17">
        <f>IFERROR(
   Sheet2_RawData!$H284 * Sheet2_RawData!$I284 * (1 - Sheet2_RawData!$J284),
   ""
)</f>
        <v>180998.49600000001</v>
      </c>
      <c r="N17">
        <f>YEAR(Sheet2_RawData!$B17)</f>
        <v>2024</v>
      </c>
      <c r="O17">
        <f>MONTH(Sheet2_RawData!$B17)</f>
        <v>7</v>
      </c>
      <c r="P17" t="b">
        <f>AND($N17=2024, OR($O17=7, $O17=8, $O17=9))</f>
        <v>1</v>
      </c>
    </row>
    <row r="18" spans="1:16" ht="15" customHeight="1" x14ac:dyDescent="0.3">
      <c r="A18" s="2" t="s">
        <v>338</v>
      </c>
      <c r="B18" s="3">
        <v>45468</v>
      </c>
      <c r="C18" s="2" t="s">
        <v>39</v>
      </c>
      <c r="D18" s="2" t="s">
        <v>70</v>
      </c>
      <c r="E18" s="2" t="s">
        <v>31</v>
      </c>
      <c r="F18" s="2" t="s">
        <v>66</v>
      </c>
      <c r="G18" s="2" t="s">
        <v>94</v>
      </c>
      <c r="H18" s="2">
        <v>7</v>
      </c>
      <c r="I18" s="4">
        <v>509.09</v>
      </c>
      <c r="J18" s="5">
        <v>0</v>
      </c>
      <c r="K18" s="2" t="s">
        <v>17</v>
      </c>
      <c r="M18">
        <f>IFERROR(
   Sheet2_RawData!$H244 * Sheet2_RawData!$I244 * (1 - Sheet2_RawData!$J244),
   ""
)</f>
        <v>2470.2300000000005</v>
      </c>
      <c r="N18">
        <f>YEAR(Sheet2_RawData!$B18)</f>
        <v>2024</v>
      </c>
      <c r="O18">
        <f>MONTH(Sheet2_RawData!$B18)</f>
        <v>6</v>
      </c>
    </row>
    <row r="19" spans="1:16" ht="15" customHeight="1" x14ac:dyDescent="0.3">
      <c r="A19" s="6" t="s">
        <v>76</v>
      </c>
      <c r="B19" s="7">
        <v>45322</v>
      </c>
      <c r="C19" s="6" t="s">
        <v>77</v>
      </c>
      <c r="D19" s="6" t="s">
        <v>36</v>
      </c>
      <c r="E19" s="6" t="s">
        <v>14</v>
      </c>
      <c r="F19" s="6" t="s">
        <v>71</v>
      </c>
      <c r="G19" s="6" t="s">
        <v>78</v>
      </c>
      <c r="H19" s="6">
        <v>38</v>
      </c>
      <c r="I19" s="8">
        <v>4950.6499999999996</v>
      </c>
      <c r="J19" s="9">
        <v>0</v>
      </c>
      <c r="K19" s="6" t="s">
        <v>63</v>
      </c>
      <c r="M19">
        <f>IFERROR(
   Sheet2_RawData!$H17 * Sheet2_RawData!$I17 * (1 - Sheet2_RawData!$J17),
   ""
)</f>
        <v>3523.2364999999995</v>
      </c>
      <c r="N19">
        <f>YEAR(Sheet2_RawData!$B19)</f>
        <v>2024</v>
      </c>
      <c r="O19">
        <f>MONTH(Sheet2_RawData!$B19)</f>
        <v>1</v>
      </c>
    </row>
    <row r="20" spans="1:16" ht="15" customHeight="1" x14ac:dyDescent="0.3">
      <c r="A20" s="6" t="s">
        <v>183</v>
      </c>
      <c r="B20" s="7">
        <v>45484</v>
      </c>
      <c r="C20" s="6" t="s">
        <v>123</v>
      </c>
      <c r="D20" s="6" t="s">
        <v>48</v>
      </c>
      <c r="E20" s="6" t="s">
        <v>31</v>
      </c>
      <c r="F20" s="6" t="s">
        <v>15</v>
      </c>
      <c r="G20" s="6" t="s">
        <v>55</v>
      </c>
      <c r="H20" s="6">
        <v>10</v>
      </c>
      <c r="I20" s="8">
        <v>2908.26</v>
      </c>
      <c r="J20" s="9">
        <v>0</v>
      </c>
      <c r="K20" s="6" t="s">
        <v>63</v>
      </c>
      <c r="M20">
        <f>IFERROR(
   Sheet2_RawData!$H89 * Sheet2_RawData!$I89 * (1 - Sheet2_RawData!$J89),
   ""
)</f>
        <v>121563.27899999999</v>
      </c>
      <c r="N20">
        <f>YEAR(Sheet2_RawData!$B20)</f>
        <v>2024</v>
      </c>
      <c r="O20">
        <f>MONTH(Sheet2_RawData!$B20)</f>
        <v>7</v>
      </c>
      <c r="P20" t="b">
        <f>AND($N20=2024, OR($O20=7, $O20=8, $O20=9))</f>
        <v>1</v>
      </c>
    </row>
    <row r="21" spans="1:16" ht="15" customHeight="1" x14ac:dyDescent="0.3">
      <c r="A21" s="2" t="s">
        <v>288</v>
      </c>
      <c r="B21" s="3">
        <v>45471</v>
      </c>
      <c r="C21" s="2" t="s">
        <v>185</v>
      </c>
      <c r="D21" s="2" t="s">
        <v>26</v>
      </c>
      <c r="E21" s="2" t="s">
        <v>14</v>
      </c>
      <c r="F21" s="2" t="s">
        <v>44</v>
      </c>
      <c r="G21" s="2" t="s">
        <v>58</v>
      </c>
      <c r="H21" s="2">
        <v>31</v>
      </c>
      <c r="I21" s="4">
        <v>145.94999999999999</v>
      </c>
      <c r="J21" s="5">
        <v>0.1</v>
      </c>
      <c r="K21" s="2" t="s">
        <v>17</v>
      </c>
      <c r="M21">
        <f>IFERROR(
   Sheet2_RawData!$H192 * Sheet2_RawData!$I192 * (1 - Sheet2_RawData!$J192),
   ""
)</f>
        <v>17082.599999999999</v>
      </c>
      <c r="N21">
        <f>YEAR(Sheet2_RawData!$B21)</f>
        <v>2024</v>
      </c>
      <c r="O21">
        <f>MONTH(Sheet2_RawData!$B21)</f>
        <v>6</v>
      </c>
    </row>
    <row r="22" spans="1:16" ht="15" customHeight="1" x14ac:dyDescent="0.3">
      <c r="A22" s="2" t="s">
        <v>304</v>
      </c>
      <c r="B22" s="3">
        <v>45414</v>
      </c>
      <c r="C22" s="2" t="s">
        <v>254</v>
      </c>
      <c r="D22" s="2" t="s">
        <v>13</v>
      </c>
      <c r="E22" s="2" t="s">
        <v>31</v>
      </c>
      <c r="F22" s="2" t="s">
        <v>22</v>
      </c>
      <c r="G22" s="2" t="s">
        <v>23</v>
      </c>
      <c r="H22" s="2">
        <v>16</v>
      </c>
      <c r="I22" s="4">
        <v>3493.35</v>
      </c>
      <c r="J22" s="5">
        <v>0.15</v>
      </c>
      <c r="K22" s="2" t="s">
        <v>17</v>
      </c>
      <c r="M22">
        <f>IFERROR(
   Sheet2_RawData!$H208 * Sheet2_RawData!$I208 * (1 - Sheet2_RawData!$J208),
   ""
)</f>
        <v>63507.360000000001</v>
      </c>
      <c r="N22">
        <f>YEAR(Sheet2_RawData!$B22)</f>
        <v>2024</v>
      </c>
      <c r="O22">
        <f>MONTH(Sheet2_RawData!$B22)</f>
        <v>5</v>
      </c>
    </row>
    <row r="23" spans="1:16" ht="15" customHeight="1" x14ac:dyDescent="0.3">
      <c r="A23" s="6" t="s">
        <v>283</v>
      </c>
      <c r="B23" s="7">
        <v>45525</v>
      </c>
      <c r="C23" s="6" t="s">
        <v>86</v>
      </c>
      <c r="D23" s="6" t="s">
        <v>61</v>
      </c>
      <c r="E23" s="6" t="s">
        <v>14</v>
      </c>
      <c r="F23" s="6" t="s">
        <v>22</v>
      </c>
      <c r="G23" s="6" t="s">
        <v>111</v>
      </c>
      <c r="H23" s="6">
        <v>5</v>
      </c>
      <c r="I23" s="8">
        <v>3550.49</v>
      </c>
      <c r="J23" s="9">
        <v>0</v>
      </c>
      <c r="K23" s="6" t="s">
        <v>17</v>
      </c>
      <c r="M23">
        <f>IFERROR(
   Sheet2_RawData!$H187 * Sheet2_RawData!$I187 * (1 - Sheet2_RawData!$J187),
   ""
)</f>
        <v>93243.799999999988</v>
      </c>
      <c r="N23">
        <f>YEAR(Sheet2_RawData!$B23)</f>
        <v>2024</v>
      </c>
      <c r="O23">
        <f>MONTH(Sheet2_RawData!$B23)</f>
        <v>8</v>
      </c>
      <c r="P23" t="b">
        <f>AND($N23=2024, OR($O23=7, $O23=8, $O23=9))</f>
        <v>1</v>
      </c>
    </row>
    <row r="24" spans="1:16" ht="15" customHeight="1" x14ac:dyDescent="0.3">
      <c r="A24" s="2" t="s">
        <v>332</v>
      </c>
      <c r="B24" s="3">
        <v>45431</v>
      </c>
      <c r="C24" s="2" t="s">
        <v>110</v>
      </c>
      <c r="D24" s="2" t="s">
        <v>89</v>
      </c>
      <c r="E24" s="2" t="s">
        <v>37</v>
      </c>
      <c r="F24" s="2" t="s">
        <v>71</v>
      </c>
      <c r="G24" s="2" t="s">
        <v>101</v>
      </c>
      <c r="H24" s="2">
        <v>43</v>
      </c>
      <c r="I24" s="4">
        <v>4155.83</v>
      </c>
      <c r="J24" s="5">
        <v>0</v>
      </c>
      <c r="K24" s="2" t="s">
        <v>17</v>
      </c>
      <c r="M24">
        <f>IFERROR(
   Sheet2_RawData!$H238 * Sheet2_RawData!$I238 * (1 - Sheet2_RawData!$J238),
   ""
)</f>
        <v>3282.3450000000003</v>
      </c>
      <c r="N24">
        <f>YEAR(Sheet2_RawData!$B24)</f>
        <v>2024</v>
      </c>
      <c r="O24">
        <f>MONTH(Sheet2_RawData!$B24)</f>
        <v>5</v>
      </c>
    </row>
    <row r="25" spans="1:16" ht="15" customHeight="1" x14ac:dyDescent="0.3">
      <c r="A25" s="2" t="s">
        <v>362</v>
      </c>
      <c r="B25" s="3">
        <v>45511</v>
      </c>
      <c r="C25" s="2" t="s">
        <v>81</v>
      </c>
      <c r="D25" s="2" t="s">
        <v>48</v>
      </c>
      <c r="E25" s="2" t="s">
        <v>31</v>
      </c>
      <c r="F25" s="2" t="s">
        <v>44</v>
      </c>
      <c r="G25" s="2" t="s">
        <v>62</v>
      </c>
      <c r="H25" s="2">
        <v>2</v>
      </c>
      <c r="I25" s="4">
        <v>3700.07</v>
      </c>
      <c r="J25" s="5">
        <v>0</v>
      </c>
      <c r="K25" s="2" t="s">
        <v>17</v>
      </c>
      <c r="M25">
        <f>IFERROR(
   Sheet2_RawData!$H272 * Sheet2_RawData!$I272 * (1 - Sheet2_RawData!$J272),
   ""
)</f>
        <v>9350.7839999999997</v>
      </c>
      <c r="N25">
        <f>YEAR(Sheet2_RawData!$B25)</f>
        <v>2024</v>
      </c>
      <c r="O25">
        <f>MONTH(Sheet2_RawData!$B25)</f>
        <v>8</v>
      </c>
      <c r="P25" t="b">
        <f t="shared" ref="P25:P26" si="1">AND($N25=2024, OR($O25=7, $O25=8, $O25=9))</f>
        <v>1</v>
      </c>
    </row>
    <row r="26" spans="1:16" ht="15" customHeight="1" x14ac:dyDescent="0.3">
      <c r="A26" s="6" t="s">
        <v>235</v>
      </c>
      <c r="B26" s="7">
        <v>45511</v>
      </c>
      <c r="C26" s="6" t="s">
        <v>30</v>
      </c>
      <c r="D26" s="6" t="s">
        <v>98</v>
      </c>
      <c r="E26" s="6" t="s">
        <v>52</v>
      </c>
      <c r="F26" s="6" t="s">
        <v>44</v>
      </c>
      <c r="G26" s="6" t="s">
        <v>62</v>
      </c>
      <c r="H26" s="6">
        <v>24</v>
      </c>
      <c r="I26" s="8">
        <v>618.67999999999995</v>
      </c>
      <c r="J26" s="9">
        <v>0</v>
      </c>
      <c r="K26" s="6" t="s">
        <v>63</v>
      </c>
      <c r="M26">
        <f>IFERROR(
   Sheet2_RawData!$H141 * Sheet2_RawData!$I141 * (1 - Sheet2_RawData!$J141),
   ""
)</f>
        <v>7028.2080000000005</v>
      </c>
      <c r="N26">
        <f>YEAR(Sheet2_RawData!$B26)</f>
        <v>2024</v>
      </c>
      <c r="O26">
        <f>MONTH(Sheet2_RawData!$B26)</f>
        <v>8</v>
      </c>
      <c r="P26" t="b">
        <f t="shared" si="1"/>
        <v>1</v>
      </c>
    </row>
    <row r="27" spans="1:16" ht="15" customHeight="1" x14ac:dyDescent="0.3">
      <c r="A27" s="2" t="s">
        <v>113</v>
      </c>
      <c r="B27" s="3">
        <v>45640</v>
      </c>
      <c r="C27" s="2" t="s">
        <v>74</v>
      </c>
      <c r="D27" s="2" t="s">
        <v>61</v>
      </c>
      <c r="E27" s="2" t="s">
        <v>21</v>
      </c>
      <c r="F27" s="2" t="s">
        <v>71</v>
      </c>
      <c r="G27" s="2" t="s">
        <v>78</v>
      </c>
      <c r="H27" s="2">
        <v>35</v>
      </c>
      <c r="I27" s="4">
        <v>1744.52</v>
      </c>
      <c r="J27" s="5">
        <v>0</v>
      </c>
      <c r="K27" s="2" t="s">
        <v>63</v>
      </c>
      <c r="M27">
        <f>IFERROR(
   Sheet2_RawData!$H32 * Sheet2_RawData!$I32 * (1 - Sheet2_RawData!$J32),
   ""
)</f>
        <v>4850.973</v>
      </c>
      <c r="N27">
        <f>YEAR(Sheet2_RawData!$B27)</f>
        <v>2024</v>
      </c>
      <c r="O27">
        <f>MONTH(Sheet2_RawData!$B27)</f>
        <v>12</v>
      </c>
    </row>
    <row r="28" spans="1:16" ht="15" customHeight="1" x14ac:dyDescent="0.3">
      <c r="A28" s="6" t="s">
        <v>188</v>
      </c>
      <c r="B28" s="7">
        <v>45464</v>
      </c>
      <c r="C28" s="6" t="s">
        <v>123</v>
      </c>
      <c r="D28" s="6" t="s">
        <v>70</v>
      </c>
      <c r="E28" s="6" t="s">
        <v>37</v>
      </c>
      <c r="F28" s="6" t="s">
        <v>71</v>
      </c>
      <c r="G28" s="6" t="s">
        <v>101</v>
      </c>
      <c r="H28" s="6">
        <v>15</v>
      </c>
      <c r="I28" s="8">
        <v>1401.03</v>
      </c>
      <c r="J28" s="9">
        <v>0.05</v>
      </c>
      <c r="K28" s="6" t="s">
        <v>17</v>
      </c>
      <c r="M28">
        <f>IFERROR(
   Sheet2_RawData!$H93 * Sheet2_RawData!$I93 * (1 - Sheet2_RawData!$J93),
   ""
)</f>
        <v>27240.191999999999</v>
      </c>
      <c r="N28">
        <f>YEAR(Sheet2_RawData!$B28)</f>
        <v>2024</v>
      </c>
      <c r="O28">
        <f>MONTH(Sheet2_RawData!$B28)</f>
        <v>6</v>
      </c>
    </row>
    <row r="29" spans="1:16" ht="15" customHeight="1" x14ac:dyDescent="0.3">
      <c r="A29" s="2" t="s">
        <v>343</v>
      </c>
      <c r="B29" s="3">
        <v>45510</v>
      </c>
      <c r="C29" s="2" t="s">
        <v>148</v>
      </c>
      <c r="D29" s="2" t="s">
        <v>13</v>
      </c>
      <c r="E29" s="2" t="s">
        <v>52</v>
      </c>
      <c r="F29" s="2" t="s">
        <v>66</v>
      </c>
      <c r="G29" s="2" t="s">
        <v>94</v>
      </c>
      <c r="H29" s="2">
        <v>43</v>
      </c>
      <c r="I29" s="4">
        <v>1513.42</v>
      </c>
      <c r="J29" s="5">
        <v>0.05</v>
      </c>
      <c r="K29" s="2" t="s">
        <v>63</v>
      </c>
      <c r="M29">
        <f>IFERROR(
   Sheet2_RawData!$H250 * Sheet2_RawData!$I250 * (1 - Sheet2_RawData!$J250),
   ""
)</f>
        <v>146067.56999999998</v>
      </c>
      <c r="N29">
        <f>YEAR(Sheet2_RawData!$B29)</f>
        <v>2024</v>
      </c>
      <c r="O29">
        <f>MONTH(Sheet2_RawData!$B29)</f>
        <v>8</v>
      </c>
      <c r="P29" t="b">
        <f t="shared" ref="P29:P31" si="2">AND($N29=2024, OR($O29=7, $O29=8, $O29=9))</f>
        <v>1</v>
      </c>
    </row>
    <row r="30" spans="1:16" ht="15" customHeight="1" x14ac:dyDescent="0.3">
      <c r="A30" s="2" t="s">
        <v>42</v>
      </c>
      <c r="B30" s="3">
        <v>45512</v>
      </c>
      <c r="C30" s="2" t="s">
        <v>43</v>
      </c>
      <c r="D30" s="2" t="s">
        <v>36</v>
      </c>
      <c r="E30" s="2" t="s">
        <v>37</v>
      </c>
      <c r="F30" s="2" t="s">
        <v>44</v>
      </c>
      <c r="G30" s="2" t="s">
        <v>45</v>
      </c>
      <c r="H30" s="2">
        <v>18</v>
      </c>
      <c r="I30" s="4">
        <v>1117.07</v>
      </c>
      <c r="J30" s="5">
        <v>0.1</v>
      </c>
      <c r="K30" s="2" t="s">
        <v>17</v>
      </c>
      <c r="M30">
        <f>IFERROR(
   Sheet2_RawData!$H8 * Sheet2_RawData!$I8 * (1 - Sheet2_RawData!$J8),
   ""
)</f>
        <v>28509.7395</v>
      </c>
      <c r="N30">
        <f>YEAR(Sheet2_RawData!$B30)</f>
        <v>2024</v>
      </c>
      <c r="O30">
        <f>MONTH(Sheet2_RawData!$B30)</f>
        <v>8</v>
      </c>
      <c r="P30" t="b">
        <f t="shared" si="2"/>
        <v>1</v>
      </c>
    </row>
    <row r="31" spans="1:16" ht="15" customHeight="1" x14ac:dyDescent="0.3">
      <c r="A31" s="2" t="s">
        <v>390</v>
      </c>
      <c r="B31" s="3">
        <v>45558</v>
      </c>
      <c r="C31" s="2" t="s">
        <v>261</v>
      </c>
      <c r="D31" s="2" t="s">
        <v>13</v>
      </c>
      <c r="E31" s="2" t="s">
        <v>52</v>
      </c>
      <c r="F31" s="2" t="s">
        <v>66</v>
      </c>
      <c r="G31" s="2" t="s">
        <v>67</v>
      </c>
      <c r="H31" s="2">
        <v>23</v>
      </c>
      <c r="I31" s="4">
        <v>1593.86</v>
      </c>
      <c r="J31" s="5">
        <v>0.05</v>
      </c>
      <c r="K31" s="2" t="s">
        <v>95</v>
      </c>
      <c r="M31">
        <f>IFERROR(
   Sheet2_RawData!$H302 * Sheet2_RawData!$I302 * (1 - Sheet2_RawData!$J302),
   ""
)</f>
        <v>14088.384</v>
      </c>
      <c r="N31">
        <f>YEAR(Sheet2_RawData!$B31)</f>
        <v>2024</v>
      </c>
      <c r="O31">
        <f>MONTH(Sheet2_RawData!$B31)</f>
        <v>9</v>
      </c>
      <c r="P31" t="b">
        <f t="shared" si="2"/>
        <v>1</v>
      </c>
    </row>
    <row r="32" spans="1:16" ht="15" customHeight="1" x14ac:dyDescent="0.3">
      <c r="A32" s="6" t="s">
        <v>313</v>
      </c>
      <c r="B32" s="7">
        <v>45604</v>
      </c>
      <c r="C32" s="6" t="s">
        <v>86</v>
      </c>
      <c r="D32" s="6" t="s">
        <v>13</v>
      </c>
      <c r="E32" s="6" t="s">
        <v>21</v>
      </c>
      <c r="F32" s="6" t="s">
        <v>71</v>
      </c>
      <c r="G32" s="6" t="s">
        <v>78</v>
      </c>
      <c r="H32" s="6">
        <v>31</v>
      </c>
      <c r="I32" s="8">
        <v>173.87</v>
      </c>
      <c r="J32" s="9">
        <v>0.1</v>
      </c>
      <c r="K32" s="6" t="s">
        <v>17</v>
      </c>
      <c r="M32">
        <f>IFERROR(
   Sheet2_RawData!$H217 * Sheet2_RawData!$I217 * (1 - Sheet2_RawData!$J217),
   ""
)</f>
        <v>50920.95</v>
      </c>
      <c r="N32">
        <f>YEAR(Sheet2_RawData!$B32)</f>
        <v>2024</v>
      </c>
      <c r="O32">
        <f>MONTH(Sheet2_RawData!$B32)</f>
        <v>11</v>
      </c>
    </row>
    <row r="33" spans="1:16" ht="15" customHeight="1" x14ac:dyDescent="0.3">
      <c r="A33" s="2" t="s">
        <v>238</v>
      </c>
      <c r="B33" s="3">
        <v>45381</v>
      </c>
      <c r="C33" s="2" t="s">
        <v>77</v>
      </c>
      <c r="D33" s="2" t="s">
        <v>48</v>
      </c>
      <c r="E33" s="2" t="s">
        <v>31</v>
      </c>
      <c r="F33" s="2" t="s">
        <v>15</v>
      </c>
      <c r="G33" s="2" t="s">
        <v>32</v>
      </c>
      <c r="H33" s="2">
        <v>18</v>
      </c>
      <c r="I33" s="4">
        <v>351.74</v>
      </c>
      <c r="J33" s="5">
        <v>0.1</v>
      </c>
      <c r="K33" s="2" t="s">
        <v>33</v>
      </c>
      <c r="M33">
        <f>IFERROR(
   Sheet2_RawData!$H144 * Sheet2_RawData!$I144 * (1 - Sheet2_RawData!$J144),
   ""
)</f>
        <v>15310.608000000002</v>
      </c>
      <c r="N33">
        <f>YEAR(Sheet2_RawData!$B33)</f>
        <v>2024</v>
      </c>
      <c r="O33">
        <f>MONTH(Sheet2_RawData!$B33)</f>
        <v>3</v>
      </c>
    </row>
    <row r="34" spans="1:16" ht="15" customHeight="1" x14ac:dyDescent="0.3">
      <c r="A34" s="2" t="s">
        <v>290</v>
      </c>
      <c r="B34" s="3">
        <v>45619</v>
      </c>
      <c r="C34" s="2" t="s">
        <v>119</v>
      </c>
      <c r="D34" s="2" t="s">
        <v>40</v>
      </c>
      <c r="E34" s="2" t="s">
        <v>52</v>
      </c>
      <c r="F34" s="2" t="s">
        <v>22</v>
      </c>
      <c r="G34" s="2" t="s">
        <v>111</v>
      </c>
      <c r="H34" s="2">
        <v>42</v>
      </c>
      <c r="I34" s="4">
        <v>1093.5</v>
      </c>
      <c r="J34" s="5">
        <v>0.1</v>
      </c>
      <c r="K34" s="2" t="s">
        <v>17</v>
      </c>
      <c r="M34">
        <f>IFERROR(
   Sheet2_RawData!$H194 * Sheet2_RawData!$I194 * (1 - Sheet2_RawData!$J194),
   ""
)</f>
        <v>10836.973</v>
      </c>
      <c r="N34">
        <f>YEAR(Sheet2_RawData!$B34)</f>
        <v>2024</v>
      </c>
      <c r="O34">
        <f>MONTH(Sheet2_RawData!$B34)</f>
        <v>11</v>
      </c>
    </row>
    <row r="35" spans="1:16" ht="15" customHeight="1" x14ac:dyDescent="0.3">
      <c r="A35" s="2" t="s">
        <v>244</v>
      </c>
      <c r="B35" s="3">
        <v>45366</v>
      </c>
      <c r="C35" s="2" t="s">
        <v>125</v>
      </c>
      <c r="D35" s="2" t="s">
        <v>70</v>
      </c>
      <c r="E35" s="2" t="s">
        <v>21</v>
      </c>
      <c r="F35" s="2" t="s">
        <v>22</v>
      </c>
      <c r="G35" s="2" t="s">
        <v>116</v>
      </c>
      <c r="H35" s="2">
        <v>21</v>
      </c>
      <c r="I35" s="4">
        <v>2098.9499999999998</v>
      </c>
      <c r="J35" s="5">
        <v>0.1</v>
      </c>
      <c r="K35" s="2" t="s">
        <v>33</v>
      </c>
      <c r="M35">
        <f>IFERROR(
   Sheet2_RawData!$H150 * Sheet2_RawData!$I150 * (1 - Sheet2_RawData!$J150),
   ""
)</f>
        <v>7781.47</v>
      </c>
      <c r="N35">
        <f>YEAR(Sheet2_RawData!$B35)</f>
        <v>2024</v>
      </c>
      <c r="O35">
        <f>MONTH(Sheet2_RawData!$B35)</f>
        <v>3</v>
      </c>
    </row>
    <row r="36" spans="1:16" ht="15" customHeight="1" x14ac:dyDescent="0.3">
      <c r="A36" s="2" t="s">
        <v>203</v>
      </c>
      <c r="B36" s="3">
        <v>45533</v>
      </c>
      <c r="C36" s="2" t="s">
        <v>144</v>
      </c>
      <c r="D36" s="2" t="s">
        <v>26</v>
      </c>
      <c r="E36" s="2" t="s">
        <v>14</v>
      </c>
      <c r="F36" s="2" t="s">
        <v>22</v>
      </c>
      <c r="G36" s="2" t="s">
        <v>23</v>
      </c>
      <c r="H36" s="2">
        <v>46</v>
      </c>
      <c r="I36" s="4">
        <v>1403.45</v>
      </c>
      <c r="J36" s="5">
        <v>0.2</v>
      </c>
      <c r="K36" s="2" t="s">
        <v>17</v>
      </c>
      <c r="M36">
        <f>IFERROR(
   Sheet2_RawData!$H108 * Sheet2_RawData!$I108 * (1 - Sheet2_RawData!$J108),
   ""
)</f>
        <v>159355.84</v>
      </c>
      <c r="N36">
        <f>YEAR(Sheet2_RawData!$B36)</f>
        <v>2024</v>
      </c>
      <c r="O36">
        <f>MONTH(Sheet2_RawData!$B36)</f>
        <v>8</v>
      </c>
      <c r="P36" t="b">
        <f t="shared" ref="P36:P37" si="3">AND($N36=2024, OR($O36=7, $O36=8, $O36=9))</f>
        <v>1</v>
      </c>
    </row>
    <row r="37" spans="1:16" ht="15" customHeight="1" x14ac:dyDescent="0.3">
      <c r="A37" s="6" t="s">
        <v>171</v>
      </c>
      <c r="B37" s="7">
        <v>45509</v>
      </c>
      <c r="C37" s="6" t="s">
        <v>51</v>
      </c>
      <c r="D37" s="6" t="s">
        <v>13</v>
      </c>
      <c r="E37" s="6" t="s">
        <v>31</v>
      </c>
      <c r="F37" s="6" t="s">
        <v>66</v>
      </c>
      <c r="G37" s="6" t="s">
        <v>90</v>
      </c>
      <c r="H37" s="6">
        <v>23</v>
      </c>
      <c r="I37" s="8">
        <v>4938.88</v>
      </c>
      <c r="J37" s="9">
        <v>0</v>
      </c>
      <c r="K37" s="6" t="s">
        <v>63</v>
      </c>
      <c r="M37">
        <f>IFERROR(
   Sheet2_RawData!$H77 * Sheet2_RawData!$I77 * (1 - Sheet2_RawData!$J77),
   ""
)</f>
        <v>47154.63</v>
      </c>
      <c r="N37">
        <f>YEAR(Sheet2_RawData!$B37)</f>
        <v>2024</v>
      </c>
      <c r="O37">
        <f>MONTH(Sheet2_RawData!$B37)</f>
        <v>8</v>
      </c>
      <c r="P37" t="b">
        <f t="shared" si="3"/>
        <v>1</v>
      </c>
    </row>
    <row r="38" spans="1:16" ht="15" customHeight="1" x14ac:dyDescent="0.3">
      <c r="A38" s="6" t="s">
        <v>243</v>
      </c>
      <c r="B38" s="7">
        <v>45353</v>
      </c>
      <c r="C38" s="6" t="s">
        <v>84</v>
      </c>
      <c r="D38" s="6" t="s">
        <v>70</v>
      </c>
      <c r="E38" s="6" t="s">
        <v>37</v>
      </c>
      <c r="F38" s="6" t="s">
        <v>22</v>
      </c>
      <c r="G38" s="6" t="s">
        <v>23</v>
      </c>
      <c r="H38" s="6">
        <v>44</v>
      </c>
      <c r="I38" s="8">
        <v>2253.08</v>
      </c>
      <c r="J38" s="9">
        <v>0</v>
      </c>
      <c r="K38" s="6" t="s">
        <v>63</v>
      </c>
      <c r="M38">
        <f>IFERROR(
   Sheet2_RawData!$H149 * Sheet2_RawData!$I149 * (1 - Sheet2_RawData!$J149),
   ""
)</f>
        <v>12450.915000000001</v>
      </c>
      <c r="N38">
        <f>YEAR(Sheet2_RawData!$B38)</f>
        <v>2024</v>
      </c>
      <c r="O38">
        <f>MONTH(Sheet2_RawData!$B38)</f>
        <v>3</v>
      </c>
    </row>
    <row r="39" spans="1:16" ht="15" customHeight="1" x14ac:dyDescent="0.3">
      <c r="A39" s="6" t="s">
        <v>237</v>
      </c>
      <c r="B39" s="7">
        <v>45606</v>
      </c>
      <c r="C39" s="6" t="s">
        <v>125</v>
      </c>
      <c r="D39" s="6" t="s">
        <v>36</v>
      </c>
      <c r="E39" s="6" t="s">
        <v>14</v>
      </c>
      <c r="F39" s="6" t="s">
        <v>22</v>
      </c>
      <c r="G39" s="6" t="s">
        <v>111</v>
      </c>
      <c r="H39" s="6">
        <v>33</v>
      </c>
      <c r="I39" s="8">
        <v>2988.65</v>
      </c>
      <c r="J39" s="9">
        <v>0.05</v>
      </c>
      <c r="K39" s="6" t="s">
        <v>17</v>
      </c>
      <c r="M39">
        <f>IFERROR(
   Sheet2_RawData!$H143 * Sheet2_RawData!$I143 * (1 - Sheet2_RawData!$J143),
   ""
)</f>
        <v>46160.829999999994</v>
      </c>
      <c r="N39">
        <f>YEAR(Sheet2_RawData!$B39)</f>
        <v>2024</v>
      </c>
      <c r="O39">
        <f>MONTH(Sheet2_RawData!$B39)</f>
        <v>11</v>
      </c>
    </row>
    <row r="40" spans="1:16" ht="15" customHeight="1" x14ac:dyDescent="0.3">
      <c r="A40" s="6" t="s">
        <v>295</v>
      </c>
      <c r="B40" s="7">
        <v>45586</v>
      </c>
      <c r="C40" s="6" t="s">
        <v>86</v>
      </c>
      <c r="D40" s="6" t="s">
        <v>26</v>
      </c>
      <c r="E40" s="6" t="s">
        <v>52</v>
      </c>
      <c r="F40" s="6" t="s">
        <v>22</v>
      </c>
      <c r="G40" s="6" t="s">
        <v>111</v>
      </c>
      <c r="H40" s="6">
        <v>33</v>
      </c>
      <c r="I40" s="8">
        <v>3746.92</v>
      </c>
      <c r="J40" s="9">
        <v>0.1</v>
      </c>
      <c r="K40" s="6" t="s">
        <v>63</v>
      </c>
      <c r="M40">
        <f>IFERROR(
   Sheet2_RawData!$H199 * Sheet2_RawData!$I199 * (1 - Sheet2_RawData!$J199),
   ""
)</f>
        <v>28617.570000000003</v>
      </c>
      <c r="N40">
        <f>YEAR(Sheet2_RawData!$B40)</f>
        <v>2024</v>
      </c>
      <c r="O40">
        <f>MONTH(Sheet2_RawData!$B40)</f>
        <v>10</v>
      </c>
    </row>
    <row r="41" spans="1:16" ht="15" customHeight="1" x14ac:dyDescent="0.3">
      <c r="A41" s="6" t="s">
        <v>64</v>
      </c>
      <c r="B41" s="7">
        <v>45369</v>
      </c>
      <c r="C41" s="6" t="s">
        <v>65</v>
      </c>
      <c r="D41" s="6" t="s">
        <v>26</v>
      </c>
      <c r="E41" s="6" t="s">
        <v>52</v>
      </c>
      <c r="F41" s="6" t="s">
        <v>66</v>
      </c>
      <c r="G41" s="6" t="s">
        <v>67</v>
      </c>
      <c r="H41" s="6">
        <v>18</v>
      </c>
      <c r="I41" s="8">
        <v>1712.45</v>
      </c>
      <c r="J41" s="9">
        <v>0.1</v>
      </c>
      <c r="K41" s="6" t="s">
        <v>17</v>
      </c>
      <c r="M41">
        <f>IFERROR(
   Sheet2_RawData!$H109 * Sheet2_RawData!$I109 * (1 - Sheet2_RawData!$J109),
   ""
)</f>
        <v>203754.18</v>
      </c>
      <c r="N41">
        <f>YEAR(Sheet2_RawData!$B41)</f>
        <v>2024</v>
      </c>
      <c r="O41">
        <f>MONTH(Sheet2_RawData!$B41)</f>
        <v>3</v>
      </c>
    </row>
    <row r="42" spans="1:16" ht="15" customHeight="1" x14ac:dyDescent="0.3">
      <c r="A42" s="2" t="s">
        <v>360</v>
      </c>
      <c r="B42" s="3">
        <v>45597</v>
      </c>
      <c r="C42" s="2" t="s">
        <v>119</v>
      </c>
      <c r="D42" s="2" t="s">
        <v>13</v>
      </c>
      <c r="E42" s="2" t="s">
        <v>52</v>
      </c>
      <c r="F42" s="2" t="s">
        <v>71</v>
      </c>
      <c r="G42" s="2" t="s">
        <v>138</v>
      </c>
      <c r="H42" s="2">
        <v>12</v>
      </c>
      <c r="I42" s="4">
        <v>2923.92</v>
      </c>
      <c r="J42" s="5">
        <v>0</v>
      </c>
      <c r="K42" s="2" t="s">
        <v>17</v>
      </c>
      <c r="M42">
        <f>IFERROR(
   Sheet2_RawData!$H270 * Sheet2_RawData!$I270 * (1 - Sheet2_RawData!$J270),
   ""
)</f>
        <v>94654.750499999995</v>
      </c>
      <c r="N42">
        <f>YEAR(Sheet2_RawData!$B42)</f>
        <v>2024</v>
      </c>
      <c r="O42">
        <f>MONTH(Sheet2_RawData!$B42)</f>
        <v>11</v>
      </c>
    </row>
    <row r="43" spans="1:16" ht="15" customHeight="1" x14ac:dyDescent="0.3">
      <c r="A43" s="2" t="s">
        <v>366</v>
      </c>
      <c r="B43" s="3">
        <v>45332</v>
      </c>
      <c r="C43" s="2" t="s">
        <v>135</v>
      </c>
      <c r="D43" s="2" t="s">
        <v>48</v>
      </c>
      <c r="E43" s="2" t="s">
        <v>14</v>
      </c>
      <c r="F43" s="2" t="s">
        <v>71</v>
      </c>
      <c r="G43" s="2" t="s">
        <v>101</v>
      </c>
      <c r="H43" s="2">
        <v>50</v>
      </c>
      <c r="I43" s="4">
        <v>4032.85</v>
      </c>
      <c r="J43" s="5">
        <v>0</v>
      </c>
      <c r="K43" s="2" t="s">
        <v>17</v>
      </c>
      <c r="M43">
        <f>IFERROR(
   Sheet2_RawData!$H276 * Sheet2_RawData!$I276 * (1 - Sheet2_RawData!$J276),
   ""
)</f>
        <v>18136.310000000001</v>
      </c>
      <c r="N43">
        <f>YEAR(Sheet2_RawData!$B43)</f>
        <v>2024</v>
      </c>
      <c r="O43">
        <f>MONTH(Sheet2_RawData!$B43)</f>
        <v>2</v>
      </c>
    </row>
    <row r="44" spans="1:16" ht="15" customHeight="1" x14ac:dyDescent="0.3">
      <c r="A44" s="6" t="s">
        <v>38</v>
      </c>
      <c r="B44" s="7">
        <v>45450</v>
      </c>
      <c r="C44" s="6" t="s">
        <v>39</v>
      </c>
      <c r="D44" s="6" t="s">
        <v>40</v>
      </c>
      <c r="E44" s="6" t="s">
        <v>37</v>
      </c>
      <c r="F44" s="6" t="s">
        <v>22</v>
      </c>
      <c r="G44" s="6" t="s">
        <v>41</v>
      </c>
      <c r="H44" s="6">
        <v>6</v>
      </c>
      <c r="I44" s="8">
        <v>4101.2</v>
      </c>
      <c r="J44" s="9">
        <v>0.2</v>
      </c>
      <c r="K44" s="6" t="s">
        <v>17</v>
      </c>
      <c r="M44">
        <f>IFERROR(
   Sheet2_RawData!$H7 * Sheet2_RawData!$I7 * (1 - Sheet2_RawData!$J7),
   ""
)</f>
        <v>3404.3199999999997</v>
      </c>
      <c r="N44">
        <f>YEAR(Sheet2_RawData!$B44)</f>
        <v>2024</v>
      </c>
      <c r="O44">
        <f>MONTH(Sheet2_RawData!$B44)</f>
        <v>6</v>
      </c>
    </row>
    <row r="45" spans="1:16" ht="15" customHeight="1" x14ac:dyDescent="0.3">
      <c r="A45" s="2" t="s">
        <v>396</v>
      </c>
      <c r="B45" s="3">
        <v>45335</v>
      </c>
      <c r="C45" s="2" t="s">
        <v>57</v>
      </c>
      <c r="D45" s="2" t="s">
        <v>20</v>
      </c>
      <c r="E45" s="2" t="s">
        <v>21</v>
      </c>
      <c r="F45" s="2" t="s">
        <v>44</v>
      </c>
      <c r="G45" s="2" t="s">
        <v>62</v>
      </c>
      <c r="H45" s="2">
        <v>28</v>
      </c>
      <c r="I45" s="4">
        <v>969.4</v>
      </c>
      <c r="J45" s="5">
        <v>0.1</v>
      </c>
      <c r="K45" s="2" t="s">
        <v>63</v>
      </c>
      <c r="M45">
        <f>IFERROR(
   Sheet2_RawData!$H308 * Sheet2_RawData!$I308 * (1 - Sheet2_RawData!$J308),
   ""
)</f>
        <v>80368.479999999996</v>
      </c>
      <c r="N45">
        <f>YEAR(Sheet2_RawData!$B45)</f>
        <v>2024</v>
      </c>
      <c r="O45">
        <f>MONTH(Sheet2_RawData!$B45)</f>
        <v>2</v>
      </c>
    </row>
    <row r="46" spans="1:16" ht="15" customHeight="1" x14ac:dyDescent="0.3">
      <c r="A46" s="6" t="s">
        <v>357</v>
      </c>
      <c r="B46" s="7">
        <v>45428</v>
      </c>
      <c r="C46" s="6" t="s">
        <v>303</v>
      </c>
      <c r="D46" s="6" t="s">
        <v>70</v>
      </c>
      <c r="E46" s="6" t="s">
        <v>37</v>
      </c>
      <c r="F46" s="6" t="s">
        <v>15</v>
      </c>
      <c r="G46" s="6" t="s">
        <v>55</v>
      </c>
      <c r="H46" s="6">
        <v>8</v>
      </c>
      <c r="I46" s="8">
        <v>2745.58</v>
      </c>
      <c r="J46" s="9">
        <v>0.15</v>
      </c>
      <c r="K46" s="6" t="s">
        <v>17</v>
      </c>
      <c r="M46">
        <f>IFERROR(
   Sheet2_RawData!$H267 * Sheet2_RawData!$I267 * (1 - Sheet2_RawData!$J267),
   ""
)</f>
        <v>22735.84</v>
      </c>
      <c r="N46">
        <f>YEAR(Sheet2_RawData!$B46)</f>
        <v>2024</v>
      </c>
      <c r="O46">
        <f>MONTH(Sheet2_RawData!$B46)</f>
        <v>5</v>
      </c>
    </row>
    <row r="47" spans="1:16" ht="15" customHeight="1" x14ac:dyDescent="0.3">
      <c r="A47" s="2" t="s">
        <v>199</v>
      </c>
      <c r="B47" s="3">
        <v>45348</v>
      </c>
      <c r="C47" s="2" t="s">
        <v>86</v>
      </c>
      <c r="D47" s="2" t="s">
        <v>98</v>
      </c>
      <c r="E47" s="2" t="s">
        <v>14</v>
      </c>
      <c r="F47" s="2" t="s">
        <v>44</v>
      </c>
      <c r="G47" s="2" t="s">
        <v>49</v>
      </c>
      <c r="H47" s="2">
        <v>9</v>
      </c>
      <c r="I47" s="4">
        <v>2572.16</v>
      </c>
      <c r="J47" s="5">
        <v>0</v>
      </c>
      <c r="K47" s="2" t="s">
        <v>95</v>
      </c>
      <c r="M47">
        <f>IFERROR(
   Sheet2_RawData!$H104 * Sheet2_RawData!$I104 * (1 - Sheet2_RawData!$J104),
   ""
)</f>
        <v>25465.266000000003</v>
      </c>
      <c r="N47">
        <f>YEAR(Sheet2_RawData!$B47)</f>
        <v>2024</v>
      </c>
      <c r="O47">
        <f>MONTH(Sheet2_RawData!$B47)</f>
        <v>2</v>
      </c>
    </row>
    <row r="48" spans="1:16" ht="15" customHeight="1" x14ac:dyDescent="0.3">
      <c r="A48" s="2" t="s">
        <v>193</v>
      </c>
      <c r="B48" s="3">
        <v>45412</v>
      </c>
      <c r="C48" s="2" t="s">
        <v>135</v>
      </c>
      <c r="D48" s="2" t="s">
        <v>98</v>
      </c>
      <c r="E48" s="2" t="s">
        <v>31</v>
      </c>
      <c r="F48" s="2" t="s">
        <v>71</v>
      </c>
      <c r="G48" s="2" t="s">
        <v>101</v>
      </c>
      <c r="H48" s="2">
        <v>47</v>
      </c>
      <c r="I48" s="4">
        <v>4793.21</v>
      </c>
      <c r="J48" s="5">
        <v>0.15</v>
      </c>
      <c r="K48" s="2" t="s">
        <v>95</v>
      </c>
      <c r="M48">
        <f>IFERROR(
   Sheet2_RawData!$H98 * Sheet2_RawData!$I98 * (1 - Sheet2_RawData!$J98),
   ""
)</f>
        <v>87275.66399999999</v>
      </c>
      <c r="N48">
        <f>YEAR(Sheet2_RawData!$B48)</f>
        <v>2024</v>
      </c>
      <c r="O48">
        <f>MONTH(Sheet2_RawData!$B48)</f>
        <v>4</v>
      </c>
    </row>
    <row r="49" spans="1:16" ht="15" customHeight="1" x14ac:dyDescent="0.3">
      <c r="A49" s="6" t="s">
        <v>393</v>
      </c>
      <c r="B49" s="7">
        <v>45335</v>
      </c>
      <c r="C49" s="6" t="s">
        <v>261</v>
      </c>
      <c r="D49" s="6" t="s">
        <v>98</v>
      </c>
      <c r="E49" s="6" t="s">
        <v>21</v>
      </c>
      <c r="F49" s="6" t="s">
        <v>44</v>
      </c>
      <c r="G49" s="6" t="s">
        <v>58</v>
      </c>
      <c r="H49" s="6">
        <v>44</v>
      </c>
      <c r="I49" s="8">
        <v>4618.78</v>
      </c>
      <c r="J49" s="9">
        <v>0</v>
      </c>
      <c r="K49" s="6" t="s">
        <v>17</v>
      </c>
      <c r="M49">
        <f>IFERROR(
   Sheet2_RawData!$H305 * Sheet2_RawData!$I305 * (1 - Sheet2_RawData!$J305),
   ""
)</f>
        <v>22177.350000000002</v>
      </c>
      <c r="N49">
        <f>YEAR(Sheet2_RawData!$B49)</f>
        <v>2024</v>
      </c>
      <c r="O49">
        <f>MONTH(Sheet2_RawData!$B49)</f>
        <v>2</v>
      </c>
    </row>
    <row r="50" spans="1:16" ht="15" customHeight="1" x14ac:dyDescent="0.3">
      <c r="A50" s="2" t="s">
        <v>312</v>
      </c>
      <c r="B50" s="3">
        <v>45472</v>
      </c>
      <c r="C50" s="2" t="s">
        <v>84</v>
      </c>
      <c r="D50" s="2" t="s">
        <v>20</v>
      </c>
      <c r="E50" s="2" t="s">
        <v>14</v>
      </c>
      <c r="F50" s="2" t="s">
        <v>71</v>
      </c>
      <c r="G50" s="2" t="s">
        <v>138</v>
      </c>
      <c r="H50" s="2">
        <v>23</v>
      </c>
      <c r="I50" s="4">
        <v>2156.2399999999998</v>
      </c>
      <c r="J50" s="5">
        <v>0.15</v>
      </c>
      <c r="K50" s="2" t="s">
        <v>63</v>
      </c>
      <c r="M50">
        <f>IFERROR(
   Sheet2_RawData!$H216 * Sheet2_RawData!$I216 * (1 - Sheet2_RawData!$J216),
   ""
)</f>
        <v>113728.95</v>
      </c>
      <c r="N50">
        <f>YEAR(Sheet2_RawData!$B50)</f>
        <v>2024</v>
      </c>
      <c r="O50">
        <f>MONTH(Sheet2_RawData!$B50)</f>
        <v>6</v>
      </c>
    </row>
    <row r="51" spans="1:16" ht="15" customHeight="1" x14ac:dyDescent="0.3">
      <c r="A51" s="2" t="s">
        <v>296</v>
      </c>
      <c r="B51" s="3">
        <v>45517</v>
      </c>
      <c r="C51" s="2" t="s">
        <v>144</v>
      </c>
      <c r="D51" s="2" t="s">
        <v>61</v>
      </c>
      <c r="E51" s="2" t="s">
        <v>52</v>
      </c>
      <c r="F51" s="2" t="s">
        <v>15</v>
      </c>
      <c r="G51" s="2" t="s">
        <v>87</v>
      </c>
      <c r="H51" s="2">
        <v>38</v>
      </c>
      <c r="I51" s="4">
        <v>1693.37</v>
      </c>
      <c r="J51" s="5">
        <v>0</v>
      </c>
      <c r="K51" s="2" t="s">
        <v>33</v>
      </c>
      <c r="M51" t="str">
        <f>IFERROR(
   Sheet2_RawData!$H200 * Sheet2_RawData!$I200 * (1 - Sheet2_RawData!$J200),
   ""
)</f>
        <v/>
      </c>
      <c r="N51">
        <f>YEAR(Sheet2_RawData!$B51)</f>
        <v>2024</v>
      </c>
      <c r="O51">
        <f>MONTH(Sheet2_RawData!$B51)</f>
        <v>8</v>
      </c>
      <c r="P51" t="b">
        <f t="shared" ref="P51:P52" si="4">AND($N51=2024, OR($O51=7, $O51=8, $O51=9))</f>
        <v>1</v>
      </c>
    </row>
    <row r="52" spans="1:16" ht="15" customHeight="1" x14ac:dyDescent="0.3">
      <c r="A52" s="6" t="s">
        <v>164</v>
      </c>
      <c r="B52" s="7">
        <v>45508</v>
      </c>
      <c r="C52" s="6" t="s">
        <v>12</v>
      </c>
      <c r="D52" s="6" t="s">
        <v>26</v>
      </c>
      <c r="E52" s="6" t="s">
        <v>52</v>
      </c>
      <c r="F52" s="6" t="s">
        <v>22</v>
      </c>
      <c r="G52" s="6" t="s">
        <v>111</v>
      </c>
      <c r="H52" s="6">
        <v>10</v>
      </c>
      <c r="I52" s="8">
        <v>2766.58</v>
      </c>
      <c r="J52" s="9">
        <v>0.15</v>
      </c>
      <c r="K52" s="6" t="s">
        <v>63</v>
      </c>
      <c r="M52">
        <f>IFERROR(
   Sheet2_RawData!$H71 * Sheet2_RawData!$I71 * (1 - Sheet2_RawData!$J71),
   ""
)</f>
        <v>16388.631999999998</v>
      </c>
      <c r="N52">
        <f>YEAR(Sheet2_RawData!$B52)</f>
        <v>2024</v>
      </c>
      <c r="O52">
        <f>MONTH(Sheet2_RawData!$B52)</f>
        <v>8</v>
      </c>
      <c r="P52" t="b">
        <f t="shared" si="4"/>
        <v>1</v>
      </c>
    </row>
    <row r="53" spans="1:16" ht="15" customHeight="1" x14ac:dyDescent="0.3">
      <c r="A53" s="6" t="s">
        <v>167</v>
      </c>
      <c r="B53" s="7">
        <v>45363</v>
      </c>
      <c r="C53" s="6" t="s">
        <v>39</v>
      </c>
      <c r="D53" s="6" t="s">
        <v>48</v>
      </c>
      <c r="E53" s="6" t="s">
        <v>52</v>
      </c>
      <c r="F53" s="6" t="s">
        <v>22</v>
      </c>
      <c r="G53" s="6" t="s">
        <v>111</v>
      </c>
      <c r="H53" s="6">
        <v>7</v>
      </c>
      <c r="I53" s="8">
        <v>1280.8499999999999</v>
      </c>
      <c r="J53" s="9">
        <v>0</v>
      </c>
      <c r="K53" s="6" t="s">
        <v>17</v>
      </c>
      <c r="M53">
        <f>IFERROR(
   Sheet2_RawData!$H73 * Sheet2_RawData!$I73 * (1 - Sheet2_RawData!$J73),
   ""
)</f>
        <v>84990.720000000001</v>
      </c>
      <c r="N53">
        <f>YEAR(Sheet2_RawData!$B53)</f>
        <v>2024</v>
      </c>
      <c r="O53">
        <f>MONTH(Sheet2_RawData!$B53)</f>
        <v>3</v>
      </c>
    </row>
    <row r="54" spans="1:16" ht="15" customHeight="1" x14ac:dyDescent="0.3">
      <c r="A54" s="6" t="s">
        <v>223</v>
      </c>
      <c r="B54" s="7">
        <v>45518</v>
      </c>
      <c r="C54" s="6" t="s">
        <v>69</v>
      </c>
      <c r="D54" s="6" t="s">
        <v>61</v>
      </c>
      <c r="E54" s="6" t="s">
        <v>52</v>
      </c>
      <c r="F54" s="6" t="s">
        <v>71</v>
      </c>
      <c r="G54" s="6" t="s">
        <v>72</v>
      </c>
      <c r="H54" s="6">
        <v>49</v>
      </c>
      <c r="I54" s="8">
        <v>3108.3</v>
      </c>
      <c r="J54" s="9">
        <v>0.15</v>
      </c>
      <c r="K54" s="6" t="s">
        <v>17</v>
      </c>
      <c r="M54">
        <f>IFERROR(
   Sheet2_RawData!$H129 * Sheet2_RawData!$I129 * (1 - Sheet2_RawData!$J129),
   ""
)</f>
        <v>600.16800000000001</v>
      </c>
      <c r="N54">
        <f>YEAR(Sheet2_RawData!$B54)</f>
        <v>2024</v>
      </c>
      <c r="O54">
        <f>MONTH(Sheet2_RawData!$B54)</f>
        <v>8</v>
      </c>
      <c r="P54" t="b">
        <f>AND($N54=2024, OR($O54=7, $O54=8, $O54=9))</f>
        <v>1</v>
      </c>
    </row>
    <row r="55" spans="1:16" ht="15" customHeight="1" x14ac:dyDescent="0.3">
      <c r="A55" s="2" t="s">
        <v>282</v>
      </c>
      <c r="B55" s="3">
        <v>45469</v>
      </c>
      <c r="C55" s="2" t="s">
        <v>110</v>
      </c>
      <c r="D55" s="2" t="s">
        <v>26</v>
      </c>
      <c r="E55" s="2" t="s">
        <v>52</v>
      </c>
      <c r="F55" s="2" t="s">
        <v>71</v>
      </c>
      <c r="G55" s="2" t="s">
        <v>82</v>
      </c>
      <c r="H55" s="2">
        <v>8</v>
      </c>
      <c r="I55" s="4">
        <v>3991.32</v>
      </c>
      <c r="J55" s="5">
        <v>0.1</v>
      </c>
      <c r="K55" s="2" t="s">
        <v>95</v>
      </c>
      <c r="M55">
        <f>IFERROR(
   Sheet2_RawData!$H186 * Sheet2_RawData!$I186 * (1 - Sheet2_RawData!$J186),
   ""
)</f>
        <v>25002.379999999997</v>
      </c>
      <c r="N55">
        <f>YEAR(Sheet2_RawData!$B55)</f>
        <v>2024</v>
      </c>
      <c r="O55">
        <f>MONTH(Sheet2_RawData!$B55)</f>
        <v>6</v>
      </c>
    </row>
    <row r="56" spans="1:16" ht="15" customHeight="1" x14ac:dyDescent="0.3">
      <c r="A56" s="2" t="s">
        <v>112</v>
      </c>
      <c r="B56" s="3">
        <v>45486</v>
      </c>
      <c r="C56" s="2" t="s">
        <v>25</v>
      </c>
      <c r="D56" s="2" t="s">
        <v>89</v>
      </c>
      <c r="E56" s="2" t="s">
        <v>31</v>
      </c>
      <c r="F56" s="2" t="s">
        <v>71</v>
      </c>
      <c r="G56" s="2" t="s">
        <v>101</v>
      </c>
      <c r="H56" s="2">
        <v>31</v>
      </c>
      <c r="I56" s="4">
        <v>894.03</v>
      </c>
      <c r="J56" s="5">
        <v>0.15</v>
      </c>
      <c r="K56" s="2" t="s">
        <v>63</v>
      </c>
      <c r="M56">
        <f>IFERROR(
   Sheet2_RawData!$H226 * Sheet2_RawData!$I226 * (1 - Sheet2_RawData!$J226),
   ""
)</f>
        <v>164263.85999999999</v>
      </c>
      <c r="N56">
        <f>YEAR(Sheet2_RawData!$B56)</f>
        <v>2024</v>
      </c>
      <c r="O56">
        <f>MONTH(Sheet2_RawData!$B56)</f>
        <v>7</v>
      </c>
      <c r="P56" t="b">
        <f>AND($N56=2024, OR($O56=7, $O56=8, $O56=9))</f>
        <v>1</v>
      </c>
    </row>
    <row r="57" spans="1:16" ht="15" customHeight="1" x14ac:dyDescent="0.3">
      <c r="A57" s="2" t="s">
        <v>270</v>
      </c>
      <c r="B57" s="3">
        <v>45429</v>
      </c>
      <c r="C57" s="2" t="s">
        <v>103</v>
      </c>
      <c r="D57" s="2" t="s">
        <v>70</v>
      </c>
      <c r="E57" s="2" t="s">
        <v>52</v>
      </c>
      <c r="F57" s="2" t="s">
        <v>66</v>
      </c>
      <c r="G57" s="2" t="s">
        <v>107</v>
      </c>
      <c r="H57" s="2">
        <v>38</v>
      </c>
      <c r="I57" s="4">
        <v>4756.3900000000003</v>
      </c>
      <c r="J57" s="5">
        <v>0.2</v>
      </c>
      <c r="K57" s="2" t="s">
        <v>63</v>
      </c>
      <c r="M57">
        <f>IFERROR(
   Sheet2_RawData!$H174 * Sheet2_RawData!$I174 * (1 - Sheet2_RawData!$J174),
   ""
)</f>
        <v>1586.5</v>
      </c>
      <c r="N57">
        <f>YEAR(Sheet2_RawData!$B57)</f>
        <v>2024</v>
      </c>
      <c r="O57">
        <f>MONTH(Sheet2_RawData!$B57)</f>
        <v>5</v>
      </c>
    </row>
    <row r="58" spans="1:16" ht="15" customHeight="1" x14ac:dyDescent="0.3">
      <c r="A58" s="2" t="s">
        <v>191</v>
      </c>
      <c r="B58" s="3">
        <v>45608</v>
      </c>
      <c r="C58" s="2" t="s">
        <v>106</v>
      </c>
      <c r="D58" s="2" t="s">
        <v>70</v>
      </c>
      <c r="E58" s="2" t="s">
        <v>52</v>
      </c>
      <c r="F58" s="2" t="s">
        <v>71</v>
      </c>
      <c r="G58" s="2" t="s">
        <v>138</v>
      </c>
      <c r="H58" s="2">
        <v>36</v>
      </c>
      <c r="I58" s="4">
        <v>3834</v>
      </c>
      <c r="J58" s="5">
        <v>0.1</v>
      </c>
      <c r="K58" s="2" t="s">
        <v>63</v>
      </c>
      <c r="M58">
        <f>IFERROR(
   Sheet2_RawData!$H96 * Sheet2_RawData!$I96 * (1 - Sheet2_RawData!$J96),
   ""
)</f>
        <v>6689.7800000000007</v>
      </c>
      <c r="N58">
        <f>YEAR(Sheet2_RawData!$B58)</f>
        <v>2024</v>
      </c>
      <c r="O58">
        <f>MONTH(Sheet2_RawData!$B58)</f>
        <v>11</v>
      </c>
    </row>
    <row r="59" spans="1:16" ht="15" customHeight="1" x14ac:dyDescent="0.3">
      <c r="A59" s="2" t="s">
        <v>120</v>
      </c>
      <c r="B59" s="3">
        <v>45521</v>
      </c>
      <c r="C59" s="2" t="s">
        <v>65</v>
      </c>
      <c r="D59" s="2" t="s">
        <v>98</v>
      </c>
      <c r="E59" s="2" t="s">
        <v>14</v>
      </c>
      <c r="F59" s="2" t="s">
        <v>44</v>
      </c>
      <c r="G59" s="2" t="s">
        <v>75</v>
      </c>
      <c r="H59" s="2">
        <v>29</v>
      </c>
      <c r="I59" s="4">
        <v>3072.45</v>
      </c>
      <c r="J59" s="5">
        <v>0.2</v>
      </c>
      <c r="K59" s="2" t="s">
        <v>63</v>
      </c>
      <c r="M59">
        <f>IFERROR(
   Sheet2_RawData!$H36 * Sheet2_RawData!$I36 * (1 - Sheet2_RawData!$J36),
   ""
)</f>
        <v>51646.960000000006</v>
      </c>
      <c r="N59">
        <f>YEAR(Sheet2_RawData!$B59)</f>
        <v>2024</v>
      </c>
      <c r="O59">
        <f>MONTH(Sheet2_RawData!$B59)</f>
        <v>8</v>
      </c>
      <c r="P59" t="b">
        <f>AND($N59=2024, OR($O59=7, $O59=8, $O59=9))</f>
        <v>1</v>
      </c>
    </row>
    <row r="60" spans="1:16" ht="15" customHeight="1" x14ac:dyDescent="0.3">
      <c r="A60" s="6" t="s">
        <v>339</v>
      </c>
      <c r="B60" s="7">
        <v>45432</v>
      </c>
      <c r="C60" s="6" t="s">
        <v>103</v>
      </c>
      <c r="D60" s="6" t="s">
        <v>13</v>
      </c>
      <c r="E60" s="6" t="s">
        <v>31</v>
      </c>
      <c r="F60" s="6" t="s">
        <v>44</v>
      </c>
      <c r="G60" s="6" t="s">
        <v>45</v>
      </c>
      <c r="H60" s="6">
        <v>2</v>
      </c>
      <c r="I60" s="8">
        <v>3989.61</v>
      </c>
      <c r="J60" s="9">
        <v>0</v>
      </c>
      <c r="K60" s="6" t="s">
        <v>17</v>
      </c>
      <c r="M60">
        <f>IFERROR(
   Sheet2_RawData!$H245 * Sheet2_RawData!$I245 * (1 - Sheet2_RawData!$J245),
   ""
)</f>
        <v>15448</v>
      </c>
      <c r="N60">
        <f>YEAR(Sheet2_RawData!$B60)</f>
        <v>2024</v>
      </c>
      <c r="O60">
        <f>MONTH(Sheet2_RawData!$B60)</f>
        <v>5</v>
      </c>
    </row>
    <row r="61" spans="1:16" ht="15" customHeight="1" x14ac:dyDescent="0.3">
      <c r="A61" s="2" t="s">
        <v>187</v>
      </c>
      <c r="B61" s="3">
        <v>45647</v>
      </c>
      <c r="C61" s="2" t="s">
        <v>148</v>
      </c>
      <c r="D61" s="2" t="s">
        <v>98</v>
      </c>
      <c r="E61" s="2" t="s">
        <v>14</v>
      </c>
      <c r="F61" s="2" t="s">
        <v>44</v>
      </c>
      <c r="G61" s="2" t="s">
        <v>58</v>
      </c>
      <c r="H61" s="2">
        <v>43</v>
      </c>
      <c r="I61" s="4">
        <v>567.77</v>
      </c>
      <c r="J61" s="5">
        <v>0</v>
      </c>
      <c r="K61" s="2" t="s">
        <v>17</v>
      </c>
      <c r="M61">
        <f>IFERROR(
   Sheet2_RawData!$H92 * Sheet2_RawData!$I92 * (1 - Sheet2_RawData!$J92),
   ""
)</f>
        <v>50625.54</v>
      </c>
      <c r="N61">
        <f>YEAR(Sheet2_RawData!$B61)</f>
        <v>2024</v>
      </c>
      <c r="O61">
        <f>MONTH(Sheet2_RawData!$B61)</f>
        <v>12</v>
      </c>
    </row>
    <row r="62" spans="1:16" ht="15" customHeight="1" x14ac:dyDescent="0.3">
      <c r="A62" s="6" t="s">
        <v>371</v>
      </c>
      <c r="B62" s="7">
        <v>45545</v>
      </c>
      <c r="C62" s="6" t="s">
        <v>254</v>
      </c>
      <c r="D62" s="6" t="s">
        <v>26</v>
      </c>
      <c r="E62" s="6" t="s">
        <v>14</v>
      </c>
      <c r="F62" s="6" t="s">
        <v>44</v>
      </c>
      <c r="G62" s="6" t="s">
        <v>58</v>
      </c>
      <c r="H62" s="6">
        <v>5</v>
      </c>
      <c r="I62" s="8">
        <v>1837.57</v>
      </c>
      <c r="J62" s="9">
        <v>0</v>
      </c>
      <c r="K62" s="6" t="s">
        <v>63</v>
      </c>
      <c r="M62">
        <f>IFERROR(
   Sheet2_RawData!$H281 * Sheet2_RawData!$I281 * (1 - Sheet2_RawData!$J281),
   ""
)</f>
        <v>4826.9339999999993</v>
      </c>
      <c r="N62">
        <f>YEAR(Sheet2_RawData!$B62)</f>
        <v>2024</v>
      </c>
      <c r="O62">
        <f>MONTH(Sheet2_RawData!$B62)</f>
        <v>9</v>
      </c>
      <c r="P62" t="b">
        <f>AND($N62=2024, OR($O62=7, $O62=8, $O62=9))</f>
        <v>1</v>
      </c>
    </row>
    <row r="63" spans="1:16" ht="15" customHeight="1" x14ac:dyDescent="0.3">
      <c r="A63" s="6" t="s">
        <v>217</v>
      </c>
      <c r="B63" s="7">
        <v>45462</v>
      </c>
      <c r="C63" s="6" t="s">
        <v>144</v>
      </c>
      <c r="D63" s="6" t="s">
        <v>40</v>
      </c>
      <c r="E63" s="6" t="s">
        <v>31</v>
      </c>
      <c r="F63" s="6" t="s">
        <v>66</v>
      </c>
      <c r="G63" s="6" t="s">
        <v>142</v>
      </c>
      <c r="H63" s="6">
        <v>26</v>
      </c>
      <c r="I63" s="8">
        <v>2525.39</v>
      </c>
      <c r="J63" s="9">
        <v>0</v>
      </c>
      <c r="K63" s="6" t="s">
        <v>17</v>
      </c>
      <c r="M63">
        <f>IFERROR(
   Sheet2_RawData!$H123 * Sheet2_RawData!$I123 * (1 - Sheet2_RawData!$J123),
   ""
)</f>
        <v>111777.74549999998</v>
      </c>
      <c r="N63">
        <f>YEAR(Sheet2_RawData!$B63)</f>
        <v>2024</v>
      </c>
      <c r="O63">
        <f>MONTH(Sheet2_RawData!$B63)</f>
        <v>6</v>
      </c>
    </row>
    <row r="64" spans="1:16" ht="15" customHeight="1" x14ac:dyDescent="0.3">
      <c r="A64" s="6" t="s">
        <v>253</v>
      </c>
      <c r="B64" s="7">
        <v>45443</v>
      </c>
      <c r="C64" s="6" t="s">
        <v>254</v>
      </c>
      <c r="D64" s="6" t="s">
        <v>48</v>
      </c>
      <c r="E64" s="6" t="s">
        <v>31</v>
      </c>
      <c r="F64" s="6" t="s">
        <v>44</v>
      </c>
      <c r="G64" s="6" t="s">
        <v>58</v>
      </c>
      <c r="H64" s="6">
        <v>7</v>
      </c>
      <c r="I64" s="8">
        <v>1224.17</v>
      </c>
      <c r="J64" s="9">
        <v>0.1</v>
      </c>
      <c r="K64" s="6" t="s">
        <v>17</v>
      </c>
      <c r="M64">
        <f>IFERROR(
   Sheet2_RawData!$H159 * Sheet2_RawData!$I159 * (1 - Sheet2_RawData!$J159),
   ""
)</f>
        <v>33741.46</v>
      </c>
      <c r="N64">
        <f>YEAR(Sheet2_RawData!$B64)</f>
        <v>2024</v>
      </c>
      <c r="O64">
        <f>MONTH(Sheet2_RawData!$B64)</f>
        <v>5</v>
      </c>
    </row>
    <row r="65" spans="1:16" ht="15" customHeight="1" x14ac:dyDescent="0.3">
      <c r="A65" s="2" t="s">
        <v>201</v>
      </c>
      <c r="B65" s="3">
        <v>45338</v>
      </c>
      <c r="C65" s="2" t="s">
        <v>144</v>
      </c>
      <c r="D65" s="2" t="s">
        <v>36</v>
      </c>
      <c r="E65" s="2" t="s">
        <v>31</v>
      </c>
      <c r="F65" s="2" t="s">
        <v>66</v>
      </c>
      <c r="G65" s="2" t="s">
        <v>142</v>
      </c>
      <c r="H65" s="2">
        <v>30</v>
      </c>
      <c r="I65" s="4">
        <v>2518.86</v>
      </c>
      <c r="J65" s="5">
        <v>0</v>
      </c>
      <c r="K65" s="2" t="s">
        <v>17</v>
      </c>
      <c r="M65">
        <f>IFERROR(
   Sheet2_RawData!$H106 * Sheet2_RawData!$I106 * (1 - Sheet2_RawData!$J106),
   ""
)</f>
        <v>30736.34</v>
      </c>
      <c r="N65">
        <f>YEAR(Sheet2_RawData!$B65)</f>
        <v>2024</v>
      </c>
      <c r="O65">
        <f>MONTH(Sheet2_RawData!$B65)</f>
        <v>2</v>
      </c>
    </row>
    <row r="66" spans="1:16" ht="15" customHeight="1" x14ac:dyDescent="0.3">
      <c r="A66" s="2" t="s">
        <v>53</v>
      </c>
      <c r="B66" s="3">
        <v>45319</v>
      </c>
      <c r="C66" s="2" t="s">
        <v>54</v>
      </c>
      <c r="D66" s="2" t="s">
        <v>26</v>
      </c>
      <c r="E66" s="2" t="s">
        <v>31</v>
      </c>
      <c r="F66" s="2" t="s">
        <v>15</v>
      </c>
      <c r="G66" s="2" t="s">
        <v>55</v>
      </c>
      <c r="H66" s="2">
        <v>46</v>
      </c>
      <c r="I66" s="4">
        <v>2693.97</v>
      </c>
      <c r="J66" s="5">
        <v>0</v>
      </c>
      <c r="K66" s="2" t="s">
        <v>17</v>
      </c>
      <c r="M66">
        <f>IFERROR(
   Sheet2_RawData!$H156 * Sheet2_RawData!$I156 * (1 - Sheet2_RawData!$J156),
   ""
)</f>
        <v>47111.96</v>
      </c>
      <c r="N66">
        <f>YEAR(Sheet2_RawData!$B66)</f>
        <v>2024</v>
      </c>
      <c r="O66">
        <f>MONTH(Sheet2_RawData!$B66)</f>
        <v>1</v>
      </c>
    </row>
    <row r="67" spans="1:16" ht="15" customHeight="1" x14ac:dyDescent="0.3">
      <c r="A67" s="6" t="s">
        <v>46</v>
      </c>
      <c r="B67" s="7">
        <v>45433</v>
      </c>
      <c r="C67" s="6" t="s">
        <v>47</v>
      </c>
      <c r="D67" s="6" t="s">
        <v>48</v>
      </c>
      <c r="E67" s="6" t="s">
        <v>31</v>
      </c>
      <c r="F67" s="6" t="s">
        <v>44</v>
      </c>
      <c r="G67" s="6" t="s">
        <v>49</v>
      </c>
      <c r="H67" s="6">
        <v>39</v>
      </c>
      <c r="I67" s="8">
        <v>2565.79</v>
      </c>
      <c r="J67" s="9">
        <v>0</v>
      </c>
      <c r="K67" s="6" t="s">
        <v>33</v>
      </c>
      <c r="M67">
        <f>IFERROR(
   Sheet2_RawData!$H9 * Sheet2_RawData!$I9 * (1 - Sheet2_RawData!$J9),
   ""
)</f>
        <v>34623.823499999999</v>
      </c>
      <c r="N67">
        <f>YEAR(Sheet2_RawData!$B67)</f>
        <v>2024</v>
      </c>
      <c r="O67">
        <f>MONTH(Sheet2_RawData!$B67)</f>
        <v>5</v>
      </c>
    </row>
    <row r="68" spans="1:16" ht="15" customHeight="1" x14ac:dyDescent="0.3">
      <c r="A68" s="6" t="s">
        <v>351</v>
      </c>
      <c r="B68" s="7">
        <v>45400</v>
      </c>
      <c r="C68" s="6" t="s">
        <v>166</v>
      </c>
      <c r="D68" s="6" t="s">
        <v>89</v>
      </c>
      <c r="E68" s="6" t="s">
        <v>14</v>
      </c>
      <c r="F68" s="6" t="s">
        <v>44</v>
      </c>
      <c r="G68" s="6" t="s">
        <v>58</v>
      </c>
      <c r="H68" s="6">
        <v>39</v>
      </c>
      <c r="I68" s="8">
        <v>1596.62</v>
      </c>
      <c r="J68" s="9">
        <v>0</v>
      </c>
      <c r="K68" s="6" t="s">
        <v>63</v>
      </c>
      <c r="M68">
        <f>IFERROR(
   Sheet2_RawData!$H259 * Sheet2_RawData!$I259 * (1 - Sheet2_RawData!$J259),
   ""
)</f>
        <v>129941.44200000001</v>
      </c>
      <c r="N68">
        <f>YEAR(Sheet2_RawData!$B68)</f>
        <v>2024</v>
      </c>
      <c r="O68">
        <f>MONTH(Sheet2_RawData!$B68)</f>
        <v>4</v>
      </c>
    </row>
    <row r="69" spans="1:16" ht="15" customHeight="1" x14ac:dyDescent="0.3">
      <c r="A69" s="2" t="s">
        <v>222</v>
      </c>
      <c r="B69" s="3">
        <v>45636</v>
      </c>
      <c r="C69" s="2" t="s">
        <v>54</v>
      </c>
      <c r="D69" s="2" t="s">
        <v>48</v>
      </c>
      <c r="E69" s="2" t="s">
        <v>52</v>
      </c>
      <c r="F69" s="2" t="s">
        <v>71</v>
      </c>
      <c r="G69" s="2" t="s">
        <v>138</v>
      </c>
      <c r="H69" s="2">
        <v>17</v>
      </c>
      <c r="I69" s="4">
        <v>2706.03</v>
      </c>
      <c r="J69" s="5">
        <v>0.05</v>
      </c>
      <c r="K69" s="2" t="s">
        <v>17</v>
      </c>
      <c r="M69">
        <f>IFERROR(
   Sheet2_RawData!$H128 * Sheet2_RawData!$I128 * (1 - Sheet2_RawData!$J128),
   ""
)</f>
        <v>22009.590000000004</v>
      </c>
      <c r="N69">
        <f>YEAR(Sheet2_RawData!$B69)</f>
        <v>2024</v>
      </c>
      <c r="O69">
        <f>MONTH(Sheet2_RawData!$B69)</f>
        <v>12</v>
      </c>
    </row>
    <row r="70" spans="1:16" ht="15" customHeight="1" x14ac:dyDescent="0.3">
      <c r="A70" s="6" t="s">
        <v>377</v>
      </c>
      <c r="B70" s="7">
        <v>45619</v>
      </c>
      <c r="C70" s="6" t="s">
        <v>65</v>
      </c>
      <c r="D70" s="6" t="s">
        <v>20</v>
      </c>
      <c r="E70" s="6" t="s">
        <v>31</v>
      </c>
      <c r="F70" s="6" t="s">
        <v>22</v>
      </c>
      <c r="G70" s="6" t="s">
        <v>104</v>
      </c>
      <c r="H70" s="6">
        <v>11</v>
      </c>
      <c r="I70" s="8">
        <v>2338.19</v>
      </c>
      <c r="J70" s="9">
        <v>0</v>
      </c>
      <c r="K70" s="6" t="s">
        <v>28</v>
      </c>
      <c r="M70">
        <f>IFERROR(
   Sheet2_RawData!$H287 * Sheet2_RawData!$I287 * (1 - Sheet2_RawData!$J287),
   ""
)</f>
        <v>132924.25999999998</v>
      </c>
      <c r="N70">
        <f>YEAR(Sheet2_RawData!$B70)</f>
        <v>2024</v>
      </c>
      <c r="O70">
        <f>MONTH(Sheet2_RawData!$B70)</f>
        <v>11</v>
      </c>
    </row>
    <row r="71" spans="1:16" ht="15" customHeight="1" x14ac:dyDescent="0.3">
      <c r="A71" s="6" t="s">
        <v>245</v>
      </c>
      <c r="B71" s="7">
        <v>45479</v>
      </c>
      <c r="C71" s="6" t="s">
        <v>127</v>
      </c>
      <c r="D71" s="6" t="s">
        <v>26</v>
      </c>
      <c r="E71" s="6" t="s">
        <v>31</v>
      </c>
      <c r="F71" s="6" t="s">
        <v>22</v>
      </c>
      <c r="G71" s="6" t="s">
        <v>23</v>
      </c>
      <c r="H71" s="6">
        <v>37</v>
      </c>
      <c r="I71" s="8">
        <v>553.66999999999996</v>
      </c>
      <c r="J71" s="9">
        <v>0.2</v>
      </c>
      <c r="K71" s="6" t="s">
        <v>17</v>
      </c>
      <c r="M71">
        <f>IFERROR(
   Sheet2_RawData!$H151 * Sheet2_RawData!$I151 * (1 - Sheet2_RawData!$J151),
   ""
)</f>
        <v>129700.54999999999</v>
      </c>
      <c r="N71">
        <f>YEAR(Sheet2_RawData!$B71)</f>
        <v>2024</v>
      </c>
      <c r="O71">
        <f>MONTH(Sheet2_RawData!$B71)</f>
        <v>7</v>
      </c>
      <c r="P71" t="b">
        <f>AND($N71=2024, OR($O71=7, $O71=8, $O71=9))</f>
        <v>1</v>
      </c>
    </row>
    <row r="72" spans="1:16" ht="15" customHeight="1" x14ac:dyDescent="0.3">
      <c r="A72" s="2" t="s">
        <v>149</v>
      </c>
      <c r="B72" s="3">
        <v>45390</v>
      </c>
      <c r="C72" s="2" t="s">
        <v>43</v>
      </c>
      <c r="D72" s="2" t="s">
        <v>26</v>
      </c>
      <c r="E72" s="2" t="s">
        <v>37</v>
      </c>
      <c r="F72" s="2" t="s">
        <v>22</v>
      </c>
      <c r="G72" s="2" t="s">
        <v>41</v>
      </c>
      <c r="H72" s="2">
        <v>21</v>
      </c>
      <c r="I72" s="4">
        <v>2041.88</v>
      </c>
      <c r="J72" s="5">
        <v>0</v>
      </c>
      <c r="K72" s="2" t="s">
        <v>63</v>
      </c>
      <c r="M72">
        <f>IFERROR(
   Sheet2_RawData!$H56 * Sheet2_RawData!$I56 * (1 - Sheet2_RawData!$J56),
   ""
)</f>
        <v>23557.690500000001</v>
      </c>
      <c r="N72">
        <f>YEAR(Sheet2_RawData!$B72)</f>
        <v>2024</v>
      </c>
      <c r="O72">
        <f>MONTH(Sheet2_RawData!$B72)</f>
        <v>4</v>
      </c>
    </row>
    <row r="73" spans="1:16" ht="15" customHeight="1" x14ac:dyDescent="0.3">
      <c r="A73" s="6" t="s">
        <v>287</v>
      </c>
      <c r="B73" s="7">
        <v>45495</v>
      </c>
      <c r="C73" s="6" t="s">
        <v>47</v>
      </c>
      <c r="D73" s="6" t="s">
        <v>70</v>
      </c>
      <c r="E73" s="6" t="s">
        <v>31</v>
      </c>
      <c r="F73" s="6" t="s">
        <v>22</v>
      </c>
      <c r="G73" s="6" t="s">
        <v>104</v>
      </c>
      <c r="H73" s="6">
        <v>40</v>
      </c>
      <c r="I73" s="8">
        <v>2655.96</v>
      </c>
      <c r="J73" s="9">
        <v>0.2</v>
      </c>
      <c r="K73" s="6" t="s">
        <v>17</v>
      </c>
      <c r="M73">
        <f>IFERROR(
   Sheet2_RawData!$H191 * Sheet2_RawData!$I191 * (1 - Sheet2_RawData!$J191),
   ""
)</f>
        <v>37204.091999999997</v>
      </c>
      <c r="N73">
        <f>YEAR(Sheet2_RawData!$B73)</f>
        <v>2024</v>
      </c>
      <c r="O73">
        <f>MONTH(Sheet2_RawData!$B73)</f>
        <v>7</v>
      </c>
      <c r="P73" t="b">
        <f>AND($N73=2024, OR($O73=7, $O73=8, $O73=9))</f>
        <v>1</v>
      </c>
    </row>
    <row r="74" spans="1:16" ht="15" customHeight="1" x14ac:dyDescent="0.3">
      <c r="A74" s="2" t="s">
        <v>316</v>
      </c>
      <c r="B74" s="3">
        <v>45397</v>
      </c>
      <c r="C74" s="2" t="s">
        <v>303</v>
      </c>
      <c r="D74" s="2" t="s">
        <v>40</v>
      </c>
      <c r="E74" s="2" t="s">
        <v>21</v>
      </c>
      <c r="F74" s="2" t="s">
        <v>15</v>
      </c>
      <c r="G74" s="2" t="s">
        <v>32</v>
      </c>
      <c r="H74" s="2">
        <v>11</v>
      </c>
      <c r="I74" s="4">
        <v>3099.95</v>
      </c>
      <c r="J74" s="5">
        <v>0.2</v>
      </c>
      <c r="K74" s="2" t="s">
        <v>17</v>
      </c>
      <c r="M74">
        <f>IFERROR(
   Sheet2_RawData!$H220 * Sheet2_RawData!$I220 * (1 - Sheet2_RawData!$J220),
   ""
)</f>
        <v>37129.334500000004</v>
      </c>
      <c r="N74">
        <f>YEAR(Sheet2_RawData!$B74)</f>
        <v>2024</v>
      </c>
      <c r="O74">
        <f>MONTH(Sheet2_RawData!$B74)</f>
        <v>4</v>
      </c>
    </row>
    <row r="75" spans="1:16" ht="15" customHeight="1" x14ac:dyDescent="0.3">
      <c r="A75" s="6" t="s">
        <v>317</v>
      </c>
      <c r="B75" s="7">
        <v>45641</v>
      </c>
      <c r="C75" s="6" t="s">
        <v>125</v>
      </c>
      <c r="D75" s="6" t="s">
        <v>61</v>
      </c>
      <c r="E75" s="6" t="s">
        <v>21</v>
      </c>
      <c r="F75" s="6" t="s">
        <v>66</v>
      </c>
      <c r="G75" s="6" t="s">
        <v>67</v>
      </c>
      <c r="H75" s="6">
        <v>23</v>
      </c>
      <c r="I75" s="8">
        <v>1087.06</v>
      </c>
      <c r="J75" s="9">
        <v>0</v>
      </c>
      <c r="K75" s="6" t="s">
        <v>63</v>
      </c>
      <c r="M75">
        <f>IFERROR(
   Sheet2_RawData!$H221 * Sheet2_RawData!$I221 * (1 - Sheet2_RawData!$J221),
   ""
)</f>
        <v>12249.566999999999</v>
      </c>
      <c r="N75">
        <f>YEAR(Sheet2_RawData!$B75)</f>
        <v>2024</v>
      </c>
      <c r="O75">
        <f>MONTH(Sheet2_RawData!$B75)</f>
        <v>12</v>
      </c>
    </row>
    <row r="76" spans="1:16" ht="15" customHeight="1" x14ac:dyDescent="0.3">
      <c r="A76" s="6" t="s">
        <v>225</v>
      </c>
      <c r="B76" s="7">
        <v>45602</v>
      </c>
      <c r="C76" s="6" t="s">
        <v>86</v>
      </c>
      <c r="D76" s="6" t="s">
        <v>70</v>
      </c>
      <c r="E76" s="6" t="s">
        <v>37</v>
      </c>
      <c r="F76" s="6" t="s">
        <v>66</v>
      </c>
      <c r="G76" s="6" t="s">
        <v>94</v>
      </c>
      <c r="H76" s="6">
        <v>9</v>
      </c>
      <c r="I76" s="8">
        <v>2417</v>
      </c>
      <c r="J76" s="9">
        <v>0.05</v>
      </c>
      <c r="K76" s="6" t="s">
        <v>63</v>
      </c>
      <c r="M76">
        <f>IFERROR(
   Sheet2_RawData!$H131 * Sheet2_RawData!$I131 * (1 - Sheet2_RawData!$J131),
   ""
)</f>
        <v>6251.22</v>
      </c>
      <c r="N76">
        <f>YEAR(Sheet2_RawData!$B76)</f>
        <v>2024</v>
      </c>
      <c r="O76">
        <f>MONTH(Sheet2_RawData!$B76)</f>
        <v>11</v>
      </c>
    </row>
    <row r="77" spans="1:16" ht="15" customHeight="1" x14ac:dyDescent="0.3">
      <c r="A77" s="6" t="s">
        <v>158</v>
      </c>
      <c r="B77" s="7">
        <v>45645</v>
      </c>
      <c r="C77" s="6" t="s">
        <v>106</v>
      </c>
      <c r="D77" s="6" t="s">
        <v>70</v>
      </c>
      <c r="E77" s="6" t="s">
        <v>21</v>
      </c>
      <c r="F77" s="6" t="s">
        <v>66</v>
      </c>
      <c r="G77" s="6" t="s">
        <v>94</v>
      </c>
      <c r="H77" s="6">
        <v>47</v>
      </c>
      <c r="I77" s="8">
        <v>1003.29</v>
      </c>
      <c r="J77" s="9">
        <v>0</v>
      </c>
      <c r="K77" s="6" t="s">
        <v>63</v>
      </c>
      <c r="M77">
        <f>IFERROR(
   Sheet2_RawData!$H65 * Sheet2_RawData!$I65 * (1 - Sheet2_RawData!$J65),
   ""
)</f>
        <v>75565.8</v>
      </c>
      <c r="N77">
        <f>YEAR(Sheet2_RawData!$B77)</f>
        <v>2024</v>
      </c>
      <c r="O77">
        <f>MONTH(Sheet2_RawData!$B77)</f>
        <v>12</v>
      </c>
    </row>
    <row r="78" spans="1:16" ht="15" customHeight="1" x14ac:dyDescent="0.3">
      <c r="A78" s="6" t="s">
        <v>276</v>
      </c>
      <c r="B78" s="7">
        <v>45408</v>
      </c>
      <c r="C78" s="6" t="s">
        <v>254</v>
      </c>
      <c r="D78" s="6" t="s">
        <v>89</v>
      </c>
      <c r="E78" s="6" t="s">
        <v>14</v>
      </c>
      <c r="F78" s="6" t="s">
        <v>15</v>
      </c>
      <c r="G78" s="6" t="s">
        <v>16</v>
      </c>
      <c r="H78" s="6">
        <v>15</v>
      </c>
      <c r="I78" s="8">
        <v>1037.8900000000001</v>
      </c>
      <c r="J78" s="9">
        <v>0.05</v>
      </c>
      <c r="K78" s="6" t="s">
        <v>17</v>
      </c>
      <c r="M78">
        <f>IFERROR(
   Sheet2_RawData!$H181 * Sheet2_RawData!$I181 * (1 - Sheet2_RawData!$J181),
   ""
)</f>
        <v>121912.56000000001</v>
      </c>
      <c r="N78">
        <f>YEAR(Sheet2_RawData!$B78)</f>
        <v>2024</v>
      </c>
      <c r="O78">
        <f>MONTH(Sheet2_RawData!$B78)</f>
        <v>4</v>
      </c>
    </row>
    <row r="79" spans="1:16" ht="15" customHeight="1" x14ac:dyDescent="0.3">
      <c r="A79" s="2" t="s">
        <v>212</v>
      </c>
      <c r="B79" s="3">
        <v>45333</v>
      </c>
      <c r="C79" s="2" t="s">
        <v>12</v>
      </c>
      <c r="D79" s="2" t="s">
        <v>20</v>
      </c>
      <c r="E79" s="2" t="s">
        <v>14</v>
      </c>
      <c r="F79" s="2" t="s">
        <v>44</v>
      </c>
      <c r="G79" s="2" t="s">
        <v>49</v>
      </c>
      <c r="H79" s="2">
        <v>49</v>
      </c>
      <c r="I79" s="4">
        <v>1274.95</v>
      </c>
      <c r="J79" s="5">
        <v>0.2</v>
      </c>
      <c r="K79" s="2" t="s">
        <v>63</v>
      </c>
      <c r="M79">
        <f>IFERROR(
   Sheet2_RawData!$H118 * Sheet2_RawData!$I118 * (1 - Sheet2_RawData!$J118),
   ""
)</f>
        <v>62558.595000000001</v>
      </c>
      <c r="N79">
        <f>YEAR(Sheet2_RawData!$B79)</f>
        <v>2024</v>
      </c>
      <c r="O79">
        <f>MONTH(Sheet2_RawData!$B79)</f>
        <v>2</v>
      </c>
    </row>
    <row r="80" spans="1:16" ht="15" customHeight="1" x14ac:dyDescent="0.3">
      <c r="A80" s="2" t="s">
        <v>350</v>
      </c>
      <c r="B80" s="3">
        <v>45399</v>
      </c>
      <c r="C80" s="2" t="s">
        <v>77</v>
      </c>
      <c r="D80" s="2" t="s">
        <v>40</v>
      </c>
      <c r="E80" s="2" t="s">
        <v>37</v>
      </c>
      <c r="F80" s="2" t="s">
        <v>44</v>
      </c>
      <c r="G80" s="2" t="s">
        <v>62</v>
      </c>
      <c r="H80" s="2">
        <v>26</v>
      </c>
      <c r="I80" s="4">
        <v>2762.29</v>
      </c>
      <c r="J80" s="5">
        <v>0</v>
      </c>
      <c r="K80" s="2" t="s">
        <v>17</v>
      </c>
      <c r="M80">
        <f>IFERROR(
   Sheet2_RawData!$H258 * Sheet2_RawData!$I258 * (1 - Sheet2_RawData!$J258),
   ""
)</f>
        <v>8032.71</v>
      </c>
      <c r="N80">
        <f>YEAR(Sheet2_RawData!$B80)</f>
        <v>2024</v>
      </c>
      <c r="O80">
        <f>MONTH(Sheet2_RawData!$B80)</f>
        <v>4</v>
      </c>
    </row>
    <row r="81" spans="1:16" ht="15" customHeight="1" x14ac:dyDescent="0.3">
      <c r="A81" s="6" t="s">
        <v>18</v>
      </c>
      <c r="B81" s="7">
        <v>45306</v>
      </c>
      <c r="C81" s="6" t="s">
        <v>19</v>
      </c>
      <c r="D81" s="6" t="s">
        <v>20</v>
      </c>
      <c r="E81" s="6" t="s">
        <v>21</v>
      </c>
      <c r="F81" s="6" t="s">
        <v>22</v>
      </c>
      <c r="G81" s="6" t="s">
        <v>23</v>
      </c>
      <c r="H81" s="6">
        <v>19</v>
      </c>
      <c r="I81" s="8">
        <v>2218.67</v>
      </c>
      <c r="J81" s="9">
        <v>0.15</v>
      </c>
      <c r="K81" s="6" t="s">
        <v>17</v>
      </c>
      <c r="M81">
        <f>IFERROR(
   Sheet2_RawData!$H3 * Sheet2_RawData!$I3 * (1 - Sheet2_RawData!$J3),
   ""
)</f>
        <v>1825.04</v>
      </c>
      <c r="N81">
        <f>YEAR(Sheet2_RawData!$B81)</f>
        <v>2024</v>
      </c>
      <c r="O81">
        <f>MONTH(Sheet2_RawData!$B81)</f>
        <v>1</v>
      </c>
    </row>
    <row r="82" spans="1:16" ht="15" customHeight="1" x14ac:dyDescent="0.3">
      <c r="A82" s="6" t="s">
        <v>128</v>
      </c>
      <c r="B82" s="7">
        <v>45498</v>
      </c>
      <c r="C82" s="6" t="s">
        <v>97</v>
      </c>
      <c r="D82" s="6" t="s">
        <v>89</v>
      </c>
      <c r="E82" s="6" t="s">
        <v>37</v>
      </c>
      <c r="F82" s="6" t="s">
        <v>44</v>
      </c>
      <c r="G82" s="6" t="s">
        <v>58</v>
      </c>
      <c r="H82" s="6">
        <v>28</v>
      </c>
      <c r="I82" s="8">
        <v>712.98</v>
      </c>
      <c r="J82" s="9">
        <v>0</v>
      </c>
      <c r="K82" s="6" t="s">
        <v>63</v>
      </c>
      <c r="M82">
        <f>IFERROR(
   Sheet2_RawData!$H41 * Sheet2_RawData!$I41 * (1 - Sheet2_RawData!$J41),
   ""
)</f>
        <v>27741.690000000002</v>
      </c>
      <c r="N82">
        <f>YEAR(Sheet2_RawData!$B82)</f>
        <v>2024</v>
      </c>
      <c r="O82">
        <f>MONTH(Sheet2_RawData!$B82)</f>
        <v>7</v>
      </c>
      <c r="P82" t="b">
        <f>AND($N82=2024, OR($O82=7, $O82=8, $O82=9))</f>
        <v>1</v>
      </c>
    </row>
    <row r="83" spans="1:16" ht="15" customHeight="1" x14ac:dyDescent="0.3">
      <c r="A83" s="6" t="s">
        <v>190</v>
      </c>
      <c r="B83" s="7">
        <v>45318</v>
      </c>
      <c r="C83" s="6" t="s">
        <v>69</v>
      </c>
      <c r="D83" s="6" t="s">
        <v>48</v>
      </c>
      <c r="E83" s="6" t="s">
        <v>37</v>
      </c>
      <c r="F83" s="6" t="s">
        <v>44</v>
      </c>
      <c r="G83" s="6" t="s">
        <v>49</v>
      </c>
      <c r="H83" s="6">
        <v>13</v>
      </c>
      <c r="I83" s="8">
        <v>4016.23</v>
      </c>
      <c r="J83" s="9">
        <v>0</v>
      </c>
      <c r="K83" s="6" t="s">
        <v>33</v>
      </c>
      <c r="M83">
        <f>IFERROR(
   Sheet2_RawData!$H95 * Sheet2_RawData!$I95 * (1 - Sheet2_RawData!$J95),
   ""
)</f>
        <v>156393.20000000001</v>
      </c>
      <c r="N83">
        <f>YEAR(Sheet2_RawData!$B83)</f>
        <v>2024</v>
      </c>
      <c r="O83">
        <f>MONTH(Sheet2_RawData!$B83)</f>
        <v>1</v>
      </c>
    </row>
    <row r="84" spans="1:16" ht="15" customHeight="1" x14ac:dyDescent="0.3">
      <c r="A84" s="2" t="s">
        <v>197</v>
      </c>
      <c r="B84" s="3">
        <v>45426</v>
      </c>
      <c r="C84" s="2" t="s">
        <v>106</v>
      </c>
      <c r="D84" s="2" t="s">
        <v>98</v>
      </c>
      <c r="E84" s="2" t="s">
        <v>21</v>
      </c>
      <c r="F84" s="2" t="s">
        <v>22</v>
      </c>
      <c r="G84" s="2" t="s">
        <v>104</v>
      </c>
      <c r="H84" s="2">
        <v>19</v>
      </c>
      <c r="I84" s="4">
        <v>2202.09</v>
      </c>
      <c r="J84" s="5">
        <v>0.05</v>
      </c>
      <c r="K84" s="2" t="s">
        <v>17</v>
      </c>
      <c r="M84">
        <f>IFERROR(
   Sheet2_RawData!$H102 * Sheet2_RawData!$I102 * (1 - Sheet2_RawData!$J102),
   ""
)</f>
        <v>12997.51</v>
      </c>
      <c r="N84">
        <f>YEAR(Sheet2_RawData!$B84)</f>
        <v>2024</v>
      </c>
      <c r="O84">
        <f>MONTH(Sheet2_RawData!$B84)</f>
        <v>5</v>
      </c>
    </row>
    <row r="85" spans="1:16" ht="15" customHeight="1" x14ac:dyDescent="0.3">
      <c r="A85" s="2" t="s">
        <v>134</v>
      </c>
      <c r="B85" s="3">
        <v>45321</v>
      </c>
      <c r="C85" s="2" t="s">
        <v>135</v>
      </c>
      <c r="D85" s="2" t="s">
        <v>89</v>
      </c>
      <c r="E85" s="2" t="s">
        <v>14</v>
      </c>
      <c r="F85" s="2" t="s">
        <v>44</v>
      </c>
      <c r="G85" s="2" t="s">
        <v>58</v>
      </c>
      <c r="H85" s="2">
        <v>40</v>
      </c>
      <c r="I85" s="4">
        <v>4990.8500000000004</v>
      </c>
      <c r="J85" s="5">
        <v>0</v>
      </c>
      <c r="K85" s="2" t="s">
        <v>63</v>
      </c>
      <c r="M85">
        <f>IFERROR(
   Sheet2_RawData!$H46 * Sheet2_RawData!$I46 * (1 - Sheet2_RawData!$J46),
   ""
)</f>
        <v>18669.944</v>
      </c>
      <c r="N85">
        <f>YEAR(Sheet2_RawData!$B85)</f>
        <v>2024</v>
      </c>
      <c r="O85">
        <f>MONTH(Sheet2_RawData!$B85)</f>
        <v>1</v>
      </c>
    </row>
    <row r="86" spans="1:16" ht="15" customHeight="1" x14ac:dyDescent="0.3">
      <c r="A86" s="2" t="s">
        <v>223</v>
      </c>
      <c r="B86" s="3">
        <v>45518</v>
      </c>
      <c r="C86" s="2" t="s">
        <v>69</v>
      </c>
      <c r="D86" s="2" t="s">
        <v>61</v>
      </c>
      <c r="E86" s="2" t="s">
        <v>52</v>
      </c>
      <c r="F86" s="2" t="s">
        <v>71</v>
      </c>
      <c r="G86" s="2" t="s">
        <v>72</v>
      </c>
      <c r="H86" s="2">
        <v>49</v>
      </c>
      <c r="I86" s="4">
        <v>3108.3</v>
      </c>
      <c r="J86" s="5">
        <v>0.15</v>
      </c>
      <c r="K86" s="2" t="s">
        <v>17</v>
      </c>
      <c r="M86">
        <f>IFERROR(
   Sheet2_RawData!$H206 * Sheet2_RawData!$I206 * (1 - Sheet2_RawData!$J206),
   ""
)</f>
        <v>86854.896000000008</v>
      </c>
      <c r="N86">
        <f>YEAR(Sheet2_RawData!$B86)</f>
        <v>2024</v>
      </c>
      <c r="O86">
        <f>MONTH(Sheet2_RawData!$B86)</f>
        <v>8</v>
      </c>
      <c r="P86" t="b">
        <f>AND($N86=2024, OR($O86=7, $O86=8, $O86=9))</f>
        <v>1</v>
      </c>
    </row>
    <row r="87" spans="1:16" ht="15" customHeight="1" x14ac:dyDescent="0.3">
      <c r="A87" s="6" t="s">
        <v>239</v>
      </c>
      <c r="B87" s="7">
        <v>45293</v>
      </c>
      <c r="C87" s="6" t="s">
        <v>185</v>
      </c>
      <c r="D87" s="6" t="s">
        <v>26</v>
      </c>
      <c r="E87" s="6" t="s">
        <v>31</v>
      </c>
      <c r="F87" s="6" t="s">
        <v>22</v>
      </c>
      <c r="G87" s="6" t="s">
        <v>23</v>
      </c>
      <c r="H87" s="6">
        <v>11</v>
      </c>
      <c r="I87" s="8">
        <v>1237.33</v>
      </c>
      <c r="J87" s="9">
        <v>0.1</v>
      </c>
      <c r="K87" s="6" t="s">
        <v>17</v>
      </c>
      <c r="M87">
        <f>IFERROR(
   Sheet2_RawData!$H145 * Sheet2_RawData!$I145 * (1 - Sheet2_RawData!$J145),
   ""
)</f>
        <v>18820.13</v>
      </c>
      <c r="N87">
        <f>YEAR(Sheet2_RawData!$B87)</f>
        <v>2024</v>
      </c>
      <c r="O87">
        <f>MONTH(Sheet2_RawData!$B87)</f>
        <v>1</v>
      </c>
    </row>
    <row r="88" spans="1:16" ht="15" customHeight="1" x14ac:dyDescent="0.3">
      <c r="A88" s="6" t="s">
        <v>260</v>
      </c>
      <c r="B88" s="7">
        <v>45616</v>
      </c>
      <c r="C88" s="6" t="s">
        <v>261</v>
      </c>
      <c r="D88" s="6" t="s">
        <v>61</v>
      </c>
      <c r="E88" s="6" t="s">
        <v>52</v>
      </c>
      <c r="F88" s="6" t="s">
        <v>66</v>
      </c>
      <c r="G88" s="6" t="s">
        <v>94</v>
      </c>
      <c r="H88" s="6">
        <v>37</v>
      </c>
      <c r="I88" s="8">
        <v>3303.86</v>
      </c>
      <c r="J88" s="9">
        <v>0</v>
      </c>
      <c r="K88" s="6" t="s">
        <v>17</v>
      </c>
      <c r="M88">
        <f>IFERROR(
   Sheet2_RawData!$H165 * Sheet2_RawData!$I165 * (1 - Sheet2_RawData!$J165),
   ""
)</f>
        <v>36132.735000000001</v>
      </c>
      <c r="N88">
        <f>YEAR(Sheet2_RawData!$B88)</f>
        <v>2024</v>
      </c>
      <c r="O88">
        <f>MONTH(Sheet2_RawData!$B88)</f>
        <v>11</v>
      </c>
    </row>
    <row r="89" spans="1:16" ht="15" customHeight="1" x14ac:dyDescent="0.3">
      <c r="A89" s="2" t="s">
        <v>325</v>
      </c>
      <c r="B89" s="3">
        <v>45580</v>
      </c>
      <c r="C89" s="2" t="s">
        <v>69</v>
      </c>
      <c r="D89" s="2" t="s">
        <v>61</v>
      </c>
      <c r="E89" s="2" t="s">
        <v>37</v>
      </c>
      <c r="F89" s="2" t="s">
        <v>15</v>
      </c>
      <c r="G89" s="2" t="s">
        <v>32</v>
      </c>
      <c r="H89" s="2">
        <v>43</v>
      </c>
      <c r="I89" s="4">
        <v>3141.17</v>
      </c>
      <c r="J89" s="5">
        <v>0.1</v>
      </c>
      <c r="K89" s="2" t="s">
        <v>17</v>
      </c>
      <c r="M89">
        <f>IFERROR(
   Sheet2_RawData!$H300 * Sheet2_RawData!$I300 * (1 - Sheet2_RawData!$J300),
   ""
)</f>
        <v>4824.37</v>
      </c>
      <c r="N89">
        <f>YEAR(Sheet2_RawData!$B89)</f>
        <v>2024</v>
      </c>
      <c r="O89">
        <f>MONTH(Sheet2_RawData!$B89)</f>
        <v>10</v>
      </c>
    </row>
    <row r="90" spans="1:16" ht="15" customHeight="1" x14ac:dyDescent="0.3">
      <c r="A90" s="6" t="s">
        <v>194</v>
      </c>
      <c r="B90" s="7">
        <v>45384</v>
      </c>
      <c r="C90" s="6" t="s">
        <v>185</v>
      </c>
      <c r="D90" s="6" t="s">
        <v>26</v>
      </c>
      <c r="E90" s="6" t="s">
        <v>37</v>
      </c>
      <c r="F90" s="6" t="s">
        <v>44</v>
      </c>
      <c r="G90" s="6" t="s">
        <v>58</v>
      </c>
      <c r="H90" s="6">
        <v>47</v>
      </c>
      <c r="I90" s="8">
        <v>2151.27</v>
      </c>
      <c r="J90" s="9">
        <v>0.05</v>
      </c>
      <c r="K90" s="6" t="s">
        <v>63</v>
      </c>
      <c r="M90">
        <f>IFERROR(
   Sheet2_RawData!$H99 * Sheet2_RawData!$I99 * (1 - Sheet2_RawData!$J99),
   ""
)</f>
        <v>45175.9</v>
      </c>
      <c r="N90">
        <f>YEAR(Sheet2_RawData!$B90)</f>
        <v>2024</v>
      </c>
      <c r="O90">
        <f>MONTH(Sheet2_RawData!$B90)</f>
        <v>4</v>
      </c>
    </row>
    <row r="91" spans="1:16" ht="15" customHeight="1" x14ac:dyDescent="0.3">
      <c r="A91" s="6" t="s">
        <v>205</v>
      </c>
      <c r="B91" s="7">
        <v>45613</v>
      </c>
      <c r="C91" s="6" t="s">
        <v>110</v>
      </c>
      <c r="D91" s="6" t="s">
        <v>61</v>
      </c>
      <c r="E91" s="6" t="s">
        <v>31</v>
      </c>
      <c r="F91" s="6" t="s">
        <v>15</v>
      </c>
      <c r="G91" s="6" t="s">
        <v>55</v>
      </c>
      <c r="H91" s="6">
        <v>10</v>
      </c>
      <c r="I91" s="8">
        <v>3813.07</v>
      </c>
      <c r="J91" s="9">
        <v>0.15</v>
      </c>
      <c r="K91" s="6" t="s">
        <v>17</v>
      </c>
      <c r="M91">
        <f>IFERROR(
   Sheet2_RawData!$H111 * Sheet2_RawData!$I111 * (1 - Sheet2_RawData!$J111),
   ""
)</f>
        <v>159145.82399999996</v>
      </c>
      <c r="N91">
        <f>YEAR(Sheet2_RawData!$B91)</f>
        <v>2024</v>
      </c>
      <c r="O91">
        <f>MONTH(Sheet2_RawData!$B91)</f>
        <v>11</v>
      </c>
    </row>
    <row r="92" spans="1:16" ht="15" customHeight="1" x14ac:dyDescent="0.3">
      <c r="A92" s="2" t="s">
        <v>372</v>
      </c>
      <c r="B92" s="3">
        <v>45444</v>
      </c>
      <c r="C92" s="2" t="s">
        <v>65</v>
      </c>
      <c r="D92" s="2" t="s">
        <v>70</v>
      </c>
      <c r="E92" s="2" t="s">
        <v>14</v>
      </c>
      <c r="F92" s="2" t="s">
        <v>66</v>
      </c>
      <c r="G92" s="2" t="s">
        <v>90</v>
      </c>
      <c r="H92" s="2">
        <v>18</v>
      </c>
      <c r="I92" s="4">
        <v>2812.53</v>
      </c>
      <c r="J92" s="5">
        <v>0</v>
      </c>
      <c r="K92" s="2" t="s">
        <v>28</v>
      </c>
      <c r="M92">
        <f>IFERROR(
   Sheet2_RawData!$H282 * Sheet2_RawData!$I282 * (1 - Sheet2_RawData!$J282),
   ""
)</f>
        <v>0</v>
      </c>
      <c r="N92">
        <f>YEAR(Sheet2_RawData!$B92)</f>
        <v>2024</v>
      </c>
      <c r="O92">
        <f>MONTH(Sheet2_RawData!$B92)</f>
        <v>6</v>
      </c>
    </row>
    <row r="93" spans="1:16" ht="15" customHeight="1" x14ac:dyDescent="0.3">
      <c r="A93" s="2" t="s">
        <v>306</v>
      </c>
      <c r="B93" s="3">
        <v>45324</v>
      </c>
      <c r="C93" s="2" t="s">
        <v>35</v>
      </c>
      <c r="D93" s="2" t="s">
        <v>13</v>
      </c>
      <c r="E93" s="2" t="s">
        <v>21</v>
      </c>
      <c r="F93" s="2" t="s">
        <v>66</v>
      </c>
      <c r="G93" s="2" t="s">
        <v>142</v>
      </c>
      <c r="H93" s="2">
        <v>16</v>
      </c>
      <c r="I93" s="4">
        <v>2128.14</v>
      </c>
      <c r="J93" s="5">
        <v>0.2</v>
      </c>
      <c r="K93" s="2" t="s">
        <v>63</v>
      </c>
      <c r="M93">
        <f>IFERROR(
   Sheet2_RawData!$H210 * Sheet2_RawData!$I210 * (1 - Sheet2_RawData!$J210),
   ""
)</f>
        <v>88592.535000000003</v>
      </c>
      <c r="N93">
        <f>YEAR(Sheet2_RawData!$B93)</f>
        <v>2024</v>
      </c>
      <c r="O93">
        <f>MONTH(Sheet2_RawData!$B93)</f>
        <v>2</v>
      </c>
    </row>
    <row r="94" spans="1:16" ht="15" customHeight="1" x14ac:dyDescent="0.3">
      <c r="A94" s="6" t="s">
        <v>331</v>
      </c>
      <c r="B94" s="7">
        <v>45511</v>
      </c>
      <c r="C94" s="6" t="s">
        <v>135</v>
      </c>
      <c r="D94" s="6" t="s">
        <v>36</v>
      </c>
      <c r="E94" s="6" t="s">
        <v>52</v>
      </c>
      <c r="F94" s="6" t="s">
        <v>71</v>
      </c>
      <c r="G94" s="6" t="s">
        <v>72</v>
      </c>
      <c r="H94" s="6">
        <v>5</v>
      </c>
      <c r="I94" s="8">
        <v>3988.61</v>
      </c>
      <c r="J94" s="9">
        <v>0.05</v>
      </c>
      <c r="K94" s="6" t="s">
        <v>17</v>
      </c>
      <c r="M94">
        <f>IFERROR(
   Sheet2_RawData!$H237 * Sheet2_RawData!$I237 * (1 - Sheet2_RawData!$J237),
   ""
)</f>
        <v>21774.400000000001</v>
      </c>
      <c r="N94">
        <f>YEAR(Sheet2_RawData!$B94)</f>
        <v>2024</v>
      </c>
      <c r="O94">
        <f>MONTH(Sheet2_RawData!$B94)</f>
        <v>8</v>
      </c>
      <c r="P94" t="b">
        <f>AND($N94=2024, OR($O94=7, $O94=8, $O94=9))</f>
        <v>1</v>
      </c>
    </row>
    <row r="95" spans="1:16" ht="15" customHeight="1" x14ac:dyDescent="0.3">
      <c r="A95" s="2" t="s">
        <v>155</v>
      </c>
      <c r="B95" s="3">
        <v>45646</v>
      </c>
      <c r="C95" s="2" t="s">
        <v>97</v>
      </c>
      <c r="D95" s="2" t="s">
        <v>40</v>
      </c>
      <c r="E95" s="2" t="s">
        <v>21</v>
      </c>
      <c r="F95" s="2" t="s">
        <v>44</v>
      </c>
      <c r="G95" s="2" t="s">
        <v>45</v>
      </c>
      <c r="H95" s="2">
        <v>34</v>
      </c>
      <c r="I95" s="4">
        <v>4599.8</v>
      </c>
      <c r="J95" s="5">
        <v>0</v>
      </c>
      <c r="K95" s="2" t="s">
        <v>17</v>
      </c>
      <c r="M95">
        <f>IFERROR(
   Sheet2_RawData!$H62 * Sheet2_RawData!$I62 * (1 - Sheet2_RawData!$J62),
   ""
)</f>
        <v>9187.85</v>
      </c>
      <c r="N95">
        <f>YEAR(Sheet2_RawData!$B95)</f>
        <v>2024</v>
      </c>
      <c r="O95">
        <f>MONTH(Sheet2_RawData!$B95)</f>
        <v>12</v>
      </c>
    </row>
    <row r="96" spans="1:16" ht="15" customHeight="1" x14ac:dyDescent="0.3">
      <c r="A96" s="6" t="s">
        <v>322</v>
      </c>
      <c r="B96" s="7">
        <v>45626</v>
      </c>
      <c r="C96" s="6" t="s">
        <v>25</v>
      </c>
      <c r="D96" s="6" t="s">
        <v>70</v>
      </c>
      <c r="E96" s="6" t="s">
        <v>31</v>
      </c>
      <c r="F96" s="6" t="s">
        <v>71</v>
      </c>
      <c r="G96" s="6" t="s">
        <v>78</v>
      </c>
      <c r="H96" s="6">
        <v>23</v>
      </c>
      <c r="I96" s="8">
        <v>290.86</v>
      </c>
      <c r="J96" s="9">
        <v>0</v>
      </c>
      <c r="K96" s="6" t="s">
        <v>17</v>
      </c>
      <c r="M96">
        <f>IFERROR(
   Sheet2_RawData!$H227 * Sheet2_RawData!$I227 * (1 - Sheet2_RawData!$J227),
   ""
)</f>
        <v>53387.482499999998</v>
      </c>
      <c r="N96">
        <f>YEAR(Sheet2_RawData!$B96)</f>
        <v>2024</v>
      </c>
      <c r="O96">
        <f>MONTH(Sheet2_RawData!$B96)</f>
        <v>11</v>
      </c>
    </row>
    <row r="97" spans="1:16" ht="15" customHeight="1" x14ac:dyDescent="0.3">
      <c r="A97" s="2" t="s">
        <v>358</v>
      </c>
      <c r="B97" s="3">
        <v>45629</v>
      </c>
      <c r="C97" s="2" t="s">
        <v>47</v>
      </c>
      <c r="D97" s="2" t="s">
        <v>70</v>
      </c>
      <c r="E97" s="2" t="s">
        <v>21</v>
      </c>
      <c r="F97" s="2" t="s">
        <v>15</v>
      </c>
      <c r="G97" s="2" t="s">
        <v>32</v>
      </c>
      <c r="H97" s="2">
        <v>40</v>
      </c>
      <c r="I97" s="4">
        <v>1290.5999999999999</v>
      </c>
      <c r="J97" s="5">
        <v>0.2</v>
      </c>
      <c r="K97" s="2" t="s">
        <v>63</v>
      </c>
      <c r="M97">
        <f>IFERROR(
   Sheet2_RawData!$H268 * Sheet2_RawData!$I268 * (1 - Sheet2_RawData!$J268),
   ""
)</f>
        <v>15141.042000000001</v>
      </c>
      <c r="N97">
        <f>YEAR(Sheet2_RawData!$B97)</f>
        <v>2024</v>
      </c>
      <c r="O97">
        <f>MONTH(Sheet2_RawData!$B97)</f>
        <v>12</v>
      </c>
    </row>
    <row r="98" spans="1:16" ht="15" customHeight="1" x14ac:dyDescent="0.3">
      <c r="A98" s="2" t="s">
        <v>153</v>
      </c>
      <c r="B98" s="3">
        <v>45543</v>
      </c>
      <c r="C98" s="2" t="s">
        <v>57</v>
      </c>
      <c r="D98" s="2" t="s">
        <v>70</v>
      </c>
      <c r="E98" s="2" t="s">
        <v>31</v>
      </c>
      <c r="F98" s="2" t="s">
        <v>22</v>
      </c>
      <c r="G98" s="2" t="s">
        <v>116</v>
      </c>
      <c r="H98" s="2">
        <v>36</v>
      </c>
      <c r="I98" s="4">
        <v>2551.92</v>
      </c>
      <c r="J98" s="5">
        <v>0.05</v>
      </c>
      <c r="K98" s="2" t="s">
        <v>17</v>
      </c>
      <c r="M98">
        <f>IFERROR(
   Sheet2_RawData!$H60 * Sheet2_RawData!$I60 * (1 - Sheet2_RawData!$J60),
   ""
)</f>
        <v>7979.22</v>
      </c>
      <c r="N98">
        <f>YEAR(Sheet2_RawData!$B98)</f>
        <v>2024</v>
      </c>
      <c r="O98">
        <f>MONTH(Sheet2_RawData!$B98)</f>
        <v>9</v>
      </c>
      <c r="P98" t="b">
        <f>AND($N98=2024, OR($O98=7, $O98=8, $O98=9))</f>
        <v>1</v>
      </c>
    </row>
    <row r="99" spans="1:16" ht="15" customHeight="1" x14ac:dyDescent="0.3">
      <c r="A99" s="6" t="s">
        <v>347</v>
      </c>
      <c r="B99" s="7">
        <v>45305</v>
      </c>
      <c r="C99" s="6" t="s">
        <v>19</v>
      </c>
      <c r="D99" s="6" t="s">
        <v>61</v>
      </c>
      <c r="E99" s="6" t="s">
        <v>21</v>
      </c>
      <c r="F99" s="6" t="s">
        <v>71</v>
      </c>
      <c r="G99" s="6" t="s">
        <v>72</v>
      </c>
      <c r="H99" s="6">
        <v>35</v>
      </c>
      <c r="I99" s="8">
        <v>1290.74</v>
      </c>
      <c r="J99" s="9">
        <v>0</v>
      </c>
      <c r="K99" s="6" t="s">
        <v>17</v>
      </c>
      <c r="M99">
        <f>IFERROR(
   Sheet2_RawData!$H255 * Sheet2_RawData!$I255 * (1 - Sheet2_RawData!$J255),
   ""
)</f>
        <v>100546.38</v>
      </c>
      <c r="N99">
        <f>YEAR(Sheet2_RawData!$B99)</f>
        <v>2024</v>
      </c>
      <c r="O99">
        <f>MONTH(Sheet2_RawData!$B99)</f>
        <v>1</v>
      </c>
    </row>
    <row r="100" spans="1:16" ht="15" customHeight="1" x14ac:dyDescent="0.3">
      <c r="A100" s="2" t="s">
        <v>382</v>
      </c>
      <c r="B100" s="3">
        <v>45350</v>
      </c>
      <c r="C100" s="2" t="s">
        <v>30</v>
      </c>
      <c r="D100" s="2"/>
      <c r="E100" s="2" t="s">
        <v>31</v>
      </c>
      <c r="F100" s="2" t="s">
        <v>71</v>
      </c>
      <c r="G100" s="2" t="s">
        <v>82</v>
      </c>
      <c r="H100" s="2">
        <v>1</v>
      </c>
      <c r="I100" s="4">
        <v>2783.64</v>
      </c>
      <c r="J100" s="5">
        <v>0</v>
      </c>
      <c r="K100" s="2" t="s">
        <v>17</v>
      </c>
      <c r="M100">
        <f>IFERROR(
   Sheet2_RawData!$H292 * Sheet2_RawData!$I292 * (1 - Sheet2_RawData!$J292),
   ""
)</f>
        <v>64628.055</v>
      </c>
      <c r="N100">
        <f>YEAR(Sheet2_RawData!$B100)</f>
        <v>2024</v>
      </c>
      <c r="O100">
        <f>MONTH(Sheet2_RawData!$B100)</f>
        <v>2</v>
      </c>
    </row>
    <row r="101" spans="1:16" ht="15" customHeight="1" x14ac:dyDescent="0.3">
      <c r="A101" s="2" t="s">
        <v>230</v>
      </c>
      <c r="B101" s="3">
        <v>45628</v>
      </c>
      <c r="C101" s="2" t="s">
        <v>110</v>
      </c>
      <c r="D101" s="2" t="s">
        <v>20</v>
      </c>
      <c r="E101" s="2" t="s">
        <v>21</v>
      </c>
      <c r="F101" s="2" t="s">
        <v>71</v>
      </c>
      <c r="G101" s="2" t="s">
        <v>72</v>
      </c>
      <c r="H101" s="2">
        <v>41</v>
      </c>
      <c r="I101" s="4">
        <v>4576.29</v>
      </c>
      <c r="J101" s="5">
        <v>0</v>
      </c>
      <c r="K101" s="2" t="s">
        <v>95</v>
      </c>
      <c r="M101">
        <f>IFERROR(
   Sheet2_RawData!$H136 * Sheet2_RawData!$I136 * (1 - Sheet2_RawData!$J136),
   ""
)</f>
        <v>33383.520000000004</v>
      </c>
      <c r="N101">
        <f>YEAR(Sheet2_RawData!$B101)</f>
        <v>2024</v>
      </c>
      <c r="O101">
        <f>MONTH(Sheet2_RawData!$B101)</f>
        <v>12</v>
      </c>
    </row>
    <row r="102" spans="1:16" ht="15" customHeight="1" x14ac:dyDescent="0.3">
      <c r="A102" s="6" t="s">
        <v>267</v>
      </c>
      <c r="B102" s="7">
        <v>45457</v>
      </c>
      <c r="C102" s="6" t="s">
        <v>123</v>
      </c>
      <c r="D102" s="6" t="s">
        <v>20</v>
      </c>
      <c r="E102" s="6" t="s">
        <v>37</v>
      </c>
      <c r="F102" s="6" t="s">
        <v>44</v>
      </c>
      <c r="G102" s="6" t="s">
        <v>58</v>
      </c>
      <c r="H102" s="6">
        <v>29</v>
      </c>
      <c r="I102" s="8">
        <v>448.19</v>
      </c>
      <c r="J102" s="9">
        <v>0</v>
      </c>
      <c r="K102" s="6" t="s">
        <v>33</v>
      </c>
      <c r="M102">
        <f>IFERROR(
   Sheet2_RawData!$H171 * Sheet2_RawData!$I171 * (1 - Sheet2_RawData!$J171),
   ""
)</f>
        <v>51206.729999999996</v>
      </c>
      <c r="N102">
        <f>YEAR(Sheet2_RawData!$B102)</f>
        <v>2024</v>
      </c>
      <c r="O102">
        <f>MONTH(Sheet2_RawData!$B102)</f>
        <v>6</v>
      </c>
    </row>
    <row r="103" spans="1:16" ht="15" customHeight="1" x14ac:dyDescent="0.3">
      <c r="A103" s="6" t="s">
        <v>162</v>
      </c>
      <c r="B103" s="7">
        <v>45350</v>
      </c>
      <c r="C103" s="6" t="s">
        <v>84</v>
      </c>
      <c r="D103" s="6" t="s">
        <v>61</v>
      </c>
      <c r="E103" s="6" t="s">
        <v>37</v>
      </c>
      <c r="F103" s="6" t="s">
        <v>44</v>
      </c>
      <c r="G103" s="6" t="s">
        <v>75</v>
      </c>
      <c r="H103" s="6">
        <v>24</v>
      </c>
      <c r="I103" s="8">
        <v>2020.27</v>
      </c>
      <c r="J103" s="9">
        <v>0.15</v>
      </c>
      <c r="K103" s="6" t="s">
        <v>17</v>
      </c>
      <c r="M103">
        <f>IFERROR(
   Sheet2_RawData!$H69 * Sheet2_RawData!$I69 * (1 - Sheet2_RawData!$J69),
   ""
)</f>
        <v>43702.3845</v>
      </c>
      <c r="N103">
        <f>YEAR(Sheet2_RawData!$B103)</f>
        <v>2024</v>
      </c>
      <c r="O103">
        <f>MONTH(Sheet2_RawData!$B103)</f>
        <v>2</v>
      </c>
    </row>
    <row r="104" spans="1:16" ht="15" customHeight="1" x14ac:dyDescent="0.3">
      <c r="A104" s="2" t="s">
        <v>255</v>
      </c>
      <c r="B104" s="3">
        <v>45549</v>
      </c>
      <c r="C104" s="2" t="s">
        <v>133</v>
      </c>
      <c r="D104" s="2" t="s">
        <v>20</v>
      </c>
      <c r="E104" s="2" t="s">
        <v>31</v>
      </c>
      <c r="F104" s="2" t="s">
        <v>22</v>
      </c>
      <c r="G104" s="2" t="s">
        <v>41</v>
      </c>
      <c r="H104" s="2">
        <v>9</v>
      </c>
      <c r="I104" s="4">
        <v>3143.86</v>
      </c>
      <c r="J104" s="5">
        <v>0.1</v>
      </c>
      <c r="K104" s="2" t="s">
        <v>17</v>
      </c>
      <c r="M104">
        <f>IFERROR(
   Sheet2_RawData!$H160 * Sheet2_RawData!$I160 * (1 - Sheet2_RawData!$J160),
   ""
)</f>
        <v>78154.02</v>
      </c>
      <c r="N104">
        <f>YEAR(Sheet2_RawData!$B104)</f>
        <v>2024</v>
      </c>
      <c r="O104">
        <f>MONTH(Sheet2_RawData!$B104)</f>
        <v>9</v>
      </c>
      <c r="P104" t="b">
        <f>AND($N104=2024, OR($O104=7, $O104=8, $O104=9))</f>
        <v>1</v>
      </c>
    </row>
    <row r="105" spans="1:16" ht="15" customHeight="1" x14ac:dyDescent="0.3">
      <c r="A105" s="6" t="s">
        <v>365</v>
      </c>
      <c r="B105" s="7">
        <v>45611</v>
      </c>
      <c r="C105" s="6" t="s">
        <v>125</v>
      </c>
      <c r="D105" s="6" t="s">
        <v>70</v>
      </c>
      <c r="E105" s="6" t="s">
        <v>37</v>
      </c>
      <c r="F105" s="6" t="s">
        <v>22</v>
      </c>
      <c r="G105" s="6" t="s">
        <v>104</v>
      </c>
      <c r="H105" s="6">
        <v>28</v>
      </c>
      <c r="I105" s="8">
        <v>396.37</v>
      </c>
      <c r="J105" s="9">
        <v>0.15</v>
      </c>
      <c r="K105" s="6" t="s">
        <v>33</v>
      </c>
      <c r="M105">
        <f>IFERROR(
   Sheet2_RawData!$H275 * Sheet2_RawData!$I275 * (1 - Sheet2_RawData!$J275),
   ""
)</f>
        <v>83636.670000000013</v>
      </c>
      <c r="N105">
        <f>YEAR(Sheet2_RawData!$B105)</f>
        <v>2024</v>
      </c>
      <c r="O105">
        <f>MONTH(Sheet2_RawData!$B105)</f>
        <v>11</v>
      </c>
    </row>
    <row r="106" spans="1:16" ht="15" customHeight="1" x14ac:dyDescent="0.3">
      <c r="A106" s="6" t="s">
        <v>186</v>
      </c>
      <c r="B106" s="7">
        <v>45444</v>
      </c>
      <c r="C106" s="6" t="s">
        <v>74</v>
      </c>
      <c r="D106" s="6" t="s">
        <v>98</v>
      </c>
      <c r="E106" s="6" t="s">
        <v>21</v>
      </c>
      <c r="F106" s="6" t="s">
        <v>71</v>
      </c>
      <c r="G106" s="6" t="s">
        <v>72</v>
      </c>
      <c r="H106" s="6">
        <v>40</v>
      </c>
      <c r="I106" s="8">
        <v>904.01</v>
      </c>
      <c r="J106" s="9">
        <v>0.15</v>
      </c>
      <c r="K106" s="6" t="s">
        <v>63</v>
      </c>
      <c r="M106">
        <f>IFERROR(
   Sheet2_RawData!$H91 * Sheet2_RawData!$I91 * (1 - Sheet2_RawData!$J91),
   ""
)</f>
        <v>32411.095000000001</v>
      </c>
      <c r="N106">
        <f>YEAR(Sheet2_RawData!$B106)</f>
        <v>2024</v>
      </c>
      <c r="O106">
        <f>MONTH(Sheet2_RawData!$B106)</f>
        <v>6</v>
      </c>
    </row>
    <row r="107" spans="1:16" ht="15" customHeight="1" x14ac:dyDescent="0.3">
      <c r="A107" s="2" t="s">
        <v>308</v>
      </c>
      <c r="B107" s="3">
        <v>45557</v>
      </c>
      <c r="C107" s="2" t="s">
        <v>69</v>
      </c>
      <c r="D107" s="2" t="s">
        <v>61</v>
      </c>
      <c r="E107" s="2" t="s">
        <v>21</v>
      </c>
      <c r="F107" s="2" t="s">
        <v>71</v>
      </c>
      <c r="G107" s="2" t="s">
        <v>82</v>
      </c>
      <c r="H107" s="2">
        <v>21</v>
      </c>
      <c r="I107" s="4">
        <v>4676.95</v>
      </c>
      <c r="J107" s="5">
        <v>0</v>
      </c>
      <c r="K107" s="2" t="s">
        <v>17</v>
      </c>
      <c r="M107">
        <f>IFERROR(
   Sheet2_RawData!$H212 * Sheet2_RawData!$I212 * (1 - Sheet2_RawData!$J212),
   ""
)</f>
        <v>71241.6875</v>
      </c>
      <c r="N107">
        <f>YEAR(Sheet2_RawData!$B107)</f>
        <v>2024</v>
      </c>
      <c r="O107">
        <f>MONTH(Sheet2_RawData!$B107)</f>
        <v>9</v>
      </c>
      <c r="P107" t="b">
        <f>AND($N107=2024, OR($O107=7, $O107=8, $O107=9))</f>
        <v>1</v>
      </c>
    </row>
    <row r="108" spans="1:16" ht="15" customHeight="1" x14ac:dyDescent="0.3">
      <c r="A108" s="2" t="s">
        <v>356</v>
      </c>
      <c r="B108" s="3">
        <v>45316</v>
      </c>
      <c r="C108" s="2" t="s">
        <v>278</v>
      </c>
      <c r="D108" s="2" t="s">
        <v>26</v>
      </c>
      <c r="E108" s="2" t="s">
        <v>14</v>
      </c>
      <c r="F108" s="2" t="s">
        <v>44</v>
      </c>
      <c r="G108" s="2" t="s">
        <v>49</v>
      </c>
      <c r="H108" s="2">
        <v>49</v>
      </c>
      <c r="I108" s="4">
        <v>3252.16</v>
      </c>
      <c r="J108" s="5">
        <v>0</v>
      </c>
      <c r="K108" s="2" t="s">
        <v>17</v>
      </c>
      <c r="M108">
        <f>IFERROR(
   Sheet2_RawData!$H266 * Sheet2_RawData!$I266 * (1 - Sheet2_RawData!$J266),
   ""
)</f>
        <v>155225.49</v>
      </c>
      <c r="N108">
        <f>YEAR(Sheet2_RawData!$B108)</f>
        <v>2024</v>
      </c>
      <c r="O108">
        <f>MONTH(Sheet2_RawData!$B108)</f>
        <v>1</v>
      </c>
    </row>
    <row r="109" spans="1:16" ht="15" customHeight="1" x14ac:dyDescent="0.3">
      <c r="A109" s="6" t="s">
        <v>324</v>
      </c>
      <c r="B109" s="7">
        <v>45427</v>
      </c>
      <c r="C109" s="6" t="s">
        <v>43</v>
      </c>
      <c r="D109" s="6" t="s">
        <v>61</v>
      </c>
      <c r="E109" s="6" t="s">
        <v>52</v>
      </c>
      <c r="F109" s="6" t="s">
        <v>71</v>
      </c>
      <c r="G109" s="6" t="s">
        <v>78</v>
      </c>
      <c r="H109" s="6">
        <v>42</v>
      </c>
      <c r="I109" s="8">
        <v>4851.29</v>
      </c>
      <c r="J109" s="9">
        <v>0</v>
      </c>
      <c r="K109" s="6" t="s">
        <v>17</v>
      </c>
      <c r="M109">
        <f>IFERROR(
   Sheet2_RawData!$H229 * Sheet2_RawData!$I229 * (1 - Sheet2_RawData!$J229),
   ""
)</f>
        <v>43293.608999999989</v>
      </c>
      <c r="N109">
        <f>YEAR(Sheet2_RawData!$B109)</f>
        <v>2024</v>
      </c>
      <c r="O109">
        <f>MONTH(Sheet2_RawData!$B109)</f>
        <v>5</v>
      </c>
    </row>
    <row r="110" spans="1:16" ht="15" customHeight="1" x14ac:dyDescent="0.3">
      <c r="A110" s="2" t="s">
        <v>298</v>
      </c>
      <c r="B110" s="3">
        <v>45482</v>
      </c>
      <c r="C110" s="2" t="s">
        <v>51</v>
      </c>
      <c r="D110" s="2" t="s">
        <v>70</v>
      </c>
      <c r="E110" s="2" t="s">
        <v>52</v>
      </c>
      <c r="F110" s="2" t="s">
        <v>71</v>
      </c>
      <c r="G110" s="2" t="s">
        <v>82</v>
      </c>
      <c r="H110" s="2">
        <v>29</v>
      </c>
      <c r="I110" s="4">
        <v>2644.14</v>
      </c>
      <c r="J110" s="5">
        <v>0.1</v>
      </c>
      <c r="K110" s="2" t="s">
        <v>17</v>
      </c>
      <c r="M110">
        <f>IFERROR(
   Sheet2_RawData!$H202 * Sheet2_RawData!$I202 * (1 - Sheet2_RawData!$J202),
   ""
)</f>
        <v>113337.84000000003</v>
      </c>
      <c r="N110">
        <f>YEAR(Sheet2_RawData!$B110)</f>
        <v>2024</v>
      </c>
      <c r="O110">
        <f>MONTH(Sheet2_RawData!$B110)</f>
        <v>7</v>
      </c>
      <c r="P110" t="b">
        <f>AND($N110=2024, OR($O110=7, $O110=8, $O110=9))</f>
        <v>1</v>
      </c>
    </row>
    <row r="111" spans="1:16" ht="15" customHeight="1" x14ac:dyDescent="0.3">
      <c r="A111" s="2" t="s">
        <v>182</v>
      </c>
      <c r="B111" s="3">
        <v>45416</v>
      </c>
      <c r="C111" s="2" t="s">
        <v>166</v>
      </c>
      <c r="D111" s="2" t="s">
        <v>98</v>
      </c>
      <c r="E111" s="2" t="s">
        <v>14</v>
      </c>
      <c r="F111" s="2" t="s">
        <v>66</v>
      </c>
      <c r="G111" s="2" t="s">
        <v>142</v>
      </c>
      <c r="H111" s="2">
        <v>48</v>
      </c>
      <c r="I111" s="4">
        <v>3490.04</v>
      </c>
      <c r="J111" s="5">
        <v>0.05</v>
      </c>
      <c r="K111" s="2" t="s">
        <v>28</v>
      </c>
      <c r="M111">
        <f>IFERROR(
   Sheet2_RawData!$H88 * Sheet2_RawData!$I88 * (1 - Sheet2_RawData!$J88),
   ""
)</f>
        <v>122242.82</v>
      </c>
      <c r="N111">
        <f>YEAR(Sheet2_RawData!$B111)</f>
        <v>2024</v>
      </c>
      <c r="O111">
        <f>MONTH(Sheet2_RawData!$B111)</f>
        <v>5</v>
      </c>
    </row>
    <row r="112" spans="1:16" ht="15" customHeight="1" x14ac:dyDescent="0.3">
      <c r="A112" s="2" t="s">
        <v>259</v>
      </c>
      <c r="B112" s="3">
        <v>45568</v>
      </c>
      <c r="C112" s="2" t="s">
        <v>144</v>
      </c>
      <c r="D112" s="2" t="s">
        <v>26</v>
      </c>
      <c r="E112" s="2" t="s">
        <v>52</v>
      </c>
      <c r="F112" s="2" t="s">
        <v>15</v>
      </c>
      <c r="G112" s="2" t="s">
        <v>32</v>
      </c>
      <c r="H112" s="2">
        <v>39</v>
      </c>
      <c r="I112" s="4">
        <v>1034.6099999999999</v>
      </c>
      <c r="J112" s="5">
        <v>0</v>
      </c>
      <c r="K112" s="2" t="s">
        <v>95</v>
      </c>
      <c r="M112">
        <f>IFERROR(
   Sheet2_RawData!$H164 * Sheet2_RawData!$I164 * (1 - Sheet2_RawData!$J164),
   ""
)</f>
        <v>53116.11</v>
      </c>
      <c r="N112">
        <f>YEAR(Sheet2_RawData!$B112)</f>
        <v>2024</v>
      </c>
      <c r="O112">
        <f>MONTH(Sheet2_RawData!$B112)</f>
        <v>10</v>
      </c>
    </row>
    <row r="113" spans="1:16" ht="15" customHeight="1" x14ac:dyDescent="0.3">
      <c r="A113" s="6" t="s">
        <v>181</v>
      </c>
      <c r="B113" s="7">
        <v>45395</v>
      </c>
      <c r="C113" s="6" t="s">
        <v>103</v>
      </c>
      <c r="D113" s="6" t="s">
        <v>13</v>
      </c>
      <c r="E113" s="6" t="s">
        <v>21</v>
      </c>
      <c r="F113" s="6" t="s">
        <v>44</v>
      </c>
      <c r="G113" s="6" t="s">
        <v>49</v>
      </c>
      <c r="H113" s="6">
        <v>8</v>
      </c>
      <c r="I113" s="8">
        <v>355.7</v>
      </c>
      <c r="J113" s="9">
        <v>0.1</v>
      </c>
      <c r="K113" s="6" t="s">
        <v>33</v>
      </c>
      <c r="M113">
        <f>IFERROR(
   Sheet2_RawData!$H87 * Sheet2_RawData!$I87 * (1 - Sheet2_RawData!$J87),
   ""
)</f>
        <v>12249.566999999999</v>
      </c>
      <c r="N113">
        <f>YEAR(Sheet2_RawData!$B113)</f>
        <v>2024</v>
      </c>
      <c r="O113">
        <f>MONTH(Sheet2_RawData!$B113)</f>
        <v>4</v>
      </c>
    </row>
    <row r="114" spans="1:16" ht="15" customHeight="1" x14ac:dyDescent="0.3">
      <c r="A114" s="6" t="s">
        <v>361</v>
      </c>
      <c r="B114" s="7">
        <v>45521</v>
      </c>
      <c r="C114" s="6" t="s">
        <v>254</v>
      </c>
      <c r="D114" s="6" t="s">
        <v>26</v>
      </c>
      <c r="E114" s="6" t="s">
        <v>52</v>
      </c>
      <c r="F114" s="6" t="s">
        <v>15</v>
      </c>
      <c r="G114" s="6" t="s">
        <v>27</v>
      </c>
      <c r="H114" s="6">
        <v>45</v>
      </c>
      <c r="I114" s="8">
        <v>4164</v>
      </c>
      <c r="J114" s="9">
        <v>0.2</v>
      </c>
      <c r="K114" s="6" t="s">
        <v>63</v>
      </c>
      <c r="M114">
        <f>IFERROR(
   Sheet2_RawData!$H271 * Sheet2_RawData!$I271 * (1 - Sheet2_RawData!$J271),
   ""
)</f>
        <v>23557.690500000001</v>
      </c>
      <c r="N114">
        <f>YEAR(Sheet2_RawData!$B114)</f>
        <v>2024</v>
      </c>
      <c r="O114">
        <f>MONTH(Sheet2_RawData!$B114)</f>
        <v>8</v>
      </c>
      <c r="P114" t="b">
        <f t="shared" ref="P114:P115" si="5">AND($N114=2024, OR($O114=7, $O114=8, $O114=9))</f>
        <v>1</v>
      </c>
    </row>
    <row r="115" spans="1:16" ht="15" customHeight="1" x14ac:dyDescent="0.3">
      <c r="A115" s="6" t="s">
        <v>281</v>
      </c>
      <c r="B115" s="7">
        <v>45524</v>
      </c>
      <c r="C115" s="6" t="s">
        <v>254</v>
      </c>
      <c r="D115" s="6" t="s">
        <v>26</v>
      </c>
      <c r="E115" s="6" t="s">
        <v>21</v>
      </c>
      <c r="F115" s="6" t="s">
        <v>44</v>
      </c>
      <c r="G115" s="6" t="s">
        <v>49</v>
      </c>
      <c r="H115" s="6">
        <v>16</v>
      </c>
      <c r="I115" s="8">
        <v>4033.21</v>
      </c>
      <c r="J115" s="9">
        <v>0.15</v>
      </c>
      <c r="K115" s="6" t="s">
        <v>17</v>
      </c>
      <c r="M115">
        <f>IFERROR(
   Sheet2_RawData!$H185 * Sheet2_RawData!$I185 * (1 - Sheet2_RawData!$J185),
   ""
)</f>
        <v>73604.592000000004</v>
      </c>
      <c r="N115">
        <f>YEAR(Sheet2_RawData!$B115)</f>
        <v>2024</v>
      </c>
      <c r="O115">
        <f>MONTH(Sheet2_RawData!$B115)</f>
        <v>8</v>
      </c>
      <c r="P115" t="b">
        <f t="shared" si="5"/>
        <v>1</v>
      </c>
    </row>
    <row r="116" spans="1:16" ht="15" customHeight="1" x14ac:dyDescent="0.3">
      <c r="A116" s="2" t="s">
        <v>318</v>
      </c>
      <c r="B116" s="3">
        <v>45300</v>
      </c>
      <c r="C116" s="2" t="s">
        <v>123</v>
      </c>
      <c r="D116" s="2" t="s">
        <v>36</v>
      </c>
      <c r="E116" s="2" t="s">
        <v>37</v>
      </c>
      <c r="F116" s="2" t="s">
        <v>22</v>
      </c>
      <c r="G116" s="2" t="s">
        <v>104</v>
      </c>
      <c r="H116" s="2">
        <v>2</v>
      </c>
      <c r="I116" s="4">
        <v>82.73</v>
      </c>
      <c r="J116" s="5">
        <v>0.1</v>
      </c>
      <c r="K116" s="2" t="s">
        <v>17</v>
      </c>
      <c r="M116">
        <f>IFERROR(
   Sheet2_RawData!$H222 * Sheet2_RawData!$I222 * (1 - Sheet2_RawData!$J222),
   ""
)</f>
        <v>10766.32</v>
      </c>
      <c r="N116">
        <f>YEAR(Sheet2_RawData!$B116)</f>
        <v>2024</v>
      </c>
      <c r="O116">
        <f>MONTH(Sheet2_RawData!$B116)</f>
        <v>1</v>
      </c>
    </row>
    <row r="117" spans="1:16" ht="15" customHeight="1" x14ac:dyDescent="0.3">
      <c r="A117" s="2" t="s">
        <v>346</v>
      </c>
      <c r="B117" s="3">
        <v>45549</v>
      </c>
      <c r="C117" s="2" t="s">
        <v>51</v>
      </c>
      <c r="D117" s="2" t="s">
        <v>70</v>
      </c>
      <c r="E117" s="2" t="s">
        <v>52</v>
      </c>
      <c r="F117" s="2" t="s">
        <v>15</v>
      </c>
      <c r="G117" s="2" t="s">
        <v>87</v>
      </c>
      <c r="H117" s="2">
        <v>23</v>
      </c>
      <c r="I117" s="4">
        <v>4655.84</v>
      </c>
      <c r="J117" s="5">
        <v>0.05</v>
      </c>
      <c r="K117" s="2" t="s">
        <v>17</v>
      </c>
      <c r="M117">
        <f>IFERROR(
   Sheet2_RawData!$H254 * Sheet2_RawData!$I254 * (1 - Sheet2_RawData!$J254),
   ""
)</f>
        <v>147034.08000000002</v>
      </c>
      <c r="N117">
        <f>YEAR(Sheet2_RawData!$B117)</f>
        <v>2024</v>
      </c>
      <c r="O117">
        <f>MONTH(Sheet2_RawData!$B117)</f>
        <v>9</v>
      </c>
      <c r="P117" t="b">
        <f t="shared" ref="P117:P119" si="6">AND($N117=2024, OR($O117=7, $O117=8, $O117=9))</f>
        <v>1</v>
      </c>
    </row>
    <row r="118" spans="1:16" ht="15" customHeight="1" x14ac:dyDescent="0.3">
      <c r="A118" s="2" t="s">
        <v>224</v>
      </c>
      <c r="B118" s="3">
        <v>45528</v>
      </c>
      <c r="C118" s="2" t="s">
        <v>19</v>
      </c>
      <c r="D118" s="2" t="s">
        <v>36</v>
      </c>
      <c r="E118" s="2" t="s">
        <v>52</v>
      </c>
      <c r="F118" s="2" t="s">
        <v>71</v>
      </c>
      <c r="G118" s="2" t="s">
        <v>78</v>
      </c>
      <c r="H118" s="2">
        <v>33</v>
      </c>
      <c r="I118" s="4">
        <v>2106.35</v>
      </c>
      <c r="J118" s="5">
        <v>0.1</v>
      </c>
      <c r="K118" s="2" t="s">
        <v>17</v>
      </c>
      <c r="M118">
        <f>IFERROR(
   Sheet2_RawData!$H130 * Sheet2_RawData!$I130 * (1 - Sheet2_RawData!$J130),
   ""
)</f>
        <v>44675.6175</v>
      </c>
      <c r="N118">
        <f>YEAR(Sheet2_RawData!$B118)</f>
        <v>2024</v>
      </c>
      <c r="O118">
        <f>MONTH(Sheet2_RawData!$B118)</f>
        <v>8</v>
      </c>
      <c r="P118" t="b">
        <f t="shared" si="6"/>
        <v>1</v>
      </c>
    </row>
    <row r="119" spans="1:16" ht="15" customHeight="1" x14ac:dyDescent="0.3">
      <c r="A119" s="2" t="s">
        <v>163</v>
      </c>
      <c r="B119" s="3">
        <v>45550</v>
      </c>
      <c r="C119" s="2" t="s">
        <v>30</v>
      </c>
      <c r="D119" s="2" t="s">
        <v>40</v>
      </c>
      <c r="E119" s="2" t="s">
        <v>52</v>
      </c>
      <c r="F119" s="2" t="s">
        <v>22</v>
      </c>
      <c r="G119" s="2" t="s">
        <v>116</v>
      </c>
      <c r="H119" s="2">
        <v>13</v>
      </c>
      <c r="I119" s="4">
        <v>1844.49</v>
      </c>
      <c r="J119" s="5">
        <v>0</v>
      </c>
      <c r="K119" s="2" t="s">
        <v>17</v>
      </c>
      <c r="M119">
        <f>IFERROR(
   Sheet2_RawData!$H70 * Sheet2_RawData!$I70 * (1 - Sheet2_RawData!$J70),
   ""
)</f>
        <v>25720.09</v>
      </c>
      <c r="N119">
        <f>YEAR(Sheet2_RawData!$B119)</f>
        <v>2024</v>
      </c>
      <c r="O119">
        <f>MONTH(Sheet2_RawData!$B119)</f>
        <v>9</v>
      </c>
      <c r="P119" t="b">
        <f t="shared" si="6"/>
        <v>1</v>
      </c>
    </row>
    <row r="120" spans="1:16" ht="15" customHeight="1" x14ac:dyDescent="0.3">
      <c r="A120" s="2" t="s">
        <v>240</v>
      </c>
      <c r="B120" s="3">
        <v>45467</v>
      </c>
      <c r="C120" s="2" t="s">
        <v>144</v>
      </c>
      <c r="D120" s="2" t="s">
        <v>36</v>
      </c>
      <c r="E120" s="2" t="s">
        <v>37</v>
      </c>
      <c r="F120" s="2" t="s">
        <v>15</v>
      </c>
      <c r="G120" s="2" t="s">
        <v>55</v>
      </c>
      <c r="H120" s="2">
        <v>10</v>
      </c>
      <c r="I120" s="4">
        <v>4790.7299999999996</v>
      </c>
      <c r="J120" s="5">
        <v>0.05</v>
      </c>
      <c r="K120" s="2" t="s">
        <v>17</v>
      </c>
      <c r="M120">
        <f>IFERROR(
   Sheet2_RawData!$H146 * Sheet2_RawData!$I146 * (1 - Sheet2_RawData!$J146),
   ""
)</f>
        <v>34599.033000000003</v>
      </c>
      <c r="N120">
        <f>YEAR(Sheet2_RawData!$B120)</f>
        <v>2024</v>
      </c>
      <c r="O120">
        <f>MONTH(Sheet2_RawData!$B120)</f>
        <v>6</v>
      </c>
    </row>
    <row r="121" spans="1:16" ht="15" customHeight="1" x14ac:dyDescent="0.3">
      <c r="A121" s="6" t="s">
        <v>335</v>
      </c>
      <c r="B121" s="7">
        <v>45495</v>
      </c>
      <c r="C121" s="6" t="s">
        <v>30</v>
      </c>
      <c r="D121" s="6" t="s">
        <v>36</v>
      </c>
      <c r="E121" s="6" t="s">
        <v>21</v>
      </c>
      <c r="F121" s="6" t="s">
        <v>71</v>
      </c>
      <c r="G121" s="6" t="s">
        <v>101</v>
      </c>
      <c r="H121" s="6">
        <v>9</v>
      </c>
      <c r="I121" s="8">
        <v>3079.14</v>
      </c>
      <c r="J121" s="9">
        <v>0</v>
      </c>
      <c r="K121" s="6" t="s">
        <v>17</v>
      </c>
      <c r="M121">
        <f>IFERROR(
   Sheet2_RawData!$H241 * Sheet2_RawData!$I241 * (1 - Sheet2_RawData!$J241),
   ""
)</f>
        <v>99377.95</v>
      </c>
      <c r="N121">
        <f>YEAR(Sheet2_RawData!$B121)</f>
        <v>2024</v>
      </c>
      <c r="O121">
        <f>MONTH(Sheet2_RawData!$B121)</f>
        <v>7</v>
      </c>
      <c r="P121" t="b">
        <f t="shared" ref="P121:P122" si="7">AND($N121=2024, OR($O121=7, $O121=8, $O121=9))</f>
        <v>1</v>
      </c>
    </row>
    <row r="122" spans="1:16" ht="15" customHeight="1" x14ac:dyDescent="0.3">
      <c r="A122" s="2" t="s">
        <v>109</v>
      </c>
      <c r="B122" s="3">
        <v>45531</v>
      </c>
      <c r="C122" s="2" t="s">
        <v>110</v>
      </c>
      <c r="D122" s="2" t="s">
        <v>26</v>
      </c>
      <c r="E122" s="2" t="s">
        <v>31</v>
      </c>
      <c r="F122" s="2" t="s">
        <v>22</v>
      </c>
      <c r="G122" s="2" t="s">
        <v>111</v>
      </c>
      <c r="H122" s="2">
        <v>48</v>
      </c>
      <c r="I122" s="4">
        <v>4129.99</v>
      </c>
      <c r="J122" s="5">
        <v>0</v>
      </c>
      <c r="K122" s="2" t="s">
        <v>17</v>
      </c>
      <c r="M122">
        <f>IFERROR(
   Sheet2_RawData!$H30 * Sheet2_RawData!$I30 * (1 - Sheet2_RawData!$J30),
   ""
)</f>
        <v>18096.534</v>
      </c>
      <c r="N122">
        <f>YEAR(Sheet2_RawData!$B122)</f>
        <v>2024</v>
      </c>
      <c r="O122">
        <f>MONTH(Sheet2_RawData!$B122)</f>
        <v>8</v>
      </c>
      <c r="P122" t="b">
        <f t="shared" si="7"/>
        <v>1</v>
      </c>
    </row>
    <row r="123" spans="1:16" ht="15" customHeight="1" x14ac:dyDescent="0.3">
      <c r="A123" s="6" t="s">
        <v>391</v>
      </c>
      <c r="B123" s="7">
        <v>45413</v>
      </c>
      <c r="C123" s="6" t="s">
        <v>30</v>
      </c>
      <c r="D123" s="6" t="s">
        <v>98</v>
      </c>
      <c r="E123" s="6" t="s">
        <v>52</v>
      </c>
      <c r="F123" s="6" t="s">
        <v>15</v>
      </c>
      <c r="G123" s="6" t="s">
        <v>27</v>
      </c>
      <c r="H123" s="6">
        <v>27</v>
      </c>
      <c r="I123" s="8">
        <v>4870.49</v>
      </c>
      <c r="J123" s="9">
        <v>0.15</v>
      </c>
      <c r="K123" s="6" t="s">
        <v>17</v>
      </c>
      <c r="M123">
        <f>IFERROR(
   Sheet2_RawData!$H303 * Sheet2_RawData!$I303 * (1 - Sheet2_RawData!$J303),
   ""
)</f>
        <v>91417.455000000002</v>
      </c>
      <c r="N123">
        <f>YEAR(Sheet2_RawData!$B123)</f>
        <v>2024</v>
      </c>
      <c r="O123">
        <f>MONTH(Sheet2_RawData!$B123)</f>
        <v>5</v>
      </c>
    </row>
    <row r="124" spans="1:16" ht="15" customHeight="1" x14ac:dyDescent="0.3">
      <c r="A124" s="2" t="s">
        <v>320</v>
      </c>
      <c r="B124" s="3">
        <v>45416</v>
      </c>
      <c r="C124" s="2" t="s">
        <v>51</v>
      </c>
      <c r="D124" s="2" t="s">
        <v>36</v>
      </c>
      <c r="E124" s="2" t="s">
        <v>14</v>
      </c>
      <c r="F124" s="2" t="s">
        <v>71</v>
      </c>
      <c r="G124" s="2" t="s">
        <v>82</v>
      </c>
      <c r="H124" s="2">
        <v>2</v>
      </c>
      <c r="I124" s="4">
        <v>510.61</v>
      </c>
      <c r="J124" s="5">
        <v>0</v>
      </c>
      <c r="K124" s="2" t="s">
        <v>17</v>
      </c>
      <c r="M124">
        <f>IFERROR(
   Sheet2_RawData!$H224 * Sheet2_RawData!$I224 * (1 - Sheet2_RawData!$J224),
   ""
)</f>
        <v>64265.279999999999</v>
      </c>
      <c r="N124">
        <f>YEAR(Sheet2_RawData!$B124)</f>
        <v>2024</v>
      </c>
      <c r="O124">
        <f>MONTH(Sheet2_RawData!$B124)</f>
        <v>5</v>
      </c>
    </row>
    <row r="125" spans="1:16" ht="15" customHeight="1" x14ac:dyDescent="0.3">
      <c r="A125" s="6" t="s">
        <v>221</v>
      </c>
      <c r="B125" s="7">
        <v>45613</v>
      </c>
      <c r="C125" s="6" t="s">
        <v>103</v>
      </c>
      <c r="D125" s="6" t="s">
        <v>36</v>
      </c>
      <c r="E125" s="6" t="s">
        <v>37</v>
      </c>
      <c r="F125" s="6" t="s">
        <v>44</v>
      </c>
      <c r="G125" s="6" t="s">
        <v>49</v>
      </c>
      <c r="H125" s="6">
        <v>42</v>
      </c>
      <c r="I125" s="8">
        <v>3194.73</v>
      </c>
      <c r="J125" s="9">
        <v>0.1</v>
      </c>
      <c r="K125" s="6" t="s">
        <v>17</v>
      </c>
      <c r="M125">
        <f>IFERROR(
   Sheet2_RawData!$H127 * Sheet2_RawData!$I127 * (1 - Sheet2_RawData!$J127),
   ""
)</f>
        <v>13554.783000000001</v>
      </c>
      <c r="N125">
        <f>YEAR(Sheet2_RawData!$B125)</f>
        <v>2024</v>
      </c>
      <c r="O125">
        <f>MONTH(Sheet2_RawData!$B125)</f>
        <v>11</v>
      </c>
    </row>
    <row r="126" spans="1:16" ht="15" customHeight="1" x14ac:dyDescent="0.3">
      <c r="A126" s="2" t="s">
        <v>129</v>
      </c>
      <c r="B126" s="3">
        <v>45388</v>
      </c>
      <c r="C126" s="2" t="s">
        <v>57</v>
      </c>
      <c r="D126" s="2" t="s">
        <v>20</v>
      </c>
      <c r="E126" s="2" t="s">
        <v>14</v>
      </c>
      <c r="F126" s="2" t="s">
        <v>44</v>
      </c>
      <c r="G126" s="2" t="s">
        <v>49</v>
      </c>
      <c r="H126" s="2">
        <v>15</v>
      </c>
      <c r="I126" s="4">
        <v>1275.18</v>
      </c>
      <c r="J126" s="5">
        <v>0</v>
      </c>
      <c r="K126" s="2" t="s">
        <v>17</v>
      </c>
      <c r="M126">
        <f>IFERROR(
   Sheet2_RawData!$H42 * Sheet2_RawData!$I42 * (1 - Sheet2_RawData!$J42),
   ""
)</f>
        <v>35087.040000000001</v>
      </c>
      <c r="N126">
        <f>YEAR(Sheet2_RawData!$B126)</f>
        <v>2024</v>
      </c>
      <c r="O126">
        <f>MONTH(Sheet2_RawData!$B126)</f>
        <v>4</v>
      </c>
    </row>
    <row r="127" spans="1:16" ht="15" customHeight="1" x14ac:dyDescent="0.3">
      <c r="A127" s="6" t="s">
        <v>145</v>
      </c>
      <c r="B127" s="7">
        <v>45493</v>
      </c>
      <c r="C127" s="6" t="s">
        <v>144</v>
      </c>
      <c r="D127" s="6" t="s">
        <v>40</v>
      </c>
      <c r="E127" s="6" t="s">
        <v>31</v>
      </c>
      <c r="F127" s="6" t="s">
        <v>71</v>
      </c>
      <c r="G127" s="6" t="s">
        <v>78</v>
      </c>
      <c r="H127" s="6">
        <v>9</v>
      </c>
      <c r="I127" s="8">
        <v>1673.43</v>
      </c>
      <c r="J127" s="9">
        <v>0.1</v>
      </c>
      <c r="K127" s="6" t="s">
        <v>17</v>
      </c>
      <c r="M127">
        <f>IFERROR(
   Sheet2_RawData!$H53 * Sheet2_RawData!$I53 * (1 - Sheet2_RawData!$J53),
   ""
)</f>
        <v>8965.9499999999989</v>
      </c>
      <c r="N127">
        <f>YEAR(Sheet2_RawData!$B127)</f>
        <v>2024</v>
      </c>
      <c r="O127">
        <f>MONTH(Sheet2_RawData!$B127)</f>
        <v>7</v>
      </c>
      <c r="P127" t="b">
        <f>AND($N127=2024, OR($O127=7, $O127=8, $O127=9))</f>
        <v>1</v>
      </c>
    </row>
    <row r="128" spans="1:16" ht="15" customHeight="1" x14ac:dyDescent="0.3">
      <c r="A128" s="2" t="s">
        <v>161</v>
      </c>
      <c r="B128" s="3">
        <v>45357</v>
      </c>
      <c r="C128" s="2" t="s">
        <v>123</v>
      </c>
      <c r="D128" s="2" t="s">
        <v>13</v>
      </c>
      <c r="E128" s="2" t="s">
        <v>52</v>
      </c>
      <c r="F128" s="2" t="s">
        <v>15</v>
      </c>
      <c r="G128" s="2" t="s">
        <v>32</v>
      </c>
      <c r="H128" s="2">
        <v>5</v>
      </c>
      <c r="I128" s="4">
        <v>4891.0200000000004</v>
      </c>
      <c r="J128" s="5">
        <v>0.1</v>
      </c>
      <c r="K128" s="2" t="s">
        <v>95</v>
      </c>
      <c r="M128">
        <f>IFERROR(
   Sheet2_RawData!$H68 * Sheet2_RawData!$I68 * (1 - Sheet2_RawData!$J68),
   ""
)</f>
        <v>62268.179999999993</v>
      </c>
      <c r="N128">
        <f>YEAR(Sheet2_RawData!$B128)</f>
        <v>2024</v>
      </c>
      <c r="O128">
        <f>MONTH(Sheet2_RawData!$B128)</f>
        <v>3</v>
      </c>
    </row>
    <row r="129" spans="1:16" ht="15" customHeight="1" x14ac:dyDescent="0.3">
      <c r="A129" s="2" t="s">
        <v>330</v>
      </c>
      <c r="B129" s="3">
        <v>45358</v>
      </c>
      <c r="C129" s="2" t="s">
        <v>148</v>
      </c>
      <c r="D129" s="2" t="s">
        <v>26</v>
      </c>
      <c r="E129" s="2" t="s">
        <v>21</v>
      </c>
      <c r="F129" s="2" t="s">
        <v>15</v>
      </c>
      <c r="G129" s="2" t="s">
        <v>27</v>
      </c>
      <c r="H129" s="2">
        <v>8</v>
      </c>
      <c r="I129" s="4">
        <v>88.26</v>
      </c>
      <c r="J129" s="5">
        <v>0.15</v>
      </c>
      <c r="K129" s="2" t="s">
        <v>17</v>
      </c>
      <c r="M129">
        <f>IFERROR(
   Sheet2_RawData!$H236 * Sheet2_RawData!$I236 * (1 - Sheet2_RawData!$J236),
   ""
)</f>
        <v>11897.97</v>
      </c>
      <c r="N129">
        <f>YEAR(Sheet2_RawData!$B129)</f>
        <v>2024</v>
      </c>
      <c r="O129">
        <f>MONTH(Sheet2_RawData!$B129)</f>
        <v>3</v>
      </c>
    </row>
    <row r="130" spans="1:16" ht="15" customHeight="1" x14ac:dyDescent="0.3">
      <c r="A130" s="2" t="s">
        <v>117</v>
      </c>
      <c r="B130" s="3">
        <v>45333</v>
      </c>
      <c r="C130" s="2" t="s">
        <v>65</v>
      </c>
      <c r="D130" s="2" t="s">
        <v>40</v>
      </c>
      <c r="E130" s="2" t="s">
        <v>14</v>
      </c>
      <c r="F130" s="2" t="s">
        <v>66</v>
      </c>
      <c r="G130" s="2" t="s">
        <v>67</v>
      </c>
      <c r="H130" s="2">
        <v>45</v>
      </c>
      <c r="I130" s="4">
        <v>1167.99</v>
      </c>
      <c r="J130" s="5">
        <v>0.15</v>
      </c>
      <c r="K130" s="2" t="s">
        <v>95</v>
      </c>
      <c r="M130">
        <f>IFERROR(
   Sheet2_RawData!$H34 * Sheet2_RawData!$I34 * (1 - Sheet2_RawData!$J34),
   ""
)</f>
        <v>41334.300000000003</v>
      </c>
      <c r="N130">
        <f>YEAR(Sheet2_RawData!$B130)</f>
        <v>2024</v>
      </c>
      <c r="O130">
        <f>MONTH(Sheet2_RawData!$B130)</f>
        <v>2</v>
      </c>
    </row>
    <row r="131" spans="1:16" ht="15" customHeight="1" x14ac:dyDescent="0.3">
      <c r="A131" s="2" t="s">
        <v>228</v>
      </c>
      <c r="B131" s="3">
        <v>45634</v>
      </c>
      <c r="C131" s="2" t="s">
        <v>47</v>
      </c>
      <c r="D131" s="2" t="s">
        <v>70</v>
      </c>
      <c r="E131" s="2" t="s">
        <v>52</v>
      </c>
      <c r="F131" s="2" t="s">
        <v>22</v>
      </c>
      <c r="G131" s="2" t="s">
        <v>111</v>
      </c>
      <c r="H131" s="2">
        <v>2</v>
      </c>
      <c r="I131" s="4">
        <v>3125.61</v>
      </c>
      <c r="J131" s="5">
        <v>0</v>
      </c>
      <c r="K131" s="2" t="s">
        <v>17</v>
      </c>
      <c r="M131">
        <f>IFERROR(
   Sheet2_RawData!$H134 * Sheet2_RawData!$I134 * (1 - Sheet2_RawData!$J134),
   ""
)</f>
        <v>9503.85</v>
      </c>
      <c r="N131">
        <f>YEAR(Sheet2_RawData!$B131)</f>
        <v>2024</v>
      </c>
      <c r="O131">
        <f>MONTH(Sheet2_RawData!$B131)</f>
        <v>12</v>
      </c>
    </row>
    <row r="132" spans="1:16" ht="15" customHeight="1" x14ac:dyDescent="0.3">
      <c r="A132" s="6" t="s">
        <v>337</v>
      </c>
      <c r="B132" s="7">
        <v>45320</v>
      </c>
      <c r="C132" s="6" t="s">
        <v>25</v>
      </c>
      <c r="D132" s="6" t="s">
        <v>20</v>
      </c>
      <c r="E132" s="6" t="s">
        <v>31</v>
      </c>
      <c r="F132" s="6" t="s">
        <v>71</v>
      </c>
      <c r="G132" s="6" t="s">
        <v>138</v>
      </c>
      <c r="H132" s="6">
        <v>12</v>
      </c>
      <c r="I132" s="8">
        <v>3850.52</v>
      </c>
      <c r="J132" s="9">
        <v>0</v>
      </c>
      <c r="K132" s="6" t="s">
        <v>17</v>
      </c>
      <c r="M132">
        <f>IFERROR(
   Sheet2_RawData!$H243 * Sheet2_RawData!$I243 * (1 - Sheet2_RawData!$J243),
   ""
)</f>
        <v>73020.239999999991</v>
      </c>
      <c r="N132">
        <f>YEAR(Sheet2_RawData!$B132)</f>
        <v>2024</v>
      </c>
      <c r="O132">
        <f>MONTH(Sheet2_RawData!$B132)</f>
        <v>1</v>
      </c>
    </row>
    <row r="133" spans="1:16" ht="15" customHeight="1" x14ac:dyDescent="0.3">
      <c r="A133" s="6" t="s">
        <v>274</v>
      </c>
      <c r="B133" s="7">
        <v>45426</v>
      </c>
      <c r="C133" s="6" t="s">
        <v>261</v>
      </c>
      <c r="D133" s="6" t="s">
        <v>36</v>
      </c>
      <c r="E133" s="6" t="s">
        <v>14</v>
      </c>
      <c r="F133" s="6" t="s">
        <v>15</v>
      </c>
      <c r="G133" s="6" t="s">
        <v>87</v>
      </c>
      <c r="H133" s="6">
        <v>17</v>
      </c>
      <c r="I133" s="8">
        <v>741.17</v>
      </c>
      <c r="J133" s="9">
        <v>0.15</v>
      </c>
      <c r="K133" s="6" t="s">
        <v>63</v>
      </c>
      <c r="M133">
        <f>IFERROR(
   Sheet2_RawData!$H179 * Sheet2_RawData!$I179 * (1 - Sheet2_RawData!$J179),
   ""
)</f>
        <v>15155.099999999999</v>
      </c>
      <c r="N133">
        <f>YEAR(Sheet2_RawData!$B133)</f>
        <v>2024</v>
      </c>
      <c r="O133">
        <f>MONTH(Sheet2_RawData!$B133)</f>
        <v>5</v>
      </c>
    </row>
    <row r="134" spans="1:16" ht="15" customHeight="1" x14ac:dyDescent="0.3">
      <c r="A134" s="2" t="s">
        <v>56</v>
      </c>
      <c r="B134" s="3">
        <v>45360</v>
      </c>
      <c r="C134" s="2" t="s">
        <v>57</v>
      </c>
      <c r="D134" s="2" t="s">
        <v>36</v>
      </c>
      <c r="E134" s="2" t="s">
        <v>14</v>
      </c>
      <c r="F134" s="2" t="s">
        <v>44</v>
      </c>
      <c r="G134" s="2" t="s">
        <v>58</v>
      </c>
      <c r="H134" s="2">
        <v>25</v>
      </c>
      <c r="I134" s="4">
        <v>447.24</v>
      </c>
      <c r="J134" s="5">
        <v>0.15</v>
      </c>
      <c r="K134" s="2" t="s">
        <v>33</v>
      </c>
      <c r="M134">
        <f>IFERROR(
   Sheet2_RawData!$H12 * Sheet2_RawData!$I12 * (1 - Sheet2_RawData!$J12),
   ""
)</f>
        <v>109324.75</v>
      </c>
      <c r="N134">
        <f>YEAR(Sheet2_RawData!$B134)</f>
        <v>2024</v>
      </c>
      <c r="O134">
        <f>MONTH(Sheet2_RawData!$B134)</f>
        <v>3</v>
      </c>
    </row>
    <row r="135" spans="1:16" ht="15" customHeight="1" x14ac:dyDescent="0.3">
      <c r="A135" s="6" t="s">
        <v>29</v>
      </c>
      <c r="B135" s="7">
        <v>45460</v>
      </c>
      <c r="C135" s="6" t="s">
        <v>30</v>
      </c>
      <c r="D135" s="6" t="s">
        <v>13</v>
      </c>
      <c r="E135" s="6" t="s">
        <v>31</v>
      </c>
      <c r="F135" s="6" t="s">
        <v>15</v>
      </c>
      <c r="G135" s="6" t="s">
        <v>32</v>
      </c>
      <c r="H135" s="6">
        <v>14</v>
      </c>
      <c r="I135" s="8">
        <v>2952.6</v>
      </c>
      <c r="J135" s="9">
        <v>0.2</v>
      </c>
      <c r="K135" s="6" t="s">
        <v>33</v>
      </c>
      <c r="M135">
        <f>IFERROR(
   Sheet2_RawData!$H5 * Sheet2_RawData!$I5 * (1 - Sheet2_RawData!$J5),
   ""
)</f>
        <v>9722.3425000000007</v>
      </c>
      <c r="N135">
        <f>YEAR(Sheet2_RawData!$B135)</f>
        <v>2024</v>
      </c>
      <c r="O135">
        <f>MONTH(Sheet2_RawData!$B135)</f>
        <v>6</v>
      </c>
    </row>
    <row r="136" spans="1:16" ht="15" customHeight="1" x14ac:dyDescent="0.3">
      <c r="A136" s="6" t="s">
        <v>136</v>
      </c>
      <c r="B136" s="7">
        <v>45528</v>
      </c>
      <c r="C136" s="6" t="s">
        <v>84</v>
      </c>
      <c r="D136" s="6" t="s">
        <v>70</v>
      </c>
      <c r="E136" s="6" t="s">
        <v>31</v>
      </c>
      <c r="F136" s="6" t="s">
        <v>66</v>
      </c>
      <c r="G136" s="6" t="s">
        <v>107</v>
      </c>
      <c r="H136" s="6">
        <v>12</v>
      </c>
      <c r="I136" s="8">
        <v>2781.96</v>
      </c>
      <c r="J136" s="9">
        <v>0</v>
      </c>
      <c r="K136" s="6" t="s">
        <v>63</v>
      </c>
      <c r="M136">
        <f>IFERROR(
   Sheet2_RawData!$H47 * Sheet2_RawData!$I47 * (1 - Sheet2_RawData!$J47),
   ""
)</f>
        <v>23149.439999999999</v>
      </c>
      <c r="N136">
        <f>YEAR(Sheet2_RawData!$B136)</f>
        <v>2024</v>
      </c>
      <c r="O136">
        <f>MONTH(Sheet2_RawData!$B136)</f>
        <v>8</v>
      </c>
      <c r="P136" t="b">
        <f>AND($N136=2024, OR($O136=7, $O136=8, $O136=9))</f>
        <v>1</v>
      </c>
    </row>
    <row r="137" spans="1:16" ht="15" customHeight="1" x14ac:dyDescent="0.3">
      <c r="A137" s="6" t="s">
        <v>297</v>
      </c>
      <c r="B137" s="7">
        <v>45320</v>
      </c>
      <c r="C137" s="6" t="s">
        <v>51</v>
      </c>
      <c r="D137" s="6" t="s">
        <v>48</v>
      </c>
      <c r="E137" s="6" t="s">
        <v>52</v>
      </c>
      <c r="F137" s="6" t="s">
        <v>22</v>
      </c>
      <c r="G137" s="6" t="s">
        <v>23</v>
      </c>
      <c r="H137" s="6">
        <v>15</v>
      </c>
      <c r="I137" s="8">
        <v>2721.81</v>
      </c>
      <c r="J137" s="9">
        <v>0.2</v>
      </c>
      <c r="K137" s="6" t="s">
        <v>33</v>
      </c>
      <c r="M137">
        <f>IFERROR(
   Sheet2_RawData!$H201 * Sheet2_RawData!$I201 * (1 - Sheet2_RawData!$J201),
   ""
)</f>
        <v>37830.5</v>
      </c>
      <c r="N137">
        <f>YEAR(Sheet2_RawData!$B137)</f>
        <v>2024</v>
      </c>
      <c r="O137">
        <f>MONTH(Sheet2_RawData!$B137)</f>
        <v>1</v>
      </c>
    </row>
    <row r="138" spans="1:16" ht="15" customHeight="1" x14ac:dyDescent="0.3">
      <c r="A138" s="2" t="s">
        <v>340</v>
      </c>
      <c r="B138" s="3">
        <v>45364</v>
      </c>
      <c r="C138" s="2" t="s">
        <v>106</v>
      </c>
      <c r="D138" s="2" t="s">
        <v>98</v>
      </c>
      <c r="E138" s="2" t="s">
        <v>31</v>
      </c>
      <c r="F138" s="2" t="s">
        <v>71</v>
      </c>
      <c r="G138" s="2" t="s">
        <v>72</v>
      </c>
      <c r="H138" s="2">
        <v>16</v>
      </c>
      <c r="I138" s="4">
        <v>1561.63</v>
      </c>
      <c r="J138" s="5">
        <v>0</v>
      </c>
      <c r="K138" s="2" t="s">
        <v>17</v>
      </c>
      <c r="M138">
        <f>IFERROR(
   Sheet2_RawData!$H246 * Sheet2_RawData!$I246 * (1 - Sheet2_RawData!$J246),
   ""
)</f>
        <v>55139.328000000009</v>
      </c>
      <c r="N138">
        <f>YEAR(Sheet2_RawData!$B138)</f>
        <v>2024</v>
      </c>
      <c r="O138">
        <f>MONTH(Sheet2_RawData!$B138)</f>
        <v>3</v>
      </c>
    </row>
    <row r="139" spans="1:16" ht="15" customHeight="1" x14ac:dyDescent="0.3">
      <c r="A139" s="2" t="s">
        <v>206</v>
      </c>
      <c r="B139" s="3">
        <v>45303</v>
      </c>
      <c r="C139" s="2" t="s">
        <v>81</v>
      </c>
      <c r="D139" s="2" t="s">
        <v>20</v>
      </c>
      <c r="E139" s="2" t="s">
        <v>31</v>
      </c>
      <c r="F139" s="2" t="s">
        <v>66</v>
      </c>
      <c r="G139" s="2" t="s">
        <v>107</v>
      </c>
      <c r="H139" s="2">
        <v>34</v>
      </c>
      <c r="I139" s="4">
        <v>680.37</v>
      </c>
      <c r="J139" s="5">
        <v>0</v>
      </c>
      <c r="K139" s="2" t="s">
        <v>95</v>
      </c>
      <c r="M139">
        <f>IFERROR(
   Sheet2_RawData!$H112 * Sheet2_RawData!$I112 * (1 - Sheet2_RawData!$J112),
   ""
)</f>
        <v>40349.789999999994</v>
      </c>
      <c r="N139">
        <f>YEAR(Sheet2_RawData!$B139)</f>
        <v>2024</v>
      </c>
      <c r="O139">
        <f>MONTH(Sheet2_RawData!$B139)</f>
        <v>1</v>
      </c>
    </row>
    <row r="140" spans="1:16" ht="15" customHeight="1" x14ac:dyDescent="0.3">
      <c r="A140" s="6" t="s">
        <v>272</v>
      </c>
      <c r="B140" s="7">
        <v>45415</v>
      </c>
      <c r="C140" s="6" t="s">
        <v>127</v>
      </c>
      <c r="D140" s="6" t="s">
        <v>26</v>
      </c>
      <c r="E140" s="6" t="s">
        <v>14</v>
      </c>
      <c r="F140" s="6" t="s">
        <v>44</v>
      </c>
      <c r="G140" s="6" t="s">
        <v>62</v>
      </c>
      <c r="H140" s="6">
        <v>27</v>
      </c>
      <c r="I140" s="8">
        <v>3381.24</v>
      </c>
      <c r="J140" s="9">
        <v>0</v>
      </c>
      <c r="K140" s="6" t="s">
        <v>63</v>
      </c>
      <c r="M140">
        <f>IFERROR(
   Sheet2_RawData!$H177 * Sheet2_RawData!$I177 * (1 - Sheet2_RawData!$J177),
   ""
)</f>
        <v>46600.176000000007</v>
      </c>
      <c r="N140">
        <f>YEAR(Sheet2_RawData!$B140)</f>
        <v>2024</v>
      </c>
      <c r="O140">
        <f>MONTH(Sheet2_RawData!$B140)</f>
        <v>5</v>
      </c>
    </row>
    <row r="141" spans="1:16" ht="15" customHeight="1" x14ac:dyDescent="0.3">
      <c r="A141" s="6" t="s">
        <v>383</v>
      </c>
      <c r="B141" s="7">
        <v>45319</v>
      </c>
      <c r="C141" s="6" t="s">
        <v>166</v>
      </c>
      <c r="D141" s="6" t="s">
        <v>36</v>
      </c>
      <c r="E141" s="6" t="s">
        <v>31</v>
      </c>
      <c r="F141" s="6" t="s">
        <v>15</v>
      </c>
      <c r="G141" s="6" t="s">
        <v>32</v>
      </c>
      <c r="H141" s="6">
        <v>9</v>
      </c>
      <c r="I141" s="8">
        <v>976.14</v>
      </c>
      <c r="J141" s="9">
        <v>0.2</v>
      </c>
      <c r="K141" s="6" t="s">
        <v>17</v>
      </c>
      <c r="M141">
        <f>IFERROR(
   Sheet2_RawData!$H293 * Sheet2_RawData!$I293 * (1 - Sheet2_RawData!$J293),
   ""
)</f>
        <v>53179.469999999994</v>
      </c>
      <c r="N141">
        <f>YEAR(Sheet2_RawData!$B141)</f>
        <v>2024</v>
      </c>
      <c r="O141">
        <f>MONTH(Sheet2_RawData!$B141)</f>
        <v>1</v>
      </c>
    </row>
    <row r="142" spans="1:16" ht="15" customHeight="1" x14ac:dyDescent="0.3">
      <c r="A142" s="2" t="s">
        <v>218</v>
      </c>
      <c r="B142" s="3">
        <v>45517</v>
      </c>
      <c r="C142" s="2" t="s">
        <v>127</v>
      </c>
      <c r="D142" s="2" t="s">
        <v>61</v>
      </c>
      <c r="E142" s="2" t="s">
        <v>31</v>
      </c>
      <c r="F142" s="2" t="s">
        <v>15</v>
      </c>
      <c r="G142" s="2" t="s">
        <v>87</v>
      </c>
      <c r="H142" s="2">
        <v>34</v>
      </c>
      <c r="I142" s="4">
        <v>2838.29</v>
      </c>
      <c r="J142" s="5">
        <v>0.1</v>
      </c>
      <c r="K142" s="2" t="s">
        <v>63</v>
      </c>
      <c r="M142">
        <f>IFERROR(
   Sheet2_RawData!$H124 * Sheet2_RawData!$I124 * (1 - Sheet2_RawData!$J124),
   ""
)</f>
        <v>1021.22</v>
      </c>
      <c r="N142">
        <f>YEAR(Sheet2_RawData!$B142)</f>
        <v>2024</v>
      </c>
      <c r="O142">
        <f>MONTH(Sheet2_RawData!$B142)</f>
        <v>8</v>
      </c>
      <c r="P142" t="b">
        <f>AND($N142=2024, OR($O142=7, $O142=8, $O142=9))</f>
        <v>1</v>
      </c>
    </row>
    <row r="143" spans="1:16" ht="15" customHeight="1" x14ac:dyDescent="0.3">
      <c r="A143" s="6" t="s">
        <v>160</v>
      </c>
      <c r="B143" s="7">
        <v>45292</v>
      </c>
      <c r="C143" s="6" t="s">
        <v>144</v>
      </c>
      <c r="D143" s="6" t="s">
        <v>89</v>
      </c>
      <c r="E143" s="6" t="s">
        <v>37</v>
      </c>
      <c r="F143" s="6" t="s">
        <v>44</v>
      </c>
      <c r="G143" s="6" t="s">
        <v>49</v>
      </c>
      <c r="H143" s="6">
        <v>37</v>
      </c>
      <c r="I143" s="8">
        <v>1247.5899999999999</v>
      </c>
      <c r="J143" s="9">
        <v>0</v>
      </c>
      <c r="K143" s="6" t="s">
        <v>17</v>
      </c>
      <c r="M143">
        <f>IFERROR(
   Sheet2_RawData!$H67 * Sheet2_RawData!$I67 * (1 - Sheet2_RawData!$J67),
   ""
)</f>
        <v>100065.81</v>
      </c>
      <c r="N143">
        <f>YEAR(Sheet2_RawData!$B143)</f>
        <v>2024</v>
      </c>
      <c r="O143">
        <f>MONTH(Sheet2_RawData!$B143)</f>
        <v>1</v>
      </c>
    </row>
    <row r="144" spans="1:16" ht="15" customHeight="1" x14ac:dyDescent="0.3">
      <c r="A144" s="2" t="s">
        <v>355</v>
      </c>
      <c r="B144" s="3">
        <v>45293</v>
      </c>
      <c r="C144" s="2" t="s">
        <v>35</v>
      </c>
      <c r="D144" s="2" t="s">
        <v>26</v>
      </c>
      <c r="E144" s="2" t="s">
        <v>14</v>
      </c>
      <c r="F144" s="2" t="s">
        <v>66</v>
      </c>
      <c r="G144" s="2" t="s">
        <v>90</v>
      </c>
      <c r="H144" s="2">
        <v>6</v>
      </c>
      <c r="I144" s="4">
        <v>3189.71</v>
      </c>
      <c r="J144" s="5">
        <v>0.2</v>
      </c>
      <c r="K144" s="2" t="s">
        <v>17</v>
      </c>
      <c r="M144">
        <f>IFERROR(
   Sheet2_RawData!$H264 * Sheet2_RawData!$I264 * (1 - Sheet2_RawData!$J264),
   ""
)</f>
        <v>41695.442999999999</v>
      </c>
      <c r="N144">
        <f>YEAR(Sheet2_RawData!$B144)</f>
        <v>2024</v>
      </c>
      <c r="O144">
        <f>MONTH(Sheet2_RawData!$B144)</f>
        <v>1</v>
      </c>
    </row>
    <row r="145" spans="1:16" ht="15" customHeight="1" x14ac:dyDescent="0.3">
      <c r="A145" s="2" t="s">
        <v>252</v>
      </c>
      <c r="B145" s="3">
        <v>45302</v>
      </c>
      <c r="C145" s="2" t="s">
        <v>84</v>
      </c>
      <c r="D145" s="2" t="s">
        <v>36</v>
      </c>
      <c r="E145" s="2" t="s">
        <v>21</v>
      </c>
      <c r="F145" s="2" t="s">
        <v>66</v>
      </c>
      <c r="G145" s="2" t="s">
        <v>67</v>
      </c>
      <c r="H145" s="2">
        <v>29</v>
      </c>
      <c r="I145" s="4">
        <v>648.97</v>
      </c>
      <c r="J145" s="5">
        <v>0</v>
      </c>
      <c r="K145" s="2" t="s">
        <v>17</v>
      </c>
      <c r="M145">
        <f>IFERROR(
   Sheet2_RawData!$H158 * Sheet2_RawData!$I158 * (1 - Sheet2_RawData!$J158),
   ""
)</f>
        <v>24180.5</v>
      </c>
      <c r="N145">
        <f>YEAR(Sheet2_RawData!$B145)</f>
        <v>2024</v>
      </c>
      <c r="O145">
        <f>MONTH(Sheet2_RawData!$B145)</f>
        <v>1</v>
      </c>
    </row>
    <row r="146" spans="1:16" ht="15" customHeight="1" x14ac:dyDescent="0.3">
      <c r="A146" s="2" t="s">
        <v>329</v>
      </c>
      <c r="B146" s="3">
        <v>45573</v>
      </c>
      <c r="C146" s="2" t="s">
        <v>106</v>
      </c>
      <c r="D146" s="2" t="s">
        <v>98</v>
      </c>
      <c r="E146" s="2" t="s">
        <v>14</v>
      </c>
      <c r="F146" s="2" t="s">
        <v>44</v>
      </c>
      <c r="G146" s="2" t="s">
        <v>58</v>
      </c>
      <c r="H146" s="2">
        <v>37</v>
      </c>
      <c r="I146" s="4">
        <v>1039.01</v>
      </c>
      <c r="J146" s="5">
        <v>0.1</v>
      </c>
      <c r="K146" s="2" t="s">
        <v>17</v>
      </c>
      <c r="M146">
        <f>IFERROR(
   Sheet2_RawData!$H234 * Sheet2_RawData!$I234 * (1 - Sheet2_RawData!$J234),
   ""
)</f>
        <v>3082.239</v>
      </c>
      <c r="N146">
        <f>YEAR(Sheet2_RawData!$B146)</f>
        <v>2024</v>
      </c>
      <c r="O146">
        <f>MONTH(Sheet2_RawData!$B146)</f>
        <v>10</v>
      </c>
    </row>
    <row r="147" spans="1:16" ht="15" customHeight="1" x14ac:dyDescent="0.3">
      <c r="A147" s="6" t="s">
        <v>401</v>
      </c>
      <c r="B147" s="7">
        <v>45541</v>
      </c>
      <c r="C147" s="6" t="s">
        <v>115</v>
      </c>
      <c r="D147" s="6" t="s">
        <v>98</v>
      </c>
      <c r="E147" s="6" t="s">
        <v>52</v>
      </c>
      <c r="F147" s="6" t="s">
        <v>71</v>
      </c>
      <c r="G147" s="6" t="s">
        <v>78</v>
      </c>
      <c r="H147" s="6">
        <v>25</v>
      </c>
      <c r="I147" s="8">
        <v>4772.99</v>
      </c>
      <c r="J147" s="9">
        <v>0.15</v>
      </c>
      <c r="K147" s="6" t="s">
        <v>63</v>
      </c>
      <c r="M147">
        <f>IFERROR(
   Sheet2_RawData!$H313 * Sheet2_RawData!$I313 * (1 - Sheet2_RawData!$J313),
   ""
)</f>
        <v>76789.86</v>
      </c>
      <c r="N147">
        <f>YEAR(Sheet2_RawData!$B147)</f>
        <v>2024</v>
      </c>
      <c r="O147">
        <f>MONTH(Sheet2_RawData!$B147)</f>
        <v>9</v>
      </c>
      <c r="P147" t="b">
        <f t="shared" ref="P147:P148" si="8">AND($N147=2024, OR($O147=7, $O147=8, $O147=9))</f>
        <v>1</v>
      </c>
    </row>
    <row r="148" spans="1:16" ht="15" customHeight="1" x14ac:dyDescent="0.3">
      <c r="A148" s="6" t="s">
        <v>279</v>
      </c>
      <c r="B148" s="7">
        <v>45487</v>
      </c>
      <c r="C148" s="6" t="s">
        <v>43</v>
      </c>
      <c r="D148" s="6" t="s">
        <v>70</v>
      </c>
      <c r="E148" s="6" t="s">
        <v>14</v>
      </c>
      <c r="F148" s="6" t="s">
        <v>15</v>
      </c>
      <c r="G148" s="6" t="s">
        <v>32</v>
      </c>
      <c r="H148" s="6">
        <v>3</v>
      </c>
      <c r="I148" s="8">
        <v>1624.97</v>
      </c>
      <c r="J148" s="9">
        <v>0.05</v>
      </c>
      <c r="K148" s="6" t="s">
        <v>63</v>
      </c>
      <c r="M148">
        <f>IFERROR(
   Sheet2_RawData!$H183 * Sheet2_RawData!$I183 * (1 - Sheet2_RawData!$J183),
   ""
)</f>
        <v>126000.16</v>
      </c>
      <c r="N148">
        <f>YEAR(Sheet2_RawData!$B148)</f>
        <v>2024</v>
      </c>
      <c r="O148">
        <f>MONTH(Sheet2_RawData!$B148)</f>
        <v>7</v>
      </c>
      <c r="P148" t="b">
        <f t="shared" si="8"/>
        <v>1</v>
      </c>
    </row>
    <row r="149" spans="1:16" ht="15" customHeight="1" x14ac:dyDescent="0.3">
      <c r="A149" s="6" t="s">
        <v>359</v>
      </c>
      <c r="B149" s="7">
        <v>45394</v>
      </c>
      <c r="C149" s="6" t="s">
        <v>110</v>
      </c>
      <c r="D149" s="6" t="s">
        <v>48</v>
      </c>
      <c r="E149" s="6" t="s">
        <v>21</v>
      </c>
      <c r="F149" s="6" t="s">
        <v>66</v>
      </c>
      <c r="G149" s="6" t="s">
        <v>67</v>
      </c>
      <c r="H149" s="6">
        <v>9</v>
      </c>
      <c r="I149" s="8">
        <v>1537.15</v>
      </c>
      <c r="J149" s="9">
        <v>0.1</v>
      </c>
      <c r="K149" s="6" t="s">
        <v>28</v>
      </c>
      <c r="M149">
        <f>IFERROR(
   Sheet2_RawData!$H269 * Sheet2_RawData!$I269 * (1 - Sheet2_RawData!$J269),
   ""
)</f>
        <v>28270.804500000002</v>
      </c>
      <c r="N149">
        <f>YEAR(Sheet2_RawData!$B149)</f>
        <v>2024</v>
      </c>
      <c r="O149">
        <f>MONTH(Sheet2_RawData!$B149)</f>
        <v>4</v>
      </c>
    </row>
    <row r="150" spans="1:16" ht="15" customHeight="1" x14ac:dyDescent="0.3">
      <c r="A150" s="2" t="s">
        <v>257</v>
      </c>
      <c r="B150" s="3">
        <v>45481</v>
      </c>
      <c r="C150" s="2" t="s">
        <v>57</v>
      </c>
      <c r="D150" s="2" t="s">
        <v>98</v>
      </c>
      <c r="E150" s="2" t="s">
        <v>21</v>
      </c>
      <c r="F150" s="2" t="s">
        <v>22</v>
      </c>
      <c r="G150" s="2" t="s">
        <v>23</v>
      </c>
      <c r="H150" s="2">
        <v>37</v>
      </c>
      <c r="I150" s="4">
        <v>210.31</v>
      </c>
      <c r="J150" s="5">
        <v>0</v>
      </c>
      <c r="K150" s="2" t="s">
        <v>63</v>
      </c>
      <c r="M150">
        <f>IFERROR(
   Sheet2_RawData!$H162 * Sheet2_RawData!$I162 * (1 - Sheet2_RawData!$J162),
   ""
)</f>
        <v>43851.464999999997</v>
      </c>
      <c r="N150">
        <f>YEAR(Sheet2_RawData!$B150)</f>
        <v>2024</v>
      </c>
      <c r="O150">
        <f>MONTH(Sheet2_RawData!$B150)</f>
        <v>7</v>
      </c>
      <c r="P150" t="b">
        <f>AND($N150=2024, OR($O150=7, $O150=8, $O150=9))</f>
        <v>1</v>
      </c>
    </row>
    <row r="151" spans="1:16" ht="15" customHeight="1" x14ac:dyDescent="0.3">
      <c r="A151" s="2" t="s">
        <v>24</v>
      </c>
      <c r="B151" s="3">
        <v>45391</v>
      </c>
      <c r="C151" s="2" t="s">
        <v>25</v>
      </c>
      <c r="D151" s="2" t="s">
        <v>26</v>
      </c>
      <c r="E151" s="2" t="s">
        <v>14</v>
      </c>
      <c r="F151" s="2" t="s">
        <v>15</v>
      </c>
      <c r="G151" s="2" t="s">
        <v>27</v>
      </c>
      <c r="H151" s="2">
        <v>49</v>
      </c>
      <c r="I151" s="4">
        <v>2646.95</v>
      </c>
      <c r="J151" s="5">
        <v>0</v>
      </c>
      <c r="K151" s="2" t="s">
        <v>28</v>
      </c>
      <c r="M151">
        <f>IFERROR(
   Sheet2_RawData!$H4 * Sheet2_RawData!$I4 * (1 - Sheet2_RawData!$J4),
   ""
)</f>
        <v>76157.925999999992</v>
      </c>
      <c r="N151">
        <f>YEAR(Sheet2_RawData!$B151)</f>
        <v>2024</v>
      </c>
      <c r="O151">
        <f>MONTH(Sheet2_RawData!$B151)</f>
        <v>4</v>
      </c>
    </row>
    <row r="152" spans="1:16" ht="15" customHeight="1" x14ac:dyDescent="0.3">
      <c r="A152" s="2" t="s">
        <v>189</v>
      </c>
      <c r="B152" s="3">
        <v>45466</v>
      </c>
      <c r="C152" s="2" t="s">
        <v>125</v>
      </c>
      <c r="D152" s="2" t="s">
        <v>20</v>
      </c>
      <c r="E152" s="2" t="s">
        <v>14</v>
      </c>
      <c r="F152" s="2" t="s">
        <v>71</v>
      </c>
      <c r="G152" s="2" t="s">
        <v>72</v>
      </c>
      <c r="H152" s="2">
        <v>2</v>
      </c>
      <c r="I152" s="4">
        <v>1844.86</v>
      </c>
      <c r="J152" s="5">
        <v>0</v>
      </c>
      <c r="K152" s="2" t="s">
        <v>28</v>
      </c>
      <c r="M152">
        <f>IFERROR(
   Sheet2_RawData!$H94 * Sheet2_RawData!$I94 * (1 - Sheet2_RawData!$J94),
   ""
)</f>
        <v>18945.897499999999</v>
      </c>
      <c r="N152">
        <f>YEAR(Sheet2_RawData!$B152)</f>
        <v>2024</v>
      </c>
      <c r="O152">
        <f>MONTH(Sheet2_RawData!$B152)</f>
        <v>6</v>
      </c>
    </row>
    <row r="153" spans="1:16" ht="15" customHeight="1" x14ac:dyDescent="0.3">
      <c r="A153" s="6" t="s">
        <v>387</v>
      </c>
      <c r="B153" s="7">
        <v>45534</v>
      </c>
      <c r="C153" s="6" t="s">
        <v>77</v>
      </c>
      <c r="D153" s="6" t="s">
        <v>40</v>
      </c>
      <c r="E153" s="6" t="s">
        <v>14</v>
      </c>
      <c r="F153" s="6" t="s">
        <v>66</v>
      </c>
      <c r="G153" s="6" t="s">
        <v>107</v>
      </c>
      <c r="H153" s="6">
        <v>47</v>
      </c>
      <c r="I153" s="8">
        <v>4366.8900000000003</v>
      </c>
      <c r="J153" s="9">
        <v>0.15</v>
      </c>
      <c r="K153" s="6" t="s">
        <v>17</v>
      </c>
      <c r="M153">
        <f>IFERROR(
   Sheet2_RawData!$H297 * Sheet2_RawData!$I297 * (1 - Sheet2_RawData!$J297),
   ""
)</f>
        <v>134548.416</v>
      </c>
      <c r="N153">
        <f>YEAR(Sheet2_RawData!$B153)</f>
        <v>2024</v>
      </c>
      <c r="O153">
        <f>MONTH(Sheet2_RawData!$B153)</f>
        <v>8</v>
      </c>
      <c r="P153" t="b">
        <f>AND($N153=2024, OR($O153=7, $O153=8, $O153=9))</f>
        <v>1</v>
      </c>
    </row>
    <row r="154" spans="1:16" ht="15" customHeight="1" x14ac:dyDescent="0.3">
      <c r="A154" s="6" t="s">
        <v>397</v>
      </c>
      <c r="B154" s="7">
        <v>45340</v>
      </c>
      <c r="C154" s="6" t="s">
        <v>86</v>
      </c>
      <c r="D154" s="6" t="s">
        <v>36</v>
      </c>
      <c r="E154" s="6" t="s">
        <v>14</v>
      </c>
      <c r="F154" s="6" t="s">
        <v>71</v>
      </c>
      <c r="G154" s="6" t="s">
        <v>82</v>
      </c>
      <c r="H154" s="6">
        <v>27</v>
      </c>
      <c r="I154" s="8">
        <v>1727.71</v>
      </c>
      <c r="J154" s="9">
        <v>0.05</v>
      </c>
      <c r="K154" s="6" t="s">
        <v>17</v>
      </c>
      <c r="M154">
        <f>IFERROR(
   Sheet2_RawData!$H309 * Sheet2_RawData!$I309 * (1 - Sheet2_RawData!$J309),
   ""
)</f>
        <v>20338.75</v>
      </c>
      <c r="N154">
        <f>YEAR(Sheet2_RawData!$B154)</f>
        <v>2024</v>
      </c>
      <c r="O154">
        <f>MONTH(Sheet2_RawData!$B154)</f>
        <v>2</v>
      </c>
    </row>
    <row r="155" spans="1:16" ht="15" customHeight="1" x14ac:dyDescent="0.3">
      <c r="A155" s="6" t="s">
        <v>344</v>
      </c>
      <c r="B155" s="7">
        <v>45646</v>
      </c>
      <c r="C155" s="6" t="s">
        <v>51</v>
      </c>
      <c r="D155" s="6" t="s">
        <v>13</v>
      </c>
      <c r="E155" s="6" t="s">
        <v>14</v>
      </c>
      <c r="F155" s="6" t="s">
        <v>15</v>
      </c>
      <c r="G155" s="6" t="s">
        <v>87</v>
      </c>
      <c r="H155" s="6">
        <v>39</v>
      </c>
      <c r="I155" s="8">
        <v>2422.21</v>
      </c>
      <c r="J155" s="9">
        <v>0.05</v>
      </c>
      <c r="K155" s="6" t="s">
        <v>17</v>
      </c>
      <c r="M155">
        <f>IFERROR(
   Sheet2_RawData!$H251 * Sheet2_RawData!$I251 * (1 - Sheet2_RawData!$J251),
   ""
)</f>
        <v>189969.71399999998</v>
      </c>
      <c r="N155">
        <f>YEAR(Sheet2_RawData!$B155)</f>
        <v>2024</v>
      </c>
      <c r="O155">
        <f>MONTH(Sheet2_RawData!$B155)</f>
        <v>12</v>
      </c>
    </row>
    <row r="156" spans="1:16" ht="15" customHeight="1" x14ac:dyDescent="0.3">
      <c r="A156" s="6" t="s">
        <v>118</v>
      </c>
      <c r="B156" s="7">
        <v>45494</v>
      </c>
      <c r="C156" s="6" t="s">
        <v>119</v>
      </c>
      <c r="D156" s="6" t="s">
        <v>98</v>
      </c>
      <c r="E156" s="6" t="s">
        <v>37</v>
      </c>
      <c r="F156" s="6" t="s">
        <v>71</v>
      </c>
      <c r="G156" s="6" t="s">
        <v>101</v>
      </c>
      <c r="H156" s="6">
        <v>14</v>
      </c>
      <c r="I156" s="8">
        <v>3365.14</v>
      </c>
      <c r="J156" s="9">
        <v>0</v>
      </c>
      <c r="K156" s="6" t="s">
        <v>17</v>
      </c>
      <c r="M156">
        <f>IFERROR(
   Sheet2_RawData!$H35 * Sheet2_RawData!$I35 * (1 - Sheet2_RawData!$J35),
   ""
)</f>
        <v>39670.154999999999</v>
      </c>
      <c r="N156">
        <f>YEAR(Sheet2_RawData!$B156)</f>
        <v>2024</v>
      </c>
      <c r="O156">
        <f>MONTH(Sheet2_RawData!$B156)</f>
        <v>7</v>
      </c>
      <c r="P156" t="b">
        <f t="shared" ref="P156:P158" si="9">AND($N156=2024, OR($O156=7, $O156=8, $O156=9))</f>
        <v>1</v>
      </c>
    </row>
    <row r="157" spans="1:16" ht="15" customHeight="1" x14ac:dyDescent="0.3">
      <c r="A157" s="2" t="s">
        <v>174</v>
      </c>
      <c r="B157" s="3">
        <v>45546</v>
      </c>
      <c r="C157" s="2" t="s">
        <v>103</v>
      </c>
      <c r="D157" s="2" t="s">
        <v>89</v>
      </c>
      <c r="E157" s="2" t="s">
        <v>21</v>
      </c>
      <c r="F157" s="2" t="s">
        <v>22</v>
      </c>
      <c r="G157" s="2" t="s">
        <v>116</v>
      </c>
      <c r="H157" s="2">
        <v>44</v>
      </c>
      <c r="I157" s="4">
        <v>3902.64</v>
      </c>
      <c r="J157" s="5">
        <v>0</v>
      </c>
      <c r="K157" s="2" t="s">
        <v>33</v>
      </c>
      <c r="M157">
        <f>IFERROR(
   Sheet2_RawData!$H80 * Sheet2_RawData!$I80 * (1 - Sheet2_RawData!$J80),
   ""
)</f>
        <v>71819.539999999994</v>
      </c>
      <c r="N157">
        <f>YEAR(Sheet2_RawData!$B157)</f>
        <v>2024</v>
      </c>
      <c r="O157">
        <f>MONTH(Sheet2_RawData!$B157)</f>
        <v>9</v>
      </c>
      <c r="P157" t="b">
        <f t="shared" si="9"/>
        <v>1</v>
      </c>
    </row>
    <row r="158" spans="1:16" ht="15" customHeight="1" x14ac:dyDescent="0.3">
      <c r="A158" s="6" t="s">
        <v>219</v>
      </c>
      <c r="B158" s="7">
        <v>45552</v>
      </c>
      <c r="C158" s="6" t="s">
        <v>133</v>
      </c>
      <c r="D158" s="6" t="s">
        <v>98</v>
      </c>
      <c r="E158" s="6" t="s">
        <v>14</v>
      </c>
      <c r="F158" s="6" t="s">
        <v>22</v>
      </c>
      <c r="G158" s="6" t="s">
        <v>23</v>
      </c>
      <c r="H158" s="6">
        <v>5</v>
      </c>
      <c r="I158" s="8">
        <v>4836.1000000000004</v>
      </c>
      <c r="J158" s="9">
        <v>0</v>
      </c>
      <c r="K158" s="6" t="s">
        <v>17</v>
      </c>
      <c r="M158">
        <f>IFERROR(
   Sheet2_RawData!$H125 * Sheet2_RawData!$I125 * (1 - Sheet2_RawData!$J125),
   ""
)</f>
        <v>120760.79400000001</v>
      </c>
      <c r="N158">
        <f>YEAR(Sheet2_RawData!$B158)</f>
        <v>2024</v>
      </c>
      <c r="O158">
        <f>MONTH(Sheet2_RawData!$B158)</f>
        <v>9</v>
      </c>
      <c r="P158" t="b">
        <f t="shared" si="9"/>
        <v>1</v>
      </c>
    </row>
    <row r="159" spans="1:16" ht="15" customHeight="1" x14ac:dyDescent="0.3">
      <c r="A159" s="2" t="s">
        <v>180</v>
      </c>
      <c r="B159" s="3">
        <v>45631</v>
      </c>
      <c r="C159" s="2" t="s">
        <v>35</v>
      </c>
      <c r="D159" s="2" t="s">
        <v>36</v>
      </c>
      <c r="E159" s="2" t="s">
        <v>37</v>
      </c>
      <c r="F159" s="2" t="s">
        <v>44</v>
      </c>
      <c r="G159" s="2" t="s">
        <v>49</v>
      </c>
      <c r="H159" s="2">
        <v>46</v>
      </c>
      <c r="I159" s="4">
        <v>733.51</v>
      </c>
      <c r="J159" s="5">
        <v>0</v>
      </c>
      <c r="K159" s="2" t="s">
        <v>63</v>
      </c>
      <c r="M159">
        <f>IFERROR(
   Sheet2_RawData!$H86 * Sheet2_RawData!$I86 * (1 - Sheet2_RawData!$J86),
   ""
)</f>
        <v>129460.69500000001</v>
      </c>
      <c r="N159">
        <f>YEAR(Sheet2_RawData!$B159)</f>
        <v>2024</v>
      </c>
      <c r="O159">
        <f>MONTH(Sheet2_RawData!$B159)</f>
        <v>12</v>
      </c>
    </row>
    <row r="160" spans="1:16" ht="15" customHeight="1" x14ac:dyDescent="0.3">
      <c r="A160" s="2" t="s">
        <v>79</v>
      </c>
      <c r="B160" s="3">
        <v>45359</v>
      </c>
      <c r="C160" s="2" t="s">
        <v>35</v>
      </c>
      <c r="D160" s="2" t="s">
        <v>48</v>
      </c>
      <c r="E160" s="2" t="s">
        <v>31</v>
      </c>
      <c r="F160" s="2" t="s">
        <v>71</v>
      </c>
      <c r="G160" s="2" t="s">
        <v>72</v>
      </c>
      <c r="H160" s="2">
        <v>18</v>
      </c>
      <c r="I160" s="4">
        <v>4341.8900000000003</v>
      </c>
      <c r="J160" s="5">
        <v>0</v>
      </c>
      <c r="K160" s="2" t="s">
        <v>63</v>
      </c>
      <c r="M160">
        <f>IFERROR(
   Sheet2_RawData!$H18 * Sheet2_RawData!$I18 * (1 - Sheet2_RawData!$J18),
   ""
)</f>
        <v>3563.6299999999997</v>
      </c>
      <c r="N160">
        <f>YEAR(Sheet2_RawData!$B160)</f>
        <v>2024</v>
      </c>
      <c r="O160">
        <f>MONTH(Sheet2_RawData!$B160)</f>
        <v>3</v>
      </c>
    </row>
    <row r="161" spans="1:16" ht="15" customHeight="1" x14ac:dyDescent="0.3">
      <c r="A161" s="6" t="s">
        <v>80</v>
      </c>
      <c r="B161" s="7">
        <v>45346</v>
      </c>
      <c r="C161" s="6" t="s">
        <v>81</v>
      </c>
      <c r="D161" s="27" t="s">
        <v>36</v>
      </c>
      <c r="E161" s="6" t="s">
        <v>14</v>
      </c>
      <c r="F161" s="6" t="s">
        <v>71</v>
      </c>
      <c r="G161" s="6" t="s">
        <v>82</v>
      </c>
      <c r="H161" s="6">
        <v>16</v>
      </c>
      <c r="I161" s="8">
        <v>780.48</v>
      </c>
      <c r="J161" s="9">
        <v>0.15</v>
      </c>
      <c r="K161" s="6" t="s">
        <v>17</v>
      </c>
      <c r="M161">
        <f>IFERROR(
   Sheet2_RawData!$H19 * Sheet2_RawData!$I19 * (1 - Sheet2_RawData!$J19),
   ""
)</f>
        <v>188124.69999999998</v>
      </c>
      <c r="N161">
        <f>YEAR(Sheet2_RawData!$B161)</f>
        <v>2024</v>
      </c>
      <c r="O161">
        <f>MONTH(Sheet2_RawData!$B161)</f>
        <v>2</v>
      </c>
    </row>
    <row r="162" spans="1:16" ht="15" customHeight="1" x14ac:dyDescent="0.3">
      <c r="A162" s="2" t="s">
        <v>314</v>
      </c>
      <c r="B162" s="3">
        <v>45362</v>
      </c>
      <c r="C162" s="2" t="s">
        <v>47</v>
      </c>
      <c r="D162" s="2" t="s">
        <v>70</v>
      </c>
      <c r="E162" s="2" t="s">
        <v>14</v>
      </c>
      <c r="F162" s="2" t="s">
        <v>44</v>
      </c>
      <c r="G162" s="2" t="s">
        <v>58</v>
      </c>
      <c r="H162" s="2">
        <v>35</v>
      </c>
      <c r="I162" s="4">
        <v>1392.11</v>
      </c>
      <c r="J162" s="5">
        <v>0.1</v>
      </c>
      <c r="K162" s="2" t="s">
        <v>63</v>
      </c>
      <c r="M162">
        <f>IFERROR(
   Sheet2_RawData!$H218 * Sheet2_RawData!$I218 * (1 - Sheet2_RawData!$J218),
   ""
)</f>
        <v>27741.690000000002</v>
      </c>
      <c r="N162">
        <f>YEAR(Sheet2_RawData!$B162)</f>
        <v>2024</v>
      </c>
      <c r="O162">
        <f>MONTH(Sheet2_RawData!$B162)</f>
        <v>3</v>
      </c>
    </row>
    <row r="163" spans="1:16" ht="15" customHeight="1" x14ac:dyDescent="0.3">
      <c r="A163" s="2" t="s">
        <v>122</v>
      </c>
      <c r="B163" s="3">
        <v>45481</v>
      </c>
      <c r="C163" s="2" t="s">
        <v>123</v>
      </c>
      <c r="D163" s="2" t="s">
        <v>13</v>
      </c>
      <c r="E163" s="2" t="s">
        <v>14</v>
      </c>
      <c r="F163" s="2" t="s">
        <v>71</v>
      </c>
      <c r="G163" s="2" t="s">
        <v>82</v>
      </c>
      <c r="H163" s="2">
        <v>40</v>
      </c>
      <c r="I163" s="4">
        <v>2070.17</v>
      </c>
      <c r="J163" s="5">
        <v>0</v>
      </c>
      <c r="K163" s="2" t="s">
        <v>17</v>
      </c>
      <c r="M163">
        <f>IFERROR(
   Sheet2_RawData!$H38 * Sheet2_RawData!$I38 * (1 - Sheet2_RawData!$J38),
   ""
)</f>
        <v>99135.51999999999</v>
      </c>
      <c r="N163">
        <f>YEAR(Sheet2_RawData!$B163)</f>
        <v>2024</v>
      </c>
      <c r="O163">
        <f>MONTH(Sheet2_RawData!$B163)</f>
        <v>7</v>
      </c>
      <c r="P163" t="b">
        <f>AND($N163=2024, OR($O163=7, $O163=8, $O163=9))</f>
        <v>1</v>
      </c>
    </row>
    <row r="164" spans="1:16" ht="15" customHeight="1" x14ac:dyDescent="0.3">
      <c r="A164" s="2" t="s">
        <v>392</v>
      </c>
      <c r="B164" s="3">
        <v>45336</v>
      </c>
      <c r="C164" s="2" t="s">
        <v>77</v>
      </c>
      <c r="D164" s="2" t="s">
        <v>89</v>
      </c>
      <c r="E164" s="2" t="s">
        <v>52</v>
      </c>
      <c r="F164" s="2" t="s">
        <v>66</v>
      </c>
      <c r="G164" s="2" t="s">
        <v>107</v>
      </c>
      <c r="H164" s="2">
        <v>29</v>
      </c>
      <c r="I164" s="4">
        <v>1831.59</v>
      </c>
      <c r="J164" s="5">
        <v>0</v>
      </c>
      <c r="K164" s="2" t="s">
        <v>17</v>
      </c>
      <c r="M164">
        <f>IFERROR(
   Sheet2_RawData!$H304 * Sheet2_RawData!$I304 * (1 - Sheet2_RawData!$J304),
   ""
)</f>
        <v>94308.948000000004</v>
      </c>
      <c r="N164">
        <f>YEAR(Sheet2_RawData!$B164)</f>
        <v>2024</v>
      </c>
      <c r="O164">
        <f>MONTH(Sheet2_RawData!$B164)</f>
        <v>2</v>
      </c>
    </row>
    <row r="165" spans="1:16" ht="15" customHeight="1" x14ac:dyDescent="0.3">
      <c r="A165" s="6" t="s">
        <v>291</v>
      </c>
      <c r="B165" s="7">
        <v>45309</v>
      </c>
      <c r="C165" s="6" t="s">
        <v>100</v>
      </c>
      <c r="D165" s="6" t="s">
        <v>61</v>
      </c>
      <c r="E165" s="6" t="s">
        <v>37</v>
      </c>
      <c r="F165" s="6" t="s">
        <v>44</v>
      </c>
      <c r="G165" s="6" t="s">
        <v>58</v>
      </c>
      <c r="H165" s="6">
        <v>10</v>
      </c>
      <c r="I165" s="8">
        <v>4250.91</v>
      </c>
      <c r="J165" s="9">
        <v>0.15</v>
      </c>
      <c r="K165" s="6" t="s">
        <v>95</v>
      </c>
      <c r="M165">
        <f>IFERROR(
   Sheet2_RawData!$H195 * Sheet2_RawData!$I195 * (1 - Sheet2_RawData!$J195),
   ""
)</f>
        <v>77954.31</v>
      </c>
      <c r="N165">
        <f>YEAR(Sheet2_RawData!$B165)</f>
        <v>2024</v>
      </c>
      <c r="O165">
        <f>MONTH(Sheet2_RawData!$B165)</f>
        <v>1</v>
      </c>
    </row>
    <row r="166" spans="1:16" ht="15" customHeight="1" x14ac:dyDescent="0.3">
      <c r="A166" s="2" t="s">
        <v>157</v>
      </c>
      <c r="B166" s="3">
        <v>45386</v>
      </c>
      <c r="C166" s="2" t="s">
        <v>54</v>
      </c>
      <c r="D166" s="2" t="s">
        <v>13</v>
      </c>
      <c r="E166" s="2" t="s">
        <v>14</v>
      </c>
      <c r="F166" s="2" t="s">
        <v>66</v>
      </c>
      <c r="G166" s="2" t="s">
        <v>142</v>
      </c>
      <c r="H166" s="2">
        <v>37</v>
      </c>
      <c r="I166" s="4">
        <v>1457.48</v>
      </c>
      <c r="J166" s="5">
        <v>0.05</v>
      </c>
      <c r="K166" s="2" t="s">
        <v>17</v>
      </c>
      <c r="M166">
        <f>IFERROR(
   Sheet2_RawData!$H64 * Sheet2_RawData!$I64 * (1 - Sheet2_RawData!$J64),
   ""
)</f>
        <v>7712.2710000000006</v>
      </c>
      <c r="N166">
        <f>YEAR(Sheet2_RawData!$B166)</f>
        <v>2024</v>
      </c>
      <c r="O166">
        <f>MONTH(Sheet2_RawData!$B166)</f>
        <v>4</v>
      </c>
    </row>
    <row r="167" spans="1:16" ht="15" customHeight="1" x14ac:dyDescent="0.3">
      <c r="A167" s="6" t="s">
        <v>227</v>
      </c>
      <c r="B167" s="7">
        <v>45462</v>
      </c>
      <c r="C167" s="6" t="s">
        <v>25</v>
      </c>
      <c r="D167" s="6" t="s">
        <v>70</v>
      </c>
      <c r="E167" s="6" t="s">
        <v>52</v>
      </c>
      <c r="F167" s="6" t="s">
        <v>71</v>
      </c>
      <c r="G167" s="6" t="s">
        <v>72</v>
      </c>
      <c r="H167" s="6">
        <v>47</v>
      </c>
      <c r="I167" s="8">
        <v>3373.68</v>
      </c>
      <c r="J167" s="9">
        <v>0</v>
      </c>
      <c r="K167" s="6" t="s">
        <v>17</v>
      </c>
      <c r="M167">
        <f>IFERROR(
   Sheet2_RawData!$H133 * Sheet2_RawData!$I133 * (1 - Sheet2_RawData!$J133),
   ""
)</f>
        <v>10709.906499999999</v>
      </c>
      <c r="N167">
        <f>YEAR(Sheet2_RawData!$B167)</f>
        <v>2024</v>
      </c>
      <c r="O167">
        <f>MONTH(Sheet2_RawData!$B167)</f>
        <v>6</v>
      </c>
    </row>
    <row r="168" spans="1:16" ht="15" customHeight="1" x14ac:dyDescent="0.3">
      <c r="A168" s="6" t="s">
        <v>68</v>
      </c>
      <c r="B168" s="7">
        <v>45322</v>
      </c>
      <c r="C168" s="6" t="s">
        <v>69</v>
      </c>
      <c r="D168" s="6" t="s">
        <v>70</v>
      </c>
      <c r="E168" s="6" t="s">
        <v>52</v>
      </c>
      <c r="F168" s="6" t="s">
        <v>71</v>
      </c>
      <c r="G168" s="6" t="s">
        <v>72</v>
      </c>
      <c r="H168" s="6">
        <v>27</v>
      </c>
      <c r="I168" s="8">
        <v>2453.92</v>
      </c>
      <c r="J168" s="9">
        <v>0</v>
      </c>
      <c r="K168" s="6" t="s">
        <v>33</v>
      </c>
      <c r="M168">
        <f>IFERROR(
   Sheet2_RawData!$H15 * Sheet2_RawData!$I15 * (1 - Sheet2_RawData!$J15),
   ""
)</f>
        <v>25480.350000000002</v>
      </c>
      <c r="N168">
        <f>YEAR(Sheet2_RawData!$B168)</f>
        <v>2024</v>
      </c>
      <c r="O168">
        <f>MONTH(Sheet2_RawData!$B168)</f>
        <v>1</v>
      </c>
    </row>
    <row r="169" spans="1:16" ht="15" customHeight="1" x14ac:dyDescent="0.3">
      <c r="A169" s="2" t="s">
        <v>370</v>
      </c>
      <c r="B169" s="3">
        <v>45577</v>
      </c>
      <c r="C169" s="2" t="s">
        <v>35</v>
      </c>
      <c r="D169" s="2" t="s">
        <v>40</v>
      </c>
      <c r="E169" s="2" t="s">
        <v>21</v>
      </c>
      <c r="F169" s="2" t="s">
        <v>44</v>
      </c>
      <c r="G169" s="2" t="s">
        <v>45</v>
      </c>
      <c r="H169" s="2">
        <v>41</v>
      </c>
      <c r="I169" s="4">
        <v>3254.16</v>
      </c>
      <c r="J169" s="5">
        <v>0</v>
      </c>
      <c r="K169" s="2" t="s">
        <v>17</v>
      </c>
      <c r="M169">
        <f>IFERROR(
   Sheet2_RawData!$H280 * Sheet2_RawData!$I280 * (1 - Sheet2_RawData!$J280),
   ""
)</f>
        <v>26283.232499999998</v>
      </c>
      <c r="N169">
        <f>YEAR(Sheet2_RawData!$B169)</f>
        <v>2024</v>
      </c>
      <c r="O169">
        <f>MONTH(Sheet2_RawData!$B169)</f>
        <v>10</v>
      </c>
    </row>
    <row r="170" spans="1:16" ht="15" customHeight="1" x14ac:dyDescent="0.3">
      <c r="A170" s="6" t="s">
        <v>319</v>
      </c>
      <c r="B170" s="7">
        <v>45292</v>
      </c>
      <c r="C170" s="6" t="s">
        <v>100</v>
      </c>
      <c r="D170" s="6" t="s">
        <v>36</v>
      </c>
      <c r="E170" s="6" t="s">
        <v>52</v>
      </c>
      <c r="F170" s="6" t="s">
        <v>22</v>
      </c>
      <c r="G170" s="6" t="s">
        <v>111</v>
      </c>
      <c r="H170" s="6">
        <v>8</v>
      </c>
      <c r="I170" s="8">
        <v>4650.6899999999996</v>
      </c>
      <c r="J170" s="9">
        <v>0</v>
      </c>
      <c r="K170" s="6" t="s">
        <v>17</v>
      </c>
      <c r="M170">
        <f>IFERROR(
   Sheet2_RawData!$H223 * Sheet2_RawData!$I223 * (1 - Sheet2_RawData!$J223),
   ""
)</f>
        <v>135050.57999999999</v>
      </c>
      <c r="N170">
        <f>YEAR(Sheet2_RawData!$B170)</f>
        <v>2024</v>
      </c>
      <c r="O170">
        <f>MONTH(Sheet2_RawData!$B170)</f>
        <v>1</v>
      </c>
    </row>
    <row r="171" spans="1:16" ht="15" customHeight="1" x14ac:dyDescent="0.3">
      <c r="A171" s="2" t="s">
        <v>266</v>
      </c>
      <c r="B171" s="3">
        <v>45488</v>
      </c>
      <c r="C171" s="2" t="s">
        <v>19</v>
      </c>
      <c r="D171" s="2" t="s">
        <v>61</v>
      </c>
      <c r="E171" s="2" t="s">
        <v>52</v>
      </c>
      <c r="F171" s="2" t="s">
        <v>22</v>
      </c>
      <c r="G171" s="2" t="s">
        <v>116</v>
      </c>
      <c r="H171" s="2">
        <v>31</v>
      </c>
      <c r="I171" s="4">
        <v>1651.83</v>
      </c>
      <c r="J171" s="5">
        <v>0</v>
      </c>
      <c r="K171" s="2" t="s">
        <v>17</v>
      </c>
      <c r="M171">
        <f>IFERROR(
   Sheet2_RawData!$H170 * Sheet2_RawData!$I170 * (1 - Sheet2_RawData!$J170),
   ""
)</f>
        <v>37205.519999999997</v>
      </c>
      <c r="N171">
        <f>YEAR(Sheet2_RawData!$B171)</f>
        <v>2024</v>
      </c>
      <c r="O171">
        <f>MONTH(Sheet2_RawData!$B171)</f>
        <v>7</v>
      </c>
      <c r="P171" t="b">
        <f>AND($N171=2024, OR($O171=7, $O171=8, $O171=9))</f>
        <v>1</v>
      </c>
    </row>
    <row r="172" spans="1:16" ht="15" customHeight="1" x14ac:dyDescent="0.3">
      <c r="A172" s="2" t="s">
        <v>280</v>
      </c>
      <c r="B172" s="3">
        <v>45572</v>
      </c>
      <c r="C172" s="2" t="s">
        <v>261</v>
      </c>
      <c r="D172" s="2" t="s">
        <v>40</v>
      </c>
      <c r="E172" s="2" t="s">
        <v>21</v>
      </c>
      <c r="F172" s="2" t="s">
        <v>22</v>
      </c>
      <c r="G172" s="2" t="s">
        <v>111</v>
      </c>
      <c r="H172" s="2">
        <v>5</v>
      </c>
      <c r="I172" s="4">
        <v>674.65</v>
      </c>
      <c r="J172" s="5">
        <v>0.1</v>
      </c>
      <c r="K172" s="2" t="s">
        <v>63</v>
      </c>
      <c r="M172">
        <f>IFERROR(
   Sheet2_RawData!$H184 * Sheet2_RawData!$I184 * (1 - Sheet2_RawData!$J184),
   ""
)</f>
        <v>22141.8</v>
      </c>
      <c r="N172">
        <f>YEAR(Sheet2_RawData!$B172)</f>
        <v>2024</v>
      </c>
      <c r="O172">
        <f>MONTH(Sheet2_RawData!$B172)</f>
        <v>10</v>
      </c>
    </row>
    <row r="173" spans="1:16" ht="15" customHeight="1" x14ac:dyDescent="0.3">
      <c r="A173" s="2" t="s">
        <v>220</v>
      </c>
      <c r="B173" s="3">
        <v>45541</v>
      </c>
      <c r="C173" s="2" t="s">
        <v>133</v>
      </c>
      <c r="D173" s="2" t="s">
        <v>20</v>
      </c>
      <c r="E173" s="2" t="s">
        <v>14</v>
      </c>
      <c r="F173" s="2" t="s">
        <v>22</v>
      </c>
      <c r="G173" s="2" t="s">
        <v>111</v>
      </c>
      <c r="H173" s="2">
        <v>45</v>
      </c>
      <c r="I173" s="4">
        <v>4684.8599999999997</v>
      </c>
      <c r="J173" s="5">
        <v>0</v>
      </c>
      <c r="K173" s="2" t="s">
        <v>17</v>
      </c>
      <c r="M173">
        <f>IFERROR(
   Sheet2_RawData!$H126 * Sheet2_RawData!$I126 * (1 - Sheet2_RawData!$J126),
   ""
)</f>
        <v>19127.7</v>
      </c>
      <c r="N173">
        <f>YEAR(Sheet2_RawData!$B173)</f>
        <v>2024</v>
      </c>
      <c r="O173">
        <f>MONTH(Sheet2_RawData!$B173)</f>
        <v>9</v>
      </c>
      <c r="P173" t="b">
        <f>AND($N173=2024, OR($O173=7, $O173=8, $O173=9))</f>
        <v>1</v>
      </c>
    </row>
    <row r="174" spans="1:16" ht="15" customHeight="1" x14ac:dyDescent="0.3">
      <c r="A174" s="6" t="s">
        <v>321</v>
      </c>
      <c r="B174" s="7">
        <v>45609</v>
      </c>
      <c r="C174" s="6" t="s">
        <v>19</v>
      </c>
      <c r="D174" s="6" t="s">
        <v>13</v>
      </c>
      <c r="E174" s="6" t="s">
        <v>14</v>
      </c>
      <c r="F174" s="6" t="s">
        <v>71</v>
      </c>
      <c r="G174" s="6" t="s">
        <v>82</v>
      </c>
      <c r="H174" s="6">
        <v>20</v>
      </c>
      <c r="I174" s="8">
        <v>83.5</v>
      </c>
      <c r="J174" s="9">
        <v>0.05</v>
      </c>
      <c r="K174" s="6" t="s">
        <v>17</v>
      </c>
      <c r="M174">
        <f>IFERROR(
   Sheet2_RawData!$H225 * Sheet2_RawData!$I225 * (1 - Sheet2_RawData!$J225),
   ""
)</f>
        <v>17855.915000000001</v>
      </c>
      <c r="N174">
        <f>YEAR(Sheet2_RawData!$B174)</f>
        <v>2024</v>
      </c>
      <c r="O174">
        <f>MONTH(Sheet2_RawData!$B174)</f>
        <v>11</v>
      </c>
    </row>
    <row r="175" spans="1:16" ht="15" customHeight="1" x14ac:dyDescent="0.3">
      <c r="A175" s="6" t="s">
        <v>192</v>
      </c>
      <c r="B175" s="7">
        <v>45655</v>
      </c>
      <c r="C175" s="6" t="s">
        <v>115</v>
      </c>
      <c r="D175" s="6" t="s">
        <v>20</v>
      </c>
      <c r="E175" s="6" t="s">
        <v>52</v>
      </c>
      <c r="F175" s="6" t="s">
        <v>66</v>
      </c>
      <c r="G175" s="6" t="s">
        <v>94</v>
      </c>
      <c r="H175" s="6">
        <v>19</v>
      </c>
      <c r="I175" s="8">
        <v>4462.09</v>
      </c>
      <c r="J175" s="9">
        <v>0.2</v>
      </c>
      <c r="K175" s="6" t="s">
        <v>17</v>
      </c>
      <c r="M175">
        <f>IFERROR(
   Sheet2_RawData!$H97 * Sheet2_RawData!$I97 * (1 - Sheet2_RawData!$J97),
   ""
)</f>
        <v>41299.200000000004</v>
      </c>
      <c r="N175">
        <f>YEAR(Sheet2_RawData!$B175)</f>
        <v>2024</v>
      </c>
      <c r="O175">
        <f>MONTH(Sheet2_RawData!$B175)</f>
        <v>12</v>
      </c>
    </row>
    <row r="176" spans="1:16" ht="15" customHeight="1" x14ac:dyDescent="0.3">
      <c r="A176" s="6" t="s">
        <v>121</v>
      </c>
      <c r="B176" s="7">
        <v>45499</v>
      </c>
      <c r="C176" s="6" t="s">
        <v>103</v>
      </c>
      <c r="D176" s="6" t="s">
        <v>48</v>
      </c>
      <c r="E176" s="6" t="s">
        <v>37</v>
      </c>
      <c r="F176" s="6" t="s">
        <v>22</v>
      </c>
      <c r="G176" s="6" t="s">
        <v>41</v>
      </c>
      <c r="H176" s="6">
        <v>26</v>
      </c>
      <c r="I176" s="8">
        <v>3562.02</v>
      </c>
      <c r="J176" s="9">
        <v>0.05</v>
      </c>
      <c r="K176" s="6" t="s">
        <v>17</v>
      </c>
      <c r="M176">
        <f>IFERROR(
   Sheet2_RawData!$H37 * Sheet2_RawData!$I37 * (1 - Sheet2_RawData!$J37),
   ""
)</f>
        <v>113594.24000000001</v>
      </c>
      <c r="N176">
        <f>YEAR(Sheet2_RawData!$B176)</f>
        <v>2024</v>
      </c>
      <c r="O176">
        <f>MONTH(Sheet2_RawData!$B176)</f>
        <v>7</v>
      </c>
      <c r="P176" t="b">
        <f t="shared" ref="P176:P177" si="10">AND($N176=2024, OR($O176=7, $O176=8, $O176=9))</f>
        <v>1</v>
      </c>
    </row>
    <row r="177" spans="1:16" ht="15" customHeight="1" x14ac:dyDescent="0.3">
      <c r="A177" s="6" t="s">
        <v>196</v>
      </c>
      <c r="B177" s="7">
        <v>45539</v>
      </c>
      <c r="C177" s="6" t="s">
        <v>84</v>
      </c>
      <c r="D177" s="6" t="s">
        <v>61</v>
      </c>
      <c r="E177" s="6" t="s">
        <v>14</v>
      </c>
      <c r="F177" s="6" t="s">
        <v>44</v>
      </c>
      <c r="G177" s="6" t="s">
        <v>62</v>
      </c>
      <c r="H177" s="6">
        <v>42</v>
      </c>
      <c r="I177" s="8">
        <v>1386.91</v>
      </c>
      <c r="J177" s="9">
        <v>0.2</v>
      </c>
      <c r="K177" s="6" t="s">
        <v>33</v>
      </c>
      <c r="M177">
        <f>IFERROR(
   Sheet2_RawData!$H101 * Sheet2_RawData!$I101 * (1 - Sheet2_RawData!$J101),
   ""
)</f>
        <v>187627.88999999998</v>
      </c>
      <c r="N177">
        <f>YEAR(Sheet2_RawData!$B177)</f>
        <v>2024</v>
      </c>
      <c r="O177">
        <f>MONTH(Sheet2_RawData!$B177)</f>
        <v>9</v>
      </c>
      <c r="P177" t="b">
        <f t="shared" si="10"/>
        <v>1</v>
      </c>
    </row>
    <row r="178" spans="1:16" ht="15" customHeight="1" x14ac:dyDescent="0.3">
      <c r="A178" s="2" t="s">
        <v>137</v>
      </c>
      <c r="B178" s="3">
        <v>45349</v>
      </c>
      <c r="C178" s="2" t="s">
        <v>103</v>
      </c>
      <c r="D178" s="2" t="s">
        <v>36</v>
      </c>
      <c r="E178" s="2" t="s">
        <v>31</v>
      </c>
      <c r="F178" s="2" t="s">
        <v>71</v>
      </c>
      <c r="G178" s="2" t="s">
        <v>138</v>
      </c>
      <c r="H178" s="2">
        <v>48</v>
      </c>
      <c r="I178" s="4">
        <v>3874.11</v>
      </c>
      <c r="J178" s="5">
        <v>0.05</v>
      </c>
      <c r="K178" s="2" t="s">
        <v>17</v>
      </c>
      <c r="M178">
        <f>IFERROR(
   Sheet2_RawData!$H48 * Sheet2_RawData!$I48 * (1 - Sheet2_RawData!$J48),
   ""
)</f>
        <v>191488.7395</v>
      </c>
      <c r="N178">
        <f>YEAR(Sheet2_RawData!$B178)</f>
        <v>2024</v>
      </c>
      <c r="O178">
        <f>MONTH(Sheet2_RawData!$B178)</f>
        <v>2</v>
      </c>
    </row>
    <row r="179" spans="1:16" ht="15" customHeight="1" x14ac:dyDescent="0.3">
      <c r="A179" s="6" t="s">
        <v>369</v>
      </c>
      <c r="B179" s="7">
        <v>45339</v>
      </c>
      <c r="C179" s="6" t="s">
        <v>144</v>
      </c>
      <c r="D179" s="6" t="s">
        <v>20</v>
      </c>
      <c r="E179" s="6" t="s">
        <v>37</v>
      </c>
      <c r="F179" s="6" t="s">
        <v>44</v>
      </c>
      <c r="G179" s="6" t="s">
        <v>45</v>
      </c>
      <c r="H179" s="6">
        <v>27</v>
      </c>
      <c r="I179" s="8">
        <v>561.29999999999995</v>
      </c>
      <c r="J179" s="9">
        <v>0</v>
      </c>
      <c r="K179" s="6" t="s">
        <v>17</v>
      </c>
      <c r="M179">
        <f>IFERROR(
   Sheet2_RawData!$H279 * Sheet2_RawData!$I279 * (1 - Sheet2_RawData!$J279),
   ""
)</f>
        <v>2454.89</v>
      </c>
      <c r="N179">
        <f>YEAR(Sheet2_RawData!$B179)</f>
        <v>2024</v>
      </c>
      <c r="O179">
        <f>MONTH(Sheet2_RawData!$B179)</f>
        <v>2</v>
      </c>
    </row>
    <row r="180" spans="1:16" ht="15" customHeight="1" x14ac:dyDescent="0.3">
      <c r="A180" s="2" t="s">
        <v>348</v>
      </c>
      <c r="B180" s="3">
        <v>45324</v>
      </c>
      <c r="C180" s="2" t="s">
        <v>69</v>
      </c>
      <c r="D180" s="2" t="s">
        <v>48</v>
      </c>
      <c r="E180" s="2" t="s">
        <v>31</v>
      </c>
      <c r="F180" s="2" t="s">
        <v>71</v>
      </c>
      <c r="G180" s="2" t="s">
        <v>101</v>
      </c>
      <c r="H180" s="2">
        <v>9</v>
      </c>
      <c r="I180" s="4">
        <v>1381.15</v>
      </c>
      <c r="J180" s="5">
        <v>0</v>
      </c>
      <c r="K180" s="2" t="s">
        <v>17</v>
      </c>
      <c r="M180">
        <f>IFERROR(
   Sheet2_RawData!$H256 * Sheet2_RawData!$I256 * (1 - Sheet2_RawData!$J256),
   ""
)</f>
        <v>135799.25099999999</v>
      </c>
      <c r="N180">
        <f>YEAR(Sheet2_RawData!$B180)</f>
        <v>2024</v>
      </c>
      <c r="O180">
        <f>MONTH(Sheet2_RawData!$B180)</f>
        <v>2</v>
      </c>
    </row>
    <row r="181" spans="1:16" ht="15" customHeight="1" x14ac:dyDescent="0.3">
      <c r="A181" s="2" t="s">
        <v>143</v>
      </c>
      <c r="B181" s="3">
        <v>45383</v>
      </c>
      <c r="C181" s="2" t="s">
        <v>144</v>
      </c>
      <c r="D181" s="2" t="s">
        <v>89</v>
      </c>
      <c r="E181" s="2" t="s">
        <v>21</v>
      </c>
      <c r="F181" s="2" t="s">
        <v>66</v>
      </c>
      <c r="G181" s="2" t="s">
        <v>90</v>
      </c>
      <c r="H181" s="2">
        <v>45</v>
      </c>
      <c r="I181" s="4">
        <v>3386.46</v>
      </c>
      <c r="J181" s="5">
        <v>0.2</v>
      </c>
      <c r="K181" s="2" t="s">
        <v>28</v>
      </c>
      <c r="M181">
        <f>IFERROR(
   Sheet2_RawData!$H52 * Sheet2_RawData!$I52 * (1 - Sheet2_RawData!$J52),
   ""
)</f>
        <v>23515.93</v>
      </c>
      <c r="N181">
        <f>YEAR(Sheet2_RawData!$B181)</f>
        <v>2024</v>
      </c>
      <c r="O181">
        <f>MONTH(Sheet2_RawData!$B181)</f>
        <v>4</v>
      </c>
    </row>
    <row r="182" spans="1:16" ht="15" customHeight="1" x14ac:dyDescent="0.3">
      <c r="A182" s="2" t="s">
        <v>93</v>
      </c>
      <c r="B182" s="3">
        <v>45555</v>
      </c>
      <c r="C182" s="2" t="s">
        <v>92</v>
      </c>
      <c r="D182" s="2" t="s">
        <v>70</v>
      </c>
      <c r="E182" s="2" t="s">
        <v>37</v>
      </c>
      <c r="F182" s="2" t="s">
        <v>66</v>
      </c>
      <c r="G182" s="2" t="s">
        <v>94</v>
      </c>
      <c r="H182" s="2">
        <v>40</v>
      </c>
      <c r="I182" s="4">
        <v>4287.93</v>
      </c>
      <c r="J182" s="5">
        <v>0.05</v>
      </c>
      <c r="K182" s="2" t="s">
        <v>95</v>
      </c>
      <c r="M182">
        <f>IFERROR(
   Sheet2_RawData!$H24 * Sheet2_RawData!$I24 * (1 - Sheet2_RawData!$J24),
   ""
)</f>
        <v>178700.69</v>
      </c>
      <c r="N182">
        <f>YEAR(Sheet2_RawData!$B182)</f>
        <v>2024</v>
      </c>
      <c r="O182">
        <f>MONTH(Sheet2_RawData!$B182)</f>
        <v>9</v>
      </c>
      <c r="P182" t="b">
        <f>AND($N182=2024, OR($O182=7, $O182=8, $O182=9))</f>
        <v>1</v>
      </c>
    </row>
    <row r="183" spans="1:16" ht="15" customHeight="1" x14ac:dyDescent="0.3">
      <c r="A183" s="2" t="s">
        <v>195</v>
      </c>
      <c r="B183" s="3">
        <v>45431</v>
      </c>
      <c r="C183" s="2" t="s">
        <v>110</v>
      </c>
      <c r="D183" s="2" t="s">
        <v>40</v>
      </c>
      <c r="E183" s="2" t="s">
        <v>37</v>
      </c>
      <c r="F183" s="2" t="s">
        <v>22</v>
      </c>
      <c r="G183" s="2" t="s">
        <v>41</v>
      </c>
      <c r="H183" s="2">
        <v>26</v>
      </c>
      <c r="I183" s="4">
        <v>4846.16</v>
      </c>
      <c r="J183" s="5">
        <v>0</v>
      </c>
      <c r="K183" s="2" t="s">
        <v>17</v>
      </c>
      <c r="M183">
        <f>IFERROR(
   Sheet2_RawData!$H100 * Sheet2_RawData!$I100 * (1 - Sheet2_RawData!$J100),
   ""
)</f>
        <v>2783.64</v>
      </c>
      <c r="N183">
        <f>YEAR(Sheet2_RawData!$B183)</f>
        <v>2024</v>
      </c>
      <c r="O183">
        <f>MONTH(Sheet2_RawData!$B183)</f>
        <v>5</v>
      </c>
    </row>
    <row r="184" spans="1:16" ht="15" customHeight="1" x14ac:dyDescent="0.3">
      <c r="A184" s="2" t="s">
        <v>364</v>
      </c>
      <c r="B184" s="3">
        <v>45524</v>
      </c>
      <c r="C184" s="2" t="s">
        <v>278</v>
      </c>
      <c r="D184" s="2" t="s">
        <v>26</v>
      </c>
      <c r="E184" s="2" t="s">
        <v>14</v>
      </c>
      <c r="F184" s="2" t="s">
        <v>44</v>
      </c>
      <c r="G184" s="2" t="s">
        <v>49</v>
      </c>
      <c r="H184" s="2">
        <v>15</v>
      </c>
      <c r="I184" s="4">
        <v>1476.12</v>
      </c>
      <c r="J184" s="5">
        <v>0</v>
      </c>
      <c r="K184" s="2" t="s">
        <v>63</v>
      </c>
      <c r="M184">
        <f>IFERROR(
   Sheet2_RawData!$H274 * Sheet2_RawData!$I274 * (1 - Sheet2_RawData!$J274),
   ""
)</f>
        <v>11334.511999999999</v>
      </c>
      <c r="N184">
        <f>YEAR(Sheet2_RawData!$B184)</f>
        <v>2024</v>
      </c>
      <c r="O184">
        <f>MONTH(Sheet2_RawData!$B184)</f>
        <v>8</v>
      </c>
      <c r="P184" t="b">
        <f t="shared" ref="P184:P185" si="11">AND($N184=2024, OR($O184=7, $O184=8, $O184=9))</f>
        <v>1</v>
      </c>
    </row>
    <row r="185" spans="1:16" ht="15" customHeight="1" x14ac:dyDescent="0.3">
      <c r="A185" s="6" t="s">
        <v>156</v>
      </c>
      <c r="B185" s="7">
        <v>45528</v>
      </c>
      <c r="C185" s="6" t="s">
        <v>47</v>
      </c>
      <c r="D185" s="6" t="s">
        <v>36</v>
      </c>
      <c r="E185" s="6" t="s">
        <v>21</v>
      </c>
      <c r="F185" s="6" t="s">
        <v>71</v>
      </c>
      <c r="G185" s="6" t="s">
        <v>82</v>
      </c>
      <c r="H185" s="6">
        <v>24</v>
      </c>
      <c r="I185" s="8">
        <v>3407.62</v>
      </c>
      <c r="J185" s="9">
        <v>0.1</v>
      </c>
      <c r="K185" s="6" t="s">
        <v>28</v>
      </c>
      <c r="M185">
        <f>IFERROR(
   Sheet2_RawData!$H63 * Sheet2_RawData!$I63 * (1 - Sheet2_RawData!$J63),
   ""
)</f>
        <v>65660.14</v>
      </c>
      <c r="N185">
        <f>YEAR(Sheet2_RawData!$B185)</f>
        <v>2024</v>
      </c>
      <c r="O185">
        <f>MONTH(Sheet2_RawData!$B185)</f>
        <v>8</v>
      </c>
      <c r="P185" t="b">
        <f t="shared" si="11"/>
        <v>1</v>
      </c>
    </row>
    <row r="186" spans="1:16" ht="15" customHeight="1" x14ac:dyDescent="0.3">
      <c r="A186" s="6" t="s">
        <v>317</v>
      </c>
      <c r="B186" s="7">
        <v>45641</v>
      </c>
      <c r="C186" s="6" t="s">
        <v>125</v>
      </c>
      <c r="D186" s="6" t="s">
        <v>61</v>
      </c>
      <c r="E186" s="6" t="s">
        <v>21</v>
      </c>
      <c r="F186" s="6" t="s">
        <v>66</v>
      </c>
      <c r="G186" s="6" t="s">
        <v>67</v>
      </c>
      <c r="H186" s="6">
        <v>23</v>
      </c>
      <c r="I186" s="8">
        <v>1087.06</v>
      </c>
      <c r="J186" s="9">
        <v>0</v>
      </c>
      <c r="K186" s="6" t="s">
        <v>63</v>
      </c>
      <c r="M186">
        <f>IFERROR(
   Sheet2_RawData!$H301 * Sheet2_RawData!$I301 * (1 - Sheet2_RawData!$J301),
   ""
)</f>
        <v>3082.239</v>
      </c>
      <c r="N186">
        <f>YEAR(Sheet2_RawData!$B186)</f>
        <v>2024</v>
      </c>
      <c r="O186">
        <f>MONTH(Sheet2_RawData!$B186)</f>
        <v>12</v>
      </c>
    </row>
    <row r="187" spans="1:16" ht="15" customHeight="1" x14ac:dyDescent="0.3">
      <c r="A187" s="2" t="s">
        <v>88</v>
      </c>
      <c r="B187" s="3">
        <v>45360</v>
      </c>
      <c r="C187" s="2" t="s">
        <v>30</v>
      </c>
      <c r="D187" s="2" t="s">
        <v>89</v>
      </c>
      <c r="E187" s="2" t="s">
        <v>37</v>
      </c>
      <c r="F187" s="2" t="s">
        <v>66</v>
      </c>
      <c r="G187" s="2" t="s">
        <v>90</v>
      </c>
      <c r="H187" s="2">
        <v>20</v>
      </c>
      <c r="I187" s="4">
        <v>4662.1899999999996</v>
      </c>
      <c r="J187" s="5">
        <v>0</v>
      </c>
      <c r="K187" s="2" t="s">
        <v>28</v>
      </c>
      <c r="M187">
        <f>IFERROR(
   Sheet2_RawData!$H22 * Sheet2_RawData!$I22 * (1 - Sheet2_RawData!$J22),
   ""
)</f>
        <v>47509.56</v>
      </c>
      <c r="N187">
        <f>YEAR(Sheet2_RawData!$B187)</f>
        <v>2024</v>
      </c>
      <c r="O187">
        <f>MONTH(Sheet2_RawData!$B187)</f>
        <v>3</v>
      </c>
    </row>
    <row r="188" spans="1:16" ht="15" customHeight="1" x14ac:dyDescent="0.3">
      <c r="A188" s="6" t="s">
        <v>309</v>
      </c>
      <c r="B188" s="7">
        <v>45480</v>
      </c>
      <c r="C188" s="6" t="s">
        <v>57</v>
      </c>
      <c r="D188" s="6" t="s">
        <v>70</v>
      </c>
      <c r="E188" s="6" t="s">
        <v>52</v>
      </c>
      <c r="F188" s="6" t="s">
        <v>15</v>
      </c>
      <c r="G188" s="6" t="s">
        <v>87</v>
      </c>
      <c r="H188" s="6">
        <v>6</v>
      </c>
      <c r="I188" s="8">
        <v>3667.28</v>
      </c>
      <c r="J188" s="9">
        <v>0</v>
      </c>
      <c r="K188" s="6" t="s">
        <v>17</v>
      </c>
      <c r="M188">
        <f>IFERROR(
   Sheet2_RawData!$H213 * Sheet2_RawData!$I213 * (1 - Sheet2_RawData!$J213),
   ""
)</f>
        <v>10661.1505</v>
      </c>
      <c r="N188">
        <f>YEAR(Sheet2_RawData!$B188)</f>
        <v>2024</v>
      </c>
      <c r="O188">
        <f>MONTH(Sheet2_RawData!$B188)</f>
        <v>7</v>
      </c>
      <c r="P188" t="b">
        <f>AND($N188=2024, OR($O188=7, $O188=8, $O188=9))</f>
        <v>1</v>
      </c>
    </row>
    <row r="189" spans="1:16" ht="15" customHeight="1" x14ac:dyDescent="0.3">
      <c r="A189" s="6" t="s">
        <v>307</v>
      </c>
      <c r="B189" s="7">
        <v>45471</v>
      </c>
      <c r="C189" s="6" t="s">
        <v>261</v>
      </c>
      <c r="D189" s="6" t="s">
        <v>40</v>
      </c>
      <c r="E189" s="6" t="s">
        <v>21</v>
      </c>
      <c r="F189" s="6" t="s">
        <v>44</v>
      </c>
      <c r="G189" s="6" t="s">
        <v>58</v>
      </c>
      <c r="H189" s="6">
        <v>22</v>
      </c>
      <c r="I189" s="8">
        <v>453.43</v>
      </c>
      <c r="J189" s="9">
        <v>0.15</v>
      </c>
      <c r="K189" s="6" t="s">
        <v>17</v>
      </c>
      <c r="M189">
        <f>IFERROR(
   Sheet2_RawData!$H211 * Sheet2_RawData!$I211 * (1 - Sheet2_RawData!$J211),
   ""
)</f>
        <v>78412.67</v>
      </c>
      <c r="N189">
        <f>YEAR(Sheet2_RawData!$B189)</f>
        <v>2024</v>
      </c>
      <c r="O189">
        <f>MONTH(Sheet2_RawData!$B189)</f>
        <v>6</v>
      </c>
    </row>
    <row r="190" spans="1:16" ht="15" customHeight="1" x14ac:dyDescent="0.3">
      <c r="A190" s="2" t="s">
        <v>353</v>
      </c>
      <c r="B190" s="3">
        <v>45620</v>
      </c>
      <c r="C190" s="2" t="s">
        <v>278</v>
      </c>
      <c r="D190" s="2" t="s">
        <v>36</v>
      </c>
      <c r="E190" s="2" t="s">
        <v>52</v>
      </c>
      <c r="F190" s="2" t="s">
        <v>71</v>
      </c>
      <c r="G190" s="2" t="s">
        <v>72</v>
      </c>
      <c r="H190" s="2">
        <v>19</v>
      </c>
      <c r="I190" s="4">
        <v>2073.89</v>
      </c>
      <c r="J190" s="5">
        <v>0.2</v>
      </c>
      <c r="K190" s="2" t="s">
        <v>17</v>
      </c>
      <c r="M190">
        <f>IFERROR(
   Sheet2_RawData!$H262 * Sheet2_RawData!$I262 * (1 - Sheet2_RawData!$J262),
   ""
)</f>
        <v>19952.310000000001</v>
      </c>
      <c r="N190">
        <f>YEAR(Sheet2_RawData!$B190)</f>
        <v>2024</v>
      </c>
      <c r="O190">
        <f>MONTH(Sheet2_RawData!$B190)</f>
        <v>11</v>
      </c>
    </row>
    <row r="191" spans="1:16" ht="15" customHeight="1" x14ac:dyDescent="0.3">
      <c r="A191" s="2" t="s">
        <v>172</v>
      </c>
      <c r="B191" s="3">
        <v>45530</v>
      </c>
      <c r="C191" s="2" t="s">
        <v>127</v>
      </c>
      <c r="D191" s="2" t="s">
        <v>40</v>
      </c>
      <c r="E191" s="2" t="s">
        <v>14</v>
      </c>
      <c r="F191" s="2" t="s">
        <v>71</v>
      </c>
      <c r="G191" s="2" t="s">
        <v>78</v>
      </c>
      <c r="H191" s="2">
        <v>9</v>
      </c>
      <c r="I191" s="4">
        <v>4863.28</v>
      </c>
      <c r="J191" s="5">
        <v>0.15</v>
      </c>
      <c r="K191" s="2" t="s">
        <v>17</v>
      </c>
      <c r="M191">
        <f>IFERROR(
   Sheet2_RawData!$H78 * Sheet2_RawData!$I78 * (1 - Sheet2_RawData!$J78),
   ""
)</f>
        <v>14789.932500000001</v>
      </c>
      <c r="N191">
        <f>YEAR(Sheet2_RawData!$B191)</f>
        <v>2024</v>
      </c>
      <c r="O191">
        <f>MONTH(Sheet2_RawData!$B191)</f>
        <v>8</v>
      </c>
      <c r="P191" t="b">
        <f t="shared" ref="P191:P192" si="12">AND($N191=2024, OR($O191=7, $O191=8, $O191=9))</f>
        <v>1</v>
      </c>
    </row>
    <row r="192" spans="1:16" ht="15" customHeight="1" x14ac:dyDescent="0.3">
      <c r="A192" s="2" t="s">
        <v>300</v>
      </c>
      <c r="B192" s="3">
        <v>45491</v>
      </c>
      <c r="C192" s="2" t="s">
        <v>127</v>
      </c>
      <c r="D192" s="2" t="s">
        <v>48</v>
      </c>
      <c r="E192" s="2" t="s">
        <v>31</v>
      </c>
      <c r="F192" s="2" t="s">
        <v>15</v>
      </c>
      <c r="G192" s="2" t="s">
        <v>32</v>
      </c>
      <c r="H192" s="2">
        <v>20</v>
      </c>
      <c r="I192" s="4">
        <v>854.13</v>
      </c>
      <c r="J192" s="5">
        <v>0</v>
      </c>
      <c r="K192" s="2" t="s">
        <v>63</v>
      </c>
      <c r="M192">
        <f>IFERROR(
   Sheet2_RawData!$H204 * Sheet2_RawData!$I204 * (1 - Sheet2_RawData!$J204),
   ""
)</f>
        <v>11001.5</v>
      </c>
      <c r="N192">
        <f>YEAR(Sheet2_RawData!$B192)</f>
        <v>2024</v>
      </c>
      <c r="O192">
        <f>MONTH(Sheet2_RawData!$B192)</f>
        <v>7</v>
      </c>
      <c r="P192" t="b">
        <f t="shared" si="12"/>
        <v>1</v>
      </c>
    </row>
    <row r="193" spans="1:16" ht="15" customHeight="1" x14ac:dyDescent="0.3">
      <c r="A193" s="6" t="s">
        <v>341</v>
      </c>
      <c r="B193" s="7">
        <v>45379</v>
      </c>
      <c r="C193" s="6" t="s">
        <v>57</v>
      </c>
      <c r="D193" s="6" t="s">
        <v>48</v>
      </c>
      <c r="E193" s="6" t="s">
        <v>14</v>
      </c>
      <c r="F193" s="6" t="s">
        <v>22</v>
      </c>
      <c r="G193" s="6" t="s">
        <v>111</v>
      </c>
      <c r="H193" s="6">
        <v>36</v>
      </c>
      <c r="I193" s="8">
        <v>2406.23</v>
      </c>
      <c r="J193" s="9">
        <v>0.15</v>
      </c>
      <c r="K193" s="6" t="s">
        <v>17</v>
      </c>
      <c r="M193">
        <f>IFERROR(
   Sheet2_RawData!$H247 * Sheet2_RawData!$I247 * (1 - Sheet2_RawData!$J247),
   ""
)</f>
        <v>92115.438999999998</v>
      </c>
      <c r="N193">
        <f>YEAR(Sheet2_RawData!$B193)</f>
        <v>2024</v>
      </c>
      <c r="O193">
        <f>MONTH(Sheet2_RawData!$B193)</f>
        <v>3</v>
      </c>
    </row>
    <row r="194" spans="1:16" ht="15" customHeight="1" x14ac:dyDescent="0.3">
      <c r="A194" s="2" t="s">
        <v>140</v>
      </c>
      <c r="B194" s="3">
        <v>45522</v>
      </c>
      <c r="C194" s="2" t="s">
        <v>30</v>
      </c>
      <c r="D194" s="2" t="s">
        <v>20</v>
      </c>
      <c r="E194" s="2" t="s">
        <v>21</v>
      </c>
      <c r="F194" s="2" t="s">
        <v>44</v>
      </c>
      <c r="G194" s="2" t="s">
        <v>62</v>
      </c>
      <c r="H194" s="2">
        <v>7</v>
      </c>
      <c r="I194" s="4">
        <v>1629.62</v>
      </c>
      <c r="J194" s="5">
        <v>0.05</v>
      </c>
      <c r="K194" s="2" t="s">
        <v>17</v>
      </c>
      <c r="M194">
        <f>IFERROR(
   Sheet2_RawData!$H50 * Sheet2_RawData!$I50 * (1 - Sheet2_RawData!$J50),
   ""
)</f>
        <v>42154.491999999998</v>
      </c>
      <c r="N194">
        <f>YEAR(Sheet2_RawData!$B194)</f>
        <v>2024</v>
      </c>
      <c r="O194">
        <f>MONTH(Sheet2_RawData!$B194)</f>
        <v>8</v>
      </c>
      <c r="P194" t="b">
        <f>AND($N194=2024, OR($O194=7, $O194=8, $O194=9))</f>
        <v>1</v>
      </c>
    </row>
    <row r="195" spans="1:16" ht="15" customHeight="1" x14ac:dyDescent="0.3">
      <c r="A195" s="6" t="s">
        <v>395</v>
      </c>
      <c r="B195" s="7">
        <v>45300</v>
      </c>
      <c r="C195" s="6" t="s">
        <v>144</v>
      </c>
      <c r="D195" s="6" t="s">
        <v>20</v>
      </c>
      <c r="E195" s="6" t="s">
        <v>21</v>
      </c>
      <c r="F195" s="6" t="s">
        <v>66</v>
      </c>
      <c r="G195" s="6" t="s">
        <v>90</v>
      </c>
      <c r="H195" s="6">
        <v>35</v>
      </c>
      <c r="I195" s="8">
        <v>2474.7399999999998</v>
      </c>
      <c r="J195" s="9">
        <v>0.1</v>
      </c>
      <c r="K195" s="6" t="s">
        <v>17</v>
      </c>
      <c r="M195">
        <f>IFERROR(
   Sheet2_RawData!$H307 * Sheet2_RawData!$I307 * (1 - Sheet2_RawData!$J307),
   ""
)</f>
        <v>15363.594000000001</v>
      </c>
      <c r="N195">
        <f>YEAR(Sheet2_RawData!$B195)</f>
        <v>2024</v>
      </c>
      <c r="O195">
        <f>MONTH(Sheet2_RawData!$B195)</f>
        <v>1</v>
      </c>
    </row>
    <row r="196" spans="1:16" ht="15" customHeight="1" x14ac:dyDescent="0.3">
      <c r="A196" s="6" t="s">
        <v>132</v>
      </c>
      <c r="B196" s="7">
        <v>45632</v>
      </c>
      <c r="C196" s="6" t="s">
        <v>133</v>
      </c>
      <c r="D196" s="6" t="s">
        <v>61</v>
      </c>
      <c r="E196" s="6" t="s">
        <v>21</v>
      </c>
      <c r="F196" s="6" t="s">
        <v>15</v>
      </c>
      <c r="G196" s="6" t="s">
        <v>27</v>
      </c>
      <c r="H196" s="6">
        <v>6</v>
      </c>
      <c r="I196" s="8">
        <v>3290.21</v>
      </c>
      <c r="J196" s="9">
        <v>0</v>
      </c>
      <c r="K196" s="6" t="s">
        <v>17</v>
      </c>
      <c r="M196">
        <f>IFERROR(
   Sheet2_RawData!$H45 * Sheet2_RawData!$I45 * (1 - Sheet2_RawData!$J45),
   ""
)</f>
        <v>24428.880000000001</v>
      </c>
      <c r="N196">
        <f>YEAR(Sheet2_RawData!$B196)</f>
        <v>2024</v>
      </c>
      <c r="O196">
        <f>MONTH(Sheet2_RawData!$B196)</f>
        <v>12</v>
      </c>
    </row>
    <row r="197" spans="1:16" ht="15" customHeight="1" x14ac:dyDescent="0.3">
      <c r="A197" s="6" t="s">
        <v>305</v>
      </c>
      <c r="B197" s="7">
        <v>45584</v>
      </c>
      <c r="C197" s="6" t="s">
        <v>123</v>
      </c>
      <c r="D197" s="6" t="s">
        <v>26</v>
      </c>
      <c r="E197" s="6" t="s">
        <v>31</v>
      </c>
      <c r="F197" s="6" t="s">
        <v>22</v>
      </c>
      <c r="G197" s="6" t="s">
        <v>104</v>
      </c>
      <c r="H197" s="6">
        <v>14</v>
      </c>
      <c r="I197" s="8">
        <v>2719.21</v>
      </c>
      <c r="J197" s="9">
        <v>0.15</v>
      </c>
      <c r="K197" s="6" t="s">
        <v>28</v>
      </c>
      <c r="M197">
        <f>IFERROR(
   Sheet2_RawData!$H209 * Sheet2_RawData!$I209 * (1 - Sheet2_RawData!$J209),
   ""
)</f>
        <v>49159.146499999995</v>
      </c>
      <c r="N197">
        <f>YEAR(Sheet2_RawData!$B197)</f>
        <v>2024</v>
      </c>
      <c r="O197">
        <f>MONTH(Sheet2_RawData!$B197)</f>
        <v>10</v>
      </c>
    </row>
    <row r="198" spans="1:16" ht="15" customHeight="1" x14ac:dyDescent="0.3">
      <c r="A198" s="6" t="s">
        <v>301</v>
      </c>
      <c r="B198" s="7">
        <v>45456</v>
      </c>
      <c r="C198" s="6" t="s">
        <v>135</v>
      </c>
      <c r="D198" s="6" t="s">
        <v>36</v>
      </c>
      <c r="E198" s="6" t="s">
        <v>37</v>
      </c>
      <c r="F198" s="6" t="s">
        <v>15</v>
      </c>
      <c r="G198" s="6" t="s">
        <v>87</v>
      </c>
      <c r="H198" s="6">
        <v>22</v>
      </c>
      <c r="I198" s="8">
        <v>2781.99</v>
      </c>
      <c r="J198" s="9">
        <v>0.1</v>
      </c>
      <c r="K198" s="6" t="s">
        <v>17</v>
      </c>
      <c r="M198">
        <f>IFERROR(
   Sheet2_RawData!$H205 * Sheet2_RawData!$I205 * (1 - Sheet2_RawData!$J205),
   ""
)</f>
        <v>22011.95</v>
      </c>
      <c r="N198">
        <f>YEAR(Sheet2_RawData!$B198)</f>
        <v>2024</v>
      </c>
      <c r="O198">
        <f>MONTH(Sheet2_RawData!$B198)</f>
        <v>6</v>
      </c>
    </row>
    <row r="199" spans="1:16" ht="15" customHeight="1" x14ac:dyDescent="0.3">
      <c r="A199" s="2" t="s">
        <v>384</v>
      </c>
      <c r="B199" s="3">
        <v>45455</v>
      </c>
      <c r="C199" s="2" t="s">
        <v>254</v>
      </c>
      <c r="D199" s="2" t="s">
        <v>48</v>
      </c>
      <c r="E199" s="2" t="s">
        <v>14</v>
      </c>
      <c r="F199" s="2" t="s">
        <v>22</v>
      </c>
      <c r="G199" s="2" t="s">
        <v>23</v>
      </c>
      <c r="H199" s="2">
        <v>30</v>
      </c>
      <c r="I199" s="4">
        <v>1059.9100000000001</v>
      </c>
      <c r="J199" s="5">
        <v>0.1</v>
      </c>
      <c r="K199" s="2" t="s">
        <v>17</v>
      </c>
      <c r="M199">
        <f>IFERROR(
   Sheet2_RawData!$H294 * Sheet2_RawData!$I294 * (1 - Sheet2_RawData!$J294),
   ""
)</f>
        <v>83809.11</v>
      </c>
      <c r="N199">
        <f>YEAR(Sheet2_RawData!$B199)</f>
        <v>2024</v>
      </c>
      <c r="O199">
        <f>MONTH(Sheet2_RawData!$B199)</f>
        <v>6</v>
      </c>
    </row>
    <row r="200" spans="1:16" ht="15" customHeight="1" x14ac:dyDescent="0.3">
      <c r="A200" s="6" t="s">
        <v>247</v>
      </c>
      <c r="B200" s="7">
        <v>45317</v>
      </c>
      <c r="C200" s="6" t="s">
        <v>127</v>
      </c>
      <c r="D200" s="6" t="s">
        <v>70</v>
      </c>
      <c r="E200" s="6" t="s">
        <v>14</v>
      </c>
      <c r="F200" s="6" t="s">
        <v>15</v>
      </c>
      <c r="G200" s="6" t="s">
        <v>55</v>
      </c>
      <c r="H200" s="6">
        <v>29</v>
      </c>
      <c r="I200" s="6" t="s">
        <v>248</v>
      </c>
      <c r="J200" s="9">
        <v>0.2</v>
      </c>
      <c r="K200" s="6" t="s">
        <v>63</v>
      </c>
      <c r="M200">
        <f>IFERROR(
   Sheet2_RawData!$H153 * Sheet2_RawData!$I153 * (1 - Sheet2_RawData!$J153),
   ""
)</f>
        <v>174457.2555</v>
      </c>
      <c r="N200">
        <f>YEAR(Sheet2_RawData!$B200)</f>
        <v>2024</v>
      </c>
      <c r="O200">
        <f>MONTH(Sheet2_RawData!$B200)</f>
        <v>1</v>
      </c>
    </row>
    <row r="201" spans="1:16" ht="15" customHeight="1" x14ac:dyDescent="0.3">
      <c r="A201" s="2" t="s">
        <v>271</v>
      </c>
      <c r="B201" s="3">
        <v>45637</v>
      </c>
      <c r="C201" s="2" t="s">
        <v>127</v>
      </c>
      <c r="D201" s="2" t="s">
        <v>36</v>
      </c>
      <c r="E201" s="2" t="s">
        <v>52</v>
      </c>
      <c r="F201" s="2" t="s">
        <v>66</v>
      </c>
      <c r="G201" s="2" t="s">
        <v>94</v>
      </c>
      <c r="H201" s="2">
        <v>10</v>
      </c>
      <c r="I201" s="4">
        <v>3783.05</v>
      </c>
      <c r="J201" s="5">
        <v>0</v>
      </c>
      <c r="K201" s="2" t="s">
        <v>33</v>
      </c>
      <c r="M201">
        <f>IFERROR(
   Sheet2_RawData!$H176 * Sheet2_RawData!$I176 * (1 - Sheet2_RawData!$J176),
   ""
)</f>
        <v>87981.894</v>
      </c>
      <c r="N201">
        <f>YEAR(Sheet2_RawData!$B201)</f>
        <v>2024</v>
      </c>
      <c r="O201">
        <f>MONTH(Sheet2_RawData!$B201)</f>
        <v>12</v>
      </c>
    </row>
    <row r="202" spans="1:16" ht="15" customHeight="1" x14ac:dyDescent="0.3">
      <c r="A202" s="2" t="s">
        <v>146</v>
      </c>
      <c r="B202" s="3">
        <v>45648</v>
      </c>
      <c r="C202" s="2" t="s">
        <v>135</v>
      </c>
      <c r="D202" s="2" t="s">
        <v>89</v>
      </c>
      <c r="E202" s="2" t="s">
        <v>14</v>
      </c>
      <c r="F202" s="2" t="s">
        <v>44</v>
      </c>
      <c r="G202" s="2" t="s">
        <v>49</v>
      </c>
      <c r="H202" s="2">
        <v>42</v>
      </c>
      <c r="I202" s="4">
        <v>3373.15</v>
      </c>
      <c r="J202" s="5">
        <v>0.2</v>
      </c>
      <c r="K202" s="2" t="s">
        <v>17</v>
      </c>
      <c r="M202">
        <f>IFERROR(
   Sheet2_RawData!$H54 * Sheet2_RawData!$I54 * (1 - Sheet2_RawData!$J54),
   ""
)</f>
        <v>129460.69500000001</v>
      </c>
      <c r="N202">
        <f>YEAR(Sheet2_RawData!$B202)</f>
        <v>2024</v>
      </c>
      <c r="O202">
        <f>MONTH(Sheet2_RawData!$B202)</f>
        <v>12</v>
      </c>
    </row>
    <row r="203" spans="1:16" ht="15" customHeight="1" x14ac:dyDescent="0.3">
      <c r="A203" s="6" t="s">
        <v>91</v>
      </c>
      <c r="B203" s="7">
        <v>45609</v>
      </c>
      <c r="C203" s="6" t="s">
        <v>92</v>
      </c>
      <c r="D203" s="6" t="s">
        <v>40</v>
      </c>
      <c r="E203" s="6" t="s">
        <v>14</v>
      </c>
      <c r="F203" s="6" t="s">
        <v>15</v>
      </c>
      <c r="G203" s="6" t="s">
        <v>32</v>
      </c>
      <c r="H203" s="6">
        <v>11</v>
      </c>
      <c r="I203" s="8">
        <v>916.59</v>
      </c>
      <c r="J203" s="9">
        <v>0.1</v>
      </c>
      <c r="K203" s="6" t="s">
        <v>33</v>
      </c>
      <c r="M203">
        <f>IFERROR(
   Sheet2_RawData!$H23 * Sheet2_RawData!$I23 * (1 - Sheet2_RawData!$J23),
   ""
)</f>
        <v>17752.449999999997</v>
      </c>
      <c r="N203">
        <f>YEAR(Sheet2_RawData!$B203)</f>
        <v>2024</v>
      </c>
      <c r="O203">
        <f>MONTH(Sheet2_RawData!$B203)</f>
        <v>11</v>
      </c>
    </row>
    <row r="204" spans="1:16" ht="15" customHeight="1" x14ac:dyDescent="0.3">
      <c r="A204" s="2" t="s">
        <v>105</v>
      </c>
      <c r="B204" s="3">
        <v>45608</v>
      </c>
      <c r="C204" s="2" t="s">
        <v>106</v>
      </c>
      <c r="D204" s="2" t="s">
        <v>20</v>
      </c>
      <c r="E204" s="2" t="s">
        <v>14</v>
      </c>
      <c r="F204" s="2" t="s">
        <v>66</v>
      </c>
      <c r="G204" s="2" t="s">
        <v>107</v>
      </c>
      <c r="H204" s="2">
        <v>25</v>
      </c>
      <c r="I204" s="4">
        <v>440.06</v>
      </c>
      <c r="J204" s="5">
        <v>0</v>
      </c>
      <c r="K204" s="2" t="s">
        <v>95</v>
      </c>
      <c r="M204">
        <f>IFERROR(
   Sheet2_RawData!$H28 * Sheet2_RawData!$I28 * (1 - Sheet2_RawData!$J28),
   ""
)</f>
        <v>19964.677499999998</v>
      </c>
      <c r="N204">
        <f>YEAR(Sheet2_RawData!$B204)</f>
        <v>2024</v>
      </c>
      <c r="O204">
        <f>MONTH(Sheet2_RawData!$B204)</f>
        <v>11</v>
      </c>
    </row>
    <row r="205" spans="1:16" ht="15" customHeight="1" x14ac:dyDescent="0.3">
      <c r="A205" s="6" t="s">
        <v>373</v>
      </c>
      <c r="B205" s="7">
        <v>45516</v>
      </c>
      <c r="C205" s="6" t="s">
        <v>135</v>
      </c>
      <c r="D205" s="6" t="s">
        <v>61</v>
      </c>
      <c r="E205" s="6" t="s">
        <v>21</v>
      </c>
      <c r="F205" s="6" t="s">
        <v>15</v>
      </c>
      <c r="G205" s="6" t="s">
        <v>32</v>
      </c>
      <c r="H205" s="6">
        <v>5</v>
      </c>
      <c r="I205" s="8">
        <v>4402.3900000000003</v>
      </c>
      <c r="J205" s="9">
        <v>0</v>
      </c>
      <c r="K205" s="6" t="s">
        <v>17</v>
      </c>
      <c r="M205">
        <f>IFERROR(
   Sheet2_RawData!$H283 * Sheet2_RawData!$I283 * (1 - Sheet2_RawData!$J283),
   ""
)</f>
        <v>17769.05</v>
      </c>
      <c r="N205">
        <f>YEAR(Sheet2_RawData!$B205)</f>
        <v>2024</v>
      </c>
      <c r="O205">
        <f>MONTH(Sheet2_RawData!$B205)</f>
        <v>8</v>
      </c>
      <c r="P205" t="b">
        <f>AND($N205=2024, OR($O205=7, $O205=8, $O205=9))</f>
        <v>1</v>
      </c>
    </row>
    <row r="206" spans="1:16" ht="15" customHeight="1" x14ac:dyDescent="0.3">
      <c r="A206" s="2" t="s">
        <v>380</v>
      </c>
      <c r="B206" s="3">
        <v>45419</v>
      </c>
      <c r="C206" s="2" t="s">
        <v>39</v>
      </c>
      <c r="D206" s="2" t="s">
        <v>61</v>
      </c>
      <c r="E206" s="2" t="s">
        <v>52</v>
      </c>
      <c r="F206" s="2" t="s">
        <v>15</v>
      </c>
      <c r="G206" s="2" t="s">
        <v>87</v>
      </c>
      <c r="H206" s="2">
        <v>27</v>
      </c>
      <c r="I206" s="4">
        <v>4021.06</v>
      </c>
      <c r="J206" s="5">
        <v>0.2</v>
      </c>
      <c r="K206" s="2" t="s">
        <v>63</v>
      </c>
      <c r="M206">
        <f>IFERROR(
   Sheet2_RawData!$H290 * Sheet2_RawData!$I290 * (1 - Sheet2_RawData!$J290),
   ""
)</f>
        <v>7443.1695</v>
      </c>
      <c r="N206">
        <f>YEAR(Sheet2_RawData!$B206)</f>
        <v>2024</v>
      </c>
      <c r="O206">
        <f>MONTH(Sheet2_RawData!$B206)</f>
        <v>5</v>
      </c>
    </row>
    <row r="207" spans="1:16" ht="15" customHeight="1" x14ac:dyDescent="0.3">
      <c r="A207" s="6" t="s">
        <v>108</v>
      </c>
      <c r="B207" s="7">
        <v>45612</v>
      </c>
      <c r="C207" s="6" t="s">
        <v>35</v>
      </c>
      <c r="D207" s="6" t="s">
        <v>48</v>
      </c>
      <c r="E207" s="6" t="s">
        <v>14</v>
      </c>
      <c r="F207" s="6" t="s">
        <v>22</v>
      </c>
      <c r="G207" s="6" t="s">
        <v>104</v>
      </c>
      <c r="H207" s="6">
        <v>13</v>
      </c>
      <c r="I207" s="8">
        <v>2616.27</v>
      </c>
      <c r="J207" s="9">
        <v>0.1</v>
      </c>
      <c r="K207" s="6" t="s">
        <v>95</v>
      </c>
      <c r="M207">
        <f>IFERROR(
   Sheet2_RawData!$H29 * Sheet2_RawData!$I29 * (1 - Sheet2_RawData!$J29),
   ""
)</f>
        <v>61823.207000000002</v>
      </c>
      <c r="N207">
        <f>YEAR(Sheet2_RawData!$B207)</f>
        <v>2024</v>
      </c>
      <c r="O207">
        <f>MONTH(Sheet2_RawData!$B207)</f>
        <v>11</v>
      </c>
    </row>
    <row r="208" spans="1:16" ht="15" customHeight="1" x14ac:dyDescent="0.3">
      <c r="A208" s="2" t="s">
        <v>273</v>
      </c>
      <c r="B208" s="3">
        <v>45472</v>
      </c>
      <c r="C208" s="2" t="s">
        <v>51</v>
      </c>
      <c r="D208" s="2" t="s">
        <v>36</v>
      </c>
      <c r="E208" s="2" t="s">
        <v>52</v>
      </c>
      <c r="F208" s="2" t="s">
        <v>15</v>
      </c>
      <c r="G208" s="2" t="s">
        <v>87</v>
      </c>
      <c r="H208" s="2">
        <v>41</v>
      </c>
      <c r="I208" s="4">
        <v>1548.96</v>
      </c>
      <c r="J208" s="5">
        <v>0</v>
      </c>
      <c r="K208" s="2" t="s">
        <v>63</v>
      </c>
      <c r="M208">
        <f>IFERROR(
   Sheet2_RawData!$H178 * Sheet2_RawData!$I178 * (1 - Sheet2_RawData!$J178),
   ""
)</f>
        <v>176659.416</v>
      </c>
      <c r="N208">
        <f>YEAR(Sheet2_RawData!$B208)</f>
        <v>2024</v>
      </c>
      <c r="O208">
        <f>MONTH(Sheet2_RawData!$B208)</f>
        <v>6</v>
      </c>
    </row>
    <row r="209" spans="1:16" ht="15" customHeight="1" x14ac:dyDescent="0.3">
      <c r="A209" s="2" t="s">
        <v>323</v>
      </c>
      <c r="B209" s="3">
        <v>45643</v>
      </c>
      <c r="C209" s="2" t="s">
        <v>133</v>
      </c>
      <c r="D209" s="2" t="s">
        <v>61</v>
      </c>
      <c r="E209" s="2" t="s">
        <v>37</v>
      </c>
      <c r="F209" s="2" t="s">
        <v>22</v>
      </c>
      <c r="G209" s="2" t="s">
        <v>111</v>
      </c>
      <c r="H209" s="2">
        <v>19</v>
      </c>
      <c r="I209" s="4">
        <v>3043.91</v>
      </c>
      <c r="J209" s="5">
        <v>0.15</v>
      </c>
      <c r="K209" s="2" t="s">
        <v>17</v>
      </c>
      <c r="M209">
        <f>IFERROR(
   Sheet2_RawData!$H228 * Sheet2_RawData!$I228 * (1 - Sheet2_RawData!$J228),
   ""
)</f>
        <v>99684.3</v>
      </c>
      <c r="N209">
        <f>YEAR(Sheet2_RawData!$B209)</f>
        <v>2024</v>
      </c>
      <c r="O209">
        <f>MONTH(Sheet2_RawData!$B209)</f>
        <v>12</v>
      </c>
    </row>
    <row r="210" spans="1:16" ht="15" customHeight="1" x14ac:dyDescent="0.3">
      <c r="A210" s="2" t="s">
        <v>275</v>
      </c>
      <c r="B210" s="3">
        <v>45378</v>
      </c>
      <c r="C210" s="2" t="s">
        <v>51</v>
      </c>
      <c r="D210" s="2" t="s">
        <v>36</v>
      </c>
      <c r="E210" s="2" t="s">
        <v>21</v>
      </c>
      <c r="F210" s="2" t="s">
        <v>71</v>
      </c>
      <c r="G210" s="2" t="s">
        <v>101</v>
      </c>
      <c r="H210" s="2">
        <v>29</v>
      </c>
      <c r="I210" s="4">
        <v>3394.35</v>
      </c>
      <c r="J210" s="5">
        <v>0.1</v>
      </c>
      <c r="K210" s="2" t="s">
        <v>17</v>
      </c>
      <c r="M210">
        <f>IFERROR(
   Sheet2_RawData!$H180 * Sheet2_RawData!$I180 * (1 - Sheet2_RawData!$J180),
   ""
)</f>
        <v>12430.35</v>
      </c>
      <c r="N210">
        <f>YEAR(Sheet2_RawData!$B210)</f>
        <v>2024</v>
      </c>
      <c r="O210">
        <f>MONTH(Sheet2_RawData!$B210)</f>
        <v>3</v>
      </c>
    </row>
    <row r="211" spans="1:16" ht="15" customHeight="1" x14ac:dyDescent="0.3">
      <c r="A211" s="2" t="s">
        <v>170</v>
      </c>
      <c r="B211" s="3">
        <v>45401</v>
      </c>
      <c r="C211" s="2" t="s">
        <v>86</v>
      </c>
      <c r="D211" s="2" t="s">
        <v>26</v>
      </c>
      <c r="E211" s="2" t="s">
        <v>14</v>
      </c>
      <c r="F211" s="2" t="s">
        <v>15</v>
      </c>
      <c r="G211" s="2" t="s">
        <v>16</v>
      </c>
      <c r="H211" s="2">
        <v>28</v>
      </c>
      <c r="I211" s="4">
        <v>3294.65</v>
      </c>
      <c r="J211" s="5">
        <v>0.15</v>
      </c>
      <c r="K211" s="2" t="s">
        <v>17</v>
      </c>
      <c r="M211">
        <f>IFERROR(
   Sheet2_RawData!$H76 * Sheet2_RawData!$I76 * (1 - Sheet2_RawData!$J76),
   ""
)</f>
        <v>20665.349999999999</v>
      </c>
      <c r="N211">
        <f>YEAR(Sheet2_RawData!$B211)</f>
        <v>2024</v>
      </c>
      <c r="O211">
        <f>MONTH(Sheet2_RawData!$B211)</f>
        <v>4</v>
      </c>
    </row>
    <row r="212" spans="1:16" ht="15" customHeight="1" x14ac:dyDescent="0.3">
      <c r="A212" s="2" t="s">
        <v>284</v>
      </c>
      <c r="B212" s="3">
        <v>45575</v>
      </c>
      <c r="C212" s="2" t="s">
        <v>57</v>
      </c>
      <c r="D212" s="2" t="s">
        <v>13</v>
      </c>
      <c r="E212" s="2" t="s">
        <v>37</v>
      </c>
      <c r="F212" s="2" t="s">
        <v>15</v>
      </c>
      <c r="G212" s="2" t="s">
        <v>87</v>
      </c>
      <c r="H212" s="2">
        <v>25</v>
      </c>
      <c r="I212" s="4">
        <v>2999.65</v>
      </c>
      <c r="J212" s="5">
        <v>0.05</v>
      </c>
      <c r="K212" s="2" t="s">
        <v>17</v>
      </c>
      <c r="M212">
        <f>IFERROR(
   Sheet2_RawData!$H188 * Sheet2_RawData!$I188 * (1 - Sheet2_RawData!$J188),
   ""
)</f>
        <v>22003.68</v>
      </c>
      <c r="N212">
        <f>YEAR(Sheet2_RawData!$B212)</f>
        <v>2024</v>
      </c>
      <c r="O212">
        <f>MONTH(Sheet2_RawData!$B212)</f>
        <v>10</v>
      </c>
    </row>
    <row r="213" spans="1:16" ht="15" customHeight="1" x14ac:dyDescent="0.3">
      <c r="A213" s="6" t="s">
        <v>175</v>
      </c>
      <c r="B213" s="7">
        <v>45403</v>
      </c>
      <c r="C213" s="6" t="s">
        <v>115</v>
      </c>
      <c r="D213" s="6" t="s">
        <v>98</v>
      </c>
      <c r="E213" s="6" t="s">
        <v>37</v>
      </c>
      <c r="F213" s="6" t="s">
        <v>22</v>
      </c>
      <c r="G213" s="6" t="s">
        <v>41</v>
      </c>
      <c r="H213" s="6">
        <v>49</v>
      </c>
      <c r="I213" s="8">
        <v>255.97</v>
      </c>
      <c r="J213" s="9">
        <v>0.15</v>
      </c>
      <c r="K213" s="6" t="s">
        <v>17</v>
      </c>
      <c r="M213">
        <f>IFERROR(
   Sheet2_RawData!$H81 * Sheet2_RawData!$I81 * (1 - Sheet2_RawData!$J81),
   ""
)</f>
        <v>35831.520499999999</v>
      </c>
      <c r="N213">
        <f>YEAR(Sheet2_RawData!$B213)</f>
        <v>2024</v>
      </c>
      <c r="O213">
        <f>MONTH(Sheet2_RawData!$B213)</f>
        <v>4</v>
      </c>
    </row>
    <row r="214" spans="1:16" ht="15" customHeight="1" x14ac:dyDescent="0.3">
      <c r="A214" s="2" t="s">
        <v>178</v>
      </c>
      <c r="B214" s="3">
        <v>45458</v>
      </c>
      <c r="C214" s="2" t="s">
        <v>43</v>
      </c>
      <c r="D214" s="2" t="s">
        <v>48</v>
      </c>
      <c r="E214" s="2" t="s">
        <v>31</v>
      </c>
      <c r="F214" s="2" t="s">
        <v>22</v>
      </c>
      <c r="G214" s="2" t="s">
        <v>104</v>
      </c>
      <c r="H214" s="2">
        <v>30</v>
      </c>
      <c r="I214" s="4">
        <v>1737.44</v>
      </c>
      <c r="J214" s="5">
        <v>0</v>
      </c>
      <c r="K214" s="2" t="s">
        <v>17</v>
      </c>
      <c r="M214">
        <f>IFERROR(
   Sheet2_RawData!$H84 * Sheet2_RawData!$I84 * (1 - Sheet2_RawData!$J84),
   ""
)</f>
        <v>39747.724500000004</v>
      </c>
      <c r="N214">
        <f>YEAR(Sheet2_RawData!$B214)</f>
        <v>2024</v>
      </c>
      <c r="O214">
        <f>MONTH(Sheet2_RawData!$B214)</f>
        <v>6</v>
      </c>
    </row>
    <row r="215" spans="1:16" ht="15" customHeight="1" x14ac:dyDescent="0.3">
      <c r="A215" s="2" t="s">
        <v>184</v>
      </c>
      <c r="B215" s="3">
        <v>45515</v>
      </c>
      <c r="C215" s="2" t="s">
        <v>185</v>
      </c>
      <c r="D215" s="2" t="s">
        <v>61</v>
      </c>
      <c r="E215" s="2" t="s">
        <v>14</v>
      </c>
      <c r="F215" s="2" t="s">
        <v>71</v>
      </c>
      <c r="G215" s="2" t="s">
        <v>138</v>
      </c>
      <c r="H215" s="2">
        <v>33</v>
      </c>
      <c r="I215" s="4">
        <v>3740.01</v>
      </c>
      <c r="J215" s="5">
        <v>0</v>
      </c>
      <c r="K215" s="2" t="s">
        <v>17</v>
      </c>
      <c r="M215">
        <f>IFERROR(
   Sheet2_RawData!$H90 * Sheet2_RawData!$I90 * (1 - Sheet2_RawData!$J90),
   ""
)</f>
        <v>96054.205499999996</v>
      </c>
      <c r="N215">
        <f>YEAR(Sheet2_RawData!$B215)</f>
        <v>2024</v>
      </c>
      <c r="O215">
        <f>MONTH(Sheet2_RawData!$B215)</f>
        <v>8</v>
      </c>
      <c r="P215" t="b">
        <f t="shared" ref="P215:P216" si="13">AND($N215=2024, OR($O215=7, $O215=8, $O215=9))</f>
        <v>1</v>
      </c>
    </row>
    <row r="216" spans="1:16" ht="15" customHeight="1" x14ac:dyDescent="0.3">
      <c r="A216" s="6" t="s">
        <v>354</v>
      </c>
      <c r="B216" s="7">
        <v>45539</v>
      </c>
      <c r="C216" s="6" t="s">
        <v>25</v>
      </c>
      <c r="D216" s="6" t="s">
        <v>36</v>
      </c>
      <c r="E216" s="6" t="s">
        <v>14</v>
      </c>
      <c r="F216" s="6" t="s">
        <v>44</v>
      </c>
      <c r="G216" s="6" t="s">
        <v>58</v>
      </c>
      <c r="H216" s="6">
        <v>45</v>
      </c>
      <c r="I216" s="8">
        <v>2527.31</v>
      </c>
      <c r="J216" s="9">
        <v>0</v>
      </c>
      <c r="K216" s="6" t="s">
        <v>28</v>
      </c>
      <c r="M216">
        <f>IFERROR(
   Sheet2_RawData!$H263 * Sheet2_RawData!$I263 * (1 - Sheet2_RawData!$J263),
   ""
)</f>
        <v>8154.9329999999991</v>
      </c>
      <c r="N216">
        <f>YEAR(Sheet2_RawData!$B216)</f>
        <v>2024</v>
      </c>
      <c r="O216">
        <f>MONTH(Sheet2_RawData!$B216)</f>
        <v>9</v>
      </c>
      <c r="P216" t="b">
        <f t="shared" si="13"/>
        <v>1</v>
      </c>
    </row>
    <row r="217" spans="1:16" ht="15" customHeight="1" x14ac:dyDescent="0.3">
      <c r="A217" s="2" t="s">
        <v>292</v>
      </c>
      <c r="B217" s="3">
        <v>45647</v>
      </c>
      <c r="C217" s="2" t="s">
        <v>103</v>
      </c>
      <c r="D217" s="2" t="s">
        <v>61</v>
      </c>
      <c r="E217" s="2" t="s">
        <v>37</v>
      </c>
      <c r="F217" s="2" t="s">
        <v>44</v>
      </c>
      <c r="G217" s="2" t="s">
        <v>45</v>
      </c>
      <c r="H217" s="2">
        <v>25</v>
      </c>
      <c r="I217" s="4">
        <v>2144.04</v>
      </c>
      <c r="J217" s="5">
        <v>0.05</v>
      </c>
      <c r="K217" s="2" t="s">
        <v>63</v>
      </c>
      <c r="M217">
        <f>IFERROR(
   Sheet2_RawData!$H196 * Sheet2_RawData!$I196 * (1 - Sheet2_RawData!$J196),
   ""
)</f>
        <v>19741.260000000002</v>
      </c>
      <c r="N217">
        <f>YEAR(Sheet2_RawData!$B217)</f>
        <v>2024</v>
      </c>
      <c r="O217">
        <f>MONTH(Sheet2_RawData!$B217)</f>
        <v>12</v>
      </c>
    </row>
    <row r="218" spans="1:16" ht="15" customHeight="1" x14ac:dyDescent="0.3">
      <c r="A218" s="2" t="s">
        <v>64</v>
      </c>
      <c r="B218" s="3">
        <v>45369</v>
      </c>
      <c r="C218" s="2" t="s">
        <v>65</v>
      </c>
      <c r="D218" s="2" t="s">
        <v>26</v>
      </c>
      <c r="E218" s="2" t="s">
        <v>52</v>
      </c>
      <c r="F218" s="2" t="s">
        <v>66</v>
      </c>
      <c r="G218" s="2" t="s">
        <v>67</v>
      </c>
      <c r="H218" s="2">
        <v>18</v>
      </c>
      <c r="I218" s="4">
        <v>1712.45</v>
      </c>
      <c r="J218" s="5">
        <v>0.1</v>
      </c>
      <c r="K218" s="2" t="s">
        <v>17</v>
      </c>
      <c r="M218">
        <f>IFERROR(
   Sheet2_RawData!$H14 * Sheet2_RawData!$I14 * (1 - Sheet2_RawData!$J14),
   ""
)</f>
        <v>54173.279999999999</v>
      </c>
      <c r="N218">
        <f>YEAR(Sheet2_RawData!$B218)</f>
        <v>2024</v>
      </c>
      <c r="O218">
        <f>MONTH(Sheet2_RawData!$B218)</f>
        <v>3</v>
      </c>
    </row>
    <row r="219" spans="1:16" ht="15" customHeight="1" x14ac:dyDescent="0.3">
      <c r="A219" s="2" t="s">
        <v>302</v>
      </c>
      <c r="B219" s="3">
        <v>45387</v>
      </c>
      <c r="C219" s="2" t="s">
        <v>303</v>
      </c>
      <c r="D219" s="2" t="s">
        <v>98</v>
      </c>
      <c r="E219" s="2" t="s">
        <v>52</v>
      </c>
      <c r="F219" s="2" t="s">
        <v>66</v>
      </c>
      <c r="G219" s="2" t="s">
        <v>94</v>
      </c>
      <c r="H219" s="2">
        <v>26</v>
      </c>
      <c r="I219" s="4">
        <v>3729.37</v>
      </c>
      <c r="J219" s="5">
        <v>0.05</v>
      </c>
      <c r="K219" s="2" t="s">
        <v>17</v>
      </c>
      <c r="M219">
        <f>IFERROR(
   Sheet2_RawData!$H248 * Sheet2_RawData!$I248 * (1 - Sheet2_RawData!$J248),
   ""
)</f>
        <v>135629.78</v>
      </c>
      <c r="N219">
        <f>YEAR(Sheet2_RawData!$B219)</f>
        <v>2024</v>
      </c>
      <c r="O219">
        <f>MONTH(Sheet2_RawData!$B219)</f>
        <v>4</v>
      </c>
    </row>
    <row r="220" spans="1:16" ht="15" customHeight="1" x14ac:dyDescent="0.3">
      <c r="A220" s="2" t="s">
        <v>216</v>
      </c>
      <c r="B220" s="3">
        <v>45544</v>
      </c>
      <c r="C220" s="2" t="s">
        <v>39</v>
      </c>
      <c r="D220" s="2" t="s">
        <v>13</v>
      </c>
      <c r="E220" s="2" t="s">
        <v>37</v>
      </c>
      <c r="F220" s="2" t="s">
        <v>66</v>
      </c>
      <c r="G220" s="2" t="s">
        <v>90</v>
      </c>
      <c r="H220" s="2">
        <v>19</v>
      </c>
      <c r="I220" s="4">
        <v>2299.0300000000002</v>
      </c>
      <c r="J220" s="5">
        <v>0.15</v>
      </c>
      <c r="K220" s="2" t="s">
        <v>17</v>
      </c>
      <c r="M220">
        <f>IFERROR(
   Sheet2_RawData!$H122 * Sheet2_RawData!$I122 * (1 - Sheet2_RawData!$J122),
   ""
)</f>
        <v>198239.52</v>
      </c>
      <c r="N220">
        <f>YEAR(Sheet2_RawData!$B220)</f>
        <v>2024</v>
      </c>
      <c r="O220">
        <f>MONTH(Sheet2_RawData!$B220)</f>
        <v>9</v>
      </c>
      <c r="P220" t="b">
        <f>AND($N220=2024, OR($O220=7, $O220=8, $O220=9))</f>
        <v>1</v>
      </c>
    </row>
    <row r="221" spans="1:16" ht="15" customHeight="1" x14ac:dyDescent="0.3">
      <c r="A221" s="6" t="s">
        <v>239</v>
      </c>
      <c r="B221" s="7">
        <v>45293</v>
      </c>
      <c r="C221" s="6" t="s">
        <v>185</v>
      </c>
      <c r="D221" s="6" t="s">
        <v>26</v>
      </c>
      <c r="E221" s="6" t="s">
        <v>31</v>
      </c>
      <c r="F221" s="6" t="s">
        <v>22</v>
      </c>
      <c r="G221" s="6" t="s">
        <v>23</v>
      </c>
      <c r="H221" s="6">
        <v>11</v>
      </c>
      <c r="I221" s="8">
        <v>1237.33</v>
      </c>
      <c r="J221" s="9">
        <v>0.1</v>
      </c>
      <c r="K221" s="6" t="s">
        <v>17</v>
      </c>
      <c r="M221">
        <f>IFERROR(
   Sheet2_RawData!$H261 * Sheet2_RawData!$I261 * (1 - Sheet2_RawData!$J261),
   ""
)</f>
        <v>121563.27899999999</v>
      </c>
      <c r="N221">
        <f>YEAR(Sheet2_RawData!$B221)</f>
        <v>2024</v>
      </c>
      <c r="O221">
        <f>MONTH(Sheet2_RawData!$B221)</f>
        <v>1</v>
      </c>
    </row>
    <row r="222" spans="1:16" ht="15" customHeight="1" x14ac:dyDescent="0.3">
      <c r="A222" s="6" t="s">
        <v>169</v>
      </c>
      <c r="B222" s="7">
        <v>45401</v>
      </c>
      <c r="C222" s="6" t="s">
        <v>30</v>
      </c>
      <c r="D222" s="6" t="s">
        <v>48</v>
      </c>
      <c r="E222" s="6" t="s">
        <v>37</v>
      </c>
      <c r="F222" s="6" t="s">
        <v>15</v>
      </c>
      <c r="G222" s="6" t="s">
        <v>87</v>
      </c>
      <c r="H222" s="6">
        <v>8</v>
      </c>
      <c r="I222" s="8">
        <v>1345.79</v>
      </c>
      <c r="J222" s="9">
        <v>0</v>
      </c>
      <c r="K222" s="6" t="s">
        <v>63</v>
      </c>
      <c r="M222">
        <f>IFERROR(
   Sheet2_RawData!$H75 * Sheet2_RawData!$I75 * (1 - Sheet2_RawData!$J75),
   ""
)</f>
        <v>25002.379999999997</v>
      </c>
      <c r="N222">
        <f>YEAR(Sheet2_RawData!$B222)</f>
        <v>2024</v>
      </c>
      <c r="O222">
        <f>MONTH(Sheet2_RawData!$B222)</f>
        <v>4</v>
      </c>
    </row>
    <row r="223" spans="1:16" ht="15" customHeight="1" x14ac:dyDescent="0.3">
      <c r="A223" s="2" t="s">
        <v>11</v>
      </c>
      <c r="B223" s="3">
        <v>45462</v>
      </c>
      <c r="C223" s="2" t="s">
        <v>12</v>
      </c>
      <c r="D223" s="2" t="s">
        <v>13</v>
      </c>
      <c r="E223" s="2" t="s">
        <v>14</v>
      </c>
      <c r="F223" s="2" t="s">
        <v>15</v>
      </c>
      <c r="G223" s="2" t="s">
        <v>16</v>
      </c>
      <c r="H223" s="2">
        <v>42</v>
      </c>
      <c r="I223" s="4">
        <v>3215.49</v>
      </c>
      <c r="J223" s="5">
        <v>0</v>
      </c>
      <c r="K223" s="2" t="s">
        <v>17</v>
      </c>
      <c r="M223">
        <f>IFERROR(
   Sheet2_RawData!$H2 * Sheet2_RawData!$I2 * (1 - Sheet2_RawData!$J2),
   ""
)</f>
        <v>74123.5</v>
      </c>
      <c r="N223">
        <f>YEAR(Sheet2_RawData!$B223)</f>
        <v>2024</v>
      </c>
      <c r="O223">
        <f>MONTH(Sheet2_RawData!$B223)</f>
        <v>6</v>
      </c>
    </row>
    <row r="224" spans="1:16" ht="15" customHeight="1" x14ac:dyDescent="0.3">
      <c r="A224" s="2" t="s">
        <v>268</v>
      </c>
      <c r="B224" s="3">
        <v>45423</v>
      </c>
      <c r="C224" s="2" t="s">
        <v>115</v>
      </c>
      <c r="D224" s="2" t="s">
        <v>61</v>
      </c>
      <c r="E224" s="2" t="s">
        <v>31</v>
      </c>
      <c r="F224" s="2" t="s">
        <v>44</v>
      </c>
      <c r="G224" s="2" t="s">
        <v>62</v>
      </c>
      <c r="H224" s="2">
        <v>24</v>
      </c>
      <c r="I224" s="4">
        <v>2677.72</v>
      </c>
      <c r="J224" s="5">
        <v>0</v>
      </c>
      <c r="K224" s="2" t="s">
        <v>95</v>
      </c>
      <c r="M224">
        <f>IFERROR(
   Sheet2_RawData!$H172 * Sheet2_RawData!$I172 * (1 - Sheet2_RawData!$J172),
   ""
)</f>
        <v>3035.9250000000002</v>
      </c>
      <c r="N224">
        <f>YEAR(Sheet2_RawData!$B224)</f>
        <v>2024</v>
      </c>
      <c r="O224">
        <f>MONTH(Sheet2_RawData!$B224)</f>
        <v>5</v>
      </c>
    </row>
    <row r="225" spans="1:16" ht="15" customHeight="1" x14ac:dyDescent="0.3">
      <c r="A225" s="2" t="s">
        <v>368</v>
      </c>
      <c r="B225" s="3">
        <v>45387</v>
      </c>
      <c r="C225" s="2" t="s">
        <v>106</v>
      </c>
      <c r="D225" s="2" t="s">
        <v>70</v>
      </c>
      <c r="E225" s="2" t="s">
        <v>21</v>
      </c>
      <c r="F225" s="2" t="s">
        <v>71</v>
      </c>
      <c r="G225" s="2" t="s">
        <v>78</v>
      </c>
      <c r="H225" s="2">
        <v>22</v>
      </c>
      <c r="I225" s="4">
        <v>854.35</v>
      </c>
      <c r="J225" s="5">
        <v>0.05</v>
      </c>
      <c r="K225" s="2" t="s">
        <v>63</v>
      </c>
      <c r="M225">
        <f>IFERROR(
   Sheet2_RawData!$H278 * Sheet2_RawData!$I278 * (1 - Sheet2_RawData!$J278),
   ""
)</f>
        <v>51619.49</v>
      </c>
      <c r="N225">
        <f>YEAR(Sheet2_RawData!$B225)</f>
        <v>2024</v>
      </c>
      <c r="O225">
        <f>MONTH(Sheet2_RawData!$B225)</f>
        <v>4</v>
      </c>
    </row>
    <row r="226" spans="1:16" ht="15" customHeight="1" x14ac:dyDescent="0.3">
      <c r="A226" s="6" t="s">
        <v>299</v>
      </c>
      <c r="B226" s="7">
        <v>45604</v>
      </c>
      <c r="C226" s="6" t="s">
        <v>123</v>
      </c>
      <c r="D226" s="6" t="s">
        <v>26</v>
      </c>
      <c r="E226" s="6" t="s">
        <v>52</v>
      </c>
      <c r="F226" s="6" t="s">
        <v>15</v>
      </c>
      <c r="G226" s="6" t="s">
        <v>87</v>
      </c>
      <c r="H226" s="6">
        <v>34</v>
      </c>
      <c r="I226" s="8">
        <v>4831.29</v>
      </c>
      <c r="J226" s="9">
        <v>0</v>
      </c>
      <c r="K226" s="6" t="s">
        <v>63</v>
      </c>
      <c r="M226">
        <f>IFERROR(
   Sheet2_RawData!$H203 * Sheet2_RawData!$I203 * (1 - Sheet2_RawData!$J203),
   ""
)</f>
        <v>9074.241</v>
      </c>
      <c r="N226">
        <f>YEAR(Sheet2_RawData!$B226)</f>
        <v>2024</v>
      </c>
      <c r="O226">
        <f>MONTH(Sheet2_RawData!$B226)</f>
        <v>11</v>
      </c>
    </row>
    <row r="227" spans="1:16" ht="15" customHeight="1" x14ac:dyDescent="0.3">
      <c r="A227" s="2" t="s">
        <v>165</v>
      </c>
      <c r="B227" s="3">
        <v>45616</v>
      </c>
      <c r="C227" s="2" t="s">
        <v>166</v>
      </c>
      <c r="D227" s="2" t="s">
        <v>70</v>
      </c>
      <c r="E227" s="2" t="s">
        <v>52</v>
      </c>
      <c r="F227" s="2" t="s">
        <v>22</v>
      </c>
      <c r="G227" s="2" t="s">
        <v>104</v>
      </c>
      <c r="H227" s="2">
        <v>15</v>
      </c>
      <c r="I227" s="4">
        <v>3746.49</v>
      </c>
      <c r="J227" s="5">
        <v>0.05</v>
      </c>
      <c r="K227" s="2" t="s">
        <v>28</v>
      </c>
      <c r="M227">
        <f>IFERROR(
   Sheet2_RawData!$H72 * Sheet2_RawData!$I72 * (1 - Sheet2_RawData!$J72),
   ""
)</f>
        <v>42879.48</v>
      </c>
      <c r="N227">
        <f>YEAR(Sheet2_RawData!$B227)</f>
        <v>2024</v>
      </c>
      <c r="O227">
        <f>MONTH(Sheet2_RawData!$B227)</f>
        <v>11</v>
      </c>
    </row>
    <row r="228" spans="1:16" ht="15" customHeight="1" x14ac:dyDescent="0.3">
      <c r="A228" s="2" t="s">
        <v>378</v>
      </c>
      <c r="B228" s="3">
        <v>45645</v>
      </c>
      <c r="C228" s="2" t="s">
        <v>30</v>
      </c>
      <c r="D228" s="2" t="s">
        <v>36</v>
      </c>
      <c r="E228" s="2" t="s">
        <v>31</v>
      </c>
      <c r="F228" s="2" t="s">
        <v>15</v>
      </c>
      <c r="G228" s="2" t="s">
        <v>55</v>
      </c>
      <c r="H228" s="2">
        <v>46</v>
      </c>
      <c r="I228" s="4">
        <v>2167.0500000000002</v>
      </c>
      <c r="J228" s="5">
        <v>0</v>
      </c>
      <c r="K228" s="2" t="s">
        <v>17</v>
      </c>
      <c r="M228">
        <f>IFERROR(
   Sheet2_RawData!$H288 * Sheet2_RawData!$I288 * (1 - Sheet2_RawData!$J288),
   ""
)</f>
        <v>13270.32</v>
      </c>
      <c r="N228">
        <f>YEAR(Sheet2_RawData!$B228)</f>
        <v>2024</v>
      </c>
      <c r="O228">
        <f>MONTH(Sheet2_RawData!$B228)</f>
        <v>12</v>
      </c>
    </row>
    <row r="229" spans="1:16" ht="15" customHeight="1" x14ac:dyDescent="0.3">
      <c r="A229" s="2" t="s">
        <v>214</v>
      </c>
      <c r="B229" s="3">
        <v>45397</v>
      </c>
      <c r="C229" s="2" t="s">
        <v>43</v>
      </c>
      <c r="D229" s="2" t="s">
        <v>13</v>
      </c>
      <c r="E229" s="2" t="s">
        <v>31</v>
      </c>
      <c r="F229" s="2" t="s">
        <v>44</v>
      </c>
      <c r="G229" s="2" t="s">
        <v>62</v>
      </c>
      <c r="H229" s="2">
        <v>27</v>
      </c>
      <c r="I229" s="4">
        <v>1687.86</v>
      </c>
      <c r="J229" s="5">
        <v>0.05</v>
      </c>
      <c r="K229" s="2" t="s">
        <v>17</v>
      </c>
      <c r="M229">
        <f>IFERROR(
   Sheet2_RawData!$H120 * Sheet2_RawData!$I120 * (1 - Sheet2_RawData!$J120),
   ""
)</f>
        <v>45511.93499999999</v>
      </c>
      <c r="N229">
        <f>YEAR(Sheet2_RawData!$B229)</f>
        <v>2024</v>
      </c>
      <c r="O229">
        <f>MONTH(Sheet2_RawData!$B229)</f>
        <v>4</v>
      </c>
    </row>
    <row r="230" spans="1:16" ht="15" customHeight="1" x14ac:dyDescent="0.3">
      <c r="A230" s="6" t="s">
        <v>83</v>
      </c>
      <c r="B230" s="7">
        <v>45522</v>
      </c>
      <c r="C230" s="6" t="s">
        <v>84</v>
      </c>
      <c r="D230" s="6" t="s">
        <v>13</v>
      </c>
      <c r="E230" s="6" t="s">
        <v>37</v>
      </c>
      <c r="F230" s="6" t="s">
        <v>44</v>
      </c>
      <c r="G230" s="6" t="s">
        <v>58</v>
      </c>
      <c r="H230" s="6">
        <v>8</v>
      </c>
      <c r="I230" s="8">
        <v>1461.06</v>
      </c>
      <c r="J230" s="9">
        <v>0.2</v>
      </c>
      <c r="K230" s="6" t="s">
        <v>17</v>
      </c>
      <c r="M230">
        <f>IFERROR(
   Sheet2_RawData!$H265 * Sheet2_RawData!$I265 * (1 - Sheet2_RawData!$J265),
   ""
)</f>
        <v>6100.7099999999991</v>
      </c>
      <c r="N230">
        <f>YEAR(Sheet2_RawData!$B230)</f>
        <v>2024</v>
      </c>
      <c r="O230">
        <f>MONTH(Sheet2_RawData!$B230)</f>
        <v>8</v>
      </c>
      <c r="P230" t="b">
        <f>AND($N230=2024, OR($O230=7, $O230=8, $O230=9))</f>
        <v>1</v>
      </c>
    </row>
    <row r="231" spans="1:16" ht="15" customHeight="1" x14ac:dyDescent="0.3">
      <c r="A231" s="6" t="s">
        <v>342</v>
      </c>
      <c r="B231" s="7">
        <v>45459</v>
      </c>
      <c r="C231" s="6" t="s">
        <v>57</v>
      </c>
      <c r="D231" s="6" t="s">
        <v>26</v>
      </c>
      <c r="E231" s="6" t="s">
        <v>52</v>
      </c>
      <c r="F231" s="6" t="s">
        <v>15</v>
      </c>
      <c r="G231" s="6" t="s">
        <v>16</v>
      </c>
      <c r="H231" s="6">
        <v>40</v>
      </c>
      <c r="I231" s="8">
        <v>2119.77</v>
      </c>
      <c r="J231" s="9">
        <v>0.2</v>
      </c>
      <c r="K231" s="6" t="s">
        <v>33</v>
      </c>
      <c r="M231">
        <f>IFERROR(
   Sheet2_RawData!$H249 * Sheet2_RawData!$I249 * (1 - Sheet2_RawData!$J249),
   ""
)</f>
        <v>10630.800000000001</v>
      </c>
      <c r="N231">
        <f>YEAR(Sheet2_RawData!$B231)</f>
        <v>2024</v>
      </c>
      <c r="O231">
        <f>MONTH(Sheet2_RawData!$B231)</f>
        <v>6</v>
      </c>
    </row>
    <row r="232" spans="1:16" ht="15" customHeight="1" x14ac:dyDescent="0.3">
      <c r="A232" s="2" t="s">
        <v>151</v>
      </c>
      <c r="B232" s="3">
        <v>45624</v>
      </c>
      <c r="C232" s="2" t="s">
        <v>86</v>
      </c>
      <c r="D232" s="2" t="s">
        <v>98</v>
      </c>
      <c r="E232" s="2" t="s">
        <v>52</v>
      </c>
      <c r="F232" s="2" t="s">
        <v>15</v>
      </c>
      <c r="G232" s="2" t="s">
        <v>87</v>
      </c>
      <c r="H232" s="2">
        <v>2</v>
      </c>
      <c r="I232" s="4">
        <v>1627.49</v>
      </c>
      <c r="J232" s="5">
        <v>0</v>
      </c>
      <c r="K232" s="2" t="s">
        <v>95</v>
      </c>
      <c r="M232">
        <f>IFERROR(
   Sheet2_RawData!$H58 * Sheet2_RawData!$I58 * (1 - Sheet2_RawData!$J58),
   ""
)</f>
        <v>124221.6</v>
      </c>
      <c r="N232">
        <f>YEAR(Sheet2_RawData!$B232)</f>
        <v>2024</v>
      </c>
      <c r="O232">
        <f>MONTH(Sheet2_RawData!$B232)</f>
        <v>11</v>
      </c>
    </row>
    <row r="233" spans="1:16" ht="15" customHeight="1" x14ac:dyDescent="0.3">
      <c r="A233" s="6" t="s">
        <v>200</v>
      </c>
      <c r="B233" s="7">
        <v>45385</v>
      </c>
      <c r="C233" s="6" t="s">
        <v>92</v>
      </c>
      <c r="D233" s="6" t="s">
        <v>98</v>
      </c>
      <c r="E233" s="6" t="s">
        <v>37</v>
      </c>
      <c r="F233" s="6" t="s">
        <v>22</v>
      </c>
      <c r="G233" s="6" t="s">
        <v>41</v>
      </c>
      <c r="H233" s="6">
        <v>50</v>
      </c>
      <c r="I233" s="8">
        <v>3439.18</v>
      </c>
      <c r="J233" s="9">
        <v>0.15</v>
      </c>
      <c r="K233" s="6" t="s">
        <v>17</v>
      </c>
      <c r="M233">
        <f>IFERROR(
   Sheet2_RawData!$H105 * Sheet2_RawData!$I105 * (1 - Sheet2_RawData!$J105),
   ""
)</f>
        <v>9433.6059999999998</v>
      </c>
      <c r="N233">
        <f>YEAR(Sheet2_RawData!$B233)</f>
        <v>2024</v>
      </c>
      <c r="O233">
        <f>MONTH(Sheet2_RawData!$B233)</f>
        <v>4</v>
      </c>
    </row>
    <row r="234" spans="1:16" ht="15" customHeight="1" x14ac:dyDescent="0.3">
      <c r="A234" s="2" t="s">
        <v>131</v>
      </c>
      <c r="B234" s="3">
        <v>45396</v>
      </c>
      <c r="C234" s="2" t="s">
        <v>77</v>
      </c>
      <c r="D234" s="2" t="s">
        <v>20</v>
      </c>
      <c r="E234" s="2" t="s">
        <v>14</v>
      </c>
      <c r="F234" s="2" t="s">
        <v>66</v>
      </c>
      <c r="G234" s="2" t="s">
        <v>90</v>
      </c>
      <c r="H234" s="2">
        <v>3</v>
      </c>
      <c r="I234" s="4">
        <v>1141.57</v>
      </c>
      <c r="J234" s="5">
        <v>0.1</v>
      </c>
      <c r="K234" s="2" t="s">
        <v>17</v>
      </c>
      <c r="M234">
        <f>IFERROR(
   Sheet2_RawData!$H44 * Sheet2_RawData!$I44 * (1 - Sheet2_RawData!$J44),
   ""
)</f>
        <v>19685.759999999998</v>
      </c>
      <c r="N234">
        <f>YEAR(Sheet2_RawData!$B234)</f>
        <v>2024</v>
      </c>
      <c r="O234">
        <f>MONTH(Sheet2_RawData!$B234)</f>
        <v>4</v>
      </c>
    </row>
    <row r="235" spans="1:16" ht="15" customHeight="1" x14ac:dyDescent="0.3">
      <c r="A235" s="6" t="s">
        <v>315</v>
      </c>
      <c r="B235" s="7">
        <v>45498</v>
      </c>
      <c r="C235" s="6" t="s">
        <v>74</v>
      </c>
      <c r="D235" s="6" t="s">
        <v>89</v>
      </c>
      <c r="E235" s="6" t="s">
        <v>37</v>
      </c>
      <c r="F235" s="6" t="s">
        <v>66</v>
      </c>
      <c r="G235" s="6" t="s">
        <v>67</v>
      </c>
      <c r="H235" s="6">
        <v>6</v>
      </c>
      <c r="I235" s="8">
        <v>1606.86</v>
      </c>
      <c r="J235" s="9">
        <v>0</v>
      </c>
      <c r="K235" s="6" t="s">
        <v>17</v>
      </c>
      <c r="M235">
        <f>IFERROR(
   Sheet2_RawData!$H219 * Sheet2_RawData!$I219 * (1 - Sheet2_RawData!$J219),
   ""
)</f>
        <v>92115.438999999998</v>
      </c>
      <c r="N235">
        <f>YEAR(Sheet2_RawData!$B235)</f>
        <v>2024</v>
      </c>
      <c r="O235">
        <f>MONTH(Sheet2_RawData!$B235)</f>
        <v>7</v>
      </c>
      <c r="P235" t="b">
        <f>AND($N235=2024, OR($O235=7, $O235=8, $O235=9))</f>
        <v>1</v>
      </c>
    </row>
    <row r="236" spans="1:16" ht="15" customHeight="1" x14ac:dyDescent="0.3">
      <c r="A236" s="6" t="s">
        <v>150</v>
      </c>
      <c r="B236" s="7">
        <v>45450</v>
      </c>
      <c r="C236" s="6" t="s">
        <v>47</v>
      </c>
      <c r="D236" s="6" t="s">
        <v>26</v>
      </c>
      <c r="E236" s="6" t="s">
        <v>52</v>
      </c>
      <c r="F236" s="6" t="s">
        <v>22</v>
      </c>
      <c r="G236" s="6" t="s">
        <v>116</v>
      </c>
      <c r="H236" s="6">
        <v>3</v>
      </c>
      <c r="I236" s="8">
        <v>3965.99</v>
      </c>
      <c r="J236" s="9">
        <v>0</v>
      </c>
      <c r="K236" s="6" t="s">
        <v>17</v>
      </c>
      <c r="M236">
        <f>IFERROR(
   Sheet2_RawData!$H57 * Sheet2_RawData!$I57 * (1 - Sheet2_RawData!$J57),
   ""
)</f>
        <v>144594.25600000002</v>
      </c>
      <c r="N236">
        <f>YEAR(Sheet2_RawData!$B236)</f>
        <v>2024</v>
      </c>
      <c r="O236">
        <f>MONTH(Sheet2_RawData!$B236)</f>
        <v>6</v>
      </c>
    </row>
    <row r="237" spans="1:16" ht="15" customHeight="1" x14ac:dyDescent="0.3">
      <c r="A237" s="2" t="s">
        <v>336</v>
      </c>
      <c r="B237" s="3">
        <v>45312</v>
      </c>
      <c r="C237" s="2" t="s">
        <v>30</v>
      </c>
      <c r="D237" s="2" t="s">
        <v>40</v>
      </c>
      <c r="E237" s="2" t="s">
        <v>21</v>
      </c>
      <c r="F237" s="2" t="s">
        <v>71</v>
      </c>
      <c r="G237" s="2" t="s">
        <v>72</v>
      </c>
      <c r="H237" s="2">
        <v>10</v>
      </c>
      <c r="I237" s="4">
        <v>2177.44</v>
      </c>
      <c r="J237" s="5">
        <v>0</v>
      </c>
      <c r="K237" s="2" t="s">
        <v>17</v>
      </c>
      <c r="M237">
        <f>IFERROR(
   Sheet2_RawData!$H242 * Sheet2_RawData!$I242 * (1 - Sheet2_RawData!$J242),
   ""
)</f>
        <v>144058.31349999999</v>
      </c>
      <c r="N237">
        <f>YEAR(Sheet2_RawData!$B237)</f>
        <v>2024</v>
      </c>
      <c r="O237">
        <f>MONTH(Sheet2_RawData!$B237)</f>
        <v>1</v>
      </c>
    </row>
    <row r="238" spans="1:16" ht="15" customHeight="1" x14ac:dyDescent="0.3">
      <c r="A238" s="6" t="s">
        <v>293</v>
      </c>
      <c r="B238" s="7">
        <v>45387</v>
      </c>
      <c r="C238" s="6" t="s">
        <v>84</v>
      </c>
      <c r="D238" s="6" t="s">
        <v>20</v>
      </c>
      <c r="E238" s="6" t="s">
        <v>14</v>
      </c>
      <c r="F238" s="6" t="s">
        <v>22</v>
      </c>
      <c r="G238" s="6" t="s">
        <v>104</v>
      </c>
      <c r="H238" s="6">
        <v>11</v>
      </c>
      <c r="I238" s="8">
        <v>331.55</v>
      </c>
      <c r="J238" s="9">
        <v>0.1</v>
      </c>
      <c r="K238" s="6" t="s">
        <v>17</v>
      </c>
      <c r="M238">
        <f>IFERROR(
   Sheet2_RawData!$H197 * Sheet2_RawData!$I197 * (1 - Sheet2_RawData!$J197),
   ""
)</f>
        <v>32358.599000000002</v>
      </c>
      <c r="N238">
        <f>YEAR(Sheet2_RawData!$B238)</f>
        <v>2024</v>
      </c>
      <c r="O238">
        <f>MONTH(Sheet2_RawData!$B238)</f>
        <v>4</v>
      </c>
    </row>
    <row r="239" spans="1:16" ht="15" customHeight="1" x14ac:dyDescent="0.3">
      <c r="A239" s="2" t="s">
        <v>232</v>
      </c>
      <c r="B239" s="3">
        <v>45583</v>
      </c>
      <c r="C239" s="2" t="s">
        <v>43</v>
      </c>
      <c r="D239" s="2" t="s">
        <v>40</v>
      </c>
      <c r="E239" s="2" t="s">
        <v>37</v>
      </c>
      <c r="F239" s="2" t="s">
        <v>66</v>
      </c>
      <c r="G239" s="2" t="s">
        <v>90</v>
      </c>
      <c r="H239" s="2">
        <v>19</v>
      </c>
      <c r="I239" s="4">
        <v>804.44</v>
      </c>
      <c r="J239" s="5">
        <v>0</v>
      </c>
      <c r="K239" s="2" t="s">
        <v>17</v>
      </c>
      <c r="M239">
        <f>IFERROR(
   Sheet2_RawData!$H138 * Sheet2_RawData!$I138 * (1 - Sheet2_RawData!$J138),
   ""
)</f>
        <v>24986.080000000002</v>
      </c>
      <c r="N239">
        <f>YEAR(Sheet2_RawData!$B239)</f>
        <v>2024</v>
      </c>
      <c r="O239">
        <f>MONTH(Sheet2_RawData!$B239)</f>
        <v>10</v>
      </c>
    </row>
    <row r="240" spans="1:16" ht="15" customHeight="1" x14ac:dyDescent="0.3">
      <c r="A240" s="6" t="s">
        <v>363</v>
      </c>
      <c r="B240" s="7">
        <v>45338</v>
      </c>
      <c r="C240" s="6" t="s">
        <v>278</v>
      </c>
      <c r="D240" s="6" t="s">
        <v>36</v>
      </c>
      <c r="E240" s="6" t="s">
        <v>14</v>
      </c>
      <c r="F240" s="6" t="s">
        <v>22</v>
      </c>
      <c r="G240" s="6" t="s">
        <v>41</v>
      </c>
      <c r="H240" s="6">
        <v>4</v>
      </c>
      <c r="I240" s="8">
        <v>1875.25</v>
      </c>
      <c r="J240" s="9">
        <v>0</v>
      </c>
      <c r="K240" s="6" t="s">
        <v>17</v>
      </c>
      <c r="M240">
        <f>IFERROR(
   Sheet2_RawData!$H273 * Sheet2_RawData!$I273 * (1 - Sheet2_RawData!$J273),
   ""
)</f>
        <v>46664.232000000004</v>
      </c>
      <c r="N240">
        <f>YEAR(Sheet2_RawData!$B240)</f>
        <v>2024</v>
      </c>
      <c r="O240">
        <f>MONTH(Sheet2_RawData!$B240)</f>
        <v>2</v>
      </c>
    </row>
    <row r="241" spans="1:16" ht="15" customHeight="1" x14ac:dyDescent="0.3">
      <c r="A241" s="6" t="s">
        <v>250</v>
      </c>
      <c r="B241" s="7">
        <v>45453</v>
      </c>
      <c r="C241" s="6" t="s">
        <v>133</v>
      </c>
      <c r="D241" s="6" t="s">
        <v>13</v>
      </c>
      <c r="E241" s="6" t="s">
        <v>52</v>
      </c>
      <c r="F241" s="6" t="s">
        <v>44</v>
      </c>
      <c r="G241" s="6" t="s">
        <v>58</v>
      </c>
      <c r="H241" s="6">
        <v>35</v>
      </c>
      <c r="I241" s="8">
        <v>2839.37</v>
      </c>
      <c r="J241" s="9">
        <v>0</v>
      </c>
      <c r="K241" s="6" t="s">
        <v>17</v>
      </c>
      <c r="M241">
        <f>IFERROR(
   Sheet2_RawData!$H155 * Sheet2_RawData!$I155 * (1 - Sheet2_RawData!$J155),
   ""
)</f>
        <v>89742.880499999999</v>
      </c>
      <c r="N241">
        <f>YEAR(Sheet2_RawData!$B241)</f>
        <v>2024</v>
      </c>
      <c r="O241">
        <f>MONTH(Sheet2_RawData!$B241)</f>
        <v>6</v>
      </c>
    </row>
    <row r="242" spans="1:16" ht="15" customHeight="1" x14ac:dyDescent="0.3">
      <c r="A242" s="6" t="s">
        <v>209</v>
      </c>
      <c r="B242" s="7">
        <v>45472</v>
      </c>
      <c r="C242" s="6" t="s">
        <v>123</v>
      </c>
      <c r="D242" s="6" t="s">
        <v>26</v>
      </c>
      <c r="E242" s="6" t="s">
        <v>21</v>
      </c>
      <c r="F242" s="6" t="s">
        <v>44</v>
      </c>
      <c r="G242" s="6" t="s">
        <v>49</v>
      </c>
      <c r="H242" s="6">
        <v>47</v>
      </c>
      <c r="I242" s="8">
        <v>3226.39</v>
      </c>
      <c r="J242" s="9">
        <v>0.05</v>
      </c>
      <c r="K242" s="6" t="s">
        <v>17</v>
      </c>
      <c r="M242">
        <f>IFERROR(
   Sheet2_RawData!$H115 * Sheet2_RawData!$I115 * (1 - Sheet2_RawData!$J115),
   ""
)</f>
        <v>54851.656000000003</v>
      </c>
      <c r="N242">
        <f>YEAR(Sheet2_RawData!$B242)</f>
        <v>2024</v>
      </c>
      <c r="O242">
        <f>MONTH(Sheet2_RawData!$B242)</f>
        <v>6</v>
      </c>
    </row>
    <row r="243" spans="1:16" ht="15" customHeight="1" x14ac:dyDescent="0.3">
      <c r="A243" s="2" t="s">
        <v>334</v>
      </c>
      <c r="B243" s="3">
        <v>45373</v>
      </c>
      <c r="C243" s="2" t="s">
        <v>25</v>
      </c>
      <c r="D243" s="2" t="s">
        <v>36</v>
      </c>
      <c r="E243" s="2" t="s">
        <v>31</v>
      </c>
      <c r="F243" s="2" t="s">
        <v>71</v>
      </c>
      <c r="G243" s="2" t="s">
        <v>78</v>
      </c>
      <c r="H243" s="2">
        <v>18</v>
      </c>
      <c r="I243" s="4">
        <v>4056.68</v>
      </c>
      <c r="J243" s="5">
        <v>0</v>
      </c>
      <c r="K243" s="2" t="s">
        <v>95</v>
      </c>
      <c r="M243">
        <f>IFERROR(
   Sheet2_RawData!$H240 * Sheet2_RawData!$I240 * (1 - Sheet2_RawData!$J240),
   ""
)</f>
        <v>7501</v>
      </c>
      <c r="N243">
        <f>YEAR(Sheet2_RawData!$B243)</f>
        <v>2024</v>
      </c>
      <c r="O243">
        <f>MONTH(Sheet2_RawData!$B243)</f>
        <v>3</v>
      </c>
    </row>
    <row r="244" spans="1:16" ht="15" customHeight="1" x14ac:dyDescent="0.3">
      <c r="A244" s="6" t="s">
        <v>375</v>
      </c>
      <c r="B244" s="7">
        <v>45544</v>
      </c>
      <c r="C244" s="6" t="s">
        <v>106</v>
      </c>
      <c r="D244" s="6" t="s">
        <v>48</v>
      </c>
      <c r="E244" s="6" t="s">
        <v>21</v>
      </c>
      <c r="F244" s="6" t="s">
        <v>22</v>
      </c>
      <c r="G244" s="6" t="s">
        <v>116</v>
      </c>
      <c r="H244" s="6">
        <v>9</v>
      </c>
      <c r="I244" s="8">
        <v>274.47000000000003</v>
      </c>
      <c r="J244" s="9">
        <v>0</v>
      </c>
      <c r="K244" s="6" t="s">
        <v>17</v>
      </c>
      <c r="M244">
        <f>IFERROR(
   Sheet2_RawData!$H285 * Sheet2_RawData!$I285 * (1 - Sheet2_RawData!$J285),
   ""
)</f>
        <v>195311.32</v>
      </c>
      <c r="N244">
        <f>YEAR(Sheet2_RawData!$B244)</f>
        <v>2024</v>
      </c>
      <c r="O244">
        <f>MONTH(Sheet2_RawData!$B244)</f>
        <v>9</v>
      </c>
      <c r="P244" t="b">
        <f t="shared" ref="P244:P245" si="14">AND($N244=2024, OR($O244=7, $O244=8, $O244=9))</f>
        <v>1</v>
      </c>
    </row>
    <row r="245" spans="1:16" ht="15" customHeight="1" x14ac:dyDescent="0.3">
      <c r="A245" s="6" t="s">
        <v>289</v>
      </c>
      <c r="B245" s="7">
        <v>45491</v>
      </c>
      <c r="C245" s="6" t="s">
        <v>133</v>
      </c>
      <c r="D245" s="6" t="s">
        <v>13</v>
      </c>
      <c r="E245" s="6" t="s">
        <v>52</v>
      </c>
      <c r="F245" s="6" t="s">
        <v>66</v>
      </c>
      <c r="G245" s="6" t="s">
        <v>142</v>
      </c>
      <c r="H245" s="6">
        <v>10</v>
      </c>
      <c r="I245" s="8">
        <v>1931</v>
      </c>
      <c r="J245" s="9">
        <v>0.2</v>
      </c>
      <c r="K245" s="6" t="s">
        <v>63</v>
      </c>
      <c r="M245">
        <f>IFERROR(
   Sheet2_RawData!$H193 * Sheet2_RawData!$I193 * (1 - Sheet2_RawData!$J193),
   ""
)</f>
        <v>73630.637999999992</v>
      </c>
      <c r="N245">
        <f>YEAR(Sheet2_RawData!$B245)</f>
        <v>2024</v>
      </c>
      <c r="O245">
        <f>MONTH(Sheet2_RawData!$B245)</f>
        <v>7</v>
      </c>
      <c r="P245" t="b">
        <f t="shared" si="14"/>
        <v>1</v>
      </c>
    </row>
    <row r="246" spans="1:16" ht="15" customHeight="1" x14ac:dyDescent="0.3">
      <c r="A246" s="2" t="s">
        <v>226</v>
      </c>
      <c r="B246" s="3">
        <v>45357</v>
      </c>
      <c r="C246" s="2" t="s">
        <v>77</v>
      </c>
      <c r="D246" s="2" t="s">
        <v>13</v>
      </c>
      <c r="E246" s="2" t="s">
        <v>37</v>
      </c>
      <c r="F246" s="2" t="s">
        <v>44</v>
      </c>
      <c r="G246" s="2" t="s">
        <v>62</v>
      </c>
      <c r="H246" s="2">
        <v>36</v>
      </c>
      <c r="I246" s="4">
        <v>1914.56</v>
      </c>
      <c r="J246" s="5">
        <v>0.2</v>
      </c>
      <c r="K246" s="2" t="s">
        <v>17</v>
      </c>
      <c r="M246">
        <f>IFERROR(
   Sheet2_RawData!$H132 * Sheet2_RawData!$I132 * (1 - Sheet2_RawData!$J132),
   ""
)</f>
        <v>46206.239999999998</v>
      </c>
      <c r="N246">
        <f>YEAR(Sheet2_RawData!$B246)</f>
        <v>2024</v>
      </c>
      <c r="O246">
        <f>MONTH(Sheet2_RawData!$B246)</f>
        <v>3</v>
      </c>
    </row>
    <row r="247" spans="1:16" ht="15" customHeight="1" x14ac:dyDescent="0.3">
      <c r="A247" s="6" t="s">
        <v>302</v>
      </c>
      <c r="B247" s="7">
        <v>45387</v>
      </c>
      <c r="C247" s="6" t="s">
        <v>303</v>
      </c>
      <c r="D247" s="6" t="s">
        <v>98</v>
      </c>
      <c r="E247" s="6" t="s">
        <v>52</v>
      </c>
      <c r="F247" s="6" t="s">
        <v>66</v>
      </c>
      <c r="G247" s="6" t="s">
        <v>94</v>
      </c>
      <c r="H247" s="6">
        <v>26</v>
      </c>
      <c r="I247" s="8">
        <v>3729.37</v>
      </c>
      <c r="J247" s="9">
        <v>0.05</v>
      </c>
      <c r="K247" s="6" t="s">
        <v>17</v>
      </c>
      <c r="M247">
        <f>IFERROR(
   Sheet2_RawData!$H207 * Sheet2_RawData!$I207 * (1 - Sheet2_RawData!$J207),
   ""
)</f>
        <v>30610.359000000004</v>
      </c>
      <c r="N247">
        <f>YEAR(Sheet2_RawData!$B247)</f>
        <v>2024</v>
      </c>
      <c r="O247">
        <f>MONTH(Sheet2_RawData!$B247)</f>
        <v>4</v>
      </c>
    </row>
    <row r="248" spans="1:16" ht="15" customHeight="1" x14ac:dyDescent="0.3">
      <c r="A248" s="6" t="s">
        <v>385</v>
      </c>
      <c r="B248" s="7">
        <v>45646</v>
      </c>
      <c r="C248" s="6" t="s">
        <v>25</v>
      </c>
      <c r="D248" s="6" t="s">
        <v>26</v>
      </c>
      <c r="E248" s="6" t="s">
        <v>21</v>
      </c>
      <c r="F248" s="6" t="s">
        <v>44</v>
      </c>
      <c r="G248" s="6" t="s">
        <v>58</v>
      </c>
      <c r="H248" s="6">
        <v>47</v>
      </c>
      <c r="I248" s="8">
        <v>2885.74</v>
      </c>
      <c r="J248" s="9">
        <v>0</v>
      </c>
      <c r="K248" s="6" t="s">
        <v>63</v>
      </c>
      <c r="M248">
        <f>IFERROR(
   Sheet2_RawData!$H295 * Sheet2_RawData!$I295 * (1 - Sheet2_RawData!$J295),
   ""
)</f>
        <v>5351.08</v>
      </c>
      <c r="N248">
        <f>YEAR(Sheet2_RawData!$B248)</f>
        <v>2024</v>
      </c>
      <c r="O248">
        <f>MONTH(Sheet2_RawData!$B248)</f>
        <v>12</v>
      </c>
    </row>
    <row r="249" spans="1:16" ht="15" customHeight="1" x14ac:dyDescent="0.3">
      <c r="A249" s="6" t="s">
        <v>139</v>
      </c>
      <c r="B249" s="7">
        <v>45635</v>
      </c>
      <c r="C249" s="6" t="s">
        <v>30</v>
      </c>
      <c r="D249" s="6" t="s">
        <v>61</v>
      </c>
      <c r="E249" s="6" t="s">
        <v>21</v>
      </c>
      <c r="F249" s="6" t="s">
        <v>44</v>
      </c>
      <c r="G249" s="6" t="s">
        <v>75</v>
      </c>
      <c r="H249" s="6">
        <v>4</v>
      </c>
      <c r="I249" s="8">
        <v>2953</v>
      </c>
      <c r="J249" s="9">
        <v>0.1</v>
      </c>
      <c r="K249" s="6" t="s">
        <v>63</v>
      </c>
      <c r="M249">
        <f>IFERROR(
   Sheet2_RawData!$H49 * Sheet2_RawData!$I49 * (1 - Sheet2_RawData!$J49),
   ""
)</f>
        <v>203226.31999999998</v>
      </c>
      <c r="N249">
        <f>YEAR(Sheet2_RawData!$B249)</f>
        <v>2024</v>
      </c>
      <c r="O249">
        <f>MONTH(Sheet2_RawData!$B249)</f>
        <v>12</v>
      </c>
    </row>
    <row r="250" spans="1:16" ht="15" customHeight="1" x14ac:dyDescent="0.3">
      <c r="A250" s="6" t="s">
        <v>130</v>
      </c>
      <c r="B250" s="7">
        <v>45522</v>
      </c>
      <c r="C250" s="6" t="s">
        <v>25</v>
      </c>
      <c r="D250" s="6" t="s">
        <v>36</v>
      </c>
      <c r="E250" s="6" t="s">
        <v>14</v>
      </c>
      <c r="F250" s="6" t="s">
        <v>71</v>
      </c>
      <c r="G250" s="6" t="s">
        <v>101</v>
      </c>
      <c r="H250" s="6">
        <v>36</v>
      </c>
      <c r="I250" s="8">
        <v>4773.45</v>
      </c>
      <c r="J250" s="9">
        <v>0.15</v>
      </c>
      <c r="K250" s="6" t="s">
        <v>33</v>
      </c>
      <c r="M250">
        <f>IFERROR(
   Sheet2_RawData!$H43 * Sheet2_RawData!$I43 * (1 - Sheet2_RawData!$J43),
   ""
)</f>
        <v>201642.5</v>
      </c>
      <c r="N250">
        <f>YEAR(Sheet2_RawData!$B250)</f>
        <v>2024</v>
      </c>
      <c r="O250">
        <f>MONTH(Sheet2_RawData!$B250)</f>
        <v>8</v>
      </c>
      <c r="P250" t="b">
        <f>AND($N250=2024, OR($O250=7, $O250=8, $O250=9))</f>
        <v>1</v>
      </c>
    </row>
    <row r="251" spans="1:16" ht="15" customHeight="1" x14ac:dyDescent="0.3">
      <c r="A251" s="6" t="s">
        <v>102</v>
      </c>
      <c r="B251" s="7">
        <v>45393</v>
      </c>
      <c r="C251" s="6" t="s">
        <v>103</v>
      </c>
      <c r="D251" s="6">
        <f ca="1">_xlfn.MODE.SNGL(D226:D537)</f>
        <v>0</v>
      </c>
      <c r="E251" s="6" t="s">
        <v>52</v>
      </c>
      <c r="F251" s="6" t="s">
        <v>22</v>
      </c>
      <c r="G251" s="6" t="s">
        <v>104</v>
      </c>
      <c r="H251" s="6">
        <v>44</v>
      </c>
      <c r="I251" s="8">
        <v>4544.7299999999996</v>
      </c>
      <c r="J251" s="9">
        <v>0.05</v>
      </c>
      <c r="K251" s="6" t="s">
        <v>17</v>
      </c>
      <c r="M251">
        <f>IFERROR(
   Sheet2_RawData!$H27 * Sheet2_RawData!$I27 * (1 - Sheet2_RawData!$J27),
   ""
)</f>
        <v>61058.2</v>
      </c>
      <c r="N251">
        <f>YEAR(Sheet2_RawData!$B251)</f>
        <v>2024</v>
      </c>
      <c r="O251">
        <f>MONTH(Sheet2_RawData!$B251)</f>
        <v>4</v>
      </c>
    </row>
    <row r="252" spans="1:16" ht="15" customHeight="1" x14ac:dyDescent="0.3">
      <c r="A252" s="6" t="s">
        <v>311</v>
      </c>
      <c r="B252" s="7">
        <v>45352</v>
      </c>
      <c r="C252" s="6" t="s">
        <v>51</v>
      </c>
      <c r="D252" s="6" t="s">
        <v>89</v>
      </c>
      <c r="E252" s="6" t="s">
        <v>21</v>
      </c>
      <c r="F252" s="6" t="s">
        <v>22</v>
      </c>
      <c r="G252" s="6" t="s">
        <v>23</v>
      </c>
      <c r="H252" s="6">
        <v>17</v>
      </c>
      <c r="I252" s="8">
        <v>1775.46</v>
      </c>
      <c r="J252" s="9">
        <v>0.2</v>
      </c>
      <c r="K252" s="6" t="s">
        <v>17</v>
      </c>
      <c r="M252">
        <f>IFERROR(
   Sheet2_RawData!$H215 * Sheet2_RawData!$I215 * (1 - Sheet2_RawData!$J215),
   ""
)</f>
        <v>123420.33</v>
      </c>
      <c r="N252">
        <f>YEAR(Sheet2_RawData!$B252)</f>
        <v>2024</v>
      </c>
      <c r="O252">
        <f>MONTH(Sheet2_RawData!$B252)</f>
        <v>3</v>
      </c>
    </row>
    <row r="253" spans="1:16" ht="15" customHeight="1" x14ac:dyDescent="0.3">
      <c r="A253" s="6" t="s">
        <v>328</v>
      </c>
      <c r="B253" s="7">
        <v>45311</v>
      </c>
      <c r="C253" s="6" t="s">
        <v>123</v>
      </c>
      <c r="D253" s="6" t="s">
        <v>48</v>
      </c>
      <c r="E253" s="6" t="s">
        <v>52</v>
      </c>
      <c r="F253" s="6" t="s">
        <v>44</v>
      </c>
      <c r="G253" s="6" t="s">
        <v>62</v>
      </c>
      <c r="H253" s="6">
        <v>12</v>
      </c>
      <c r="I253" s="8">
        <v>4686.21</v>
      </c>
      <c r="J253" s="9">
        <v>0.2</v>
      </c>
      <c r="K253" s="6" t="s">
        <v>33</v>
      </c>
      <c r="M253">
        <f>IFERROR(
   Sheet2_RawData!$H233 * Sheet2_RawData!$I233 * (1 - Sheet2_RawData!$J233),
   ""
)</f>
        <v>146165.15</v>
      </c>
      <c r="N253">
        <f>YEAR(Sheet2_RawData!$B253)</f>
        <v>2024</v>
      </c>
      <c r="O253">
        <f>MONTH(Sheet2_RawData!$B253)</f>
        <v>1</v>
      </c>
    </row>
    <row r="254" spans="1:16" ht="15" customHeight="1" x14ac:dyDescent="0.3">
      <c r="A254" s="2" t="s">
        <v>234</v>
      </c>
      <c r="B254" s="3">
        <v>45572</v>
      </c>
      <c r="C254" s="2" t="s">
        <v>51</v>
      </c>
      <c r="D254" s="2" t="s">
        <v>98</v>
      </c>
      <c r="E254" s="2" t="s">
        <v>37</v>
      </c>
      <c r="F254" s="2" t="s">
        <v>71</v>
      </c>
      <c r="G254" s="2" t="s">
        <v>101</v>
      </c>
      <c r="H254" s="2">
        <v>40</v>
      </c>
      <c r="I254" s="4">
        <v>4084.28</v>
      </c>
      <c r="J254" s="5">
        <v>0.1</v>
      </c>
      <c r="K254" s="2" t="s">
        <v>17</v>
      </c>
      <c r="M254">
        <f>IFERROR(
   Sheet2_RawData!$H140 * Sheet2_RawData!$I140 * (1 - Sheet2_RawData!$J140),
   ""
)</f>
        <v>91293.48</v>
      </c>
      <c r="N254">
        <f>YEAR(Sheet2_RawData!$B254)</f>
        <v>2024</v>
      </c>
      <c r="O254">
        <f>MONTH(Sheet2_RawData!$B254)</f>
        <v>10</v>
      </c>
    </row>
    <row r="255" spans="1:16" ht="15" customHeight="1" x14ac:dyDescent="0.3">
      <c r="A255" s="2" t="s">
        <v>159</v>
      </c>
      <c r="B255" s="3">
        <v>45350</v>
      </c>
      <c r="C255" s="2" t="s">
        <v>74</v>
      </c>
      <c r="D255" s="2" t="s">
        <v>26</v>
      </c>
      <c r="E255" s="2" t="s">
        <v>37</v>
      </c>
      <c r="F255" s="2" t="s">
        <v>44</v>
      </c>
      <c r="G255" s="2" t="s">
        <v>49</v>
      </c>
      <c r="H255" s="2">
        <v>33</v>
      </c>
      <c r="I255" s="4">
        <v>3046.86</v>
      </c>
      <c r="J255" s="5">
        <v>0</v>
      </c>
      <c r="K255" s="2" t="s">
        <v>95</v>
      </c>
      <c r="M255">
        <f>IFERROR(
   Sheet2_RawData!$H66 * Sheet2_RawData!$I66 * (1 - Sheet2_RawData!$J66),
   ""
)</f>
        <v>123922.62</v>
      </c>
      <c r="N255">
        <f>YEAR(Sheet2_RawData!$B255)</f>
        <v>2024</v>
      </c>
      <c r="O255">
        <f>MONTH(Sheet2_RawData!$B255)</f>
        <v>2</v>
      </c>
    </row>
    <row r="256" spans="1:16" ht="15" customHeight="1" x14ac:dyDescent="0.3">
      <c r="A256" s="2" t="s">
        <v>208</v>
      </c>
      <c r="B256" s="3">
        <v>45461</v>
      </c>
      <c r="C256" s="2" t="s">
        <v>103</v>
      </c>
      <c r="D256" s="2" t="s">
        <v>89</v>
      </c>
      <c r="E256" s="2" t="s">
        <v>37</v>
      </c>
      <c r="F256" s="2" t="s">
        <v>66</v>
      </c>
      <c r="G256" s="2" t="s">
        <v>142</v>
      </c>
      <c r="H256" s="2">
        <v>42</v>
      </c>
      <c r="I256" s="4">
        <v>3403.49</v>
      </c>
      <c r="J256" s="5">
        <v>0.05</v>
      </c>
      <c r="K256" s="2" t="s">
        <v>28</v>
      </c>
      <c r="M256">
        <f>IFERROR(
   Sheet2_RawData!$H114 * Sheet2_RawData!$I114 * (1 - Sheet2_RawData!$J114),
   ""
)</f>
        <v>149904</v>
      </c>
      <c r="N256">
        <f>YEAR(Sheet2_RawData!$B256)</f>
        <v>2024</v>
      </c>
      <c r="O256">
        <f>MONTH(Sheet2_RawData!$B256)</f>
        <v>6</v>
      </c>
    </row>
    <row r="257" spans="1:16" ht="15" customHeight="1" x14ac:dyDescent="0.3">
      <c r="A257" s="2" t="s">
        <v>34</v>
      </c>
      <c r="B257" s="3">
        <v>45360</v>
      </c>
      <c r="C257" s="2" t="s">
        <v>35</v>
      </c>
      <c r="D257" s="2" t="s">
        <v>36</v>
      </c>
      <c r="E257" s="2" t="s">
        <v>37</v>
      </c>
      <c r="F257" s="2" t="s">
        <v>15</v>
      </c>
      <c r="G257" s="2" t="s">
        <v>27</v>
      </c>
      <c r="H257" s="2">
        <v>36</v>
      </c>
      <c r="I257" s="4">
        <v>1283.53</v>
      </c>
      <c r="J257" s="5">
        <v>0.2</v>
      </c>
      <c r="K257" s="2" t="s">
        <v>17</v>
      </c>
      <c r="M257">
        <f>IFERROR(
   Sheet2_RawData!$H6 * Sheet2_RawData!$I6 * (1 - Sheet2_RawData!$J6),
   ""
)</f>
        <v>4242.9659999999994</v>
      </c>
      <c r="N257">
        <f>YEAR(Sheet2_RawData!$B257)</f>
        <v>2024</v>
      </c>
      <c r="O257">
        <f>MONTH(Sheet2_RawData!$B257)</f>
        <v>3</v>
      </c>
    </row>
    <row r="258" spans="1:16" ht="15" customHeight="1" x14ac:dyDescent="0.3">
      <c r="A258" s="6" t="s">
        <v>233</v>
      </c>
      <c r="B258" s="7">
        <v>45350</v>
      </c>
      <c r="C258" s="6" t="s">
        <v>51</v>
      </c>
      <c r="D258" s="6" t="s">
        <v>36</v>
      </c>
      <c r="E258" s="6" t="s">
        <v>52</v>
      </c>
      <c r="F258" s="6" t="s">
        <v>66</v>
      </c>
      <c r="G258" s="6" t="s">
        <v>67</v>
      </c>
      <c r="H258" s="6">
        <v>21</v>
      </c>
      <c r="I258" s="8">
        <v>382.51</v>
      </c>
      <c r="J258" s="9">
        <v>0</v>
      </c>
      <c r="K258" s="6" t="s">
        <v>95</v>
      </c>
      <c r="M258">
        <f>IFERROR(
   Sheet2_RawData!$H139 * Sheet2_RawData!$I139 * (1 - Sheet2_RawData!$J139),
   ""
)</f>
        <v>23132.58</v>
      </c>
      <c r="N258">
        <f>YEAR(Sheet2_RawData!$B258)</f>
        <v>2024</v>
      </c>
      <c r="O258">
        <f>MONTH(Sheet2_RawData!$B258)</f>
        <v>2</v>
      </c>
    </row>
    <row r="259" spans="1:16" ht="15" customHeight="1" x14ac:dyDescent="0.3">
      <c r="A259" s="6" t="s">
        <v>389</v>
      </c>
      <c r="B259" s="7">
        <v>45326</v>
      </c>
      <c r="C259" s="6" t="s">
        <v>92</v>
      </c>
      <c r="D259" s="6" t="s">
        <v>48</v>
      </c>
      <c r="E259" s="6" t="s">
        <v>37</v>
      </c>
      <c r="F259" s="6" t="s">
        <v>66</v>
      </c>
      <c r="G259" s="6" t="s">
        <v>142</v>
      </c>
      <c r="H259" s="6">
        <v>43</v>
      </c>
      <c r="I259" s="8">
        <v>3357.66</v>
      </c>
      <c r="J259" s="9">
        <v>0.1</v>
      </c>
      <c r="K259" s="6" t="s">
        <v>28</v>
      </c>
      <c r="M259">
        <f>IFERROR(
   Sheet2_RawData!$H299 * Sheet2_RawData!$I299 * (1 - Sheet2_RawData!$J299),
   ""
)</f>
        <v>48106.005000000005</v>
      </c>
      <c r="N259">
        <f>YEAR(Sheet2_RawData!$B259)</f>
        <v>2024</v>
      </c>
      <c r="O259">
        <f>MONTH(Sheet2_RawData!$B259)</f>
        <v>2</v>
      </c>
    </row>
    <row r="260" spans="1:16" ht="15" customHeight="1" x14ac:dyDescent="0.3">
      <c r="A260" s="6" t="s">
        <v>256</v>
      </c>
      <c r="B260" s="7">
        <v>45396</v>
      </c>
      <c r="C260" s="6" t="s">
        <v>43</v>
      </c>
      <c r="D260" s="6" t="s">
        <v>48</v>
      </c>
      <c r="E260" s="6" t="s">
        <v>37</v>
      </c>
      <c r="F260" s="6" t="s">
        <v>44</v>
      </c>
      <c r="G260" s="6" t="s">
        <v>75</v>
      </c>
      <c r="H260" s="6">
        <v>36</v>
      </c>
      <c r="I260" s="8">
        <v>2673.46</v>
      </c>
      <c r="J260" s="9">
        <v>0.05</v>
      </c>
      <c r="K260" s="6" t="s">
        <v>17</v>
      </c>
      <c r="M260">
        <f>IFERROR(
   Sheet2_RawData!$H161 * Sheet2_RawData!$I161 * (1 - Sheet2_RawData!$J161),
   ""
)</f>
        <v>10614.528</v>
      </c>
      <c r="N260">
        <f>YEAR(Sheet2_RawData!$B260)</f>
        <v>2024</v>
      </c>
      <c r="O260">
        <f>MONTH(Sheet2_RawData!$B260)</f>
        <v>4</v>
      </c>
    </row>
    <row r="261" spans="1:16" ht="15" customHeight="1" x14ac:dyDescent="0.3">
      <c r="A261" s="2" t="s">
        <v>325</v>
      </c>
      <c r="B261" s="3">
        <v>45580</v>
      </c>
      <c r="C261" s="2" t="s">
        <v>69</v>
      </c>
      <c r="D261" s="2" t="s">
        <v>61</v>
      </c>
      <c r="E261" s="2" t="s">
        <v>37</v>
      </c>
      <c r="F261" s="2" t="s">
        <v>15</v>
      </c>
      <c r="G261" s="2" t="s">
        <v>32</v>
      </c>
      <c r="H261" s="2">
        <v>43</v>
      </c>
      <c r="I261" s="4">
        <v>3141.17</v>
      </c>
      <c r="J261" s="5">
        <v>0.1</v>
      </c>
      <c r="K261" s="2" t="s">
        <v>17</v>
      </c>
      <c r="M261">
        <f>IFERROR(
   Sheet2_RawData!$H230 * Sheet2_RawData!$I230 * (1 - Sheet2_RawData!$J230),
   ""
)</f>
        <v>9350.7839999999997</v>
      </c>
      <c r="N261">
        <f>YEAR(Sheet2_RawData!$B261)</f>
        <v>2024</v>
      </c>
      <c r="O261">
        <f>MONTH(Sheet2_RawData!$B261)</f>
        <v>10</v>
      </c>
    </row>
    <row r="262" spans="1:16" ht="15" customHeight="1" x14ac:dyDescent="0.3">
      <c r="A262" s="6" t="s">
        <v>326</v>
      </c>
      <c r="B262" s="7">
        <v>45424</v>
      </c>
      <c r="C262" s="6" t="s">
        <v>123</v>
      </c>
      <c r="D262" s="6" t="s">
        <v>89</v>
      </c>
      <c r="E262" s="6" t="s">
        <v>21</v>
      </c>
      <c r="F262" s="6" t="s">
        <v>71</v>
      </c>
      <c r="G262" s="6" t="s">
        <v>78</v>
      </c>
      <c r="H262" s="6">
        <v>21</v>
      </c>
      <c r="I262" s="8">
        <v>950.11</v>
      </c>
      <c r="J262" s="9">
        <v>0</v>
      </c>
      <c r="K262" s="6" t="s">
        <v>17</v>
      </c>
      <c r="M262">
        <f>IFERROR(
   Sheet2_RawData!$H231 * Sheet2_RawData!$I231 * (1 - Sheet2_RawData!$J231),
   ""
)</f>
        <v>67832.639999999999</v>
      </c>
      <c r="N262">
        <f>YEAR(Sheet2_RawData!$B262)</f>
        <v>2024</v>
      </c>
      <c r="O262">
        <f>MONTH(Sheet2_RawData!$B262)</f>
        <v>5</v>
      </c>
    </row>
    <row r="263" spans="1:16" ht="15" customHeight="1" x14ac:dyDescent="0.3">
      <c r="A263" s="2" t="s">
        <v>294</v>
      </c>
      <c r="B263" s="3">
        <v>45529</v>
      </c>
      <c r="C263" s="2" t="s">
        <v>65</v>
      </c>
      <c r="D263" s="2" t="s">
        <v>98</v>
      </c>
      <c r="E263" s="2" t="s">
        <v>21</v>
      </c>
      <c r="F263" s="2" t="s">
        <v>44</v>
      </c>
      <c r="G263" s="2" t="s">
        <v>49</v>
      </c>
      <c r="H263" s="2">
        <v>6</v>
      </c>
      <c r="I263" s="4">
        <v>1430.69</v>
      </c>
      <c r="J263" s="5">
        <v>0.05</v>
      </c>
      <c r="K263" s="2" t="s">
        <v>17</v>
      </c>
      <c r="M263">
        <f>IFERROR(
   Sheet2_RawData!$H198 * Sheet2_RawData!$I198 * (1 - Sheet2_RawData!$J198),
   ""
)</f>
        <v>55083.402000000002</v>
      </c>
      <c r="N263">
        <f>YEAR(Sheet2_RawData!$B263)</f>
        <v>2024</v>
      </c>
      <c r="O263">
        <f>MONTH(Sheet2_RawData!$B263)</f>
        <v>8</v>
      </c>
      <c r="P263" t="b">
        <f>AND($N263=2024, OR($O263=7, $O263=8, $O263=9))</f>
        <v>1</v>
      </c>
    </row>
    <row r="264" spans="1:16" ht="15" customHeight="1" x14ac:dyDescent="0.3">
      <c r="A264" s="2" t="s">
        <v>264</v>
      </c>
      <c r="B264" s="3">
        <v>45465</v>
      </c>
      <c r="C264" s="2" t="s">
        <v>106</v>
      </c>
      <c r="D264" s="2" t="s">
        <v>40</v>
      </c>
      <c r="E264" s="2" t="s">
        <v>37</v>
      </c>
      <c r="F264" s="2" t="s">
        <v>71</v>
      </c>
      <c r="G264" s="2" t="s">
        <v>138</v>
      </c>
      <c r="H264" s="2">
        <v>9</v>
      </c>
      <c r="I264" s="4">
        <v>4876.66</v>
      </c>
      <c r="J264" s="5">
        <v>0.05</v>
      </c>
      <c r="K264" s="2" t="s">
        <v>17</v>
      </c>
      <c r="M264">
        <f>IFERROR(
   Sheet2_RawData!$H168 * Sheet2_RawData!$I168 * (1 - Sheet2_RawData!$J168),
   ""
)</f>
        <v>66255.839999999997</v>
      </c>
      <c r="N264">
        <f>YEAR(Sheet2_RawData!$B264)</f>
        <v>2024</v>
      </c>
      <c r="O264">
        <f>MONTH(Sheet2_RawData!$B264)</f>
        <v>6</v>
      </c>
    </row>
    <row r="265" spans="1:16" ht="15" customHeight="1" x14ac:dyDescent="0.3">
      <c r="A265" s="6" t="s">
        <v>59</v>
      </c>
      <c r="B265" s="7">
        <v>45631</v>
      </c>
      <c r="C265" s="6" t="s">
        <v>60</v>
      </c>
      <c r="D265" s="6" t="s">
        <v>61</v>
      </c>
      <c r="E265" s="6" t="s">
        <v>14</v>
      </c>
      <c r="F265" s="6" t="s">
        <v>44</v>
      </c>
      <c r="G265" s="6" t="s">
        <v>62</v>
      </c>
      <c r="H265" s="6">
        <v>35</v>
      </c>
      <c r="I265" s="8">
        <v>183.48</v>
      </c>
      <c r="J265" s="9">
        <v>0.05</v>
      </c>
      <c r="K265" s="6" t="s">
        <v>63</v>
      </c>
      <c r="M265">
        <f>IFERROR(
   Sheet2_RawData!$H13 * Sheet2_RawData!$I13 * (1 - Sheet2_RawData!$J13),
   ""
)</f>
        <v>161258.94</v>
      </c>
      <c r="N265">
        <f>YEAR(Sheet2_RawData!$B265)</f>
        <v>2024</v>
      </c>
      <c r="O265">
        <f>MONTH(Sheet2_RawData!$B265)</f>
        <v>12</v>
      </c>
    </row>
    <row r="266" spans="1:16" ht="15" customHeight="1" x14ac:dyDescent="0.3">
      <c r="A266" s="6" t="s">
        <v>215</v>
      </c>
      <c r="B266" s="7">
        <v>45462</v>
      </c>
      <c r="C266" s="6" t="s">
        <v>65</v>
      </c>
      <c r="D266" s="6" t="s">
        <v>98</v>
      </c>
      <c r="E266" s="6" t="s">
        <v>52</v>
      </c>
      <c r="F266" s="6" t="s">
        <v>22</v>
      </c>
      <c r="G266" s="6" t="s">
        <v>41</v>
      </c>
      <c r="H266" s="6">
        <v>47</v>
      </c>
      <c r="I266" s="8">
        <v>3302.67</v>
      </c>
      <c r="J266" s="9">
        <v>0</v>
      </c>
      <c r="K266" s="6" t="s">
        <v>95</v>
      </c>
      <c r="M266">
        <f>IFERROR(
   Sheet2_RawData!$H121 * Sheet2_RawData!$I121 * (1 - Sheet2_RawData!$J121),
   ""
)</f>
        <v>27712.26</v>
      </c>
      <c r="N266">
        <f>YEAR(Sheet2_RawData!$B266)</f>
        <v>2024</v>
      </c>
      <c r="O266">
        <f>MONTH(Sheet2_RawData!$B266)</f>
        <v>6</v>
      </c>
    </row>
    <row r="267" spans="1:16" ht="15" customHeight="1" x14ac:dyDescent="0.3">
      <c r="A267" s="6" t="s">
        <v>229</v>
      </c>
      <c r="B267" s="7">
        <v>45599</v>
      </c>
      <c r="C267" s="6" t="s">
        <v>19</v>
      </c>
      <c r="D267" s="6" t="s">
        <v>98</v>
      </c>
      <c r="E267" s="6" t="s">
        <v>14</v>
      </c>
      <c r="F267" s="6" t="s">
        <v>44</v>
      </c>
      <c r="G267" s="6" t="s">
        <v>58</v>
      </c>
      <c r="H267" s="6">
        <v>16</v>
      </c>
      <c r="I267" s="8">
        <v>1420.99</v>
      </c>
      <c r="J267" s="9">
        <v>0</v>
      </c>
      <c r="K267" s="6" t="s">
        <v>17</v>
      </c>
      <c r="M267">
        <f>IFERROR(
   Sheet2_RawData!$H135 * Sheet2_RawData!$I135 * (1 - Sheet2_RawData!$J135),
   ""
)</f>
        <v>33069.120000000003</v>
      </c>
      <c r="N267">
        <f>YEAR(Sheet2_RawData!$B267)</f>
        <v>2024</v>
      </c>
      <c r="O267">
        <f>MONTH(Sheet2_RawData!$B267)</f>
        <v>11</v>
      </c>
    </row>
    <row r="268" spans="1:16" ht="15" customHeight="1" x14ac:dyDescent="0.3">
      <c r="A268" s="6" t="s">
        <v>231</v>
      </c>
      <c r="B268" s="7">
        <v>45393</v>
      </c>
      <c r="C268" s="6" t="s">
        <v>185</v>
      </c>
      <c r="D268" s="6" t="s">
        <v>89</v>
      </c>
      <c r="E268" s="6" t="s">
        <v>52</v>
      </c>
      <c r="F268" s="6" t="s">
        <v>71</v>
      </c>
      <c r="G268" s="6" t="s">
        <v>78</v>
      </c>
      <c r="H268" s="6">
        <v>14</v>
      </c>
      <c r="I268" s="8">
        <v>1201.67</v>
      </c>
      <c r="J268" s="9">
        <v>0.1</v>
      </c>
      <c r="K268" s="6" t="s">
        <v>17</v>
      </c>
      <c r="M268">
        <f>IFERROR(
   Sheet2_RawData!$H137 * Sheet2_RawData!$I137 * (1 - Sheet2_RawData!$J137),
   ""
)</f>
        <v>32661.72</v>
      </c>
      <c r="N268">
        <f>YEAR(Sheet2_RawData!$B268)</f>
        <v>2024</v>
      </c>
      <c r="O268">
        <f>MONTH(Sheet2_RawData!$B268)</f>
        <v>4</v>
      </c>
    </row>
    <row r="269" spans="1:16" ht="15" customHeight="1" x14ac:dyDescent="0.3">
      <c r="A269" s="6" t="s">
        <v>285</v>
      </c>
      <c r="B269" s="7">
        <v>45571</v>
      </c>
      <c r="C269" s="6" t="s">
        <v>86</v>
      </c>
      <c r="D269" s="6" t="s">
        <v>70</v>
      </c>
      <c r="E269" s="6" t="s">
        <v>21</v>
      </c>
      <c r="F269" s="6" t="s">
        <v>22</v>
      </c>
      <c r="G269" s="6" t="s">
        <v>111</v>
      </c>
      <c r="H269" s="6">
        <v>9</v>
      </c>
      <c r="I269" s="8">
        <v>3695.53</v>
      </c>
      <c r="J269" s="9">
        <v>0.15</v>
      </c>
      <c r="K269" s="6" t="s">
        <v>63</v>
      </c>
      <c r="M269">
        <f>IFERROR(
   Sheet2_RawData!$H189 * Sheet2_RawData!$I189 * (1 - Sheet2_RawData!$J189),
   ""
)</f>
        <v>8479.1410000000014</v>
      </c>
      <c r="N269">
        <f>YEAR(Sheet2_RawData!$B269)</f>
        <v>2024</v>
      </c>
      <c r="O269">
        <f>MONTH(Sheet2_RawData!$B269)</f>
        <v>10</v>
      </c>
    </row>
    <row r="270" spans="1:16" ht="15" customHeight="1" x14ac:dyDescent="0.3">
      <c r="A270" s="2" t="s">
        <v>204</v>
      </c>
      <c r="B270" s="3">
        <v>45413</v>
      </c>
      <c r="C270" s="2" t="s">
        <v>148</v>
      </c>
      <c r="D270" s="2" t="s">
        <v>40</v>
      </c>
      <c r="E270" s="2" t="s">
        <v>31</v>
      </c>
      <c r="F270" s="2" t="s">
        <v>71</v>
      </c>
      <c r="G270" s="2" t="s">
        <v>138</v>
      </c>
      <c r="H270" s="2">
        <v>37</v>
      </c>
      <c r="I270" s="4">
        <v>3009.69</v>
      </c>
      <c r="J270" s="5">
        <v>0.15</v>
      </c>
      <c r="K270" s="2" t="s">
        <v>95</v>
      </c>
      <c r="M270">
        <f>IFERROR(
   Sheet2_RawData!$H110 * Sheet2_RawData!$I110 * (1 - Sheet2_RawData!$J110),
   ""
)</f>
        <v>69012.054000000004</v>
      </c>
      <c r="N270">
        <f>YEAR(Sheet2_RawData!$B270)</f>
        <v>2024</v>
      </c>
      <c r="O270">
        <f>MONTH(Sheet2_RawData!$B270)</f>
        <v>5</v>
      </c>
    </row>
    <row r="271" spans="1:16" ht="15" customHeight="1" x14ac:dyDescent="0.3">
      <c r="A271" s="6" t="s">
        <v>112</v>
      </c>
      <c r="B271" s="7">
        <v>45486</v>
      </c>
      <c r="C271" s="6" t="s">
        <v>25</v>
      </c>
      <c r="D271" s="6" t="s">
        <v>89</v>
      </c>
      <c r="E271" s="6" t="s">
        <v>31</v>
      </c>
      <c r="F271" s="6" t="s">
        <v>71</v>
      </c>
      <c r="G271" s="6" t="s">
        <v>101</v>
      </c>
      <c r="H271" s="6">
        <v>31</v>
      </c>
      <c r="I271" s="8">
        <v>894.03</v>
      </c>
      <c r="J271" s="9">
        <v>0.15</v>
      </c>
      <c r="K271" s="6" t="s">
        <v>63</v>
      </c>
      <c r="M271">
        <f>IFERROR(
   Sheet2_RawData!$H31 * Sheet2_RawData!$I31 * (1 - Sheet2_RawData!$J31),
   ""
)</f>
        <v>34825.841</v>
      </c>
      <c r="N271">
        <f>YEAR(Sheet2_RawData!$B271)</f>
        <v>2024</v>
      </c>
      <c r="O271">
        <f>MONTH(Sheet2_RawData!$B271)</f>
        <v>7</v>
      </c>
      <c r="P271" t="b">
        <f t="shared" ref="P271:P272" si="15">AND($N271=2024, OR($O271=7, $O271=8, $O271=9))</f>
        <v>1</v>
      </c>
    </row>
    <row r="272" spans="1:16" ht="15" customHeight="1" x14ac:dyDescent="0.3">
      <c r="A272" s="6" t="s">
        <v>83</v>
      </c>
      <c r="B272" s="7">
        <v>45522</v>
      </c>
      <c r="C272" s="6" t="s">
        <v>84</v>
      </c>
      <c r="D272" s="6" t="s">
        <v>13</v>
      </c>
      <c r="E272" s="6" t="s">
        <v>37</v>
      </c>
      <c r="F272" s="6" t="s">
        <v>44</v>
      </c>
      <c r="G272" s="6" t="s">
        <v>58</v>
      </c>
      <c r="H272" s="6">
        <v>8</v>
      </c>
      <c r="I272" s="8">
        <v>1461.06</v>
      </c>
      <c r="J272" s="9">
        <v>0.2</v>
      </c>
      <c r="K272" s="6" t="s">
        <v>17</v>
      </c>
      <c r="M272">
        <f>IFERROR(
   Sheet2_RawData!$H253 * Sheet2_RawData!$I253 * (1 - Sheet2_RawData!$J253),
   ""
)</f>
        <v>44987.616000000009</v>
      </c>
      <c r="N272">
        <f>YEAR(Sheet2_RawData!$B272)</f>
        <v>2024</v>
      </c>
      <c r="O272">
        <f>MONTH(Sheet2_RawData!$B272)</f>
        <v>8</v>
      </c>
      <c r="P272" t="b">
        <f t="shared" si="15"/>
        <v>1</v>
      </c>
    </row>
    <row r="273" spans="1:16" ht="15" customHeight="1" x14ac:dyDescent="0.3">
      <c r="A273" s="2" t="s">
        <v>242</v>
      </c>
      <c r="B273" s="3">
        <v>45612</v>
      </c>
      <c r="C273" s="2" t="s">
        <v>65</v>
      </c>
      <c r="D273" s="2" t="s">
        <v>26</v>
      </c>
      <c r="E273" s="2" t="s">
        <v>14</v>
      </c>
      <c r="F273" s="2" t="s">
        <v>15</v>
      </c>
      <c r="G273" s="2" t="s">
        <v>87</v>
      </c>
      <c r="H273" s="2">
        <v>41</v>
      </c>
      <c r="I273" s="4">
        <v>1422.69</v>
      </c>
      <c r="J273" s="5">
        <v>0.2</v>
      </c>
      <c r="K273" s="2" t="s">
        <v>17</v>
      </c>
      <c r="M273">
        <f>IFERROR(
   Sheet2_RawData!$H148 * Sheet2_RawData!$I148 * (1 - Sheet2_RawData!$J148),
   ""
)</f>
        <v>4631.1644999999999</v>
      </c>
      <c r="N273">
        <f>YEAR(Sheet2_RawData!$B273)</f>
        <v>2024</v>
      </c>
      <c r="O273">
        <f>MONTH(Sheet2_RawData!$B273)</f>
        <v>11</v>
      </c>
    </row>
    <row r="274" spans="1:16" ht="15" customHeight="1" x14ac:dyDescent="0.3">
      <c r="A274" s="6" t="s">
        <v>241</v>
      </c>
      <c r="B274" s="7">
        <v>45369</v>
      </c>
      <c r="C274" s="6" t="s">
        <v>81</v>
      </c>
      <c r="D274" s="6" t="s">
        <v>13</v>
      </c>
      <c r="E274" s="6" t="s">
        <v>52</v>
      </c>
      <c r="F274" s="6" t="s">
        <v>66</v>
      </c>
      <c r="G274" s="6" t="s">
        <v>67</v>
      </c>
      <c r="H274" s="6">
        <v>32</v>
      </c>
      <c r="I274" s="8">
        <v>416.71</v>
      </c>
      <c r="J274" s="9">
        <v>0.15</v>
      </c>
      <c r="K274" s="6" t="s">
        <v>63</v>
      </c>
      <c r="M274">
        <f>IFERROR(
   Sheet2_RawData!$H147 * Sheet2_RawData!$I147 * (1 - Sheet2_RawData!$J147),
   ""
)</f>
        <v>101426.03749999999</v>
      </c>
      <c r="N274">
        <f>YEAR(Sheet2_RawData!$B274)</f>
        <v>2024</v>
      </c>
      <c r="O274">
        <f>MONTH(Sheet2_RawData!$B274)</f>
        <v>3</v>
      </c>
    </row>
    <row r="275" spans="1:16" ht="15" customHeight="1" x14ac:dyDescent="0.3">
      <c r="A275" s="2" t="s">
        <v>310</v>
      </c>
      <c r="B275" s="3">
        <v>45645</v>
      </c>
      <c r="C275" s="2" t="s">
        <v>84</v>
      </c>
      <c r="D275" s="2" t="s">
        <v>26</v>
      </c>
      <c r="E275" s="2" t="s">
        <v>31</v>
      </c>
      <c r="F275" s="2" t="s">
        <v>44</v>
      </c>
      <c r="G275" s="2" t="s">
        <v>49</v>
      </c>
      <c r="H275" s="2">
        <v>39</v>
      </c>
      <c r="I275" s="4">
        <v>2144.5300000000002</v>
      </c>
      <c r="J275" s="5">
        <v>0</v>
      </c>
      <c r="K275" s="2" t="s">
        <v>33</v>
      </c>
      <c r="M275">
        <f>IFERROR(
   Sheet2_RawData!$H214 * Sheet2_RawData!$I214 * (1 - Sheet2_RawData!$J214),
   ""
)</f>
        <v>52123.200000000004</v>
      </c>
      <c r="N275">
        <f>YEAR(Sheet2_RawData!$B275)</f>
        <v>2024</v>
      </c>
      <c r="O275">
        <f>MONTH(Sheet2_RawData!$B275)</f>
        <v>12</v>
      </c>
    </row>
    <row r="276" spans="1:16" ht="15" customHeight="1" x14ac:dyDescent="0.3">
      <c r="A276" s="2" t="s">
        <v>262</v>
      </c>
      <c r="B276" s="3">
        <v>45542</v>
      </c>
      <c r="C276" s="2" t="s">
        <v>84</v>
      </c>
      <c r="D276" s="2" t="s">
        <v>98</v>
      </c>
      <c r="E276" s="2" t="s">
        <v>31</v>
      </c>
      <c r="F276" s="2" t="s">
        <v>71</v>
      </c>
      <c r="G276" s="2" t="s">
        <v>82</v>
      </c>
      <c r="H276" s="2">
        <v>29</v>
      </c>
      <c r="I276" s="4">
        <v>625.39</v>
      </c>
      <c r="J276" s="5">
        <v>0</v>
      </c>
      <c r="K276" s="2" t="s">
        <v>63</v>
      </c>
      <c r="M276">
        <f>IFERROR(
   Sheet2_RawData!$H166 * Sheet2_RawData!$I166 * (1 - Sheet2_RawData!$J166),
   ""
)</f>
        <v>51230.421999999999</v>
      </c>
      <c r="N276">
        <f>YEAR(Sheet2_RawData!$B276)</f>
        <v>2024</v>
      </c>
      <c r="O276">
        <f>MONTH(Sheet2_RawData!$B276)</f>
        <v>9</v>
      </c>
      <c r="P276" t="b">
        <f t="shared" ref="P276:P277" si="16">AND($N276=2024, OR($O276=7, $O276=8, $O276=9))</f>
        <v>1</v>
      </c>
    </row>
    <row r="277" spans="1:16" ht="15" customHeight="1" x14ac:dyDescent="0.3">
      <c r="A277" s="2" t="s">
        <v>83</v>
      </c>
      <c r="B277" s="3">
        <v>45522</v>
      </c>
      <c r="C277" s="2" t="s">
        <v>84</v>
      </c>
      <c r="D277" s="2" t="s">
        <v>13</v>
      </c>
      <c r="E277" s="2" t="s">
        <v>37</v>
      </c>
      <c r="F277" s="2" t="s">
        <v>44</v>
      </c>
      <c r="G277" s="2" t="s">
        <v>58</v>
      </c>
      <c r="H277" s="2">
        <v>8</v>
      </c>
      <c r="I277" s="4">
        <v>1461.06</v>
      </c>
      <c r="J277" s="5">
        <v>0.2</v>
      </c>
      <c r="K277" s="2" t="s">
        <v>17</v>
      </c>
      <c r="M277">
        <f>IFERROR(
   Sheet2_RawData!$H20 * Sheet2_RawData!$I20 * (1 - Sheet2_RawData!$J20),
   ""
)</f>
        <v>29082.600000000002</v>
      </c>
      <c r="N277">
        <f>YEAR(Sheet2_RawData!$B277)</f>
        <v>2024</v>
      </c>
      <c r="O277">
        <f>MONTH(Sheet2_RawData!$B277)</f>
        <v>8</v>
      </c>
      <c r="P277" t="b">
        <f t="shared" si="16"/>
        <v>1</v>
      </c>
    </row>
    <row r="278" spans="1:16" ht="15" customHeight="1" x14ac:dyDescent="0.3">
      <c r="A278" s="6" t="s">
        <v>258</v>
      </c>
      <c r="B278" s="7">
        <v>45305</v>
      </c>
      <c r="C278" s="6" t="s">
        <v>106</v>
      </c>
      <c r="D278" s="6" t="s">
        <v>70</v>
      </c>
      <c r="E278" s="6" t="s">
        <v>37</v>
      </c>
      <c r="F278" s="6" t="s">
        <v>15</v>
      </c>
      <c r="G278" s="6" t="s">
        <v>55</v>
      </c>
      <c r="H278" s="6">
        <v>13</v>
      </c>
      <c r="I278" s="8">
        <v>3970.73</v>
      </c>
      <c r="J278" s="9">
        <v>0</v>
      </c>
      <c r="K278" s="6" t="s">
        <v>95</v>
      </c>
      <c r="M278">
        <f>IFERROR(
   Sheet2_RawData!$H163 * Sheet2_RawData!$I163 * (1 - Sheet2_RawData!$J163),
   ""
)</f>
        <v>82806.8</v>
      </c>
      <c r="N278">
        <f>YEAR(Sheet2_RawData!$B278)</f>
        <v>2024</v>
      </c>
      <c r="O278">
        <f>MONTH(Sheet2_RawData!$B278)</f>
        <v>1</v>
      </c>
    </row>
    <row r="279" spans="1:16" ht="15" customHeight="1" x14ac:dyDescent="0.3">
      <c r="A279" s="6" t="s">
        <v>154</v>
      </c>
      <c r="B279" s="7">
        <v>45491</v>
      </c>
      <c r="C279" s="6" t="s">
        <v>57</v>
      </c>
      <c r="D279" s="6" t="s">
        <v>40</v>
      </c>
      <c r="E279" s="6" t="s">
        <v>52</v>
      </c>
      <c r="F279" s="6" t="s">
        <v>44</v>
      </c>
      <c r="G279" s="6" t="s">
        <v>49</v>
      </c>
      <c r="H279" s="6">
        <v>31</v>
      </c>
      <c r="I279" s="8">
        <v>79.19</v>
      </c>
      <c r="J279" s="9">
        <v>0</v>
      </c>
      <c r="K279" s="6" t="s">
        <v>17</v>
      </c>
      <c r="M279">
        <f>IFERROR(
   Sheet2_RawData!$H61 * Sheet2_RawData!$I61 * (1 - Sheet2_RawData!$J61),
   ""
)</f>
        <v>24414.11</v>
      </c>
      <c r="N279">
        <f>YEAR(Sheet2_RawData!$B279)</f>
        <v>2024</v>
      </c>
      <c r="O279">
        <f>MONTH(Sheet2_RawData!$B279)</f>
        <v>7</v>
      </c>
      <c r="P279" t="b">
        <f>AND($N279=2024, OR($O279=7, $O279=8, $O279=9))</f>
        <v>1</v>
      </c>
    </row>
    <row r="280" spans="1:16" ht="15" customHeight="1" x14ac:dyDescent="0.3">
      <c r="A280" s="2" t="s">
        <v>176</v>
      </c>
      <c r="B280" s="3">
        <v>45585</v>
      </c>
      <c r="C280" s="2" t="s">
        <v>110</v>
      </c>
      <c r="D280" s="2" t="s">
        <v>26</v>
      </c>
      <c r="E280" s="2" t="s">
        <v>37</v>
      </c>
      <c r="F280" s="2" t="s">
        <v>71</v>
      </c>
      <c r="G280" s="2" t="s">
        <v>138</v>
      </c>
      <c r="H280" s="2">
        <v>35</v>
      </c>
      <c r="I280" s="4">
        <v>883.47</v>
      </c>
      <c r="J280" s="5">
        <v>0.15</v>
      </c>
      <c r="K280" s="2" t="s">
        <v>17</v>
      </c>
      <c r="M280">
        <f>IFERROR(
   Sheet2_RawData!$H82 * Sheet2_RawData!$I82 * (1 - Sheet2_RawData!$J82),
   ""
)</f>
        <v>19963.440000000002</v>
      </c>
      <c r="N280">
        <f>YEAR(Sheet2_RawData!$B280)</f>
        <v>2024</v>
      </c>
      <c r="O280">
        <f>MONTH(Sheet2_RawData!$B280)</f>
        <v>10</v>
      </c>
    </row>
    <row r="281" spans="1:16" ht="15" customHeight="1" x14ac:dyDescent="0.3">
      <c r="A281" s="6" t="s">
        <v>263</v>
      </c>
      <c r="B281" s="7">
        <v>45598</v>
      </c>
      <c r="C281" s="6" t="s">
        <v>65</v>
      </c>
      <c r="D281" s="6" t="s">
        <v>89</v>
      </c>
      <c r="E281" s="6" t="s">
        <v>37</v>
      </c>
      <c r="F281" s="6" t="s">
        <v>22</v>
      </c>
      <c r="G281" s="6" t="s">
        <v>116</v>
      </c>
      <c r="H281" s="6">
        <v>14</v>
      </c>
      <c r="I281" s="8">
        <v>383.09</v>
      </c>
      <c r="J281" s="9">
        <v>0.1</v>
      </c>
      <c r="K281" s="6" t="s">
        <v>17</v>
      </c>
      <c r="M281">
        <f>IFERROR(
   Sheet2_RawData!$H167 * Sheet2_RawData!$I167 * (1 - Sheet2_RawData!$J167),
   ""
)</f>
        <v>158562.96</v>
      </c>
      <c r="N281">
        <f>YEAR(Sheet2_RawData!$B281)</f>
        <v>2024</v>
      </c>
      <c r="O281">
        <f>MONTH(Sheet2_RawData!$B281)</f>
        <v>11</v>
      </c>
    </row>
    <row r="282" spans="1:16" ht="15" customHeight="1" x14ac:dyDescent="0.3">
      <c r="A282" s="6" t="s">
        <v>202</v>
      </c>
      <c r="B282" s="7">
        <v>45504</v>
      </c>
      <c r="C282" s="6" t="s">
        <v>65</v>
      </c>
      <c r="D282" s="6" t="s">
        <v>89</v>
      </c>
      <c r="E282" s="6" t="s">
        <v>52</v>
      </c>
      <c r="F282" s="6" t="s">
        <v>15</v>
      </c>
      <c r="G282" s="6" t="s">
        <v>27</v>
      </c>
      <c r="H282" s="6"/>
      <c r="I282" s="8">
        <v>3075.81</v>
      </c>
      <c r="J282" s="9">
        <v>0.2</v>
      </c>
      <c r="K282" s="6" t="s">
        <v>17</v>
      </c>
      <c r="M282">
        <f>IFERROR(
   Sheet2_RawData!$H107 * Sheet2_RawData!$I107 * (1 - Sheet2_RawData!$J107),
   ""
)</f>
        <v>98215.95</v>
      </c>
      <c r="N282">
        <f>YEAR(Sheet2_RawData!$B282)</f>
        <v>2024</v>
      </c>
      <c r="O282">
        <f>MONTH(Sheet2_RawData!$B282)</f>
        <v>7</v>
      </c>
      <c r="P282" t="b">
        <f>AND($N282=2024, OR($O282=7, $O282=8, $O282=9))</f>
        <v>1</v>
      </c>
    </row>
    <row r="283" spans="1:16" ht="15" customHeight="1" x14ac:dyDescent="0.3">
      <c r="A283" s="6" t="s">
        <v>211</v>
      </c>
      <c r="B283" s="7">
        <v>45308</v>
      </c>
      <c r="C283" s="6" t="s">
        <v>54</v>
      </c>
      <c r="D283" s="6" t="s">
        <v>70</v>
      </c>
      <c r="E283" s="6" t="s">
        <v>37</v>
      </c>
      <c r="F283" s="6" t="s">
        <v>71</v>
      </c>
      <c r="G283" s="6" t="s">
        <v>82</v>
      </c>
      <c r="H283" s="6">
        <v>5</v>
      </c>
      <c r="I283" s="8">
        <v>3553.81</v>
      </c>
      <c r="J283" s="9">
        <v>0</v>
      </c>
      <c r="K283" s="6" t="s">
        <v>17</v>
      </c>
      <c r="M283">
        <f>IFERROR(
   Sheet2_RawData!$H117 * Sheet2_RawData!$I117 * (1 - Sheet2_RawData!$J117),
   ""
)</f>
        <v>101730.10400000001</v>
      </c>
      <c r="N283">
        <f>YEAR(Sheet2_RawData!$B283)</f>
        <v>2024</v>
      </c>
      <c r="O283">
        <f>MONTH(Sheet2_RawData!$B283)</f>
        <v>1</v>
      </c>
    </row>
    <row r="284" spans="1:16" ht="15" customHeight="1" x14ac:dyDescent="0.3">
      <c r="A284" s="6" t="s">
        <v>381</v>
      </c>
      <c r="B284" s="7">
        <v>45330</v>
      </c>
      <c r="C284" s="6" t="s">
        <v>115</v>
      </c>
      <c r="D284" s="6" t="s">
        <v>61</v>
      </c>
      <c r="E284" s="6" t="s">
        <v>14</v>
      </c>
      <c r="F284" s="6" t="s">
        <v>15</v>
      </c>
      <c r="G284" s="6" t="s">
        <v>32</v>
      </c>
      <c r="H284" s="6">
        <v>42</v>
      </c>
      <c r="I284" s="8">
        <v>4788.32</v>
      </c>
      <c r="J284" s="9">
        <v>0.1</v>
      </c>
      <c r="K284" s="6" t="s">
        <v>17</v>
      </c>
      <c r="M284">
        <f>IFERROR(
   Sheet2_RawData!$H291 * Sheet2_RawData!$I291 * (1 - Sheet2_RawData!$J291),
   ""
)</f>
        <v>9722.3425000000007</v>
      </c>
      <c r="N284">
        <f>YEAR(Sheet2_RawData!$B284)</f>
        <v>2024</v>
      </c>
      <c r="O284">
        <f>MONTH(Sheet2_RawData!$B284)</f>
        <v>2</v>
      </c>
    </row>
    <row r="285" spans="1:16" ht="15" customHeight="1" x14ac:dyDescent="0.3">
      <c r="A285" s="6" t="s">
        <v>114</v>
      </c>
      <c r="B285" s="7">
        <v>45636</v>
      </c>
      <c r="C285" s="6" t="s">
        <v>115</v>
      </c>
      <c r="D285" s="6" t="s">
        <v>13</v>
      </c>
      <c r="E285" s="6" t="s">
        <v>21</v>
      </c>
      <c r="F285" s="6" t="s">
        <v>22</v>
      </c>
      <c r="G285" s="6" t="s">
        <v>116</v>
      </c>
      <c r="H285" s="6">
        <v>47</v>
      </c>
      <c r="I285" s="8">
        <v>4155.5600000000004</v>
      </c>
      <c r="J285" s="9">
        <v>0</v>
      </c>
      <c r="K285" s="6" t="s">
        <v>17</v>
      </c>
      <c r="M285">
        <f>IFERROR(
   Sheet2_RawData!$H33 * Sheet2_RawData!$I33 * (1 - Sheet2_RawData!$J33),
   ""
)</f>
        <v>5698.1880000000001</v>
      </c>
      <c r="N285">
        <f>YEAR(Sheet2_RawData!$B285)</f>
        <v>2024</v>
      </c>
      <c r="O285">
        <f>MONTH(Sheet2_RawData!$B285)</f>
        <v>12</v>
      </c>
    </row>
    <row r="286" spans="1:16" ht="15" customHeight="1" x14ac:dyDescent="0.3">
      <c r="A286" s="6" t="s">
        <v>265</v>
      </c>
      <c r="B286" s="7">
        <v>45318</v>
      </c>
      <c r="C286" s="6" t="s">
        <v>35</v>
      </c>
      <c r="D286" s="6" t="s">
        <v>70</v>
      </c>
      <c r="E286" s="6" t="s">
        <v>31</v>
      </c>
      <c r="F286" s="6" t="s">
        <v>71</v>
      </c>
      <c r="G286" s="6" t="s">
        <v>101</v>
      </c>
      <c r="H286" s="6">
        <v>43</v>
      </c>
      <c r="I286" s="8">
        <v>4530.66</v>
      </c>
      <c r="J286" s="9">
        <v>0</v>
      </c>
      <c r="K286" s="6" t="s">
        <v>63</v>
      </c>
      <c r="M286">
        <f>IFERROR(
   Sheet2_RawData!$H169 * Sheet2_RawData!$I169 * (1 - Sheet2_RawData!$J169),
   ""
)</f>
        <v>133420.56</v>
      </c>
      <c r="N286">
        <f>YEAR(Sheet2_RawData!$B286)</f>
        <v>2024</v>
      </c>
      <c r="O286">
        <f>MONTH(Sheet2_RawData!$B286)</f>
        <v>1</v>
      </c>
    </row>
    <row r="287" spans="1:16" ht="15" customHeight="1" x14ac:dyDescent="0.3">
      <c r="A287" s="6" t="s">
        <v>198</v>
      </c>
      <c r="B287" s="7">
        <v>45445</v>
      </c>
      <c r="C287" s="6" t="s">
        <v>92</v>
      </c>
      <c r="D287" s="6" t="s">
        <v>48</v>
      </c>
      <c r="E287" s="6" t="s">
        <v>21</v>
      </c>
      <c r="F287" s="6" t="s">
        <v>44</v>
      </c>
      <c r="G287" s="6" t="s">
        <v>62</v>
      </c>
      <c r="H287" s="6">
        <v>49</v>
      </c>
      <c r="I287" s="8">
        <v>2712.74</v>
      </c>
      <c r="J287" s="9">
        <v>0</v>
      </c>
      <c r="K287" s="6" t="s">
        <v>95</v>
      </c>
      <c r="M287">
        <f>IFERROR(
   Sheet2_RawData!$H103 * Sheet2_RawData!$I103 * (1 - Sheet2_RawData!$J103),
   ""
)</f>
        <v>41213.507999999994</v>
      </c>
      <c r="N287">
        <f>YEAR(Sheet2_RawData!$B287)</f>
        <v>2024</v>
      </c>
      <c r="O287">
        <f>MONTH(Sheet2_RawData!$B287)</f>
        <v>6</v>
      </c>
    </row>
    <row r="288" spans="1:16" ht="15" customHeight="1" x14ac:dyDescent="0.3">
      <c r="A288" s="6" t="s">
        <v>141</v>
      </c>
      <c r="B288" s="7">
        <v>45593</v>
      </c>
      <c r="C288" s="6" t="s">
        <v>125</v>
      </c>
      <c r="D288" s="6" t="s">
        <v>36</v>
      </c>
      <c r="E288" s="6" t="s">
        <v>37</v>
      </c>
      <c r="F288" s="6" t="s">
        <v>66</v>
      </c>
      <c r="G288" s="6" t="s">
        <v>142</v>
      </c>
      <c r="H288" s="6">
        <v>6</v>
      </c>
      <c r="I288" s="8">
        <v>2211.7199999999998</v>
      </c>
      <c r="J288" s="9">
        <v>0</v>
      </c>
      <c r="K288" s="6" t="s">
        <v>17</v>
      </c>
      <c r="M288">
        <f>IFERROR(
   Sheet2_RawData!$H51 * Sheet2_RawData!$I51 * (1 - Sheet2_RawData!$J51),
   ""
)</f>
        <v>64348.06</v>
      </c>
      <c r="N288">
        <f>YEAR(Sheet2_RawData!$B288)</f>
        <v>2024</v>
      </c>
      <c r="O288">
        <f>MONTH(Sheet2_RawData!$B288)</f>
        <v>10</v>
      </c>
    </row>
    <row r="289" spans="1:16" ht="15" customHeight="1" x14ac:dyDescent="0.3">
      <c r="A289" s="2" t="s">
        <v>352</v>
      </c>
      <c r="B289" s="3">
        <v>45329</v>
      </c>
      <c r="C289" s="2" t="s">
        <v>54</v>
      </c>
      <c r="D289" s="2" t="s">
        <v>13</v>
      </c>
      <c r="E289" s="2" t="s">
        <v>21</v>
      </c>
      <c r="F289" s="2" t="s">
        <v>66</v>
      </c>
      <c r="G289" s="2" t="s">
        <v>67</v>
      </c>
      <c r="H289" s="2">
        <v>30</v>
      </c>
      <c r="I289" s="4">
        <v>3124.74</v>
      </c>
      <c r="J289" s="5">
        <v>0.1</v>
      </c>
      <c r="K289" s="2" t="s">
        <v>28</v>
      </c>
      <c r="M289">
        <f>IFERROR(
   Sheet2_RawData!$H260 * Sheet2_RawData!$I260 * (1 - Sheet2_RawData!$J260),
   ""
)</f>
        <v>91432.331999999995</v>
      </c>
      <c r="N289">
        <f>YEAR(Sheet2_RawData!$B289)</f>
        <v>2024</v>
      </c>
      <c r="O289">
        <f>MONTH(Sheet2_RawData!$B289)</f>
        <v>2</v>
      </c>
    </row>
    <row r="290" spans="1:16" ht="15" customHeight="1" x14ac:dyDescent="0.3">
      <c r="A290" s="2" t="s">
        <v>50</v>
      </c>
      <c r="B290" s="3">
        <v>45443</v>
      </c>
      <c r="C290" s="2" t="s">
        <v>51</v>
      </c>
      <c r="D290" s="2" t="s">
        <v>26</v>
      </c>
      <c r="E290" s="2" t="s">
        <v>52</v>
      </c>
      <c r="F290" s="2" t="s">
        <v>15</v>
      </c>
      <c r="G290" s="2" t="s">
        <v>16</v>
      </c>
      <c r="H290" s="2">
        <v>3</v>
      </c>
      <c r="I290" s="4">
        <v>2918.89</v>
      </c>
      <c r="J290" s="5">
        <v>0.15</v>
      </c>
      <c r="K290" s="2" t="s">
        <v>17</v>
      </c>
      <c r="M290">
        <f>IFERROR(
   Sheet2_RawData!$H10 * Sheet2_RawData!$I10 * (1 - Sheet2_RawData!$J10),
   ""
)</f>
        <v>42751.17</v>
      </c>
      <c r="N290">
        <f>YEAR(Sheet2_RawData!$B290)</f>
        <v>2024</v>
      </c>
      <c r="O290">
        <f>MONTH(Sheet2_RawData!$B290)</f>
        <v>5</v>
      </c>
    </row>
    <row r="291" spans="1:16" ht="15" customHeight="1" x14ac:dyDescent="0.3">
      <c r="A291" s="6" t="s">
        <v>246</v>
      </c>
      <c r="B291" s="7">
        <v>45336</v>
      </c>
      <c r="C291" s="6" t="s">
        <v>19</v>
      </c>
      <c r="D291" s="6" t="s">
        <v>13</v>
      </c>
      <c r="E291" s="6" t="s">
        <v>31</v>
      </c>
      <c r="F291" s="6" t="s">
        <v>66</v>
      </c>
      <c r="G291" s="6" t="s">
        <v>67</v>
      </c>
      <c r="H291" s="6">
        <v>5</v>
      </c>
      <c r="I291" s="8">
        <v>2287.61</v>
      </c>
      <c r="J291" s="9">
        <v>0.15</v>
      </c>
      <c r="K291" s="6" t="s">
        <v>17</v>
      </c>
      <c r="M291">
        <f>IFERROR(
   Sheet2_RawData!$H175 * Sheet2_RawData!$I175 * (1 - Sheet2_RawData!$J175),
   ""
)</f>
        <v>67823.768000000011</v>
      </c>
      <c r="N291">
        <f>YEAR(Sheet2_RawData!$B291)</f>
        <v>2024</v>
      </c>
      <c r="O291">
        <f>MONTH(Sheet2_RawData!$B291)</f>
        <v>2</v>
      </c>
    </row>
    <row r="292" spans="1:16" ht="15" customHeight="1" x14ac:dyDescent="0.3">
      <c r="A292" s="2" t="s">
        <v>210</v>
      </c>
      <c r="B292" s="3">
        <v>45629</v>
      </c>
      <c r="C292" s="2" t="s">
        <v>166</v>
      </c>
      <c r="D292" s="2" t="s">
        <v>89</v>
      </c>
      <c r="E292" s="2" t="s">
        <v>21</v>
      </c>
      <c r="F292" s="2" t="s">
        <v>66</v>
      </c>
      <c r="G292" s="2" t="s">
        <v>90</v>
      </c>
      <c r="H292" s="2">
        <v>47</v>
      </c>
      <c r="I292" s="4">
        <v>1527.85</v>
      </c>
      <c r="J292" s="5">
        <v>0.1</v>
      </c>
      <c r="K292" s="2" t="s">
        <v>63</v>
      </c>
      <c r="M292">
        <f>IFERROR(
   Sheet2_RawData!$H116 * Sheet2_RawData!$I116 * (1 - Sheet2_RawData!$J116),
   ""
)</f>
        <v>148.91400000000002</v>
      </c>
      <c r="N292">
        <f>YEAR(Sheet2_RawData!$B292)</f>
        <v>2024</v>
      </c>
      <c r="O292">
        <f>MONTH(Sheet2_RawData!$B292)</f>
        <v>12</v>
      </c>
    </row>
    <row r="293" spans="1:16" ht="15" customHeight="1" x14ac:dyDescent="0.3">
      <c r="A293" s="2" t="s">
        <v>168</v>
      </c>
      <c r="B293" s="3">
        <v>45578</v>
      </c>
      <c r="C293" s="2" t="s">
        <v>166</v>
      </c>
      <c r="D293" s="2" t="s">
        <v>89</v>
      </c>
      <c r="E293" s="2" t="s">
        <v>14</v>
      </c>
      <c r="F293" s="2" t="s">
        <v>71</v>
      </c>
      <c r="G293" s="2" t="s">
        <v>138</v>
      </c>
      <c r="H293" s="2">
        <v>27</v>
      </c>
      <c r="I293" s="4">
        <v>1969.61</v>
      </c>
      <c r="J293" s="5">
        <v>0</v>
      </c>
      <c r="K293" s="2" t="s">
        <v>63</v>
      </c>
      <c r="M293">
        <f>IFERROR(
   Sheet2_RawData!$H74 * Sheet2_RawData!$I74 * (1 - Sheet2_RawData!$J74),
   ""
)</f>
        <v>27279.559999999998</v>
      </c>
      <c r="N293">
        <f>YEAR(Sheet2_RawData!$B293)</f>
        <v>2024</v>
      </c>
      <c r="O293">
        <f>MONTH(Sheet2_RawData!$B293)</f>
        <v>10</v>
      </c>
    </row>
    <row r="294" spans="1:16" ht="15" customHeight="1" x14ac:dyDescent="0.3">
      <c r="A294" s="2" t="s">
        <v>277</v>
      </c>
      <c r="B294" s="3">
        <v>45512</v>
      </c>
      <c r="C294" s="2" t="s">
        <v>278</v>
      </c>
      <c r="D294" s="2" t="s">
        <v>89</v>
      </c>
      <c r="E294" s="2" t="s">
        <v>21</v>
      </c>
      <c r="F294" s="2" t="s">
        <v>44</v>
      </c>
      <c r="G294" s="2" t="s">
        <v>62</v>
      </c>
      <c r="H294" s="2">
        <v>21</v>
      </c>
      <c r="I294" s="4">
        <v>3990.91</v>
      </c>
      <c r="J294" s="5">
        <v>0</v>
      </c>
      <c r="K294" s="2" t="s">
        <v>17</v>
      </c>
      <c r="M294">
        <f>IFERROR(
   Sheet2_RawData!$H182 * Sheet2_RawData!$I182 * (1 - Sheet2_RawData!$J182),
   ""
)</f>
        <v>162941.34</v>
      </c>
      <c r="N294">
        <f>YEAR(Sheet2_RawData!$B294)</f>
        <v>2024</v>
      </c>
      <c r="O294">
        <f>MONTH(Sheet2_RawData!$B294)</f>
        <v>8</v>
      </c>
      <c r="P294" t="b">
        <f>AND($N294=2024, OR($O294=7, $O294=8, $O294=9))</f>
        <v>1</v>
      </c>
    </row>
    <row r="295" spans="1:16" ht="15" customHeight="1" x14ac:dyDescent="0.3">
      <c r="A295" s="2" t="s">
        <v>394</v>
      </c>
      <c r="B295" s="3">
        <v>45459</v>
      </c>
      <c r="C295" s="2" t="s">
        <v>92</v>
      </c>
      <c r="D295" s="2" t="s">
        <v>36</v>
      </c>
      <c r="E295" s="2" t="s">
        <v>31</v>
      </c>
      <c r="F295" s="2" t="s">
        <v>22</v>
      </c>
      <c r="G295" s="2" t="s">
        <v>116</v>
      </c>
      <c r="H295" s="2">
        <v>4</v>
      </c>
      <c r="I295" s="4">
        <v>1337.77</v>
      </c>
      <c r="J295" s="5">
        <v>0</v>
      </c>
      <c r="K295" s="2" t="s">
        <v>17</v>
      </c>
      <c r="M295">
        <f>IFERROR(
   Sheet2_RawData!$H306 * Sheet2_RawData!$I306 * (1 - Sheet2_RawData!$J306),
   ""
)</f>
        <v>69874.793999999994</v>
      </c>
      <c r="N295">
        <f>YEAR(Sheet2_RawData!$B295)</f>
        <v>2024</v>
      </c>
      <c r="O295">
        <f>MONTH(Sheet2_RawData!$B295)</f>
        <v>6</v>
      </c>
    </row>
    <row r="296" spans="1:16" ht="15" customHeight="1" x14ac:dyDescent="0.3">
      <c r="A296" s="2" t="s">
        <v>327</v>
      </c>
      <c r="B296" s="3">
        <v>45355</v>
      </c>
      <c r="C296" s="2" t="s">
        <v>51</v>
      </c>
      <c r="D296" s="2" t="s">
        <v>40</v>
      </c>
      <c r="E296" s="2" t="s">
        <v>14</v>
      </c>
      <c r="F296" s="2" t="s">
        <v>15</v>
      </c>
      <c r="G296" s="2" t="s">
        <v>27</v>
      </c>
      <c r="H296" s="2">
        <v>14</v>
      </c>
      <c r="I296" s="4">
        <v>479.11</v>
      </c>
      <c r="J296" s="5">
        <v>0</v>
      </c>
      <c r="K296" s="2" t="s">
        <v>17</v>
      </c>
      <c r="M296">
        <f>IFERROR(
   Sheet2_RawData!$H232 * Sheet2_RawData!$I232 * (1 - Sheet2_RawData!$J232),
   ""
)</f>
        <v>3254.98</v>
      </c>
      <c r="N296">
        <f>YEAR(Sheet2_RawData!$B296)</f>
        <v>2024</v>
      </c>
      <c r="O296">
        <f>MONTH(Sheet2_RawData!$B296)</f>
        <v>3</v>
      </c>
    </row>
    <row r="297" spans="1:16" ht="15" customHeight="1" x14ac:dyDescent="0.3">
      <c r="A297" s="2" t="s">
        <v>286</v>
      </c>
      <c r="B297" s="3">
        <v>45439</v>
      </c>
      <c r="C297" s="2" t="s">
        <v>135</v>
      </c>
      <c r="D297" s="2" t="s">
        <v>36</v>
      </c>
      <c r="E297" s="2" t="s">
        <v>21</v>
      </c>
      <c r="F297" s="2" t="s">
        <v>15</v>
      </c>
      <c r="G297" s="2" t="s">
        <v>87</v>
      </c>
      <c r="H297" s="2">
        <v>36</v>
      </c>
      <c r="I297" s="4">
        <v>4671.82</v>
      </c>
      <c r="J297" s="5">
        <v>0.2</v>
      </c>
      <c r="K297" s="2" t="s">
        <v>63</v>
      </c>
      <c r="M297">
        <f>IFERROR(
   Sheet2_RawData!$H190 * Sheet2_RawData!$I190 * (1 - Sheet2_RawData!$J190),
   ""
)</f>
        <v>31523.127999999997</v>
      </c>
      <c r="N297">
        <f>YEAR(Sheet2_RawData!$B297)</f>
        <v>2024</v>
      </c>
      <c r="O297">
        <f>MONTH(Sheet2_RawData!$B297)</f>
        <v>5</v>
      </c>
    </row>
    <row r="298" spans="1:16" ht="15" customHeight="1" x14ac:dyDescent="0.3">
      <c r="A298" s="6" t="s">
        <v>251</v>
      </c>
      <c r="B298" s="7">
        <v>45543</v>
      </c>
      <c r="C298" s="6" t="s">
        <v>35</v>
      </c>
      <c r="D298" s="6" t="s">
        <v>89</v>
      </c>
      <c r="E298" s="6" t="s">
        <v>14</v>
      </c>
      <c r="F298" s="6" t="s">
        <v>71</v>
      </c>
      <c r="G298" s="6" t="s">
        <v>138</v>
      </c>
      <c r="H298" s="6">
        <v>31</v>
      </c>
      <c r="I298" s="8">
        <v>4244.13</v>
      </c>
      <c r="J298" s="9">
        <v>0.05</v>
      </c>
      <c r="K298" s="6" t="s">
        <v>63</v>
      </c>
      <c r="M298">
        <f>IFERROR(
   Sheet2_RawData!$H157 * Sheet2_RawData!$I157 * (1 - Sheet2_RawData!$J157),
   ""
)</f>
        <v>171716.16</v>
      </c>
      <c r="N298">
        <f>YEAR(Sheet2_RawData!$B298)</f>
        <v>2024</v>
      </c>
      <c r="O298">
        <f>MONTH(Sheet2_RawData!$B298)</f>
        <v>9</v>
      </c>
      <c r="P298" t="b">
        <f>AND($N298=2024, OR($O298=7, $O298=8, $O298=9))</f>
        <v>1</v>
      </c>
    </row>
    <row r="299" spans="1:16" ht="15" customHeight="1" x14ac:dyDescent="0.3">
      <c r="A299" s="6" t="s">
        <v>152</v>
      </c>
      <c r="B299" s="7">
        <v>45568</v>
      </c>
      <c r="C299" s="6" t="s">
        <v>57</v>
      </c>
      <c r="D299" s="6" t="s">
        <v>61</v>
      </c>
      <c r="E299" s="6" t="s">
        <v>37</v>
      </c>
      <c r="F299" s="6" t="s">
        <v>22</v>
      </c>
      <c r="G299" s="6" t="s">
        <v>23</v>
      </c>
      <c r="H299" s="6">
        <v>30</v>
      </c>
      <c r="I299" s="8">
        <v>1886.51</v>
      </c>
      <c r="J299" s="9">
        <v>0.15</v>
      </c>
      <c r="K299" s="6" t="s">
        <v>63</v>
      </c>
      <c r="M299">
        <f>IFERROR(
   Sheet2_RawData!$H59 * Sheet2_RawData!$I59 * (1 - Sheet2_RawData!$J59),
   ""
)</f>
        <v>71280.84</v>
      </c>
      <c r="N299">
        <f>YEAR(Sheet2_RawData!$B299)</f>
        <v>2024</v>
      </c>
      <c r="O299">
        <f>MONTH(Sheet2_RawData!$B299)</f>
        <v>10</v>
      </c>
    </row>
    <row r="300" spans="1:16" ht="15" customHeight="1" x14ac:dyDescent="0.3">
      <c r="A300" s="6" t="s">
        <v>177</v>
      </c>
      <c r="B300" s="7">
        <v>45535</v>
      </c>
      <c r="C300" s="6" t="s">
        <v>19</v>
      </c>
      <c r="D300" s="6" t="s">
        <v>13</v>
      </c>
      <c r="E300" s="6" t="s">
        <v>14</v>
      </c>
      <c r="F300" s="6" t="s">
        <v>44</v>
      </c>
      <c r="G300" s="6" t="s">
        <v>58</v>
      </c>
      <c r="H300" s="6">
        <v>1</v>
      </c>
      <c r="I300" s="8">
        <v>4824.37</v>
      </c>
      <c r="J300" s="9">
        <v>0</v>
      </c>
      <c r="K300" s="6" t="s">
        <v>17</v>
      </c>
      <c r="M300">
        <f>IFERROR(
   Sheet2_RawData!$H83 * Sheet2_RawData!$I83 * (1 - Sheet2_RawData!$J83),
   ""
)</f>
        <v>52210.99</v>
      </c>
      <c r="N300">
        <f>YEAR(Sheet2_RawData!$B300)</f>
        <v>2024</v>
      </c>
      <c r="O300">
        <f>MONTH(Sheet2_RawData!$B300)</f>
        <v>8</v>
      </c>
      <c r="P300" t="b">
        <f>AND($N300=2024, OR($O300=7, $O300=8, $O300=9))</f>
        <v>1</v>
      </c>
    </row>
    <row r="301" spans="1:16" ht="15" customHeight="1" x14ac:dyDescent="0.3">
      <c r="A301" s="6" t="s">
        <v>131</v>
      </c>
      <c r="B301" s="7">
        <v>45396</v>
      </c>
      <c r="C301" s="6" t="s">
        <v>77</v>
      </c>
      <c r="D301" s="6" t="s">
        <v>20</v>
      </c>
      <c r="E301" s="6" t="s">
        <v>14</v>
      </c>
      <c r="F301" s="6" t="s">
        <v>66</v>
      </c>
      <c r="G301" s="6" t="s">
        <v>90</v>
      </c>
      <c r="H301" s="6">
        <v>3</v>
      </c>
      <c r="I301" s="8">
        <v>1141.57</v>
      </c>
      <c r="J301" s="9">
        <v>0.1</v>
      </c>
      <c r="K301" s="6" t="s">
        <v>17</v>
      </c>
      <c r="M301">
        <f>IFERROR(
   Sheet2_RawData!$H235 * Sheet2_RawData!$I235 * (1 - Sheet2_RawData!$J235),
   ""
)</f>
        <v>9641.16</v>
      </c>
      <c r="N301">
        <f>YEAR(Sheet2_RawData!$B301)</f>
        <v>2024</v>
      </c>
      <c r="O301">
        <f>MONTH(Sheet2_RawData!$B301)</f>
        <v>4</v>
      </c>
    </row>
    <row r="302" spans="1:16" ht="15" customHeight="1" x14ac:dyDescent="0.3">
      <c r="A302" s="6" t="s">
        <v>333</v>
      </c>
      <c r="B302" s="7">
        <v>45314</v>
      </c>
      <c r="C302" s="6" t="s">
        <v>144</v>
      </c>
      <c r="D302" s="6" t="s">
        <v>40</v>
      </c>
      <c r="E302" s="6" t="s">
        <v>14</v>
      </c>
      <c r="F302" s="6" t="s">
        <v>66</v>
      </c>
      <c r="G302" s="6" t="s">
        <v>94</v>
      </c>
      <c r="H302" s="6">
        <v>8</v>
      </c>
      <c r="I302" s="8">
        <v>1956.72</v>
      </c>
      <c r="J302" s="9">
        <v>0.1</v>
      </c>
      <c r="K302" s="6" t="s">
        <v>17</v>
      </c>
      <c r="M302">
        <f>IFERROR(
   Sheet2_RawData!$H239 * Sheet2_RawData!$I239 * (1 - Sheet2_RawData!$J239),
   ""
)</f>
        <v>15284.36</v>
      </c>
      <c r="N302">
        <f>YEAR(Sheet2_RawData!$B302)</f>
        <v>2024</v>
      </c>
      <c r="O302">
        <f>MONTH(Sheet2_RawData!$B302)</f>
        <v>1</v>
      </c>
    </row>
    <row r="303" spans="1:16" ht="15" customHeight="1" x14ac:dyDescent="0.3">
      <c r="A303" s="6" t="s">
        <v>85</v>
      </c>
      <c r="B303" s="7">
        <v>45296</v>
      </c>
      <c r="C303" s="6" t="s">
        <v>86</v>
      </c>
      <c r="D303" s="6" t="s">
        <v>61</v>
      </c>
      <c r="E303" s="6" t="s">
        <v>37</v>
      </c>
      <c r="F303" s="6" t="s">
        <v>15</v>
      </c>
      <c r="G303" s="6" t="s">
        <v>87</v>
      </c>
      <c r="H303" s="6">
        <v>30</v>
      </c>
      <c r="I303" s="8">
        <v>3207.63</v>
      </c>
      <c r="J303" s="9">
        <v>0.05</v>
      </c>
      <c r="K303" s="6" t="s">
        <v>17</v>
      </c>
      <c r="M303">
        <f>IFERROR(
   Sheet2_RawData!$H21 * Sheet2_RawData!$I21 * (1 - Sheet2_RawData!$J21),
   ""
)</f>
        <v>4072.0050000000001</v>
      </c>
      <c r="N303">
        <f>YEAR(Sheet2_RawData!$B303)</f>
        <v>2024</v>
      </c>
      <c r="O303">
        <f>MONTH(Sheet2_RawData!$B303)</f>
        <v>1</v>
      </c>
    </row>
    <row r="304" spans="1:16" ht="15" customHeight="1" x14ac:dyDescent="0.3">
      <c r="A304" s="2" t="s">
        <v>386</v>
      </c>
      <c r="B304" s="3">
        <v>45467</v>
      </c>
      <c r="C304" s="2" t="s">
        <v>39</v>
      </c>
      <c r="D304" s="2" t="s">
        <v>26</v>
      </c>
      <c r="E304" s="2" t="s">
        <v>21</v>
      </c>
      <c r="F304" s="2" t="s">
        <v>44</v>
      </c>
      <c r="G304" s="2" t="s">
        <v>58</v>
      </c>
      <c r="H304" s="2">
        <v>36</v>
      </c>
      <c r="I304" s="4">
        <v>2910.77</v>
      </c>
      <c r="J304" s="5">
        <v>0.1</v>
      </c>
      <c r="K304" s="2" t="s">
        <v>33</v>
      </c>
      <c r="M304">
        <f>IFERROR(
   Sheet2_RawData!$H296 * Sheet2_RawData!$I296 * (1 - Sheet2_RawData!$J296),
   ""
)</f>
        <v>6707.54</v>
      </c>
      <c r="N304">
        <f>YEAR(Sheet2_RawData!$B304)</f>
        <v>2024</v>
      </c>
      <c r="O304">
        <f>MONTH(Sheet2_RawData!$B304)</f>
        <v>6</v>
      </c>
    </row>
    <row r="305" spans="1:17" ht="15" customHeight="1" x14ac:dyDescent="0.3">
      <c r="A305" s="2" t="s">
        <v>236</v>
      </c>
      <c r="B305" s="3">
        <v>45311</v>
      </c>
      <c r="C305" s="2" t="s">
        <v>35</v>
      </c>
      <c r="D305" s="2" t="s">
        <v>26</v>
      </c>
      <c r="E305" s="2" t="s">
        <v>21</v>
      </c>
      <c r="F305" s="2" t="s">
        <v>15</v>
      </c>
      <c r="G305" s="2" t="s">
        <v>55</v>
      </c>
      <c r="H305" s="2">
        <v>50</v>
      </c>
      <c r="I305" s="4">
        <v>492.83</v>
      </c>
      <c r="J305" s="5">
        <v>0.1</v>
      </c>
      <c r="K305" s="2" t="s">
        <v>17</v>
      </c>
      <c r="M305">
        <f>IFERROR(
   Sheet2_RawData!$H142 * Sheet2_RawData!$I142 * (1 - Sheet2_RawData!$J142),
   ""
)</f>
        <v>86851.673999999999</v>
      </c>
      <c r="N305">
        <f>YEAR(Sheet2_RawData!$B305)</f>
        <v>2024</v>
      </c>
      <c r="O305">
        <f>MONTH(Sheet2_RawData!$B305)</f>
        <v>1</v>
      </c>
    </row>
    <row r="306" spans="1:17" ht="15" customHeight="1" x14ac:dyDescent="0.3">
      <c r="A306" s="6" t="s">
        <v>96</v>
      </c>
      <c r="B306" s="7">
        <v>45495</v>
      </c>
      <c r="C306" s="6" t="s">
        <v>97</v>
      </c>
      <c r="D306" s="6" t="s">
        <v>98</v>
      </c>
      <c r="E306" s="6" t="s">
        <v>31</v>
      </c>
      <c r="F306" s="6" t="s">
        <v>44</v>
      </c>
      <c r="G306" s="6" t="s">
        <v>45</v>
      </c>
      <c r="H306" s="6">
        <v>44</v>
      </c>
      <c r="I306" s="8">
        <v>1868.31</v>
      </c>
      <c r="J306" s="9">
        <v>0.15</v>
      </c>
      <c r="K306" s="6" t="s">
        <v>17</v>
      </c>
      <c r="M306">
        <f>IFERROR(
   Sheet2_RawData!$H25 * Sheet2_RawData!$I25 * (1 - Sheet2_RawData!$J25),
   ""
)</f>
        <v>7400.14</v>
      </c>
      <c r="N306">
        <f>YEAR(Sheet2_RawData!$B306)</f>
        <v>2024</v>
      </c>
      <c r="O306">
        <f>MONTH(Sheet2_RawData!$B306)</f>
        <v>7</v>
      </c>
      <c r="P306" t="b">
        <f t="shared" ref="P306:P307" si="17">AND($N306=2024, OR($O306=7, $O306=8, $O306=9))</f>
        <v>1</v>
      </c>
    </row>
    <row r="307" spans="1:17" ht="15" customHeight="1" x14ac:dyDescent="0.3">
      <c r="A307" s="2" t="s">
        <v>249</v>
      </c>
      <c r="B307" s="3">
        <v>45543</v>
      </c>
      <c r="C307" s="2" t="s">
        <v>51</v>
      </c>
      <c r="D307" s="2" t="s">
        <v>20</v>
      </c>
      <c r="E307" s="2" t="s">
        <v>14</v>
      </c>
      <c r="F307" s="2" t="s">
        <v>22</v>
      </c>
      <c r="G307" s="2" t="s">
        <v>23</v>
      </c>
      <c r="H307" s="2">
        <v>18</v>
      </c>
      <c r="I307" s="4">
        <v>948.37</v>
      </c>
      <c r="J307" s="5">
        <v>0.1</v>
      </c>
      <c r="K307" s="2" t="s">
        <v>17</v>
      </c>
      <c r="M307">
        <f>IFERROR(
   Sheet2_RawData!$H154 * Sheet2_RawData!$I154 * (1 - Sheet2_RawData!$J154),
   ""
)</f>
        <v>44315.761499999993</v>
      </c>
      <c r="N307">
        <f>YEAR(Sheet2_RawData!$B307)</f>
        <v>2024</v>
      </c>
      <c r="O307">
        <f>MONTH(Sheet2_RawData!$B307)</f>
        <v>9</v>
      </c>
      <c r="P307" t="b">
        <f t="shared" si="17"/>
        <v>1</v>
      </c>
    </row>
    <row r="308" spans="1:17" ht="15" customHeight="1" x14ac:dyDescent="0.3">
      <c r="A308" s="2" t="s">
        <v>126</v>
      </c>
      <c r="B308" s="3">
        <v>45568</v>
      </c>
      <c r="C308" s="2" t="s">
        <v>127</v>
      </c>
      <c r="D308" s="2" t="s">
        <v>61</v>
      </c>
      <c r="E308" s="2" t="s">
        <v>31</v>
      </c>
      <c r="F308" s="2" t="s">
        <v>15</v>
      </c>
      <c r="G308" s="2" t="s">
        <v>27</v>
      </c>
      <c r="H308" s="2">
        <v>19</v>
      </c>
      <c r="I308" s="4">
        <v>4229.92</v>
      </c>
      <c r="J308" s="5">
        <v>0</v>
      </c>
      <c r="K308" s="2" t="s">
        <v>17</v>
      </c>
      <c r="M308">
        <f>IFERROR(
   Sheet2_RawData!$H40 * Sheet2_RawData!$I40 * (1 - Sheet2_RawData!$J40),
   ""
)</f>
        <v>111283.524</v>
      </c>
      <c r="N308">
        <f>YEAR(Sheet2_RawData!$B308)</f>
        <v>2024</v>
      </c>
      <c r="O308">
        <f>MONTH(Sheet2_RawData!$B308)</f>
        <v>10</v>
      </c>
    </row>
    <row r="309" spans="1:17" ht="15" customHeight="1" x14ac:dyDescent="0.3">
      <c r="A309" s="6" t="s">
        <v>399</v>
      </c>
      <c r="B309" s="7">
        <v>45611</v>
      </c>
      <c r="C309" s="6" t="s">
        <v>110</v>
      </c>
      <c r="D309" s="6" t="s">
        <v>61</v>
      </c>
      <c r="E309" s="6" t="s">
        <v>37</v>
      </c>
      <c r="F309" s="6" t="s">
        <v>22</v>
      </c>
      <c r="G309" s="6" t="s">
        <v>41</v>
      </c>
      <c r="H309" s="6">
        <v>25</v>
      </c>
      <c r="I309" s="8">
        <v>813.55</v>
      </c>
      <c r="J309" s="9">
        <v>0</v>
      </c>
      <c r="K309" s="6" t="s">
        <v>95</v>
      </c>
      <c r="M309">
        <f>IFERROR(
   Sheet2_RawData!$H311 * Sheet2_RawData!$I311 * (1 - Sheet2_RawData!$J311),
   ""
)</f>
        <v>10500.984</v>
      </c>
      <c r="N309">
        <f>YEAR(Sheet2_RawData!$B309)</f>
        <v>2024</v>
      </c>
      <c r="O309">
        <f>MONTH(Sheet2_RawData!$B309)</f>
        <v>11</v>
      </c>
    </row>
    <row r="310" spans="1:17" ht="15" customHeight="1" x14ac:dyDescent="0.3">
      <c r="A310" s="2" t="s">
        <v>398</v>
      </c>
      <c r="B310" s="3">
        <v>45333</v>
      </c>
      <c r="C310" s="2" t="s">
        <v>106</v>
      </c>
      <c r="D310" s="2" t="s">
        <v>48</v>
      </c>
      <c r="E310" s="2" t="s">
        <v>31</v>
      </c>
      <c r="F310" s="2" t="s">
        <v>71</v>
      </c>
      <c r="G310" s="2" t="s">
        <v>72</v>
      </c>
      <c r="H310" s="2">
        <v>37</v>
      </c>
      <c r="I310" s="4">
        <v>1268.77</v>
      </c>
      <c r="J310" s="5">
        <v>0.1</v>
      </c>
      <c r="K310" s="2" t="s">
        <v>17</v>
      </c>
      <c r="M310">
        <f>IFERROR(
   Sheet2_RawData!$H310 * Sheet2_RawData!$I310 * (1 - Sheet2_RawData!$J310),
   ""
)</f>
        <v>42250.040999999997</v>
      </c>
      <c r="N310">
        <f>YEAR(Sheet2_RawData!$B310)</f>
        <v>2024</v>
      </c>
      <c r="O310">
        <f>MONTH(Sheet2_RawData!$B310)</f>
        <v>2</v>
      </c>
    </row>
    <row r="311" spans="1:17" ht="15" customHeight="1" x14ac:dyDescent="0.3">
      <c r="A311" s="6" t="s">
        <v>173</v>
      </c>
      <c r="B311" s="7">
        <v>45452</v>
      </c>
      <c r="C311" s="6" t="s">
        <v>12</v>
      </c>
      <c r="D311" s="6" t="s">
        <v>26</v>
      </c>
      <c r="E311" s="6" t="s">
        <v>31</v>
      </c>
      <c r="F311" s="6" t="s">
        <v>44</v>
      </c>
      <c r="G311" s="6" t="s">
        <v>62</v>
      </c>
      <c r="H311" s="6">
        <v>4</v>
      </c>
      <c r="I311" s="8">
        <v>2916.94</v>
      </c>
      <c r="J311" s="9">
        <v>0.1</v>
      </c>
      <c r="K311" s="6" t="s">
        <v>17</v>
      </c>
      <c r="M311">
        <f>IFERROR(
   Sheet2_RawData!$H79 * Sheet2_RawData!$I79 * (1 - Sheet2_RawData!$J79),
   ""
)</f>
        <v>49978.040000000008</v>
      </c>
      <c r="N311">
        <f>YEAR(Sheet2_RawData!$B311)</f>
        <v>2024</v>
      </c>
      <c r="O311">
        <f>MONTH(Sheet2_RawData!$B311)</f>
        <v>6</v>
      </c>
    </row>
    <row r="312" spans="1:17" ht="15" customHeight="1" x14ac:dyDescent="0.3">
      <c r="A312" s="6" t="s">
        <v>53</v>
      </c>
      <c r="B312" s="7">
        <v>45319</v>
      </c>
      <c r="C312" s="6" t="s">
        <v>54</v>
      </c>
      <c r="D312" s="6" t="s">
        <v>26</v>
      </c>
      <c r="E312" s="6" t="s">
        <v>31</v>
      </c>
      <c r="F312" s="6" t="s">
        <v>15</v>
      </c>
      <c r="G312" s="6" t="s">
        <v>55</v>
      </c>
      <c r="H312" s="6">
        <v>46</v>
      </c>
      <c r="I312" s="8">
        <v>2693.97</v>
      </c>
      <c r="J312" s="9">
        <v>0</v>
      </c>
      <c r="K312" s="6" t="s">
        <v>17</v>
      </c>
      <c r="M312">
        <f>IFERROR(
   Sheet2_RawData!$H11 * Sheet2_RawData!$I11 * (1 - Sheet2_RawData!$J11),
   ""
)</f>
        <v>8565.875</v>
      </c>
      <c r="N312">
        <f>YEAR(Sheet2_RawData!$B312)</f>
        <v>2024</v>
      </c>
      <c r="O312">
        <f>MONTH(Sheet2_RawData!$B312)</f>
        <v>1</v>
      </c>
    </row>
    <row r="313" spans="1:17" ht="15" customHeight="1" x14ac:dyDescent="0.3">
      <c r="A313" s="6" t="s">
        <v>179</v>
      </c>
      <c r="B313" s="7">
        <v>45546</v>
      </c>
      <c r="C313" s="6" t="s">
        <v>115</v>
      </c>
      <c r="D313" s="6" t="s">
        <v>36</v>
      </c>
      <c r="E313" s="6" t="s">
        <v>14</v>
      </c>
      <c r="F313" s="6" t="s">
        <v>66</v>
      </c>
      <c r="G313" s="6" t="s">
        <v>94</v>
      </c>
      <c r="H313" s="6">
        <v>42</v>
      </c>
      <c r="I313" s="8">
        <v>1828.33</v>
      </c>
      <c r="J313" s="9">
        <v>0</v>
      </c>
      <c r="K313" s="6" t="s">
        <v>17</v>
      </c>
      <c r="M313">
        <f>IFERROR(
   Sheet2_RawData!$H85 * Sheet2_RawData!$I85 * (1 - Sheet2_RawData!$J85),
   ""
)</f>
        <v>199634</v>
      </c>
      <c r="N313">
        <f>YEAR(Sheet2_RawData!$B313)</f>
        <v>2024</v>
      </c>
      <c r="O313">
        <f>MONTH(Sheet2_RawData!$B313)</f>
        <v>9</v>
      </c>
      <c r="P313" t="b">
        <f>AND($N313=2024, OR($O313=7, $O313=8, $O313=9))</f>
        <v>1</v>
      </c>
      <c r="Q313">
        <v>0</v>
      </c>
    </row>
  </sheetData>
  <autoFilter ref="A1:N313" xr:uid="{00000000-0001-0000-0000-000000000000}"/>
  <sortState xmlns:xlrd2="http://schemas.microsoft.com/office/spreadsheetml/2017/richdata2" ref="A2:N313">
    <sortCondition descending="1" ref="L2:L313"/>
  </sortState>
  <conditionalFormatting sqref="J287:J313">
    <cfRule type="cellIs" dxfId="1" priority="4" operator="greaterThan">
      <formula>0.14</formula>
    </cfRule>
  </conditionalFormatting>
  <conditionalFormatting sqref="J2:J313">
    <cfRule type="cellIs" dxfId="0" priority="3" operator="greaterThan">
      <formula>0.14</formula>
    </cfRule>
  </conditionalFormatting>
  <conditionalFormatting sqref="H2:H106">
    <cfRule type="colorScale" priority="2">
      <colorScale>
        <cfvo type="min"/>
        <cfvo type="max"/>
        <color rgb="FF92D050"/>
        <color rgb="FFFF0000"/>
      </colorScale>
    </cfRule>
  </conditionalFormatting>
  <conditionalFormatting sqref="H2:H313">
    <cfRule type="colorScale" priority="1">
      <colorScale>
        <cfvo type="min"/>
        <cfvo type="max"/>
        <color rgb="FF00B050"/>
        <color rgb="FFC00000"/>
      </colorScale>
    </cfRule>
  </conditionalFormatting>
  <dataValidations count="1">
    <dataValidation type="list" showInputMessage="1" showErrorMessage="1" sqref="K2:K313" xr:uid="{5E1DE6D6-913E-4A33-AC25-1A81C2A46479}">
      <formula1>"Delivered,Pending,Cancelled,Returned,Processing"</formula1>
    </dataValidation>
  </dataValidations>
  <pageMargins left="0.75" right="0.75" top="1" bottom="1"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Sheet1_Questions</vt:lpstr>
      <vt:lpstr>Sheet2_RawData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siddhant mishra</cp:lastModifiedBy>
  <cp:revision>0</cp:revision>
  <dcterms:created xsi:type="dcterms:W3CDTF">2026-04-10T05:40:55Z</dcterms:created>
  <dcterms:modified xsi:type="dcterms:W3CDTF">2026-08-05T11:40:49Z</dcterms:modified>
  <dc:language>en-US</dc:language>
</cp:coreProperties>
</file>