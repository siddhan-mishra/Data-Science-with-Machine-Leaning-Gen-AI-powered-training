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91943\Downloads\Class 1\"/>
    </mc:Choice>
  </mc:AlternateContent>
  <xr:revisionPtr revIDLastSave="0" documentId="8_{53B18908-982E-4D94-BB84-394E5DE4BA3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alesOrders" sheetId="1" r:id="rId1"/>
    <sheet name="questions" sheetId="2" r:id="rId2"/>
  </sheets>
  <calcPr calcId="191029"/>
</workbook>
</file>

<file path=xl/calcChain.xml><?xml version="1.0" encoding="utf-8"?>
<calcChain xmlns="http://schemas.openxmlformats.org/spreadsheetml/2006/main">
  <c r="O55" i="1" l="1"/>
  <c r="O54" i="1"/>
  <c r="D53" i="1"/>
  <c r="D54" i="1"/>
  <c r="D52" i="1"/>
  <c r="I68" i="1"/>
  <c r="I67" i="1"/>
  <c r="I66" i="1"/>
  <c r="I65" i="1"/>
  <c r="I64" i="1"/>
  <c r="I63" i="1"/>
  <c r="I62" i="1"/>
  <c r="I61" i="1"/>
  <c r="I60" i="1"/>
  <c r="I59" i="1"/>
  <c r="I58" i="1"/>
  <c r="G60" i="1"/>
  <c r="G58" i="1"/>
  <c r="O51" i="1"/>
  <c r="O52" i="1"/>
  <c r="O50" i="1"/>
  <c r="O49" i="1"/>
  <c r="O48" i="1"/>
  <c r="G68" i="1"/>
  <c r="G67" i="1"/>
  <c r="G66" i="1"/>
  <c r="G65" i="1"/>
  <c r="G64" i="1"/>
  <c r="G63" i="1"/>
  <c r="G62" i="1"/>
  <c r="G61" i="1"/>
  <c r="G59" i="1"/>
  <c r="D50" i="1"/>
  <c r="D49" i="1"/>
  <c r="D48" i="1"/>
  <c r="J51" i="1"/>
  <c r="J50" i="1"/>
  <c r="J49" i="1"/>
  <c r="J48" i="1"/>
  <c r="J47" i="1"/>
</calcChain>
</file>

<file path=xl/sharedStrings.xml><?xml version="1.0" encoding="utf-8"?>
<sst xmlns="http://schemas.openxmlformats.org/spreadsheetml/2006/main" count="191" uniqueCount="63">
  <si>
    <t>Region</t>
  </si>
  <si>
    <t>Rep</t>
  </si>
  <si>
    <t>Item</t>
  </si>
  <si>
    <t>Units</t>
  </si>
  <si>
    <t>Total</t>
  </si>
  <si>
    <t>Gill</t>
  </si>
  <si>
    <t>Jardine</t>
  </si>
  <si>
    <t>Jones</t>
  </si>
  <si>
    <t>Kivell</t>
  </si>
  <si>
    <t>Thompson</t>
  </si>
  <si>
    <t>Smith</t>
  </si>
  <si>
    <t>Howard</t>
  </si>
  <si>
    <t>Morgan</t>
  </si>
  <si>
    <t>Sorvino</t>
  </si>
  <si>
    <t>Unit Cost</t>
  </si>
  <si>
    <t>Pencil</t>
  </si>
  <si>
    <t>Binder</t>
  </si>
  <si>
    <t>Pen</t>
  </si>
  <si>
    <t>Andrews</t>
  </si>
  <si>
    <t>Parent</t>
  </si>
  <si>
    <t>Desk</t>
  </si>
  <si>
    <t>Pen Set</t>
  </si>
  <si>
    <t>Central</t>
  </si>
  <si>
    <t>West</t>
  </si>
  <si>
    <t>East</t>
  </si>
  <si>
    <t>date</t>
  </si>
  <si>
    <t>Order_id</t>
  </si>
  <si>
    <r>
      <t>1.</t>
    </r>
    <r>
      <rPr>
        <sz val="7"/>
        <rFont val="Times New Roman"/>
        <family val="1"/>
      </rPr>
      <t xml:space="preserve">       </t>
    </r>
    <r>
      <rPr>
        <b/>
        <sz val="9"/>
        <rFont val="Aptos"/>
        <family val="2"/>
      </rPr>
      <t>Total Sales by Item</t>
    </r>
  </si>
  <si>
    <r>
      <t>o</t>
    </r>
    <r>
      <rPr>
        <sz val="7"/>
        <rFont val="Times New Roman"/>
        <family val="1"/>
      </rPr>
      <t xml:space="preserve">   </t>
    </r>
    <r>
      <rPr>
        <i/>
        <sz val="9"/>
        <rFont val="Aptos"/>
        <family val="2"/>
      </rPr>
      <t>What is the total sales (Total column) for each unique item (Pencil, Pen, Binder, etc.)?</t>
    </r>
  </si>
  <si>
    <r>
      <t>2.</t>
    </r>
    <r>
      <rPr>
        <sz val="7"/>
        <rFont val="Times New Roman"/>
        <family val="1"/>
      </rPr>
      <t xml:space="preserve">       </t>
    </r>
    <r>
      <rPr>
        <b/>
        <sz val="9"/>
        <rFont val="Aptos"/>
        <family val="2"/>
      </rPr>
      <t>Average Unit Cost</t>
    </r>
  </si>
  <si>
    <r>
      <t>o</t>
    </r>
    <r>
      <rPr>
        <sz val="7"/>
        <rFont val="Times New Roman"/>
        <family val="1"/>
      </rPr>
      <t xml:space="preserve">   </t>
    </r>
    <r>
      <rPr>
        <i/>
        <sz val="9"/>
        <rFont val="Aptos"/>
        <family val="2"/>
      </rPr>
      <t>What is the average unit cost for all items in the dataset?</t>
    </r>
  </si>
  <si>
    <r>
      <t>3.</t>
    </r>
    <r>
      <rPr>
        <sz val="7"/>
        <rFont val="Times New Roman"/>
        <family val="1"/>
      </rPr>
      <t xml:space="preserve">       </t>
    </r>
    <r>
      <rPr>
        <b/>
        <sz val="9"/>
        <rFont val="Aptos"/>
        <family val="2"/>
      </rPr>
      <t>Total Units Sold by Region</t>
    </r>
  </si>
  <si>
    <r>
      <t>o</t>
    </r>
    <r>
      <rPr>
        <sz val="7"/>
        <rFont val="Times New Roman"/>
        <family val="1"/>
      </rPr>
      <t xml:space="preserve">   </t>
    </r>
    <r>
      <rPr>
        <i/>
        <sz val="9"/>
        <rFont val="Aptos"/>
        <family val="2"/>
      </rPr>
      <t>How many total units were sold in each region (East, Central, West)?</t>
    </r>
  </si>
  <si>
    <r>
      <t>4.</t>
    </r>
    <r>
      <rPr>
        <sz val="7"/>
        <rFont val="Times New Roman"/>
        <family val="1"/>
      </rPr>
      <t xml:space="preserve">       </t>
    </r>
    <r>
      <rPr>
        <b/>
        <sz val="9"/>
        <rFont val="Aptos"/>
        <family val="2"/>
      </rPr>
      <t>Highest and Lowest Total Sales</t>
    </r>
  </si>
  <si>
    <r>
      <t>o</t>
    </r>
    <r>
      <rPr>
        <sz val="7"/>
        <rFont val="Times New Roman"/>
        <family val="1"/>
      </rPr>
      <t xml:space="preserve">   </t>
    </r>
    <r>
      <rPr>
        <i/>
        <sz val="9"/>
        <rFont val="Aptos"/>
        <family val="2"/>
      </rPr>
      <t>What are the highest and lowest total sales values in the dataset?</t>
    </r>
  </si>
  <si>
    <r>
      <t>5.</t>
    </r>
    <r>
      <rPr>
        <sz val="7"/>
        <rFont val="Times New Roman"/>
        <family val="1"/>
      </rPr>
      <t xml:space="preserve">       </t>
    </r>
    <r>
      <rPr>
        <b/>
        <sz val="9"/>
        <rFont val="Aptos"/>
        <family val="2"/>
      </rPr>
      <t>Count of Orders by Rep</t>
    </r>
  </si>
  <si>
    <r>
      <t>o</t>
    </r>
    <r>
      <rPr>
        <sz val="7"/>
        <rFont val="Times New Roman"/>
        <family val="1"/>
      </rPr>
      <t xml:space="preserve">   </t>
    </r>
    <r>
      <rPr>
        <i/>
        <sz val="9"/>
        <rFont val="Aptos"/>
        <family val="2"/>
      </rPr>
      <t>How many orders were placed by each sales representative (Rep)?</t>
    </r>
  </si>
  <si>
    <r>
      <t>o</t>
    </r>
    <r>
      <rPr>
        <sz val="7"/>
        <rFont val="Times New Roman"/>
        <family val="1"/>
      </rPr>
      <t xml:space="preserve">   </t>
    </r>
    <r>
      <rPr>
        <i/>
        <sz val="9"/>
        <rFont val="Aptos"/>
        <family val="2"/>
      </rPr>
      <t>What is the total sales amount for each region?</t>
    </r>
  </si>
  <si>
    <r>
      <t>o</t>
    </r>
    <r>
      <rPr>
        <sz val="7"/>
        <rFont val="Times New Roman"/>
        <family val="1"/>
      </rPr>
      <t xml:space="preserve">   </t>
    </r>
    <r>
      <rPr>
        <i/>
        <sz val="9"/>
        <rFont val="Aptos"/>
        <family val="2"/>
      </rPr>
      <t>What is the total cost (Total column) for all orders of the item "Pen"?</t>
    </r>
  </si>
  <si>
    <r>
      <t>o</t>
    </r>
    <r>
      <rPr>
        <sz val="7"/>
        <rFont val="Times New Roman"/>
        <family val="1"/>
      </rPr>
      <t xml:space="preserve">   </t>
    </r>
    <r>
      <rPr>
        <i/>
        <sz val="9"/>
        <rFont val="Aptos"/>
        <family val="2"/>
      </rPr>
      <t>What is the average total sales amount for each sales representative?</t>
    </r>
  </si>
  <si>
    <r>
      <t>o</t>
    </r>
    <r>
      <rPr>
        <sz val="7"/>
        <rFont val="Times New Roman"/>
        <family val="1"/>
      </rPr>
      <t xml:space="preserve">   </t>
    </r>
    <r>
      <rPr>
        <i/>
        <sz val="9"/>
        <rFont val="Aptos"/>
        <family val="2"/>
      </rPr>
      <t>How many total units of "Pencil" were sold?</t>
    </r>
  </si>
  <si>
    <r>
      <t>o</t>
    </r>
    <r>
      <rPr>
        <sz val="7"/>
        <rFont val="Times New Roman"/>
        <family val="1"/>
      </rPr>
      <t xml:space="preserve">   </t>
    </r>
    <r>
      <rPr>
        <i/>
        <sz val="9"/>
        <rFont val="Aptos"/>
        <family val="2"/>
      </rPr>
      <t>What is the total sales amount for the "East" region?</t>
    </r>
  </si>
  <si>
    <r>
      <t>6.</t>
    </r>
    <r>
      <rPr>
        <sz val="7"/>
        <rFont val="Times New Roman"/>
        <family val="1"/>
      </rPr>
      <t xml:space="preserve">       </t>
    </r>
    <r>
      <rPr>
        <b/>
        <sz val="9"/>
        <rFont val="Aptos"/>
        <family val="2"/>
      </rPr>
      <t>Total Sales by Region</t>
    </r>
  </si>
  <si>
    <r>
      <t>7.</t>
    </r>
    <r>
      <rPr>
        <sz val="7"/>
        <rFont val="Times New Roman"/>
        <family val="1"/>
      </rPr>
      <t xml:space="preserve">    </t>
    </r>
    <r>
      <rPr>
        <b/>
        <sz val="9"/>
        <rFont val="Aptos"/>
        <family val="2"/>
      </rPr>
      <t>Total Cost of Pens</t>
    </r>
  </si>
  <si>
    <r>
      <t>8.</t>
    </r>
    <r>
      <rPr>
        <sz val="7"/>
        <rFont val="Times New Roman"/>
        <family val="1"/>
      </rPr>
      <t xml:space="preserve">    </t>
    </r>
    <r>
      <rPr>
        <b/>
        <sz val="9"/>
        <rFont val="Aptos"/>
        <family val="2"/>
      </rPr>
      <t>Average Total Sales per Rep</t>
    </r>
  </si>
  <si>
    <r>
      <t>9.</t>
    </r>
    <r>
      <rPr>
        <sz val="7"/>
        <rFont val="Times New Roman"/>
        <family val="1"/>
      </rPr>
      <t xml:space="preserve">    </t>
    </r>
    <r>
      <rPr>
        <b/>
        <sz val="9"/>
        <rFont val="Aptos"/>
        <family val="2"/>
      </rPr>
      <t>Total Units Sold for Pencils</t>
    </r>
  </si>
  <si>
    <r>
      <t>10.</t>
    </r>
    <r>
      <rPr>
        <sz val="7"/>
        <rFont val="Times New Roman"/>
        <family val="1"/>
      </rPr>
      <t xml:space="preserve">    </t>
    </r>
    <r>
      <rPr>
        <b/>
        <sz val="9"/>
        <rFont val="Aptos"/>
        <family val="2"/>
      </rPr>
      <t>Total Sales for East Region</t>
    </r>
  </si>
  <si>
    <t>Total Spent This Week</t>
  </si>
  <si>
    <t>Average Daily Spend</t>
  </si>
  <si>
    <t>Biggest Single Expense</t>
  </si>
  <si>
    <t>Smallest Single Expense</t>
  </si>
  <si>
    <t>Number of Purchases</t>
  </si>
  <si>
    <t>Total Cost of Pens</t>
  </si>
  <si>
    <t>Total Sales by Region</t>
  </si>
  <si>
    <t>Count of Orders by Rep</t>
  </si>
  <si>
    <t>Average Total Sales per Rep</t>
  </si>
  <si>
    <t>Total Units Sold for Pencils</t>
  </si>
  <si>
    <t>Total Units Sold by Region</t>
  </si>
  <si>
    <t>EAST</t>
  </si>
  <si>
    <t>WEST</t>
  </si>
  <si>
    <t>CENTRAL</t>
  </si>
  <si>
    <t>Total Sales by Item</t>
  </si>
  <si>
    <t>Pen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</si>
</sst>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&quot;₹&quot;\ #,##0.00"/>
  </numFmts>
  <fonts count="14" x14ac:knownFonts="1">
    <font>
      <sz val="14"/>
      <name val="Calibri"/>
      <family val="2"/>
      <scheme val="minor"/>
    </font>
    <font>
      <sz val="11"/>
      <name val="Calibri"/>
      <family val="2"/>
      <scheme val="minor"/>
    </font>
    <font>
      <b/>
      <sz val="15"/>
      <color theme="3"/>
      <name val="Calibri"/>
      <family val="2"/>
      <scheme val="minor"/>
    </font>
    <font>
      <u/>
      <sz val="14"/>
      <color rgb="FF0000FF"/>
      <name val="Calibri"/>
      <family val="2"/>
      <scheme val="minor"/>
    </font>
    <font>
      <b/>
      <sz val="16"/>
      <color rgb="FF5A8B39"/>
      <name val="Calibri"/>
      <family val="2"/>
      <scheme val="minor"/>
    </font>
    <font>
      <u/>
      <sz val="14"/>
      <color rgb="FF974D6E"/>
      <name val="Calibri"/>
      <family val="2"/>
    </font>
    <font>
      <sz val="9"/>
      <name val="Aptos"/>
      <family val="2"/>
    </font>
    <font>
      <sz val="7"/>
      <name val="Times New Roman"/>
      <family val="1"/>
    </font>
    <font>
      <b/>
      <sz val="9"/>
      <name val="Aptos"/>
      <family val="2"/>
    </font>
    <font>
      <sz val="10"/>
      <name val="Courier New"/>
      <family val="3"/>
    </font>
    <font>
      <i/>
      <sz val="9"/>
      <name val="Aptos"/>
      <family val="2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9B9B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5">
    <xf numFmtId="0" fontId="0" fillId="0" borderId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" fillId="0" borderId="1" applyNumberFormat="0" applyFill="0" applyBorder="0" applyAlignment="0" applyProtection="0"/>
    <xf numFmtId="0" fontId="4" fillId="0" borderId="0" applyNumberFormat="0" applyFill="0" applyAlignment="0" applyProtection="0"/>
  </cellStyleXfs>
  <cellXfs count="2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14" fontId="0" fillId="0" borderId="0" xfId="0" applyNumberFormat="1"/>
    <xf numFmtId="0" fontId="6" fillId="0" borderId="0" xfId="0" applyFont="1" applyAlignment="1">
      <alignment horizontal="left" vertical="center" indent="4"/>
    </xf>
    <xf numFmtId="0" fontId="9" fillId="0" borderId="0" xfId="0" applyFont="1" applyAlignment="1">
      <alignment horizontal="left" vertical="center" indent="8"/>
    </xf>
    <xf numFmtId="0" fontId="6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11" fillId="0" borderId="2" xfId="0" applyFont="1" applyBorder="1"/>
    <xf numFmtId="164" fontId="0" fillId="0" borderId="0" xfId="0" applyNumberFormat="1"/>
    <xf numFmtId="0" fontId="12" fillId="2" borderId="0" xfId="0" applyFont="1" applyFill="1" applyAlignment="1">
      <alignment vertical="center"/>
    </xf>
    <xf numFmtId="0" fontId="12" fillId="4" borderId="0" xfId="0" applyFont="1" applyFill="1" applyAlignment="1">
      <alignment vertical="center"/>
    </xf>
    <xf numFmtId="0" fontId="13" fillId="3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0" fillId="6" borderId="0" xfId="0" applyFill="1"/>
    <xf numFmtId="0" fontId="1" fillId="6" borderId="0" xfId="0" applyFont="1" applyFill="1" applyAlignment="1">
      <alignment vertical="center"/>
    </xf>
    <xf numFmtId="0" fontId="0" fillId="7" borderId="0" xfId="0" applyFill="1"/>
    <xf numFmtId="0" fontId="1" fillId="7" borderId="0" xfId="0" applyFont="1" applyFill="1" applyAlignment="1">
      <alignment vertical="center"/>
    </xf>
    <xf numFmtId="0" fontId="12" fillId="8" borderId="0" xfId="0" applyFont="1" applyFill="1" applyAlignment="1">
      <alignment vertical="center"/>
    </xf>
    <xf numFmtId="0" fontId="12" fillId="9" borderId="0" xfId="0" applyFont="1" applyFill="1"/>
    <xf numFmtId="164" fontId="12" fillId="9" borderId="0" xfId="0" applyNumberFormat="1" applyFont="1" applyFill="1"/>
    <xf numFmtId="164" fontId="12" fillId="2" borderId="0" xfId="0" applyNumberFormat="1" applyFont="1" applyFill="1" applyAlignment="1">
      <alignment vertical="center"/>
    </xf>
    <xf numFmtId="44" fontId="12" fillId="9" borderId="0" xfId="0" applyNumberFormat="1" applyFont="1" applyFill="1"/>
    <xf numFmtId="44" fontId="1" fillId="7" borderId="0" xfId="0" applyNumberFormat="1" applyFont="1" applyFill="1" applyAlignment="1">
      <alignment vertical="center"/>
    </xf>
    <xf numFmtId="164" fontId="13" fillId="3" borderId="0" xfId="0" applyNumberFormat="1" applyFont="1" applyFill="1" applyAlignment="1">
      <alignment vertical="center"/>
    </xf>
    <xf numFmtId="164" fontId="1" fillId="6" borderId="0" xfId="0" applyNumberFormat="1" applyFont="1" applyFill="1" applyAlignment="1" applyProtection="1">
      <alignment vertical="center"/>
      <protection locked="0"/>
    </xf>
  </cellXfs>
  <cellStyles count="5">
    <cellStyle name="Followed Hyperlink" xfId="2" builtinId="9" customBuiltin="1"/>
    <cellStyle name="Heading 1" xfId="3" builtinId="16" customBuiltin="1"/>
    <cellStyle name="Heading 2" xfId="4" builtinId="17" customBuiltin="1"/>
    <cellStyle name="Hyperlink" xfId="1" builtinId="8" customBuiltin="1"/>
    <cellStyle name="Normal" xfId="0" builtinId="0" customBuiltin="1"/>
  </cellStyles>
  <dxfs count="2">
    <dxf>
      <numFmt numFmtId="164" formatCode="&quot;₹&quot;\ #,##0.00"/>
    </dxf>
    <dxf>
      <numFmt numFmtId="164" formatCode="&quot;₹&quot;\ #,##0.00"/>
    </dxf>
  </dxfs>
  <tableStyles count="0" defaultTableStyle="TableStyleMedium9" defaultPivotStyle="PivotStyleLight16"/>
  <colors>
    <mruColors>
      <color rgb="FFFF9B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44" totalsRowShown="0">
  <autoFilter ref="A1:H44" xr:uid="{00000000-000C-0000-FFFF-FFFF00000000}"/>
  <tableColumns count="8">
    <tableColumn id="1" xr3:uid="{00000000-0010-0000-0000-000001000000}" name="Order_id"/>
    <tableColumn id="2" xr3:uid="{00000000-0010-0000-0000-000002000000}" name="Region"/>
    <tableColumn id="3" xr3:uid="{00000000-0010-0000-0000-000003000000}" name="Rep"/>
    <tableColumn id="4" xr3:uid="{00000000-0010-0000-0000-000004000000}" name="Item"/>
    <tableColumn id="8" xr3:uid="{E82ABE03-4E24-4FA1-BE86-4289BB9CA65F}" name="date"/>
    <tableColumn id="5" xr3:uid="{00000000-0010-0000-0000-000005000000}" name="Units"/>
    <tableColumn id="6" xr3:uid="{00000000-0010-0000-0000-000006000000}" name="Unit Cost" dataDxfId="1"/>
    <tableColumn id="7" xr3:uid="{00000000-0010-0000-0000-000007000000}" name="Total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O90"/>
  <sheetViews>
    <sheetView tabSelected="1" zoomScale="99" zoomScaleNormal="99" workbookViewId="0">
      <pane ySplit="1" topLeftCell="A50" activePane="bottomLeft" state="frozen"/>
      <selection pane="bottomLeft" activeCell="G53" sqref="G53"/>
    </sheetView>
  </sheetViews>
  <sheetFormatPr defaultColWidth="9.08203125" defaultRowHeight="14.4" x14ac:dyDescent="0.35"/>
  <cols>
    <col min="1" max="1" width="12" style="1" customWidth="1"/>
    <col min="2" max="2" width="8.75" style="1" customWidth="1"/>
    <col min="3" max="3" width="9.58203125" style="1" customWidth="1"/>
    <col min="4" max="4" width="7.75" style="1" customWidth="1"/>
    <col min="5" max="5" width="11.75" style="1" customWidth="1"/>
    <col min="6" max="6" width="7.25" style="2" customWidth="1"/>
    <col min="7" max="7" width="10.58203125" style="1" customWidth="1"/>
    <col min="8" max="8" width="10.08203125" style="1" customWidth="1"/>
    <col min="9" max="9" width="9.08203125" style="1"/>
    <col min="10" max="10" width="10.83203125" style="1" bestFit="1" customWidth="1"/>
    <col min="11" max="16384" width="9.08203125" style="1"/>
  </cols>
  <sheetData>
    <row r="1" spans="1:8" ht="18" x14ac:dyDescent="0.35">
      <c r="A1" t="s">
        <v>26</v>
      </c>
      <c r="B1" t="s">
        <v>0</v>
      </c>
      <c r="C1" t="s">
        <v>1</v>
      </c>
      <c r="D1" t="s">
        <v>2</v>
      </c>
      <c r="E1" t="s">
        <v>25</v>
      </c>
      <c r="F1" t="s">
        <v>3</v>
      </c>
      <c r="G1" s="10" t="s">
        <v>14</v>
      </c>
      <c r="H1" s="10" t="s">
        <v>4</v>
      </c>
    </row>
    <row r="2" spans="1:8" ht="18" x14ac:dyDescent="0.35">
      <c r="A2">
        <v>45297</v>
      </c>
      <c r="B2" t="s">
        <v>24</v>
      </c>
      <c r="C2" t="s">
        <v>7</v>
      </c>
      <c r="D2" t="s">
        <v>15</v>
      </c>
      <c r="E2" s="3">
        <v>45840</v>
      </c>
      <c r="F2">
        <v>95</v>
      </c>
      <c r="G2" s="10">
        <v>1.99</v>
      </c>
      <c r="H2" s="10">
        <v>189.05</v>
      </c>
    </row>
    <row r="3" spans="1:8" ht="18" x14ac:dyDescent="0.35">
      <c r="A3">
        <v>45314</v>
      </c>
      <c r="B3" t="s">
        <v>22</v>
      </c>
      <c r="C3" t="s">
        <v>8</v>
      </c>
      <c r="D3" t="s">
        <v>16</v>
      </c>
      <c r="E3" s="3">
        <v>45841</v>
      </c>
      <c r="F3">
        <v>50</v>
      </c>
      <c r="G3" s="10">
        <v>19.989999999999998</v>
      </c>
      <c r="H3" s="10">
        <v>999.49999999999989</v>
      </c>
    </row>
    <row r="4" spans="1:8" ht="18" x14ac:dyDescent="0.35">
      <c r="A4">
        <v>45331</v>
      </c>
      <c r="B4" t="s">
        <v>22</v>
      </c>
      <c r="C4" t="s">
        <v>6</v>
      </c>
      <c r="D4" t="s">
        <v>15</v>
      </c>
      <c r="E4" s="3">
        <v>45842</v>
      </c>
      <c r="F4">
        <v>36</v>
      </c>
      <c r="G4" s="10">
        <v>4.99</v>
      </c>
      <c r="H4" s="10">
        <v>179.64000000000001</v>
      </c>
    </row>
    <row r="5" spans="1:8" ht="18" x14ac:dyDescent="0.35">
      <c r="A5">
        <v>45348</v>
      </c>
      <c r="B5" t="s">
        <v>22</v>
      </c>
      <c r="C5" t="s">
        <v>5</v>
      </c>
      <c r="D5" t="s">
        <v>17</v>
      </c>
      <c r="E5" s="3">
        <v>45843</v>
      </c>
      <c r="F5">
        <v>27</v>
      </c>
      <c r="G5" s="10">
        <v>19.989999999999998</v>
      </c>
      <c r="H5" s="10">
        <v>539.7299999999999</v>
      </c>
    </row>
    <row r="6" spans="1:8" ht="18" x14ac:dyDescent="0.35">
      <c r="A6">
        <v>45366</v>
      </c>
      <c r="B6" t="s">
        <v>23</v>
      </c>
      <c r="C6" t="s">
        <v>13</v>
      </c>
      <c r="D6" t="s">
        <v>15</v>
      </c>
      <c r="E6" s="3">
        <v>45844</v>
      </c>
      <c r="F6">
        <v>56</v>
      </c>
      <c r="G6" s="10">
        <v>2.99</v>
      </c>
      <c r="H6" s="10">
        <v>167.44</v>
      </c>
    </row>
    <row r="7" spans="1:8" ht="18" x14ac:dyDescent="0.35">
      <c r="A7">
        <v>45383</v>
      </c>
      <c r="B7" t="s">
        <v>24</v>
      </c>
      <c r="C7" t="s">
        <v>7</v>
      </c>
      <c r="D7" t="s">
        <v>16</v>
      </c>
      <c r="E7" s="3">
        <v>45845</v>
      </c>
      <c r="F7">
        <v>60</v>
      </c>
      <c r="G7" s="10">
        <v>4.99</v>
      </c>
      <c r="H7" s="10">
        <v>299.40000000000003</v>
      </c>
    </row>
    <row r="8" spans="1:8" ht="18" x14ac:dyDescent="0.35">
      <c r="A8">
        <v>45400</v>
      </c>
      <c r="B8" t="s">
        <v>22</v>
      </c>
      <c r="C8" t="s">
        <v>18</v>
      </c>
      <c r="D8" t="s">
        <v>15</v>
      </c>
      <c r="E8" s="3">
        <v>45846</v>
      </c>
      <c r="F8">
        <v>75</v>
      </c>
      <c r="G8" s="10">
        <v>1.99</v>
      </c>
      <c r="H8" s="10">
        <v>149.25</v>
      </c>
    </row>
    <row r="9" spans="1:8" ht="18" x14ac:dyDescent="0.35">
      <c r="A9">
        <v>45417</v>
      </c>
      <c r="B9" t="s">
        <v>22</v>
      </c>
      <c r="C9" t="s">
        <v>6</v>
      </c>
      <c r="D9" t="s">
        <v>15</v>
      </c>
      <c r="E9" s="3">
        <v>45847</v>
      </c>
      <c r="F9">
        <v>90</v>
      </c>
      <c r="G9" s="10">
        <v>4.99</v>
      </c>
      <c r="H9" s="10">
        <v>449.1</v>
      </c>
    </row>
    <row r="10" spans="1:8" ht="18" x14ac:dyDescent="0.35">
      <c r="A10">
        <v>45434</v>
      </c>
      <c r="B10" t="s">
        <v>23</v>
      </c>
      <c r="C10" t="s">
        <v>9</v>
      </c>
      <c r="D10" t="s">
        <v>15</v>
      </c>
      <c r="E10" s="3">
        <v>45848</v>
      </c>
      <c r="F10">
        <v>32</v>
      </c>
      <c r="G10" s="10">
        <v>1.99</v>
      </c>
      <c r="H10" s="10">
        <v>63.68</v>
      </c>
    </row>
    <row r="11" spans="1:8" ht="18" x14ac:dyDescent="0.35">
      <c r="A11">
        <v>45451</v>
      </c>
      <c r="B11" t="s">
        <v>24</v>
      </c>
      <c r="C11" t="s">
        <v>7</v>
      </c>
      <c r="D11" t="s">
        <v>16</v>
      </c>
      <c r="E11" s="3">
        <v>45849</v>
      </c>
      <c r="F11">
        <v>60</v>
      </c>
      <c r="G11" s="10">
        <v>8.99</v>
      </c>
      <c r="H11" s="10">
        <v>539.4</v>
      </c>
    </row>
    <row r="12" spans="1:8" ht="18" x14ac:dyDescent="0.35">
      <c r="A12">
        <v>45468</v>
      </c>
      <c r="B12" t="s">
        <v>22</v>
      </c>
      <c r="C12" t="s">
        <v>12</v>
      </c>
      <c r="D12" t="s">
        <v>15</v>
      </c>
      <c r="E12" s="3">
        <v>45850</v>
      </c>
      <c r="F12">
        <v>90</v>
      </c>
      <c r="G12" s="10">
        <v>4.99</v>
      </c>
      <c r="H12" s="10">
        <v>449.1</v>
      </c>
    </row>
    <row r="13" spans="1:8" ht="18" x14ac:dyDescent="0.35">
      <c r="A13">
        <v>45485</v>
      </c>
      <c r="B13" t="s">
        <v>24</v>
      </c>
      <c r="C13" t="s">
        <v>11</v>
      </c>
      <c r="D13" t="s">
        <v>16</v>
      </c>
      <c r="E13" s="3">
        <v>45851</v>
      </c>
      <c r="F13">
        <v>29</v>
      </c>
      <c r="G13" s="10">
        <v>1.99</v>
      </c>
      <c r="H13" s="10">
        <v>57.71</v>
      </c>
    </row>
    <row r="14" spans="1:8" ht="18" x14ac:dyDescent="0.35">
      <c r="A14">
        <v>45502</v>
      </c>
      <c r="B14" t="s">
        <v>24</v>
      </c>
      <c r="C14" t="s">
        <v>19</v>
      </c>
      <c r="D14" t="s">
        <v>16</v>
      </c>
      <c r="E14" s="3">
        <v>45852</v>
      </c>
      <c r="F14">
        <v>81</v>
      </c>
      <c r="G14" s="10">
        <v>19.989999999999998</v>
      </c>
      <c r="H14" s="10">
        <v>1619.1899999999998</v>
      </c>
    </row>
    <row r="15" spans="1:8" ht="18" x14ac:dyDescent="0.35">
      <c r="A15">
        <v>45519</v>
      </c>
      <c r="B15" t="s">
        <v>24</v>
      </c>
      <c r="C15" t="s">
        <v>7</v>
      </c>
      <c r="D15" t="s">
        <v>15</v>
      </c>
      <c r="E15" s="3">
        <v>45853</v>
      </c>
      <c r="F15">
        <v>35</v>
      </c>
      <c r="G15" s="10">
        <v>4.99</v>
      </c>
      <c r="H15" s="10">
        <v>174.65</v>
      </c>
    </row>
    <row r="16" spans="1:8" ht="18" x14ac:dyDescent="0.35">
      <c r="A16">
        <v>45536</v>
      </c>
      <c r="B16" t="s">
        <v>22</v>
      </c>
      <c r="C16" t="s">
        <v>10</v>
      </c>
      <c r="D16" t="s">
        <v>20</v>
      </c>
      <c r="E16" s="3">
        <v>45854</v>
      </c>
      <c r="F16">
        <v>2</v>
      </c>
      <c r="G16" s="10">
        <v>125</v>
      </c>
      <c r="H16" s="10">
        <v>250</v>
      </c>
    </row>
    <row r="17" spans="1:8" ht="18" x14ac:dyDescent="0.35">
      <c r="A17">
        <v>45553</v>
      </c>
      <c r="B17" t="s">
        <v>24</v>
      </c>
      <c r="C17" t="s">
        <v>7</v>
      </c>
      <c r="D17" t="s">
        <v>21</v>
      </c>
      <c r="E17" s="3">
        <v>45855</v>
      </c>
      <c r="F17">
        <v>16</v>
      </c>
      <c r="G17" s="10">
        <v>15.99</v>
      </c>
      <c r="H17" s="10">
        <v>255.84</v>
      </c>
    </row>
    <row r="18" spans="1:8" ht="18" x14ac:dyDescent="0.35">
      <c r="A18">
        <v>45570</v>
      </c>
      <c r="B18" t="s">
        <v>22</v>
      </c>
      <c r="C18" t="s">
        <v>12</v>
      </c>
      <c r="D18" t="s">
        <v>16</v>
      </c>
      <c r="E18" s="3">
        <v>45856</v>
      </c>
      <c r="F18">
        <v>28</v>
      </c>
      <c r="G18" s="10">
        <v>8.99</v>
      </c>
      <c r="H18" s="10">
        <v>251.72</v>
      </c>
    </row>
    <row r="19" spans="1:8" ht="18" x14ac:dyDescent="0.35">
      <c r="A19">
        <v>45587</v>
      </c>
      <c r="B19" t="s">
        <v>24</v>
      </c>
      <c r="C19" t="s">
        <v>7</v>
      </c>
      <c r="D19" t="s">
        <v>17</v>
      </c>
      <c r="E19" s="3">
        <v>45857</v>
      </c>
      <c r="F19">
        <v>64</v>
      </c>
      <c r="G19" s="10">
        <v>8.99</v>
      </c>
      <c r="H19" s="10">
        <v>575.36</v>
      </c>
    </row>
    <row r="20" spans="1:8" ht="18" x14ac:dyDescent="0.35">
      <c r="A20">
        <v>45604</v>
      </c>
      <c r="B20" t="s">
        <v>24</v>
      </c>
      <c r="C20" t="s">
        <v>19</v>
      </c>
      <c r="D20" t="s">
        <v>17</v>
      </c>
      <c r="E20" s="3">
        <v>45858</v>
      </c>
      <c r="F20">
        <v>15</v>
      </c>
      <c r="G20" s="10">
        <v>19.989999999999998</v>
      </c>
      <c r="H20" s="10">
        <v>299.84999999999997</v>
      </c>
    </row>
    <row r="21" spans="1:8" ht="18" x14ac:dyDescent="0.35">
      <c r="A21">
        <v>45621</v>
      </c>
      <c r="B21" t="s">
        <v>22</v>
      </c>
      <c r="C21" t="s">
        <v>8</v>
      </c>
      <c r="D21" t="s">
        <v>21</v>
      </c>
      <c r="E21" s="3">
        <v>45859</v>
      </c>
      <c r="F21">
        <v>96</v>
      </c>
      <c r="G21" s="10">
        <v>4.99</v>
      </c>
      <c r="H21" s="10">
        <v>479.04</v>
      </c>
    </row>
    <row r="22" spans="1:8" ht="18" x14ac:dyDescent="0.35">
      <c r="A22">
        <v>45638</v>
      </c>
      <c r="B22" t="s">
        <v>22</v>
      </c>
      <c r="C22" t="s">
        <v>10</v>
      </c>
      <c r="D22" t="s">
        <v>15</v>
      </c>
      <c r="E22" s="3">
        <v>45860</v>
      </c>
      <c r="F22">
        <v>67</v>
      </c>
      <c r="G22" s="10">
        <v>1.29</v>
      </c>
      <c r="H22" s="10">
        <v>86.43</v>
      </c>
    </row>
    <row r="23" spans="1:8" ht="18" x14ac:dyDescent="0.35">
      <c r="A23">
        <v>45655</v>
      </c>
      <c r="B23" t="s">
        <v>24</v>
      </c>
      <c r="C23" t="s">
        <v>19</v>
      </c>
      <c r="D23" t="s">
        <v>21</v>
      </c>
      <c r="E23" s="3">
        <v>45861</v>
      </c>
      <c r="F23">
        <v>74</v>
      </c>
      <c r="G23" s="10">
        <v>15.99</v>
      </c>
      <c r="H23" s="10">
        <v>1183.26</v>
      </c>
    </row>
    <row r="24" spans="1:8" ht="18" x14ac:dyDescent="0.35">
      <c r="A24">
        <v>45672</v>
      </c>
      <c r="B24" t="s">
        <v>22</v>
      </c>
      <c r="C24" t="s">
        <v>5</v>
      </c>
      <c r="D24" t="s">
        <v>16</v>
      </c>
      <c r="E24" s="3">
        <v>45862</v>
      </c>
      <c r="F24">
        <v>46</v>
      </c>
      <c r="G24" s="10">
        <v>8.99</v>
      </c>
      <c r="H24" s="10">
        <v>413.54</v>
      </c>
    </row>
    <row r="25" spans="1:8" ht="18" x14ac:dyDescent="0.35">
      <c r="A25">
        <v>45689</v>
      </c>
      <c r="B25" t="s">
        <v>22</v>
      </c>
      <c r="C25" t="s">
        <v>10</v>
      </c>
      <c r="D25" t="s">
        <v>16</v>
      </c>
      <c r="E25" s="3">
        <v>45863</v>
      </c>
      <c r="F25">
        <v>87</v>
      </c>
      <c r="G25" s="10">
        <v>15</v>
      </c>
      <c r="H25" s="10">
        <v>1305</v>
      </c>
    </row>
    <row r="26" spans="1:8" ht="18" x14ac:dyDescent="0.35">
      <c r="A26">
        <v>45706</v>
      </c>
      <c r="B26" t="s">
        <v>24</v>
      </c>
      <c r="C26" t="s">
        <v>7</v>
      </c>
      <c r="D26" t="s">
        <v>16</v>
      </c>
      <c r="E26" s="3">
        <v>45864</v>
      </c>
      <c r="F26">
        <v>4</v>
      </c>
      <c r="G26" s="10">
        <v>4.99</v>
      </c>
      <c r="H26" s="10">
        <v>19.96</v>
      </c>
    </row>
    <row r="27" spans="1:8" ht="18" x14ac:dyDescent="0.35">
      <c r="A27">
        <v>45723</v>
      </c>
      <c r="B27" t="s">
        <v>23</v>
      </c>
      <c r="C27" t="s">
        <v>13</v>
      </c>
      <c r="D27" t="s">
        <v>16</v>
      </c>
      <c r="E27" s="3">
        <v>45865</v>
      </c>
      <c r="F27">
        <v>7</v>
      </c>
      <c r="G27" s="10">
        <v>19.989999999999998</v>
      </c>
      <c r="H27" s="10">
        <v>139.92999999999998</v>
      </c>
    </row>
    <row r="28" spans="1:8" ht="18" x14ac:dyDescent="0.35">
      <c r="A28">
        <v>45740</v>
      </c>
      <c r="B28" t="s">
        <v>22</v>
      </c>
      <c r="C28" t="s">
        <v>6</v>
      </c>
      <c r="D28" t="s">
        <v>21</v>
      </c>
      <c r="E28" s="3">
        <v>45866</v>
      </c>
      <c r="F28">
        <v>50</v>
      </c>
      <c r="G28" s="10">
        <v>4.99</v>
      </c>
      <c r="H28" s="10">
        <v>249.5</v>
      </c>
    </row>
    <row r="29" spans="1:8" ht="18" x14ac:dyDescent="0.35">
      <c r="A29">
        <v>45757</v>
      </c>
      <c r="B29" t="s">
        <v>22</v>
      </c>
      <c r="C29" t="s">
        <v>18</v>
      </c>
      <c r="D29" t="s">
        <v>15</v>
      </c>
      <c r="E29" s="3">
        <v>45867</v>
      </c>
      <c r="F29">
        <v>66</v>
      </c>
      <c r="G29" s="10">
        <v>1.99</v>
      </c>
      <c r="H29" s="10">
        <v>131.34</v>
      </c>
    </row>
    <row r="30" spans="1:8" ht="18" x14ac:dyDescent="0.35">
      <c r="A30">
        <v>45774</v>
      </c>
      <c r="B30" t="s">
        <v>24</v>
      </c>
      <c r="C30" t="s">
        <v>11</v>
      </c>
      <c r="D30" t="s">
        <v>17</v>
      </c>
      <c r="E30" s="3">
        <v>45868</v>
      </c>
      <c r="F30">
        <v>96</v>
      </c>
      <c r="G30" s="10">
        <v>4.99</v>
      </c>
      <c r="H30" s="10">
        <v>479.04</v>
      </c>
    </row>
    <row r="31" spans="1:8" ht="18" x14ac:dyDescent="0.35">
      <c r="A31">
        <v>45791</v>
      </c>
      <c r="B31" t="s">
        <v>22</v>
      </c>
      <c r="C31" t="s">
        <v>5</v>
      </c>
      <c r="D31" t="s">
        <v>15</v>
      </c>
      <c r="E31" s="3">
        <v>45869</v>
      </c>
      <c r="F31">
        <v>53</v>
      </c>
      <c r="G31" s="10">
        <v>1.29</v>
      </c>
      <c r="H31" s="10">
        <v>68.37</v>
      </c>
    </row>
    <row r="32" spans="1:8" ht="18" x14ac:dyDescent="0.35">
      <c r="A32">
        <v>45808</v>
      </c>
      <c r="B32" t="s">
        <v>22</v>
      </c>
      <c r="C32" t="s">
        <v>5</v>
      </c>
      <c r="D32" t="s">
        <v>16</v>
      </c>
      <c r="E32" s="3">
        <v>45870</v>
      </c>
      <c r="F32">
        <v>80</v>
      </c>
      <c r="G32" s="10">
        <v>8.99</v>
      </c>
      <c r="H32" s="10">
        <v>719.2</v>
      </c>
    </row>
    <row r="33" spans="1:15" ht="18" x14ac:dyDescent="0.35">
      <c r="A33">
        <v>45825</v>
      </c>
      <c r="B33" t="s">
        <v>22</v>
      </c>
      <c r="C33" t="s">
        <v>8</v>
      </c>
      <c r="D33" t="s">
        <v>20</v>
      </c>
      <c r="E33" s="3">
        <v>45871</v>
      </c>
      <c r="F33">
        <v>5</v>
      </c>
      <c r="G33" s="10">
        <v>125</v>
      </c>
      <c r="H33" s="10">
        <v>625</v>
      </c>
    </row>
    <row r="34" spans="1:15" ht="18" x14ac:dyDescent="0.35">
      <c r="A34">
        <v>45842</v>
      </c>
      <c r="B34" t="s">
        <v>24</v>
      </c>
      <c r="C34" t="s">
        <v>7</v>
      </c>
      <c r="D34" t="s">
        <v>21</v>
      </c>
      <c r="E34" s="3">
        <v>45872</v>
      </c>
      <c r="F34">
        <v>62</v>
      </c>
      <c r="G34" s="10">
        <v>4.99</v>
      </c>
      <c r="H34" s="10">
        <v>309.38</v>
      </c>
    </row>
    <row r="35" spans="1:15" ht="18" x14ac:dyDescent="0.35">
      <c r="A35">
        <v>45859</v>
      </c>
      <c r="B35" t="s">
        <v>22</v>
      </c>
      <c r="C35" t="s">
        <v>12</v>
      </c>
      <c r="D35" t="s">
        <v>21</v>
      </c>
      <c r="E35" s="3">
        <v>45873</v>
      </c>
      <c r="F35">
        <v>55</v>
      </c>
      <c r="G35" s="10">
        <v>12.49</v>
      </c>
      <c r="H35" s="10">
        <v>686.95</v>
      </c>
    </row>
    <row r="36" spans="1:15" ht="18" x14ac:dyDescent="0.35">
      <c r="A36">
        <v>45876</v>
      </c>
      <c r="B36" t="s">
        <v>22</v>
      </c>
      <c r="C36" t="s">
        <v>8</v>
      </c>
      <c r="D36" t="s">
        <v>21</v>
      </c>
      <c r="E36" s="3">
        <v>45874</v>
      </c>
      <c r="F36">
        <v>42</v>
      </c>
      <c r="G36" s="10">
        <v>23.95</v>
      </c>
      <c r="H36" s="10">
        <v>1005.9</v>
      </c>
    </row>
    <row r="37" spans="1:15" ht="18" x14ac:dyDescent="0.35">
      <c r="A37">
        <v>45893</v>
      </c>
      <c r="B37" t="s">
        <v>23</v>
      </c>
      <c r="C37" t="s">
        <v>13</v>
      </c>
      <c r="D37" t="s">
        <v>20</v>
      </c>
      <c r="E37" s="3">
        <v>45875</v>
      </c>
      <c r="F37">
        <v>3</v>
      </c>
      <c r="G37" s="10">
        <v>275</v>
      </c>
      <c r="H37" s="10">
        <v>825</v>
      </c>
    </row>
    <row r="38" spans="1:15" ht="18" x14ac:dyDescent="0.35">
      <c r="A38">
        <v>45910</v>
      </c>
      <c r="B38" t="s">
        <v>22</v>
      </c>
      <c r="C38" t="s">
        <v>5</v>
      </c>
      <c r="D38" t="s">
        <v>15</v>
      </c>
      <c r="E38" s="3">
        <v>45876</v>
      </c>
      <c r="F38">
        <v>7</v>
      </c>
      <c r="G38" s="10">
        <v>1.29</v>
      </c>
      <c r="H38" s="10">
        <v>9.0300000000000011</v>
      </c>
    </row>
    <row r="39" spans="1:15" ht="18" x14ac:dyDescent="0.35">
      <c r="A39">
        <v>45927</v>
      </c>
      <c r="B39" t="s">
        <v>23</v>
      </c>
      <c r="C39" t="s">
        <v>13</v>
      </c>
      <c r="D39" t="s">
        <v>17</v>
      </c>
      <c r="E39" s="3">
        <v>45877</v>
      </c>
      <c r="F39">
        <v>76</v>
      </c>
      <c r="G39" s="10">
        <v>1.99</v>
      </c>
      <c r="H39" s="10">
        <v>151.24</v>
      </c>
    </row>
    <row r="40" spans="1:15" ht="18" x14ac:dyDescent="0.35">
      <c r="A40">
        <v>45944</v>
      </c>
      <c r="B40" t="s">
        <v>23</v>
      </c>
      <c r="C40" t="s">
        <v>9</v>
      </c>
      <c r="D40" t="s">
        <v>16</v>
      </c>
      <c r="E40"/>
      <c r="F40">
        <v>57</v>
      </c>
      <c r="G40" s="10">
        <v>19.989999999999998</v>
      </c>
      <c r="H40" s="10">
        <v>1139.4299999999998</v>
      </c>
    </row>
    <row r="41" spans="1:15" ht="18" x14ac:dyDescent="0.35">
      <c r="A41">
        <v>45961</v>
      </c>
      <c r="B41" t="s">
        <v>22</v>
      </c>
      <c r="C41" t="s">
        <v>18</v>
      </c>
      <c r="D41" t="s">
        <v>15</v>
      </c>
      <c r="E41"/>
      <c r="F41">
        <v>14</v>
      </c>
      <c r="G41" s="10">
        <v>1.29</v>
      </c>
      <c r="H41" s="10">
        <v>18.060000000000002</v>
      </c>
    </row>
    <row r="42" spans="1:15" ht="18" x14ac:dyDescent="0.35">
      <c r="A42">
        <v>45978</v>
      </c>
      <c r="B42" t="s">
        <v>22</v>
      </c>
      <c r="C42" t="s">
        <v>6</v>
      </c>
      <c r="D42" t="s">
        <v>16</v>
      </c>
      <c r="E42"/>
      <c r="F42">
        <v>11</v>
      </c>
      <c r="G42" s="10">
        <v>4.99</v>
      </c>
      <c r="H42" s="10">
        <v>54.89</v>
      </c>
    </row>
    <row r="43" spans="1:15" ht="18" x14ac:dyDescent="0.35">
      <c r="A43">
        <v>45995</v>
      </c>
      <c r="B43" t="s">
        <v>22</v>
      </c>
      <c r="C43" t="s">
        <v>6</v>
      </c>
      <c r="D43" t="s">
        <v>16</v>
      </c>
      <c r="E43"/>
      <c r="F43">
        <v>94</v>
      </c>
      <c r="G43" s="10">
        <v>19.989999999999998</v>
      </c>
      <c r="H43" s="10">
        <v>1879.06</v>
      </c>
    </row>
    <row r="44" spans="1:15" ht="18" x14ac:dyDescent="0.35">
      <c r="A44">
        <v>46012</v>
      </c>
      <c r="B44" t="s">
        <v>22</v>
      </c>
      <c r="C44" t="s">
        <v>18</v>
      </c>
      <c r="D44" t="s">
        <v>16</v>
      </c>
      <c r="E44"/>
      <c r="F44">
        <v>28</v>
      </c>
      <c r="G44" s="10">
        <v>4.99</v>
      </c>
      <c r="H44" s="10">
        <v>139.72</v>
      </c>
    </row>
    <row r="47" spans="1:15" ht="18" x14ac:dyDescent="0.35">
      <c r="B47" s="12" t="s">
        <v>57</v>
      </c>
      <c r="C47" s="12"/>
      <c r="D47" s="12"/>
      <c r="G47" s="20" t="s">
        <v>47</v>
      </c>
      <c r="H47" s="20"/>
      <c r="I47" s="20"/>
      <c r="J47" s="21">
        <f>SUM(Table1[Total])</f>
        <v>19627.880000000008</v>
      </c>
      <c r="L47" s="11" t="s">
        <v>61</v>
      </c>
      <c r="M47" s="11"/>
      <c r="N47" s="11"/>
      <c r="O47" s="11"/>
    </row>
    <row r="48" spans="1:15" ht="18" x14ac:dyDescent="0.35">
      <c r="B48" s="13" t="s">
        <v>58</v>
      </c>
      <c r="C48" s="13"/>
      <c r="D48" s="13">
        <f>COUNTIF(Table1[[#All],[Region]], "East" )</f>
        <v>13</v>
      </c>
      <c r="G48" s="20" t="s">
        <v>48</v>
      </c>
      <c r="H48" s="20"/>
      <c r="I48" s="20"/>
      <c r="J48" s="23">
        <f>AVERAGE(Table1[Total])</f>
        <v>456.46232558139553</v>
      </c>
      <c r="L48" s="17" t="s">
        <v>15</v>
      </c>
      <c r="M48" s="18"/>
      <c r="N48" s="18"/>
      <c r="O48" s="24">
        <f>SUMIF(Table1[Item], "Pencil", Table1[Total])</f>
        <v>2135.1400000000003</v>
      </c>
    </row>
    <row r="49" spans="2:15" ht="18" x14ac:dyDescent="0.35">
      <c r="B49" s="13" t="s">
        <v>59</v>
      </c>
      <c r="C49" s="13"/>
      <c r="D49" s="13">
        <f>COUNTIF(Table1[[#All],[Region]], "West" )</f>
        <v>6</v>
      </c>
      <c r="G49" s="20" t="s">
        <v>49</v>
      </c>
      <c r="H49" s="20"/>
      <c r="I49" s="20"/>
      <c r="J49" s="23">
        <f>MAX(Table1[Total])</f>
        <v>1879.06</v>
      </c>
      <c r="L49" s="17" t="s">
        <v>16</v>
      </c>
      <c r="M49" s="18"/>
      <c r="N49" s="18"/>
      <c r="O49" s="24">
        <f>SUMIF(Table1[Item], L49, Table1[Total])</f>
        <v>9577.65</v>
      </c>
    </row>
    <row r="50" spans="2:15" ht="18" x14ac:dyDescent="0.35">
      <c r="B50" s="13" t="s">
        <v>60</v>
      </c>
      <c r="C50" s="13"/>
      <c r="D50" s="13">
        <f>COUNTIF(Table1[[#All],[Region]], "Central" )</f>
        <v>24</v>
      </c>
      <c r="G50" s="20" t="s">
        <v>50</v>
      </c>
      <c r="H50" s="20"/>
      <c r="I50" s="20"/>
      <c r="J50" s="23">
        <f>MIN(Table1[Total])</f>
        <v>9.0300000000000011</v>
      </c>
      <c r="L50" s="17" t="s">
        <v>62</v>
      </c>
      <c r="M50" s="18"/>
      <c r="N50" s="18"/>
      <c r="O50" s="24">
        <f>SUMIF(Table1[Item], L50, Table1[Total])</f>
        <v>4169.87</v>
      </c>
    </row>
    <row r="51" spans="2:15" ht="18" x14ac:dyDescent="0.35">
      <c r="B51" s="19" t="s">
        <v>53</v>
      </c>
      <c r="C51" s="19"/>
      <c r="D51" s="19"/>
      <c r="E51"/>
      <c r="G51" s="20" t="s">
        <v>51</v>
      </c>
      <c r="H51" s="20"/>
      <c r="I51" s="20"/>
      <c r="J51" s="23">
        <f>COUNT(Table1[Total])</f>
        <v>43</v>
      </c>
      <c r="L51" s="17" t="s">
        <v>17</v>
      </c>
      <c r="M51" s="18"/>
      <c r="N51" s="18"/>
      <c r="O51" s="24">
        <f>SUMIF(Table1[Item], L51, Table1[Total])</f>
        <v>2045.2199999999998</v>
      </c>
    </row>
    <row r="52" spans="2:15" ht="18" x14ac:dyDescent="0.35">
      <c r="B52" s="13" t="s">
        <v>58</v>
      </c>
      <c r="C52" s="13"/>
      <c r="D52" s="25">
        <f>SUMIF(Table1[Region],B52,Table1[Total])</f>
        <v>6002.09</v>
      </c>
      <c r="E52"/>
      <c r="L52" s="17" t="s">
        <v>20</v>
      </c>
      <c r="M52" s="18"/>
      <c r="N52" s="18"/>
      <c r="O52" s="24">
        <f>SUMIF(Table1[Item], L52, Table1[Total])</f>
        <v>1700</v>
      </c>
    </row>
    <row r="53" spans="2:15" ht="18" x14ac:dyDescent="0.35">
      <c r="B53" s="13" t="s">
        <v>59</v>
      </c>
      <c r="C53" s="13"/>
      <c r="D53" s="25">
        <f>SUMIF(Table1[Region],B53,Table1[Total])</f>
        <v>2486.7199999999998</v>
      </c>
      <c r="E53"/>
      <c r="L53" s="9"/>
    </row>
    <row r="54" spans="2:15" ht="18" x14ac:dyDescent="0.35">
      <c r="B54" s="13" t="s">
        <v>60</v>
      </c>
      <c r="C54" s="13"/>
      <c r="D54" s="25">
        <f>SUMIF(Table1[Region],B54,Table1[Total])</f>
        <v>11139.069999999998</v>
      </c>
      <c r="E54"/>
      <c r="L54" s="11" t="s">
        <v>56</v>
      </c>
      <c r="M54" s="11"/>
      <c r="N54" s="11"/>
      <c r="O54" s="11">
        <f>COUNTIF(Table1[Item], "Pencil")</f>
        <v>13</v>
      </c>
    </row>
    <row r="55" spans="2:15" ht="18" x14ac:dyDescent="0.35">
      <c r="E55"/>
      <c r="L55" s="11" t="s">
        <v>52</v>
      </c>
      <c r="M55" s="11"/>
      <c r="N55" s="11"/>
      <c r="O55" s="22">
        <f>SUMIF(Table1[Item], "Pen", Table1[Unit Cost])</f>
        <v>55.95</v>
      </c>
    </row>
    <row r="56" spans="2:15" ht="18" x14ac:dyDescent="0.35">
      <c r="L56"/>
    </row>
    <row r="57" spans="2:15" ht="18" x14ac:dyDescent="0.35">
      <c r="E57" s="14" t="s">
        <v>54</v>
      </c>
      <c r="F57" s="14"/>
      <c r="G57" s="14"/>
      <c r="H57" s="14"/>
      <c r="I57" s="14" t="s">
        <v>55</v>
      </c>
      <c r="J57" s="14"/>
      <c r="K57" s="14"/>
      <c r="L57"/>
    </row>
    <row r="58" spans="2:15" ht="18" x14ac:dyDescent="0.35">
      <c r="E58" s="15" t="s">
        <v>7</v>
      </c>
      <c r="F58" s="16"/>
      <c r="G58" s="16">
        <f>COUNTIF(Table1[[#All],[Rep]], "Jones")</f>
        <v>8</v>
      </c>
      <c r="H58" s="16"/>
      <c r="I58" s="26">
        <f>AVERAGEIF(Table1[Rep], E58,Table1[Total])</f>
        <v>295.38</v>
      </c>
      <c r="J58" s="16"/>
      <c r="K58" s="16"/>
    </row>
    <row r="59" spans="2:15" ht="18" x14ac:dyDescent="0.35">
      <c r="E59" s="15" t="s">
        <v>8</v>
      </c>
      <c r="F59" s="16"/>
      <c r="G59" s="16">
        <f>COUNTIF(Table1[[#All],[Rep]], E59)</f>
        <v>4</v>
      </c>
      <c r="H59" s="16"/>
      <c r="I59" s="26">
        <f>AVERAGEIF(Table1[Rep], E59,Table1[Total])</f>
        <v>777.36</v>
      </c>
      <c r="J59" s="16"/>
      <c r="K59" s="16"/>
    </row>
    <row r="60" spans="2:15" ht="18" x14ac:dyDescent="0.35">
      <c r="E60" s="15" t="s">
        <v>6</v>
      </c>
      <c r="F60" s="16"/>
      <c r="G60" s="16">
        <f>COUNTIF(Table1[[#All],[Rep]], E60)</f>
        <v>5</v>
      </c>
      <c r="H60" s="16"/>
      <c r="I60" s="26">
        <f>AVERAGEIF(Table1[Rep], E60,Table1[Total])</f>
        <v>562.43799999999999</v>
      </c>
      <c r="J60" s="16"/>
      <c r="K60" s="16"/>
    </row>
    <row r="61" spans="2:15" ht="18" x14ac:dyDescent="0.35">
      <c r="E61" s="15" t="s">
        <v>5</v>
      </c>
      <c r="F61" s="16"/>
      <c r="G61" s="16">
        <f>COUNTIF(Table1[[#All],[Rep]], E61)</f>
        <v>5</v>
      </c>
      <c r="H61" s="16"/>
      <c r="I61" s="26">
        <f>AVERAGEIF(Table1[Rep], E61,Table1[Total])</f>
        <v>349.97400000000005</v>
      </c>
      <c r="J61" s="16"/>
      <c r="K61" s="16"/>
    </row>
    <row r="62" spans="2:15" ht="18" x14ac:dyDescent="0.35">
      <c r="E62" s="15" t="s">
        <v>13</v>
      </c>
      <c r="F62" s="16"/>
      <c r="G62" s="16">
        <f>COUNTIF(Table1[[#All],[Rep]],E62 )</f>
        <v>4</v>
      </c>
      <c r="H62" s="16"/>
      <c r="I62" s="26">
        <f>AVERAGEIF(Table1[Rep], E62,Table1[Total])</f>
        <v>320.90249999999997</v>
      </c>
      <c r="J62" s="16"/>
      <c r="K62" s="16"/>
    </row>
    <row r="63" spans="2:15" ht="18" x14ac:dyDescent="0.35">
      <c r="E63" s="15" t="s">
        <v>18</v>
      </c>
      <c r="F63" s="16"/>
      <c r="G63" s="16">
        <f>COUNTIF(Table1[[#All],[Rep]], E63)</f>
        <v>4</v>
      </c>
      <c r="H63" s="16"/>
      <c r="I63" s="26">
        <f>AVERAGEIF(Table1[Rep], E63,Table1[Total])</f>
        <v>109.5925</v>
      </c>
      <c r="J63" s="16"/>
      <c r="K63" s="16"/>
    </row>
    <row r="64" spans="2:15" ht="18" x14ac:dyDescent="0.35">
      <c r="E64" s="15" t="s">
        <v>9</v>
      </c>
      <c r="F64" s="16"/>
      <c r="G64" s="16">
        <f>COUNTIF(Table1[[#All],[Rep]], E64)</f>
        <v>2</v>
      </c>
      <c r="H64" s="16"/>
      <c r="I64" s="26">
        <f>AVERAGEIF(Table1[Rep], E64,Table1[Total])</f>
        <v>601.55499999999995</v>
      </c>
      <c r="J64" s="16"/>
      <c r="K64" s="16"/>
    </row>
    <row r="65" spans="5:12" ht="18" x14ac:dyDescent="0.35">
      <c r="E65" s="15" t="s">
        <v>12</v>
      </c>
      <c r="F65" s="16"/>
      <c r="G65" s="16">
        <f>COUNTIF(Table1[[#All],[Rep]],E65 )</f>
        <v>3</v>
      </c>
      <c r="H65" s="16"/>
      <c r="I65" s="26">
        <f>AVERAGEIF(Table1[Rep], E65,Table1[Total])</f>
        <v>462.59</v>
      </c>
      <c r="J65" s="16"/>
      <c r="K65" s="16"/>
    </row>
    <row r="66" spans="5:12" ht="18" x14ac:dyDescent="0.35">
      <c r="E66" s="15" t="s">
        <v>11</v>
      </c>
      <c r="F66" s="16"/>
      <c r="G66" s="16">
        <f>COUNTIF(Table1[[#All],[Rep]], E66)</f>
        <v>2</v>
      </c>
      <c r="H66" s="16"/>
      <c r="I66" s="26">
        <f>AVERAGEIF(Table1[Rep], E66,Table1[Total])</f>
        <v>268.375</v>
      </c>
      <c r="J66" s="16"/>
      <c r="K66" s="16"/>
    </row>
    <row r="67" spans="5:12" ht="18" x14ac:dyDescent="0.35">
      <c r="E67" s="15" t="s">
        <v>19</v>
      </c>
      <c r="F67" s="16"/>
      <c r="G67" s="16">
        <f>COUNTIF(Table1[[#All],[Rep]], E67)</f>
        <v>3</v>
      </c>
      <c r="H67" s="16"/>
      <c r="I67" s="26">
        <f>AVERAGEIF(Table1[Rep], E67,Table1[Total])</f>
        <v>1034.0999999999999</v>
      </c>
      <c r="J67" s="16"/>
      <c r="K67" s="16"/>
    </row>
    <row r="68" spans="5:12" ht="18" x14ac:dyDescent="0.35">
      <c r="E68" s="15" t="s">
        <v>10</v>
      </c>
      <c r="F68" s="16"/>
      <c r="G68" s="16">
        <f>COUNTIF(Table1[[#All],[Rep]], E68)</f>
        <v>3</v>
      </c>
      <c r="H68" s="16"/>
      <c r="I68" s="26">
        <f>AVERAGEIF(Table1[Rep], E68,Table1[Total])</f>
        <v>547.14333333333332</v>
      </c>
      <c r="J68" s="16"/>
      <c r="K68" s="16"/>
    </row>
    <row r="70" spans="5:12" ht="18" x14ac:dyDescent="0.35">
      <c r="L70"/>
    </row>
    <row r="71" spans="5:12" ht="18" x14ac:dyDescent="0.35">
      <c r="L71"/>
    </row>
    <row r="72" spans="5:12" ht="18" x14ac:dyDescent="0.35">
      <c r="L72"/>
    </row>
    <row r="73" spans="5:12" ht="18" x14ac:dyDescent="0.35">
      <c r="L73"/>
    </row>
    <row r="74" spans="5:12" ht="18" x14ac:dyDescent="0.35">
      <c r="L74"/>
    </row>
    <row r="75" spans="5:12" ht="18" x14ac:dyDescent="0.35">
      <c r="L75"/>
    </row>
    <row r="76" spans="5:12" ht="18" x14ac:dyDescent="0.35">
      <c r="L76"/>
    </row>
    <row r="77" spans="5:12" ht="18" x14ac:dyDescent="0.35">
      <c r="L77"/>
    </row>
    <row r="78" spans="5:12" ht="18" x14ac:dyDescent="0.35">
      <c r="L78"/>
    </row>
    <row r="79" spans="5:12" ht="18" x14ac:dyDescent="0.35">
      <c r="L79"/>
    </row>
    <row r="80" spans="5:12" ht="18" x14ac:dyDescent="0.35">
      <c r="L80"/>
    </row>
    <row r="81" spans="12:12" ht="18" x14ac:dyDescent="0.35">
      <c r="L81"/>
    </row>
    <row r="82" spans="12:12" ht="18" x14ac:dyDescent="0.35">
      <c r="L82"/>
    </row>
    <row r="83" spans="12:12" ht="18" x14ac:dyDescent="0.35">
      <c r="L83"/>
    </row>
    <row r="84" spans="12:12" ht="18" x14ac:dyDescent="0.35">
      <c r="L84"/>
    </row>
    <row r="85" spans="12:12" ht="18" x14ac:dyDescent="0.35">
      <c r="L85"/>
    </row>
    <row r="86" spans="12:12" ht="18" x14ac:dyDescent="0.35">
      <c r="L86"/>
    </row>
    <row r="87" spans="12:12" ht="18" x14ac:dyDescent="0.35">
      <c r="L87"/>
    </row>
    <row r="88" spans="12:12" ht="18" x14ac:dyDescent="0.35">
      <c r="L88"/>
    </row>
    <row r="89" spans="12:12" ht="18" x14ac:dyDescent="0.35">
      <c r="L89"/>
    </row>
    <row r="90" spans="12:12" ht="18" x14ac:dyDescent="0.35">
      <c r="L90"/>
    </row>
  </sheetData>
  <phoneticPr fontId="0" type="noConversion"/>
  <pageMargins left="0.75" right="0.75" top="1" bottom="1" header="0.5" footer="0.5"/>
  <pageSetup orientation="portrait" r:id="rId1"/>
  <headerFooter alignWithMargins="0">
    <oddFooter>&amp;LDeveloped by Contextures Inc.&amp;Cwww.contextures.com&amp;R&amp;D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6B556-63D7-4F17-8AD8-AD4B32567CE6}">
  <dimension ref="A1:N24"/>
  <sheetViews>
    <sheetView zoomScale="86" workbookViewId="0">
      <selection activeCell="B8" sqref="B8"/>
    </sheetView>
  </sheetViews>
  <sheetFormatPr defaultRowHeight="18" x14ac:dyDescent="0.35"/>
  <sheetData>
    <row r="1" spans="1:14" x14ac:dyDescent="0.35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x14ac:dyDescent="0.3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x14ac:dyDescent="0.3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1:14" x14ac:dyDescent="0.35">
      <c r="A4" s="4" t="s">
        <v>27</v>
      </c>
    </row>
    <row r="5" spans="1:14" x14ac:dyDescent="0.35">
      <c r="A5" s="5" t="s">
        <v>28</v>
      </c>
    </row>
    <row r="6" spans="1:14" x14ac:dyDescent="0.35">
      <c r="A6" s="4" t="s">
        <v>29</v>
      </c>
    </row>
    <row r="7" spans="1:14" x14ac:dyDescent="0.35">
      <c r="A7" s="5" t="s">
        <v>30</v>
      </c>
    </row>
    <row r="8" spans="1:14" x14ac:dyDescent="0.35">
      <c r="A8" s="4" t="s">
        <v>31</v>
      </c>
    </row>
    <row r="9" spans="1:14" x14ac:dyDescent="0.35">
      <c r="A9" s="5" t="s">
        <v>32</v>
      </c>
    </row>
    <row r="10" spans="1:14" x14ac:dyDescent="0.35">
      <c r="A10" s="4" t="s">
        <v>33</v>
      </c>
    </row>
    <row r="11" spans="1:14" x14ac:dyDescent="0.35">
      <c r="A11" s="5" t="s">
        <v>34</v>
      </c>
    </row>
    <row r="12" spans="1:14" x14ac:dyDescent="0.35">
      <c r="A12" s="4" t="s">
        <v>35</v>
      </c>
    </row>
    <row r="13" spans="1:14" x14ac:dyDescent="0.35">
      <c r="A13" s="5" t="s">
        <v>36</v>
      </c>
    </row>
    <row r="14" spans="1:14" x14ac:dyDescent="0.35">
      <c r="A14" s="4" t="s">
        <v>42</v>
      </c>
    </row>
    <row r="15" spans="1:14" x14ac:dyDescent="0.35">
      <c r="A15" s="5" t="s">
        <v>37</v>
      </c>
    </row>
    <row r="16" spans="1:14" x14ac:dyDescent="0.35">
      <c r="A16" s="4" t="s">
        <v>43</v>
      </c>
    </row>
    <row r="17" spans="1:1" x14ac:dyDescent="0.35">
      <c r="A17" s="5" t="s">
        <v>38</v>
      </c>
    </row>
    <row r="18" spans="1:1" x14ac:dyDescent="0.35">
      <c r="A18" s="4" t="s">
        <v>44</v>
      </c>
    </row>
    <row r="19" spans="1:1" x14ac:dyDescent="0.35">
      <c r="A19" s="5" t="s">
        <v>39</v>
      </c>
    </row>
    <row r="20" spans="1:1" x14ac:dyDescent="0.35">
      <c r="A20" s="4" t="s">
        <v>45</v>
      </c>
    </row>
    <row r="21" spans="1:1" x14ac:dyDescent="0.35">
      <c r="A21" s="5" t="s">
        <v>40</v>
      </c>
    </row>
    <row r="22" spans="1:1" x14ac:dyDescent="0.35">
      <c r="A22" s="4" t="s">
        <v>46</v>
      </c>
    </row>
    <row r="23" spans="1:1" x14ac:dyDescent="0.35">
      <c r="A23" s="5" t="s">
        <v>41</v>
      </c>
    </row>
    <row r="24" spans="1:1" x14ac:dyDescent="0.35">
      <c r="A24" s="6"/>
    </row>
  </sheetData>
  <mergeCells count="1">
    <mergeCell ref="A1:N3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tructure xmlns="thqs">{"Id":"00000000-0000-0000-0000-000000000000","ParentId":null,"Name":"Root","IsExpanded":false,"Children":[]}</Structure>
</file>

<file path=customXml/itemProps1.xml><?xml version="1.0" encoding="utf-8"?>
<ds:datastoreItem xmlns:ds="http://schemas.openxmlformats.org/officeDocument/2006/customXml" ds:itemID="{A901E35E-065E-4A2A-895E-508E746953CD}">
  <ds:schemaRefs>
    <ds:schemaRef ds:uri="thq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SalesOrders</vt:lpstr>
      <vt:lpstr>questions</vt:lpstr>
    </vt:vector>
  </TitlesOfParts>
  <Company>Contextures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 Excel Data</dc:title>
  <dc:subject>Sample Excel Data</dc:subject>
  <dc:creator>Debra Dalgleish</dc:creator>
  <cp:keywords>Excel data, sample data</cp:keywords>
  <dc:description>Sample sales orders for use in testing Excel data</dc:description>
  <cp:lastModifiedBy>siddhant mishra</cp:lastModifiedBy>
  <dcterms:created xsi:type="dcterms:W3CDTF">2004-05-01T18:16:56Z</dcterms:created>
  <dcterms:modified xsi:type="dcterms:W3CDTF">2026-07-20T11:41:10Z</dcterms:modified>
  <cp:category>Excel</cp:category>
</cp:coreProperties>
</file>