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943\Downloads\Upgrad classes\class 11 ,12\"/>
    </mc:Choice>
  </mc:AlternateContent>
  <xr:revisionPtr revIDLastSave="0" documentId="13_ncr:1_{E7768203-BC5C-471C-8B67-8C6CAD30C711}" xr6:coauthVersionLast="47" xr6:coauthVersionMax="47" xr10:uidLastSave="{00000000-0000-0000-0000-000000000000}"/>
  <bookViews>
    <workbookView xWindow="-108" yWindow="-108" windowWidth="23256" windowHeight="13176" xr2:uid="{C853B778-FA4D-4270-A865-6D23342BA446}"/>
  </bookViews>
  <sheets>
    <sheet name="The Most Popular Formula" sheetId="1" r:id="rId1"/>
    <sheet name="Vlookup &amp; Choose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'The Most Popular Formula'!$G$364:$L$715</definedName>
    <definedName name="Delivery_Charges">20%</definedName>
    <definedName name="DeliveryCharges">5%</definedName>
    <definedName name="DeliveryCharges_Perc">2%</definedName>
    <definedName name="Dyn_EmpDetails">OFFSET('[1]Name Manager'!$J$1,0,0,COUNTA('[1]Name Manager'!$J:$J),2)</definedName>
    <definedName name="Dyn_EmpList">OFFSET('[2]Named Range'!$J$1,0,0,COUNTA('[2]Named Range'!$J:$J),4)</definedName>
    <definedName name="DynamicProductList">OFFSET('[3]Named Range'!$E$2,0,0,COUNTA('[3]Named Range'!$E$2:$E$100),1)</definedName>
    <definedName name="East">'[1]Name Manager'!$AA$2:$AA$6</definedName>
    <definedName name="Emp_Details" comment="hey this is my first name range...">'[1]Name Manager'!$D$1:$E$9</definedName>
    <definedName name="North">'[1]Name Manager'!$AC$2:$AC$6</definedName>
    <definedName name="Product_List">'[3]Named Range'!$C$1:$C$10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3" i="1" l="1"/>
  <c r="U12" i="1"/>
  <c r="S25" i="1"/>
  <c r="S26" i="1"/>
  <c r="S27" i="1"/>
  <c r="S28" i="1"/>
  <c r="S29" i="1"/>
  <c r="S30" i="1"/>
  <c r="S31" i="1"/>
  <c r="S24" i="1"/>
  <c r="P25" i="1"/>
  <c r="P26" i="1"/>
  <c r="P27" i="1"/>
  <c r="P28" i="1"/>
  <c r="P29" i="1"/>
  <c r="P30" i="1"/>
  <c r="P31" i="1"/>
  <c r="P24" i="1"/>
  <c r="V13" i="1"/>
  <c r="V14" i="1"/>
  <c r="V15" i="1"/>
  <c r="V12" i="1"/>
  <c r="S19" i="1"/>
  <c r="R19" i="1"/>
  <c r="Q19" i="1"/>
  <c r="P19" i="1"/>
  <c r="U13" i="1"/>
  <c r="U14" i="1"/>
  <c r="U15" i="1"/>
  <c r="S13" i="1"/>
  <c r="S14" i="1"/>
  <c r="S15" i="1"/>
  <c r="S16" i="1"/>
  <c r="S12" i="1"/>
  <c r="P14" i="1"/>
  <c r="P15" i="1"/>
  <c r="P12" i="1"/>
  <c r="F15" i="2" a="1"/>
  <c r="F15" i="2" s="1"/>
  <c r="P35" i="1"/>
  <c r="I10" i="2"/>
  <c r="I5" i="2"/>
  <c r="AD56" i="1"/>
  <c r="R47" i="1"/>
  <c r="R48" i="1"/>
  <c r="R49" i="1"/>
  <c r="Q47" i="1"/>
  <c r="Q48" i="1"/>
  <c r="Q49" i="1"/>
  <c r="P48" i="1"/>
  <c r="P49" i="1"/>
  <c r="P47" i="1"/>
  <c r="R24" i="1"/>
  <c r="R25" i="1"/>
  <c r="R26" i="1"/>
  <c r="R27" i="1"/>
  <c r="R28" i="1"/>
  <c r="R29" i="1"/>
  <c r="R30" i="1"/>
  <c r="R31" i="1"/>
  <c r="Q24" i="1"/>
  <c r="Q25" i="1"/>
  <c r="Q26" i="1"/>
  <c r="Q27" i="1"/>
  <c r="Q28" i="1"/>
  <c r="Q29" i="1"/>
  <c r="Q30" i="1"/>
  <c r="Q31" i="1"/>
  <c r="F14" i="2"/>
  <c r="C9" i="2"/>
  <c r="R83" i="1"/>
  <c r="P83" i="1"/>
  <c r="R82" i="1"/>
  <c r="Q83" i="1"/>
  <c r="P82" i="1"/>
  <c r="R81" i="1"/>
  <c r="Q82" i="1"/>
  <c r="P81" i="1"/>
  <c r="Q81" i="1"/>
  <c r="G21" i="2"/>
  <c r="F21" i="2"/>
  <c r="G20" i="2"/>
  <c r="F20" i="2"/>
  <c r="G19" i="2"/>
  <c r="F19" i="2"/>
  <c r="G18" i="2"/>
  <c r="F18" i="2"/>
  <c r="G17" i="2"/>
  <c r="F17" i="2"/>
  <c r="G16" i="2"/>
  <c r="F16" i="2"/>
  <c r="G1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<sst xmlns="http://schemas.openxmlformats.org/spreadsheetml/2006/main" count="2618" uniqueCount="1125">
  <si>
    <t>The Most Popular Function (Vlookup)</t>
  </si>
  <si>
    <t>Table1</t>
  </si>
  <si>
    <t>Table 2</t>
  </si>
  <si>
    <t>Common Error - i.e Selecting the entire Table range in Lookup array of Match function</t>
  </si>
  <si>
    <t>Employee Name</t>
  </si>
  <si>
    <t>Emp ID</t>
  </si>
  <si>
    <t>Dept</t>
  </si>
  <si>
    <t>Designation</t>
  </si>
  <si>
    <t>Region</t>
  </si>
  <si>
    <t>Salary</t>
  </si>
  <si>
    <t>Match Function Examples…</t>
  </si>
  <si>
    <t>Mail ID</t>
  </si>
  <si>
    <t>Hlookup Example</t>
  </si>
  <si>
    <t>Abdul Razzak</t>
  </si>
  <si>
    <t>Emp0345</t>
  </si>
  <si>
    <t>Accounts Receivable</t>
  </si>
  <si>
    <t>Test Lead</t>
  </si>
  <si>
    <t>East</t>
  </si>
  <si>
    <t>Emp0345_6825@microsoft.com</t>
  </si>
  <si>
    <t>ABdul Razzak</t>
  </si>
  <si>
    <t>Alexander Muthunoori</t>
  </si>
  <si>
    <t>Anand Kumar Pandikonda</t>
  </si>
  <si>
    <t>Anil Biradar</t>
  </si>
  <si>
    <t>Archana Nagumotu</t>
  </si>
  <si>
    <t>Arun KashaBoina</t>
  </si>
  <si>
    <t>Arun Kumar Keesari</t>
  </si>
  <si>
    <t>Emp0030</t>
  </si>
  <si>
    <t>BPL</t>
  </si>
  <si>
    <t>PJM</t>
  </si>
  <si>
    <t>Ex1: Find the Position# of "Employee Name"</t>
  </si>
  <si>
    <t>Ex2: Find the Position# of "Emp Id"</t>
  </si>
  <si>
    <t>Emp0030_3757@microsoft.com</t>
  </si>
  <si>
    <t>Emp0476</t>
  </si>
  <si>
    <t>Emp0189</t>
  </si>
  <si>
    <t>Emp0553</t>
  </si>
  <si>
    <t>Emp0584</t>
  </si>
  <si>
    <t>Emp0462</t>
  </si>
  <si>
    <t>Swathi Kumari</t>
  </si>
  <si>
    <t>Med Plus</t>
  </si>
  <si>
    <t>Tester</t>
  </si>
  <si>
    <t>West</t>
  </si>
  <si>
    <t>Position#</t>
  </si>
  <si>
    <t>Emp0476_2007@microsoft.com</t>
  </si>
  <si>
    <t>Tenet</t>
  </si>
  <si>
    <t>E-Commerce</t>
  </si>
  <si>
    <t>Manager</t>
  </si>
  <si>
    <t>Swathi Matam</t>
  </si>
  <si>
    <t>Emp0189_3972@microsoft.com</t>
  </si>
  <si>
    <t>Dev Lead</t>
  </si>
  <si>
    <t>Emp0553_868@microsoft.com</t>
  </si>
  <si>
    <t>North</t>
  </si>
  <si>
    <t>Anil Kumar</t>
  </si>
  <si>
    <t>Emp0219</t>
  </si>
  <si>
    <t>Emp0584_7171@microsoft.com</t>
  </si>
  <si>
    <t>Sita Mahalakshmi Goparaju</t>
  </si>
  <si>
    <t>Emp0212</t>
  </si>
  <si>
    <t>Emp0462_6206@microsoft.com</t>
  </si>
  <si>
    <t>Emp0276</t>
  </si>
  <si>
    <t>Developer</t>
  </si>
  <si>
    <t>Emp0377</t>
  </si>
  <si>
    <t>Emp0276_5978@microsoft.com</t>
  </si>
  <si>
    <t>Ashish Pal Singh</t>
  </si>
  <si>
    <t>Emp0127</t>
  </si>
  <si>
    <t>Ex3: Find the Position# of given headers</t>
  </si>
  <si>
    <t>Emp0127_6668@microsoft.com</t>
  </si>
  <si>
    <t>Associate</t>
  </si>
  <si>
    <t>Emp Id</t>
  </si>
  <si>
    <t>Emp0219_1711@microsoft.com</t>
  </si>
  <si>
    <t>Bhanuprakash Yekollu</t>
  </si>
  <si>
    <t>Emp0550</t>
  </si>
  <si>
    <t>South</t>
  </si>
  <si>
    <t>Emp0550_9488@microsoft.com</t>
  </si>
  <si>
    <t>info@dataskills.in</t>
  </si>
  <si>
    <t>Bikas Chandra Mandal</t>
  </si>
  <si>
    <t>Emp0212_6945@microsoft.com</t>
  </si>
  <si>
    <t>Chandra Biswal Kali</t>
  </si>
  <si>
    <t>Emp0170</t>
  </si>
  <si>
    <t>Emp0170_1963@microsoft.com</t>
  </si>
  <si>
    <t>Chandra Kumar Kotipalli</t>
  </si>
  <si>
    <t>Emp0263</t>
  </si>
  <si>
    <t>Ex1: Vlookup (Basic)</t>
  </si>
  <si>
    <t>Emp0263_3129@microsoft.com</t>
  </si>
  <si>
    <t>Chekkala Suresh</t>
  </si>
  <si>
    <t>Emp0377_3578@microsoft.com</t>
  </si>
  <si>
    <t>Dasarath Daya</t>
  </si>
  <si>
    <t>Emp0117</t>
  </si>
  <si>
    <t>Emp0117_8693@microsoft.com</t>
  </si>
  <si>
    <t>Durgesha Pallela</t>
  </si>
  <si>
    <t>Emp0400</t>
  </si>
  <si>
    <t>INTERdent</t>
  </si>
  <si>
    <t>Emp0400_304@microsoft.com</t>
  </si>
  <si>
    <t>Gangadhar Naik Devsoth</t>
  </si>
  <si>
    <t>Emp0049</t>
  </si>
  <si>
    <t>Emp0049_6679@microsoft.com</t>
  </si>
  <si>
    <t>Geethanjali Raj</t>
  </si>
  <si>
    <t>Emp0447</t>
  </si>
  <si>
    <t>F&amp;A</t>
  </si>
  <si>
    <t>Emp0447_776@microsoft.com</t>
  </si>
  <si>
    <t>Ginka Arjun</t>
  </si>
  <si>
    <t>Emp0397</t>
  </si>
  <si>
    <t>Emp0397_7289@microsoft.com</t>
  </si>
  <si>
    <t>Column Example</t>
  </si>
  <si>
    <t>Gnaneshwar Shamantula</t>
  </si>
  <si>
    <t>Emp0537</t>
  </si>
  <si>
    <t>Gunneswara Rao Patnala</t>
  </si>
  <si>
    <t>Emp0537_4449@microsoft.com</t>
  </si>
  <si>
    <t>Gopi Arun Kumar</t>
  </si>
  <si>
    <t>Emp0418</t>
  </si>
  <si>
    <t>Emp0418_6776@microsoft.com</t>
  </si>
  <si>
    <t>Emp0347</t>
  </si>
  <si>
    <t>Himan Kumar E</t>
  </si>
  <si>
    <t>Emp0347_3098@microsoft.com</t>
  </si>
  <si>
    <t>Harikrishna Patnam</t>
  </si>
  <si>
    <t>Emp0388</t>
  </si>
  <si>
    <t>Emp0388_9437@microsoft.com</t>
  </si>
  <si>
    <t>Harry Lazerus Joseph Anthony</t>
  </si>
  <si>
    <t>Emp0398</t>
  </si>
  <si>
    <t>Ex2: Vlookup with Match *****</t>
  </si>
  <si>
    <t>Emp0398_262@microsoft.com</t>
  </si>
  <si>
    <t>Emp0158</t>
  </si>
  <si>
    <t>Emp0158_6345@microsoft.com</t>
  </si>
  <si>
    <t>J.Ushaiah</t>
  </si>
  <si>
    <t>Emp0405</t>
  </si>
  <si>
    <t>Emp0405_549@microsoft.com</t>
  </si>
  <si>
    <t>Jaffer shah Khan</t>
  </si>
  <si>
    <t>Emp0459</t>
  </si>
  <si>
    <t>Emp0459_9468@microsoft.com</t>
  </si>
  <si>
    <t>Jagadishwara Chary Palakurthi</t>
  </si>
  <si>
    <t>Emp0589</t>
  </si>
  <si>
    <t>swathi matam</t>
  </si>
  <si>
    <t>Emp0589_7754@microsoft.com</t>
  </si>
  <si>
    <t>Jakka Srikanth</t>
  </si>
  <si>
    <t>Emp0591</t>
  </si>
  <si>
    <t>Emp0591_7906@microsoft.com</t>
  </si>
  <si>
    <t>Jaya Chakravarthy Kante</t>
  </si>
  <si>
    <t>Emp0386</t>
  </si>
  <si>
    <t>Emp0386_1688@microsoft.com</t>
  </si>
  <si>
    <t>Jayanth Kumar Palish</t>
  </si>
  <si>
    <t>Emp0504</t>
  </si>
  <si>
    <t>Emp0504_192@microsoft.com</t>
  </si>
  <si>
    <t>Joseph ChinnaBathini</t>
  </si>
  <si>
    <t>Emp0286</t>
  </si>
  <si>
    <t>Emp0286_3617@microsoft.com</t>
  </si>
  <si>
    <t>K. Bhanu Chander</t>
  </si>
  <si>
    <t>Emp0392</t>
  </si>
  <si>
    <t>Emp0392_5579@microsoft.com</t>
  </si>
  <si>
    <t>K.Dhanesh</t>
  </si>
  <si>
    <t>Emp0574</t>
  </si>
  <si>
    <t>Emp0574_1636@microsoft.com</t>
  </si>
  <si>
    <t>K.Jakeer Hussain</t>
  </si>
  <si>
    <t>Emp0588</t>
  </si>
  <si>
    <t>Emp0588_4238@microsoft.com</t>
  </si>
  <si>
    <t>K.Vijaya Sree</t>
  </si>
  <si>
    <t>Emp0505</t>
  </si>
  <si>
    <t>Emp0505_6346@microsoft.com</t>
  </si>
  <si>
    <t>Karthik Sen Kumar D</t>
  </si>
  <si>
    <t>Emp0469</t>
  </si>
  <si>
    <t>Emp0469_3169@microsoft.com</t>
  </si>
  <si>
    <t>Keziya Rosy Lanka</t>
  </si>
  <si>
    <t>Emp0285</t>
  </si>
  <si>
    <t>Emp0285_3401@microsoft.com</t>
  </si>
  <si>
    <t>Kumara Swamy Yadav E</t>
  </si>
  <si>
    <t>Emp0152</t>
  </si>
  <si>
    <t>Emp0152_4389@microsoft.com</t>
  </si>
  <si>
    <t>Lakshmi Kranthi Manda</t>
  </si>
  <si>
    <t>Emp0265</t>
  </si>
  <si>
    <t>Emp0265_3358@microsoft.com</t>
  </si>
  <si>
    <t>Lakshmi Venkateshwarlu</t>
  </si>
  <si>
    <t>Emp0042</t>
  </si>
  <si>
    <t>Emp0042_2267@microsoft.com</t>
  </si>
  <si>
    <t>M A Gaffar</t>
  </si>
  <si>
    <t>Emp0576</t>
  </si>
  <si>
    <t>Emp0576_4964@microsoft.com</t>
  </si>
  <si>
    <t>M.Maheshwar Rao</t>
  </si>
  <si>
    <t>Emp0629</t>
  </si>
  <si>
    <t>Emp0629_3833@microsoft.com</t>
  </si>
  <si>
    <t>Madhu Sudhan Tumma</t>
  </si>
  <si>
    <t>Emp0482</t>
  </si>
  <si>
    <t>Emp0482_2134@microsoft.com</t>
  </si>
  <si>
    <t>Madhuri Sai Lakshmi Kshatriya</t>
  </si>
  <si>
    <t>Emp0304</t>
  </si>
  <si>
    <t>Emp0304_5712@microsoft.com</t>
  </si>
  <si>
    <t>Mahafooz Hossain SK</t>
  </si>
  <si>
    <t>Emp0054</t>
  </si>
  <si>
    <t>Emp0054_167@microsoft.com</t>
  </si>
  <si>
    <t>Mahankalaiah</t>
  </si>
  <si>
    <t>Emp0183</t>
  </si>
  <si>
    <t>Emp0183_5159@microsoft.com</t>
  </si>
  <si>
    <t>Maharshi Patoju</t>
  </si>
  <si>
    <t>Emp0590</t>
  </si>
  <si>
    <t>Ex3: Vlookup, Trim ,Match &amp; Iferror</t>
  </si>
  <si>
    <t xml:space="preserve">Emp Id         </t>
  </si>
  <si>
    <t>Emp0590_8910@microsoft.com</t>
  </si>
  <si>
    <t>Mahesh Attivilli</t>
  </si>
  <si>
    <t>Emp0359</t>
  </si>
  <si>
    <t xml:space="preserve">Salary </t>
  </si>
  <si>
    <t>Emp0359_7642@microsoft.com</t>
  </si>
  <si>
    <t>Mahesh Reddy M</t>
  </si>
  <si>
    <t>Emp0464</t>
  </si>
  <si>
    <t xml:space="preserve"> swathi         Matam</t>
  </si>
  <si>
    <t>Emp0464_115@microsoft.com</t>
  </si>
  <si>
    <t>Mallikarjun Bathini</t>
  </si>
  <si>
    <t>Emp0145</t>
  </si>
  <si>
    <t xml:space="preserve">Katrina           Kaif      </t>
  </si>
  <si>
    <t>Emp0145_4529@microsoft.com</t>
  </si>
  <si>
    <t>Manish Kumar</t>
  </si>
  <si>
    <t>Emp0360</t>
  </si>
  <si>
    <t>Abdul      Razzak</t>
  </si>
  <si>
    <t>Emp0360_9204@microsoft.com</t>
  </si>
  <si>
    <t>Manoj Kumar Buyyakar</t>
  </si>
  <si>
    <t>Emp0217</t>
  </si>
  <si>
    <t>Emp0217_2663@microsoft.com</t>
  </si>
  <si>
    <t>ManoriLal Bhatt</t>
  </si>
  <si>
    <t>Emp0516</t>
  </si>
  <si>
    <t>Home Work</t>
  </si>
  <si>
    <t>Table2</t>
  </si>
  <si>
    <t>Emp0516_2116@microsoft.com</t>
  </si>
  <si>
    <t>Maria Malini</t>
  </si>
  <si>
    <t>Emp0247</t>
  </si>
  <si>
    <t>Pulling data from two different Tables</t>
  </si>
  <si>
    <t>Emp0247_4239@microsoft.com</t>
  </si>
  <si>
    <t>Maringanti Ranganath</t>
  </si>
  <si>
    <t>Emp0592</t>
  </si>
  <si>
    <t>EMP ID</t>
  </si>
  <si>
    <t>Mail ID (Mega formula - 2 vlookups)</t>
  </si>
  <si>
    <t>Emp0592_7180@microsoft.com</t>
  </si>
  <si>
    <t>Md ABdul Khadar Jilani</t>
  </si>
  <si>
    <t>Emp0539</t>
  </si>
  <si>
    <t>Emp0539_7964@microsoft.com</t>
  </si>
  <si>
    <t>Md ABdul Rizwan</t>
  </si>
  <si>
    <t>Emp0430</t>
  </si>
  <si>
    <t>Emp0430_2124@microsoft.com</t>
  </si>
  <si>
    <t>Melvin Vishal</t>
  </si>
  <si>
    <t>Emp0417</t>
  </si>
  <si>
    <t>Emp0417_6094@microsoft.com</t>
  </si>
  <si>
    <t>Mir Wajahath Ali Khan</t>
  </si>
  <si>
    <t>Emp0520</t>
  </si>
  <si>
    <t>Emp0520_9628@microsoft.com</t>
  </si>
  <si>
    <t>Mohammed Jaweed</t>
  </si>
  <si>
    <t>Emp0162</t>
  </si>
  <si>
    <t>Emp0162_8640@microsoft.com</t>
  </si>
  <si>
    <t>Mohammed Samiuddin</t>
  </si>
  <si>
    <t>Emp0307</t>
  </si>
  <si>
    <t>Emp0307_3774@microsoft.com</t>
  </si>
  <si>
    <t>Mohammed Sayeed</t>
  </si>
  <si>
    <t>Emp0339</t>
  </si>
  <si>
    <t>Emp0339_2759@microsoft.com</t>
  </si>
  <si>
    <t>MOHAN PRATAP CHITTOORI</t>
  </si>
  <si>
    <t>Emp0222</t>
  </si>
  <si>
    <t>Emp0222_6681@microsoft.com</t>
  </si>
  <si>
    <t>Mohd Raheem Uddin</t>
  </si>
  <si>
    <t>Emp0374</t>
  </si>
  <si>
    <t>Emp0374_2911@microsoft.com</t>
  </si>
  <si>
    <t>MuteeB Qureshi</t>
  </si>
  <si>
    <t>Emp0268</t>
  </si>
  <si>
    <t>Emp0268_9727@microsoft.com</t>
  </si>
  <si>
    <t>N.Ch Pradeep Kumar</t>
  </si>
  <si>
    <t>Emp0587</t>
  </si>
  <si>
    <t>Emp0587_9803@microsoft.com</t>
  </si>
  <si>
    <t>Nagindrappa Kollur</t>
  </si>
  <si>
    <t>Emp0385</t>
  </si>
  <si>
    <t>Emp0385_6391@microsoft.com</t>
  </si>
  <si>
    <t>Naidu Mamatha</t>
  </si>
  <si>
    <t>Emp0220</t>
  </si>
  <si>
    <t>Vlookup cannot pull the left side values, lookup value should be left most column. This is the limitation of VLOOKUP</t>
  </si>
  <si>
    <t>Emp0220_2862@microsoft.com</t>
  </si>
  <si>
    <t>Naragaram Ravi</t>
  </si>
  <si>
    <t>Emp0578</t>
  </si>
  <si>
    <t>Emp0578_4989@microsoft.com</t>
  </si>
  <si>
    <t>Naresh Bandari</t>
  </si>
  <si>
    <t>Emp0027</t>
  </si>
  <si>
    <t>Emp0027_2049@microsoft.com</t>
  </si>
  <si>
    <t>Naresh Kaithlapuram</t>
  </si>
  <si>
    <t>Emp0204</t>
  </si>
  <si>
    <t>Emp0204_1526@microsoft.com</t>
  </si>
  <si>
    <t>Naresh Kumar Kamuni</t>
  </si>
  <si>
    <t>Emp0559</t>
  </si>
  <si>
    <t>Emp0559_9238@microsoft.com</t>
  </si>
  <si>
    <t>Naresh Kumar Vemula</t>
  </si>
  <si>
    <t>Emp0142</t>
  </si>
  <si>
    <t>Emp0142_7119@microsoft.com</t>
  </si>
  <si>
    <t>Matam Rajesh</t>
  </si>
  <si>
    <t>Emp0192</t>
  </si>
  <si>
    <t>Emp0192_4978@microsoft.com</t>
  </si>
  <si>
    <t>Naresh Mulla</t>
  </si>
  <si>
    <t>Emp0146</t>
  </si>
  <si>
    <t>Emp0146_8772@microsoft.com</t>
  </si>
  <si>
    <t>Narsing Rao Avula</t>
  </si>
  <si>
    <t>Emp0064</t>
  </si>
  <si>
    <t>Emp0064_2769@microsoft.com</t>
  </si>
  <si>
    <t>Nazneen Shaik</t>
  </si>
  <si>
    <t>Emp0284</t>
  </si>
  <si>
    <t>Emp0284_3410@microsoft.com</t>
  </si>
  <si>
    <t>NEERAJ KUMAR RAJU MANDAPETTI</t>
  </si>
  <si>
    <t>Emp0225</t>
  </si>
  <si>
    <t>Emp0225_8900@microsoft.com</t>
  </si>
  <si>
    <t>Nityananad DarBy</t>
  </si>
  <si>
    <t>Emp0630</t>
  </si>
  <si>
    <t>Emp0630_1456@microsoft.com</t>
  </si>
  <si>
    <t>P.Durga Prasad</t>
  </si>
  <si>
    <t>Emp0442</t>
  </si>
  <si>
    <t>Emp0442_583@microsoft.com</t>
  </si>
  <si>
    <t>P.Pramod Kumar</t>
  </si>
  <si>
    <t>Emp0495</t>
  </si>
  <si>
    <t>Emp0495_1002@microsoft.com</t>
  </si>
  <si>
    <t>P.Suresh Kumar</t>
  </si>
  <si>
    <t>Emp0575</t>
  </si>
  <si>
    <t>Emp0575_7991@microsoft.com</t>
  </si>
  <si>
    <t>Pasupathy Vasaga</t>
  </si>
  <si>
    <t>Emp0185</t>
  </si>
  <si>
    <t>Emp0185_4293@microsoft.com</t>
  </si>
  <si>
    <t>Patlolla Sathish</t>
  </si>
  <si>
    <t>Emp0369</t>
  </si>
  <si>
    <t>Emp0369_2764@microsoft.com</t>
  </si>
  <si>
    <t>Pavan Kumar Pathyapu</t>
  </si>
  <si>
    <t>Emp0346</t>
  </si>
  <si>
    <t>Emp0346_7496@microsoft.com</t>
  </si>
  <si>
    <t>Pradeep Keerthi Ramchander</t>
  </si>
  <si>
    <t>Emp0538</t>
  </si>
  <si>
    <t>Emp0538_158@microsoft.com</t>
  </si>
  <si>
    <t>Prakash SudheerPaulNemalikanth</t>
  </si>
  <si>
    <t>Emp0383</t>
  </si>
  <si>
    <t>Emp0383_7085@microsoft.com</t>
  </si>
  <si>
    <t>Prashanth Dorepally</t>
  </si>
  <si>
    <t>Emp0337</t>
  </si>
  <si>
    <t>Emp0337_6840@microsoft.com</t>
  </si>
  <si>
    <t>Praveen Kumar Rachakonda</t>
  </si>
  <si>
    <t>Emp0515</t>
  </si>
  <si>
    <t>Emp0515_173@microsoft.com</t>
  </si>
  <si>
    <t>Priyadarshini Sunkari</t>
  </si>
  <si>
    <t>Emp0436</t>
  </si>
  <si>
    <t>Emp0436_3159@microsoft.com</t>
  </si>
  <si>
    <t>Priyanka Mudhiraj Bondla</t>
  </si>
  <si>
    <t>Emp0586</t>
  </si>
  <si>
    <t>Emp0586_2813@microsoft.com</t>
  </si>
  <si>
    <t>Pulluri Sai Kumar</t>
  </si>
  <si>
    <t>Emp0178</t>
  </si>
  <si>
    <t>Emp0178_7316@microsoft.com</t>
  </si>
  <si>
    <t>Raj Kumar Donkena</t>
  </si>
  <si>
    <t>Emp0375</t>
  </si>
  <si>
    <t>Emp0375_1382@microsoft.com</t>
  </si>
  <si>
    <t>Rajaram T</t>
  </si>
  <si>
    <t>Emp0585</t>
  </si>
  <si>
    <t>Emp0585_4391@microsoft.com</t>
  </si>
  <si>
    <t>Rajesh D</t>
  </si>
  <si>
    <t>Emp0465</t>
  </si>
  <si>
    <t>Emp0465_4302@microsoft.com</t>
  </si>
  <si>
    <t>Rajesh Kumar DuBey</t>
  </si>
  <si>
    <t>Emp0320</t>
  </si>
  <si>
    <t>Emp0320_5426@microsoft.com</t>
  </si>
  <si>
    <t>Rajesh Uppala</t>
  </si>
  <si>
    <t>Emp0235</t>
  </si>
  <si>
    <t>Emp0235_2803@microsoft.com</t>
  </si>
  <si>
    <t>Rajesh Yadav Annasagar</t>
  </si>
  <si>
    <t>Emp0463</t>
  </si>
  <si>
    <t>Emp0463_6952@microsoft.com</t>
  </si>
  <si>
    <t>Rajsekhar Pattnaik</t>
  </si>
  <si>
    <t>Emp0057</t>
  </si>
  <si>
    <t>Emp0057_478@microsoft.com</t>
  </si>
  <si>
    <t>Raju Patil Channappa</t>
  </si>
  <si>
    <t>Emp0216</t>
  </si>
  <si>
    <t>Emp0216_5640@microsoft.com</t>
  </si>
  <si>
    <t>Rakesh Kumar Mateti</t>
  </si>
  <si>
    <t>Emp0556</t>
  </si>
  <si>
    <t>Emp0556_292@microsoft.com</t>
  </si>
  <si>
    <t>Rakesh Kumar VEmula</t>
  </si>
  <si>
    <t>Emp0278</t>
  </si>
  <si>
    <t>Emp0278_4074@microsoft.com</t>
  </si>
  <si>
    <t>Ram Mohan Rao Chekkala</t>
  </si>
  <si>
    <t>Emp0391</t>
  </si>
  <si>
    <t>Emp0391_9516@microsoft.com</t>
  </si>
  <si>
    <t>Rama Krishna Raghuvatula</t>
  </si>
  <si>
    <t>Emp0249</t>
  </si>
  <si>
    <t>Emp0249_8815@microsoft.com</t>
  </si>
  <si>
    <t>Rama Krishna Reddy Samala</t>
  </si>
  <si>
    <t>Emp0290</t>
  </si>
  <si>
    <t>Emp0290_3841@microsoft.com</t>
  </si>
  <si>
    <t>Ramchandrudu Vadrevu</t>
  </si>
  <si>
    <t>Emp0234</t>
  </si>
  <si>
    <t>Emp0234_6216@microsoft.com</t>
  </si>
  <si>
    <t>Ramesh  Chepuri</t>
  </si>
  <si>
    <t>Emp0034</t>
  </si>
  <si>
    <t>Emp0034_1368@microsoft.com</t>
  </si>
  <si>
    <t>Ramesh BaBu T V N</t>
  </si>
  <si>
    <t>Emp0272</t>
  </si>
  <si>
    <t>Emp0272_7890@microsoft.com</t>
  </si>
  <si>
    <t>Ramesh Bojjavoina</t>
  </si>
  <si>
    <t>Emp0399</t>
  </si>
  <si>
    <t>Emp0399_207@microsoft.com</t>
  </si>
  <si>
    <t>Ramulu Mathangi</t>
  </si>
  <si>
    <t>Emp0548</t>
  </si>
  <si>
    <t>Emp0548_7635@microsoft.com</t>
  </si>
  <si>
    <t>Ranjeet Kumar</t>
  </si>
  <si>
    <t>Emp0511</t>
  </si>
  <si>
    <t>Emp0511_5590@microsoft.com</t>
  </si>
  <si>
    <t>Ranjith Kumar A</t>
  </si>
  <si>
    <t>Emp0535</t>
  </si>
  <si>
    <t>Emp0535_490@microsoft.com</t>
  </si>
  <si>
    <t>Ravi Kirane G</t>
  </si>
  <si>
    <t>Emp0180</t>
  </si>
  <si>
    <t>Emp0180_4408@microsoft.com</t>
  </si>
  <si>
    <t>Ravijeet Singh</t>
  </si>
  <si>
    <t>Emp0352</t>
  </si>
  <si>
    <t>Emp0352_2989@microsoft.com</t>
  </si>
  <si>
    <t>Rizwan shareef</t>
  </si>
  <si>
    <t>Emp0408</t>
  </si>
  <si>
    <t>Emp0408_8340@microsoft.com</t>
  </si>
  <si>
    <t>Rudra Dhanraj</t>
  </si>
  <si>
    <t>Emp0554</t>
  </si>
  <si>
    <t>Emp0554_1025@microsoft.com</t>
  </si>
  <si>
    <t>Sai Prasanna Ravula</t>
  </si>
  <si>
    <t>Emp0543</t>
  </si>
  <si>
    <t>Emp0543_3512@microsoft.com</t>
  </si>
  <si>
    <t>Sainath Kyatam</t>
  </si>
  <si>
    <t>Emp0467</t>
  </si>
  <si>
    <t>Emp0467_413@microsoft.com</t>
  </si>
  <si>
    <t>Saleem Pasha Sk</t>
  </si>
  <si>
    <t>Emp0497</t>
  </si>
  <si>
    <t>Emp0497_6825@microsoft.com</t>
  </si>
  <si>
    <t>Santhi Gudiseva</t>
  </si>
  <si>
    <t>Emp0530</t>
  </si>
  <si>
    <t>Emp0530_9336@microsoft.com</t>
  </si>
  <si>
    <t>Santhosh Kumar Racham</t>
  </si>
  <si>
    <t>Emp0228</t>
  </si>
  <si>
    <t>Emp0228_8443@microsoft.com</t>
  </si>
  <si>
    <t>Santosh Kumar Aravapally</t>
  </si>
  <si>
    <t>Emp0133</t>
  </si>
  <si>
    <t>Emp0133_8032@microsoft.com</t>
  </si>
  <si>
    <t>Sashikala Enumula</t>
  </si>
  <si>
    <t>Emp0107</t>
  </si>
  <si>
    <t>Emp0107_7296@microsoft.com</t>
  </si>
  <si>
    <t>Satish Kumar Nalla</t>
  </si>
  <si>
    <t>Emp0382</t>
  </si>
  <si>
    <t>Emp0382_3614@microsoft.com</t>
  </si>
  <si>
    <t>Satish Kumar Potharlanka</t>
  </si>
  <si>
    <t>Emp0390</t>
  </si>
  <si>
    <t>Emp0390_9562@microsoft.com</t>
  </si>
  <si>
    <t>Satish Raju Bollavaram</t>
  </si>
  <si>
    <t>Emp0529</t>
  </si>
  <si>
    <t>Emp0529_4889@microsoft.com</t>
  </si>
  <si>
    <t>Satya Haranath Rao Darapureddy</t>
  </si>
  <si>
    <t>Emp0237</t>
  </si>
  <si>
    <t>Emp0237_1875@microsoft.com</t>
  </si>
  <si>
    <t>Shaik MahaBooB Hossain</t>
  </si>
  <si>
    <t>Emp0492</t>
  </si>
  <si>
    <t>Emp0492_6416@microsoft.com</t>
  </si>
  <si>
    <t>Shaik Rahiman</t>
  </si>
  <si>
    <t>Emp0379</t>
  </si>
  <si>
    <t>Emp0379_3452@microsoft.com</t>
  </si>
  <si>
    <t>Shaik Waheed</t>
  </si>
  <si>
    <t>Emp0314</t>
  </si>
  <si>
    <t>Emp0314_6734@microsoft.com</t>
  </si>
  <si>
    <t>Sharath Kanth S</t>
  </si>
  <si>
    <t>Emp0479</t>
  </si>
  <si>
    <t>Emp0479_1835@microsoft.com</t>
  </si>
  <si>
    <t>Sheik Khasim Mohiddino</t>
  </si>
  <si>
    <t>Emp0631</t>
  </si>
  <si>
    <t>Emp0631_583@microsoft.com</t>
  </si>
  <si>
    <t>Simhadri Mudadla</t>
  </si>
  <si>
    <t>Emp0129</t>
  </si>
  <si>
    <t>Emp0129_106@microsoft.com</t>
  </si>
  <si>
    <t>Siram Venkata SuBBa Rao</t>
  </si>
  <si>
    <t>Emp0566</t>
  </si>
  <si>
    <t>Emp0566_6945@microsoft.com</t>
  </si>
  <si>
    <t>Sri Gowri Gogune</t>
  </si>
  <si>
    <t>Emp0396</t>
  </si>
  <si>
    <t>Emp0396_2265@microsoft.com</t>
  </si>
  <si>
    <t>Sridhar Yavapuram</t>
  </si>
  <si>
    <t>Emp0547</t>
  </si>
  <si>
    <t>Emp0547_3627@microsoft.com</t>
  </si>
  <si>
    <t>Sriharsha Jukanti</t>
  </si>
  <si>
    <t>Emp0338</t>
  </si>
  <si>
    <t>Emp0338_988@microsoft.com</t>
  </si>
  <si>
    <t>Srikanth Lella</t>
  </si>
  <si>
    <t>Emp0151</t>
  </si>
  <si>
    <t>Emp0151_2675@microsoft.com</t>
  </si>
  <si>
    <t>SRIKANTH VUPPALA</t>
  </si>
  <si>
    <t>Emp0044</t>
  </si>
  <si>
    <t>Emp0044_8716@microsoft.com</t>
  </si>
  <si>
    <t>Srinivas Arroju</t>
  </si>
  <si>
    <t>Emp0066</t>
  </si>
  <si>
    <t>Emp0066_3953@microsoft.com</t>
  </si>
  <si>
    <t>Srinivas Batla</t>
  </si>
  <si>
    <t>Emp0179</t>
  </si>
  <si>
    <t>Emp0179_376@microsoft.com</t>
  </si>
  <si>
    <t>Srinivas Kamidi</t>
  </si>
  <si>
    <t>Emp0208</t>
  </si>
  <si>
    <t>Emp0208_9297@microsoft.com</t>
  </si>
  <si>
    <t>Srinivas Reddy Ganagdi</t>
  </si>
  <si>
    <t>Emp0229</t>
  </si>
  <si>
    <t>Emp0229_3273@microsoft.com</t>
  </si>
  <si>
    <t>SuBrahmanya Sharma J</t>
  </si>
  <si>
    <t>Emp0150</t>
  </si>
  <si>
    <t>Emp0150_2771@microsoft.com</t>
  </si>
  <si>
    <t>Sudha Rani Reddipalli</t>
  </si>
  <si>
    <t>Emp0287</t>
  </si>
  <si>
    <t>Emp0287_3038@microsoft.com</t>
  </si>
  <si>
    <t>Sudhakar Reddy N</t>
  </si>
  <si>
    <t>Emp0498</t>
  </si>
  <si>
    <t>Emp0498_2056@microsoft.com</t>
  </si>
  <si>
    <t>Sujana Kasturi</t>
  </si>
  <si>
    <t>Emp0215</t>
  </si>
  <si>
    <t>Emp0215_338@microsoft.com</t>
  </si>
  <si>
    <t>Sujith Kumar</t>
  </si>
  <si>
    <t>Emp0169</t>
  </si>
  <si>
    <t>Emp0169_8325@microsoft.com</t>
  </si>
  <si>
    <t>Suneeth Kumar GaBriel</t>
  </si>
  <si>
    <t>Emp0197</t>
  </si>
  <si>
    <t>Emp0197_8271@microsoft.com</t>
  </si>
  <si>
    <t>Sunil Kumar Modala Venkata</t>
  </si>
  <si>
    <t>Emp0251</t>
  </si>
  <si>
    <t>Emp0251_4710@microsoft.com</t>
  </si>
  <si>
    <t>Suresh Bushamina</t>
  </si>
  <si>
    <t>Emp0406</t>
  </si>
  <si>
    <t>Emp0406_9715@microsoft.com</t>
  </si>
  <si>
    <t>Suresh Karne</t>
  </si>
  <si>
    <t>Emp0102</t>
  </si>
  <si>
    <t>Emp0102_7633@microsoft.com</t>
  </si>
  <si>
    <t>Sushanth Sagar Kamila</t>
  </si>
  <si>
    <t>Emp0358</t>
  </si>
  <si>
    <t>Emp0358_4115@microsoft.com</t>
  </si>
  <si>
    <t>Swamynath Kalakanti</t>
  </si>
  <si>
    <t>Emp0488</t>
  </si>
  <si>
    <t>Emp0488_9361@microsoft.com</t>
  </si>
  <si>
    <t>Swathi Sree Natta</t>
  </si>
  <si>
    <t>Emp0209</t>
  </si>
  <si>
    <t>Emp0209_9877@microsoft.com</t>
  </si>
  <si>
    <t>Syed Arshad Hussain</t>
  </si>
  <si>
    <t>Emp0373</t>
  </si>
  <si>
    <t>Emp0373_7764@microsoft.com</t>
  </si>
  <si>
    <t>Syed Sharfoddin</t>
  </si>
  <si>
    <t>Emp0124</t>
  </si>
  <si>
    <t>Emp0124_2987@microsoft.com</t>
  </si>
  <si>
    <t>Syed Yaseen</t>
  </si>
  <si>
    <t>Emp0472</t>
  </si>
  <si>
    <t>Emp0472_214@microsoft.com</t>
  </si>
  <si>
    <t>Umesh Kumar Gajapaga</t>
  </si>
  <si>
    <t>Emp0493</t>
  </si>
  <si>
    <t>Emp0493_3723@microsoft.com</t>
  </si>
  <si>
    <t>V B Kiran</t>
  </si>
  <si>
    <t>Emp0531</t>
  </si>
  <si>
    <t>Emp0531_1301@microsoft.com</t>
  </si>
  <si>
    <t>V Swamy</t>
  </si>
  <si>
    <t>Emp0175</t>
  </si>
  <si>
    <t>Emp0175_3039@microsoft.com</t>
  </si>
  <si>
    <t>Varun Kumar Kaatika</t>
  </si>
  <si>
    <t>Emp0438</t>
  </si>
  <si>
    <t>Emp0438_6631@microsoft.com</t>
  </si>
  <si>
    <t>Vedula SuBramanyam</t>
  </si>
  <si>
    <t>Emp0433</t>
  </si>
  <si>
    <t>Emp0433_1251@microsoft.com</t>
  </si>
  <si>
    <t>Veerendranath M G</t>
  </si>
  <si>
    <t>Emp0456</t>
  </si>
  <si>
    <t>Emp0456_4888@microsoft.com</t>
  </si>
  <si>
    <t>Venkata Phani Kirane</t>
  </si>
  <si>
    <t>Emp0577</t>
  </si>
  <si>
    <t>Emp0577_9143@microsoft.com</t>
  </si>
  <si>
    <t>Venkataramana Kella</t>
  </si>
  <si>
    <t>Emp0579</t>
  </si>
  <si>
    <t>Emp0579_3990@microsoft.com</t>
  </si>
  <si>
    <t>Venkatesh Goud Kandi</t>
  </si>
  <si>
    <t>Emp0357</t>
  </si>
  <si>
    <t>Emp0357_3588@microsoft.com</t>
  </si>
  <si>
    <t>Venkatesh Relangi</t>
  </si>
  <si>
    <t>Emp0555</t>
  </si>
  <si>
    <t>Emp0555_4332@microsoft.com</t>
  </si>
  <si>
    <t>Venkateshwarlu Ravoor</t>
  </si>
  <si>
    <t>Emp0419</t>
  </si>
  <si>
    <t>Emp0419_2322@microsoft.com</t>
  </si>
  <si>
    <t>Vidyadhar</t>
  </si>
  <si>
    <t>Emp0161</t>
  </si>
  <si>
    <t>Emp0161_6156@microsoft.com</t>
  </si>
  <si>
    <t>Vijay Kumar MedaBoina</t>
  </si>
  <si>
    <t>Emp0100</t>
  </si>
  <si>
    <t>Emp0100_9548@microsoft.com</t>
  </si>
  <si>
    <t>Vijay Sekhar Sidgiddi</t>
  </si>
  <si>
    <t>Emp0088</t>
  </si>
  <si>
    <t>Emp0088_6367@microsoft.com</t>
  </si>
  <si>
    <t>Vinay Kumar Dasogi</t>
  </si>
  <si>
    <t>Emp0123</t>
  </si>
  <si>
    <t>Emp0123_5662@microsoft.com</t>
  </si>
  <si>
    <t>Vineel Kumar Vignam</t>
  </si>
  <si>
    <t>Emp0120</t>
  </si>
  <si>
    <t>Emp0120_7488@microsoft.com</t>
  </si>
  <si>
    <t>Vinod Kumar</t>
  </si>
  <si>
    <t>Emp0526</t>
  </si>
  <si>
    <t>Emp0526_649@microsoft.com</t>
  </si>
  <si>
    <t>Vinod Kumar Baranasvi</t>
  </si>
  <si>
    <t>Emp0055</t>
  </si>
  <si>
    <t>Emp0055_8871@microsoft.com</t>
  </si>
  <si>
    <t>Y.Pradeep Kumar</t>
  </si>
  <si>
    <t>Emp0503</t>
  </si>
  <si>
    <t>Emp0503_7614@microsoft.com</t>
  </si>
  <si>
    <t>ABhimanyu Pulugurtha</t>
  </si>
  <si>
    <t>Emp0560</t>
  </si>
  <si>
    <t>Emp0560_7627@microsoft.com</t>
  </si>
  <si>
    <t>Godina Naga Santosh</t>
  </si>
  <si>
    <t>Emp0561</t>
  </si>
  <si>
    <t>Emp0561_357@microsoft.com</t>
  </si>
  <si>
    <t>Azizuddin Mohammed</t>
  </si>
  <si>
    <t>Emp0563</t>
  </si>
  <si>
    <t>Emp0563_7329@microsoft.com</t>
  </si>
  <si>
    <t>Prashanth Kanamalla</t>
  </si>
  <si>
    <t>Emp0565</t>
  </si>
  <si>
    <t>Emp0565_960@microsoft.com</t>
  </si>
  <si>
    <t>Naresh VeeraBomma</t>
  </si>
  <si>
    <t>EmpP0134</t>
  </si>
  <si>
    <t>EmpP0134_7982@microsoft.com</t>
  </si>
  <si>
    <t>Mirza Azhar Ali Baig</t>
  </si>
  <si>
    <t>Emp0594</t>
  </si>
  <si>
    <t>Emp0594_7362@microsoft.com</t>
  </si>
  <si>
    <t>Mohd Azmat Pasha</t>
  </si>
  <si>
    <t>Emp0595</t>
  </si>
  <si>
    <t>Emp0595_5539@microsoft.com</t>
  </si>
  <si>
    <t>Vijay Kumar Thota</t>
  </si>
  <si>
    <t>Emp0604</t>
  </si>
  <si>
    <t>Emp0604_3881@microsoft.com</t>
  </si>
  <si>
    <t>Pramod Ghadge</t>
  </si>
  <si>
    <t>Emp0605</t>
  </si>
  <si>
    <t>Emp0605_761@microsoft.com</t>
  </si>
  <si>
    <t>Md Ahmed Pasha</t>
  </si>
  <si>
    <t>Emp0606</t>
  </si>
  <si>
    <t>Emp0606_7435@microsoft.com</t>
  </si>
  <si>
    <t>Sudhakar Kunta</t>
  </si>
  <si>
    <t>Emp0608</t>
  </si>
  <si>
    <t>Emp0608_1211@microsoft.com</t>
  </si>
  <si>
    <t>Ramanjaneyulu Bestha</t>
  </si>
  <si>
    <t>Emp0621</t>
  </si>
  <si>
    <t>Emp0621_5854@microsoft.com</t>
  </si>
  <si>
    <t>Vanitha Victoria</t>
  </si>
  <si>
    <t>Emp0622</t>
  </si>
  <si>
    <t>Emp0622_7270@microsoft.com</t>
  </si>
  <si>
    <t>Prem Chaggan Lal</t>
  </si>
  <si>
    <t>Emp0625</t>
  </si>
  <si>
    <t>Emp0625_2636@microsoft.com</t>
  </si>
  <si>
    <t>Vijay Kumar Birusanti</t>
  </si>
  <si>
    <t>Emp0626</t>
  </si>
  <si>
    <t>Emp0626_6137@microsoft.com</t>
  </si>
  <si>
    <t>Shiva Kumar Doosa</t>
  </si>
  <si>
    <t>Emp0627</t>
  </si>
  <si>
    <t>Emp0627_1653@microsoft.com</t>
  </si>
  <si>
    <t>Vinay Kumar Bharath</t>
  </si>
  <si>
    <t>Emp0632</t>
  </si>
  <si>
    <t>Emp0632_6080@microsoft.com</t>
  </si>
  <si>
    <t>Salla Madhusudhan Reddy</t>
  </si>
  <si>
    <t>Emp0633</t>
  </si>
  <si>
    <t>Emp0633_6889@microsoft.com</t>
  </si>
  <si>
    <t>Nethikar Sai Kirane</t>
  </si>
  <si>
    <t>Emp0634</t>
  </si>
  <si>
    <t>Emp0634_8623@microsoft.com</t>
  </si>
  <si>
    <t>Md AyuB</t>
  </si>
  <si>
    <t>Emp0636</t>
  </si>
  <si>
    <t>Emp0636_1059@microsoft.com</t>
  </si>
  <si>
    <t>Md Nadeem Hussain</t>
  </si>
  <si>
    <t>Emp0637</t>
  </si>
  <si>
    <t>Emp0637_2115@microsoft.com</t>
  </si>
  <si>
    <t>AmBidi Vijaya Laxmi</t>
  </si>
  <si>
    <t>Emp0638</t>
  </si>
  <si>
    <t>Emp0638_1850@microsoft.com</t>
  </si>
  <si>
    <t>Mohd Azam Khan</t>
  </si>
  <si>
    <t>Emp0639</t>
  </si>
  <si>
    <t>Emp0639_204@microsoft.com</t>
  </si>
  <si>
    <t>Baddapuram Santhosh Kumar</t>
  </si>
  <si>
    <t>Emp0640</t>
  </si>
  <si>
    <t>Emp0640_325@microsoft.com</t>
  </si>
  <si>
    <t>Shekar Yaragolla</t>
  </si>
  <si>
    <t>Emp0641</t>
  </si>
  <si>
    <t>Emp0641_5427@microsoft.com</t>
  </si>
  <si>
    <t>KRISHNA KUMAR BVS</t>
  </si>
  <si>
    <t>Emp0015</t>
  </si>
  <si>
    <t>Emp0015_1503@microsoft.com</t>
  </si>
  <si>
    <t>Padma Bandari</t>
  </si>
  <si>
    <t>Emp0172</t>
  </si>
  <si>
    <t>Emp0172_5725@microsoft.com</t>
  </si>
  <si>
    <t>Suresh Byagara</t>
  </si>
  <si>
    <t>Emp0645</t>
  </si>
  <si>
    <t>Emp0645_9770@microsoft.com</t>
  </si>
  <si>
    <t>pavan kumar vennam</t>
  </si>
  <si>
    <t>Emp0646</t>
  </si>
  <si>
    <t>Emp0646_5795@microsoft.com</t>
  </si>
  <si>
    <t>mahalakshmi B</t>
  </si>
  <si>
    <t>Emp0648</t>
  </si>
  <si>
    <t>Emp0648_8763@microsoft.com</t>
  </si>
  <si>
    <t>Kalva Rajendra Kumar</t>
  </si>
  <si>
    <t>Emp0653</t>
  </si>
  <si>
    <t>Emp0653_5911@microsoft.com</t>
  </si>
  <si>
    <t>Mohammed ABdul Azhar</t>
  </si>
  <si>
    <t>Emp0654</t>
  </si>
  <si>
    <t>Emp0654_3976@microsoft.com</t>
  </si>
  <si>
    <t>Anand Surapu</t>
  </si>
  <si>
    <t>Emp0655</t>
  </si>
  <si>
    <t>Emp0655_8701@microsoft.com</t>
  </si>
  <si>
    <t>Eswaran Pandiyaraj</t>
  </si>
  <si>
    <t>Emp0656</t>
  </si>
  <si>
    <t>Emp0656_4292@microsoft.com</t>
  </si>
  <si>
    <t>naveen Kumar Tammina</t>
  </si>
  <si>
    <t>Emp0658</t>
  </si>
  <si>
    <t>Emp0658_4816@microsoft.com</t>
  </si>
  <si>
    <t>Jatla Sunil ram</t>
  </si>
  <si>
    <t>Emp0660</t>
  </si>
  <si>
    <t>Emp0660_332@microsoft.com</t>
  </si>
  <si>
    <t>Meda Pradeep Reddy</t>
  </si>
  <si>
    <t>Emp0662</t>
  </si>
  <si>
    <t>Emp0662_5337@microsoft.com</t>
  </si>
  <si>
    <t>Sai Kumar Dakuri</t>
  </si>
  <si>
    <t>Emp0663</t>
  </si>
  <si>
    <t>Emp0663_2489@microsoft.com</t>
  </si>
  <si>
    <t>Sai Kumar Tulasi</t>
  </si>
  <si>
    <t>Emp0664</t>
  </si>
  <si>
    <t>Emp0664_7250@microsoft.com</t>
  </si>
  <si>
    <t>Madhu Kasam</t>
  </si>
  <si>
    <t>Emp0665</t>
  </si>
  <si>
    <t>Emp0665_4126@microsoft.com</t>
  </si>
  <si>
    <t>Nagappa Simon</t>
  </si>
  <si>
    <t>Emp0666</t>
  </si>
  <si>
    <t>Emp0666_2318@microsoft.com</t>
  </si>
  <si>
    <t>Koteswara Rao Sakiri</t>
  </si>
  <si>
    <t>Emp0667</t>
  </si>
  <si>
    <t>Emp0667_7366@microsoft.com</t>
  </si>
  <si>
    <t>CSS Krishna Gupta Y</t>
  </si>
  <si>
    <t>Emp0669</t>
  </si>
  <si>
    <t>Emp0669_6806@microsoft.com</t>
  </si>
  <si>
    <t>MA Jalaluddin</t>
  </si>
  <si>
    <t>Emp0670</t>
  </si>
  <si>
    <t>Emp0670_5140@microsoft.com</t>
  </si>
  <si>
    <t>Jai Prakash Varma</t>
  </si>
  <si>
    <t>Emp0671</t>
  </si>
  <si>
    <t>Emp0671_695@microsoft.com</t>
  </si>
  <si>
    <t>Satish Kumar Velchicherla</t>
  </si>
  <si>
    <t>Emp0672</t>
  </si>
  <si>
    <t>Emp0672_1795@microsoft.com</t>
  </si>
  <si>
    <t>Srikanth Goud Laxmidevi</t>
  </si>
  <si>
    <t>Emp0673</t>
  </si>
  <si>
    <t>Emp0673_6910@microsoft.com</t>
  </si>
  <si>
    <t>Kalpana Payagulla</t>
  </si>
  <si>
    <t>Emp0674</t>
  </si>
  <si>
    <t>Emp0674_9848@microsoft.com</t>
  </si>
  <si>
    <t>Arshiya Banu</t>
  </si>
  <si>
    <t>Emp0675</t>
  </si>
  <si>
    <t>Emp0675_3521@microsoft.com</t>
  </si>
  <si>
    <t>Meena Byreddy</t>
  </si>
  <si>
    <t>Emp0676</t>
  </si>
  <si>
    <t>Emp0676_2081@microsoft.com</t>
  </si>
  <si>
    <t>Naresh Dumpeti</t>
  </si>
  <si>
    <t>Emp0677</t>
  </si>
  <si>
    <t>Emp0677_4882@microsoft.com</t>
  </si>
  <si>
    <t>Shriya Deshmukh</t>
  </si>
  <si>
    <t>Emp0678</t>
  </si>
  <si>
    <t>Emp0678_6493@microsoft.com</t>
  </si>
  <si>
    <t>Sunitha Mekonda</t>
  </si>
  <si>
    <t>Emp0679</t>
  </si>
  <si>
    <t>Emp0679_1718@microsoft.com</t>
  </si>
  <si>
    <t>Pradeep Kumar Butter</t>
  </si>
  <si>
    <t>Emp0681</t>
  </si>
  <si>
    <t>Emp0681_7770@microsoft.com</t>
  </si>
  <si>
    <t>Dhanusu Varadharaja</t>
  </si>
  <si>
    <t>Emp0682</t>
  </si>
  <si>
    <t>Emp0682_2539@microsoft.com</t>
  </si>
  <si>
    <t>Stalin Manickaraj Solomon</t>
  </si>
  <si>
    <t>Emp0683</t>
  </si>
  <si>
    <t>Emp0683_6274@microsoft.com</t>
  </si>
  <si>
    <t>Venugopal Chary Erraram</t>
  </si>
  <si>
    <t>Emp0684</t>
  </si>
  <si>
    <t>Emp0684_2381@microsoft.com</t>
  </si>
  <si>
    <t>Bhanu Prasad Bannaiah</t>
  </si>
  <si>
    <t>Emp0685</t>
  </si>
  <si>
    <t>Emp0685_5037@microsoft.com</t>
  </si>
  <si>
    <t>Praveen Kumar Gali</t>
  </si>
  <si>
    <t>Emp0686</t>
  </si>
  <si>
    <t>Emp0686_3222@microsoft.com</t>
  </si>
  <si>
    <t>SouBhik Mukherjee</t>
  </si>
  <si>
    <t>Emp0687</t>
  </si>
  <si>
    <t>Emp0687_9824@microsoft.com</t>
  </si>
  <si>
    <t>Anoosha Deepthi Kudire</t>
  </si>
  <si>
    <t>Emp0688</t>
  </si>
  <si>
    <t>Emp0688_5454@microsoft.com</t>
  </si>
  <si>
    <t>Neeraja Maram</t>
  </si>
  <si>
    <t>Emp0691</t>
  </si>
  <si>
    <t>Emp0691_5328@microsoft.com</t>
  </si>
  <si>
    <t>Sandhya Kommineni</t>
  </si>
  <si>
    <t>Emp0692</t>
  </si>
  <si>
    <t>Emp0692_3049@microsoft.com</t>
  </si>
  <si>
    <t>Sowmya Bhupathi</t>
  </si>
  <si>
    <t>Emp0693</t>
  </si>
  <si>
    <t>Emp0693_5085@microsoft.com</t>
  </si>
  <si>
    <t>Mayuri Kokkula</t>
  </si>
  <si>
    <t>Emp0694</t>
  </si>
  <si>
    <t>Emp0694_5797@microsoft.com</t>
  </si>
  <si>
    <t>Rahul Dinkar Deshmukh</t>
  </si>
  <si>
    <t>Emp0695</t>
  </si>
  <si>
    <t>Emp0695_6812@microsoft.com</t>
  </si>
  <si>
    <t>Reddam Vijaya Anthony Mary</t>
  </si>
  <si>
    <t>Emp0697</t>
  </si>
  <si>
    <t>Emp0697_1000@microsoft.com</t>
  </si>
  <si>
    <t>Anup Kumar Gandhi</t>
  </si>
  <si>
    <t>Emp0698</t>
  </si>
  <si>
    <t>Emp0698_8063@microsoft.com</t>
  </si>
  <si>
    <t>Kali Krishan Yugasatya Kolipakula</t>
  </si>
  <si>
    <t>Emp0699</t>
  </si>
  <si>
    <t>Emp0699_4513@microsoft.com</t>
  </si>
  <si>
    <t>AmBedkar Vijay Simha Ravula</t>
  </si>
  <si>
    <t>Emp0700</t>
  </si>
  <si>
    <t>Emp0700_1223@microsoft.com</t>
  </si>
  <si>
    <t>SuBrahmanya Ragu Penumatsa</t>
  </si>
  <si>
    <t>Emp0701</t>
  </si>
  <si>
    <t>Emp0701_9509@microsoft.com</t>
  </si>
  <si>
    <t>Mohan Karthik</t>
  </si>
  <si>
    <t>Emp0702</t>
  </si>
  <si>
    <t>Emp0702_1538@microsoft.com</t>
  </si>
  <si>
    <t>Aditya Kumar</t>
  </si>
  <si>
    <t>Emp0703</t>
  </si>
  <si>
    <t>Emp0703_2091@microsoft.com</t>
  </si>
  <si>
    <t>Pranathi Adem</t>
  </si>
  <si>
    <t>Emp0704</t>
  </si>
  <si>
    <t>Emp0704_3714@microsoft.com</t>
  </si>
  <si>
    <t>Swetha Gogineni</t>
  </si>
  <si>
    <t>Emp0705</t>
  </si>
  <si>
    <t>Emp0705_1240@microsoft.com</t>
  </si>
  <si>
    <t>Sandhya Chidurala</t>
  </si>
  <si>
    <t>Emp0706</t>
  </si>
  <si>
    <t>Emp0706_9914@microsoft.com</t>
  </si>
  <si>
    <t>Swathi Thimmishetty</t>
  </si>
  <si>
    <t>Emp0707</t>
  </si>
  <si>
    <t>Emp0707_568@microsoft.com</t>
  </si>
  <si>
    <t>Radhika Kathak</t>
  </si>
  <si>
    <t>Emp0708</t>
  </si>
  <si>
    <t>Emp0708_9351@microsoft.com</t>
  </si>
  <si>
    <t>JayapraBha Challa</t>
  </si>
  <si>
    <t>Emp0709</t>
  </si>
  <si>
    <t>Emp0709_265@microsoft.com</t>
  </si>
  <si>
    <t>Vani Golla</t>
  </si>
  <si>
    <t>Emp0710</t>
  </si>
  <si>
    <t>Emp0710_7870@microsoft.com</t>
  </si>
  <si>
    <t>Dr Anand Reddy</t>
  </si>
  <si>
    <t>Emp0711</t>
  </si>
  <si>
    <t>Emp0711_5895@microsoft.com</t>
  </si>
  <si>
    <t>Malathi Pulluri</t>
  </si>
  <si>
    <t>Emp0712</t>
  </si>
  <si>
    <t>Emp0712_9887@microsoft.com</t>
  </si>
  <si>
    <t>Md Nizamuddin</t>
  </si>
  <si>
    <t>Emp0714</t>
  </si>
  <si>
    <t>Emp0714_4469@microsoft.com</t>
  </si>
  <si>
    <t>Narender Reddy Katakam</t>
  </si>
  <si>
    <t>Emp0715</t>
  </si>
  <si>
    <t>Emp0715_6648@microsoft.com</t>
  </si>
  <si>
    <t>Onman Manoj Kumar</t>
  </si>
  <si>
    <t>Emp0716</t>
  </si>
  <si>
    <t>Emp0716_2511@microsoft.com</t>
  </si>
  <si>
    <t>Mohd ABdul Nayeem</t>
  </si>
  <si>
    <t>Emp0717</t>
  </si>
  <si>
    <t>Emp0717_8903@microsoft.com</t>
  </si>
  <si>
    <t>Jagadish Achari</t>
  </si>
  <si>
    <t>Emp0721</t>
  </si>
  <si>
    <t>Emp0721_4029@microsoft.com</t>
  </si>
  <si>
    <t>P.suBBa rao</t>
  </si>
  <si>
    <t>Emp0722</t>
  </si>
  <si>
    <t>Emp0722_1085@microsoft.com</t>
  </si>
  <si>
    <t>Rakesh Ramesh Kashid</t>
  </si>
  <si>
    <t>Emp0723</t>
  </si>
  <si>
    <t>Emp0723_5016@microsoft.com</t>
  </si>
  <si>
    <t>Karuna devi ch</t>
  </si>
  <si>
    <t>Emp0724</t>
  </si>
  <si>
    <t>Emp0724_1942@microsoft.com</t>
  </si>
  <si>
    <t>ravi shankar sharma</t>
  </si>
  <si>
    <t>Emp0725</t>
  </si>
  <si>
    <t>Emp0725_876@microsoft.com</t>
  </si>
  <si>
    <t>Amarendra Nath Gupta Malepati</t>
  </si>
  <si>
    <t>Emp0730</t>
  </si>
  <si>
    <t>Emp0730_9118@microsoft.com</t>
  </si>
  <si>
    <t>Sateesh Kumar Guddati</t>
  </si>
  <si>
    <t>Emp0733</t>
  </si>
  <si>
    <t>Emp0733_7685@microsoft.com</t>
  </si>
  <si>
    <t>Anuradha</t>
  </si>
  <si>
    <t>Emp0617</t>
  </si>
  <si>
    <t>Emp0617_7620@microsoft.com</t>
  </si>
  <si>
    <t>Arjun Tirupathi</t>
  </si>
  <si>
    <t>EmpP0139</t>
  </si>
  <si>
    <t>EmpP0139_7192@microsoft.com</t>
  </si>
  <si>
    <t>Dr Anil Kumar Malla</t>
  </si>
  <si>
    <t>Emp0601</t>
  </si>
  <si>
    <t>Emp0601_7194@microsoft.com</t>
  </si>
  <si>
    <t>Dr. SuBramanyam Busineni</t>
  </si>
  <si>
    <t>EmpP0137</t>
  </si>
  <si>
    <t>EmpP0137_2137@microsoft.com</t>
  </si>
  <si>
    <t>Kameswar Rao Gogisettty</t>
  </si>
  <si>
    <t>Emp0611</t>
  </si>
  <si>
    <t>Emp0611_9914@microsoft.com</t>
  </si>
  <si>
    <t>Mallikarjun Bandela</t>
  </si>
  <si>
    <t>Emp0613</t>
  </si>
  <si>
    <t>Emp0613_8119@microsoft.com</t>
  </si>
  <si>
    <t>Naga Navakanth Dasari</t>
  </si>
  <si>
    <t>Emp0614</t>
  </si>
  <si>
    <t>Emp0614_6275@microsoft.com</t>
  </si>
  <si>
    <t>Naveen Kumar Mekala</t>
  </si>
  <si>
    <t>Emp0593</t>
  </si>
  <si>
    <t>Emp0593_9905@microsoft.com</t>
  </si>
  <si>
    <t>Naveen R</t>
  </si>
  <si>
    <t>EmpP0138</t>
  </si>
  <si>
    <t>EmpP0138_8590@microsoft.com</t>
  </si>
  <si>
    <t>Perumala Israel Raj</t>
  </si>
  <si>
    <t>Emp0598</t>
  </si>
  <si>
    <t>Emp0598_8963@microsoft.com</t>
  </si>
  <si>
    <t>Raghu Kurna</t>
  </si>
  <si>
    <t>EmpP0119</t>
  </si>
  <si>
    <t>EmpP0119_3282@microsoft.com</t>
  </si>
  <si>
    <t>Rudolph D mello john</t>
  </si>
  <si>
    <t>Emp0597</t>
  </si>
  <si>
    <t>Emp0597_5525@microsoft.com</t>
  </si>
  <si>
    <t>Sai Rupa Gandla</t>
  </si>
  <si>
    <t>Emp0599</t>
  </si>
  <si>
    <t>Emp0599_8989@microsoft.com</t>
  </si>
  <si>
    <t>Sreenivasa Rao Sajja</t>
  </si>
  <si>
    <t>EmpP0118</t>
  </si>
  <si>
    <t>EmpP0118_798@microsoft.com</t>
  </si>
  <si>
    <t>Suneetha Yendamuri</t>
  </si>
  <si>
    <t>Emp0610</t>
  </si>
  <si>
    <t>Emp0610_3044@microsoft.com</t>
  </si>
  <si>
    <t>Suresh Gujjanapudi</t>
  </si>
  <si>
    <t>Emp0600</t>
  </si>
  <si>
    <t>Emp0600_5189@microsoft.com</t>
  </si>
  <si>
    <t>Thoudu Chintu</t>
  </si>
  <si>
    <t>Emp0616</t>
  </si>
  <si>
    <t>Emp0616_2787@microsoft.com</t>
  </si>
  <si>
    <t>Vamshi Krishna Karnati</t>
  </si>
  <si>
    <t>Emp0609</t>
  </si>
  <si>
    <t>Emp0609_6614@microsoft.com</t>
  </si>
  <si>
    <t>Venkata Suresh BaBu Kompala</t>
  </si>
  <si>
    <t>Emp0612</t>
  </si>
  <si>
    <t>Emp0612_8878@microsoft.com</t>
  </si>
  <si>
    <t>Raj Kumar</t>
  </si>
  <si>
    <t>Emp0738</t>
  </si>
  <si>
    <t>Emp0738_9689@microsoft.com</t>
  </si>
  <si>
    <t>Swadheen Jain</t>
  </si>
  <si>
    <t>Emp0739</t>
  </si>
  <si>
    <t>Emp0739_1181@microsoft.com</t>
  </si>
  <si>
    <t>DeBojyoti Dey</t>
  </si>
  <si>
    <t>Emp0741</t>
  </si>
  <si>
    <t>Emp0741_1854@microsoft.com</t>
  </si>
  <si>
    <t>Sai Kumar Punyapu</t>
  </si>
  <si>
    <t>Emp0742</t>
  </si>
  <si>
    <t>Emp0742_7947@microsoft.com</t>
  </si>
  <si>
    <t>Saraswathi Paidy</t>
  </si>
  <si>
    <t>Emp0744</t>
  </si>
  <si>
    <t>Emp0744_4366@microsoft.com</t>
  </si>
  <si>
    <t>Chidugu Anjaneyulu Goud</t>
  </si>
  <si>
    <t>Emp0747</t>
  </si>
  <si>
    <t>Emp0747_4698@microsoft.com</t>
  </si>
  <si>
    <t>Sagar Kumar Udagandla</t>
  </si>
  <si>
    <t>Emp0748</t>
  </si>
  <si>
    <t>Emp0748_445@microsoft.com</t>
  </si>
  <si>
    <t>Maanikyala Venkat Nagaraju</t>
  </si>
  <si>
    <t>Emp0749</t>
  </si>
  <si>
    <t>Emp0749_577@microsoft.com</t>
  </si>
  <si>
    <t>Swathi Jakkula</t>
  </si>
  <si>
    <t>Emp0750</t>
  </si>
  <si>
    <t>Emp0750_4958@microsoft.com</t>
  </si>
  <si>
    <t>Rahul Saraswath</t>
  </si>
  <si>
    <t>Emp0752</t>
  </si>
  <si>
    <t>Emp0752_4788@microsoft.com</t>
  </si>
  <si>
    <t>Shaik Davood</t>
  </si>
  <si>
    <t>Emp0754</t>
  </si>
  <si>
    <t>Emp0754_8018@microsoft.com</t>
  </si>
  <si>
    <t>Suresh Dasi</t>
  </si>
  <si>
    <t>Emp0755</t>
  </si>
  <si>
    <t>Emp0755_7905@microsoft.com</t>
  </si>
  <si>
    <t>Hemachand Tatineni</t>
  </si>
  <si>
    <t>Emp0756</t>
  </si>
  <si>
    <t>Emp0756_8275@microsoft.com</t>
  </si>
  <si>
    <t>Erra Praveen Kumar</t>
  </si>
  <si>
    <t>Emp0757</t>
  </si>
  <si>
    <t>Emp0757_891@microsoft.com</t>
  </si>
  <si>
    <t>Shaik SuBhanuddin</t>
  </si>
  <si>
    <t>Emp0758</t>
  </si>
  <si>
    <t>Emp0758_3978@microsoft.com</t>
  </si>
  <si>
    <t>Sheri Ramu</t>
  </si>
  <si>
    <t>Emp0759</t>
  </si>
  <si>
    <t>Emp0759_1182@microsoft.com</t>
  </si>
  <si>
    <t>Kirane Doddi</t>
  </si>
  <si>
    <t>Emp0760</t>
  </si>
  <si>
    <t>Emp0760_7721@microsoft.com</t>
  </si>
  <si>
    <t>Koninti Kranthi Kumar</t>
  </si>
  <si>
    <t>Emp0761</t>
  </si>
  <si>
    <t>Emp0761_9175@microsoft.com</t>
  </si>
  <si>
    <t>Yogender Singh</t>
  </si>
  <si>
    <t>Emp0762</t>
  </si>
  <si>
    <t>Emp0762_458@microsoft.com</t>
  </si>
  <si>
    <t>Ankam Avinash Kumar</t>
  </si>
  <si>
    <t>Emp0764</t>
  </si>
  <si>
    <t>Emp0764_1854@microsoft.com</t>
  </si>
  <si>
    <t>Jayasree Satram</t>
  </si>
  <si>
    <t>Emp0765</t>
  </si>
  <si>
    <t>Emp0765_678@microsoft.com</t>
  </si>
  <si>
    <t>Srinivasa Venu Rejeti</t>
  </si>
  <si>
    <t>Emp0768</t>
  </si>
  <si>
    <t>Emp0768_7840@microsoft.com</t>
  </si>
  <si>
    <t>Laxman Gadapa</t>
  </si>
  <si>
    <t>Emp0769</t>
  </si>
  <si>
    <t>Emp0769_2517@microsoft.com</t>
  </si>
  <si>
    <t>Sunil Anand Rajendra</t>
  </si>
  <si>
    <t>Emp0773</t>
  </si>
  <si>
    <t>Emp0773_2086@microsoft.com</t>
  </si>
  <si>
    <t>Sutapa Roy</t>
  </si>
  <si>
    <t>Emp0775</t>
  </si>
  <si>
    <t>Emp0775_9407@microsoft.com</t>
  </si>
  <si>
    <t>Sheela Mary Dhodmani Srinivas</t>
  </si>
  <si>
    <t>Emp0776</t>
  </si>
  <si>
    <t>Emp0776_7925@microsoft.com</t>
  </si>
  <si>
    <t>Avinash Karthik Duppaly</t>
  </si>
  <si>
    <t>Emp0779</t>
  </si>
  <si>
    <t>Emp0779_9966@microsoft.com</t>
  </si>
  <si>
    <t>Sucharitha Boya</t>
  </si>
  <si>
    <t>Emp0781</t>
  </si>
  <si>
    <t>Emp0781_1944@microsoft.com</t>
  </si>
  <si>
    <t>Sandeep MaraBoina</t>
  </si>
  <si>
    <t>Emp0783</t>
  </si>
  <si>
    <t>Emp0783_5790@microsoft.com</t>
  </si>
  <si>
    <t>Deepthi Syria Vaddepally</t>
  </si>
  <si>
    <t>Emp0784</t>
  </si>
  <si>
    <t>Emp0784_741@microsoft.com</t>
  </si>
  <si>
    <t xml:space="preserve">Anandavardhini Mudiganti </t>
  </si>
  <si>
    <t>Emp0785</t>
  </si>
  <si>
    <t>Emp0785_2113@microsoft.com</t>
  </si>
  <si>
    <t>Arthi Thakur</t>
  </si>
  <si>
    <t>Emp0786</t>
  </si>
  <si>
    <t>Emp0786_2594@microsoft.com</t>
  </si>
  <si>
    <t>Suman Sengupta</t>
  </si>
  <si>
    <t>Emp0788</t>
  </si>
  <si>
    <t>Emp0788_4310@microsoft.com</t>
  </si>
  <si>
    <t>Nitesh Kumar Koheerker</t>
  </si>
  <si>
    <t>Emp0789</t>
  </si>
  <si>
    <t>Emp0789_255@microsoft.com</t>
  </si>
  <si>
    <t>Kasi Ramulu Ramanam</t>
  </si>
  <si>
    <t>Emp0793</t>
  </si>
  <si>
    <t>Emp0793_8595@microsoft.com</t>
  </si>
  <si>
    <t>Syed Fakroddin</t>
  </si>
  <si>
    <t>Emp0794</t>
  </si>
  <si>
    <t>Emp0794_7078@microsoft.com</t>
  </si>
  <si>
    <t>Mamatha Akiri</t>
  </si>
  <si>
    <t>Emp0796</t>
  </si>
  <si>
    <t>Emp0796_6636@microsoft.com</t>
  </si>
  <si>
    <t xml:space="preserve">Suneetha Kumari Gundlapalli </t>
  </si>
  <si>
    <t>Emp0797</t>
  </si>
  <si>
    <t>Emp0797_2815@microsoft.com</t>
  </si>
  <si>
    <t>Pushadapu V Lakshmi</t>
  </si>
  <si>
    <t>Emp0798</t>
  </si>
  <si>
    <t>Emp0798_9536@microsoft.com</t>
  </si>
  <si>
    <t>Pramod Chodavarapu</t>
  </si>
  <si>
    <t>Emp0799</t>
  </si>
  <si>
    <t>Emp0799_5736@microsoft.com</t>
  </si>
  <si>
    <t>Shiva Darshan Kota</t>
  </si>
  <si>
    <t>Emp0800</t>
  </si>
  <si>
    <t>Emp0800_1688@microsoft.com</t>
  </si>
  <si>
    <t>Sruthi Madduri</t>
  </si>
  <si>
    <t>Emp0801</t>
  </si>
  <si>
    <t>Emp0801_1282@microsoft.com</t>
  </si>
  <si>
    <t>Kotha Sharath Chandra</t>
  </si>
  <si>
    <t>Emp0802</t>
  </si>
  <si>
    <t>Emp0802_8054@microsoft.com</t>
  </si>
  <si>
    <t>Narmada Katamaneni</t>
  </si>
  <si>
    <t>Emp0803</t>
  </si>
  <si>
    <t>Emp0803_6375@microsoft.com</t>
  </si>
  <si>
    <t>Savita Geetha</t>
  </si>
  <si>
    <t>Emp0805</t>
  </si>
  <si>
    <t>Emp0805_8504@microsoft.com</t>
  </si>
  <si>
    <t>Gautham Karajada</t>
  </si>
  <si>
    <t>Emp0806</t>
  </si>
  <si>
    <t>Emp0806_7031@microsoft.com</t>
  </si>
  <si>
    <t>Vishal Vijayan</t>
  </si>
  <si>
    <t>Emp0807</t>
  </si>
  <si>
    <t>Emp0807_8335@microsoft.com</t>
  </si>
  <si>
    <t>Venkata Satyanarayana Bodla</t>
  </si>
  <si>
    <t>Emp0809</t>
  </si>
  <si>
    <t>Syamala Swathi PeruBhotla</t>
  </si>
  <si>
    <t>Emp0810</t>
  </si>
  <si>
    <t>Ganesh Kumar Batchu</t>
  </si>
  <si>
    <t>Emp0811</t>
  </si>
  <si>
    <t>Mohd Kareem</t>
  </si>
  <si>
    <t>Emp0812</t>
  </si>
  <si>
    <t>Sai Prasad Sathala</t>
  </si>
  <si>
    <t>Emp0813</t>
  </si>
  <si>
    <t>Shiva Kumar Chukkapalli</t>
  </si>
  <si>
    <t>Emp0814</t>
  </si>
  <si>
    <t>Sandeep MasaBathini</t>
  </si>
  <si>
    <t>Emp0815</t>
  </si>
  <si>
    <t>Emp0816</t>
  </si>
  <si>
    <t>Yeswanth Raju Penumatsa</t>
  </si>
  <si>
    <t>Emp0817</t>
  </si>
  <si>
    <t>ShoBha Yelemy</t>
  </si>
  <si>
    <t>Emp0818</t>
  </si>
  <si>
    <t>Irfana Begum</t>
  </si>
  <si>
    <t>Emp0819</t>
  </si>
  <si>
    <t>Sujan Ranjan Borugadda</t>
  </si>
  <si>
    <t>Emp0820</t>
  </si>
  <si>
    <t>Shreesailam Regu</t>
  </si>
  <si>
    <t>Emp0821</t>
  </si>
  <si>
    <t>match()</t>
  </si>
  <si>
    <r>
      <t>VLOOKUP</t>
    </r>
    <r>
      <rPr>
        <sz val="11"/>
        <color theme="1"/>
        <rFont val="Segoe UI"/>
        <family val="2"/>
      </rPr>
      <t xml:space="preserve"> (Vertical Lookup)</t>
    </r>
  </si>
  <si>
    <r>
      <t>HLOOKUP</t>
    </r>
    <r>
      <rPr>
        <sz val="11"/>
        <color theme="1"/>
        <rFont val="Segoe UI"/>
        <family val="2"/>
      </rPr>
      <t xml:space="preserve"> (Horizontal Lookup)</t>
    </r>
  </si>
  <si>
    <r>
      <t>XLOOKUP</t>
    </r>
    <r>
      <rPr>
        <sz val="11"/>
        <color theme="1"/>
        <rFont val="Segoe UI"/>
        <family val="2"/>
      </rPr>
      <t xml:space="preserve"> (A newer and more powerful lookup formula)</t>
    </r>
  </si>
  <si>
    <t>index()</t>
  </si>
  <si>
    <t>emp_name</t>
  </si>
  <si>
    <t>Salesman</t>
  </si>
  <si>
    <t>Sales</t>
  </si>
  <si>
    <t>Product</t>
  </si>
  <si>
    <t>David</t>
  </si>
  <si>
    <t>Football</t>
  </si>
  <si>
    <t>Andrew</t>
  </si>
  <si>
    <t>Cricket Ball</t>
  </si>
  <si>
    <t>Roger</t>
  </si>
  <si>
    <t>Tennis Ball</t>
  </si>
  <si>
    <t>Basketball</t>
  </si>
  <si>
    <t>Alan</t>
  </si>
  <si>
    <t>Volleyball</t>
  </si>
  <si>
    <t>James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</si>
  <si>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</si>
  <si>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</si>
  <si>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</si>
  <si>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</si>
  <si>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</si>
  <si>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</si>
  <si>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</si>
  <si>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</si>
  <si>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</si>
  <si>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</si>
  <si>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index() + match () complex fomula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</si>
</sst>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_);[Red]\(&quot;$&quot;#,##0\)"/>
  </numFmts>
  <fonts count="20" x14ac:knownFonts="1">
    <font>
      <sz val="11"/>
      <color theme="1"/>
      <name val="Segoe UI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0"/>
      <color theme="0"/>
      <name val="Aptos Narrow"/>
      <family val="2"/>
      <scheme val="minor"/>
    </font>
    <font>
      <sz val="40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Calibri"/>
      <family val="2"/>
    </font>
    <font>
      <strike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indexed="8"/>
      <name val="Times New Roman"/>
      <family val="1"/>
    </font>
    <font>
      <sz val="14"/>
      <name val="Tahoma"/>
      <family val="2"/>
    </font>
    <font>
      <sz val="14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Segoe UI"/>
      <family val="2"/>
    </font>
    <font>
      <b/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34A2C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4" fillId="0" borderId="0"/>
    <xf numFmtId="0" fontId="1" fillId="0" borderId="0"/>
  </cellStyleXfs>
  <cellXfs count="40">
    <xf numFmtId="0" fontId="0" fillId="0" borderId="0" xfId="0"/>
    <xf numFmtId="0" fontId="4" fillId="0" borderId="0" xfId="2" applyFont="1"/>
    <xf numFmtId="0" fontId="5" fillId="0" borderId="0" xfId="2" applyFont="1"/>
    <xf numFmtId="0" fontId="6" fillId="4" borderId="1" xfId="2" applyFont="1" applyFill="1" applyBorder="1" applyAlignment="1" applyProtection="1">
      <alignment horizontal="center"/>
      <protection locked="0"/>
    </xf>
    <xf numFmtId="0" fontId="7" fillId="0" borderId="0" xfId="2" applyFont="1"/>
    <xf numFmtId="0" fontId="5" fillId="0" borderId="1" xfId="2" applyFont="1" applyBorder="1"/>
    <xf numFmtId="0" fontId="5" fillId="0" borderId="1" xfId="2" applyFont="1" applyBorder="1" applyAlignment="1">
      <alignment horizontal="center"/>
    </xf>
    <xf numFmtId="0" fontId="5" fillId="0" borderId="1" xfId="2" applyFont="1" applyBorder="1" applyAlignment="1">
      <alignment horizontal="left"/>
    </xf>
    <xf numFmtId="0" fontId="5" fillId="0" borderId="1" xfId="2" applyFont="1" applyBorder="1" applyProtection="1">
      <protection hidden="1"/>
    </xf>
    <xf numFmtId="0" fontId="5" fillId="5" borderId="1" xfId="2" applyFont="1" applyFill="1" applyBorder="1" applyProtection="1">
      <protection locked="0"/>
    </xf>
    <xf numFmtId="0" fontId="5" fillId="0" borderId="0" xfId="2" applyFont="1" applyProtection="1">
      <protection hidden="1"/>
    </xf>
    <xf numFmtId="0" fontId="8" fillId="0" borderId="0" xfId="3"/>
    <xf numFmtId="0" fontId="9" fillId="0" borderId="0" xfId="2" applyFont="1"/>
    <xf numFmtId="0" fontId="10" fillId="0" borderId="1" xfId="2" applyFont="1" applyBorder="1" applyAlignment="1">
      <alignment horizontal="center"/>
    </xf>
    <xf numFmtId="9" fontId="5" fillId="0" borderId="0" xfId="4" applyFont="1"/>
    <xf numFmtId="22" fontId="5" fillId="0" borderId="0" xfId="2" applyNumberFormat="1" applyFont="1"/>
    <xf numFmtId="9" fontId="5" fillId="0" borderId="0" xfId="4" applyFont="1" applyProtection="1">
      <protection hidden="1"/>
    </xf>
    <xf numFmtId="0" fontId="5" fillId="5" borderId="1" xfId="2" applyFont="1" applyFill="1" applyBorder="1"/>
    <xf numFmtId="0" fontId="5" fillId="6" borderId="0" xfId="2" applyFont="1" applyFill="1"/>
    <xf numFmtId="0" fontId="2" fillId="0" borderId="0" xfId="2"/>
    <xf numFmtId="0" fontId="11" fillId="0" borderId="1" xfId="2" applyFont="1" applyBorder="1" applyAlignment="1">
      <alignment horizontal="center" vertical="center"/>
    </xf>
    <xf numFmtId="164" fontId="12" fillId="0" borderId="1" xfId="2" applyNumberFormat="1" applyFont="1" applyBorder="1" applyAlignment="1">
      <alignment horizontal="center"/>
    </xf>
    <xf numFmtId="164" fontId="13" fillId="0" borderId="1" xfId="2" applyNumberFormat="1" applyFont="1" applyBorder="1" applyAlignment="1">
      <alignment horizontal="center"/>
    </xf>
    <xf numFmtId="0" fontId="14" fillId="0" borderId="0" xfId="5"/>
    <xf numFmtId="0" fontId="16" fillId="0" borderId="0" xfId="2" applyFont="1"/>
    <xf numFmtId="0" fontId="6" fillId="4" borderId="2" xfId="2" applyFont="1" applyFill="1" applyBorder="1" applyAlignment="1" applyProtection="1">
      <alignment horizontal="center"/>
      <protection locked="0"/>
    </xf>
    <xf numFmtId="0" fontId="15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7" fillId="7" borderId="1" xfId="6" applyFont="1" applyFill="1" applyBorder="1" applyAlignment="1">
      <alignment horizontal="center" vertical="center"/>
    </xf>
    <xf numFmtId="0" fontId="18" fillId="0" borderId="0" xfId="6" applyFont="1"/>
    <xf numFmtId="0" fontId="18" fillId="0" borderId="1" xfId="6" applyFont="1" applyBorder="1" applyAlignment="1">
      <alignment horizontal="center" vertical="center"/>
    </xf>
    <xf numFmtId="165" fontId="18" fillId="0" borderId="1" xfId="6" applyNumberFormat="1" applyFont="1" applyBorder="1" applyAlignment="1">
      <alignment horizontal="center" vertical="center"/>
    </xf>
    <xf numFmtId="0" fontId="18" fillId="0" borderId="1" xfId="6" applyFont="1" applyBorder="1"/>
    <xf numFmtId="0" fontId="19" fillId="0" borderId="1" xfId="6" applyFont="1" applyBorder="1" applyAlignment="1">
      <alignment horizontal="center"/>
    </xf>
    <xf numFmtId="0" fontId="18" fillId="0" borderId="1" xfId="6" applyFont="1" applyBorder="1" applyAlignment="1">
      <alignment horizontal="center"/>
    </xf>
    <xf numFmtId="0" fontId="5" fillId="8" borderId="1" xfId="2" applyFont="1" applyFill="1" applyBorder="1" applyAlignment="1">
      <alignment horizontal="center"/>
    </xf>
    <xf numFmtId="0" fontId="3" fillId="2" borderId="0" xfId="1" applyFont="1" applyFill="1" applyAlignment="1">
      <alignment horizontal="left" indent="15"/>
    </xf>
    <xf numFmtId="0" fontId="3" fillId="3" borderId="0" xfId="1" applyFont="1" applyFill="1" applyAlignment="1">
      <alignment horizontal="left" indent="15"/>
    </xf>
  </cellXfs>
  <cellStyles count="7">
    <cellStyle name="Hyperlink 2" xfId="3" xr:uid="{E1EE7274-9C09-443E-9EF6-88DAC6E7A285}"/>
    <cellStyle name="Normal" xfId="0" builtinId="0"/>
    <cellStyle name="Normal 2" xfId="5" xr:uid="{F70478AA-5336-4540-8C75-EC24453B8588}"/>
    <cellStyle name="Normal 2 2 4 2 2 2 2" xfId="2" xr:uid="{C798E1E7-3AA5-44EF-BA86-0DBB32BA53EF}"/>
    <cellStyle name="Normal 3" xfId="6" xr:uid="{0B663CBD-C878-4F72-ACF7-5B3D999B67FA}"/>
    <cellStyle name="Normal 6 5 2 2 2 2" xfId="1" xr:uid="{95D04AEA-69A5-4C64-945D-F201BAEF652F}"/>
    <cellStyle name="Percent 2 2 2 2 2 2 2" xfId="4" xr:uid="{E614A80E-F76E-45D8-9DC9-B8FDB3D19D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Start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184785</xdr:colOff>
      <xdr:row>1</xdr:row>
      <xdr:rowOff>38100</xdr:rowOff>
    </xdr:to>
    <xdr:pic>
      <xdr:nvPicPr>
        <xdr:cNvPr id="2" name="Graphic 1" descr="Home outline">
          <a:hlinkClick xmlns:r="http://schemas.openxmlformats.org/officeDocument/2006/relationships" r:id="rId1" tooltip="Start"/>
          <a:extLst>
            <a:ext uri="{FF2B5EF4-FFF2-40B4-BE49-F238E27FC236}">
              <a16:creationId xmlns:a16="http://schemas.microsoft.com/office/drawing/2014/main" id="{78FACA8B-5151-462F-B66E-72747DBF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610235" cy="60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Relationship Id="rId1" Type="http://schemas.openxmlformats.org/officeDocument/2006/relationships/externalLinkPath" Target="file:///G:\Karthik%20Dale\Companies\ExcelR\Batch%2012%20(WD%20-%20Nov%2017th%209%20AM%20to%2011%20AM)\Excel\13%20Advanced%20Excel%20Class%20File%20-%20Day%2013-%20Nov%2017th%20Batch%20-%20Karthik%20Dal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vashishDas\Downloads\13%20Advanced%20Excel%20Class%20File%20-%20Day%2013-%20Oct%2013th%20Batch%20-%20Karthik%20Dale.xlsx" TargetMode="External"/><Relationship Id="rId1" Type="http://schemas.openxmlformats.org/officeDocument/2006/relationships/externalLinkPath" Target="https://ueducation-my.sharepoint.com/Users/DevashishDas/Downloads/13%20Advanced%20Excel%20Class%20File%20-%20Day%2013-%20Oct%2013th%20Batch%20-%20Karthik%20Da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Relationship Id="rId1" Type="http://schemas.openxmlformats.org/officeDocument/2006/relationships/externalLinkPath" Target="file:///G:\Karthik%20Dale\Companies\ExcelR\Batch%2012%20(WD%20-%20Nov%2022nd%209%20AM%20to%2011%20AM)\13%20Advanced%20Excel%20Class%20File%20-%20Day%2013-%20Batch%203040%20-%20%20Sep%2014th%20Batch%20-%20Karthik%20Da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Make Excel Speak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Students Q &amp; A"/>
      <sheetName val="The 3 Freezing Techniques"/>
      <sheetName val="Text Functions"/>
      <sheetName val="Q &amp; A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_Prac"/>
      <sheetName val="Math Formulas"/>
      <sheetName val="Aggregate"/>
      <sheetName val="Statistical Functions"/>
      <sheetName val="Information Functions"/>
      <sheetName val="EMI Calculator"/>
      <sheetName val="Formula Notes"/>
      <sheetName val="Name Manager"/>
      <sheetName val="Data Ribbon 1"/>
      <sheetName val="Data Ribbon 2"/>
      <sheetName val="Text to Columns"/>
      <sheetName val="Remove Duplicates"/>
      <sheetName val="Review Ribb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">
          <cell r="D1" t="str">
            <v>Employee Name</v>
          </cell>
          <cell r="E1" t="str">
            <v>Emp ID</v>
          </cell>
          <cell r="J1" t="str">
            <v>Employee Name</v>
          </cell>
        </row>
        <row r="2">
          <cell r="D2" t="str">
            <v>Divya Naidu</v>
          </cell>
          <cell r="E2" t="str">
            <v>Emp0345</v>
          </cell>
          <cell r="J2" t="str">
            <v>Divya Naidu</v>
          </cell>
          <cell r="AA2" t="str">
            <v>Name1</v>
          </cell>
          <cell r="AC2" t="str">
            <v>Name111</v>
          </cell>
        </row>
        <row r="3">
          <cell r="D3" t="str">
            <v>Alexander Muthunoori</v>
          </cell>
          <cell r="E3" t="str">
            <v>Emp0030</v>
          </cell>
          <cell r="J3" t="str">
            <v>Alexander Muthunoori</v>
          </cell>
          <cell r="AA3" t="str">
            <v>Name2</v>
          </cell>
          <cell r="AC3" t="str">
            <v>Name112</v>
          </cell>
        </row>
        <row r="4">
          <cell r="D4" t="str">
            <v>Anand Kumar Pandikonda</v>
          </cell>
          <cell r="E4" t="str">
            <v>Emp0476</v>
          </cell>
          <cell r="J4" t="str">
            <v>Anand Kumar Pandikonda</v>
          </cell>
          <cell r="AA4" t="str">
            <v>Name3</v>
          </cell>
          <cell r="AC4" t="str">
            <v>Name113</v>
          </cell>
        </row>
        <row r="5">
          <cell r="D5" t="str">
            <v>Anil Biradar</v>
          </cell>
          <cell r="E5" t="str">
            <v>Emp0189</v>
          </cell>
          <cell r="J5" t="str">
            <v>Anil Biradar</v>
          </cell>
          <cell r="AA5" t="str">
            <v>Name4</v>
          </cell>
          <cell r="AC5" t="str">
            <v>Name114</v>
          </cell>
        </row>
        <row r="6">
          <cell r="D6" t="str">
            <v>Swathi Matam</v>
          </cell>
          <cell r="E6" t="str">
            <v>Emp0553</v>
          </cell>
          <cell r="J6" t="str">
            <v>Swathi Matam</v>
          </cell>
          <cell r="AA6" t="str">
            <v>Name5</v>
          </cell>
          <cell r="AC6" t="str">
            <v>Name115</v>
          </cell>
        </row>
        <row r="7">
          <cell r="D7" t="str">
            <v>Arun KashaBoina</v>
          </cell>
          <cell r="E7" t="str">
            <v>Emp0584</v>
          </cell>
          <cell r="J7" t="str">
            <v>Arun KashaBoina</v>
          </cell>
        </row>
        <row r="8">
          <cell r="D8" t="str">
            <v>Khushi</v>
          </cell>
          <cell r="E8" t="str">
            <v>Emp123</v>
          </cell>
          <cell r="J8" t="str">
            <v>Saharsh</v>
          </cell>
        </row>
        <row r="9">
          <cell r="D9" t="str">
            <v>Saharsh</v>
          </cell>
          <cell r="E9" t="str">
            <v>Emp456</v>
          </cell>
          <cell r="J9" t="str">
            <v>Khushi</v>
          </cell>
        </row>
        <row r="10">
          <cell r="J10" t="str">
            <v>Divya</v>
          </cell>
        </row>
        <row r="11">
          <cell r="J11" t="str">
            <v>Rajesh Nair</v>
          </cell>
        </row>
        <row r="12">
          <cell r="J12" t="str">
            <v>Prakash</v>
          </cell>
        </row>
        <row r="13">
          <cell r="J13" t="str">
            <v>Prakash Ramachandran</v>
          </cell>
        </row>
        <row r="14">
          <cell r="J14" t="str">
            <v>Brahma</v>
          </cell>
        </row>
        <row r="15">
          <cell r="J15" t="str">
            <v>Dharani</v>
          </cell>
        </row>
        <row r="16">
          <cell r="J16" t="str">
            <v>Virat</v>
          </cell>
        </row>
      </sheetData>
      <sheetData sheetId="31"/>
      <sheetData sheetId="32" refreshError="1"/>
      <sheetData sheetId="33" refreshError="1"/>
      <sheetData sheetId="34"/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_Prac"/>
      <sheetName val="Flash Fill"/>
      <sheetName val="Format painter"/>
      <sheetName val="Number Format"/>
      <sheetName val="Conditional Formatting"/>
      <sheetName val="Format as Table"/>
      <sheetName val="Fill Series"/>
      <sheetName val="filter"/>
      <sheetName val="Copy &amp; Paste Special"/>
      <sheetName val="data validation"/>
      <sheetName val="PS - Transpose"/>
      <sheetName val="The Most Popular Formula"/>
      <sheetName val="Index Formula"/>
      <sheetName val="PS - Paste &amp; Linked Picture"/>
      <sheetName val="SUMIFS_Countifs_Averageifs"/>
      <sheetName val="Shortcuts"/>
      <sheetName val="Goto Special"/>
      <sheetName val="Excel file Formats"/>
      <sheetName val="Misl"/>
      <sheetName val="Insert Ribbon"/>
      <sheetName val="The 3 Freezing Techniques"/>
      <sheetName val="Text Functions"/>
      <sheetName val="Q &amp; A"/>
      <sheetName val="Date &amp; Time Functions"/>
      <sheetName val="Logical Functions"/>
      <sheetName val="Destination Sheet"/>
      <sheetName val="Math Formulas"/>
      <sheetName val="Aggregate &amp; Offset &amp; Indirect"/>
      <sheetName val="SalesData"/>
      <sheetName val="PurchaseData"/>
      <sheetName val="Statistical Functions"/>
      <sheetName val="Information Functions"/>
      <sheetName val="EMI Calculator"/>
      <sheetName val="Formula Notes"/>
      <sheetName val="Named Range"/>
      <sheetName val="Review Ribbon"/>
      <sheetName val="Data Ribbon 1"/>
      <sheetName val="Data Ribbon 2"/>
      <sheetName val="Remove Duplicates"/>
      <sheetName val="Text to Colum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1">
          <cell r="J1" t="str">
            <v>Employee Name</v>
          </cell>
        </row>
        <row r="2">
          <cell r="J2" t="str">
            <v>Abdul Razzak</v>
          </cell>
        </row>
        <row r="3">
          <cell r="J3" t="str">
            <v>Alexander Muthunoori</v>
          </cell>
        </row>
        <row r="4">
          <cell r="J4" t="str">
            <v>Swathi Kumari</v>
          </cell>
        </row>
        <row r="5">
          <cell r="J5" t="str">
            <v>Anil Biradar</v>
          </cell>
        </row>
        <row r="6">
          <cell r="J6" t="str">
            <v>Swathi Matam</v>
          </cell>
        </row>
        <row r="7">
          <cell r="J7" t="str">
            <v>Arun KashaBoina</v>
          </cell>
        </row>
        <row r="8">
          <cell r="J8" t="str">
            <v>Arun Kumar Keesari</v>
          </cell>
        </row>
        <row r="9">
          <cell r="J9" t="str">
            <v>Anil Kumar</v>
          </cell>
        </row>
        <row r="10">
          <cell r="J10" t="str">
            <v>Divya</v>
          </cell>
        </row>
      </sheetData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Data Types "/>
      <sheetName val="Flash Fill"/>
      <sheetName val="Fill Series"/>
      <sheetName val="Number Format"/>
      <sheetName val="Conditional Formatting"/>
      <sheetName val="Copy &amp; Paste Special"/>
      <sheetName val="PS - Transpose"/>
      <sheetName val="PS - Paste &amp; Linked Picture"/>
      <sheetName val="Shortcuts"/>
      <sheetName val="Format as Table"/>
      <sheetName val="Excel file Formats"/>
      <sheetName val="Goto Special"/>
      <sheetName val="The 3 Freezing Techniques"/>
      <sheetName val="Formulas_Text"/>
      <sheetName val="Formulas_Text Prac"/>
      <sheetName val="Date &amp; Time Functions"/>
      <sheetName val="Logical Functions"/>
      <sheetName val="SUMIFS_Countifs_Averageifs"/>
      <sheetName val="The Most Popular Formula"/>
      <sheetName val="Destination Sheet"/>
      <sheetName val="Index Formula"/>
      <sheetName val="Math Formulas"/>
      <sheetName val="Aggregate"/>
      <sheetName val="EMI Calculator"/>
      <sheetName val="Statistical Functions"/>
      <sheetName val="Information Functions"/>
      <sheetName val="Excel New Formulas"/>
      <sheetName val="Named Range"/>
      <sheetName val="Data Ribbon 1"/>
      <sheetName val="Data Ribbon 2"/>
      <sheetName val="Text to Columns"/>
      <sheetName val="Remove Duplicates"/>
      <sheetName val="Grouping &amp; Subtotals"/>
      <sheetName val="Insert Ribbon"/>
      <sheetName val="Review Ribbon"/>
      <sheetName val="Table1"/>
      <sheetName val="Power Query"/>
      <sheetName val="Query_SalesData"/>
      <sheetName val="PQ DataS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">
          <cell r="C1" t="str">
            <v>Product List</v>
          </cell>
        </row>
        <row r="2">
          <cell r="C2" t="str">
            <v>Product 1</v>
          </cell>
          <cell r="E2" t="str">
            <v>Product 1</v>
          </cell>
        </row>
        <row r="3">
          <cell r="C3" t="str">
            <v>Product 2</v>
          </cell>
          <cell r="E3" t="str">
            <v>Product 2</v>
          </cell>
        </row>
        <row r="4">
          <cell r="C4" t="str">
            <v>Apple</v>
          </cell>
          <cell r="E4" t="str">
            <v>Product 3</v>
          </cell>
        </row>
        <row r="5">
          <cell r="C5" t="str">
            <v>Product 4</v>
          </cell>
          <cell r="E5" t="str">
            <v>Product 4</v>
          </cell>
        </row>
        <row r="6">
          <cell r="C6" t="str">
            <v>Product 5</v>
          </cell>
          <cell r="E6" t="str">
            <v>Product 5</v>
          </cell>
        </row>
        <row r="7">
          <cell r="C7" t="str">
            <v>Product 6</v>
          </cell>
          <cell r="E7" t="str">
            <v>Product 6</v>
          </cell>
        </row>
        <row r="8">
          <cell r="C8" t="str">
            <v>Product 7</v>
          </cell>
          <cell r="E8" t="str">
            <v>Product 7</v>
          </cell>
        </row>
        <row r="9">
          <cell r="C9" t="str">
            <v>Product 8</v>
          </cell>
          <cell r="E9" t="str">
            <v>Product 8</v>
          </cell>
        </row>
        <row r="10">
          <cell r="C10" t="str">
            <v>Product 9</v>
          </cell>
          <cell r="E10" t="str">
            <v>Product 9</v>
          </cell>
        </row>
        <row r="11">
          <cell r="E11" t="str">
            <v>Product 10</v>
          </cell>
        </row>
        <row r="12">
          <cell r="E12" t="str">
            <v>Product 11</v>
          </cell>
        </row>
      </sheetData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dataskills.i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373D4-940B-4144-BF92-B8D0416149D4}">
  <dimension ref="A1:AO813"/>
  <sheetViews>
    <sheetView tabSelected="1" topLeftCell="J21" zoomScale="54" zoomScaleNormal="85" workbookViewId="0">
      <selection activeCell="P24" sqref="P24"/>
    </sheetView>
  </sheetViews>
  <sheetFormatPr defaultColWidth="8" defaultRowHeight="18" x14ac:dyDescent="0.35"/>
  <cols>
    <col min="1" max="1" width="2.3984375" style="2" customWidth="1"/>
    <col min="2" max="3" width="3.19921875" style="2" customWidth="1"/>
    <col min="4" max="4" width="21.59765625" style="2" hidden="1" customWidth="1"/>
    <col min="5" max="5" width="12.09765625" style="2" hidden="1" customWidth="1"/>
    <col min="6" max="6" width="0" style="2" hidden="1" customWidth="1"/>
    <col min="7" max="7" width="24.8984375" style="2" customWidth="1"/>
    <col min="8" max="8" width="11.09765625" style="2" bestFit="1" customWidth="1"/>
    <col min="9" max="9" width="36.69921875" style="2" customWidth="1"/>
    <col min="10" max="10" width="12" style="2" bestFit="1" customWidth="1"/>
    <col min="11" max="11" width="7.09765625" style="2" bestFit="1" customWidth="1"/>
    <col min="12" max="12" width="19" style="2" customWidth="1"/>
    <col min="13" max="13" width="9.19921875" style="2" customWidth="1"/>
    <col min="14" max="14" width="5" style="2" customWidth="1"/>
    <col min="15" max="15" width="28.69921875" style="2" customWidth="1"/>
    <col min="16" max="16" width="25.19921875" style="2" customWidth="1"/>
    <col min="17" max="17" width="48.8984375" style="2" customWidth="1"/>
    <col min="18" max="18" width="40.8984375" style="2" customWidth="1"/>
    <col min="19" max="19" width="21.8984375" style="2" bestFit="1" customWidth="1"/>
    <col min="20" max="20" width="29.19921875" style="2" customWidth="1"/>
    <col min="21" max="21" width="42.19921875" style="2" customWidth="1"/>
    <col min="22" max="22" width="34.19921875" style="2" customWidth="1"/>
    <col min="23" max="23" width="7.8984375" style="2" bestFit="1" customWidth="1"/>
    <col min="24" max="24" width="11.5" style="2" bestFit="1" customWidth="1"/>
    <col min="25" max="25" width="24.19921875" style="2" bestFit="1" customWidth="1"/>
    <col min="26" max="26" width="33" style="2" bestFit="1" customWidth="1"/>
    <col min="27" max="27" width="21.8984375" style="2" bestFit="1" customWidth="1"/>
    <col min="28" max="28" width="19.19921875" style="2" bestFit="1" customWidth="1"/>
    <col min="29" max="29" width="30.19921875" style="2" customWidth="1"/>
    <col min="30" max="30" width="21.09765625" style="2" customWidth="1"/>
    <col min="31" max="31" width="51" style="2" bestFit="1" customWidth="1"/>
    <col min="32" max="32" width="32" style="2" bestFit="1" customWidth="1"/>
    <col min="33" max="33" width="14" style="2" customWidth="1"/>
    <col min="34" max="34" width="32.8984375" style="2" bestFit="1" customWidth="1"/>
    <col min="35" max="35" width="17.296875" style="2" bestFit="1" customWidth="1"/>
    <col min="36" max="36" width="30.19921875" style="2" customWidth="1"/>
    <col min="37" max="37" width="21.09765625" style="2" customWidth="1"/>
    <col min="38" max="38" width="51" style="2" bestFit="1" customWidth="1"/>
    <col min="39" max="39" width="32" style="2" bestFit="1" customWidth="1"/>
    <col min="40" max="40" width="20.19921875" style="2" bestFit="1" customWidth="1"/>
    <col min="41" max="41" width="32.8984375" style="2" bestFit="1" customWidth="1"/>
    <col min="42" max="42" width="22.59765625" style="2" bestFit="1" customWidth="1"/>
    <col min="43" max="43" width="25.09765625" style="2" bestFit="1" customWidth="1"/>
    <col min="44" max="44" width="11.59765625" style="2" customWidth="1"/>
    <col min="45" max="45" width="19" style="2" bestFit="1" customWidth="1"/>
    <col min="46" max="46" width="16.69921875" style="2" bestFit="1" customWidth="1"/>
    <col min="47" max="47" width="19.3984375" style="2" bestFit="1" customWidth="1"/>
    <col min="48" max="49" width="11.59765625" style="2" customWidth="1"/>
    <col min="50" max="16384" width="8" style="2"/>
  </cols>
  <sheetData>
    <row r="1" spans="1:26" ht="45" customHeight="1" x14ac:dyDescen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9"/>
      <c r="Q1" s="39"/>
      <c r="R1" s="39"/>
      <c r="S1" s="39"/>
      <c r="T1" s="1"/>
      <c r="U1" s="1"/>
      <c r="V1" s="1"/>
      <c r="W1" s="1"/>
    </row>
    <row r="2" spans="1:26" ht="18.600000000000001" thickBot="1" x14ac:dyDescent="0.4"/>
    <row r="3" spans="1:26" ht="18.600000000000001" x14ac:dyDescent="0.4">
      <c r="I3" s="26" t="s">
        <v>1096</v>
      </c>
    </row>
    <row r="4" spans="1:26" ht="18.600000000000001" x14ac:dyDescent="0.4">
      <c r="I4" s="27"/>
    </row>
    <row r="5" spans="1:26" ht="18.600000000000001" x14ac:dyDescent="0.4">
      <c r="I5" s="28" t="s">
        <v>1097</v>
      </c>
    </row>
    <row r="6" spans="1:26" ht="18.600000000000001" x14ac:dyDescent="0.4">
      <c r="G6" s="2" t="s">
        <v>1</v>
      </c>
      <c r="I6" s="27"/>
      <c r="Y6" s="2" t="s">
        <v>2</v>
      </c>
    </row>
    <row r="7" spans="1:26" ht="33" customHeight="1" thickBot="1" x14ac:dyDescent="0.45">
      <c r="I7" s="29" t="s">
        <v>1098</v>
      </c>
      <c r="S7" s="3" t="s">
        <v>3</v>
      </c>
    </row>
    <row r="8" spans="1:26" x14ac:dyDescent="0.35">
      <c r="G8" s="3" t="s">
        <v>4</v>
      </c>
      <c r="H8" s="3" t="s">
        <v>5</v>
      </c>
      <c r="I8" s="25" t="s">
        <v>6</v>
      </c>
      <c r="J8" s="3" t="s">
        <v>7</v>
      </c>
      <c r="K8" s="3" t="s">
        <v>8</v>
      </c>
      <c r="L8" s="3" t="s">
        <v>9</v>
      </c>
      <c r="O8" s="4" t="s">
        <v>10</v>
      </c>
      <c r="Y8" s="3" t="s">
        <v>5</v>
      </c>
      <c r="Z8" s="3" t="s">
        <v>11</v>
      </c>
    </row>
    <row r="9" spans="1:26" ht="21" x14ac:dyDescent="0.4">
      <c r="G9" s="5" t="s">
        <v>13</v>
      </c>
      <c r="H9" s="6" t="s">
        <v>14</v>
      </c>
      <c r="I9" s="7" t="s">
        <v>15</v>
      </c>
      <c r="J9" s="5" t="s">
        <v>16</v>
      </c>
      <c r="K9" s="5" t="s">
        <v>17</v>
      </c>
      <c r="L9" s="6">
        <v>11111</v>
      </c>
      <c r="O9" s="24" t="s">
        <v>1095</v>
      </c>
      <c r="Y9" s="6" t="s">
        <v>14</v>
      </c>
      <c r="Z9" s="8" t="s">
        <v>18</v>
      </c>
    </row>
    <row r="10" spans="1:26" ht="21" x14ac:dyDescent="0.4">
      <c r="G10" s="5" t="s">
        <v>20</v>
      </c>
      <c r="H10" s="6" t="s">
        <v>26</v>
      </c>
      <c r="I10" s="5" t="s">
        <v>27</v>
      </c>
      <c r="J10" s="6" t="s">
        <v>28</v>
      </c>
      <c r="K10" s="5" t="s">
        <v>17</v>
      </c>
      <c r="L10" s="6">
        <v>22222</v>
      </c>
      <c r="O10" s="2" t="s">
        <v>29</v>
      </c>
      <c r="R10" s="2" t="s">
        <v>30</v>
      </c>
      <c r="U10" s="24" t="s">
        <v>1099</v>
      </c>
      <c r="V10" s="24" t="s">
        <v>1124</v>
      </c>
      <c r="Y10" s="6" t="s">
        <v>26</v>
      </c>
      <c r="Z10" s="8" t="s">
        <v>31</v>
      </c>
    </row>
    <row r="11" spans="1:26" x14ac:dyDescent="0.35">
      <c r="G11" s="5" t="s">
        <v>37</v>
      </c>
      <c r="H11" s="6" t="s">
        <v>32</v>
      </c>
      <c r="I11" s="5" t="s">
        <v>38</v>
      </c>
      <c r="J11" s="6" t="s">
        <v>39</v>
      </c>
      <c r="K11" s="5" t="s">
        <v>40</v>
      </c>
      <c r="L11" s="6">
        <v>33333</v>
      </c>
      <c r="O11" s="3" t="s">
        <v>4</v>
      </c>
      <c r="P11" s="3" t="s">
        <v>41</v>
      </c>
      <c r="R11" s="3" t="s">
        <v>5</v>
      </c>
      <c r="S11" s="3" t="s">
        <v>41</v>
      </c>
      <c r="U11" s="3" t="s">
        <v>1100</v>
      </c>
      <c r="V11" s="3" t="s">
        <v>1100</v>
      </c>
      <c r="Y11" s="6" t="s">
        <v>32</v>
      </c>
      <c r="Z11" s="8" t="s">
        <v>42</v>
      </c>
    </row>
    <row r="12" spans="1:26" x14ac:dyDescent="0.35">
      <c r="G12" s="5" t="s">
        <v>22</v>
      </c>
      <c r="H12" s="6" t="s">
        <v>33</v>
      </c>
      <c r="I12" s="5" t="s">
        <v>43</v>
      </c>
      <c r="J12" s="6" t="s">
        <v>45</v>
      </c>
      <c r="K12" s="5" t="s">
        <v>17</v>
      </c>
      <c r="L12" s="6">
        <v>44444</v>
      </c>
      <c r="O12" s="9" t="s">
        <v>46</v>
      </c>
      <c r="P12" s="8">
        <f>MATCH(O12, $G$9:$G$359, 0)</f>
        <v>5</v>
      </c>
      <c r="R12" s="9" t="s">
        <v>34</v>
      </c>
      <c r="S12" s="5">
        <f>MATCH(R12, $H$9:$H$359, 0)</f>
        <v>5</v>
      </c>
      <c r="U12" s="9" t="str">
        <f>INDEX($G$9:$G$259,S12)</f>
        <v>Swathi Matam</v>
      </c>
      <c r="V12" s="2" t="str">
        <f>INDEX($G$9:$G$300, MATCH(R12, $H$9:$H$300, 0))</f>
        <v>Swathi Matam</v>
      </c>
      <c r="Y12" s="6" t="s">
        <v>33</v>
      </c>
      <c r="Z12" s="8" t="s">
        <v>47</v>
      </c>
    </row>
    <row r="13" spans="1:26" x14ac:dyDescent="0.35">
      <c r="G13" s="5" t="s">
        <v>46</v>
      </c>
      <c r="H13" s="37" t="s">
        <v>34</v>
      </c>
      <c r="I13" s="5" t="s">
        <v>44</v>
      </c>
      <c r="J13" s="6" t="s">
        <v>48</v>
      </c>
      <c r="K13" s="5" t="s">
        <v>40</v>
      </c>
      <c r="L13" s="6">
        <v>55555</v>
      </c>
      <c r="O13" s="9" t="s">
        <v>24</v>
      </c>
      <c r="P13" s="8">
        <f>MATCH(O13, $G$9:$G$359, 0)</f>
        <v>6</v>
      </c>
      <c r="R13" s="9" t="s">
        <v>33</v>
      </c>
      <c r="S13" s="5">
        <f t="shared" ref="S13:S16" si="0">MATCH(R13, $H$9:$H$359, 0)</f>
        <v>4</v>
      </c>
      <c r="U13" s="9" t="str">
        <f t="shared" ref="U13:U15" si="1">INDEX($G$9:$G$259,S13)</f>
        <v>Anil Biradar</v>
      </c>
      <c r="V13" s="2" t="str">
        <f t="shared" ref="V13:V15" si="2">INDEX($G$9:$G$300, MATCH(R13, $H$9:$H$300, 0))</f>
        <v>Anil Biradar</v>
      </c>
      <c r="Y13" s="6" t="s">
        <v>34</v>
      </c>
      <c r="Z13" s="8" t="s">
        <v>49</v>
      </c>
    </row>
    <row r="14" spans="1:26" x14ac:dyDescent="0.35">
      <c r="G14" s="5" t="s">
        <v>24</v>
      </c>
      <c r="H14" s="6" t="s">
        <v>35</v>
      </c>
      <c r="I14" s="5" t="s">
        <v>43</v>
      </c>
      <c r="J14" s="6" t="s">
        <v>48</v>
      </c>
      <c r="K14" s="5" t="s">
        <v>50</v>
      </c>
      <c r="L14" s="6">
        <v>312000</v>
      </c>
      <c r="O14" s="9" t="s">
        <v>51</v>
      </c>
      <c r="P14" s="8">
        <f t="shared" ref="P13:P15" si="3">MATCH(O14, $G$9:$G$359, 0)</f>
        <v>8</v>
      </c>
      <c r="R14" s="9" t="s">
        <v>52</v>
      </c>
      <c r="S14" s="5">
        <f t="shared" si="0"/>
        <v>10</v>
      </c>
      <c r="U14" s="9" t="str">
        <f t="shared" si="1"/>
        <v>Swathi Matam</v>
      </c>
      <c r="V14" s="2" t="str">
        <f t="shared" si="2"/>
        <v>Swathi Matam</v>
      </c>
      <c r="Y14" s="6" t="s">
        <v>35</v>
      </c>
      <c r="Z14" s="8" t="s">
        <v>53</v>
      </c>
    </row>
    <row r="15" spans="1:26" x14ac:dyDescent="0.35">
      <c r="G15" s="5" t="s">
        <v>25</v>
      </c>
      <c r="H15" s="6" t="s">
        <v>36</v>
      </c>
      <c r="I15" s="5" t="s">
        <v>43</v>
      </c>
      <c r="J15" s="6" t="s">
        <v>45</v>
      </c>
      <c r="K15" s="5" t="s">
        <v>17</v>
      </c>
      <c r="L15" s="6">
        <v>402000</v>
      </c>
      <c r="O15" s="9" t="s">
        <v>54</v>
      </c>
      <c r="P15" s="8">
        <f t="shared" si="3"/>
        <v>346</v>
      </c>
      <c r="R15" s="9" t="s">
        <v>55</v>
      </c>
      <c r="S15" s="5">
        <f t="shared" si="0"/>
        <v>12</v>
      </c>
      <c r="U15" s="9" t="str">
        <f t="shared" si="1"/>
        <v>Bikas Chandra Mandal</v>
      </c>
      <c r="V15" s="2" t="str">
        <f t="shared" si="2"/>
        <v>Bikas Chandra Mandal</v>
      </c>
      <c r="Y15" s="6" t="s">
        <v>36</v>
      </c>
      <c r="Z15" s="8" t="s">
        <v>56</v>
      </c>
    </row>
    <row r="16" spans="1:26" x14ac:dyDescent="0.35">
      <c r="G16" s="5" t="s">
        <v>51</v>
      </c>
      <c r="H16" s="6" t="s">
        <v>57</v>
      </c>
      <c r="I16" s="5" t="s">
        <v>27</v>
      </c>
      <c r="J16" s="6" t="s">
        <v>58</v>
      </c>
      <c r="K16" s="5" t="s">
        <v>40</v>
      </c>
      <c r="L16" s="6">
        <v>82000</v>
      </c>
      <c r="R16" s="9" t="s">
        <v>59</v>
      </c>
      <c r="S16" s="5">
        <f t="shared" si="0"/>
        <v>15</v>
      </c>
      <c r="Y16" s="6" t="s">
        <v>57</v>
      </c>
      <c r="Z16" s="8" t="s">
        <v>60</v>
      </c>
    </row>
    <row r="17" spans="2:41" x14ac:dyDescent="0.35">
      <c r="G17" s="5" t="s">
        <v>61</v>
      </c>
      <c r="H17" s="6" t="s">
        <v>62</v>
      </c>
      <c r="I17" s="5" t="s">
        <v>44</v>
      </c>
      <c r="J17" s="6" t="s">
        <v>48</v>
      </c>
      <c r="K17" s="5" t="s">
        <v>40</v>
      </c>
      <c r="L17" s="6">
        <v>264000</v>
      </c>
      <c r="O17" s="2" t="s">
        <v>63</v>
      </c>
      <c r="Y17" s="6" t="s">
        <v>62</v>
      </c>
      <c r="Z17" s="8" t="s">
        <v>64</v>
      </c>
    </row>
    <row r="18" spans="2:41" x14ac:dyDescent="0.35">
      <c r="E18" s="10"/>
      <c r="G18" s="5" t="s">
        <v>46</v>
      </c>
      <c r="H18" s="37" t="s">
        <v>52</v>
      </c>
      <c r="I18" s="5" t="s">
        <v>43</v>
      </c>
      <c r="J18" s="6" t="s">
        <v>65</v>
      </c>
      <c r="K18" s="5" t="s">
        <v>17</v>
      </c>
      <c r="L18" s="6">
        <v>458000</v>
      </c>
      <c r="O18" s="5"/>
      <c r="P18" s="3" t="s">
        <v>66</v>
      </c>
      <c r="Q18" s="3" t="s">
        <v>6</v>
      </c>
      <c r="R18" s="3" t="s">
        <v>8</v>
      </c>
      <c r="S18" s="3" t="s">
        <v>9</v>
      </c>
      <c r="Y18" s="6" t="s">
        <v>52</v>
      </c>
      <c r="Z18" s="8" t="s">
        <v>67</v>
      </c>
    </row>
    <row r="19" spans="2:41" x14ac:dyDescent="0.35">
      <c r="C19" s="10"/>
      <c r="D19" s="10"/>
      <c r="G19" s="5" t="s">
        <v>68</v>
      </c>
      <c r="H19" s="6" t="s">
        <v>69</v>
      </c>
      <c r="I19" s="5" t="s">
        <v>38</v>
      </c>
      <c r="J19" s="6" t="s">
        <v>65</v>
      </c>
      <c r="K19" s="5" t="s">
        <v>70</v>
      </c>
      <c r="L19" s="6">
        <v>154000</v>
      </c>
      <c r="O19" s="3" t="s">
        <v>41</v>
      </c>
      <c r="P19" s="8">
        <f>MATCH(P18,G8:L8,0)</f>
        <v>2</v>
      </c>
      <c r="Q19" s="8">
        <f>MATCH(Q18,G8:L8,0)</f>
        <v>3</v>
      </c>
      <c r="R19" s="8">
        <f>MATCH(R18,G8:L8,0)</f>
        <v>5</v>
      </c>
      <c r="S19" s="8">
        <f>MATCH(S18,G8:L8,0)</f>
        <v>6</v>
      </c>
      <c r="Y19" s="6" t="s">
        <v>69</v>
      </c>
      <c r="Z19" s="8" t="s">
        <v>71</v>
      </c>
      <c r="AJ19" s="11" t="s">
        <v>72</v>
      </c>
    </row>
    <row r="20" spans="2:41" x14ac:dyDescent="0.35">
      <c r="C20" s="10"/>
      <c r="D20" s="10"/>
      <c r="G20" s="5" t="s">
        <v>73</v>
      </c>
      <c r="H20" s="6" t="s">
        <v>55</v>
      </c>
      <c r="I20" s="5" t="s">
        <v>43</v>
      </c>
      <c r="J20" s="6" t="s">
        <v>16</v>
      </c>
      <c r="K20" s="5" t="s">
        <v>17</v>
      </c>
      <c r="L20" s="6">
        <v>456000</v>
      </c>
      <c r="Y20" s="6" t="s">
        <v>55</v>
      </c>
      <c r="Z20" s="8" t="s">
        <v>74</v>
      </c>
    </row>
    <row r="21" spans="2:41" ht="18.600000000000001" x14ac:dyDescent="0.4">
      <c r="C21" s="10"/>
      <c r="G21" s="5" t="s">
        <v>75</v>
      </c>
      <c r="H21" s="6" t="s">
        <v>76</v>
      </c>
      <c r="I21" s="5" t="s">
        <v>44</v>
      </c>
      <c r="J21" s="6" t="s">
        <v>16</v>
      </c>
      <c r="K21" s="5" t="s">
        <v>70</v>
      </c>
      <c r="L21" s="6">
        <v>226000</v>
      </c>
      <c r="Y21" s="6" t="s">
        <v>76</v>
      </c>
      <c r="Z21" s="8" t="s">
        <v>77</v>
      </c>
      <c r="AE21"/>
      <c r="AF21"/>
      <c r="AG21"/>
    </row>
    <row r="22" spans="2:41" ht="18.600000000000001" x14ac:dyDescent="0.4">
      <c r="G22" s="5" t="s">
        <v>78</v>
      </c>
      <c r="H22" s="6" t="s">
        <v>79</v>
      </c>
      <c r="I22" s="5" t="s">
        <v>38</v>
      </c>
      <c r="J22" s="6" t="s">
        <v>28</v>
      </c>
      <c r="K22" s="5" t="s">
        <v>70</v>
      </c>
      <c r="L22" s="6">
        <v>102000</v>
      </c>
      <c r="O22" s="2" t="s">
        <v>80</v>
      </c>
      <c r="Y22" s="6" t="s">
        <v>79</v>
      </c>
      <c r="Z22" s="8" t="s">
        <v>81</v>
      </c>
      <c r="AE22"/>
      <c r="AF22"/>
      <c r="AG22"/>
    </row>
    <row r="23" spans="2:41" ht="18.600000000000001" x14ac:dyDescent="0.4">
      <c r="G23" s="5" t="s">
        <v>82</v>
      </c>
      <c r="H23" s="6" t="s">
        <v>59</v>
      </c>
      <c r="I23" s="5" t="s">
        <v>38</v>
      </c>
      <c r="J23" s="6" t="s">
        <v>48</v>
      </c>
      <c r="K23" s="5" t="s">
        <v>70</v>
      </c>
      <c r="L23" s="6">
        <v>354000</v>
      </c>
      <c r="O23" s="3" t="s">
        <v>4</v>
      </c>
      <c r="P23" s="3" t="s">
        <v>66</v>
      </c>
      <c r="Q23" s="3" t="s">
        <v>6</v>
      </c>
      <c r="R23" s="3" t="s">
        <v>8</v>
      </c>
      <c r="S23" s="3" t="s">
        <v>9</v>
      </c>
      <c r="Y23" s="6" t="s">
        <v>59</v>
      </c>
      <c r="Z23" s="8" t="s">
        <v>83</v>
      </c>
      <c r="AE23"/>
      <c r="AF23"/>
      <c r="AG23"/>
    </row>
    <row r="24" spans="2:41" ht="18.600000000000001" x14ac:dyDescent="0.4">
      <c r="B24" s="12"/>
      <c r="G24" s="5" t="s">
        <v>84</v>
      </c>
      <c r="H24" s="6" t="s">
        <v>85</v>
      </c>
      <c r="I24" s="5" t="s">
        <v>38</v>
      </c>
      <c r="J24" s="6" t="s">
        <v>58</v>
      </c>
      <c r="K24" s="5" t="s">
        <v>50</v>
      </c>
      <c r="L24" s="6">
        <v>244000</v>
      </c>
      <c r="O24" s="9" t="s">
        <v>46</v>
      </c>
      <c r="P24" s="6" t="str">
        <f>VLOOKUP(O24,$G$8:$L$359,2,FALSE)</f>
        <v>Emp0553</v>
      </c>
      <c r="Q24" s="6" t="str">
        <f t="shared" ref="Q24:S31" si="4">VLOOKUP($O24,$G$9:$L$359,2,FALSE)</f>
        <v>Emp0553</v>
      </c>
      <c r="R24" s="6" t="str">
        <f t="shared" si="4"/>
        <v>Emp0553</v>
      </c>
      <c r="S24" s="6">
        <f>VLOOKUP($O24,$G$9:$L$359,6,FALSE)</f>
        <v>55555</v>
      </c>
      <c r="Y24" s="6" t="s">
        <v>85</v>
      </c>
      <c r="Z24" s="8" t="s">
        <v>86</v>
      </c>
      <c r="AE24"/>
      <c r="AF24"/>
      <c r="AG24"/>
    </row>
    <row r="25" spans="2:41" ht="18.600000000000001" x14ac:dyDescent="0.4">
      <c r="C25" s="10"/>
      <c r="G25" s="5" t="s">
        <v>87</v>
      </c>
      <c r="H25" s="6" t="s">
        <v>88</v>
      </c>
      <c r="I25" s="5" t="s">
        <v>89</v>
      </c>
      <c r="J25" s="6" t="s">
        <v>39</v>
      </c>
      <c r="K25" s="5" t="s">
        <v>70</v>
      </c>
      <c r="L25" s="6">
        <v>170000</v>
      </c>
      <c r="O25" s="9" t="s">
        <v>51</v>
      </c>
      <c r="P25" s="6" t="str">
        <f t="shared" ref="P25:P31" si="5">VLOOKUP(O25,$G$8:$L$359,2,FALSE)</f>
        <v>Emp0276</v>
      </c>
      <c r="Q25" s="6" t="str">
        <f t="shared" si="4"/>
        <v>Emp0276</v>
      </c>
      <c r="R25" s="6" t="str">
        <f t="shared" si="4"/>
        <v>Emp0276</v>
      </c>
      <c r="S25" s="6">
        <f t="shared" ref="S25:S31" si="6">VLOOKUP($O25,$G$9:$L$359,6,FALSE)</f>
        <v>82000</v>
      </c>
      <c r="Y25" s="6" t="s">
        <v>88</v>
      </c>
      <c r="Z25" s="8" t="s">
        <v>90</v>
      </c>
      <c r="AE25"/>
      <c r="AF25"/>
      <c r="AG25"/>
    </row>
    <row r="26" spans="2:41" ht="18.600000000000001" x14ac:dyDescent="0.4">
      <c r="G26" s="5" t="s">
        <v>91</v>
      </c>
      <c r="H26" s="6" t="s">
        <v>92</v>
      </c>
      <c r="I26" s="5" t="s">
        <v>44</v>
      </c>
      <c r="J26" s="6" t="s">
        <v>65</v>
      </c>
      <c r="K26" s="5" t="s">
        <v>17</v>
      </c>
      <c r="L26" s="6">
        <v>34000</v>
      </c>
      <c r="O26" s="9" t="s">
        <v>68</v>
      </c>
      <c r="P26" s="6" t="str">
        <f t="shared" si="5"/>
        <v>Emp0550</v>
      </c>
      <c r="Q26" s="6" t="str">
        <f t="shared" si="4"/>
        <v>Emp0550</v>
      </c>
      <c r="R26" s="6" t="str">
        <f t="shared" si="4"/>
        <v>Emp0550</v>
      </c>
      <c r="S26" s="6">
        <f t="shared" si="6"/>
        <v>154000</v>
      </c>
      <c r="Y26" s="6" t="s">
        <v>92</v>
      </c>
      <c r="Z26" s="8" t="s">
        <v>93</v>
      </c>
      <c r="AE26"/>
      <c r="AF26"/>
      <c r="AG26"/>
    </row>
    <row r="27" spans="2:41" x14ac:dyDescent="0.35">
      <c r="G27" s="5" t="s">
        <v>94</v>
      </c>
      <c r="H27" s="6" t="s">
        <v>95</v>
      </c>
      <c r="I27" s="5" t="s">
        <v>96</v>
      </c>
      <c r="J27" s="6" t="s">
        <v>28</v>
      </c>
      <c r="K27" s="5" t="s">
        <v>17</v>
      </c>
      <c r="L27" s="6">
        <v>28000</v>
      </c>
      <c r="O27" s="9" t="s">
        <v>82</v>
      </c>
      <c r="P27" s="6" t="str">
        <f t="shared" si="5"/>
        <v>Emp0377</v>
      </c>
      <c r="Q27" s="6" t="str">
        <f t="shared" si="4"/>
        <v>Emp0377</v>
      </c>
      <c r="R27" s="6" t="str">
        <f t="shared" si="4"/>
        <v>Emp0377</v>
      </c>
      <c r="S27" s="6">
        <f t="shared" si="6"/>
        <v>354000</v>
      </c>
      <c r="Y27" s="13" t="s">
        <v>95</v>
      </c>
      <c r="Z27" s="8" t="s">
        <v>97</v>
      </c>
    </row>
    <row r="28" spans="2:41" x14ac:dyDescent="0.35">
      <c r="D28" s="10"/>
      <c r="G28" s="5" t="s">
        <v>98</v>
      </c>
      <c r="H28" s="6" t="s">
        <v>99</v>
      </c>
      <c r="I28" s="5" t="s">
        <v>27</v>
      </c>
      <c r="J28" s="6" t="s">
        <v>16</v>
      </c>
      <c r="K28" s="5" t="s">
        <v>50</v>
      </c>
      <c r="L28" s="6">
        <v>306000</v>
      </c>
      <c r="O28" s="9" t="s">
        <v>91</v>
      </c>
      <c r="P28" s="6" t="str">
        <f t="shared" si="5"/>
        <v>Emp0049</v>
      </c>
      <c r="Q28" s="6" t="str">
        <f t="shared" si="4"/>
        <v>Emp0049</v>
      </c>
      <c r="R28" s="6" t="str">
        <f t="shared" si="4"/>
        <v>Emp0049</v>
      </c>
      <c r="S28" s="6">
        <f t="shared" si="6"/>
        <v>34000</v>
      </c>
      <c r="Y28" s="13" t="s">
        <v>99</v>
      </c>
      <c r="Z28" s="8" t="s">
        <v>100</v>
      </c>
      <c r="AJ28" s="2" t="s">
        <v>101</v>
      </c>
    </row>
    <row r="29" spans="2:41" x14ac:dyDescent="0.35">
      <c r="G29" s="5" t="s">
        <v>102</v>
      </c>
      <c r="H29" s="6" t="s">
        <v>103</v>
      </c>
      <c r="I29" s="5" t="s">
        <v>15</v>
      </c>
      <c r="J29" s="6" t="s">
        <v>28</v>
      </c>
      <c r="K29" s="5" t="s">
        <v>17</v>
      </c>
      <c r="L29" s="6">
        <v>290000</v>
      </c>
      <c r="O29" s="9" t="s">
        <v>104</v>
      </c>
      <c r="P29" s="6" t="str">
        <f t="shared" si="5"/>
        <v>Emp0347</v>
      </c>
      <c r="Q29" s="6" t="str">
        <f t="shared" si="4"/>
        <v>Emp0347</v>
      </c>
      <c r="R29" s="6" t="str">
        <f t="shared" si="4"/>
        <v>Emp0347</v>
      </c>
      <c r="S29" s="6">
        <f t="shared" si="6"/>
        <v>244000</v>
      </c>
      <c r="Y29" s="13" t="s">
        <v>103</v>
      </c>
      <c r="Z29" s="8" t="s">
        <v>105</v>
      </c>
    </row>
    <row r="30" spans="2:41" x14ac:dyDescent="0.35">
      <c r="G30" s="5" t="s">
        <v>106</v>
      </c>
      <c r="H30" s="6" t="s">
        <v>107</v>
      </c>
      <c r="I30" s="5" t="s">
        <v>89</v>
      </c>
      <c r="J30" s="6" t="s">
        <v>28</v>
      </c>
      <c r="K30" s="5" t="s">
        <v>40</v>
      </c>
      <c r="L30" s="6">
        <v>30000</v>
      </c>
      <c r="O30" s="9" t="s">
        <v>84</v>
      </c>
      <c r="P30" s="6" t="str">
        <f t="shared" si="5"/>
        <v>Emp0117</v>
      </c>
      <c r="Q30" s="6" t="str">
        <f t="shared" si="4"/>
        <v>Emp0117</v>
      </c>
      <c r="R30" s="6" t="str">
        <f t="shared" si="4"/>
        <v>Emp0117</v>
      </c>
      <c r="S30" s="6">
        <f t="shared" si="6"/>
        <v>244000</v>
      </c>
      <c r="Y30" s="13" t="s">
        <v>107</v>
      </c>
      <c r="Z30" s="8" t="s">
        <v>108</v>
      </c>
    </row>
    <row r="31" spans="2:41" x14ac:dyDescent="0.35">
      <c r="G31" s="5" t="s">
        <v>104</v>
      </c>
      <c r="H31" s="6" t="s">
        <v>109</v>
      </c>
      <c r="I31" s="5" t="s">
        <v>38</v>
      </c>
      <c r="J31" s="6" t="s">
        <v>16</v>
      </c>
      <c r="K31" s="5" t="s">
        <v>70</v>
      </c>
      <c r="L31" s="6">
        <v>244000</v>
      </c>
      <c r="O31" s="9" t="s">
        <v>110</v>
      </c>
      <c r="P31" s="6" t="str">
        <f t="shared" si="5"/>
        <v>Emp0158</v>
      </c>
      <c r="Q31" s="6" t="str">
        <f t="shared" si="4"/>
        <v>Emp0158</v>
      </c>
      <c r="R31" s="6" t="str">
        <f t="shared" si="4"/>
        <v>Emp0158</v>
      </c>
      <c r="S31" s="6">
        <f t="shared" si="6"/>
        <v>264000</v>
      </c>
      <c r="Y31" s="13" t="s">
        <v>109</v>
      </c>
      <c r="Z31" s="8" t="s">
        <v>111</v>
      </c>
    </row>
    <row r="32" spans="2:41" ht="18.600000000000001" x14ac:dyDescent="0.4">
      <c r="C32" s="10"/>
      <c r="G32" s="5" t="s">
        <v>112</v>
      </c>
      <c r="H32" s="6" t="s">
        <v>113</v>
      </c>
      <c r="I32" s="5" t="s">
        <v>15</v>
      </c>
      <c r="J32" s="6" t="s">
        <v>28</v>
      </c>
      <c r="K32" s="5" t="s">
        <v>50</v>
      </c>
      <c r="L32" s="6">
        <v>476000</v>
      </c>
      <c r="Y32" s="13" t="s">
        <v>113</v>
      </c>
      <c r="Z32" s="8" t="s">
        <v>114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</row>
    <row r="33" spans="3:41" ht="18.600000000000001" x14ac:dyDescent="0.4">
      <c r="C33" s="10"/>
      <c r="G33" s="5" t="s">
        <v>115</v>
      </c>
      <c r="H33" s="6" t="s">
        <v>116</v>
      </c>
      <c r="I33" s="5" t="s">
        <v>96</v>
      </c>
      <c r="J33" s="6" t="s">
        <v>39</v>
      </c>
      <c r="K33" s="5" t="s">
        <v>17</v>
      </c>
      <c r="L33" s="6">
        <v>54000</v>
      </c>
      <c r="O33" s="2" t="s">
        <v>117</v>
      </c>
      <c r="Y33" s="13" t="s">
        <v>116</v>
      </c>
      <c r="Z33" s="8" t="s">
        <v>118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</row>
    <row r="34" spans="3:41" ht="18.600000000000001" x14ac:dyDescent="0.4">
      <c r="C34" s="10"/>
      <c r="G34" s="5" t="s">
        <v>110</v>
      </c>
      <c r="H34" s="6" t="s">
        <v>119</v>
      </c>
      <c r="I34" s="5" t="s">
        <v>89</v>
      </c>
      <c r="J34" s="6" t="s">
        <v>28</v>
      </c>
      <c r="K34" s="5" t="s">
        <v>70</v>
      </c>
      <c r="L34" s="6">
        <v>264000</v>
      </c>
      <c r="O34" s="3" t="s">
        <v>4</v>
      </c>
      <c r="P34" s="3" t="s">
        <v>5</v>
      </c>
      <c r="Q34" s="3" t="s">
        <v>6</v>
      </c>
      <c r="R34" s="3" t="s">
        <v>8</v>
      </c>
      <c r="S34" s="3" t="s">
        <v>9</v>
      </c>
      <c r="T34" s="3" t="s">
        <v>4</v>
      </c>
      <c r="Y34" s="13" t="s">
        <v>119</v>
      </c>
      <c r="Z34" s="8" t="s">
        <v>120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</row>
    <row r="35" spans="3:41" ht="18.600000000000001" x14ac:dyDescent="0.4">
      <c r="C35" s="10"/>
      <c r="G35" s="5" t="s">
        <v>121</v>
      </c>
      <c r="H35" s="6" t="s">
        <v>122</v>
      </c>
      <c r="I35" s="5" t="s">
        <v>89</v>
      </c>
      <c r="J35" s="6" t="s">
        <v>48</v>
      </c>
      <c r="K35" s="5" t="s">
        <v>50</v>
      </c>
      <c r="L35" s="6">
        <v>488000</v>
      </c>
      <c r="O35" s="9" t="s">
        <v>46</v>
      </c>
      <c r="P35" s="8" t="str">
        <f>VLOOKUP(O35,$G$8:$L$359,2,FALSE)</f>
        <v>Emp0553</v>
      </c>
      <c r="Q35" s="8"/>
      <c r="R35" s="8"/>
      <c r="S35" s="8"/>
      <c r="T35" s="8"/>
      <c r="Y35" s="13" t="s">
        <v>122</v>
      </c>
      <c r="Z35" s="8" t="s">
        <v>123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</row>
    <row r="36" spans="3:41" ht="18.600000000000001" x14ac:dyDescent="0.4">
      <c r="C36" s="10"/>
      <c r="G36" s="5" t="s">
        <v>124</v>
      </c>
      <c r="H36" s="6" t="s">
        <v>125</v>
      </c>
      <c r="I36" s="5" t="s">
        <v>43</v>
      </c>
      <c r="J36" s="6" t="s">
        <v>48</v>
      </c>
      <c r="K36" s="5" t="s">
        <v>50</v>
      </c>
      <c r="L36" s="6">
        <v>402000</v>
      </c>
      <c r="O36" s="9" t="s">
        <v>98</v>
      </c>
      <c r="P36" s="8"/>
      <c r="Q36" s="8"/>
      <c r="R36" s="8"/>
      <c r="S36" s="8"/>
      <c r="T36" s="8"/>
      <c r="Y36" s="13" t="s">
        <v>125</v>
      </c>
      <c r="Z36" s="8" t="s">
        <v>126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</row>
    <row r="37" spans="3:41" ht="18.600000000000001" x14ac:dyDescent="0.4">
      <c r="C37" s="10"/>
      <c r="G37" s="5" t="s">
        <v>127</v>
      </c>
      <c r="H37" s="6" t="s">
        <v>128</v>
      </c>
      <c r="I37" s="5" t="s">
        <v>44</v>
      </c>
      <c r="J37" s="6" t="s">
        <v>16</v>
      </c>
      <c r="K37" s="5" t="s">
        <v>50</v>
      </c>
      <c r="L37" s="6">
        <v>66000</v>
      </c>
      <c r="O37" s="9" t="s">
        <v>129</v>
      </c>
      <c r="P37" s="8"/>
      <c r="Q37" s="8"/>
      <c r="R37" s="8"/>
      <c r="S37" s="8"/>
      <c r="T37" s="8"/>
      <c r="Y37" s="13" t="s">
        <v>128</v>
      </c>
      <c r="Z37" s="8" t="s">
        <v>130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</row>
    <row r="38" spans="3:41" ht="18.600000000000001" x14ac:dyDescent="0.4">
      <c r="C38" s="10"/>
      <c r="G38" s="5" t="s">
        <v>131</v>
      </c>
      <c r="H38" s="6" t="s">
        <v>132</v>
      </c>
      <c r="I38" s="5" t="s">
        <v>43</v>
      </c>
      <c r="J38" s="6" t="s">
        <v>65</v>
      </c>
      <c r="K38" s="5" t="s">
        <v>17</v>
      </c>
      <c r="L38" s="6">
        <v>216000</v>
      </c>
      <c r="O38" s="9" t="s">
        <v>73</v>
      </c>
      <c r="P38" s="8"/>
      <c r="Q38" s="8"/>
      <c r="R38" s="8"/>
      <c r="S38" s="8"/>
      <c r="T38" s="8"/>
      <c r="Y38" s="13" t="s">
        <v>132</v>
      </c>
      <c r="Z38" s="8" t="s">
        <v>133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</row>
    <row r="39" spans="3:41" ht="18.600000000000001" x14ac:dyDescent="0.4">
      <c r="C39" s="10"/>
      <c r="G39" s="5" t="s">
        <v>134</v>
      </c>
      <c r="H39" s="6" t="s">
        <v>135</v>
      </c>
      <c r="I39" s="5" t="s">
        <v>38</v>
      </c>
      <c r="J39" s="6" t="s">
        <v>58</v>
      </c>
      <c r="K39" s="5" t="s">
        <v>50</v>
      </c>
      <c r="L39" s="6">
        <v>360000</v>
      </c>
      <c r="O39" s="9" t="s">
        <v>91</v>
      </c>
      <c r="P39" s="8"/>
      <c r="Q39" s="8"/>
      <c r="R39" s="8"/>
      <c r="S39" s="8"/>
      <c r="T39" s="8"/>
      <c r="Y39" s="13" t="s">
        <v>135</v>
      </c>
      <c r="Z39" s="8" t="s">
        <v>136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</row>
    <row r="40" spans="3:41" ht="18.600000000000001" x14ac:dyDescent="0.4">
      <c r="G40" s="5" t="s">
        <v>137</v>
      </c>
      <c r="H40" s="6" t="s">
        <v>138</v>
      </c>
      <c r="I40" s="5" t="s">
        <v>38</v>
      </c>
      <c r="J40" s="6" t="s">
        <v>58</v>
      </c>
      <c r="K40" s="5" t="s">
        <v>50</v>
      </c>
      <c r="L40" s="6">
        <v>408000</v>
      </c>
      <c r="O40" s="9" t="s">
        <v>104</v>
      </c>
      <c r="P40" s="8"/>
      <c r="Q40" s="8"/>
      <c r="R40" s="8"/>
      <c r="S40" s="8"/>
      <c r="T40" s="8"/>
      <c r="Y40" s="13" t="s">
        <v>138</v>
      </c>
      <c r="Z40" s="8" t="s">
        <v>139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</row>
    <row r="41" spans="3:41" ht="18.600000000000001" x14ac:dyDescent="0.4">
      <c r="G41" s="5" t="s">
        <v>140</v>
      </c>
      <c r="H41" s="6" t="s">
        <v>141</v>
      </c>
      <c r="I41" s="5" t="s">
        <v>43</v>
      </c>
      <c r="J41" s="6" t="s">
        <v>48</v>
      </c>
      <c r="K41" s="5" t="s">
        <v>70</v>
      </c>
      <c r="L41" s="6">
        <v>40000</v>
      </c>
      <c r="O41" s="9" t="s">
        <v>84</v>
      </c>
      <c r="P41" s="8"/>
      <c r="Q41" s="8"/>
      <c r="R41" s="8"/>
      <c r="S41" s="8"/>
      <c r="T41" s="8"/>
      <c r="Y41" s="13" t="s">
        <v>141</v>
      </c>
      <c r="Z41" s="8" t="s">
        <v>142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</row>
    <row r="42" spans="3:41" ht="18.600000000000001" x14ac:dyDescent="0.4">
      <c r="G42" s="5" t="s">
        <v>143</v>
      </c>
      <c r="H42" s="6" t="s">
        <v>144</v>
      </c>
      <c r="I42" s="5" t="s">
        <v>89</v>
      </c>
      <c r="J42" s="6" t="s">
        <v>58</v>
      </c>
      <c r="K42" s="5" t="s">
        <v>17</v>
      </c>
      <c r="L42" s="6">
        <v>136000</v>
      </c>
      <c r="O42" s="9" t="s">
        <v>110</v>
      </c>
      <c r="P42" s="8"/>
      <c r="Q42" s="8"/>
      <c r="R42" s="8"/>
      <c r="S42" s="8"/>
      <c r="T42" s="8"/>
      <c r="Y42" s="13" t="s">
        <v>144</v>
      </c>
      <c r="Z42" s="8" t="s">
        <v>145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</row>
    <row r="43" spans="3:41" x14ac:dyDescent="0.35">
      <c r="G43" s="5" t="s">
        <v>146</v>
      </c>
      <c r="H43" s="6" t="s">
        <v>147</v>
      </c>
      <c r="I43" s="5" t="s">
        <v>15</v>
      </c>
      <c r="J43" s="6" t="s">
        <v>45</v>
      </c>
      <c r="K43" s="5" t="s">
        <v>40</v>
      </c>
      <c r="L43" s="6">
        <v>472000</v>
      </c>
      <c r="Y43" s="13" t="s">
        <v>147</v>
      </c>
      <c r="Z43" s="8" t="s">
        <v>148</v>
      </c>
    </row>
    <row r="44" spans="3:41" x14ac:dyDescent="0.35">
      <c r="D44" s="14"/>
      <c r="G44" s="5" t="s">
        <v>149</v>
      </c>
      <c r="H44" s="6" t="s">
        <v>150</v>
      </c>
      <c r="I44" s="5" t="s">
        <v>38</v>
      </c>
      <c r="J44" s="6" t="s">
        <v>39</v>
      </c>
      <c r="K44" s="5" t="s">
        <v>40</v>
      </c>
      <c r="L44" s="6">
        <v>218000</v>
      </c>
      <c r="Y44" s="13" t="s">
        <v>150</v>
      </c>
      <c r="Z44" s="8" t="s">
        <v>151</v>
      </c>
    </row>
    <row r="45" spans="3:41" ht="18.600000000000001" x14ac:dyDescent="0.4">
      <c r="D45" s="14"/>
      <c r="G45" s="5" t="s">
        <v>152</v>
      </c>
      <c r="H45" s="6" t="s">
        <v>153</v>
      </c>
      <c r="I45" s="5" t="s">
        <v>38</v>
      </c>
      <c r="J45" s="6" t="s">
        <v>16</v>
      </c>
      <c r="K45" s="5" t="s">
        <v>50</v>
      </c>
      <c r="L45" s="6">
        <v>50000</v>
      </c>
      <c r="O45" s="2" t="s">
        <v>190</v>
      </c>
      <c r="S45"/>
      <c r="T45"/>
      <c r="Y45" s="13" t="s">
        <v>153</v>
      </c>
      <c r="Z45" s="8" t="s">
        <v>154</v>
      </c>
      <c r="AC45" s="2" t="s">
        <v>12</v>
      </c>
    </row>
    <row r="46" spans="3:41" ht="18.600000000000001" x14ac:dyDescent="0.4">
      <c r="D46" s="14"/>
      <c r="G46" s="5" t="s">
        <v>155</v>
      </c>
      <c r="H46" s="6" t="s">
        <v>156</v>
      </c>
      <c r="I46" s="5" t="s">
        <v>43</v>
      </c>
      <c r="J46" s="6" t="s">
        <v>16</v>
      </c>
      <c r="K46" s="5" t="s">
        <v>50</v>
      </c>
      <c r="L46" s="6">
        <v>86000</v>
      </c>
      <c r="O46" s="3" t="s">
        <v>4</v>
      </c>
      <c r="P46" s="3" t="s">
        <v>195</v>
      </c>
      <c r="Q46" s="3" t="s">
        <v>191</v>
      </c>
      <c r="R46" s="3" t="s">
        <v>7</v>
      </c>
      <c r="S46"/>
      <c r="T46"/>
      <c r="Y46" s="13" t="s">
        <v>156</v>
      </c>
      <c r="Z46" s="8" t="s">
        <v>157</v>
      </c>
      <c r="AC46" s="3" t="s">
        <v>4</v>
      </c>
      <c r="AD46" s="5" t="s">
        <v>19</v>
      </c>
      <c r="AE46" s="5" t="s">
        <v>20</v>
      </c>
      <c r="AF46" s="5" t="s">
        <v>21</v>
      </c>
      <c r="AG46" s="5" t="s">
        <v>22</v>
      </c>
      <c r="AH46" s="5" t="s">
        <v>23</v>
      </c>
      <c r="AI46" s="5" t="s">
        <v>24</v>
      </c>
      <c r="AJ46" s="5" t="s">
        <v>25</v>
      </c>
    </row>
    <row r="47" spans="3:41" ht="18.600000000000001" x14ac:dyDescent="0.4">
      <c r="D47" s="14"/>
      <c r="G47" s="5" t="s">
        <v>158</v>
      </c>
      <c r="H47" s="6" t="s">
        <v>159</v>
      </c>
      <c r="I47" s="5" t="s">
        <v>38</v>
      </c>
      <c r="J47" s="6" t="s">
        <v>39</v>
      </c>
      <c r="K47" s="5" t="s">
        <v>50</v>
      </c>
      <c r="L47" s="6">
        <v>48000</v>
      </c>
      <c r="O47" s="17" t="s">
        <v>199</v>
      </c>
      <c r="P47" s="5">
        <f t="shared" ref="P47:R49" si="7">VLOOKUP(TRIM($O47),$G$9:$L$359,MATCH(TRIM(P$46),$G$8:$L$8,0),FALSE)</f>
        <v>55555</v>
      </c>
      <c r="Q47" s="5" t="str">
        <f t="shared" si="7"/>
        <v>Emp0553</v>
      </c>
      <c r="R47" s="5" t="str">
        <f t="shared" si="7"/>
        <v>Dev Lead</v>
      </c>
      <c r="S47"/>
      <c r="T47"/>
      <c r="Y47" s="13" t="s">
        <v>159</v>
      </c>
      <c r="Z47" s="8" t="s">
        <v>160</v>
      </c>
      <c r="AC47" s="3" t="s">
        <v>5</v>
      </c>
      <c r="AD47" s="6" t="s">
        <v>14</v>
      </c>
      <c r="AE47" s="6" t="s">
        <v>26</v>
      </c>
      <c r="AF47" s="6" t="s">
        <v>32</v>
      </c>
      <c r="AG47" s="6" t="s">
        <v>33</v>
      </c>
      <c r="AH47" s="6" t="s">
        <v>34</v>
      </c>
      <c r="AI47" s="6" t="s">
        <v>35</v>
      </c>
      <c r="AJ47" s="6" t="s">
        <v>36</v>
      </c>
    </row>
    <row r="48" spans="3:41" ht="18.600000000000001" x14ac:dyDescent="0.4">
      <c r="G48" s="5" t="s">
        <v>161</v>
      </c>
      <c r="H48" s="6" t="s">
        <v>162</v>
      </c>
      <c r="I48" s="5" t="s">
        <v>38</v>
      </c>
      <c r="J48" s="6" t="s">
        <v>65</v>
      </c>
      <c r="K48" s="5" t="s">
        <v>17</v>
      </c>
      <c r="L48" s="6">
        <v>390000</v>
      </c>
      <c r="O48" s="17" t="s">
        <v>203</v>
      </c>
      <c r="P48" s="5" t="e">
        <f t="shared" si="7"/>
        <v>#N/A</v>
      </c>
      <c r="Q48" s="5" t="e">
        <f t="shared" si="7"/>
        <v>#N/A</v>
      </c>
      <c r="R48" s="5" t="e">
        <f t="shared" si="7"/>
        <v>#N/A</v>
      </c>
      <c r="S48"/>
      <c r="T48"/>
      <c r="Y48" s="13" t="s">
        <v>162</v>
      </c>
      <c r="Z48" s="8" t="s">
        <v>163</v>
      </c>
      <c r="AC48" s="3" t="s">
        <v>6</v>
      </c>
      <c r="AD48" s="7" t="s">
        <v>15</v>
      </c>
      <c r="AE48" s="7" t="s">
        <v>27</v>
      </c>
      <c r="AF48" s="7" t="s">
        <v>38</v>
      </c>
      <c r="AG48" s="7" t="s">
        <v>43</v>
      </c>
      <c r="AH48" s="7" t="s">
        <v>44</v>
      </c>
      <c r="AI48" s="7" t="s">
        <v>43</v>
      </c>
      <c r="AJ48" s="7" t="s">
        <v>43</v>
      </c>
    </row>
    <row r="49" spans="3:36" ht="18.600000000000001" x14ac:dyDescent="0.4">
      <c r="G49" s="5" t="s">
        <v>164</v>
      </c>
      <c r="H49" s="6" t="s">
        <v>165</v>
      </c>
      <c r="I49" s="5" t="s">
        <v>38</v>
      </c>
      <c r="J49" s="6" t="s">
        <v>65</v>
      </c>
      <c r="K49" s="5" t="s">
        <v>70</v>
      </c>
      <c r="L49" s="6">
        <v>470000</v>
      </c>
      <c r="O49" s="17" t="s">
        <v>207</v>
      </c>
      <c r="P49" s="5">
        <f t="shared" si="7"/>
        <v>11111</v>
      </c>
      <c r="Q49" s="5" t="str">
        <f t="shared" si="7"/>
        <v>Emp0345</v>
      </c>
      <c r="R49" s="5" t="str">
        <f t="shared" si="7"/>
        <v>Test Lead</v>
      </c>
      <c r="S49"/>
      <c r="T49"/>
      <c r="Y49" s="13" t="s">
        <v>165</v>
      </c>
      <c r="Z49" s="8" t="s">
        <v>166</v>
      </c>
      <c r="AC49" s="3" t="s">
        <v>7</v>
      </c>
      <c r="AD49" s="5" t="s">
        <v>16</v>
      </c>
      <c r="AE49" s="5" t="s">
        <v>28</v>
      </c>
      <c r="AF49" s="5" t="s">
        <v>39</v>
      </c>
      <c r="AG49" s="5" t="s">
        <v>45</v>
      </c>
      <c r="AH49" s="5" t="s">
        <v>48</v>
      </c>
      <c r="AI49" s="5" t="s">
        <v>48</v>
      </c>
      <c r="AJ49" s="5" t="s">
        <v>45</v>
      </c>
    </row>
    <row r="50" spans="3:36" ht="18.600000000000001" x14ac:dyDescent="0.4">
      <c r="C50" s="15"/>
      <c r="G50" s="5" t="s">
        <v>167</v>
      </c>
      <c r="H50" s="6" t="s">
        <v>168</v>
      </c>
      <c r="I50" s="5" t="s">
        <v>44</v>
      </c>
      <c r="J50" s="6" t="s">
        <v>28</v>
      </c>
      <c r="K50" s="5" t="s">
        <v>40</v>
      </c>
      <c r="L50" s="6">
        <v>214000</v>
      </c>
      <c r="O50"/>
      <c r="P50"/>
      <c r="Q50"/>
      <c r="R50"/>
      <c r="S50"/>
      <c r="T50"/>
      <c r="Y50" s="13" t="s">
        <v>168</v>
      </c>
      <c r="Z50" s="8" t="s">
        <v>169</v>
      </c>
      <c r="AC50" s="3" t="s">
        <v>8</v>
      </c>
      <c r="AD50" s="5" t="s">
        <v>17</v>
      </c>
      <c r="AE50" s="5" t="s">
        <v>17</v>
      </c>
      <c r="AF50" s="5" t="s">
        <v>40</v>
      </c>
      <c r="AG50" s="5" t="s">
        <v>17</v>
      </c>
      <c r="AH50" s="5" t="s">
        <v>40</v>
      </c>
      <c r="AI50" s="5" t="s">
        <v>50</v>
      </c>
      <c r="AJ50" s="5" t="s">
        <v>17</v>
      </c>
    </row>
    <row r="51" spans="3:36" ht="18.600000000000001" x14ac:dyDescent="0.4">
      <c r="G51" s="5" t="s">
        <v>170</v>
      </c>
      <c r="H51" s="6" t="s">
        <v>171</v>
      </c>
      <c r="I51" s="5" t="s">
        <v>43</v>
      </c>
      <c r="J51" s="6" t="s">
        <v>45</v>
      </c>
      <c r="K51" s="5" t="s">
        <v>50</v>
      </c>
      <c r="L51" s="6">
        <v>348000</v>
      </c>
      <c r="O51"/>
      <c r="P51"/>
      <c r="Q51"/>
      <c r="R51"/>
      <c r="S51"/>
      <c r="T51"/>
      <c r="Y51" s="13" t="s">
        <v>171</v>
      </c>
      <c r="Z51" s="8" t="s">
        <v>172</v>
      </c>
      <c r="AC51" s="3" t="s">
        <v>9</v>
      </c>
      <c r="AD51" s="5">
        <v>11111</v>
      </c>
      <c r="AE51" s="5">
        <v>22222</v>
      </c>
      <c r="AF51" s="5">
        <v>33333</v>
      </c>
      <c r="AG51" s="5">
        <v>44444</v>
      </c>
      <c r="AH51" s="5">
        <v>55555</v>
      </c>
      <c r="AI51" s="5">
        <v>312000</v>
      </c>
      <c r="AJ51" s="5">
        <v>402000</v>
      </c>
    </row>
    <row r="52" spans="3:36" ht="18.600000000000001" x14ac:dyDescent="0.4">
      <c r="D52" s="16"/>
      <c r="G52" s="5" t="s">
        <v>173</v>
      </c>
      <c r="H52" s="6" t="s">
        <v>174</v>
      </c>
      <c r="I52" s="5" t="s">
        <v>89</v>
      </c>
      <c r="J52" s="6" t="s">
        <v>28</v>
      </c>
      <c r="K52" s="5" t="s">
        <v>40</v>
      </c>
      <c r="L52" s="6">
        <v>286000</v>
      </c>
      <c r="S52"/>
      <c r="T52"/>
      <c r="Y52" s="13" t="s">
        <v>174</v>
      </c>
      <c r="Z52" s="8" t="s">
        <v>175</v>
      </c>
    </row>
    <row r="53" spans="3:36" ht="18.600000000000001" x14ac:dyDescent="0.4">
      <c r="G53" s="5" t="s">
        <v>176</v>
      </c>
      <c r="H53" s="6" t="s">
        <v>177</v>
      </c>
      <c r="I53" s="5" t="s">
        <v>43</v>
      </c>
      <c r="J53" s="6" t="s">
        <v>58</v>
      </c>
      <c r="K53" s="5" t="s">
        <v>50</v>
      </c>
      <c r="L53" s="6">
        <v>464000</v>
      </c>
      <c r="O53" s="2" t="s">
        <v>214</v>
      </c>
      <c r="Q53" s="4" t="s">
        <v>215</v>
      </c>
      <c r="S53"/>
      <c r="T53"/>
      <c r="Y53" s="13" t="s">
        <v>177</v>
      </c>
      <c r="Z53" s="8" t="s">
        <v>178</v>
      </c>
    </row>
    <row r="54" spans="3:36" ht="18.600000000000001" x14ac:dyDescent="0.4">
      <c r="G54" s="5" t="s">
        <v>179</v>
      </c>
      <c r="H54" s="6" t="s">
        <v>180</v>
      </c>
      <c r="I54" s="5" t="s">
        <v>15</v>
      </c>
      <c r="J54" s="6" t="s">
        <v>65</v>
      </c>
      <c r="K54" s="5" t="s">
        <v>17</v>
      </c>
      <c r="L54" s="6">
        <v>418000</v>
      </c>
      <c r="O54" s="2" t="s">
        <v>219</v>
      </c>
      <c r="P54" s="4" t="s">
        <v>1</v>
      </c>
      <c r="S54"/>
      <c r="T54"/>
      <c r="Y54" s="13" t="s">
        <v>180</v>
      </c>
      <c r="Z54" s="8" t="s">
        <v>181</v>
      </c>
    </row>
    <row r="55" spans="3:36" x14ac:dyDescent="0.35">
      <c r="G55" s="5" t="s">
        <v>182</v>
      </c>
      <c r="H55" s="6" t="s">
        <v>183</v>
      </c>
      <c r="I55" s="5" t="s">
        <v>15</v>
      </c>
      <c r="J55" s="6" t="s">
        <v>48</v>
      </c>
      <c r="K55" s="5" t="s">
        <v>70</v>
      </c>
      <c r="L55" s="6">
        <v>332000</v>
      </c>
      <c r="O55" s="3" t="s">
        <v>4</v>
      </c>
      <c r="P55" s="3" t="s">
        <v>223</v>
      </c>
      <c r="Q55" s="3" t="s">
        <v>11</v>
      </c>
      <c r="R55" s="3" t="s">
        <v>224</v>
      </c>
      <c r="Y55" s="13" t="s">
        <v>183</v>
      </c>
      <c r="Z55" s="8" t="s">
        <v>184</v>
      </c>
      <c r="AC55" s="3" t="s">
        <v>4</v>
      </c>
      <c r="AD55" s="3" t="s">
        <v>5</v>
      </c>
      <c r="AE55" s="3" t="s">
        <v>6</v>
      </c>
      <c r="AF55" s="3" t="s">
        <v>7</v>
      </c>
      <c r="AG55" s="3" t="s">
        <v>8</v>
      </c>
      <c r="AH55" s="3" t="s">
        <v>9</v>
      </c>
    </row>
    <row r="56" spans="3:36" ht="18.600000000000001" x14ac:dyDescent="0.4">
      <c r="G56" s="5" t="s">
        <v>185</v>
      </c>
      <c r="H56" s="6" t="s">
        <v>186</v>
      </c>
      <c r="I56" s="5" t="s">
        <v>44</v>
      </c>
      <c r="J56" s="6" t="s">
        <v>58</v>
      </c>
      <c r="K56" s="5" t="s">
        <v>50</v>
      </c>
      <c r="L56" s="6">
        <v>476000</v>
      </c>
      <c r="O56" s="17" t="s">
        <v>22</v>
      </c>
      <c r="P56" s="8"/>
      <c r="Q56" s="8"/>
      <c r="R56" s="8"/>
      <c r="S56"/>
      <c r="T56"/>
      <c r="U56"/>
      <c r="V56"/>
      <c r="W56"/>
      <c r="X56"/>
      <c r="Y56" s="13" t="s">
        <v>186</v>
      </c>
      <c r="Z56" s="8" t="s">
        <v>187</v>
      </c>
      <c r="AC56" s="5" t="s">
        <v>22</v>
      </c>
      <c r="AD56" s="8" t="str">
        <f>HLOOKUP($AC56,$AC$46:$AJ$51,2,FALSE)</f>
        <v>Emp0189</v>
      </c>
      <c r="AE56" s="8"/>
      <c r="AF56" s="8"/>
      <c r="AG56" s="8"/>
      <c r="AH56" s="8"/>
    </row>
    <row r="57" spans="3:36" ht="18.600000000000001" x14ac:dyDescent="0.4">
      <c r="G57" s="5" t="s">
        <v>188</v>
      </c>
      <c r="H57" s="6" t="s">
        <v>189</v>
      </c>
      <c r="I57" s="5" t="s">
        <v>43</v>
      </c>
      <c r="J57" s="6" t="s">
        <v>65</v>
      </c>
      <c r="K57" s="5" t="s">
        <v>40</v>
      </c>
      <c r="L57" s="6">
        <v>90000</v>
      </c>
      <c r="O57" s="17" t="s">
        <v>24</v>
      </c>
      <c r="P57" s="8"/>
      <c r="Q57" s="8"/>
      <c r="R57" s="8"/>
      <c r="S57"/>
      <c r="T57"/>
      <c r="U57"/>
      <c r="V57"/>
      <c r="W57"/>
      <c r="X57"/>
      <c r="Y57" s="13" t="s">
        <v>189</v>
      </c>
      <c r="Z57" s="8" t="s">
        <v>192</v>
      </c>
      <c r="AC57" s="5" t="s">
        <v>23</v>
      </c>
      <c r="AD57" s="8"/>
      <c r="AE57" s="8"/>
      <c r="AF57" s="8"/>
      <c r="AG57" s="8"/>
      <c r="AH57" s="8"/>
    </row>
    <row r="58" spans="3:36" ht="18.600000000000001" x14ac:dyDescent="0.4">
      <c r="G58" s="5" t="s">
        <v>193</v>
      </c>
      <c r="H58" s="6" t="s">
        <v>194</v>
      </c>
      <c r="I58" s="5" t="s">
        <v>43</v>
      </c>
      <c r="J58" s="6" t="s">
        <v>28</v>
      </c>
      <c r="K58" s="5" t="s">
        <v>40</v>
      </c>
      <c r="L58" s="6">
        <v>140000</v>
      </c>
      <c r="O58" s="17" t="s">
        <v>61</v>
      </c>
      <c r="P58" s="8"/>
      <c r="Q58" s="8"/>
      <c r="R58" s="8"/>
      <c r="S58"/>
      <c r="T58"/>
      <c r="U58"/>
      <c r="V58"/>
      <c r="W58"/>
      <c r="X58"/>
      <c r="Y58" s="13" t="s">
        <v>194</v>
      </c>
      <c r="Z58" s="8" t="s">
        <v>196</v>
      </c>
      <c r="AC58" s="5" t="s">
        <v>25</v>
      </c>
      <c r="AD58" s="8"/>
      <c r="AE58" s="8"/>
      <c r="AF58" s="8"/>
      <c r="AG58" s="8"/>
      <c r="AH58" s="8"/>
    </row>
    <row r="59" spans="3:36" ht="18.600000000000001" x14ac:dyDescent="0.4">
      <c r="G59" s="5" t="s">
        <v>197</v>
      </c>
      <c r="H59" s="6" t="s">
        <v>198</v>
      </c>
      <c r="I59" s="5" t="s">
        <v>43</v>
      </c>
      <c r="J59" s="6" t="s">
        <v>39</v>
      </c>
      <c r="K59" s="5" t="s">
        <v>70</v>
      </c>
      <c r="L59" s="6">
        <v>258000</v>
      </c>
      <c r="O59" s="17" t="s">
        <v>73</v>
      </c>
      <c r="P59" s="8"/>
      <c r="Q59" s="8"/>
      <c r="R59" s="8"/>
      <c r="S59"/>
      <c r="T59"/>
      <c r="U59"/>
      <c r="V59"/>
      <c r="W59"/>
      <c r="X59"/>
      <c r="Y59" s="13" t="s">
        <v>198</v>
      </c>
      <c r="Z59" s="8" t="s">
        <v>200</v>
      </c>
    </row>
    <row r="60" spans="3:36" ht="18.600000000000001" x14ac:dyDescent="0.4">
      <c r="G60" s="5" t="s">
        <v>201</v>
      </c>
      <c r="H60" s="6" t="s">
        <v>202</v>
      </c>
      <c r="I60" s="5" t="s">
        <v>96</v>
      </c>
      <c r="J60" s="6" t="s">
        <v>39</v>
      </c>
      <c r="K60" s="5" t="s">
        <v>17</v>
      </c>
      <c r="L60" s="6">
        <v>236000</v>
      </c>
      <c r="O60" s="17" t="s">
        <v>91</v>
      </c>
      <c r="P60" s="8"/>
      <c r="Q60" s="8"/>
      <c r="R60" s="8"/>
      <c r="S60"/>
      <c r="T60"/>
      <c r="U60"/>
      <c r="V60"/>
      <c r="W60"/>
      <c r="X60"/>
      <c r="Y60" s="13" t="s">
        <v>202</v>
      </c>
      <c r="Z60" s="8" t="s">
        <v>204</v>
      </c>
    </row>
    <row r="61" spans="3:36" ht="18.600000000000001" x14ac:dyDescent="0.4">
      <c r="G61" s="5" t="s">
        <v>205</v>
      </c>
      <c r="H61" s="6" t="s">
        <v>206</v>
      </c>
      <c r="I61" s="5" t="s">
        <v>89</v>
      </c>
      <c r="J61" s="6" t="s">
        <v>16</v>
      </c>
      <c r="K61" s="5" t="s">
        <v>17</v>
      </c>
      <c r="L61" s="6">
        <v>422000</v>
      </c>
      <c r="O61" s="17" t="s">
        <v>104</v>
      </c>
      <c r="P61" s="8"/>
      <c r="Q61" s="8"/>
      <c r="R61" s="8"/>
      <c r="S61"/>
      <c r="T61"/>
      <c r="U61"/>
      <c r="V61"/>
      <c r="W61"/>
      <c r="X61"/>
      <c r="Y61" s="13" t="s">
        <v>206</v>
      </c>
      <c r="Z61" s="8" t="s">
        <v>208</v>
      </c>
      <c r="AC61"/>
      <c r="AD61"/>
      <c r="AE61"/>
      <c r="AF61"/>
      <c r="AG61"/>
      <c r="AH61"/>
    </row>
    <row r="62" spans="3:36" ht="18.600000000000001" x14ac:dyDescent="0.4">
      <c r="G62" s="5" t="s">
        <v>209</v>
      </c>
      <c r="H62" s="6" t="s">
        <v>210</v>
      </c>
      <c r="I62" s="5" t="s">
        <v>38</v>
      </c>
      <c r="J62" s="6" t="s">
        <v>48</v>
      </c>
      <c r="K62" s="5" t="s">
        <v>50</v>
      </c>
      <c r="L62" s="6">
        <v>458000</v>
      </c>
      <c r="O62" s="17" t="s">
        <v>84</v>
      </c>
      <c r="P62" s="8"/>
      <c r="Q62" s="8"/>
      <c r="R62" s="8"/>
      <c r="S62"/>
      <c r="T62"/>
      <c r="U62"/>
      <c r="V62"/>
      <c r="W62"/>
      <c r="X62"/>
      <c r="Y62" s="13" t="s">
        <v>210</v>
      </c>
      <c r="Z62" s="8" t="s">
        <v>211</v>
      </c>
      <c r="AC62"/>
      <c r="AD62"/>
      <c r="AE62"/>
      <c r="AF62"/>
      <c r="AG62"/>
      <c r="AH62"/>
    </row>
    <row r="63" spans="3:36" ht="18.600000000000001" x14ac:dyDescent="0.4">
      <c r="G63" s="5" t="s">
        <v>212</v>
      </c>
      <c r="H63" s="6" t="s">
        <v>213</v>
      </c>
      <c r="I63" s="5" t="s">
        <v>43</v>
      </c>
      <c r="J63" s="6" t="s">
        <v>58</v>
      </c>
      <c r="K63" s="5" t="s">
        <v>50</v>
      </c>
      <c r="L63" s="6">
        <v>268000</v>
      </c>
      <c r="O63" s="17" t="s">
        <v>110</v>
      </c>
      <c r="P63" s="8"/>
      <c r="Q63" s="8"/>
      <c r="R63" s="8"/>
      <c r="S63"/>
      <c r="T63"/>
      <c r="U63"/>
      <c r="V63"/>
      <c r="W63"/>
      <c r="X63"/>
      <c r="Y63" s="13" t="s">
        <v>213</v>
      </c>
      <c r="Z63" s="8" t="s">
        <v>216</v>
      </c>
      <c r="AC63"/>
      <c r="AD63"/>
      <c r="AE63"/>
      <c r="AF63"/>
      <c r="AG63"/>
      <c r="AH63"/>
    </row>
    <row r="64" spans="3:36" ht="18.600000000000001" x14ac:dyDescent="0.4">
      <c r="G64" s="5" t="s">
        <v>217</v>
      </c>
      <c r="H64" s="6" t="s">
        <v>218</v>
      </c>
      <c r="I64" s="5" t="s">
        <v>44</v>
      </c>
      <c r="J64" s="6" t="s">
        <v>58</v>
      </c>
      <c r="K64" s="5" t="s">
        <v>40</v>
      </c>
      <c r="L64" s="6">
        <v>476000</v>
      </c>
      <c r="O64" s="17" t="s">
        <v>205</v>
      </c>
      <c r="P64" s="8"/>
      <c r="Q64" s="8"/>
      <c r="R64" s="8"/>
      <c r="S64"/>
      <c r="T64"/>
      <c r="U64"/>
      <c r="V64"/>
      <c r="W64"/>
      <c r="X64"/>
      <c r="Y64" s="13" t="s">
        <v>218</v>
      </c>
      <c r="Z64" s="8" t="s">
        <v>220</v>
      </c>
      <c r="AC64"/>
      <c r="AD64"/>
      <c r="AE64"/>
      <c r="AF64"/>
      <c r="AG64"/>
      <c r="AH64"/>
    </row>
    <row r="65" spans="7:26" ht="18.600000000000001" x14ac:dyDescent="0.4">
      <c r="G65" s="5" t="s">
        <v>221</v>
      </c>
      <c r="H65" s="6" t="s">
        <v>222</v>
      </c>
      <c r="I65" s="5" t="s">
        <v>89</v>
      </c>
      <c r="J65" s="6" t="s">
        <v>48</v>
      </c>
      <c r="K65" s="5" t="s">
        <v>70</v>
      </c>
      <c r="L65" s="6">
        <v>390000</v>
      </c>
      <c r="S65"/>
      <c r="T65"/>
      <c r="U65"/>
      <c r="V65"/>
      <c r="W65"/>
      <c r="X65"/>
      <c r="Y65" s="13" t="s">
        <v>222</v>
      </c>
      <c r="Z65" s="8" t="s">
        <v>225</v>
      </c>
    </row>
    <row r="66" spans="7:26" ht="18.600000000000001" x14ac:dyDescent="0.4">
      <c r="G66" s="5" t="s">
        <v>226</v>
      </c>
      <c r="H66" s="6" t="s">
        <v>227</v>
      </c>
      <c r="I66" s="5" t="s">
        <v>38</v>
      </c>
      <c r="J66" s="6" t="s">
        <v>28</v>
      </c>
      <c r="K66" s="5" t="s">
        <v>50</v>
      </c>
      <c r="L66" s="6">
        <v>378000</v>
      </c>
      <c r="S66"/>
      <c r="T66"/>
      <c r="U66"/>
      <c r="V66"/>
      <c r="W66"/>
      <c r="X66"/>
      <c r="Y66" s="13" t="s">
        <v>227</v>
      </c>
      <c r="Z66" s="8" t="s">
        <v>228</v>
      </c>
    </row>
    <row r="67" spans="7:26" ht="18.600000000000001" x14ac:dyDescent="0.4">
      <c r="G67" s="5" t="s">
        <v>229</v>
      </c>
      <c r="H67" s="6" t="s">
        <v>230</v>
      </c>
      <c r="I67" s="5" t="s">
        <v>89</v>
      </c>
      <c r="J67" s="6" t="s">
        <v>65</v>
      </c>
      <c r="K67" s="5" t="s">
        <v>40</v>
      </c>
      <c r="L67" s="6">
        <v>142000</v>
      </c>
      <c r="S67"/>
      <c r="T67"/>
      <c r="U67"/>
      <c r="Y67" s="13" t="s">
        <v>230</v>
      </c>
      <c r="Z67" s="8" t="s">
        <v>231</v>
      </c>
    </row>
    <row r="68" spans="7:26" ht="18.600000000000001" x14ac:dyDescent="0.4">
      <c r="G68" s="5" t="s">
        <v>232</v>
      </c>
      <c r="H68" s="6" t="s">
        <v>233</v>
      </c>
      <c r="I68" s="5" t="s">
        <v>96</v>
      </c>
      <c r="J68" s="6" t="s">
        <v>28</v>
      </c>
      <c r="K68" s="5" t="s">
        <v>17</v>
      </c>
      <c r="L68" s="6">
        <v>176000</v>
      </c>
      <c r="S68"/>
      <c r="T68"/>
      <c r="U68"/>
      <c r="Y68" s="13" t="s">
        <v>233</v>
      </c>
      <c r="Z68" s="8" t="s">
        <v>234</v>
      </c>
    </row>
    <row r="69" spans="7:26" ht="18.600000000000001" x14ac:dyDescent="0.4">
      <c r="G69" s="5" t="s">
        <v>235</v>
      </c>
      <c r="H69" s="6" t="s">
        <v>236</v>
      </c>
      <c r="I69" s="5" t="s">
        <v>89</v>
      </c>
      <c r="J69" s="6" t="s">
        <v>45</v>
      </c>
      <c r="K69" s="5" t="s">
        <v>70</v>
      </c>
      <c r="L69" s="6">
        <v>390000</v>
      </c>
      <c r="S69"/>
      <c r="T69"/>
      <c r="U69"/>
      <c r="Y69" s="13" t="s">
        <v>236</v>
      </c>
      <c r="Z69" s="8" t="s">
        <v>237</v>
      </c>
    </row>
    <row r="70" spans="7:26" ht="18.600000000000001" x14ac:dyDescent="0.4">
      <c r="G70" s="5" t="s">
        <v>238</v>
      </c>
      <c r="H70" s="6" t="s">
        <v>239</v>
      </c>
      <c r="I70" s="5" t="s">
        <v>15</v>
      </c>
      <c r="J70" s="6" t="s">
        <v>39</v>
      </c>
      <c r="K70" s="5" t="s">
        <v>50</v>
      </c>
      <c r="L70" s="6">
        <v>408000</v>
      </c>
      <c r="S70"/>
      <c r="T70"/>
      <c r="U70"/>
      <c r="Y70" s="13" t="s">
        <v>239</v>
      </c>
      <c r="Z70" s="8" t="s">
        <v>240</v>
      </c>
    </row>
    <row r="71" spans="7:26" ht="18.600000000000001" x14ac:dyDescent="0.4">
      <c r="G71" s="5" t="s">
        <v>241</v>
      </c>
      <c r="H71" s="6" t="s">
        <v>242</v>
      </c>
      <c r="I71" s="5" t="s">
        <v>96</v>
      </c>
      <c r="J71" s="6" t="s">
        <v>65</v>
      </c>
      <c r="K71" s="5" t="s">
        <v>17</v>
      </c>
      <c r="L71" s="6">
        <v>390000</v>
      </c>
      <c r="S71"/>
      <c r="T71"/>
      <c r="U71"/>
      <c r="Y71" s="13" t="s">
        <v>242</v>
      </c>
      <c r="Z71" s="8" t="s">
        <v>243</v>
      </c>
    </row>
    <row r="72" spans="7:26" ht="18.600000000000001" x14ac:dyDescent="0.4">
      <c r="G72" s="5" t="s">
        <v>244</v>
      </c>
      <c r="H72" s="6" t="s">
        <v>245</v>
      </c>
      <c r="I72" s="5" t="s">
        <v>89</v>
      </c>
      <c r="J72" s="6" t="s">
        <v>28</v>
      </c>
      <c r="K72" s="5" t="s">
        <v>40</v>
      </c>
      <c r="L72" s="6">
        <v>272000</v>
      </c>
      <c r="S72"/>
      <c r="T72"/>
      <c r="U72"/>
      <c r="Y72" s="13" t="s">
        <v>245</v>
      </c>
      <c r="Z72" s="8" t="s">
        <v>246</v>
      </c>
    </row>
    <row r="73" spans="7:26" ht="18.600000000000001" x14ac:dyDescent="0.4">
      <c r="G73" s="5" t="s">
        <v>247</v>
      </c>
      <c r="H73" s="6" t="s">
        <v>248</v>
      </c>
      <c r="I73" s="5" t="s">
        <v>44</v>
      </c>
      <c r="J73" s="6" t="s">
        <v>65</v>
      </c>
      <c r="K73" s="5" t="s">
        <v>40</v>
      </c>
      <c r="L73" s="6">
        <v>500000</v>
      </c>
      <c r="S73"/>
      <c r="T73"/>
      <c r="U73"/>
      <c r="Y73" s="13" t="s">
        <v>248</v>
      </c>
      <c r="Z73" s="8" t="s">
        <v>249</v>
      </c>
    </row>
    <row r="74" spans="7:26" x14ac:dyDescent="0.35">
      <c r="G74" s="5" t="s">
        <v>250</v>
      </c>
      <c r="H74" s="6" t="s">
        <v>251</v>
      </c>
      <c r="I74" s="5" t="s">
        <v>43</v>
      </c>
      <c r="J74" s="6" t="s">
        <v>28</v>
      </c>
      <c r="K74" s="5" t="s">
        <v>70</v>
      </c>
      <c r="L74" s="6">
        <v>148000</v>
      </c>
      <c r="Y74" s="13" t="s">
        <v>251</v>
      </c>
      <c r="Z74" s="8" t="s">
        <v>252</v>
      </c>
    </row>
    <row r="75" spans="7:26" x14ac:dyDescent="0.35">
      <c r="G75" s="5" t="s">
        <v>253</v>
      </c>
      <c r="H75" s="6" t="s">
        <v>254</v>
      </c>
      <c r="I75" s="5" t="s">
        <v>15</v>
      </c>
      <c r="J75" s="6" t="s">
        <v>28</v>
      </c>
      <c r="K75" s="5" t="s">
        <v>40</v>
      </c>
      <c r="L75" s="6">
        <v>98000</v>
      </c>
      <c r="Y75" s="13" t="s">
        <v>254</v>
      </c>
      <c r="Z75" s="8" t="s">
        <v>255</v>
      </c>
    </row>
    <row r="76" spans="7:26" x14ac:dyDescent="0.35">
      <c r="G76" s="5" t="s">
        <v>256</v>
      </c>
      <c r="H76" s="6" t="s">
        <v>257</v>
      </c>
      <c r="I76" s="5" t="s">
        <v>89</v>
      </c>
      <c r="J76" s="6" t="s">
        <v>65</v>
      </c>
      <c r="K76" s="5" t="s">
        <v>50</v>
      </c>
      <c r="L76" s="6">
        <v>154000</v>
      </c>
      <c r="Y76" s="13" t="s">
        <v>257</v>
      </c>
      <c r="Z76" s="8" t="s">
        <v>258</v>
      </c>
    </row>
    <row r="77" spans="7:26" x14ac:dyDescent="0.35">
      <c r="G77" s="5" t="s">
        <v>259</v>
      </c>
      <c r="H77" s="6" t="s">
        <v>260</v>
      </c>
      <c r="I77" s="5" t="s">
        <v>96</v>
      </c>
      <c r="J77" s="6" t="s">
        <v>45</v>
      </c>
      <c r="K77" s="5" t="s">
        <v>50</v>
      </c>
      <c r="L77" s="6">
        <v>192000</v>
      </c>
      <c r="Y77" s="13" t="s">
        <v>260</v>
      </c>
      <c r="Z77" s="8" t="s">
        <v>261</v>
      </c>
    </row>
    <row r="78" spans="7:26" x14ac:dyDescent="0.35">
      <c r="G78" s="5" t="s">
        <v>262</v>
      </c>
      <c r="H78" s="6" t="s">
        <v>263</v>
      </c>
      <c r="I78" s="5" t="s">
        <v>89</v>
      </c>
      <c r="J78" s="6" t="s">
        <v>28</v>
      </c>
      <c r="K78" s="5" t="s">
        <v>50</v>
      </c>
      <c r="L78" s="6">
        <v>220000</v>
      </c>
      <c r="O78" s="18" t="s">
        <v>264</v>
      </c>
      <c r="Y78" s="13" t="s">
        <v>263</v>
      </c>
      <c r="Z78" s="8" t="s">
        <v>265</v>
      </c>
    </row>
    <row r="79" spans="7:26" x14ac:dyDescent="0.35">
      <c r="G79" s="5" t="s">
        <v>266</v>
      </c>
      <c r="H79" s="6" t="s">
        <v>267</v>
      </c>
      <c r="I79" s="5" t="s">
        <v>38</v>
      </c>
      <c r="J79" s="6" t="s">
        <v>16</v>
      </c>
      <c r="K79" s="5" t="s">
        <v>40</v>
      </c>
      <c r="L79" s="6">
        <v>376000</v>
      </c>
      <c r="O79" s="3" t="s">
        <v>223</v>
      </c>
      <c r="P79" s="3" t="s">
        <v>9</v>
      </c>
      <c r="Q79" s="3" t="s">
        <v>4</v>
      </c>
      <c r="R79" s="3" t="s">
        <v>7</v>
      </c>
      <c r="Y79" s="13" t="s">
        <v>267</v>
      </c>
      <c r="Z79" s="8" t="s">
        <v>268</v>
      </c>
    </row>
    <row r="80" spans="7:26" x14ac:dyDescent="0.35">
      <c r="G80" s="5" t="s">
        <v>269</v>
      </c>
      <c r="H80" s="6" t="s">
        <v>270</v>
      </c>
      <c r="I80" s="5" t="s">
        <v>15</v>
      </c>
      <c r="J80" s="6" t="s">
        <v>16</v>
      </c>
      <c r="K80" s="5" t="s">
        <v>70</v>
      </c>
      <c r="L80" s="6">
        <v>334000</v>
      </c>
      <c r="O80" s="17" t="s">
        <v>33</v>
      </c>
      <c r="P80" s="8"/>
      <c r="Q80" s="8"/>
      <c r="R80" s="8"/>
      <c r="Y80" s="13" t="s">
        <v>270</v>
      </c>
      <c r="Z80" s="8" t="s">
        <v>271</v>
      </c>
    </row>
    <row r="81" spans="7:26" x14ac:dyDescent="0.35">
      <c r="G81" s="5" t="s">
        <v>272</v>
      </c>
      <c r="H81" s="6" t="s">
        <v>273</v>
      </c>
      <c r="I81" s="5" t="s">
        <v>96</v>
      </c>
      <c r="J81" s="6" t="s">
        <v>58</v>
      </c>
      <c r="K81" s="5" t="s">
        <v>17</v>
      </c>
      <c r="L81" s="6">
        <v>176000</v>
      </c>
      <c r="O81" s="17" t="s">
        <v>35</v>
      </c>
      <c r="P81" s="8">
        <f t="shared" ref="P81:R83" si="8">INDEX($G$9:$L$359,MATCH($O80,$H$9:$H$359,0),MATCH(P$79,$G$8:$L$8,0))</f>
        <v>44444</v>
      </c>
      <c r="Q81" s="8" t="str">
        <f t="shared" si="8"/>
        <v>Anil Biradar</v>
      </c>
      <c r="R81" s="8" t="str">
        <f t="shared" si="8"/>
        <v>Manager</v>
      </c>
      <c r="Y81" s="13" t="s">
        <v>273</v>
      </c>
      <c r="Z81" s="8" t="s">
        <v>274</v>
      </c>
    </row>
    <row r="82" spans="7:26" x14ac:dyDescent="0.35">
      <c r="G82" s="5" t="s">
        <v>275</v>
      </c>
      <c r="H82" s="6" t="s">
        <v>276</v>
      </c>
      <c r="I82" s="5" t="s">
        <v>43</v>
      </c>
      <c r="J82" s="6" t="s">
        <v>45</v>
      </c>
      <c r="K82" s="5" t="s">
        <v>70</v>
      </c>
      <c r="L82" s="6">
        <v>226000</v>
      </c>
      <c r="O82" s="17" t="s">
        <v>62</v>
      </c>
      <c r="P82" s="8">
        <f t="shared" si="8"/>
        <v>312000</v>
      </c>
      <c r="Q82" s="8" t="str">
        <f t="shared" si="8"/>
        <v>Arun KashaBoina</v>
      </c>
      <c r="R82" s="8" t="str">
        <f t="shared" si="8"/>
        <v>Dev Lead</v>
      </c>
      <c r="Y82" s="13" t="s">
        <v>276</v>
      </c>
      <c r="Z82" s="8" t="s">
        <v>277</v>
      </c>
    </row>
    <row r="83" spans="7:26" x14ac:dyDescent="0.35">
      <c r="G83" s="5" t="s">
        <v>278</v>
      </c>
      <c r="H83" s="6" t="s">
        <v>279</v>
      </c>
      <c r="I83" s="5" t="s">
        <v>44</v>
      </c>
      <c r="J83" s="6" t="s">
        <v>39</v>
      </c>
      <c r="K83" s="5" t="s">
        <v>40</v>
      </c>
      <c r="L83" s="6">
        <v>236000</v>
      </c>
      <c r="O83" s="17" t="s">
        <v>55</v>
      </c>
      <c r="P83" s="8">
        <f t="shared" si="8"/>
        <v>264000</v>
      </c>
      <c r="Q83" s="8" t="str">
        <f t="shared" si="8"/>
        <v>Ashish Pal Singh</v>
      </c>
      <c r="R83" s="8" t="str">
        <f t="shared" si="8"/>
        <v>Dev Lead</v>
      </c>
      <c r="Y83" s="13" t="s">
        <v>279</v>
      </c>
      <c r="Z83" s="8" t="s">
        <v>280</v>
      </c>
    </row>
    <row r="84" spans="7:26" x14ac:dyDescent="0.35">
      <c r="G84" s="5" t="s">
        <v>281</v>
      </c>
      <c r="H84" s="6" t="s">
        <v>282</v>
      </c>
      <c r="I84" s="5" t="s">
        <v>89</v>
      </c>
      <c r="J84" s="6" t="s">
        <v>45</v>
      </c>
      <c r="K84" s="5" t="s">
        <v>40</v>
      </c>
      <c r="L84" s="6">
        <v>392000</v>
      </c>
      <c r="Y84" s="13" t="s">
        <v>282</v>
      </c>
      <c r="Z84" s="8" t="s">
        <v>283</v>
      </c>
    </row>
    <row r="85" spans="7:26" x14ac:dyDescent="0.35">
      <c r="G85" s="5" t="s">
        <v>284</v>
      </c>
      <c r="H85" s="6" t="s">
        <v>285</v>
      </c>
      <c r="I85" s="5" t="s">
        <v>43</v>
      </c>
      <c r="J85" s="6" t="s">
        <v>39</v>
      </c>
      <c r="K85" s="5" t="s">
        <v>70</v>
      </c>
      <c r="L85" s="6">
        <v>128000</v>
      </c>
      <c r="Q85" s="19"/>
      <c r="Y85" s="13" t="s">
        <v>285</v>
      </c>
      <c r="Z85" s="8" t="s">
        <v>286</v>
      </c>
    </row>
    <row r="86" spans="7:26" ht="18.600000000000001" x14ac:dyDescent="0.4">
      <c r="G86" s="5" t="s">
        <v>287</v>
      </c>
      <c r="H86" s="6" t="s">
        <v>288</v>
      </c>
      <c r="I86" s="5" t="s">
        <v>15</v>
      </c>
      <c r="J86" s="6" t="s">
        <v>58</v>
      </c>
      <c r="K86" s="5" t="s">
        <v>17</v>
      </c>
      <c r="L86" s="6">
        <v>274000</v>
      </c>
      <c r="O86"/>
      <c r="P86"/>
      <c r="Q86" s="19"/>
      <c r="R86" s="19"/>
      <c r="S86" s="19"/>
      <c r="T86" s="19"/>
      <c r="Y86" s="13" t="s">
        <v>288</v>
      </c>
      <c r="Z86" s="8" t="s">
        <v>289</v>
      </c>
    </row>
    <row r="87" spans="7:26" ht="18.600000000000001" x14ac:dyDescent="0.4">
      <c r="G87" s="5" t="s">
        <v>290</v>
      </c>
      <c r="H87" s="6" t="s">
        <v>291</v>
      </c>
      <c r="I87" s="5" t="s">
        <v>43</v>
      </c>
      <c r="J87" s="6" t="s">
        <v>28</v>
      </c>
      <c r="K87" s="5" t="s">
        <v>50</v>
      </c>
      <c r="L87" s="6">
        <v>222000</v>
      </c>
      <c r="O87"/>
      <c r="P87"/>
      <c r="Q87" s="19"/>
      <c r="R87" s="19"/>
      <c r="S87" s="19"/>
      <c r="T87" s="19"/>
      <c r="Y87" s="13" t="s">
        <v>291</v>
      </c>
      <c r="Z87" s="8" t="s">
        <v>292</v>
      </c>
    </row>
    <row r="88" spans="7:26" ht="18.600000000000001" x14ac:dyDescent="0.4">
      <c r="G88" s="5" t="s">
        <v>293</v>
      </c>
      <c r="H88" s="6" t="s">
        <v>294</v>
      </c>
      <c r="I88" s="5" t="s">
        <v>44</v>
      </c>
      <c r="J88" s="6" t="s">
        <v>39</v>
      </c>
      <c r="K88" s="5" t="s">
        <v>40</v>
      </c>
      <c r="L88" s="6">
        <v>108000</v>
      </c>
      <c r="O88"/>
      <c r="P88"/>
      <c r="Q88" s="19"/>
      <c r="R88" s="19"/>
      <c r="S88" s="19"/>
      <c r="T88" s="19"/>
      <c r="Y88" s="13" t="s">
        <v>294</v>
      </c>
      <c r="Z88" s="8" t="s">
        <v>295</v>
      </c>
    </row>
    <row r="89" spans="7:26" ht="18.600000000000001" x14ac:dyDescent="0.4">
      <c r="G89" s="5" t="s">
        <v>296</v>
      </c>
      <c r="H89" s="6" t="s">
        <v>297</v>
      </c>
      <c r="I89" s="5" t="s">
        <v>89</v>
      </c>
      <c r="J89" s="6" t="s">
        <v>58</v>
      </c>
      <c r="K89" s="5" t="s">
        <v>50</v>
      </c>
      <c r="L89" s="6">
        <v>254000</v>
      </c>
      <c r="O89"/>
      <c r="P89"/>
      <c r="Q89" s="19"/>
      <c r="R89" s="19"/>
      <c r="S89" s="19"/>
      <c r="T89" s="19"/>
      <c r="Y89" s="13" t="s">
        <v>297</v>
      </c>
      <c r="Z89" s="8" t="s">
        <v>298</v>
      </c>
    </row>
    <row r="90" spans="7:26" ht="18.600000000000001" x14ac:dyDescent="0.4">
      <c r="G90" s="5" t="s">
        <v>299</v>
      </c>
      <c r="H90" s="6" t="s">
        <v>300</v>
      </c>
      <c r="I90" s="5" t="s">
        <v>96</v>
      </c>
      <c r="J90" s="6" t="s">
        <v>65</v>
      </c>
      <c r="K90" s="5" t="s">
        <v>70</v>
      </c>
      <c r="L90" s="6">
        <v>460000</v>
      </c>
      <c r="O90"/>
      <c r="P90"/>
      <c r="Q90" s="19"/>
      <c r="R90" s="19"/>
      <c r="S90" s="19"/>
      <c r="T90" s="19"/>
      <c r="Y90" s="13" t="s">
        <v>300</v>
      </c>
      <c r="Z90" s="8" t="s">
        <v>301</v>
      </c>
    </row>
    <row r="91" spans="7:26" ht="18.600000000000001" x14ac:dyDescent="0.4">
      <c r="G91" s="5" t="s">
        <v>302</v>
      </c>
      <c r="H91" s="6" t="s">
        <v>303</v>
      </c>
      <c r="I91" s="5" t="s">
        <v>89</v>
      </c>
      <c r="J91" s="6" t="s">
        <v>16</v>
      </c>
      <c r="K91" s="5" t="s">
        <v>40</v>
      </c>
      <c r="L91" s="6">
        <v>250000</v>
      </c>
      <c r="O91"/>
      <c r="P91"/>
      <c r="Q91" s="19"/>
      <c r="R91" s="19"/>
      <c r="S91" s="19"/>
      <c r="T91" s="19"/>
      <c r="Y91" s="13" t="s">
        <v>303</v>
      </c>
      <c r="Z91" s="8" t="s">
        <v>304</v>
      </c>
    </row>
    <row r="92" spans="7:26" ht="18.600000000000001" x14ac:dyDescent="0.4">
      <c r="G92" s="5" t="s">
        <v>305</v>
      </c>
      <c r="H92" s="6" t="s">
        <v>306</v>
      </c>
      <c r="I92" s="5" t="s">
        <v>27</v>
      </c>
      <c r="J92" s="6" t="s">
        <v>16</v>
      </c>
      <c r="K92" s="5" t="s">
        <v>40</v>
      </c>
      <c r="L92" s="6">
        <v>482000</v>
      </c>
      <c r="O92"/>
      <c r="P92"/>
      <c r="Q92" s="19"/>
      <c r="R92" s="19"/>
      <c r="S92" s="19"/>
      <c r="T92" s="19"/>
      <c r="Y92" s="13" t="s">
        <v>306</v>
      </c>
      <c r="Z92" s="8" t="s">
        <v>307</v>
      </c>
    </row>
    <row r="93" spans="7:26" ht="18.600000000000001" x14ac:dyDescent="0.4">
      <c r="G93" s="5" t="s">
        <v>308</v>
      </c>
      <c r="H93" s="6" t="s">
        <v>309</v>
      </c>
      <c r="I93" s="5" t="s">
        <v>27</v>
      </c>
      <c r="J93" s="6" t="s">
        <v>16</v>
      </c>
      <c r="K93" s="5" t="s">
        <v>50</v>
      </c>
      <c r="L93" s="6">
        <v>344000</v>
      </c>
      <c r="O93"/>
      <c r="P93"/>
      <c r="Q93" s="19"/>
      <c r="R93" s="19"/>
      <c r="S93" s="19"/>
      <c r="T93" s="19"/>
      <c r="Y93" s="13" t="s">
        <v>309</v>
      </c>
      <c r="Z93" s="8" t="s">
        <v>310</v>
      </c>
    </row>
    <row r="94" spans="7:26" x14ac:dyDescent="0.35">
      <c r="G94" s="5" t="s">
        <v>311</v>
      </c>
      <c r="H94" s="6" t="s">
        <v>312</v>
      </c>
      <c r="I94" s="5" t="s">
        <v>89</v>
      </c>
      <c r="J94" s="6" t="s">
        <v>58</v>
      </c>
      <c r="K94" s="5" t="s">
        <v>17</v>
      </c>
      <c r="L94" s="6">
        <v>220000</v>
      </c>
      <c r="O94" s="19"/>
      <c r="P94" s="19"/>
      <c r="Q94" s="19"/>
      <c r="R94" s="19"/>
      <c r="S94" s="19"/>
      <c r="T94" s="19"/>
      <c r="Y94" s="13" t="s">
        <v>312</v>
      </c>
      <c r="Z94" s="8" t="s">
        <v>313</v>
      </c>
    </row>
    <row r="95" spans="7:26" x14ac:dyDescent="0.35">
      <c r="G95" s="5" t="s">
        <v>314</v>
      </c>
      <c r="H95" s="6" t="s">
        <v>315</v>
      </c>
      <c r="I95" s="5" t="s">
        <v>44</v>
      </c>
      <c r="J95" s="6" t="s">
        <v>39</v>
      </c>
      <c r="K95" s="5" t="s">
        <v>40</v>
      </c>
      <c r="L95" s="6">
        <v>70000</v>
      </c>
      <c r="O95" s="19"/>
      <c r="P95" s="19"/>
      <c r="R95" s="19"/>
      <c r="S95" s="19"/>
      <c r="T95" s="19"/>
      <c r="Y95" s="13" t="s">
        <v>315</v>
      </c>
      <c r="Z95" s="8" t="s">
        <v>316</v>
      </c>
    </row>
    <row r="96" spans="7:26" x14ac:dyDescent="0.35">
      <c r="G96" s="5" t="s">
        <v>317</v>
      </c>
      <c r="H96" s="6" t="s">
        <v>318</v>
      </c>
      <c r="I96" s="5" t="s">
        <v>44</v>
      </c>
      <c r="J96" s="6" t="s">
        <v>39</v>
      </c>
      <c r="K96" s="5" t="s">
        <v>17</v>
      </c>
      <c r="L96" s="6">
        <v>224000</v>
      </c>
      <c r="Y96" s="13" t="s">
        <v>318</v>
      </c>
      <c r="Z96" s="8" t="s">
        <v>319</v>
      </c>
    </row>
    <row r="97" spans="7:26" x14ac:dyDescent="0.35">
      <c r="G97" s="5" t="s">
        <v>320</v>
      </c>
      <c r="H97" s="6" t="s">
        <v>321</v>
      </c>
      <c r="I97" s="5" t="s">
        <v>15</v>
      </c>
      <c r="J97" s="6" t="s">
        <v>45</v>
      </c>
      <c r="K97" s="5" t="s">
        <v>70</v>
      </c>
      <c r="L97" s="6">
        <v>466000</v>
      </c>
      <c r="Y97" s="13" t="s">
        <v>321</v>
      </c>
      <c r="Z97" s="8" t="s">
        <v>322</v>
      </c>
    </row>
    <row r="98" spans="7:26" x14ac:dyDescent="0.35">
      <c r="G98" s="5" t="s">
        <v>323</v>
      </c>
      <c r="H98" s="6" t="s">
        <v>324</v>
      </c>
      <c r="I98" s="5" t="s">
        <v>43</v>
      </c>
      <c r="J98" s="6" t="s">
        <v>28</v>
      </c>
      <c r="K98" s="5" t="s">
        <v>70</v>
      </c>
      <c r="L98" s="6">
        <v>388000</v>
      </c>
      <c r="Y98" s="13" t="s">
        <v>324</v>
      </c>
      <c r="Z98" s="8" t="s">
        <v>325</v>
      </c>
    </row>
    <row r="99" spans="7:26" x14ac:dyDescent="0.35">
      <c r="G99" s="5" t="s">
        <v>326</v>
      </c>
      <c r="H99" s="6" t="s">
        <v>327</v>
      </c>
      <c r="I99" s="5" t="s">
        <v>15</v>
      </c>
      <c r="J99" s="6" t="s">
        <v>48</v>
      </c>
      <c r="K99" s="5" t="s">
        <v>17</v>
      </c>
      <c r="L99" s="6">
        <v>474000</v>
      </c>
      <c r="Y99" s="13" t="s">
        <v>327</v>
      </c>
      <c r="Z99" s="8" t="s">
        <v>328</v>
      </c>
    </row>
    <row r="100" spans="7:26" x14ac:dyDescent="0.35">
      <c r="G100" s="5" t="s">
        <v>329</v>
      </c>
      <c r="H100" s="6" t="s">
        <v>330</v>
      </c>
      <c r="I100" s="5" t="s">
        <v>96</v>
      </c>
      <c r="J100" s="6" t="s">
        <v>28</v>
      </c>
      <c r="K100" s="5" t="s">
        <v>40</v>
      </c>
      <c r="L100" s="6">
        <v>388000</v>
      </c>
      <c r="Y100" s="13" t="s">
        <v>330</v>
      </c>
      <c r="Z100" s="8" t="s">
        <v>331</v>
      </c>
    </row>
    <row r="101" spans="7:26" x14ac:dyDescent="0.35">
      <c r="G101" s="5" t="s">
        <v>332</v>
      </c>
      <c r="H101" s="6" t="s">
        <v>333</v>
      </c>
      <c r="I101" s="5" t="s">
        <v>15</v>
      </c>
      <c r="J101" s="6" t="s">
        <v>48</v>
      </c>
      <c r="K101" s="5" t="s">
        <v>17</v>
      </c>
      <c r="L101" s="6">
        <v>40000</v>
      </c>
      <c r="Y101" s="13" t="s">
        <v>333</v>
      </c>
      <c r="Z101" s="8" t="s">
        <v>334</v>
      </c>
    </row>
    <row r="102" spans="7:26" x14ac:dyDescent="0.35">
      <c r="G102" s="5" t="s">
        <v>335</v>
      </c>
      <c r="H102" s="6" t="s">
        <v>336</v>
      </c>
      <c r="I102" s="5" t="s">
        <v>89</v>
      </c>
      <c r="J102" s="6" t="s">
        <v>65</v>
      </c>
      <c r="K102" s="5" t="s">
        <v>17</v>
      </c>
      <c r="L102" s="6">
        <v>52000</v>
      </c>
      <c r="Y102" s="13" t="s">
        <v>336</v>
      </c>
      <c r="Z102" s="8" t="s">
        <v>337</v>
      </c>
    </row>
    <row r="103" spans="7:26" x14ac:dyDescent="0.35">
      <c r="G103" s="5" t="s">
        <v>338</v>
      </c>
      <c r="H103" s="6" t="s">
        <v>339</v>
      </c>
      <c r="I103" s="5" t="s">
        <v>89</v>
      </c>
      <c r="J103" s="6" t="s">
        <v>28</v>
      </c>
      <c r="K103" s="5" t="s">
        <v>17</v>
      </c>
      <c r="L103" s="6">
        <v>340000</v>
      </c>
      <c r="Y103" s="13" t="s">
        <v>339</v>
      </c>
      <c r="Z103" s="8" t="s">
        <v>340</v>
      </c>
    </row>
    <row r="104" spans="7:26" x14ac:dyDescent="0.35">
      <c r="G104" s="5" t="s">
        <v>341</v>
      </c>
      <c r="H104" s="6" t="s">
        <v>342</v>
      </c>
      <c r="I104" s="5" t="s">
        <v>43</v>
      </c>
      <c r="J104" s="6" t="s">
        <v>48</v>
      </c>
      <c r="K104" s="5" t="s">
        <v>50</v>
      </c>
      <c r="L104" s="6">
        <v>34000</v>
      </c>
      <c r="Y104" s="13" t="s">
        <v>342</v>
      </c>
      <c r="Z104" s="8" t="s">
        <v>343</v>
      </c>
    </row>
    <row r="105" spans="7:26" x14ac:dyDescent="0.35">
      <c r="G105" s="5" t="s">
        <v>344</v>
      </c>
      <c r="H105" s="6" t="s">
        <v>345</v>
      </c>
      <c r="I105" s="5" t="s">
        <v>43</v>
      </c>
      <c r="J105" s="6" t="s">
        <v>16</v>
      </c>
      <c r="K105" s="5" t="s">
        <v>50</v>
      </c>
      <c r="L105" s="6">
        <v>60000</v>
      </c>
      <c r="Y105" s="13" t="s">
        <v>345</v>
      </c>
      <c r="Z105" s="8" t="s">
        <v>346</v>
      </c>
    </row>
    <row r="106" spans="7:26" x14ac:dyDescent="0.35">
      <c r="G106" s="5" t="s">
        <v>347</v>
      </c>
      <c r="H106" s="6" t="s">
        <v>348</v>
      </c>
      <c r="I106" s="5" t="s">
        <v>38</v>
      </c>
      <c r="J106" s="6" t="s">
        <v>39</v>
      </c>
      <c r="K106" s="5" t="s">
        <v>70</v>
      </c>
      <c r="L106" s="6">
        <v>52000</v>
      </c>
      <c r="Y106" s="13" t="s">
        <v>348</v>
      </c>
      <c r="Z106" s="8" t="s">
        <v>349</v>
      </c>
    </row>
    <row r="107" spans="7:26" x14ac:dyDescent="0.35">
      <c r="G107" s="5" t="s">
        <v>350</v>
      </c>
      <c r="H107" s="6" t="s">
        <v>351</v>
      </c>
      <c r="I107" s="5" t="s">
        <v>27</v>
      </c>
      <c r="J107" s="6" t="s">
        <v>16</v>
      </c>
      <c r="K107" s="5" t="s">
        <v>70</v>
      </c>
      <c r="L107" s="6">
        <v>432000</v>
      </c>
      <c r="Y107" s="13" t="s">
        <v>351</v>
      </c>
      <c r="Z107" s="8" t="s">
        <v>352</v>
      </c>
    </row>
    <row r="108" spans="7:26" x14ac:dyDescent="0.35">
      <c r="G108" s="5" t="s">
        <v>353</v>
      </c>
      <c r="H108" s="6" t="s">
        <v>354</v>
      </c>
      <c r="I108" s="5" t="s">
        <v>27</v>
      </c>
      <c r="J108" s="6" t="s">
        <v>58</v>
      </c>
      <c r="K108" s="5" t="s">
        <v>50</v>
      </c>
      <c r="L108" s="6">
        <v>174000</v>
      </c>
      <c r="Y108" s="13" t="s">
        <v>354</v>
      </c>
      <c r="Z108" s="8" t="s">
        <v>355</v>
      </c>
    </row>
    <row r="109" spans="7:26" x14ac:dyDescent="0.35">
      <c r="G109" s="5" t="s">
        <v>356</v>
      </c>
      <c r="H109" s="6" t="s">
        <v>357</v>
      </c>
      <c r="I109" s="5" t="s">
        <v>43</v>
      </c>
      <c r="J109" s="6" t="s">
        <v>65</v>
      </c>
      <c r="K109" s="5" t="s">
        <v>17</v>
      </c>
      <c r="L109" s="6">
        <v>398000</v>
      </c>
      <c r="Y109" s="13" t="s">
        <v>357</v>
      </c>
      <c r="Z109" s="8" t="s">
        <v>358</v>
      </c>
    </row>
    <row r="110" spans="7:26" x14ac:dyDescent="0.35">
      <c r="G110" s="5" t="s">
        <v>359</v>
      </c>
      <c r="H110" s="6" t="s">
        <v>360</v>
      </c>
      <c r="I110" s="5" t="s">
        <v>38</v>
      </c>
      <c r="J110" s="6" t="s">
        <v>16</v>
      </c>
      <c r="K110" s="5" t="s">
        <v>70</v>
      </c>
      <c r="L110" s="6">
        <v>196000</v>
      </c>
      <c r="Y110" s="13" t="s">
        <v>360</v>
      </c>
      <c r="Z110" s="8" t="s">
        <v>361</v>
      </c>
    </row>
    <row r="111" spans="7:26" x14ac:dyDescent="0.35">
      <c r="G111" s="5" t="s">
        <v>362</v>
      </c>
      <c r="H111" s="6" t="s">
        <v>363</v>
      </c>
      <c r="I111" s="5" t="s">
        <v>44</v>
      </c>
      <c r="J111" s="6" t="s">
        <v>39</v>
      </c>
      <c r="K111" s="5" t="s">
        <v>40</v>
      </c>
      <c r="L111" s="6">
        <v>450000</v>
      </c>
      <c r="Y111" s="13" t="s">
        <v>363</v>
      </c>
      <c r="Z111" s="8" t="s">
        <v>364</v>
      </c>
    </row>
    <row r="112" spans="7:26" x14ac:dyDescent="0.35">
      <c r="G112" s="5" t="s">
        <v>365</v>
      </c>
      <c r="H112" s="6" t="s">
        <v>366</v>
      </c>
      <c r="I112" s="5" t="s">
        <v>44</v>
      </c>
      <c r="J112" s="6" t="s">
        <v>16</v>
      </c>
      <c r="K112" s="5" t="s">
        <v>50</v>
      </c>
      <c r="L112" s="6">
        <v>78000</v>
      </c>
      <c r="Y112" s="13" t="s">
        <v>366</v>
      </c>
      <c r="Z112" s="8" t="s">
        <v>367</v>
      </c>
    </row>
    <row r="113" spans="7:26" x14ac:dyDescent="0.35">
      <c r="G113" s="5" t="s">
        <v>368</v>
      </c>
      <c r="H113" s="6" t="s">
        <v>369</v>
      </c>
      <c r="I113" s="5" t="s">
        <v>44</v>
      </c>
      <c r="J113" s="6" t="s">
        <v>39</v>
      </c>
      <c r="K113" s="5" t="s">
        <v>40</v>
      </c>
      <c r="L113" s="6">
        <v>416000</v>
      </c>
      <c r="Y113" s="13" t="s">
        <v>369</v>
      </c>
      <c r="Z113" s="8" t="s">
        <v>370</v>
      </c>
    </row>
    <row r="114" spans="7:26" x14ac:dyDescent="0.35">
      <c r="G114" s="5" t="s">
        <v>371</v>
      </c>
      <c r="H114" s="6" t="s">
        <v>372</v>
      </c>
      <c r="I114" s="5" t="s">
        <v>27</v>
      </c>
      <c r="J114" s="6" t="s">
        <v>65</v>
      </c>
      <c r="K114" s="5" t="s">
        <v>70</v>
      </c>
      <c r="L114" s="6">
        <v>364000</v>
      </c>
      <c r="Y114" s="13" t="s">
        <v>372</v>
      </c>
      <c r="Z114" s="8" t="s">
        <v>373</v>
      </c>
    </row>
    <row r="115" spans="7:26" x14ac:dyDescent="0.35">
      <c r="G115" s="5" t="s">
        <v>374</v>
      </c>
      <c r="H115" s="6" t="s">
        <v>375</v>
      </c>
      <c r="I115" s="5" t="s">
        <v>89</v>
      </c>
      <c r="J115" s="6" t="s">
        <v>58</v>
      </c>
      <c r="K115" s="5" t="s">
        <v>50</v>
      </c>
      <c r="L115" s="6">
        <v>100000</v>
      </c>
      <c r="Y115" s="13" t="s">
        <v>375</v>
      </c>
      <c r="Z115" s="8" t="s">
        <v>376</v>
      </c>
    </row>
    <row r="116" spans="7:26" x14ac:dyDescent="0.35">
      <c r="G116" s="5" t="s">
        <v>377</v>
      </c>
      <c r="H116" s="6" t="s">
        <v>378</v>
      </c>
      <c r="I116" s="5" t="s">
        <v>15</v>
      </c>
      <c r="J116" s="6" t="s">
        <v>65</v>
      </c>
      <c r="K116" s="5" t="s">
        <v>17</v>
      </c>
      <c r="L116" s="6">
        <v>108000</v>
      </c>
      <c r="Y116" s="13" t="s">
        <v>378</v>
      </c>
      <c r="Z116" s="8" t="s">
        <v>379</v>
      </c>
    </row>
    <row r="117" spans="7:26" x14ac:dyDescent="0.35">
      <c r="G117" s="5" t="s">
        <v>380</v>
      </c>
      <c r="H117" s="6" t="s">
        <v>381</v>
      </c>
      <c r="I117" s="5" t="s">
        <v>43</v>
      </c>
      <c r="J117" s="6" t="s">
        <v>48</v>
      </c>
      <c r="K117" s="5" t="s">
        <v>17</v>
      </c>
      <c r="L117" s="6">
        <v>386000</v>
      </c>
      <c r="Y117" s="13" t="s">
        <v>381</v>
      </c>
      <c r="Z117" s="8" t="s">
        <v>382</v>
      </c>
    </row>
    <row r="118" spans="7:26" x14ac:dyDescent="0.35">
      <c r="G118" s="5" t="s">
        <v>383</v>
      </c>
      <c r="H118" s="6" t="s">
        <v>384</v>
      </c>
      <c r="I118" s="5" t="s">
        <v>96</v>
      </c>
      <c r="J118" s="6" t="s">
        <v>58</v>
      </c>
      <c r="K118" s="5" t="s">
        <v>17</v>
      </c>
      <c r="L118" s="6">
        <v>386000</v>
      </c>
      <c r="Y118" s="13" t="s">
        <v>384</v>
      </c>
      <c r="Z118" s="8" t="s">
        <v>385</v>
      </c>
    </row>
    <row r="119" spans="7:26" x14ac:dyDescent="0.35">
      <c r="G119" s="5" t="s">
        <v>386</v>
      </c>
      <c r="H119" s="6" t="s">
        <v>387</v>
      </c>
      <c r="I119" s="5" t="s">
        <v>44</v>
      </c>
      <c r="J119" s="6" t="s">
        <v>45</v>
      </c>
      <c r="K119" s="5" t="s">
        <v>70</v>
      </c>
      <c r="L119" s="6">
        <v>132000</v>
      </c>
      <c r="Y119" s="13" t="s">
        <v>387</v>
      </c>
      <c r="Z119" s="8" t="s">
        <v>388</v>
      </c>
    </row>
    <row r="120" spans="7:26" x14ac:dyDescent="0.35">
      <c r="G120" s="5" t="s">
        <v>389</v>
      </c>
      <c r="H120" s="6" t="s">
        <v>390</v>
      </c>
      <c r="I120" s="5" t="s">
        <v>43</v>
      </c>
      <c r="J120" s="6" t="s">
        <v>28</v>
      </c>
      <c r="K120" s="5" t="s">
        <v>50</v>
      </c>
      <c r="L120" s="6">
        <v>460000</v>
      </c>
      <c r="Y120" s="13" t="s">
        <v>390</v>
      </c>
      <c r="Z120" s="8" t="s">
        <v>391</v>
      </c>
    </row>
    <row r="121" spans="7:26" x14ac:dyDescent="0.35">
      <c r="G121" s="5" t="s">
        <v>392</v>
      </c>
      <c r="H121" s="6" t="s">
        <v>393</v>
      </c>
      <c r="I121" s="5" t="s">
        <v>89</v>
      </c>
      <c r="J121" s="6" t="s">
        <v>58</v>
      </c>
      <c r="K121" s="5" t="s">
        <v>50</v>
      </c>
      <c r="L121" s="6">
        <v>334000</v>
      </c>
      <c r="Y121" s="13" t="s">
        <v>393</v>
      </c>
      <c r="Z121" s="8" t="s">
        <v>394</v>
      </c>
    </row>
    <row r="122" spans="7:26" x14ac:dyDescent="0.35">
      <c r="G122" s="5" t="s">
        <v>395</v>
      </c>
      <c r="H122" s="6" t="s">
        <v>396</v>
      </c>
      <c r="I122" s="5" t="s">
        <v>38</v>
      </c>
      <c r="J122" s="6" t="s">
        <v>65</v>
      </c>
      <c r="K122" s="5" t="s">
        <v>17</v>
      </c>
      <c r="L122" s="6">
        <v>290000</v>
      </c>
      <c r="Y122" s="13" t="s">
        <v>396</v>
      </c>
      <c r="Z122" s="8" t="s">
        <v>397</v>
      </c>
    </row>
    <row r="123" spans="7:26" x14ac:dyDescent="0.35">
      <c r="G123" s="5" t="s">
        <v>398</v>
      </c>
      <c r="H123" s="6" t="s">
        <v>399</v>
      </c>
      <c r="I123" s="5" t="s">
        <v>43</v>
      </c>
      <c r="J123" s="6" t="s">
        <v>58</v>
      </c>
      <c r="K123" s="5" t="s">
        <v>70</v>
      </c>
      <c r="L123" s="6">
        <v>118000</v>
      </c>
      <c r="Y123" s="13" t="s">
        <v>399</v>
      </c>
      <c r="Z123" s="8" t="s">
        <v>400</v>
      </c>
    </row>
    <row r="124" spans="7:26" x14ac:dyDescent="0.35">
      <c r="G124" s="5" t="s">
        <v>401</v>
      </c>
      <c r="H124" s="6" t="s">
        <v>402</v>
      </c>
      <c r="I124" s="5" t="s">
        <v>27</v>
      </c>
      <c r="J124" s="6" t="s">
        <v>48</v>
      </c>
      <c r="K124" s="5" t="s">
        <v>50</v>
      </c>
      <c r="L124" s="6">
        <v>464000</v>
      </c>
      <c r="Y124" s="13" t="s">
        <v>402</v>
      </c>
      <c r="Z124" s="8" t="s">
        <v>403</v>
      </c>
    </row>
    <row r="125" spans="7:26" x14ac:dyDescent="0.35">
      <c r="G125" s="5" t="s">
        <v>404</v>
      </c>
      <c r="H125" s="6" t="s">
        <v>405</v>
      </c>
      <c r="I125" s="5" t="s">
        <v>27</v>
      </c>
      <c r="J125" s="6" t="s">
        <v>48</v>
      </c>
      <c r="K125" s="5" t="s">
        <v>17</v>
      </c>
      <c r="L125" s="6">
        <v>396000</v>
      </c>
      <c r="Y125" s="13" t="s">
        <v>405</v>
      </c>
      <c r="Z125" s="8" t="s">
        <v>406</v>
      </c>
    </row>
    <row r="126" spans="7:26" x14ac:dyDescent="0.35">
      <c r="G126" s="5" t="s">
        <v>407</v>
      </c>
      <c r="H126" s="6" t="s">
        <v>408</v>
      </c>
      <c r="I126" s="5" t="s">
        <v>44</v>
      </c>
      <c r="J126" s="6" t="s">
        <v>16</v>
      </c>
      <c r="K126" s="5" t="s">
        <v>50</v>
      </c>
      <c r="L126" s="6">
        <v>424000</v>
      </c>
      <c r="Y126" s="13" t="s">
        <v>408</v>
      </c>
      <c r="Z126" s="8" t="s">
        <v>409</v>
      </c>
    </row>
    <row r="127" spans="7:26" x14ac:dyDescent="0.35">
      <c r="G127" s="5" t="s">
        <v>410</v>
      </c>
      <c r="H127" s="6" t="s">
        <v>411</v>
      </c>
      <c r="I127" s="5" t="s">
        <v>27</v>
      </c>
      <c r="J127" s="6" t="s">
        <v>48</v>
      </c>
      <c r="K127" s="5" t="s">
        <v>50</v>
      </c>
      <c r="L127" s="6">
        <v>440000</v>
      </c>
      <c r="Y127" s="13" t="s">
        <v>411</v>
      </c>
      <c r="Z127" s="8" t="s">
        <v>412</v>
      </c>
    </row>
    <row r="128" spans="7:26" x14ac:dyDescent="0.35">
      <c r="G128" s="5" t="s">
        <v>413</v>
      </c>
      <c r="H128" s="6" t="s">
        <v>414</v>
      </c>
      <c r="I128" s="5" t="s">
        <v>43</v>
      </c>
      <c r="J128" s="6" t="s">
        <v>48</v>
      </c>
      <c r="K128" s="5" t="s">
        <v>50</v>
      </c>
      <c r="L128" s="6">
        <v>54000</v>
      </c>
      <c r="Y128" s="13" t="s">
        <v>414</v>
      </c>
      <c r="Z128" s="8" t="s">
        <v>415</v>
      </c>
    </row>
    <row r="129" spans="7:26" x14ac:dyDescent="0.35">
      <c r="G129" s="5" t="s">
        <v>416</v>
      </c>
      <c r="H129" s="6" t="s">
        <v>417</v>
      </c>
      <c r="I129" s="5" t="s">
        <v>89</v>
      </c>
      <c r="J129" s="6" t="s">
        <v>45</v>
      </c>
      <c r="K129" s="5" t="s">
        <v>17</v>
      </c>
      <c r="L129" s="6">
        <v>298000</v>
      </c>
      <c r="Y129" s="13" t="s">
        <v>417</v>
      </c>
      <c r="Z129" s="8" t="s">
        <v>418</v>
      </c>
    </row>
    <row r="130" spans="7:26" x14ac:dyDescent="0.35">
      <c r="G130" s="5" t="s">
        <v>419</v>
      </c>
      <c r="H130" s="6" t="s">
        <v>420</v>
      </c>
      <c r="I130" s="5" t="s">
        <v>43</v>
      </c>
      <c r="J130" s="6" t="s">
        <v>28</v>
      </c>
      <c r="K130" s="5" t="s">
        <v>50</v>
      </c>
      <c r="L130" s="6">
        <v>346000</v>
      </c>
      <c r="Y130" s="13" t="s">
        <v>420</v>
      </c>
      <c r="Z130" s="8" t="s">
        <v>421</v>
      </c>
    </row>
    <row r="131" spans="7:26" x14ac:dyDescent="0.35">
      <c r="G131" s="5" t="s">
        <v>422</v>
      </c>
      <c r="H131" s="6" t="s">
        <v>423</v>
      </c>
      <c r="I131" s="5" t="s">
        <v>27</v>
      </c>
      <c r="J131" s="6" t="s">
        <v>45</v>
      </c>
      <c r="K131" s="5" t="s">
        <v>70</v>
      </c>
      <c r="L131" s="6">
        <v>494000</v>
      </c>
      <c r="Y131" s="13" t="s">
        <v>423</v>
      </c>
      <c r="Z131" s="8" t="s">
        <v>424</v>
      </c>
    </row>
    <row r="132" spans="7:26" x14ac:dyDescent="0.35">
      <c r="G132" s="5" t="s">
        <v>425</v>
      </c>
      <c r="H132" s="6" t="s">
        <v>426</v>
      </c>
      <c r="I132" s="5" t="s">
        <v>89</v>
      </c>
      <c r="J132" s="6" t="s">
        <v>16</v>
      </c>
      <c r="K132" s="5" t="s">
        <v>70</v>
      </c>
      <c r="L132" s="6">
        <v>454000</v>
      </c>
      <c r="Y132" s="13" t="s">
        <v>426</v>
      </c>
      <c r="Z132" s="8" t="s">
        <v>427</v>
      </c>
    </row>
    <row r="133" spans="7:26" x14ac:dyDescent="0.35">
      <c r="G133" s="5" t="s">
        <v>428</v>
      </c>
      <c r="H133" s="6" t="s">
        <v>429</v>
      </c>
      <c r="I133" s="5" t="s">
        <v>89</v>
      </c>
      <c r="J133" s="6" t="s">
        <v>28</v>
      </c>
      <c r="K133" s="5" t="s">
        <v>70</v>
      </c>
      <c r="L133" s="6">
        <v>316000</v>
      </c>
      <c r="Y133" s="13" t="s">
        <v>429</v>
      </c>
      <c r="Z133" s="8" t="s">
        <v>430</v>
      </c>
    </row>
    <row r="134" spans="7:26" x14ac:dyDescent="0.35">
      <c r="G134" s="5" t="s">
        <v>431</v>
      </c>
      <c r="H134" s="6" t="s">
        <v>432</v>
      </c>
      <c r="I134" s="5" t="s">
        <v>89</v>
      </c>
      <c r="J134" s="6" t="s">
        <v>28</v>
      </c>
      <c r="K134" s="5" t="s">
        <v>40</v>
      </c>
      <c r="L134" s="6">
        <v>140000</v>
      </c>
      <c r="Y134" s="13" t="s">
        <v>432</v>
      </c>
      <c r="Z134" s="8" t="s">
        <v>433</v>
      </c>
    </row>
    <row r="135" spans="7:26" x14ac:dyDescent="0.35">
      <c r="G135" s="5" t="s">
        <v>434</v>
      </c>
      <c r="H135" s="6" t="s">
        <v>435</v>
      </c>
      <c r="I135" s="5" t="s">
        <v>89</v>
      </c>
      <c r="J135" s="6" t="s">
        <v>65</v>
      </c>
      <c r="K135" s="5" t="s">
        <v>50</v>
      </c>
      <c r="L135" s="6">
        <v>416000</v>
      </c>
      <c r="Y135" s="13" t="s">
        <v>435</v>
      </c>
      <c r="Z135" s="8" t="s">
        <v>436</v>
      </c>
    </row>
    <row r="136" spans="7:26" x14ac:dyDescent="0.35">
      <c r="G136" s="5" t="s">
        <v>437</v>
      </c>
      <c r="H136" s="6" t="s">
        <v>438</v>
      </c>
      <c r="I136" s="5" t="s">
        <v>89</v>
      </c>
      <c r="J136" s="6" t="s">
        <v>45</v>
      </c>
      <c r="K136" s="5" t="s">
        <v>50</v>
      </c>
      <c r="L136" s="6">
        <v>490000</v>
      </c>
      <c r="Y136" s="13" t="s">
        <v>438</v>
      </c>
      <c r="Z136" s="8" t="s">
        <v>439</v>
      </c>
    </row>
    <row r="137" spans="7:26" x14ac:dyDescent="0.35">
      <c r="G137" s="5" t="s">
        <v>440</v>
      </c>
      <c r="H137" s="6" t="s">
        <v>441</v>
      </c>
      <c r="I137" s="5" t="s">
        <v>15</v>
      </c>
      <c r="J137" s="6" t="s">
        <v>16</v>
      </c>
      <c r="K137" s="5" t="s">
        <v>17</v>
      </c>
      <c r="L137" s="6">
        <v>102000</v>
      </c>
      <c r="Y137" s="13" t="s">
        <v>441</v>
      </c>
      <c r="Z137" s="8" t="s">
        <v>442</v>
      </c>
    </row>
    <row r="138" spans="7:26" x14ac:dyDescent="0.35">
      <c r="G138" s="5" t="s">
        <v>443</v>
      </c>
      <c r="H138" s="6" t="s">
        <v>444</v>
      </c>
      <c r="I138" s="5" t="s">
        <v>27</v>
      </c>
      <c r="J138" s="6" t="s">
        <v>16</v>
      </c>
      <c r="K138" s="5" t="s">
        <v>17</v>
      </c>
      <c r="L138" s="6">
        <v>352000</v>
      </c>
      <c r="Y138" s="13" t="s">
        <v>444</v>
      </c>
      <c r="Z138" s="8" t="s">
        <v>445</v>
      </c>
    </row>
    <row r="139" spans="7:26" x14ac:dyDescent="0.35">
      <c r="G139" s="5" t="s">
        <v>446</v>
      </c>
      <c r="H139" s="6" t="s">
        <v>447</v>
      </c>
      <c r="I139" s="5" t="s">
        <v>43</v>
      </c>
      <c r="J139" s="6" t="s">
        <v>39</v>
      </c>
      <c r="K139" s="5" t="s">
        <v>17</v>
      </c>
      <c r="L139" s="6">
        <v>46000</v>
      </c>
      <c r="Y139" s="13" t="s">
        <v>447</v>
      </c>
      <c r="Z139" s="8" t="s">
        <v>448</v>
      </c>
    </row>
    <row r="140" spans="7:26" x14ac:dyDescent="0.35">
      <c r="G140" s="5" t="s">
        <v>449</v>
      </c>
      <c r="H140" s="6" t="s">
        <v>450</v>
      </c>
      <c r="I140" s="5" t="s">
        <v>15</v>
      </c>
      <c r="J140" s="6" t="s">
        <v>45</v>
      </c>
      <c r="K140" s="5" t="s">
        <v>40</v>
      </c>
      <c r="L140" s="6">
        <v>392000</v>
      </c>
      <c r="Y140" s="13" t="s">
        <v>450</v>
      </c>
      <c r="Z140" s="8" t="s">
        <v>451</v>
      </c>
    </row>
    <row r="141" spans="7:26" x14ac:dyDescent="0.35">
      <c r="G141" s="5" t="s">
        <v>452</v>
      </c>
      <c r="H141" s="6" t="s">
        <v>453</v>
      </c>
      <c r="I141" s="5" t="s">
        <v>27</v>
      </c>
      <c r="J141" s="6" t="s">
        <v>28</v>
      </c>
      <c r="K141" s="5" t="s">
        <v>70</v>
      </c>
      <c r="L141" s="6">
        <v>142000</v>
      </c>
      <c r="Y141" s="13" t="s">
        <v>453</v>
      </c>
      <c r="Z141" s="8" t="s">
        <v>454</v>
      </c>
    </row>
    <row r="142" spans="7:26" x14ac:dyDescent="0.35">
      <c r="G142" s="5" t="s">
        <v>455</v>
      </c>
      <c r="H142" s="6" t="s">
        <v>456</v>
      </c>
      <c r="I142" s="5" t="s">
        <v>96</v>
      </c>
      <c r="J142" s="6" t="s">
        <v>48</v>
      </c>
      <c r="K142" s="5" t="s">
        <v>70</v>
      </c>
      <c r="L142" s="6">
        <v>158000</v>
      </c>
      <c r="Y142" s="13" t="s">
        <v>456</v>
      </c>
      <c r="Z142" s="8" t="s">
        <v>457</v>
      </c>
    </row>
    <row r="143" spans="7:26" x14ac:dyDescent="0.35">
      <c r="G143" s="5" t="s">
        <v>458</v>
      </c>
      <c r="H143" s="6" t="s">
        <v>459</v>
      </c>
      <c r="I143" s="5" t="s">
        <v>38</v>
      </c>
      <c r="J143" s="6" t="s">
        <v>39</v>
      </c>
      <c r="K143" s="5" t="s">
        <v>40</v>
      </c>
      <c r="L143" s="6">
        <v>270000</v>
      </c>
      <c r="Y143" s="13" t="s">
        <v>459</v>
      </c>
      <c r="Z143" s="8" t="s">
        <v>460</v>
      </c>
    </row>
    <row r="144" spans="7:26" x14ac:dyDescent="0.35">
      <c r="G144" s="5" t="s">
        <v>461</v>
      </c>
      <c r="H144" s="6" t="s">
        <v>462</v>
      </c>
      <c r="I144" s="5" t="s">
        <v>27</v>
      </c>
      <c r="J144" s="6" t="s">
        <v>28</v>
      </c>
      <c r="K144" s="5" t="s">
        <v>40</v>
      </c>
      <c r="L144" s="6">
        <v>324000</v>
      </c>
      <c r="Y144" s="13" t="s">
        <v>462</v>
      </c>
      <c r="Z144" s="8" t="s">
        <v>463</v>
      </c>
    </row>
    <row r="145" spans="7:26" x14ac:dyDescent="0.35">
      <c r="G145" s="5" t="s">
        <v>464</v>
      </c>
      <c r="H145" s="6" t="s">
        <v>465</v>
      </c>
      <c r="I145" s="5" t="s">
        <v>38</v>
      </c>
      <c r="J145" s="6" t="s">
        <v>39</v>
      </c>
      <c r="K145" s="5" t="s">
        <v>70</v>
      </c>
      <c r="L145" s="6">
        <v>72000</v>
      </c>
      <c r="Y145" s="13" t="s">
        <v>465</v>
      </c>
      <c r="Z145" s="8" t="s">
        <v>466</v>
      </c>
    </row>
    <row r="146" spans="7:26" x14ac:dyDescent="0.35">
      <c r="G146" s="5" t="s">
        <v>467</v>
      </c>
      <c r="H146" s="6" t="s">
        <v>468</v>
      </c>
      <c r="I146" s="5" t="s">
        <v>27</v>
      </c>
      <c r="J146" s="6" t="s">
        <v>65</v>
      </c>
      <c r="K146" s="5" t="s">
        <v>70</v>
      </c>
      <c r="L146" s="6">
        <v>90000</v>
      </c>
      <c r="Y146" s="13" t="s">
        <v>468</v>
      </c>
      <c r="Z146" s="8" t="s">
        <v>469</v>
      </c>
    </row>
    <row r="147" spans="7:26" x14ac:dyDescent="0.35">
      <c r="G147" s="5" t="s">
        <v>470</v>
      </c>
      <c r="H147" s="6" t="s">
        <v>471</v>
      </c>
      <c r="I147" s="5" t="s">
        <v>43</v>
      </c>
      <c r="J147" s="6" t="s">
        <v>28</v>
      </c>
      <c r="K147" s="5" t="s">
        <v>40</v>
      </c>
      <c r="L147" s="6">
        <v>464000</v>
      </c>
      <c r="Y147" s="13" t="s">
        <v>471</v>
      </c>
      <c r="Z147" s="8" t="s">
        <v>472</v>
      </c>
    </row>
    <row r="148" spans="7:26" x14ac:dyDescent="0.35">
      <c r="G148" s="5" t="s">
        <v>473</v>
      </c>
      <c r="H148" s="6" t="s">
        <v>474</v>
      </c>
      <c r="I148" s="5" t="s">
        <v>43</v>
      </c>
      <c r="J148" s="6" t="s">
        <v>28</v>
      </c>
      <c r="K148" s="5" t="s">
        <v>70</v>
      </c>
      <c r="L148" s="6">
        <v>348000</v>
      </c>
      <c r="Y148" s="13" t="s">
        <v>474</v>
      </c>
      <c r="Z148" s="8" t="s">
        <v>475</v>
      </c>
    </row>
    <row r="149" spans="7:26" x14ac:dyDescent="0.35">
      <c r="G149" s="5" t="s">
        <v>476</v>
      </c>
      <c r="H149" s="6" t="s">
        <v>477</v>
      </c>
      <c r="I149" s="5" t="s">
        <v>38</v>
      </c>
      <c r="J149" s="6" t="s">
        <v>58</v>
      </c>
      <c r="K149" s="5" t="s">
        <v>70</v>
      </c>
      <c r="L149" s="6">
        <v>498000</v>
      </c>
      <c r="Y149" s="13" t="s">
        <v>477</v>
      </c>
      <c r="Z149" s="8" t="s">
        <v>478</v>
      </c>
    </row>
    <row r="150" spans="7:26" x14ac:dyDescent="0.35">
      <c r="G150" s="5" t="s">
        <v>479</v>
      </c>
      <c r="H150" s="6" t="s">
        <v>480</v>
      </c>
      <c r="I150" s="5" t="s">
        <v>43</v>
      </c>
      <c r="J150" s="6" t="s">
        <v>45</v>
      </c>
      <c r="K150" s="5" t="s">
        <v>70</v>
      </c>
      <c r="L150" s="6">
        <v>160000</v>
      </c>
      <c r="Y150" s="13" t="s">
        <v>480</v>
      </c>
      <c r="Z150" s="8" t="s">
        <v>481</v>
      </c>
    </row>
    <row r="151" spans="7:26" x14ac:dyDescent="0.35">
      <c r="G151" s="5" t="s">
        <v>482</v>
      </c>
      <c r="H151" s="6" t="s">
        <v>483</v>
      </c>
      <c r="I151" s="5" t="s">
        <v>27</v>
      </c>
      <c r="J151" s="6" t="s">
        <v>58</v>
      </c>
      <c r="K151" s="5" t="s">
        <v>17</v>
      </c>
      <c r="L151" s="6">
        <v>80000</v>
      </c>
      <c r="Y151" s="13" t="s">
        <v>483</v>
      </c>
      <c r="Z151" s="8" t="s">
        <v>484</v>
      </c>
    </row>
    <row r="152" spans="7:26" x14ac:dyDescent="0.35">
      <c r="G152" s="5" t="s">
        <v>485</v>
      </c>
      <c r="H152" s="6" t="s">
        <v>486</v>
      </c>
      <c r="I152" s="5" t="s">
        <v>38</v>
      </c>
      <c r="J152" s="6" t="s">
        <v>65</v>
      </c>
      <c r="K152" s="5" t="s">
        <v>40</v>
      </c>
      <c r="L152" s="6">
        <v>496000</v>
      </c>
      <c r="Y152" s="13" t="s">
        <v>486</v>
      </c>
      <c r="Z152" s="8" t="s">
        <v>487</v>
      </c>
    </row>
    <row r="153" spans="7:26" x14ac:dyDescent="0.35">
      <c r="G153" s="5" t="s">
        <v>488</v>
      </c>
      <c r="H153" s="6" t="s">
        <v>489</v>
      </c>
      <c r="I153" s="5" t="s">
        <v>27</v>
      </c>
      <c r="J153" s="6" t="s">
        <v>28</v>
      </c>
      <c r="K153" s="5" t="s">
        <v>40</v>
      </c>
      <c r="L153" s="6">
        <v>132000</v>
      </c>
      <c r="Y153" s="13" t="s">
        <v>489</v>
      </c>
      <c r="Z153" s="8" t="s">
        <v>490</v>
      </c>
    </row>
    <row r="154" spans="7:26" x14ac:dyDescent="0.35">
      <c r="G154" s="5" t="s">
        <v>491</v>
      </c>
      <c r="H154" s="6" t="s">
        <v>492</v>
      </c>
      <c r="I154" s="5" t="s">
        <v>27</v>
      </c>
      <c r="J154" s="6" t="s">
        <v>58</v>
      </c>
      <c r="K154" s="5" t="s">
        <v>40</v>
      </c>
      <c r="L154" s="6">
        <v>148000</v>
      </c>
      <c r="Y154" s="13" t="s">
        <v>492</v>
      </c>
      <c r="Z154" s="8" t="s">
        <v>493</v>
      </c>
    </row>
    <row r="155" spans="7:26" x14ac:dyDescent="0.35">
      <c r="G155" s="5" t="s">
        <v>494</v>
      </c>
      <c r="H155" s="6" t="s">
        <v>495</v>
      </c>
      <c r="I155" s="5" t="s">
        <v>27</v>
      </c>
      <c r="J155" s="6" t="s">
        <v>65</v>
      </c>
      <c r="K155" s="5" t="s">
        <v>40</v>
      </c>
      <c r="L155" s="6">
        <v>398000</v>
      </c>
      <c r="Y155" s="13" t="s">
        <v>495</v>
      </c>
      <c r="Z155" s="8" t="s">
        <v>496</v>
      </c>
    </row>
    <row r="156" spans="7:26" x14ac:dyDescent="0.35">
      <c r="G156" s="5" t="s">
        <v>497</v>
      </c>
      <c r="H156" s="6" t="s">
        <v>498</v>
      </c>
      <c r="I156" s="5" t="s">
        <v>43</v>
      </c>
      <c r="J156" s="6" t="s">
        <v>58</v>
      </c>
      <c r="K156" s="5" t="s">
        <v>70</v>
      </c>
      <c r="L156" s="6">
        <v>424000</v>
      </c>
      <c r="Y156" s="13" t="s">
        <v>498</v>
      </c>
      <c r="Z156" s="8" t="s">
        <v>499</v>
      </c>
    </row>
    <row r="157" spans="7:26" x14ac:dyDescent="0.35">
      <c r="G157" s="5" t="s">
        <v>500</v>
      </c>
      <c r="H157" s="6" t="s">
        <v>501</v>
      </c>
      <c r="I157" s="5" t="s">
        <v>44</v>
      </c>
      <c r="J157" s="6" t="s">
        <v>45</v>
      </c>
      <c r="K157" s="5" t="s">
        <v>70</v>
      </c>
      <c r="L157" s="6">
        <v>28000</v>
      </c>
      <c r="Y157" s="13" t="s">
        <v>501</v>
      </c>
      <c r="Z157" s="8" t="s">
        <v>502</v>
      </c>
    </row>
    <row r="158" spans="7:26" x14ac:dyDescent="0.35">
      <c r="G158" s="5" t="s">
        <v>503</v>
      </c>
      <c r="H158" s="6" t="s">
        <v>504</v>
      </c>
      <c r="I158" s="5" t="s">
        <v>43</v>
      </c>
      <c r="J158" s="6" t="s">
        <v>16</v>
      </c>
      <c r="K158" s="5" t="s">
        <v>17</v>
      </c>
      <c r="L158" s="6">
        <v>476000</v>
      </c>
      <c r="Y158" s="13" t="s">
        <v>504</v>
      </c>
      <c r="Z158" s="8" t="s">
        <v>505</v>
      </c>
    </row>
    <row r="159" spans="7:26" x14ac:dyDescent="0.35">
      <c r="G159" s="5" t="s">
        <v>506</v>
      </c>
      <c r="H159" s="6" t="s">
        <v>507</v>
      </c>
      <c r="I159" s="5" t="s">
        <v>44</v>
      </c>
      <c r="J159" s="6" t="s">
        <v>16</v>
      </c>
      <c r="K159" s="5" t="s">
        <v>50</v>
      </c>
      <c r="L159" s="6">
        <v>114000</v>
      </c>
      <c r="Y159" s="13" t="s">
        <v>507</v>
      </c>
      <c r="Z159" s="8" t="s">
        <v>508</v>
      </c>
    </row>
    <row r="160" spans="7:26" x14ac:dyDescent="0.35">
      <c r="G160" s="5" t="s">
        <v>509</v>
      </c>
      <c r="H160" s="6" t="s">
        <v>510</v>
      </c>
      <c r="I160" s="5" t="s">
        <v>15</v>
      </c>
      <c r="J160" s="6" t="s">
        <v>48</v>
      </c>
      <c r="K160" s="5" t="s">
        <v>50</v>
      </c>
      <c r="L160" s="6">
        <v>206000</v>
      </c>
      <c r="Y160" s="13" t="s">
        <v>510</v>
      </c>
      <c r="Z160" s="8" t="s">
        <v>511</v>
      </c>
    </row>
    <row r="161" spans="7:26" x14ac:dyDescent="0.35">
      <c r="G161" s="5" t="s">
        <v>512</v>
      </c>
      <c r="H161" s="6" t="s">
        <v>513</v>
      </c>
      <c r="I161" s="5" t="s">
        <v>38</v>
      </c>
      <c r="J161" s="6" t="s">
        <v>45</v>
      </c>
      <c r="K161" s="5" t="s">
        <v>50</v>
      </c>
      <c r="L161" s="6">
        <v>172000</v>
      </c>
      <c r="Y161" s="13" t="s">
        <v>513</v>
      </c>
      <c r="Z161" s="8" t="s">
        <v>514</v>
      </c>
    </row>
    <row r="162" spans="7:26" x14ac:dyDescent="0.35">
      <c r="G162" s="5" t="s">
        <v>515</v>
      </c>
      <c r="H162" s="6" t="s">
        <v>516</v>
      </c>
      <c r="I162" s="5" t="s">
        <v>27</v>
      </c>
      <c r="J162" s="6" t="s">
        <v>48</v>
      </c>
      <c r="K162" s="5" t="s">
        <v>50</v>
      </c>
      <c r="L162" s="6">
        <v>102000</v>
      </c>
      <c r="Y162" s="13" t="s">
        <v>516</v>
      </c>
      <c r="Z162" s="8" t="s">
        <v>517</v>
      </c>
    </row>
    <row r="163" spans="7:26" x14ac:dyDescent="0.35">
      <c r="G163" s="5" t="s">
        <v>518</v>
      </c>
      <c r="H163" s="6" t="s">
        <v>519</v>
      </c>
      <c r="I163" s="5" t="s">
        <v>27</v>
      </c>
      <c r="J163" s="6" t="s">
        <v>28</v>
      </c>
      <c r="K163" s="5" t="s">
        <v>70</v>
      </c>
      <c r="L163" s="6">
        <v>254000</v>
      </c>
      <c r="Y163" s="13" t="s">
        <v>519</v>
      </c>
      <c r="Z163" s="8" t="s">
        <v>520</v>
      </c>
    </row>
    <row r="164" spans="7:26" x14ac:dyDescent="0.35">
      <c r="G164" s="5" t="s">
        <v>521</v>
      </c>
      <c r="H164" s="6" t="s">
        <v>522</v>
      </c>
      <c r="I164" s="5" t="s">
        <v>27</v>
      </c>
      <c r="J164" s="6" t="s">
        <v>65</v>
      </c>
      <c r="K164" s="5" t="s">
        <v>17</v>
      </c>
      <c r="L164" s="6">
        <v>28000</v>
      </c>
      <c r="Y164" s="13" t="s">
        <v>522</v>
      </c>
      <c r="Z164" s="8" t="s">
        <v>523</v>
      </c>
    </row>
    <row r="165" spans="7:26" x14ac:dyDescent="0.35">
      <c r="G165" s="5" t="s">
        <v>524</v>
      </c>
      <c r="H165" s="6" t="s">
        <v>525</v>
      </c>
      <c r="I165" s="5" t="s">
        <v>89</v>
      </c>
      <c r="J165" s="6" t="s">
        <v>28</v>
      </c>
      <c r="K165" s="5" t="s">
        <v>40</v>
      </c>
      <c r="L165" s="6">
        <v>198000</v>
      </c>
      <c r="Y165" s="13" t="s">
        <v>525</v>
      </c>
      <c r="Z165" s="8" t="s">
        <v>526</v>
      </c>
    </row>
    <row r="166" spans="7:26" x14ac:dyDescent="0.35">
      <c r="G166" s="5" t="s">
        <v>527</v>
      </c>
      <c r="H166" s="6" t="s">
        <v>528</v>
      </c>
      <c r="I166" s="5" t="s">
        <v>44</v>
      </c>
      <c r="J166" s="6" t="s">
        <v>16</v>
      </c>
      <c r="K166" s="5" t="s">
        <v>17</v>
      </c>
      <c r="L166" s="6">
        <v>238000</v>
      </c>
      <c r="Y166" s="13" t="s">
        <v>528</v>
      </c>
      <c r="Z166" s="8" t="s">
        <v>529</v>
      </c>
    </row>
    <row r="167" spans="7:26" x14ac:dyDescent="0.35">
      <c r="G167" s="5" t="s">
        <v>530</v>
      </c>
      <c r="H167" s="6" t="s">
        <v>531</v>
      </c>
      <c r="I167" s="5" t="s">
        <v>89</v>
      </c>
      <c r="J167" s="6" t="s">
        <v>58</v>
      </c>
      <c r="K167" s="5" t="s">
        <v>40</v>
      </c>
      <c r="L167" s="6">
        <v>472000</v>
      </c>
      <c r="Y167" s="13" t="s">
        <v>531</v>
      </c>
      <c r="Z167" s="8" t="s">
        <v>532</v>
      </c>
    </row>
    <row r="168" spans="7:26" x14ac:dyDescent="0.35">
      <c r="G168" s="5" t="s">
        <v>533</v>
      </c>
      <c r="H168" s="6" t="s">
        <v>534</v>
      </c>
      <c r="I168" s="5" t="s">
        <v>27</v>
      </c>
      <c r="J168" s="6" t="s">
        <v>48</v>
      </c>
      <c r="K168" s="5" t="s">
        <v>50</v>
      </c>
      <c r="L168" s="6">
        <v>352000</v>
      </c>
      <c r="Y168" s="13" t="s">
        <v>534</v>
      </c>
      <c r="Z168" s="8" t="s">
        <v>535</v>
      </c>
    </row>
    <row r="169" spans="7:26" x14ac:dyDescent="0.35">
      <c r="G169" s="5" t="s">
        <v>536</v>
      </c>
      <c r="H169" s="6" t="s">
        <v>537</v>
      </c>
      <c r="I169" s="5" t="s">
        <v>89</v>
      </c>
      <c r="J169" s="6" t="s">
        <v>65</v>
      </c>
      <c r="K169" s="5" t="s">
        <v>40</v>
      </c>
      <c r="L169" s="6">
        <v>474000</v>
      </c>
      <c r="Y169" s="13" t="s">
        <v>537</v>
      </c>
      <c r="Z169" s="8" t="s">
        <v>538</v>
      </c>
    </row>
    <row r="170" spans="7:26" x14ac:dyDescent="0.35">
      <c r="G170" s="5" t="s">
        <v>539</v>
      </c>
      <c r="H170" s="6" t="s">
        <v>540</v>
      </c>
      <c r="I170" s="5" t="s">
        <v>15</v>
      </c>
      <c r="J170" s="6" t="s">
        <v>65</v>
      </c>
      <c r="K170" s="5" t="s">
        <v>17</v>
      </c>
      <c r="L170" s="6">
        <v>120000</v>
      </c>
      <c r="Y170" s="13" t="s">
        <v>540</v>
      </c>
      <c r="Z170" s="8" t="s">
        <v>541</v>
      </c>
    </row>
    <row r="171" spans="7:26" x14ac:dyDescent="0.35">
      <c r="G171" s="5" t="s">
        <v>542</v>
      </c>
      <c r="H171" s="6" t="s">
        <v>543</v>
      </c>
      <c r="I171" s="5" t="s">
        <v>27</v>
      </c>
      <c r="J171" s="6" t="s">
        <v>16</v>
      </c>
      <c r="K171" s="5" t="s">
        <v>50</v>
      </c>
      <c r="L171" s="6">
        <v>204000</v>
      </c>
      <c r="Y171" s="13" t="s">
        <v>543</v>
      </c>
      <c r="Z171" s="8" t="s">
        <v>544</v>
      </c>
    </row>
    <row r="172" spans="7:26" x14ac:dyDescent="0.35">
      <c r="G172" s="5" t="s">
        <v>545</v>
      </c>
      <c r="H172" s="6" t="s">
        <v>546</v>
      </c>
      <c r="I172" s="5" t="s">
        <v>89</v>
      </c>
      <c r="J172" s="6" t="s">
        <v>58</v>
      </c>
      <c r="K172" s="5" t="s">
        <v>40</v>
      </c>
      <c r="L172" s="6">
        <v>120000</v>
      </c>
      <c r="Y172" s="13" t="s">
        <v>546</v>
      </c>
      <c r="Z172" s="8" t="s">
        <v>547</v>
      </c>
    </row>
    <row r="173" spans="7:26" x14ac:dyDescent="0.35">
      <c r="G173" s="5" t="s">
        <v>548</v>
      </c>
      <c r="H173" s="6" t="s">
        <v>549</v>
      </c>
      <c r="I173" s="5" t="s">
        <v>44</v>
      </c>
      <c r="J173" s="6" t="s">
        <v>16</v>
      </c>
      <c r="K173" s="5" t="s">
        <v>50</v>
      </c>
      <c r="L173" s="6">
        <v>348000</v>
      </c>
      <c r="Y173" s="13" t="s">
        <v>549</v>
      </c>
      <c r="Z173" s="8" t="s">
        <v>550</v>
      </c>
    </row>
    <row r="174" spans="7:26" x14ac:dyDescent="0.35">
      <c r="G174" s="5" t="s">
        <v>551</v>
      </c>
      <c r="H174" s="6" t="s">
        <v>552</v>
      </c>
      <c r="I174" s="5" t="s">
        <v>89</v>
      </c>
      <c r="J174" s="6" t="s">
        <v>16</v>
      </c>
      <c r="K174" s="5" t="s">
        <v>70</v>
      </c>
      <c r="L174" s="6">
        <v>376000</v>
      </c>
      <c r="Y174" s="13" t="s">
        <v>552</v>
      </c>
      <c r="Z174" s="8" t="s">
        <v>553</v>
      </c>
    </row>
    <row r="175" spans="7:26" x14ac:dyDescent="0.35">
      <c r="G175" s="5" t="s">
        <v>554</v>
      </c>
      <c r="H175" s="6" t="s">
        <v>555</v>
      </c>
      <c r="I175" s="5" t="s">
        <v>38</v>
      </c>
      <c r="J175" s="6" t="s">
        <v>65</v>
      </c>
      <c r="K175" s="5" t="s">
        <v>17</v>
      </c>
      <c r="L175" s="6">
        <v>52000</v>
      </c>
      <c r="Y175" s="13" t="s">
        <v>555</v>
      </c>
      <c r="Z175" s="8" t="s">
        <v>556</v>
      </c>
    </row>
    <row r="176" spans="7:26" x14ac:dyDescent="0.35">
      <c r="G176" s="5" t="s">
        <v>557</v>
      </c>
      <c r="H176" s="6" t="s">
        <v>558</v>
      </c>
      <c r="I176" s="5" t="s">
        <v>89</v>
      </c>
      <c r="J176" s="6" t="s">
        <v>16</v>
      </c>
      <c r="K176" s="5" t="s">
        <v>50</v>
      </c>
      <c r="L176" s="6">
        <v>108000</v>
      </c>
      <c r="Y176" s="13" t="s">
        <v>558</v>
      </c>
      <c r="Z176" s="8" t="s">
        <v>559</v>
      </c>
    </row>
    <row r="177" spans="7:26" x14ac:dyDescent="0.35">
      <c r="G177" s="5" t="s">
        <v>560</v>
      </c>
      <c r="H177" s="6" t="s">
        <v>561</v>
      </c>
      <c r="I177" s="5" t="s">
        <v>43</v>
      </c>
      <c r="J177" s="6" t="s">
        <v>58</v>
      </c>
      <c r="K177" s="5" t="s">
        <v>50</v>
      </c>
      <c r="L177" s="6">
        <v>398000</v>
      </c>
      <c r="Y177" s="13" t="s">
        <v>561</v>
      </c>
      <c r="Z177" s="8" t="s">
        <v>562</v>
      </c>
    </row>
    <row r="178" spans="7:26" x14ac:dyDescent="0.35">
      <c r="G178" s="5" t="s">
        <v>563</v>
      </c>
      <c r="H178" s="6" t="s">
        <v>564</v>
      </c>
      <c r="I178" s="5" t="s">
        <v>44</v>
      </c>
      <c r="J178" s="6" t="s">
        <v>28</v>
      </c>
      <c r="K178" s="5" t="s">
        <v>40</v>
      </c>
      <c r="L178" s="6">
        <v>100000</v>
      </c>
      <c r="Y178" s="13" t="s">
        <v>564</v>
      </c>
      <c r="Z178" s="8" t="s">
        <v>565</v>
      </c>
    </row>
    <row r="179" spans="7:26" x14ac:dyDescent="0.35">
      <c r="G179" s="5" t="s">
        <v>566</v>
      </c>
      <c r="H179" s="6" t="s">
        <v>567</v>
      </c>
      <c r="I179" s="5" t="s">
        <v>96</v>
      </c>
      <c r="J179" s="6" t="s">
        <v>65</v>
      </c>
      <c r="K179" s="5" t="s">
        <v>40</v>
      </c>
      <c r="L179" s="6">
        <v>342000</v>
      </c>
      <c r="Y179" s="13" t="s">
        <v>567</v>
      </c>
      <c r="Z179" s="8" t="s">
        <v>568</v>
      </c>
    </row>
    <row r="180" spans="7:26" x14ac:dyDescent="0.35">
      <c r="G180" s="5" t="s">
        <v>569</v>
      </c>
      <c r="H180" s="6" t="s">
        <v>570</v>
      </c>
      <c r="I180" s="5" t="s">
        <v>89</v>
      </c>
      <c r="J180" s="6" t="s">
        <v>45</v>
      </c>
      <c r="K180" s="5" t="s">
        <v>70</v>
      </c>
      <c r="L180" s="6">
        <v>136000</v>
      </c>
      <c r="Y180" s="13" t="s">
        <v>570</v>
      </c>
      <c r="Z180" s="8" t="s">
        <v>571</v>
      </c>
    </row>
    <row r="181" spans="7:26" x14ac:dyDescent="0.35">
      <c r="G181" s="5" t="s">
        <v>572</v>
      </c>
      <c r="H181" s="6" t="s">
        <v>573</v>
      </c>
      <c r="I181" s="5" t="s">
        <v>89</v>
      </c>
      <c r="J181" s="6" t="s">
        <v>58</v>
      </c>
      <c r="K181" s="5" t="s">
        <v>17</v>
      </c>
      <c r="L181" s="6">
        <v>382000</v>
      </c>
      <c r="Y181" s="13" t="s">
        <v>573</v>
      </c>
      <c r="Z181" s="8" t="s">
        <v>574</v>
      </c>
    </row>
    <row r="182" spans="7:26" x14ac:dyDescent="0.35">
      <c r="G182" s="5" t="s">
        <v>575</v>
      </c>
      <c r="H182" s="6" t="s">
        <v>576</v>
      </c>
      <c r="I182" s="5" t="s">
        <v>44</v>
      </c>
      <c r="J182" s="6" t="s">
        <v>48</v>
      </c>
      <c r="K182" s="5" t="s">
        <v>40</v>
      </c>
      <c r="L182" s="6">
        <v>430000</v>
      </c>
      <c r="Y182" s="13" t="s">
        <v>576</v>
      </c>
      <c r="Z182" s="8" t="s">
        <v>577</v>
      </c>
    </row>
    <row r="183" spans="7:26" x14ac:dyDescent="0.35">
      <c r="G183" s="5" t="s">
        <v>578</v>
      </c>
      <c r="H183" s="6" t="s">
        <v>579</v>
      </c>
      <c r="I183" s="5" t="s">
        <v>89</v>
      </c>
      <c r="J183" s="6" t="s">
        <v>39</v>
      </c>
      <c r="K183" s="5" t="s">
        <v>70</v>
      </c>
      <c r="L183" s="6">
        <v>84000</v>
      </c>
      <c r="Y183" s="13" t="s">
        <v>579</v>
      </c>
      <c r="Z183" s="8" t="s">
        <v>580</v>
      </c>
    </row>
    <row r="184" spans="7:26" x14ac:dyDescent="0.35">
      <c r="G184" s="5" t="s">
        <v>581</v>
      </c>
      <c r="H184" s="6" t="s">
        <v>582</v>
      </c>
      <c r="I184" s="5" t="s">
        <v>96</v>
      </c>
      <c r="J184" s="6" t="s">
        <v>48</v>
      </c>
      <c r="K184" s="5" t="s">
        <v>70</v>
      </c>
      <c r="L184" s="6">
        <v>322000</v>
      </c>
      <c r="Y184" s="13" t="s">
        <v>582</v>
      </c>
      <c r="Z184" s="8" t="s">
        <v>583</v>
      </c>
    </row>
    <row r="185" spans="7:26" x14ac:dyDescent="0.35">
      <c r="G185" s="5" t="s">
        <v>584</v>
      </c>
      <c r="H185" s="6" t="s">
        <v>585</v>
      </c>
      <c r="I185" s="5" t="s">
        <v>44</v>
      </c>
      <c r="J185" s="6" t="s">
        <v>39</v>
      </c>
      <c r="K185" s="5" t="s">
        <v>17</v>
      </c>
      <c r="L185" s="6">
        <v>434000</v>
      </c>
      <c r="Y185" s="13" t="s">
        <v>585</v>
      </c>
      <c r="Z185" s="8" t="s">
        <v>586</v>
      </c>
    </row>
    <row r="186" spans="7:26" x14ac:dyDescent="0.35">
      <c r="G186" s="5" t="s">
        <v>587</v>
      </c>
      <c r="H186" s="6" t="s">
        <v>588</v>
      </c>
      <c r="I186" s="5" t="s">
        <v>27</v>
      </c>
      <c r="J186" s="6" t="s">
        <v>65</v>
      </c>
      <c r="K186" s="5" t="s">
        <v>70</v>
      </c>
      <c r="L186" s="6">
        <v>130000</v>
      </c>
      <c r="Y186" s="13" t="s">
        <v>588</v>
      </c>
      <c r="Z186" s="8" t="s">
        <v>589</v>
      </c>
    </row>
    <row r="187" spans="7:26" x14ac:dyDescent="0.35">
      <c r="G187" s="5" t="s">
        <v>590</v>
      </c>
      <c r="H187" s="6" t="s">
        <v>591</v>
      </c>
      <c r="I187" s="5" t="s">
        <v>89</v>
      </c>
      <c r="J187" s="6" t="s">
        <v>28</v>
      </c>
      <c r="K187" s="5" t="s">
        <v>40</v>
      </c>
      <c r="L187" s="6">
        <v>496000</v>
      </c>
      <c r="Y187" s="13" t="s">
        <v>591</v>
      </c>
      <c r="Z187" s="8" t="s">
        <v>592</v>
      </c>
    </row>
    <row r="188" spans="7:26" x14ac:dyDescent="0.35">
      <c r="G188" s="5" t="s">
        <v>593</v>
      </c>
      <c r="H188" s="6" t="s">
        <v>594</v>
      </c>
      <c r="I188" s="5" t="s">
        <v>44</v>
      </c>
      <c r="J188" s="6" t="s">
        <v>58</v>
      </c>
      <c r="K188" s="5" t="s">
        <v>17</v>
      </c>
      <c r="L188" s="6">
        <v>150000</v>
      </c>
      <c r="Y188" s="13" t="s">
        <v>594</v>
      </c>
      <c r="Z188" s="8" t="s">
        <v>595</v>
      </c>
    </row>
    <row r="189" spans="7:26" x14ac:dyDescent="0.35">
      <c r="G189" s="5" t="s">
        <v>596</v>
      </c>
      <c r="H189" s="6" t="s">
        <v>597</v>
      </c>
      <c r="I189" s="5" t="s">
        <v>96</v>
      </c>
      <c r="J189" s="6" t="s">
        <v>45</v>
      </c>
      <c r="K189" s="5" t="s">
        <v>70</v>
      </c>
      <c r="L189" s="6">
        <v>268000</v>
      </c>
      <c r="Y189" s="13" t="s">
        <v>597</v>
      </c>
      <c r="Z189" s="8" t="s">
        <v>598</v>
      </c>
    </row>
    <row r="190" spans="7:26" x14ac:dyDescent="0.35">
      <c r="G190" s="5" t="s">
        <v>599</v>
      </c>
      <c r="H190" s="6" t="s">
        <v>600</v>
      </c>
      <c r="I190" s="5" t="s">
        <v>15</v>
      </c>
      <c r="J190" s="6" t="s">
        <v>45</v>
      </c>
      <c r="K190" s="5" t="s">
        <v>50</v>
      </c>
      <c r="L190" s="6">
        <v>28000</v>
      </c>
      <c r="Y190" s="13" t="s">
        <v>600</v>
      </c>
      <c r="Z190" s="8" t="s">
        <v>601</v>
      </c>
    </row>
    <row r="191" spans="7:26" x14ac:dyDescent="0.35">
      <c r="G191" s="5" t="s">
        <v>602</v>
      </c>
      <c r="H191" s="6" t="s">
        <v>603</v>
      </c>
      <c r="I191" s="5" t="s">
        <v>96</v>
      </c>
      <c r="J191" s="6" t="s">
        <v>39</v>
      </c>
      <c r="K191" s="5" t="s">
        <v>50</v>
      </c>
      <c r="L191" s="6">
        <v>298000</v>
      </c>
      <c r="Y191" s="13" t="s">
        <v>603</v>
      </c>
      <c r="Z191" s="8" t="s">
        <v>604</v>
      </c>
    </row>
    <row r="192" spans="7:26" x14ac:dyDescent="0.35">
      <c r="G192" s="5" t="s">
        <v>605</v>
      </c>
      <c r="H192" s="6" t="s">
        <v>606</v>
      </c>
      <c r="I192" s="5" t="s">
        <v>38</v>
      </c>
      <c r="J192" s="6" t="s">
        <v>65</v>
      </c>
      <c r="K192" s="5" t="s">
        <v>40</v>
      </c>
      <c r="L192" s="6">
        <v>276000</v>
      </c>
      <c r="Y192" s="13" t="s">
        <v>606</v>
      </c>
      <c r="Z192" s="8" t="s">
        <v>607</v>
      </c>
    </row>
    <row r="193" spans="7:26" x14ac:dyDescent="0.35">
      <c r="G193" s="5" t="s">
        <v>608</v>
      </c>
      <c r="H193" s="6" t="s">
        <v>609</v>
      </c>
      <c r="I193" s="5" t="s">
        <v>38</v>
      </c>
      <c r="J193" s="6" t="s">
        <v>45</v>
      </c>
      <c r="K193" s="5" t="s">
        <v>70</v>
      </c>
      <c r="L193" s="6">
        <v>84000</v>
      </c>
      <c r="Y193" s="13" t="s">
        <v>609</v>
      </c>
      <c r="Z193" s="8" t="s">
        <v>610</v>
      </c>
    </row>
    <row r="194" spans="7:26" x14ac:dyDescent="0.35">
      <c r="G194" s="5" t="s">
        <v>611</v>
      </c>
      <c r="H194" s="6" t="s">
        <v>612</v>
      </c>
      <c r="I194" s="5" t="s">
        <v>38</v>
      </c>
      <c r="J194" s="6" t="s">
        <v>16</v>
      </c>
      <c r="K194" s="5" t="s">
        <v>50</v>
      </c>
      <c r="L194" s="6">
        <v>316000</v>
      </c>
      <c r="Y194" s="13" t="s">
        <v>612</v>
      </c>
      <c r="Z194" s="8" t="s">
        <v>613</v>
      </c>
    </row>
    <row r="195" spans="7:26" x14ac:dyDescent="0.35">
      <c r="G195" s="5" t="s">
        <v>614</v>
      </c>
      <c r="H195" s="6" t="s">
        <v>615</v>
      </c>
      <c r="I195" s="5" t="s">
        <v>43</v>
      </c>
      <c r="J195" s="6" t="s">
        <v>48</v>
      </c>
      <c r="K195" s="5" t="s">
        <v>40</v>
      </c>
      <c r="L195" s="6">
        <v>182000</v>
      </c>
      <c r="Y195" s="13" t="s">
        <v>615</v>
      </c>
      <c r="Z195" s="8" t="s">
        <v>616</v>
      </c>
    </row>
    <row r="196" spans="7:26" x14ac:dyDescent="0.35">
      <c r="G196" s="5" t="s">
        <v>617</v>
      </c>
      <c r="H196" s="6" t="s">
        <v>618</v>
      </c>
      <c r="I196" s="5" t="s">
        <v>96</v>
      </c>
      <c r="J196" s="6" t="s">
        <v>16</v>
      </c>
      <c r="K196" s="5" t="s">
        <v>17</v>
      </c>
      <c r="L196" s="6">
        <v>208000</v>
      </c>
      <c r="Y196" s="13" t="s">
        <v>618</v>
      </c>
      <c r="Z196" s="8" t="s">
        <v>619</v>
      </c>
    </row>
    <row r="197" spans="7:26" x14ac:dyDescent="0.35">
      <c r="G197" s="5" t="s">
        <v>620</v>
      </c>
      <c r="H197" s="6" t="s">
        <v>621</v>
      </c>
      <c r="I197" s="5" t="s">
        <v>38</v>
      </c>
      <c r="J197" s="6" t="s">
        <v>48</v>
      </c>
      <c r="K197" s="5" t="s">
        <v>70</v>
      </c>
      <c r="L197" s="6">
        <v>80000</v>
      </c>
      <c r="Y197" s="13" t="s">
        <v>621</v>
      </c>
      <c r="Z197" s="8" t="s">
        <v>622</v>
      </c>
    </row>
    <row r="198" spans="7:26" x14ac:dyDescent="0.35">
      <c r="G198" s="5" t="s">
        <v>623</v>
      </c>
      <c r="H198" s="6" t="s">
        <v>624</v>
      </c>
      <c r="I198" s="5" t="s">
        <v>15</v>
      </c>
      <c r="J198" s="6" t="s">
        <v>48</v>
      </c>
      <c r="K198" s="5" t="s">
        <v>17</v>
      </c>
      <c r="L198" s="6">
        <v>468000</v>
      </c>
      <c r="Y198" s="13" t="s">
        <v>624</v>
      </c>
      <c r="Z198" s="8" t="s">
        <v>625</v>
      </c>
    </row>
    <row r="199" spans="7:26" x14ac:dyDescent="0.35">
      <c r="G199" s="5" t="s">
        <v>626</v>
      </c>
      <c r="H199" s="6" t="s">
        <v>627</v>
      </c>
      <c r="I199" s="5" t="s">
        <v>89</v>
      </c>
      <c r="J199" s="6" t="s">
        <v>48</v>
      </c>
      <c r="K199" s="5" t="s">
        <v>50</v>
      </c>
      <c r="L199" s="6">
        <v>454000</v>
      </c>
      <c r="Y199" s="13" t="s">
        <v>627</v>
      </c>
      <c r="Z199" s="8" t="s">
        <v>628</v>
      </c>
    </row>
    <row r="200" spans="7:26" x14ac:dyDescent="0.35">
      <c r="G200" s="5" t="s">
        <v>629</v>
      </c>
      <c r="H200" s="6" t="s">
        <v>630</v>
      </c>
      <c r="I200" s="5" t="s">
        <v>43</v>
      </c>
      <c r="J200" s="6" t="s">
        <v>58</v>
      </c>
      <c r="K200" s="5" t="s">
        <v>70</v>
      </c>
      <c r="L200" s="6">
        <v>52000</v>
      </c>
      <c r="Y200" s="13" t="s">
        <v>630</v>
      </c>
      <c r="Z200" s="8" t="s">
        <v>631</v>
      </c>
    </row>
    <row r="201" spans="7:26" x14ac:dyDescent="0.35">
      <c r="G201" s="5" t="s">
        <v>632</v>
      </c>
      <c r="H201" s="6" t="s">
        <v>633</v>
      </c>
      <c r="I201" s="5" t="s">
        <v>44</v>
      </c>
      <c r="J201" s="6" t="s">
        <v>16</v>
      </c>
      <c r="K201" s="5" t="s">
        <v>17</v>
      </c>
      <c r="L201" s="6">
        <v>372000</v>
      </c>
      <c r="Y201" s="13" t="s">
        <v>633</v>
      </c>
      <c r="Z201" s="8" t="s">
        <v>634</v>
      </c>
    </row>
    <row r="202" spans="7:26" x14ac:dyDescent="0.35">
      <c r="G202" s="5" t="s">
        <v>635</v>
      </c>
      <c r="H202" s="6" t="s">
        <v>636</v>
      </c>
      <c r="I202" s="5" t="s">
        <v>43</v>
      </c>
      <c r="J202" s="6" t="s">
        <v>39</v>
      </c>
      <c r="K202" s="5" t="s">
        <v>40</v>
      </c>
      <c r="L202" s="6">
        <v>188000</v>
      </c>
      <c r="Y202" s="13" t="s">
        <v>636</v>
      </c>
      <c r="Z202" s="8" t="s">
        <v>637</v>
      </c>
    </row>
    <row r="203" spans="7:26" x14ac:dyDescent="0.35">
      <c r="G203" s="5" t="s">
        <v>638</v>
      </c>
      <c r="H203" s="6" t="s">
        <v>639</v>
      </c>
      <c r="I203" s="5" t="s">
        <v>27</v>
      </c>
      <c r="J203" s="6" t="s">
        <v>28</v>
      </c>
      <c r="K203" s="5" t="s">
        <v>17</v>
      </c>
      <c r="L203" s="6">
        <v>42000</v>
      </c>
      <c r="Y203" s="13" t="s">
        <v>639</v>
      </c>
      <c r="Z203" s="8" t="s">
        <v>640</v>
      </c>
    </row>
    <row r="204" spans="7:26" x14ac:dyDescent="0.35">
      <c r="G204" s="5" t="s">
        <v>641</v>
      </c>
      <c r="H204" s="6" t="s">
        <v>642</v>
      </c>
      <c r="I204" s="5" t="s">
        <v>43</v>
      </c>
      <c r="J204" s="6" t="s">
        <v>39</v>
      </c>
      <c r="K204" s="5" t="s">
        <v>40</v>
      </c>
      <c r="L204" s="6">
        <v>252000</v>
      </c>
      <c r="Y204" s="13" t="s">
        <v>642</v>
      </c>
      <c r="Z204" s="8" t="s">
        <v>643</v>
      </c>
    </row>
    <row r="205" spans="7:26" x14ac:dyDescent="0.35">
      <c r="G205" s="5" t="s">
        <v>644</v>
      </c>
      <c r="H205" s="6" t="s">
        <v>645</v>
      </c>
      <c r="I205" s="5" t="s">
        <v>27</v>
      </c>
      <c r="J205" s="6" t="s">
        <v>48</v>
      </c>
      <c r="K205" s="5" t="s">
        <v>50</v>
      </c>
      <c r="L205" s="6">
        <v>76000</v>
      </c>
      <c r="Y205" s="13" t="s">
        <v>645</v>
      </c>
      <c r="Z205" s="8" t="s">
        <v>646</v>
      </c>
    </row>
    <row r="206" spans="7:26" x14ac:dyDescent="0.35">
      <c r="G206" s="5" t="s">
        <v>647</v>
      </c>
      <c r="H206" s="6" t="s">
        <v>648</v>
      </c>
      <c r="I206" s="5" t="s">
        <v>15</v>
      </c>
      <c r="J206" s="6" t="s">
        <v>58</v>
      </c>
      <c r="K206" s="5" t="s">
        <v>70</v>
      </c>
      <c r="L206" s="6">
        <v>288000</v>
      </c>
      <c r="Y206" s="13" t="s">
        <v>648</v>
      </c>
      <c r="Z206" s="8" t="s">
        <v>649</v>
      </c>
    </row>
    <row r="207" spans="7:26" x14ac:dyDescent="0.35">
      <c r="G207" s="5" t="s">
        <v>650</v>
      </c>
      <c r="H207" s="6" t="s">
        <v>651</v>
      </c>
      <c r="I207" s="5" t="s">
        <v>38</v>
      </c>
      <c r="J207" s="6" t="s">
        <v>65</v>
      </c>
      <c r="K207" s="5" t="s">
        <v>40</v>
      </c>
      <c r="L207" s="6">
        <v>180000</v>
      </c>
      <c r="Y207" s="13" t="s">
        <v>651</v>
      </c>
      <c r="Z207" s="8" t="s">
        <v>652</v>
      </c>
    </row>
    <row r="208" spans="7:26" x14ac:dyDescent="0.35">
      <c r="G208" s="5" t="s">
        <v>653</v>
      </c>
      <c r="H208" s="6" t="s">
        <v>654</v>
      </c>
      <c r="I208" s="5" t="s">
        <v>43</v>
      </c>
      <c r="J208" s="6" t="s">
        <v>58</v>
      </c>
      <c r="K208" s="5" t="s">
        <v>17</v>
      </c>
      <c r="L208" s="6">
        <v>32000</v>
      </c>
      <c r="Y208" s="13" t="s">
        <v>654</v>
      </c>
      <c r="Z208" s="8" t="s">
        <v>655</v>
      </c>
    </row>
    <row r="209" spans="7:26" x14ac:dyDescent="0.35">
      <c r="G209" s="5" t="s">
        <v>656</v>
      </c>
      <c r="H209" s="6" t="s">
        <v>657</v>
      </c>
      <c r="I209" s="5" t="s">
        <v>15</v>
      </c>
      <c r="J209" s="6" t="s">
        <v>28</v>
      </c>
      <c r="K209" s="5" t="s">
        <v>40</v>
      </c>
      <c r="L209" s="6">
        <v>188000</v>
      </c>
      <c r="Y209" s="13" t="s">
        <v>657</v>
      </c>
      <c r="Z209" s="8" t="s">
        <v>658</v>
      </c>
    </row>
    <row r="210" spans="7:26" x14ac:dyDescent="0.35">
      <c r="G210" s="5" t="s">
        <v>659</v>
      </c>
      <c r="H210" s="6" t="s">
        <v>660</v>
      </c>
      <c r="I210" s="5" t="s">
        <v>38</v>
      </c>
      <c r="J210" s="6" t="s">
        <v>45</v>
      </c>
      <c r="K210" s="5" t="s">
        <v>50</v>
      </c>
      <c r="L210" s="6">
        <v>298000</v>
      </c>
      <c r="Y210" s="13" t="s">
        <v>660</v>
      </c>
      <c r="Z210" s="8" t="s">
        <v>661</v>
      </c>
    </row>
    <row r="211" spans="7:26" x14ac:dyDescent="0.35">
      <c r="G211" s="5" t="s">
        <v>662</v>
      </c>
      <c r="H211" s="6" t="s">
        <v>663</v>
      </c>
      <c r="I211" s="5" t="s">
        <v>38</v>
      </c>
      <c r="J211" s="6" t="s">
        <v>58</v>
      </c>
      <c r="K211" s="5" t="s">
        <v>40</v>
      </c>
      <c r="L211" s="6">
        <v>156000</v>
      </c>
      <c r="Y211" s="13" t="s">
        <v>663</v>
      </c>
      <c r="Z211" s="8" t="s">
        <v>664</v>
      </c>
    </row>
    <row r="212" spans="7:26" x14ac:dyDescent="0.35">
      <c r="G212" s="5" t="s">
        <v>665</v>
      </c>
      <c r="H212" s="6" t="s">
        <v>666</v>
      </c>
      <c r="I212" s="5" t="s">
        <v>15</v>
      </c>
      <c r="J212" s="6" t="s">
        <v>65</v>
      </c>
      <c r="K212" s="5" t="s">
        <v>70</v>
      </c>
      <c r="L212" s="6">
        <v>460000</v>
      </c>
      <c r="Y212" s="13" t="s">
        <v>666</v>
      </c>
      <c r="Z212" s="8" t="s">
        <v>667</v>
      </c>
    </row>
    <row r="213" spans="7:26" x14ac:dyDescent="0.35">
      <c r="G213" s="5" t="s">
        <v>668</v>
      </c>
      <c r="H213" s="6" t="s">
        <v>669</v>
      </c>
      <c r="I213" s="5" t="s">
        <v>27</v>
      </c>
      <c r="J213" s="6" t="s">
        <v>45</v>
      </c>
      <c r="K213" s="5" t="s">
        <v>17</v>
      </c>
      <c r="L213" s="6">
        <v>214000</v>
      </c>
      <c r="Y213" s="13" t="s">
        <v>669</v>
      </c>
      <c r="Z213" s="8" t="s">
        <v>670</v>
      </c>
    </row>
    <row r="214" spans="7:26" x14ac:dyDescent="0.35">
      <c r="G214" s="5" t="s">
        <v>671</v>
      </c>
      <c r="H214" s="6" t="s">
        <v>672</v>
      </c>
      <c r="I214" s="5" t="s">
        <v>96</v>
      </c>
      <c r="J214" s="6" t="s">
        <v>16</v>
      </c>
      <c r="K214" s="5" t="s">
        <v>17</v>
      </c>
      <c r="L214" s="6">
        <v>78000</v>
      </c>
      <c r="Y214" s="13" t="s">
        <v>672</v>
      </c>
      <c r="Z214" s="8" t="s">
        <v>673</v>
      </c>
    </row>
    <row r="215" spans="7:26" x14ac:dyDescent="0.35">
      <c r="G215" s="5" t="s">
        <v>674</v>
      </c>
      <c r="H215" s="6" t="s">
        <v>675</v>
      </c>
      <c r="I215" s="5" t="s">
        <v>27</v>
      </c>
      <c r="J215" s="6" t="s">
        <v>39</v>
      </c>
      <c r="K215" s="5" t="s">
        <v>17</v>
      </c>
      <c r="L215" s="6">
        <v>296000</v>
      </c>
      <c r="Y215" s="13" t="s">
        <v>675</v>
      </c>
      <c r="Z215" s="8" t="s">
        <v>676</v>
      </c>
    </row>
    <row r="216" spans="7:26" x14ac:dyDescent="0.35">
      <c r="G216" s="5" t="s">
        <v>677</v>
      </c>
      <c r="H216" s="6" t="s">
        <v>678</v>
      </c>
      <c r="I216" s="5" t="s">
        <v>89</v>
      </c>
      <c r="J216" s="6" t="s">
        <v>16</v>
      </c>
      <c r="K216" s="5" t="s">
        <v>70</v>
      </c>
      <c r="L216" s="6">
        <v>458000</v>
      </c>
      <c r="Y216" s="13" t="s">
        <v>678</v>
      </c>
      <c r="Z216" s="8" t="s">
        <v>679</v>
      </c>
    </row>
    <row r="217" spans="7:26" x14ac:dyDescent="0.35">
      <c r="G217" s="5" t="s">
        <v>680</v>
      </c>
      <c r="H217" s="6" t="s">
        <v>681</v>
      </c>
      <c r="I217" s="5" t="s">
        <v>44</v>
      </c>
      <c r="J217" s="6" t="s">
        <v>58</v>
      </c>
      <c r="K217" s="5" t="s">
        <v>50</v>
      </c>
      <c r="L217" s="6">
        <v>272000</v>
      </c>
      <c r="Y217" s="13" t="s">
        <v>681</v>
      </c>
      <c r="Z217" s="8" t="s">
        <v>682</v>
      </c>
    </row>
    <row r="218" spans="7:26" x14ac:dyDescent="0.35">
      <c r="G218" s="5" t="s">
        <v>683</v>
      </c>
      <c r="H218" s="6" t="s">
        <v>684</v>
      </c>
      <c r="I218" s="5" t="s">
        <v>96</v>
      </c>
      <c r="J218" s="6" t="s">
        <v>58</v>
      </c>
      <c r="K218" s="5" t="s">
        <v>17</v>
      </c>
      <c r="L218" s="6">
        <v>368000</v>
      </c>
      <c r="Y218" s="13" t="s">
        <v>684</v>
      </c>
      <c r="Z218" s="8" t="s">
        <v>685</v>
      </c>
    </row>
    <row r="219" spans="7:26" x14ac:dyDescent="0.35">
      <c r="G219" s="5" t="s">
        <v>686</v>
      </c>
      <c r="H219" s="6" t="s">
        <v>687</v>
      </c>
      <c r="I219" s="5" t="s">
        <v>96</v>
      </c>
      <c r="J219" s="6" t="s">
        <v>58</v>
      </c>
      <c r="K219" s="5" t="s">
        <v>50</v>
      </c>
      <c r="L219" s="6">
        <v>216000</v>
      </c>
      <c r="Y219" s="13" t="s">
        <v>687</v>
      </c>
      <c r="Z219" s="8" t="s">
        <v>688</v>
      </c>
    </row>
    <row r="220" spans="7:26" x14ac:dyDescent="0.35">
      <c r="G220" s="5" t="s">
        <v>689</v>
      </c>
      <c r="H220" s="6" t="s">
        <v>690</v>
      </c>
      <c r="I220" s="5" t="s">
        <v>43</v>
      </c>
      <c r="J220" s="6" t="s">
        <v>48</v>
      </c>
      <c r="K220" s="5" t="s">
        <v>17</v>
      </c>
      <c r="L220" s="6">
        <v>334000</v>
      </c>
      <c r="Y220" s="13" t="s">
        <v>690</v>
      </c>
      <c r="Z220" s="8" t="s">
        <v>691</v>
      </c>
    </row>
    <row r="221" spans="7:26" x14ac:dyDescent="0.35">
      <c r="G221" s="5" t="s">
        <v>692</v>
      </c>
      <c r="H221" s="6" t="s">
        <v>693</v>
      </c>
      <c r="I221" s="5" t="s">
        <v>43</v>
      </c>
      <c r="J221" s="6" t="s">
        <v>16</v>
      </c>
      <c r="K221" s="5" t="s">
        <v>40</v>
      </c>
      <c r="L221" s="6">
        <v>26000</v>
      </c>
      <c r="Y221" s="13" t="s">
        <v>693</v>
      </c>
      <c r="Z221" s="8" t="s">
        <v>694</v>
      </c>
    </row>
    <row r="222" spans="7:26" x14ac:dyDescent="0.35">
      <c r="G222" s="5" t="s">
        <v>695</v>
      </c>
      <c r="H222" s="6" t="s">
        <v>696</v>
      </c>
      <c r="I222" s="5" t="s">
        <v>15</v>
      </c>
      <c r="J222" s="6" t="s">
        <v>65</v>
      </c>
      <c r="K222" s="5" t="s">
        <v>50</v>
      </c>
      <c r="L222" s="6">
        <v>470000</v>
      </c>
      <c r="Y222" s="13" t="s">
        <v>696</v>
      </c>
      <c r="Z222" s="8" t="s">
        <v>697</v>
      </c>
    </row>
    <row r="223" spans="7:26" x14ac:dyDescent="0.35">
      <c r="G223" s="5" t="s">
        <v>698</v>
      </c>
      <c r="H223" s="6" t="s">
        <v>699</v>
      </c>
      <c r="I223" s="5" t="s">
        <v>27</v>
      </c>
      <c r="J223" s="6" t="s">
        <v>45</v>
      </c>
      <c r="K223" s="5" t="s">
        <v>50</v>
      </c>
      <c r="L223" s="6">
        <v>322000</v>
      </c>
      <c r="Y223" s="13" t="s">
        <v>699</v>
      </c>
      <c r="Z223" s="8" t="s">
        <v>700</v>
      </c>
    </row>
    <row r="224" spans="7:26" x14ac:dyDescent="0.35">
      <c r="G224" s="5" t="s">
        <v>701</v>
      </c>
      <c r="H224" s="6" t="s">
        <v>702</v>
      </c>
      <c r="I224" s="5" t="s">
        <v>43</v>
      </c>
      <c r="J224" s="6" t="s">
        <v>16</v>
      </c>
      <c r="K224" s="5" t="s">
        <v>17</v>
      </c>
      <c r="L224" s="6">
        <v>248000</v>
      </c>
      <c r="Y224" s="13" t="s">
        <v>702</v>
      </c>
      <c r="Z224" s="8" t="s">
        <v>703</v>
      </c>
    </row>
    <row r="225" spans="7:26" x14ac:dyDescent="0.35">
      <c r="G225" s="5" t="s">
        <v>704</v>
      </c>
      <c r="H225" s="6" t="s">
        <v>705</v>
      </c>
      <c r="I225" s="5" t="s">
        <v>27</v>
      </c>
      <c r="J225" s="6" t="s">
        <v>16</v>
      </c>
      <c r="K225" s="5" t="s">
        <v>70</v>
      </c>
      <c r="L225" s="6">
        <v>382000</v>
      </c>
      <c r="Y225" s="13" t="s">
        <v>705</v>
      </c>
      <c r="Z225" s="8" t="s">
        <v>706</v>
      </c>
    </row>
    <row r="226" spans="7:26" x14ac:dyDescent="0.35">
      <c r="G226" s="5" t="s">
        <v>707</v>
      </c>
      <c r="H226" s="6" t="s">
        <v>708</v>
      </c>
      <c r="I226" s="5" t="s">
        <v>43</v>
      </c>
      <c r="J226" s="6" t="s">
        <v>65</v>
      </c>
      <c r="K226" s="5" t="s">
        <v>17</v>
      </c>
      <c r="L226" s="6">
        <v>74000</v>
      </c>
      <c r="Y226" s="13" t="s">
        <v>708</v>
      </c>
      <c r="Z226" s="8" t="s">
        <v>709</v>
      </c>
    </row>
    <row r="227" spans="7:26" x14ac:dyDescent="0.35">
      <c r="G227" s="5" t="s">
        <v>710</v>
      </c>
      <c r="H227" s="6" t="s">
        <v>711</v>
      </c>
      <c r="I227" s="5" t="s">
        <v>38</v>
      </c>
      <c r="J227" s="6" t="s">
        <v>39</v>
      </c>
      <c r="K227" s="5" t="s">
        <v>50</v>
      </c>
      <c r="L227" s="6">
        <v>394000</v>
      </c>
      <c r="Y227" s="13" t="s">
        <v>711</v>
      </c>
      <c r="Z227" s="8" t="s">
        <v>712</v>
      </c>
    </row>
    <row r="228" spans="7:26" x14ac:dyDescent="0.35">
      <c r="G228" s="5" t="s">
        <v>713</v>
      </c>
      <c r="H228" s="6" t="s">
        <v>714</v>
      </c>
      <c r="I228" s="5" t="s">
        <v>15</v>
      </c>
      <c r="J228" s="6" t="s">
        <v>45</v>
      </c>
      <c r="K228" s="5" t="s">
        <v>17</v>
      </c>
      <c r="L228" s="6">
        <v>52000</v>
      </c>
      <c r="Y228" s="13" t="s">
        <v>714</v>
      </c>
      <c r="Z228" s="8" t="s">
        <v>715</v>
      </c>
    </row>
    <row r="229" spans="7:26" x14ac:dyDescent="0.35">
      <c r="G229" s="5" t="s">
        <v>716</v>
      </c>
      <c r="H229" s="6" t="s">
        <v>717</v>
      </c>
      <c r="I229" s="5" t="s">
        <v>27</v>
      </c>
      <c r="J229" s="6" t="s">
        <v>28</v>
      </c>
      <c r="K229" s="5" t="s">
        <v>17</v>
      </c>
      <c r="L229" s="6">
        <v>38000</v>
      </c>
      <c r="Y229" s="13" t="s">
        <v>717</v>
      </c>
      <c r="Z229" s="8" t="s">
        <v>718</v>
      </c>
    </row>
    <row r="230" spans="7:26" x14ac:dyDescent="0.35">
      <c r="G230" s="5" t="s">
        <v>719</v>
      </c>
      <c r="H230" s="6" t="s">
        <v>720</v>
      </c>
      <c r="I230" s="5" t="s">
        <v>15</v>
      </c>
      <c r="J230" s="6" t="s">
        <v>16</v>
      </c>
      <c r="K230" s="5" t="s">
        <v>70</v>
      </c>
      <c r="L230" s="6">
        <v>188000</v>
      </c>
      <c r="Y230" s="13" t="s">
        <v>720</v>
      </c>
      <c r="Z230" s="8" t="s">
        <v>721</v>
      </c>
    </row>
    <row r="231" spans="7:26" x14ac:dyDescent="0.35">
      <c r="G231" s="5" t="s">
        <v>722</v>
      </c>
      <c r="H231" s="6" t="s">
        <v>723</v>
      </c>
      <c r="I231" s="5" t="s">
        <v>44</v>
      </c>
      <c r="J231" s="6" t="s">
        <v>65</v>
      </c>
      <c r="K231" s="5" t="s">
        <v>50</v>
      </c>
      <c r="L231" s="6">
        <v>468000</v>
      </c>
      <c r="Y231" s="13" t="s">
        <v>723</v>
      </c>
      <c r="Z231" s="8" t="s">
        <v>724</v>
      </c>
    </row>
    <row r="232" spans="7:26" x14ac:dyDescent="0.35">
      <c r="G232" s="5" t="s">
        <v>725</v>
      </c>
      <c r="H232" s="6" t="s">
        <v>726</v>
      </c>
      <c r="I232" s="5" t="s">
        <v>15</v>
      </c>
      <c r="J232" s="6" t="s">
        <v>39</v>
      </c>
      <c r="K232" s="5" t="s">
        <v>40</v>
      </c>
      <c r="L232" s="6">
        <v>262000</v>
      </c>
      <c r="Y232" s="13" t="s">
        <v>726</v>
      </c>
      <c r="Z232" s="8" t="s">
        <v>727</v>
      </c>
    </row>
    <row r="233" spans="7:26" x14ac:dyDescent="0.35">
      <c r="G233" s="5" t="s">
        <v>728</v>
      </c>
      <c r="H233" s="6" t="s">
        <v>729</v>
      </c>
      <c r="I233" s="5" t="s">
        <v>89</v>
      </c>
      <c r="J233" s="6" t="s">
        <v>45</v>
      </c>
      <c r="K233" s="5" t="s">
        <v>17</v>
      </c>
      <c r="L233" s="6">
        <v>376000</v>
      </c>
      <c r="Y233" s="13" t="s">
        <v>729</v>
      </c>
      <c r="Z233" s="8" t="s">
        <v>730</v>
      </c>
    </row>
    <row r="234" spans="7:26" x14ac:dyDescent="0.35">
      <c r="G234" s="5" t="s">
        <v>731</v>
      </c>
      <c r="H234" s="6" t="s">
        <v>732</v>
      </c>
      <c r="I234" s="5" t="s">
        <v>96</v>
      </c>
      <c r="J234" s="6" t="s">
        <v>48</v>
      </c>
      <c r="K234" s="5" t="s">
        <v>17</v>
      </c>
      <c r="L234" s="6">
        <v>380000</v>
      </c>
      <c r="Y234" s="13" t="s">
        <v>732</v>
      </c>
      <c r="Z234" s="8" t="s">
        <v>733</v>
      </c>
    </row>
    <row r="235" spans="7:26" x14ac:dyDescent="0.35">
      <c r="G235" s="5" t="s">
        <v>734</v>
      </c>
      <c r="H235" s="6" t="s">
        <v>735</v>
      </c>
      <c r="I235" s="5" t="s">
        <v>38</v>
      </c>
      <c r="J235" s="6" t="s">
        <v>16</v>
      </c>
      <c r="K235" s="5" t="s">
        <v>70</v>
      </c>
      <c r="L235" s="6">
        <v>64000</v>
      </c>
      <c r="Y235" s="13" t="s">
        <v>735</v>
      </c>
      <c r="Z235" s="8" t="s">
        <v>736</v>
      </c>
    </row>
    <row r="236" spans="7:26" x14ac:dyDescent="0.35">
      <c r="G236" s="5" t="s">
        <v>737</v>
      </c>
      <c r="H236" s="6" t="s">
        <v>738</v>
      </c>
      <c r="I236" s="5" t="s">
        <v>89</v>
      </c>
      <c r="J236" s="6" t="s">
        <v>58</v>
      </c>
      <c r="K236" s="5" t="s">
        <v>50</v>
      </c>
      <c r="L236" s="6">
        <v>236000</v>
      </c>
      <c r="Y236" s="13" t="s">
        <v>738</v>
      </c>
      <c r="Z236" s="8" t="s">
        <v>739</v>
      </c>
    </row>
    <row r="237" spans="7:26" x14ac:dyDescent="0.35">
      <c r="G237" s="5" t="s">
        <v>740</v>
      </c>
      <c r="H237" s="6" t="s">
        <v>741</v>
      </c>
      <c r="I237" s="5" t="s">
        <v>44</v>
      </c>
      <c r="J237" s="6" t="s">
        <v>16</v>
      </c>
      <c r="K237" s="5" t="s">
        <v>50</v>
      </c>
      <c r="L237" s="6">
        <v>464000</v>
      </c>
      <c r="Y237" s="13" t="s">
        <v>741</v>
      </c>
      <c r="Z237" s="8" t="s">
        <v>742</v>
      </c>
    </row>
    <row r="238" spans="7:26" x14ac:dyDescent="0.35">
      <c r="G238" s="5" t="s">
        <v>743</v>
      </c>
      <c r="H238" s="6" t="s">
        <v>744</v>
      </c>
      <c r="I238" s="5" t="s">
        <v>43</v>
      </c>
      <c r="J238" s="6" t="s">
        <v>48</v>
      </c>
      <c r="K238" s="5" t="s">
        <v>17</v>
      </c>
      <c r="L238" s="6">
        <v>304000</v>
      </c>
      <c r="Y238" s="13" t="s">
        <v>744</v>
      </c>
      <c r="Z238" s="8" t="s">
        <v>745</v>
      </c>
    </row>
    <row r="239" spans="7:26" x14ac:dyDescent="0.35">
      <c r="G239" s="5" t="s">
        <v>746</v>
      </c>
      <c r="H239" s="6" t="s">
        <v>747</v>
      </c>
      <c r="I239" s="5" t="s">
        <v>38</v>
      </c>
      <c r="J239" s="6" t="s">
        <v>58</v>
      </c>
      <c r="K239" s="5" t="s">
        <v>70</v>
      </c>
      <c r="L239" s="6">
        <v>242000</v>
      </c>
      <c r="Y239" s="13" t="s">
        <v>747</v>
      </c>
      <c r="Z239" s="8" t="s">
        <v>748</v>
      </c>
    </row>
    <row r="240" spans="7:26" x14ac:dyDescent="0.35">
      <c r="G240" s="5" t="s">
        <v>749</v>
      </c>
      <c r="H240" s="6" t="s">
        <v>750</v>
      </c>
      <c r="I240" s="5" t="s">
        <v>38</v>
      </c>
      <c r="J240" s="6" t="s">
        <v>58</v>
      </c>
      <c r="K240" s="5" t="s">
        <v>40</v>
      </c>
      <c r="L240" s="6">
        <v>326000</v>
      </c>
      <c r="Y240" s="13" t="s">
        <v>750</v>
      </c>
      <c r="Z240" s="8" t="s">
        <v>751</v>
      </c>
    </row>
    <row r="241" spans="7:26" x14ac:dyDescent="0.35">
      <c r="G241" s="5" t="s">
        <v>752</v>
      </c>
      <c r="H241" s="6" t="s">
        <v>753</v>
      </c>
      <c r="I241" s="5" t="s">
        <v>38</v>
      </c>
      <c r="J241" s="6" t="s">
        <v>58</v>
      </c>
      <c r="K241" s="5" t="s">
        <v>40</v>
      </c>
      <c r="L241" s="6">
        <v>424000</v>
      </c>
      <c r="Y241" s="13" t="s">
        <v>753</v>
      </c>
      <c r="Z241" s="8" t="s">
        <v>754</v>
      </c>
    </row>
    <row r="242" spans="7:26" x14ac:dyDescent="0.35">
      <c r="G242" s="5" t="s">
        <v>755</v>
      </c>
      <c r="H242" s="6" t="s">
        <v>756</v>
      </c>
      <c r="I242" s="5" t="s">
        <v>43</v>
      </c>
      <c r="J242" s="6" t="s">
        <v>28</v>
      </c>
      <c r="K242" s="5" t="s">
        <v>40</v>
      </c>
      <c r="L242" s="6">
        <v>90000</v>
      </c>
      <c r="Y242" s="13" t="s">
        <v>756</v>
      </c>
      <c r="Z242" s="8" t="s">
        <v>757</v>
      </c>
    </row>
    <row r="243" spans="7:26" x14ac:dyDescent="0.35">
      <c r="G243" s="5" t="s">
        <v>758</v>
      </c>
      <c r="H243" s="6" t="s">
        <v>759</v>
      </c>
      <c r="I243" s="5" t="s">
        <v>15</v>
      </c>
      <c r="J243" s="6" t="s">
        <v>65</v>
      </c>
      <c r="K243" s="5" t="s">
        <v>70</v>
      </c>
      <c r="L243" s="6">
        <v>464000</v>
      </c>
      <c r="Y243" s="13" t="s">
        <v>759</v>
      </c>
      <c r="Z243" s="8" t="s">
        <v>760</v>
      </c>
    </row>
    <row r="244" spans="7:26" x14ac:dyDescent="0.35">
      <c r="G244" s="5" t="s">
        <v>761</v>
      </c>
      <c r="H244" s="6" t="s">
        <v>762</v>
      </c>
      <c r="I244" s="5" t="s">
        <v>44</v>
      </c>
      <c r="J244" s="6" t="s">
        <v>58</v>
      </c>
      <c r="K244" s="5" t="s">
        <v>70</v>
      </c>
      <c r="L244" s="6">
        <v>468000</v>
      </c>
      <c r="Y244" s="13" t="s">
        <v>762</v>
      </c>
      <c r="Z244" s="8" t="s">
        <v>763</v>
      </c>
    </row>
    <row r="245" spans="7:26" x14ac:dyDescent="0.35">
      <c r="G245" s="5" t="s">
        <v>764</v>
      </c>
      <c r="H245" s="6" t="s">
        <v>765</v>
      </c>
      <c r="I245" s="5" t="s">
        <v>43</v>
      </c>
      <c r="J245" s="6" t="s">
        <v>65</v>
      </c>
      <c r="K245" s="5" t="s">
        <v>50</v>
      </c>
      <c r="L245" s="6">
        <v>310000</v>
      </c>
      <c r="Y245" s="13" t="s">
        <v>765</v>
      </c>
      <c r="Z245" s="8" t="s">
        <v>766</v>
      </c>
    </row>
    <row r="246" spans="7:26" x14ac:dyDescent="0.35">
      <c r="G246" s="5" t="s">
        <v>767</v>
      </c>
      <c r="H246" s="6" t="s">
        <v>768</v>
      </c>
      <c r="I246" s="5" t="s">
        <v>15</v>
      </c>
      <c r="J246" s="6" t="s">
        <v>28</v>
      </c>
      <c r="K246" s="5" t="s">
        <v>70</v>
      </c>
      <c r="L246" s="6">
        <v>266000</v>
      </c>
      <c r="Y246" s="13" t="s">
        <v>768</v>
      </c>
      <c r="Z246" s="8" t="s">
        <v>769</v>
      </c>
    </row>
    <row r="247" spans="7:26" x14ac:dyDescent="0.35">
      <c r="G247" s="5" t="s">
        <v>770</v>
      </c>
      <c r="H247" s="6" t="s">
        <v>771</v>
      </c>
      <c r="I247" s="5" t="s">
        <v>15</v>
      </c>
      <c r="J247" s="6" t="s">
        <v>48</v>
      </c>
      <c r="K247" s="5" t="s">
        <v>17</v>
      </c>
      <c r="L247" s="6">
        <v>496000</v>
      </c>
      <c r="Y247" s="13" t="s">
        <v>771</v>
      </c>
      <c r="Z247" s="8" t="s">
        <v>772</v>
      </c>
    </row>
    <row r="248" spans="7:26" x14ac:dyDescent="0.35">
      <c r="G248" s="5" t="s">
        <v>773</v>
      </c>
      <c r="H248" s="6" t="s">
        <v>774</v>
      </c>
      <c r="I248" s="5" t="s">
        <v>89</v>
      </c>
      <c r="J248" s="6" t="s">
        <v>39</v>
      </c>
      <c r="K248" s="5" t="s">
        <v>17</v>
      </c>
      <c r="L248" s="6">
        <v>406000</v>
      </c>
      <c r="Y248" s="13" t="s">
        <v>774</v>
      </c>
      <c r="Z248" s="8" t="s">
        <v>775</v>
      </c>
    </row>
    <row r="249" spans="7:26" x14ac:dyDescent="0.35">
      <c r="G249" s="5" t="s">
        <v>776</v>
      </c>
      <c r="H249" s="6" t="s">
        <v>777</v>
      </c>
      <c r="I249" s="5" t="s">
        <v>89</v>
      </c>
      <c r="J249" s="6" t="s">
        <v>58</v>
      </c>
      <c r="K249" s="5" t="s">
        <v>50</v>
      </c>
      <c r="L249" s="6">
        <v>142000</v>
      </c>
      <c r="Y249" s="13" t="s">
        <v>777</v>
      </c>
      <c r="Z249" s="8" t="s">
        <v>778</v>
      </c>
    </row>
    <row r="250" spans="7:26" x14ac:dyDescent="0.35">
      <c r="G250" s="5" t="s">
        <v>779</v>
      </c>
      <c r="H250" s="6" t="s">
        <v>780</v>
      </c>
      <c r="I250" s="5" t="s">
        <v>89</v>
      </c>
      <c r="J250" s="6" t="s">
        <v>16</v>
      </c>
      <c r="K250" s="5" t="s">
        <v>70</v>
      </c>
      <c r="L250" s="6">
        <v>86000</v>
      </c>
      <c r="Y250" s="13" t="s">
        <v>780</v>
      </c>
      <c r="Z250" s="8" t="s">
        <v>781</v>
      </c>
    </row>
    <row r="251" spans="7:26" x14ac:dyDescent="0.35">
      <c r="G251" s="5" t="s">
        <v>782</v>
      </c>
      <c r="H251" s="6" t="s">
        <v>783</v>
      </c>
      <c r="I251" s="5" t="s">
        <v>89</v>
      </c>
      <c r="J251" s="6" t="s">
        <v>48</v>
      </c>
      <c r="K251" s="5" t="s">
        <v>70</v>
      </c>
      <c r="L251" s="6">
        <v>232000</v>
      </c>
      <c r="Y251" s="13" t="s">
        <v>783</v>
      </c>
      <c r="Z251" s="8" t="s">
        <v>784</v>
      </c>
    </row>
    <row r="252" spans="7:26" x14ac:dyDescent="0.35">
      <c r="G252" s="5" t="s">
        <v>785</v>
      </c>
      <c r="H252" s="6" t="s">
        <v>786</v>
      </c>
      <c r="I252" s="5" t="s">
        <v>43</v>
      </c>
      <c r="J252" s="6" t="s">
        <v>58</v>
      </c>
      <c r="K252" s="5" t="s">
        <v>40</v>
      </c>
      <c r="L252" s="6">
        <v>500000</v>
      </c>
      <c r="Y252" s="13" t="s">
        <v>786</v>
      </c>
      <c r="Z252" s="8" t="s">
        <v>787</v>
      </c>
    </row>
    <row r="253" spans="7:26" x14ac:dyDescent="0.35">
      <c r="G253" s="5" t="s">
        <v>788</v>
      </c>
      <c r="H253" s="6" t="s">
        <v>789</v>
      </c>
      <c r="I253" s="5" t="s">
        <v>89</v>
      </c>
      <c r="J253" s="6" t="s">
        <v>58</v>
      </c>
      <c r="K253" s="5" t="s">
        <v>40</v>
      </c>
      <c r="L253" s="6">
        <v>308000</v>
      </c>
      <c r="Y253" s="13" t="s">
        <v>789</v>
      </c>
      <c r="Z253" s="8" t="s">
        <v>790</v>
      </c>
    </row>
    <row r="254" spans="7:26" x14ac:dyDescent="0.35">
      <c r="G254" s="5" t="s">
        <v>791</v>
      </c>
      <c r="H254" s="6" t="s">
        <v>792</v>
      </c>
      <c r="I254" s="5" t="s">
        <v>43</v>
      </c>
      <c r="J254" s="6" t="s">
        <v>48</v>
      </c>
      <c r="K254" s="5" t="s">
        <v>17</v>
      </c>
      <c r="L254" s="6">
        <v>394000</v>
      </c>
      <c r="Y254" s="13" t="s">
        <v>792</v>
      </c>
      <c r="Z254" s="8" t="s">
        <v>793</v>
      </c>
    </row>
    <row r="255" spans="7:26" x14ac:dyDescent="0.35">
      <c r="G255" s="5" t="s">
        <v>794</v>
      </c>
      <c r="H255" s="6" t="s">
        <v>795</v>
      </c>
      <c r="I255" s="5" t="s">
        <v>15</v>
      </c>
      <c r="J255" s="6" t="s">
        <v>39</v>
      </c>
      <c r="K255" s="5" t="s">
        <v>40</v>
      </c>
      <c r="L255" s="6">
        <v>44000</v>
      </c>
      <c r="Y255" s="13" t="s">
        <v>795</v>
      </c>
      <c r="Z255" s="8" t="s">
        <v>796</v>
      </c>
    </row>
    <row r="256" spans="7:26" x14ac:dyDescent="0.35">
      <c r="G256" s="5" t="s">
        <v>797</v>
      </c>
      <c r="H256" s="6" t="s">
        <v>798</v>
      </c>
      <c r="I256" s="5" t="s">
        <v>44</v>
      </c>
      <c r="J256" s="6" t="s">
        <v>45</v>
      </c>
      <c r="K256" s="5" t="s">
        <v>70</v>
      </c>
      <c r="L256" s="6">
        <v>456000</v>
      </c>
      <c r="Y256" s="13" t="s">
        <v>798</v>
      </c>
      <c r="Z256" s="8" t="s">
        <v>799</v>
      </c>
    </row>
    <row r="257" spans="7:26" x14ac:dyDescent="0.35">
      <c r="G257" s="5" t="s">
        <v>800</v>
      </c>
      <c r="H257" s="6" t="s">
        <v>801</v>
      </c>
      <c r="I257" s="5" t="s">
        <v>89</v>
      </c>
      <c r="J257" s="6" t="s">
        <v>28</v>
      </c>
      <c r="K257" s="5" t="s">
        <v>40</v>
      </c>
      <c r="L257" s="6">
        <v>296000</v>
      </c>
      <c r="Y257" s="13" t="s">
        <v>801</v>
      </c>
      <c r="Z257" s="8" t="s">
        <v>802</v>
      </c>
    </row>
    <row r="258" spans="7:26" x14ac:dyDescent="0.35">
      <c r="G258" s="5" t="s">
        <v>803</v>
      </c>
      <c r="H258" s="6" t="s">
        <v>804</v>
      </c>
      <c r="I258" s="5" t="s">
        <v>27</v>
      </c>
      <c r="J258" s="6" t="s">
        <v>48</v>
      </c>
      <c r="K258" s="5" t="s">
        <v>17</v>
      </c>
      <c r="L258" s="6">
        <v>96000</v>
      </c>
      <c r="Y258" s="13" t="s">
        <v>804</v>
      </c>
      <c r="Z258" s="8" t="s">
        <v>805</v>
      </c>
    </row>
    <row r="259" spans="7:26" x14ac:dyDescent="0.35">
      <c r="G259" s="5" t="s">
        <v>806</v>
      </c>
      <c r="H259" s="6" t="s">
        <v>807</v>
      </c>
      <c r="I259" s="5" t="s">
        <v>96</v>
      </c>
      <c r="J259" s="6" t="s">
        <v>65</v>
      </c>
      <c r="K259" s="5" t="s">
        <v>70</v>
      </c>
      <c r="L259" s="6">
        <v>28000</v>
      </c>
      <c r="Y259" s="13" t="s">
        <v>807</v>
      </c>
      <c r="Z259" s="8" t="s">
        <v>808</v>
      </c>
    </row>
    <row r="260" spans="7:26" x14ac:dyDescent="0.35">
      <c r="G260" s="5" t="s">
        <v>809</v>
      </c>
      <c r="H260" s="6" t="s">
        <v>810</v>
      </c>
      <c r="I260" s="5" t="s">
        <v>27</v>
      </c>
      <c r="J260" s="6" t="s">
        <v>16</v>
      </c>
      <c r="K260" s="5" t="s">
        <v>17</v>
      </c>
      <c r="L260" s="6">
        <v>420000</v>
      </c>
      <c r="Y260" s="13" t="s">
        <v>810</v>
      </c>
      <c r="Z260" s="8" t="s">
        <v>811</v>
      </c>
    </row>
    <row r="261" spans="7:26" x14ac:dyDescent="0.35">
      <c r="G261" s="5" t="s">
        <v>812</v>
      </c>
      <c r="H261" s="6" t="s">
        <v>813</v>
      </c>
      <c r="I261" s="5" t="s">
        <v>44</v>
      </c>
      <c r="J261" s="6" t="s">
        <v>39</v>
      </c>
      <c r="K261" s="5" t="s">
        <v>40</v>
      </c>
      <c r="L261" s="6">
        <v>92000</v>
      </c>
      <c r="Y261" s="13" t="s">
        <v>813</v>
      </c>
      <c r="Z261" s="8" t="s">
        <v>814</v>
      </c>
    </row>
    <row r="262" spans="7:26" x14ac:dyDescent="0.35">
      <c r="G262" s="5" t="s">
        <v>815</v>
      </c>
      <c r="H262" s="6" t="s">
        <v>816</v>
      </c>
      <c r="I262" s="5" t="s">
        <v>38</v>
      </c>
      <c r="J262" s="6" t="s">
        <v>58</v>
      </c>
      <c r="K262" s="5" t="s">
        <v>70</v>
      </c>
      <c r="L262" s="6">
        <v>36000</v>
      </c>
      <c r="Y262" s="13" t="s">
        <v>816</v>
      </c>
      <c r="Z262" s="8" t="s">
        <v>817</v>
      </c>
    </row>
    <row r="263" spans="7:26" x14ac:dyDescent="0.35">
      <c r="G263" s="5" t="s">
        <v>818</v>
      </c>
      <c r="H263" s="6" t="s">
        <v>819</v>
      </c>
      <c r="I263" s="5" t="s">
        <v>15</v>
      </c>
      <c r="J263" s="6" t="s">
        <v>65</v>
      </c>
      <c r="K263" s="5" t="s">
        <v>70</v>
      </c>
      <c r="L263" s="6">
        <v>74000</v>
      </c>
      <c r="Y263" s="13" t="s">
        <v>819</v>
      </c>
      <c r="Z263" s="8" t="s">
        <v>820</v>
      </c>
    </row>
    <row r="264" spans="7:26" x14ac:dyDescent="0.35">
      <c r="G264" s="5" t="s">
        <v>821</v>
      </c>
      <c r="H264" s="6" t="s">
        <v>822</v>
      </c>
      <c r="I264" s="5" t="s">
        <v>43</v>
      </c>
      <c r="J264" s="6" t="s">
        <v>45</v>
      </c>
      <c r="K264" s="5" t="s">
        <v>17</v>
      </c>
      <c r="L264" s="6">
        <v>266000</v>
      </c>
      <c r="Y264" s="13" t="s">
        <v>822</v>
      </c>
      <c r="Z264" s="8" t="s">
        <v>823</v>
      </c>
    </row>
    <row r="265" spans="7:26" x14ac:dyDescent="0.35">
      <c r="G265" s="5" t="s">
        <v>824</v>
      </c>
      <c r="H265" s="6" t="s">
        <v>825</v>
      </c>
      <c r="I265" s="5" t="s">
        <v>96</v>
      </c>
      <c r="J265" s="6" t="s">
        <v>16</v>
      </c>
      <c r="K265" s="5" t="s">
        <v>40</v>
      </c>
      <c r="L265" s="6">
        <v>444000</v>
      </c>
      <c r="Y265" s="13" t="s">
        <v>825</v>
      </c>
      <c r="Z265" s="8" t="s">
        <v>826</v>
      </c>
    </row>
    <row r="266" spans="7:26" x14ac:dyDescent="0.35">
      <c r="G266" s="5" t="s">
        <v>827</v>
      </c>
      <c r="H266" s="6" t="s">
        <v>828</v>
      </c>
      <c r="I266" s="5" t="s">
        <v>89</v>
      </c>
      <c r="J266" s="6" t="s">
        <v>58</v>
      </c>
      <c r="K266" s="5" t="s">
        <v>40</v>
      </c>
      <c r="L266" s="6">
        <v>28000</v>
      </c>
      <c r="Y266" s="13" t="s">
        <v>828</v>
      </c>
      <c r="Z266" s="8" t="s">
        <v>829</v>
      </c>
    </row>
    <row r="267" spans="7:26" x14ac:dyDescent="0.35">
      <c r="G267" s="5" t="s">
        <v>830</v>
      </c>
      <c r="H267" s="6" t="s">
        <v>831</v>
      </c>
      <c r="I267" s="5" t="s">
        <v>89</v>
      </c>
      <c r="J267" s="6" t="s">
        <v>39</v>
      </c>
      <c r="K267" s="5" t="s">
        <v>17</v>
      </c>
      <c r="L267" s="6">
        <v>202000</v>
      </c>
      <c r="Y267" s="13" t="s">
        <v>831</v>
      </c>
      <c r="Z267" s="8" t="s">
        <v>832</v>
      </c>
    </row>
    <row r="268" spans="7:26" x14ac:dyDescent="0.35">
      <c r="G268" s="5" t="s">
        <v>833</v>
      </c>
      <c r="H268" s="6" t="s">
        <v>834</v>
      </c>
      <c r="I268" s="5" t="s">
        <v>96</v>
      </c>
      <c r="J268" s="6" t="s">
        <v>28</v>
      </c>
      <c r="K268" s="5" t="s">
        <v>50</v>
      </c>
      <c r="L268" s="6">
        <v>252000</v>
      </c>
      <c r="Y268" s="13" t="s">
        <v>834</v>
      </c>
      <c r="Z268" s="8" t="s">
        <v>835</v>
      </c>
    </row>
    <row r="269" spans="7:26" x14ac:dyDescent="0.35">
      <c r="G269" s="5" t="s">
        <v>836</v>
      </c>
      <c r="H269" s="6" t="s">
        <v>837</v>
      </c>
      <c r="I269" s="5" t="s">
        <v>96</v>
      </c>
      <c r="J269" s="6" t="s">
        <v>48</v>
      </c>
      <c r="K269" s="5" t="s">
        <v>70</v>
      </c>
      <c r="L269" s="6">
        <v>46000</v>
      </c>
      <c r="Y269" s="13" t="s">
        <v>837</v>
      </c>
      <c r="Z269" s="8" t="s">
        <v>838</v>
      </c>
    </row>
    <row r="270" spans="7:26" x14ac:dyDescent="0.35">
      <c r="G270" s="5" t="s">
        <v>839</v>
      </c>
      <c r="H270" s="6" t="s">
        <v>840</v>
      </c>
      <c r="I270" s="5" t="s">
        <v>96</v>
      </c>
      <c r="J270" s="6" t="s">
        <v>58</v>
      </c>
      <c r="K270" s="5" t="s">
        <v>40</v>
      </c>
      <c r="L270" s="6">
        <v>378000</v>
      </c>
      <c r="Y270" s="13" t="s">
        <v>840</v>
      </c>
      <c r="Z270" s="8" t="s">
        <v>841</v>
      </c>
    </row>
    <row r="271" spans="7:26" x14ac:dyDescent="0.35">
      <c r="G271" s="5" t="s">
        <v>842</v>
      </c>
      <c r="H271" s="6" t="s">
        <v>843</v>
      </c>
      <c r="I271" s="5" t="s">
        <v>38</v>
      </c>
      <c r="J271" s="6" t="s">
        <v>45</v>
      </c>
      <c r="K271" s="5" t="s">
        <v>70</v>
      </c>
      <c r="L271" s="6">
        <v>86000</v>
      </c>
      <c r="Y271" s="13" t="s">
        <v>843</v>
      </c>
      <c r="Z271" s="8" t="s">
        <v>844</v>
      </c>
    </row>
    <row r="272" spans="7:26" x14ac:dyDescent="0.35">
      <c r="G272" s="5" t="s">
        <v>845</v>
      </c>
      <c r="H272" s="6" t="s">
        <v>846</v>
      </c>
      <c r="I272" s="5" t="s">
        <v>15</v>
      </c>
      <c r="J272" s="6" t="s">
        <v>58</v>
      </c>
      <c r="K272" s="5" t="s">
        <v>17</v>
      </c>
      <c r="L272" s="6">
        <v>148000</v>
      </c>
      <c r="Y272" s="13" t="s">
        <v>846</v>
      </c>
      <c r="Z272" s="8" t="s">
        <v>847</v>
      </c>
    </row>
    <row r="273" spans="7:26" x14ac:dyDescent="0.35">
      <c r="G273" s="5" t="s">
        <v>848</v>
      </c>
      <c r="H273" s="6" t="s">
        <v>849</v>
      </c>
      <c r="I273" s="5" t="s">
        <v>27</v>
      </c>
      <c r="J273" s="6" t="s">
        <v>48</v>
      </c>
      <c r="K273" s="5" t="s">
        <v>50</v>
      </c>
      <c r="L273" s="6">
        <v>42000</v>
      </c>
      <c r="Y273" s="13" t="s">
        <v>849</v>
      </c>
      <c r="Z273" s="8" t="s">
        <v>850</v>
      </c>
    </row>
    <row r="274" spans="7:26" x14ac:dyDescent="0.35">
      <c r="G274" s="5" t="s">
        <v>851</v>
      </c>
      <c r="H274" s="6" t="s">
        <v>852</v>
      </c>
      <c r="I274" s="5" t="s">
        <v>43</v>
      </c>
      <c r="J274" s="6" t="s">
        <v>48</v>
      </c>
      <c r="K274" s="5" t="s">
        <v>40</v>
      </c>
      <c r="L274" s="6">
        <v>330000</v>
      </c>
      <c r="Y274" s="13" t="s">
        <v>852</v>
      </c>
      <c r="Z274" s="8" t="s">
        <v>853</v>
      </c>
    </row>
    <row r="275" spans="7:26" x14ac:dyDescent="0.35">
      <c r="G275" s="5" t="s">
        <v>854</v>
      </c>
      <c r="H275" s="6" t="s">
        <v>855</v>
      </c>
      <c r="I275" s="5" t="s">
        <v>89</v>
      </c>
      <c r="J275" s="6" t="s">
        <v>65</v>
      </c>
      <c r="K275" s="5" t="s">
        <v>17</v>
      </c>
      <c r="L275" s="6">
        <v>64000</v>
      </c>
      <c r="Y275" s="13" t="s">
        <v>855</v>
      </c>
      <c r="Z275" s="8" t="s">
        <v>856</v>
      </c>
    </row>
    <row r="276" spans="7:26" x14ac:dyDescent="0.35">
      <c r="G276" s="5" t="s">
        <v>857</v>
      </c>
      <c r="H276" s="6" t="s">
        <v>858</v>
      </c>
      <c r="I276" s="5" t="s">
        <v>38</v>
      </c>
      <c r="J276" s="6" t="s">
        <v>45</v>
      </c>
      <c r="K276" s="5" t="s">
        <v>40</v>
      </c>
      <c r="L276" s="6">
        <v>442000</v>
      </c>
      <c r="Y276" s="13" t="s">
        <v>858</v>
      </c>
      <c r="Z276" s="8" t="s">
        <v>859</v>
      </c>
    </row>
    <row r="277" spans="7:26" x14ac:dyDescent="0.35">
      <c r="G277" s="5" t="s">
        <v>860</v>
      </c>
      <c r="H277" s="6" t="s">
        <v>861</v>
      </c>
      <c r="I277" s="5" t="s">
        <v>96</v>
      </c>
      <c r="J277" s="6" t="s">
        <v>39</v>
      </c>
      <c r="K277" s="5" t="s">
        <v>70</v>
      </c>
      <c r="L277" s="6">
        <v>464000</v>
      </c>
      <c r="Y277" s="13" t="s">
        <v>861</v>
      </c>
      <c r="Z277" s="8" t="s">
        <v>862</v>
      </c>
    </row>
    <row r="278" spans="7:26" x14ac:dyDescent="0.35">
      <c r="G278" s="5" t="s">
        <v>863</v>
      </c>
      <c r="H278" s="6" t="s">
        <v>864</v>
      </c>
      <c r="I278" s="5" t="s">
        <v>44</v>
      </c>
      <c r="J278" s="6" t="s">
        <v>16</v>
      </c>
      <c r="K278" s="5" t="s">
        <v>70</v>
      </c>
      <c r="L278" s="6">
        <v>64000</v>
      </c>
      <c r="Y278" s="13" t="s">
        <v>864</v>
      </c>
      <c r="Z278" s="8" t="s">
        <v>865</v>
      </c>
    </row>
    <row r="279" spans="7:26" x14ac:dyDescent="0.35">
      <c r="G279" s="5" t="s">
        <v>866</v>
      </c>
      <c r="H279" s="6" t="s">
        <v>867</v>
      </c>
      <c r="I279" s="5" t="s">
        <v>27</v>
      </c>
      <c r="J279" s="6" t="s">
        <v>58</v>
      </c>
      <c r="K279" s="5" t="s">
        <v>40</v>
      </c>
      <c r="L279" s="6">
        <v>264000</v>
      </c>
      <c r="Y279" s="13" t="s">
        <v>867</v>
      </c>
      <c r="Z279" s="8" t="s">
        <v>868</v>
      </c>
    </row>
    <row r="280" spans="7:26" x14ac:dyDescent="0.35">
      <c r="G280" s="5" t="s">
        <v>869</v>
      </c>
      <c r="H280" s="6" t="s">
        <v>870</v>
      </c>
      <c r="I280" s="5" t="s">
        <v>27</v>
      </c>
      <c r="J280" s="6" t="s">
        <v>28</v>
      </c>
      <c r="K280" s="5" t="s">
        <v>40</v>
      </c>
      <c r="L280" s="6">
        <v>434000</v>
      </c>
      <c r="Y280" s="13" t="s">
        <v>870</v>
      </c>
      <c r="Z280" s="8" t="s">
        <v>871</v>
      </c>
    </row>
    <row r="281" spans="7:26" x14ac:dyDescent="0.35">
      <c r="G281" s="5" t="s">
        <v>872</v>
      </c>
      <c r="H281" s="6" t="s">
        <v>873</v>
      </c>
      <c r="I281" s="5" t="s">
        <v>44</v>
      </c>
      <c r="J281" s="6" t="s">
        <v>58</v>
      </c>
      <c r="K281" s="5" t="s">
        <v>70</v>
      </c>
      <c r="L281" s="6">
        <v>430000</v>
      </c>
      <c r="Y281" s="13" t="s">
        <v>873</v>
      </c>
      <c r="Z281" s="8" t="s">
        <v>874</v>
      </c>
    </row>
    <row r="282" spans="7:26" x14ac:dyDescent="0.35">
      <c r="G282" s="5" t="s">
        <v>875</v>
      </c>
      <c r="H282" s="6" t="s">
        <v>876</v>
      </c>
      <c r="I282" s="5" t="s">
        <v>38</v>
      </c>
      <c r="J282" s="6" t="s">
        <v>58</v>
      </c>
      <c r="K282" s="5" t="s">
        <v>40</v>
      </c>
      <c r="L282" s="6">
        <v>96000</v>
      </c>
      <c r="Y282" s="13" t="s">
        <v>876</v>
      </c>
      <c r="Z282" s="8" t="s">
        <v>877</v>
      </c>
    </row>
    <row r="283" spans="7:26" x14ac:dyDescent="0.35">
      <c r="G283" s="5" t="s">
        <v>878</v>
      </c>
      <c r="H283" s="6" t="s">
        <v>879</v>
      </c>
      <c r="I283" s="5" t="s">
        <v>44</v>
      </c>
      <c r="J283" s="6" t="s">
        <v>65</v>
      </c>
      <c r="K283" s="5" t="s">
        <v>50</v>
      </c>
      <c r="L283" s="6">
        <v>492000</v>
      </c>
      <c r="Y283" s="13" t="s">
        <v>879</v>
      </c>
      <c r="Z283" s="8" t="s">
        <v>880</v>
      </c>
    </row>
    <row r="284" spans="7:26" x14ac:dyDescent="0.35">
      <c r="G284" s="5" t="s">
        <v>881</v>
      </c>
      <c r="H284" s="6" t="s">
        <v>882</v>
      </c>
      <c r="I284" s="5" t="s">
        <v>38</v>
      </c>
      <c r="J284" s="6" t="s">
        <v>39</v>
      </c>
      <c r="K284" s="5" t="s">
        <v>17</v>
      </c>
      <c r="L284" s="6">
        <v>220000</v>
      </c>
      <c r="Y284" s="13" t="s">
        <v>882</v>
      </c>
      <c r="Z284" s="8" t="s">
        <v>883</v>
      </c>
    </row>
    <row r="285" spans="7:26" x14ac:dyDescent="0.35">
      <c r="G285" s="5" t="s">
        <v>884</v>
      </c>
      <c r="H285" s="6" t="s">
        <v>885</v>
      </c>
      <c r="I285" s="5" t="s">
        <v>43</v>
      </c>
      <c r="J285" s="6" t="s">
        <v>58</v>
      </c>
      <c r="K285" s="5" t="s">
        <v>17</v>
      </c>
      <c r="L285" s="6">
        <v>216000</v>
      </c>
      <c r="Y285" s="13" t="s">
        <v>885</v>
      </c>
      <c r="Z285" s="8" t="s">
        <v>886</v>
      </c>
    </row>
    <row r="286" spans="7:26" x14ac:dyDescent="0.35">
      <c r="G286" s="5" t="s">
        <v>887</v>
      </c>
      <c r="H286" s="6" t="s">
        <v>888</v>
      </c>
      <c r="I286" s="5" t="s">
        <v>44</v>
      </c>
      <c r="J286" s="6" t="s">
        <v>16</v>
      </c>
      <c r="K286" s="5" t="s">
        <v>40</v>
      </c>
      <c r="L286" s="6">
        <v>86000</v>
      </c>
      <c r="Y286" s="13" t="s">
        <v>888</v>
      </c>
      <c r="Z286" s="8" t="s">
        <v>889</v>
      </c>
    </row>
    <row r="287" spans="7:26" x14ac:dyDescent="0.35">
      <c r="G287" s="5" t="s">
        <v>890</v>
      </c>
      <c r="H287" s="6" t="s">
        <v>891</v>
      </c>
      <c r="I287" s="5" t="s">
        <v>89</v>
      </c>
      <c r="J287" s="6" t="s">
        <v>65</v>
      </c>
      <c r="K287" s="5" t="s">
        <v>70</v>
      </c>
      <c r="L287" s="6">
        <v>428000</v>
      </c>
      <c r="Y287" s="13" t="s">
        <v>891</v>
      </c>
      <c r="Z287" s="8" t="s">
        <v>892</v>
      </c>
    </row>
    <row r="288" spans="7:26" x14ac:dyDescent="0.35">
      <c r="G288" s="5" t="s">
        <v>893</v>
      </c>
      <c r="H288" s="6" t="s">
        <v>894</v>
      </c>
      <c r="I288" s="5" t="s">
        <v>89</v>
      </c>
      <c r="J288" s="6" t="s">
        <v>39</v>
      </c>
      <c r="K288" s="5" t="s">
        <v>40</v>
      </c>
      <c r="L288" s="6">
        <v>420000</v>
      </c>
      <c r="Y288" s="13" t="s">
        <v>894</v>
      </c>
      <c r="Z288" s="8" t="s">
        <v>895</v>
      </c>
    </row>
    <row r="289" spans="7:26" x14ac:dyDescent="0.35">
      <c r="G289" s="5" t="s">
        <v>896</v>
      </c>
      <c r="H289" s="6" t="s">
        <v>897</v>
      </c>
      <c r="I289" s="5" t="s">
        <v>38</v>
      </c>
      <c r="J289" s="6" t="s">
        <v>58</v>
      </c>
      <c r="K289" s="5" t="s">
        <v>70</v>
      </c>
      <c r="L289" s="6">
        <v>170000</v>
      </c>
      <c r="Y289" s="13" t="s">
        <v>897</v>
      </c>
      <c r="Z289" s="8" t="s">
        <v>898</v>
      </c>
    </row>
    <row r="290" spans="7:26" x14ac:dyDescent="0.35">
      <c r="G290" s="5" t="s">
        <v>899</v>
      </c>
      <c r="H290" s="6" t="s">
        <v>900</v>
      </c>
      <c r="I290" s="5" t="s">
        <v>96</v>
      </c>
      <c r="J290" s="6" t="s">
        <v>45</v>
      </c>
      <c r="K290" s="5" t="s">
        <v>40</v>
      </c>
      <c r="L290" s="6">
        <v>262000</v>
      </c>
      <c r="Y290" s="13" t="s">
        <v>900</v>
      </c>
      <c r="Z290" s="8" t="s">
        <v>901</v>
      </c>
    </row>
    <row r="291" spans="7:26" x14ac:dyDescent="0.35">
      <c r="G291" s="5" t="s">
        <v>902</v>
      </c>
      <c r="H291" s="6" t="s">
        <v>903</v>
      </c>
      <c r="I291" s="5" t="s">
        <v>15</v>
      </c>
      <c r="J291" s="6" t="s">
        <v>58</v>
      </c>
      <c r="K291" s="5" t="s">
        <v>40</v>
      </c>
      <c r="L291" s="6">
        <v>360000</v>
      </c>
      <c r="Y291" s="13" t="s">
        <v>903</v>
      </c>
      <c r="Z291" s="8" t="s">
        <v>904</v>
      </c>
    </row>
    <row r="292" spans="7:26" x14ac:dyDescent="0.35">
      <c r="G292" s="5" t="s">
        <v>905</v>
      </c>
      <c r="H292" s="6" t="s">
        <v>906</v>
      </c>
      <c r="I292" s="5" t="s">
        <v>89</v>
      </c>
      <c r="J292" s="6" t="s">
        <v>16</v>
      </c>
      <c r="K292" s="5" t="s">
        <v>70</v>
      </c>
      <c r="L292" s="6">
        <v>476000</v>
      </c>
      <c r="Y292" s="13" t="s">
        <v>906</v>
      </c>
      <c r="Z292" s="8" t="s">
        <v>907</v>
      </c>
    </row>
    <row r="293" spans="7:26" x14ac:dyDescent="0.35">
      <c r="G293" s="5" t="s">
        <v>908</v>
      </c>
      <c r="H293" s="6" t="s">
        <v>909</v>
      </c>
      <c r="I293" s="5" t="s">
        <v>38</v>
      </c>
      <c r="J293" s="6" t="s">
        <v>39</v>
      </c>
      <c r="K293" s="5" t="s">
        <v>50</v>
      </c>
      <c r="L293" s="6">
        <v>238000</v>
      </c>
      <c r="Y293" s="13" t="s">
        <v>909</v>
      </c>
      <c r="Z293" s="8" t="s">
        <v>910</v>
      </c>
    </row>
    <row r="294" spans="7:26" x14ac:dyDescent="0.35">
      <c r="G294" s="5" t="s">
        <v>911</v>
      </c>
      <c r="H294" s="6" t="s">
        <v>912</v>
      </c>
      <c r="I294" s="5" t="s">
        <v>96</v>
      </c>
      <c r="J294" s="6" t="s">
        <v>58</v>
      </c>
      <c r="K294" s="5" t="s">
        <v>17</v>
      </c>
      <c r="L294" s="6">
        <v>86000</v>
      </c>
      <c r="Y294" s="13" t="s">
        <v>912</v>
      </c>
      <c r="Z294" s="8" t="s">
        <v>913</v>
      </c>
    </row>
    <row r="295" spans="7:26" x14ac:dyDescent="0.35">
      <c r="G295" s="5" t="s">
        <v>914</v>
      </c>
      <c r="H295" s="6" t="s">
        <v>915</v>
      </c>
      <c r="I295" s="5" t="s">
        <v>44</v>
      </c>
      <c r="J295" s="6" t="s">
        <v>28</v>
      </c>
      <c r="K295" s="5" t="s">
        <v>50</v>
      </c>
      <c r="L295" s="6">
        <v>72000</v>
      </c>
      <c r="Y295" s="13" t="s">
        <v>915</v>
      </c>
      <c r="Z295" s="8" t="s">
        <v>916</v>
      </c>
    </row>
    <row r="296" spans="7:26" x14ac:dyDescent="0.35">
      <c r="G296" s="5" t="s">
        <v>917</v>
      </c>
      <c r="H296" s="6" t="s">
        <v>918</v>
      </c>
      <c r="I296" s="5" t="s">
        <v>96</v>
      </c>
      <c r="J296" s="6" t="s">
        <v>28</v>
      </c>
      <c r="K296" s="5" t="s">
        <v>40</v>
      </c>
      <c r="L296" s="6">
        <v>200000</v>
      </c>
      <c r="Y296" s="13" t="s">
        <v>918</v>
      </c>
      <c r="Z296" s="8" t="s">
        <v>919</v>
      </c>
    </row>
    <row r="297" spans="7:26" x14ac:dyDescent="0.35">
      <c r="G297" s="5" t="s">
        <v>920</v>
      </c>
      <c r="H297" s="6" t="s">
        <v>921</v>
      </c>
      <c r="I297" s="5" t="s">
        <v>96</v>
      </c>
      <c r="J297" s="6" t="s">
        <v>45</v>
      </c>
      <c r="K297" s="5" t="s">
        <v>70</v>
      </c>
      <c r="L297" s="6">
        <v>58000</v>
      </c>
      <c r="Y297" s="13" t="s">
        <v>921</v>
      </c>
      <c r="Z297" s="8" t="s">
        <v>922</v>
      </c>
    </row>
    <row r="298" spans="7:26" x14ac:dyDescent="0.35">
      <c r="G298" s="5" t="s">
        <v>923</v>
      </c>
      <c r="H298" s="6" t="s">
        <v>924</v>
      </c>
      <c r="I298" s="5" t="s">
        <v>96</v>
      </c>
      <c r="J298" s="6" t="s">
        <v>65</v>
      </c>
      <c r="K298" s="5" t="s">
        <v>17</v>
      </c>
      <c r="L298" s="6">
        <v>436000</v>
      </c>
      <c r="Y298" s="13" t="s">
        <v>924</v>
      </c>
      <c r="Z298" s="8" t="s">
        <v>925</v>
      </c>
    </row>
    <row r="299" spans="7:26" x14ac:dyDescent="0.35">
      <c r="G299" s="5" t="s">
        <v>926</v>
      </c>
      <c r="H299" s="6" t="s">
        <v>927</v>
      </c>
      <c r="I299" s="5" t="s">
        <v>27</v>
      </c>
      <c r="J299" s="6" t="s">
        <v>16</v>
      </c>
      <c r="K299" s="5" t="s">
        <v>50</v>
      </c>
      <c r="L299" s="6">
        <v>484000</v>
      </c>
      <c r="Y299" s="13" t="s">
        <v>927</v>
      </c>
      <c r="Z299" s="8" t="s">
        <v>928</v>
      </c>
    </row>
    <row r="300" spans="7:26" x14ac:dyDescent="0.35">
      <c r="G300" s="5" t="s">
        <v>929</v>
      </c>
      <c r="H300" s="6" t="s">
        <v>930</v>
      </c>
      <c r="I300" s="5" t="s">
        <v>38</v>
      </c>
      <c r="J300" s="6" t="s">
        <v>58</v>
      </c>
      <c r="K300" s="5" t="s">
        <v>17</v>
      </c>
      <c r="L300" s="6">
        <v>186000</v>
      </c>
      <c r="Y300" s="20" t="s">
        <v>930</v>
      </c>
      <c r="Z300" s="8" t="s">
        <v>931</v>
      </c>
    </row>
    <row r="301" spans="7:26" x14ac:dyDescent="0.35">
      <c r="G301" s="5" t="s">
        <v>932</v>
      </c>
      <c r="H301" s="6" t="s">
        <v>933</v>
      </c>
      <c r="I301" s="5" t="s">
        <v>27</v>
      </c>
      <c r="J301" s="6" t="s">
        <v>65</v>
      </c>
      <c r="K301" s="5" t="s">
        <v>50</v>
      </c>
      <c r="L301" s="6">
        <v>334000</v>
      </c>
      <c r="Y301" s="20" t="s">
        <v>933</v>
      </c>
      <c r="Z301" s="8" t="s">
        <v>934</v>
      </c>
    </row>
    <row r="302" spans="7:26" x14ac:dyDescent="0.35">
      <c r="G302" s="5" t="s">
        <v>935</v>
      </c>
      <c r="H302" s="6" t="s">
        <v>936</v>
      </c>
      <c r="I302" s="5" t="s">
        <v>96</v>
      </c>
      <c r="J302" s="6" t="s">
        <v>28</v>
      </c>
      <c r="K302" s="5" t="s">
        <v>70</v>
      </c>
      <c r="L302" s="6">
        <v>40000</v>
      </c>
      <c r="Y302" s="20" t="s">
        <v>936</v>
      </c>
      <c r="Z302" s="8" t="s">
        <v>937</v>
      </c>
    </row>
    <row r="303" spans="7:26" x14ac:dyDescent="0.35">
      <c r="G303" s="5" t="s">
        <v>938</v>
      </c>
      <c r="H303" s="6" t="s">
        <v>939</v>
      </c>
      <c r="I303" s="5" t="s">
        <v>43</v>
      </c>
      <c r="J303" s="6" t="s">
        <v>16</v>
      </c>
      <c r="K303" s="5" t="s">
        <v>70</v>
      </c>
      <c r="L303" s="6">
        <v>116000</v>
      </c>
      <c r="Y303" s="20" t="s">
        <v>939</v>
      </c>
      <c r="Z303" s="8" t="s">
        <v>940</v>
      </c>
    </row>
    <row r="304" spans="7:26" x14ac:dyDescent="0.35">
      <c r="G304" s="5" t="s">
        <v>941</v>
      </c>
      <c r="H304" s="6" t="s">
        <v>942</v>
      </c>
      <c r="I304" s="5" t="s">
        <v>27</v>
      </c>
      <c r="J304" s="6" t="s">
        <v>65</v>
      </c>
      <c r="K304" s="5" t="s">
        <v>70</v>
      </c>
      <c r="L304" s="6">
        <v>308000</v>
      </c>
      <c r="Y304" s="20" t="s">
        <v>942</v>
      </c>
      <c r="Z304" s="8" t="s">
        <v>943</v>
      </c>
    </row>
    <row r="305" spans="7:26" x14ac:dyDescent="0.35">
      <c r="G305" s="5" t="s">
        <v>944</v>
      </c>
      <c r="H305" s="6" t="s">
        <v>945</v>
      </c>
      <c r="I305" s="5" t="s">
        <v>38</v>
      </c>
      <c r="J305" s="6" t="s">
        <v>45</v>
      </c>
      <c r="K305" s="5" t="s">
        <v>70</v>
      </c>
      <c r="L305" s="6">
        <v>178000</v>
      </c>
      <c r="Y305" s="21" t="s">
        <v>945</v>
      </c>
      <c r="Z305" s="8" t="s">
        <v>946</v>
      </c>
    </row>
    <row r="306" spans="7:26" x14ac:dyDescent="0.35">
      <c r="G306" s="5" t="s">
        <v>947</v>
      </c>
      <c r="H306" s="6" t="s">
        <v>948</v>
      </c>
      <c r="I306" s="5" t="s">
        <v>38</v>
      </c>
      <c r="J306" s="6" t="s">
        <v>45</v>
      </c>
      <c r="K306" s="5" t="s">
        <v>40</v>
      </c>
      <c r="L306" s="6">
        <v>170000</v>
      </c>
      <c r="Y306" s="21" t="s">
        <v>948</v>
      </c>
      <c r="Z306" s="8" t="s">
        <v>949</v>
      </c>
    </row>
    <row r="307" spans="7:26" x14ac:dyDescent="0.35">
      <c r="G307" s="5" t="s">
        <v>950</v>
      </c>
      <c r="H307" s="6" t="s">
        <v>951</v>
      </c>
      <c r="I307" s="5" t="s">
        <v>44</v>
      </c>
      <c r="J307" s="6" t="s">
        <v>48</v>
      </c>
      <c r="K307" s="5" t="s">
        <v>50</v>
      </c>
      <c r="L307" s="6">
        <v>26000</v>
      </c>
      <c r="Y307" s="21" t="s">
        <v>951</v>
      </c>
      <c r="Z307" s="8" t="s">
        <v>952</v>
      </c>
    </row>
    <row r="308" spans="7:26" x14ac:dyDescent="0.35">
      <c r="G308" s="5" t="s">
        <v>953</v>
      </c>
      <c r="H308" s="6" t="s">
        <v>954</v>
      </c>
      <c r="I308" s="5" t="s">
        <v>38</v>
      </c>
      <c r="J308" s="6" t="s">
        <v>16</v>
      </c>
      <c r="K308" s="5" t="s">
        <v>17</v>
      </c>
      <c r="L308" s="6">
        <v>494000</v>
      </c>
      <c r="Y308" s="21" t="s">
        <v>954</v>
      </c>
      <c r="Z308" s="8" t="s">
        <v>955</v>
      </c>
    </row>
    <row r="309" spans="7:26" x14ac:dyDescent="0.35">
      <c r="G309" s="5" t="s">
        <v>956</v>
      </c>
      <c r="H309" s="6" t="s">
        <v>957</v>
      </c>
      <c r="I309" s="5" t="s">
        <v>27</v>
      </c>
      <c r="J309" s="6" t="s">
        <v>39</v>
      </c>
      <c r="K309" s="5" t="s">
        <v>40</v>
      </c>
      <c r="L309" s="6">
        <v>106000</v>
      </c>
      <c r="Y309" s="21" t="s">
        <v>957</v>
      </c>
      <c r="Z309" s="8" t="s">
        <v>958</v>
      </c>
    </row>
    <row r="310" spans="7:26" x14ac:dyDescent="0.35">
      <c r="G310" s="5" t="s">
        <v>959</v>
      </c>
      <c r="H310" s="6" t="s">
        <v>960</v>
      </c>
      <c r="I310" s="5" t="s">
        <v>96</v>
      </c>
      <c r="J310" s="6" t="s">
        <v>39</v>
      </c>
      <c r="K310" s="5" t="s">
        <v>70</v>
      </c>
      <c r="L310" s="6">
        <v>236000</v>
      </c>
      <c r="Y310" s="21" t="s">
        <v>960</v>
      </c>
      <c r="Z310" s="8" t="s">
        <v>961</v>
      </c>
    </row>
    <row r="311" spans="7:26" x14ac:dyDescent="0.35">
      <c r="G311" s="5" t="s">
        <v>962</v>
      </c>
      <c r="H311" s="6" t="s">
        <v>963</v>
      </c>
      <c r="I311" s="5" t="s">
        <v>15</v>
      </c>
      <c r="J311" s="6" t="s">
        <v>39</v>
      </c>
      <c r="K311" s="5" t="s">
        <v>40</v>
      </c>
      <c r="L311" s="6">
        <v>250000</v>
      </c>
      <c r="Y311" s="21" t="s">
        <v>963</v>
      </c>
      <c r="Z311" s="8" t="s">
        <v>964</v>
      </c>
    </row>
    <row r="312" spans="7:26" x14ac:dyDescent="0.35">
      <c r="G312" s="5" t="s">
        <v>965</v>
      </c>
      <c r="H312" s="6" t="s">
        <v>966</v>
      </c>
      <c r="I312" s="5" t="s">
        <v>96</v>
      </c>
      <c r="J312" s="6" t="s">
        <v>39</v>
      </c>
      <c r="K312" s="5" t="s">
        <v>50</v>
      </c>
      <c r="L312" s="6">
        <v>148000</v>
      </c>
      <c r="Y312" s="21" t="s">
        <v>966</v>
      </c>
      <c r="Z312" s="8" t="s">
        <v>967</v>
      </c>
    </row>
    <row r="313" spans="7:26" x14ac:dyDescent="0.35">
      <c r="G313" s="5" t="s">
        <v>968</v>
      </c>
      <c r="H313" s="6" t="s">
        <v>969</v>
      </c>
      <c r="I313" s="5" t="s">
        <v>27</v>
      </c>
      <c r="J313" s="6" t="s">
        <v>28</v>
      </c>
      <c r="K313" s="5" t="s">
        <v>17</v>
      </c>
      <c r="L313" s="6">
        <v>448000</v>
      </c>
      <c r="Y313" s="21" t="s">
        <v>969</v>
      </c>
      <c r="Z313" s="8" t="s">
        <v>970</v>
      </c>
    </row>
    <row r="314" spans="7:26" x14ac:dyDescent="0.35">
      <c r="G314" s="5" t="s">
        <v>971</v>
      </c>
      <c r="H314" s="6" t="s">
        <v>972</v>
      </c>
      <c r="I314" s="5" t="s">
        <v>27</v>
      </c>
      <c r="J314" s="6" t="s">
        <v>16</v>
      </c>
      <c r="K314" s="5" t="s">
        <v>70</v>
      </c>
      <c r="L314" s="6">
        <v>294000</v>
      </c>
      <c r="Y314" s="21" t="s">
        <v>972</v>
      </c>
      <c r="Z314" s="8" t="s">
        <v>973</v>
      </c>
    </row>
    <row r="315" spans="7:26" x14ac:dyDescent="0.35">
      <c r="G315" s="5" t="s">
        <v>974</v>
      </c>
      <c r="H315" s="6" t="s">
        <v>975</v>
      </c>
      <c r="I315" s="5" t="s">
        <v>89</v>
      </c>
      <c r="J315" s="6" t="s">
        <v>58</v>
      </c>
      <c r="K315" s="5" t="s">
        <v>40</v>
      </c>
      <c r="L315" s="6">
        <v>464000</v>
      </c>
      <c r="Y315" s="21" t="s">
        <v>975</v>
      </c>
      <c r="Z315" s="8" t="s">
        <v>976</v>
      </c>
    </row>
    <row r="316" spans="7:26" x14ac:dyDescent="0.35">
      <c r="G316" s="5" t="s">
        <v>977</v>
      </c>
      <c r="H316" s="6" t="s">
        <v>978</v>
      </c>
      <c r="I316" s="5" t="s">
        <v>96</v>
      </c>
      <c r="J316" s="6" t="s">
        <v>28</v>
      </c>
      <c r="K316" s="5" t="s">
        <v>70</v>
      </c>
      <c r="L316" s="6">
        <v>314000</v>
      </c>
      <c r="Y316" s="21" t="s">
        <v>978</v>
      </c>
      <c r="Z316" s="8" t="s">
        <v>979</v>
      </c>
    </row>
    <row r="317" spans="7:26" x14ac:dyDescent="0.35">
      <c r="G317" s="5" t="s">
        <v>980</v>
      </c>
      <c r="H317" s="6" t="s">
        <v>981</v>
      </c>
      <c r="I317" s="5" t="s">
        <v>89</v>
      </c>
      <c r="J317" s="6" t="s">
        <v>65</v>
      </c>
      <c r="K317" s="5" t="s">
        <v>70</v>
      </c>
      <c r="L317" s="6">
        <v>104000</v>
      </c>
      <c r="Y317" s="21" t="s">
        <v>981</v>
      </c>
      <c r="Z317" s="8" t="s">
        <v>982</v>
      </c>
    </row>
    <row r="318" spans="7:26" x14ac:dyDescent="0.35">
      <c r="G318" s="5" t="s">
        <v>983</v>
      </c>
      <c r="H318" s="6" t="s">
        <v>984</v>
      </c>
      <c r="I318" s="5" t="s">
        <v>27</v>
      </c>
      <c r="J318" s="6" t="s">
        <v>28</v>
      </c>
      <c r="K318" s="5" t="s">
        <v>40</v>
      </c>
      <c r="L318" s="6">
        <v>320000</v>
      </c>
      <c r="Y318" s="21" t="s">
        <v>984</v>
      </c>
      <c r="Z318" s="8" t="s">
        <v>985</v>
      </c>
    </row>
    <row r="319" spans="7:26" x14ac:dyDescent="0.35">
      <c r="G319" s="5" t="s">
        <v>986</v>
      </c>
      <c r="H319" s="6" t="s">
        <v>987</v>
      </c>
      <c r="I319" s="5" t="s">
        <v>27</v>
      </c>
      <c r="J319" s="6" t="s">
        <v>28</v>
      </c>
      <c r="K319" s="5" t="s">
        <v>17</v>
      </c>
      <c r="L319" s="6">
        <v>344000</v>
      </c>
      <c r="Y319" s="21" t="s">
        <v>987</v>
      </c>
      <c r="Z319" s="8" t="s">
        <v>988</v>
      </c>
    </row>
    <row r="320" spans="7:26" x14ac:dyDescent="0.35">
      <c r="G320" s="5" t="s">
        <v>989</v>
      </c>
      <c r="H320" s="6" t="s">
        <v>990</v>
      </c>
      <c r="I320" s="5" t="s">
        <v>27</v>
      </c>
      <c r="J320" s="6" t="s">
        <v>45</v>
      </c>
      <c r="K320" s="5" t="s">
        <v>50</v>
      </c>
      <c r="L320" s="6">
        <v>422000</v>
      </c>
      <c r="Y320" s="21" t="s">
        <v>990</v>
      </c>
      <c r="Z320" s="8" t="s">
        <v>991</v>
      </c>
    </row>
    <row r="321" spans="7:26" x14ac:dyDescent="0.35">
      <c r="G321" s="5" t="s">
        <v>992</v>
      </c>
      <c r="H321" s="6" t="s">
        <v>993</v>
      </c>
      <c r="I321" s="5" t="s">
        <v>96</v>
      </c>
      <c r="J321" s="6" t="s">
        <v>58</v>
      </c>
      <c r="K321" s="5" t="s">
        <v>50</v>
      </c>
      <c r="L321" s="6">
        <v>328000</v>
      </c>
      <c r="Y321" s="22" t="s">
        <v>993</v>
      </c>
      <c r="Z321" s="8" t="s">
        <v>994</v>
      </c>
    </row>
    <row r="322" spans="7:26" x14ac:dyDescent="0.35">
      <c r="G322" s="5" t="s">
        <v>995</v>
      </c>
      <c r="H322" s="6" t="s">
        <v>996</v>
      </c>
      <c r="I322" s="5" t="s">
        <v>96</v>
      </c>
      <c r="J322" s="6" t="s">
        <v>28</v>
      </c>
      <c r="K322" s="5" t="s">
        <v>40</v>
      </c>
      <c r="L322" s="6">
        <v>166000</v>
      </c>
      <c r="Y322" s="22" t="s">
        <v>996</v>
      </c>
      <c r="Z322" s="8" t="s">
        <v>997</v>
      </c>
    </row>
    <row r="323" spans="7:26" x14ac:dyDescent="0.35">
      <c r="G323" s="5" t="s">
        <v>998</v>
      </c>
      <c r="H323" s="6" t="s">
        <v>999</v>
      </c>
      <c r="I323" s="5" t="s">
        <v>89</v>
      </c>
      <c r="J323" s="6" t="s">
        <v>48</v>
      </c>
      <c r="K323" s="5" t="s">
        <v>17</v>
      </c>
      <c r="L323" s="6">
        <v>244000</v>
      </c>
      <c r="Y323" s="22" t="s">
        <v>999</v>
      </c>
      <c r="Z323" s="8" t="s">
        <v>1000</v>
      </c>
    </row>
    <row r="324" spans="7:26" x14ac:dyDescent="0.35">
      <c r="G324" s="5" t="s">
        <v>1001</v>
      </c>
      <c r="H324" s="6" t="s">
        <v>1002</v>
      </c>
      <c r="I324" s="5" t="s">
        <v>43</v>
      </c>
      <c r="J324" s="6" t="s">
        <v>65</v>
      </c>
      <c r="K324" s="5" t="s">
        <v>40</v>
      </c>
      <c r="L324" s="6">
        <v>152000</v>
      </c>
      <c r="Y324" s="22" t="s">
        <v>1002</v>
      </c>
      <c r="Z324" s="8" t="s">
        <v>1003</v>
      </c>
    </row>
    <row r="325" spans="7:26" x14ac:dyDescent="0.35">
      <c r="G325" s="5" t="s">
        <v>1004</v>
      </c>
      <c r="H325" s="6" t="s">
        <v>1005</v>
      </c>
      <c r="I325" s="5" t="s">
        <v>43</v>
      </c>
      <c r="J325" s="6" t="s">
        <v>65</v>
      </c>
      <c r="K325" s="5" t="s">
        <v>17</v>
      </c>
      <c r="L325" s="6">
        <v>190000</v>
      </c>
      <c r="Y325" s="22" t="s">
        <v>1005</v>
      </c>
      <c r="Z325" s="8" t="s">
        <v>1006</v>
      </c>
    </row>
    <row r="326" spans="7:26" x14ac:dyDescent="0.35">
      <c r="G326" s="5" t="s">
        <v>1007</v>
      </c>
      <c r="H326" s="6" t="s">
        <v>1008</v>
      </c>
      <c r="I326" s="5" t="s">
        <v>38</v>
      </c>
      <c r="J326" s="6" t="s">
        <v>45</v>
      </c>
      <c r="K326" s="5" t="s">
        <v>70</v>
      </c>
      <c r="L326" s="6">
        <v>258000</v>
      </c>
      <c r="Y326" s="22" t="s">
        <v>1008</v>
      </c>
      <c r="Z326" s="8" t="s">
        <v>1009</v>
      </c>
    </row>
    <row r="327" spans="7:26" x14ac:dyDescent="0.35">
      <c r="G327" s="5" t="s">
        <v>1010</v>
      </c>
      <c r="H327" s="6" t="s">
        <v>1011</v>
      </c>
      <c r="I327" s="5" t="s">
        <v>43</v>
      </c>
      <c r="J327" s="6" t="s">
        <v>65</v>
      </c>
      <c r="K327" s="5" t="s">
        <v>50</v>
      </c>
      <c r="L327" s="6">
        <v>210000</v>
      </c>
      <c r="Y327" s="22" t="s">
        <v>1011</v>
      </c>
      <c r="Z327" s="8" t="s">
        <v>1012</v>
      </c>
    </row>
    <row r="328" spans="7:26" x14ac:dyDescent="0.35">
      <c r="G328" s="5" t="s">
        <v>1013</v>
      </c>
      <c r="H328" s="6" t="s">
        <v>1014</v>
      </c>
      <c r="I328" s="5" t="s">
        <v>89</v>
      </c>
      <c r="J328" s="6" t="s">
        <v>45</v>
      </c>
      <c r="K328" s="5" t="s">
        <v>17</v>
      </c>
      <c r="L328" s="6">
        <v>398000</v>
      </c>
      <c r="Y328" s="22" t="s">
        <v>1014</v>
      </c>
      <c r="Z328" s="8" t="s">
        <v>1015</v>
      </c>
    </row>
    <row r="329" spans="7:26" x14ac:dyDescent="0.35">
      <c r="G329" s="5" t="s">
        <v>1016</v>
      </c>
      <c r="H329" s="6" t="s">
        <v>1017</v>
      </c>
      <c r="I329" s="5" t="s">
        <v>43</v>
      </c>
      <c r="J329" s="6" t="s">
        <v>16</v>
      </c>
      <c r="K329" s="5" t="s">
        <v>17</v>
      </c>
      <c r="L329" s="6">
        <v>270000</v>
      </c>
      <c r="Y329" s="22" t="s">
        <v>1017</v>
      </c>
      <c r="Z329" s="8" t="s">
        <v>1018</v>
      </c>
    </row>
    <row r="330" spans="7:26" x14ac:dyDescent="0.35">
      <c r="G330" s="5" t="s">
        <v>1019</v>
      </c>
      <c r="H330" s="6" t="s">
        <v>1020</v>
      </c>
      <c r="I330" s="5" t="s">
        <v>89</v>
      </c>
      <c r="J330" s="6" t="s">
        <v>39</v>
      </c>
      <c r="K330" s="5" t="s">
        <v>40</v>
      </c>
      <c r="L330" s="6">
        <v>168000</v>
      </c>
      <c r="Y330" s="22" t="s">
        <v>1020</v>
      </c>
      <c r="Z330" s="8" t="s">
        <v>1021</v>
      </c>
    </row>
    <row r="331" spans="7:26" x14ac:dyDescent="0.35">
      <c r="G331" s="5" t="s">
        <v>1022</v>
      </c>
      <c r="H331" s="6" t="s">
        <v>1023</v>
      </c>
      <c r="I331" s="5" t="s">
        <v>96</v>
      </c>
      <c r="J331" s="6" t="s">
        <v>58</v>
      </c>
      <c r="K331" s="5" t="s">
        <v>50</v>
      </c>
      <c r="L331" s="6">
        <v>290000</v>
      </c>
      <c r="Y331" s="22" t="s">
        <v>1023</v>
      </c>
      <c r="Z331" s="8" t="s">
        <v>1024</v>
      </c>
    </row>
    <row r="332" spans="7:26" x14ac:dyDescent="0.35">
      <c r="G332" s="5" t="s">
        <v>1025</v>
      </c>
      <c r="H332" s="6" t="s">
        <v>1026</v>
      </c>
      <c r="I332" s="5" t="s">
        <v>15</v>
      </c>
      <c r="J332" s="6" t="s">
        <v>39</v>
      </c>
      <c r="K332" s="5" t="s">
        <v>40</v>
      </c>
      <c r="L332" s="6">
        <v>212000</v>
      </c>
      <c r="Y332" s="22" t="s">
        <v>1026</v>
      </c>
      <c r="Z332" s="8" t="s">
        <v>1027</v>
      </c>
    </row>
    <row r="333" spans="7:26" x14ac:dyDescent="0.35">
      <c r="G333" s="5" t="s">
        <v>1028</v>
      </c>
      <c r="H333" s="6" t="s">
        <v>1029</v>
      </c>
      <c r="I333" s="5" t="s">
        <v>44</v>
      </c>
      <c r="J333" s="6" t="s">
        <v>58</v>
      </c>
      <c r="K333" s="5" t="s">
        <v>50</v>
      </c>
      <c r="L333" s="6">
        <v>100000</v>
      </c>
      <c r="Y333" s="22" t="s">
        <v>1029</v>
      </c>
      <c r="Z333" s="8" t="s">
        <v>1030</v>
      </c>
    </row>
    <row r="334" spans="7:26" x14ac:dyDescent="0.35">
      <c r="G334" s="5" t="s">
        <v>1031</v>
      </c>
      <c r="H334" s="6" t="s">
        <v>1032</v>
      </c>
      <c r="I334" s="5" t="s">
        <v>96</v>
      </c>
      <c r="J334" s="6" t="s">
        <v>28</v>
      </c>
      <c r="K334" s="5" t="s">
        <v>50</v>
      </c>
      <c r="L334" s="6">
        <v>394000</v>
      </c>
      <c r="Y334" s="22" t="s">
        <v>1032</v>
      </c>
      <c r="Z334" s="8" t="s">
        <v>1033</v>
      </c>
    </row>
    <row r="335" spans="7:26" x14ac:dyDescent="0.35">
      <c r="G335" s="5" t="s">
        <v>1034</v>
      </c>
      <c r="H335" s="6" t="s">
        <v>1035</v>
      </c>
      <c r="I335" s="5" t="s">
        <v>27</v>
      </c>
      <c r="J335" s="6" t="s">
        <v>39</v>
      </c>
      <c r="K335" s="5" t="s">
        <v>40</v>
      </c>
      <c r="L335" s="6">
        <v>294000</v>
      </c>
      <c r="Y335" s="22" t="s">
        <v>1035</v>
      </c>
      <c r="Z335" s="8" t="s">
        <v>1036</v>
      </c>
    </row>
    <row r="336" spans="7:26" x14ac:dyDescent="0.35">
      <c r="G336" s="5" t="s">
        <v>1037</v>
      </c>
      <c r="H336" s="6" t="s">
        <v>1038</v>
      </c>
      <c r="I336" s="5" t="s">
        <v>96</v>
      </c>
      <c r="J336" s="6" t="s">
        <v>48</v>
      </c>
      <c r="K336" s="5" t="s">
        <v>70</v>
      </c>
      <c r="L336" s="6">
        <v>66000</v>
      </c>
      <c r="Y336" s="22" t="s">
        <v>1038</v>
      </c>
      <c r="Z336" s="8" t="s">
        <v>1039</v>
      </c>
    </row>
    <row r="337" spans="7:26" x14ac:dyDescent="0.35">
      <c r="G337" s="5" t="s">
        <v>1040</v>
      </c>
      <c r="H337" s="6" t="s">
        <v>1041</v>
      </c>
      <c r="I337" s="5" t="s">
        <v>44</v>
      </c>
      <c r="J337" s="6" t="s">
        <v>16</v>
      </c>
      <c r="K337" s="5" t="s">
        <v>70</v>
      </c>
      <c r="L337" s="6">
        <v>198000</v>
      </c>
      <c r="Y337" s="22" t="s">
        <v>1041</v>
      </c>
      <c r="Z337" s="8" t="s">
        <v>1042</v>
      </c>
    </row>
    <row r="338" spans="7:26" x14ac:dyDescent="0.35">
      <c r="G338" s="5" t="s">
        <v>1043</v>
      </c>
      <c r="H338" s="6" t="s">
        <v>1044</v>
      </c>
      <c r="I338" s="5" t="s">
        <v>44</v>
      </c>
      <c r="J338" s="6" t="s">
        <v>58</v>
      </c>
      <c r="K338" s="5" t="s">
        <v>40</v>
      </c>
      <c r="L338" s="6">
        <v>110000</v>
      </c>
      <c r="Y338" s="22" t="s">
        <v>1044</v>
      </c>
      <c r="Z338" s="8" t="s">
        <v>1045</v>
      </c>
    </row>
    <row r="339" spans="7:26" x14ac:dyDescent="0.35">
      <c r="G339" s="5" t="s">
        <v>1046</v>
      </c>
      <c r="H339" s="6" t="s">
        <v>1047</v>
      </c>
      <c r="I339" s="5" t="s">
        <v>38</v>
      </c>
      <c r="J339" s="6" t="s">
        <v>28</v>
      </c>
      <c r="K339" s="5" t="s">
        <v>50</v>
      </c>
      <c r="L339" s="6">
        <v>448000</v>
      </c>
      <c r="Y339" s="22" t="s">
        <v>1047</v>
      </c>
      <c r="Z339" s="8" t="s">
        <v>1048</v>
      </c>
    </row>
    <row r="340" spans="7:26" x14ac:dyDescent="0.35">
      <c r="G340" s="5" t="s">
        <v>1049</v>
      </c>
      <c r="H340" s="6" t="s">
        <v>1050</v>
      </c>
      <c r="I340" s="5" t="s">
        <v>38</v>
      </c>
      <c r="J340" s="6" t="s">
        <v>58</v>
      </c>
      <c r="K340" s="5" t="s">
        <v>50</v>
      </c>
      <c r="L340" s="6">
        <v>426000</v>
      </c>
      <c r="Y340" s="22" t="s">
        <v>1050</v>
      </c>
      <c r="Z340" s="8" t="s">
        <v>1051</v>
      </c>
    </row>
    <row r="341" spans="7:26" x14ac:dyDescent="0.35">
      <c r="G341" s="5" t="s">
        <v>1052</v>
      </c>
      <c r="H341" s="6" t="s">
        <v>1053</v>
      </c>
      <c r="I341" s="5" t="s">
        <v>44</v>
      </c>
      <c r="J341" s="6" t="s">
        <v>28</v>
      </c>
      <c r="K341" s="5" t="s">
        <v>17</v>
      </c>
      <c r="L341" s="6">
        <v>258000</v>
      </c>
      <c r="Y341" s="22" t="s">
        <v>1053</v>
      </c>
      <c r="Z341" s="8" t="s">
        <v>1054</v>
      </c>
    </row>
    <row r="342" spans="7:26" x14ac:dyDescent="0.35">
      <c r="G342" s="5" t="s">
        <v>1055</v>
      </c>
      <c r="H342" s="6" t="s">
        <v>1056</v>
      </c>
      <c r="I342" s="5" t="s">
        <v>38</v>
      </c>
      <c r="J342" s="6" t="s">
        <v>39</v>
      </c>
      <c r="K342" s="5" t="s">
        <v>50</v>
      </c>
      <c r="L342" s="6">
        <v>82000</v>
      </c>
      <c r="Y342" s="22" t="s">
        <v>1056</v>
      </c>
      <c r="Z342" s="8" t="s">
        <v>1057</v>
      </c>
    </row>
    <row r="343" spans="7:26" x14ac:dyDescent="0.35">
      <c r="G343" s="5" t="s">
        <v>1058</v>
      </c>
      <c r="H343" s="6" t="s">
        <v>1059</v>
      </c>
      <c r="I343" s="5" t="s">
        <v>38</v>
      </c>
      <c r="J343" s="6" t="s">
        <v>65</v>
      </c>
      <c r="K343" s="5" t="s">
        <v>17</v>
      </c>
      <c r="L343" s="6">
        <v>482000</v>
      </c>
      <c r="Y343" s="22" t="s">
        <v>1059</v>
      </c>
      <c r="Z343" s="8" t="s">
        <v>1060</v>
      </c>
    </row>
    <row r="344" spans="7:26" x14ac:dyDescent="0.35">
      <c r="G344" s="5" t="s">
        <v>1061</v>
      </c>
      <c r="H344" s="6" t="s">
        <v>1062</v>
      </c>
      <c r="I344" s="5" t="s">
        <v>27</v>
      </c>
      <c r="J344" s="6" t="s">
        <v>65</v>
      </c>
      <c r="K344" s="5" t="s">
        <v>40</v>
      </c>
      <c r="L344" s="6">
        <v>230000</v>
      </c>
      <c r="Y344" s="22" t="s">
        <v>1062</v>
      </c>
      <c r="Z344" s="8" t="s">
        <v>1063</v>
      </c>
    </row>
    <row r="345" spans="7:26" x14ac:dyDescent="0.35">
      <c r="G345" s="5" t="s">
        <v>1064</v>
      </c>
      <c r="H345" s="6" t="s">
        <v>1065</v>
      </c>
      <c r="I345" s="5" t="s">
        <v>38</v>
      </c>
      <c r="J345" s="6" t="s">
        <v>16</v>
      </c>
      <c r="K345" s="5" t="s">
        <v>17</v>
      </c>
      <c r="L345" s="6">
        <v>210000</v>
      </c>
      <c r="Y345" s="22" t="s">
        <v>1065</v>
      </c>
      <c r="Z345" s="8" t="s">
        <v>1066</v>
      </c>
    </row>
    <row r="346" spans="7:26" x14ac:dyDescent="0.35">
      <c r="G346" s="5" t="s">
        <v>1067</v>
      </c>
      <c r="H346" s="6" t="s">
        <v>1068</v>
      </c>
      <c r="I346" s="5" t="s">
        <v>96</v>
      </c>
      <c r="J346" s="6" t="s">
        <v>48</v>
      </c>
      <c r="K346" s="5" t="s">
        <v>70</v>
      </c>
      <c r="L346" s="6">
        <v>356000</v>
      </c>
      <c r="Y346" s="22" t="s">
        <v>1068</v>
      </c>
      <c r="Z346" s="8" t="s">
        <v>1069</v>
      </c>
    </row>
    <row r="347" spans="7:26" x14ac:dyDescent="0.35">
      <c r="G347" s="5" t="s">
        <v>1070</v>
      </c>
      <c r="H347" s="6" t="s">
        <v>1071</v>
      </c>
      <c r="I347" s="5" t="s">
        <v>96</v>
      </c>
      <c r="J347" s="6" t="s">
        <v>28</v>
      </c>
      <c r="K347" s="5" t="s">
        <v>17</v>
      </c>
      <c r="L347" s="6">
        <v>164000</v>
      </c>
    </row>
    <row r="348" spans="7:26" x14ac:dyDescent="0.35">
      <c r="G348" s="5" t="s">
        <v>1072</v>
      </c>
      <c r="H348" s="6" t="s">
        <v>1073</v>
      </c>
      <c r="I348" s="5" t="s">
        <v>96</v>
      </c>
      <c r="J348" s="6" t="s">
        <v>16</v>
      </c>
      <c r="K348" s="5" t="s">
        <v>50</v>
      </c>
      <c r="L348" s="6">
        <v>160000</v>
      </c>
    </row>
    <row r="349" spans="7:26" x14ac:dyDescent="0.35">
      <c r="G349" s="5" t="s">
        <v>1074</v>
      </c>
      <c r="H349" s="6" t="s">
        <v>1075</v>
      </c>
      <c r="I349" s="5" t="s">
        <v>89</v>
      </c>
      <c r="J349" s="6" t="s">
        <v>65</v>
      </c>
      <c r="K349" s="5" t="s">
        <v>17</v>
      </c>
      <c r="L349" s="6">
        <v>400000</v>
      </c>
    </row>
    <row r="350" spans="7:26" x14ac:dyDescent="0.35">
      <c r="G350" s="5" t="s">
        <v>1076</v>
      </c>
      <c r="H350" s="6" t="s">
        <v>1077</v>
      </c>
      <c r="I350" s="5" t="s">
        <v>44</v>
      </c>
      <c r="J350" s="6" t="s">
        <v>45</v>
      </c>
      <c r="K350" s="5" t="s">
        <v>70</v>
      </c>
      <c r="L350" s="6">
        <v>258000</v>
      </c>
    </row>
    <row r="351" spans="7:26" x14ac:dyDescent="0.35">
      <c r="G351" s="5" t="s">
        <v>1078</v>
      </c>
      <c r="H351" s="6" t="s">
        <v>1079</v>
      </c>
      <c r="I351" s="5" t="s">
        <v>27</v>
      </c>
      <c r="J351" s="6" t="s">
        <v>39</v>
      </c>
      <c r="K351" s="5" t="s">
        <v>70</v>
      </c>
      <c r="L351" s="6">
        <v>372000</v>
      </c>
    </row>
    <row r="352" spans="7:26" x14ac:dyDescent="0.35">
      <c r="G352" s="5" t="s">
        <v>1080</v>
      </c>
      <c r="H352" s="6" t="s">
        <v>1081</v>
      </c>
      <c r="I352" s="5" t="s">
        <v>96</v>
      </c>
      <c r="J352" s="6" t="s">
        <v>48</v>
      </c>
      <c r="K352" s="5" t="s">
        <v>40</v>
      </c>
      <c r="L352" s="6">
        <v>410000</v>
      </c>
    </row>
    <row r="353" spans="7:29" x14ac:dyDescent="0.35">
      <c r="G353" s="5" t="s">
        <v>1082</v>
      </c>
      <c r="H353" s="6" t="s">
        <v>1083</v>
      </c>
      <c r="I353" s="5" t="s">
        <v>38</v>
      </c>
      <c r="J353" s="6" t="s">
        <v>28</v>
      </c>
      <c r="K353" s="5" t="s">
        <v>17</v>
      </c>
      <c r="L353" s="6">
        <v>120000</v>
      </c>
    </row>
    <row r="354" spans="7:29" x14ac:dyDescent="0.35">
      <c r="G354" s="5" t="s">
        <v>54</v>
      </c>
      <c r="H354" s="6" t="s">
        <v>1084</v>
      </c>
      <c r="I354" s="5" t="s">
        <v>44</v>
      </c>
      <c r="J354" s="6" t="s">
        <v>28</v>
      </c>
      <c r="K354" s="5" t="s">
        <v>17</v>
      </c>
      <c r="L354" s="6">
        <v>276000</v>
      </c>
    </row>
    <row r="355" spans="7:29" x14ac:dyDescent="0.35">
      <c r="G355" s="5" t="s">
        <v>1085</v>
      </c>
      <c r="H355" s="6" t="s">
        <v>1086</v>
      </c>
      <c r="I355" s="5" t="s">
        <v>38</v>
      </c>
      <c r="J355" s="6" t="s">
        <v>58</v>
      </c>
      <c r="K355" s="5" t="s">
        <v>70</v>
      </c>
      <c r="L355" s="6">
        <v>106000</v>
      </c>
    </row>
    <row r="356" spans="7:29" x14ac:dyDescent="0.35">
      <c r="G356" s="5" t="s">
        <v>1087</v>
      </c>
      <c r="H356" s="6" t="s">
        <v>1088</v>
      </c>
      <c r="I356" s="5" t="s">
        <v>96</v>
      </c>
      <c r="J356" s="6" t="s">
        <v>48</v>
      </c>
      <c r="K356" s="5" t="s">
        <v>40</v>
      </c>
      <c r="L356" s="6">
        <v>76000</v>
      </c>
    </row>
    <row r="357" spans="7:29" x14ac:dyDescent="0.35">
      <c r="G357" s="5" t="s">
        <v>1089</v>
      </c>
      <c r="H357" s="6" t="s">
        <v>1090</v>
      </c>
      <c r="I357" s="5" t="s">
        <v>43</v>
      </c>
      <c r="J357" s="6" t="s">
        <v>48</v>
      </c>
      <c r="K357" s="5" t="s">
        <v>40</v>
      </c>
      <c r="L357" s="6">
        <v>140000</v>
      </c>
    </row>
    <row r="358" spans="7:29" x14ac:dyDescent="0.35">
      <c r="G358" s="5" t="s">
        <v>1091</v>
      </c>
      <c r="H358" s="6" t="s">
        <v>1092</v>
      </c>
      <c r="I358" s="5" t="s">
        <v>27</v>
      </c>
      <c r="J358" s="6" t="s">
        <v>16</v>
      </c>
      <c r="K358" s="5" t="s">
        <v>40</v>
      </c>
      <c r="L358" s="6">
        <v>120000</v>
      </c>
    </row>
    <row r="359" spans="7:29" x14ac:dyDescent="0.35">
      <c r="G359" s="5" t="s">
        <v>1093</v>
      </c>
      <c r="H359" s="6" t="s">
        <v>1094</v>
      </c>
      <c r="I359" s="5" t="s">
        <v>27</v>
      </c>
      <c r="J359" s="6" t="s">
        <v>28</v>
      </c>
      <c r="K359" s="5" t="s">
        <v>40</v>
      </c>
      <c r="L359" s="6">
        <v>426000</v>
      </c>
    </row>
    <row r="362" spans="7:29" x14ac:dyDescent="0.35">
      <c r="Q362" s="23"/>
    </row>
    <row r="363" spans="7:29" x14ac:dyDescent="0.35"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</row>
    <row r="364" spans="7:29" x14ac:dyDescent="0.35"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</row>
    <row r="365" spans="7:29" x14ac:dyDescent="0.35"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</row>
    <row r="366" spans="7:29" x14ac:dyDescent="0.35"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</row>
    <row r="367" spans="7:29" x14ac:dyDescent="0.35"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</row>
    <row r="368" spans="7:29" x14ac:dyDescent="0.35"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</row>
    <row r="369" spans="7:29" x14ac:dyDescent="0.35"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spans="7:29" x14ac:dyDescent="0.35"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</row>
    <row r="371" spans="7:29" x14ac:dyDescent="0.35"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</row>
    <row r="372" spans="7:29" x14ac:dyDescent="0.35"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spans="7:29" x14ac:dyDescent="0.35"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</row>
    <row r="374" spans="7:29" x14ac:dyDescent="0.35"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</row>
    <row r="375" spans="7:29" x14ac:dyDescent="0.35"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</row>
    <row r="376" spans="7:29" x14ac:dyDescent="0.35"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</row>
    <row r="377" spans="7:29" x14ac:dyDescent="0.35"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</row>
    <row r="378" spans="7:29" x14ac:dyDescent="0.35"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</row>
    <row r="379" spans="7:29" x14ac:dyDescent="0.35"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</row>
    <row r="380" spans="7:29" x14ac:dyDescent="0.35"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</row>
    <row r="381" spans="7:29" x14ac:dyDescent="0.35"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</row>
    <row r="382" spans="7:29" x14ac:dyDescent="0.35"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</row>
    <row r="383" spans="7:29" x14ac:dyDescent="0.35"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spans="7:29" x14ac:dyDescent="0.35"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</row>
    <row r="385" spans="7:29" x14ac:dyDescent="0.35"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</row>
    <row r="386" spans="7:29" x14ac:dyDescent="0.35"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</row>
    <row r="387" spans="7:29" x14ac:dyDescent="0.35"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</row>
    <row r="388" spans="7:29" x14ac:dyDescent="0.35"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spans="7:29" x14ac:dyDescent="0.35"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</row>
    <row r="390" spans="7:29" x14ac:dyDescent="0.35"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</row>
    <row r="391" spans="7:29" x14ac:dyDescent="0.35"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</row>
    <row r="392" spans="7:29" x14ac:dyDescent="0.35"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</row>
    <row r="393" spans="7:29" x14ac:dyDescent="0.35"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</row>
    <row r="394" spans="7:29" x14ac:dyDescent="0.35"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</row>
    <row r="395" spans="7:29" x14ac:dyDescent="0.35"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spans="7:29" x14ac:dyDescent="0.35"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</row>
    <row r="397" spans="7:29" x14ac:dyDescent="0.35"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</row>
    <row r="398" spans="7:29" x14ac:dyDescent="0.35"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</row>
    <row r="399" spans="7:29" x14ac:dyDescent="0.35"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</row>
    <row r="400" spans="7:29" x14ac:dyDescent="0.35"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</row>
    <row r="401" spans="7:29" x14ac:dyDescent="0.35"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</row>
    <row r="402" spans="7:29" x14ac:dyDescent="0.35"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spans="7:29" x14ac:dyDescent="0.35"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</row>
    <row r="404" spans="7:29" x14ac:dyDescent="0.35"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</row>
    <row r="405" spans="7:29" x14ac:dyDescent="0.35"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</row>
    <row r="406" spans="7:29" x14ac:dyDescent="0.35"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</row>
    <row r="407" spans="7:29" x14ac:dyDescent="0.35"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spans="7:29" x14ac:dyDescent="0.35"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</row>
    <row r="409" spans="7:29" x14ac:dyDescent="0.35"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</row>
    <row r="410" spans="7:29" x14ac:dyDescent="0.35"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</row>
    <row r="411" spans="7:29" x14ac:dyDescent="0.35"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spans="7:29" x14ac:dyDescent="0.35"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</row>
    <row r="413" spans="7:29" x14ac:dyDescent="0.35"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</row>
    <row r="414" spans="7:29" x14ac:dyDescent="0.35"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</row>
    <row r="415" spans="7:29" x14ac:dyDescent="0.35"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</row>
    <row r="416" spans="7:29" x14ac:dyDescent="0.35"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</row>
    <row r="417" spans="7:29" x14ac:dyDescent="0.35"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</row>
    <row r="418" spans="7:29" x14ac:dyDescent="0.35"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</row>
    <row r="419" spans="7:29" x14ac:dyDescent="0.35"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spans="7:29" x14ac:dyDescent="0.35"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</row>
    <row r="421" spans="7:29" x14ac:dyDescent="0.35"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</row>
    <row r="422" spans="7:29" x14ac:dyDescent="0.35"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spans="7:29" x14ac:dyDescent="0.35"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</row>
    <row r="424" spans="7:29" x14ac:dyDescent="0.35"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</row>
    <row r="425" spans="7:29" x14ac:dyDescent="0.35"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</row>
    <row r="426" spans="7:29" x14ac:dyDescent="0.35"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</row>
    <row r="427" spans="7:29" x14ac:dyDescent="0.35"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</row>
    <row r="428" spans="7:29" x14ac:dyDescent="0.35"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</row>
    <row r="429" spans="7:29" x14ac:dyDescent="0.35"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</row>
    <row r="430" spans="7:29" x14ac:dyDescent="0.35"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</row>
    <row r="431" spans="7:29" x14ac:dyDescent="0.35"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</row>
    <row r="432" spans="7:29" x14ac:dyDescent="0.35"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</row>
    <row r="433" spans="7:29" x14ac:dyDescent="0.35"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</row>
    <row r="434" spans="7:29" x14ac:dyDescent="0.35"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spans="7:29" x14ac:dyDescent="0.35"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</row>
    <row r="436" spans="7:29" x14ac:dyDescent="0.35"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</row>
    <row r="437" spans="7:29" x14ac:dyDescent="0.35"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</row>
    <row r="438" spans="7:29" x14ac:dyDescent="0.35"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</row>
    <row r="439" spans="7:29" x14ac:dyDescent="0.35"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</row>
    <row r="440" spans="7:29" x14ac:dyDescent="0.35"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</row>
    <row r="441" spans="7:29" x14ac:dyDescent="0.35"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</row>
    <row r="442" spans="7:29" x14ac:dyDescent="0.35"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</row>
    <row r="443" spans="7:29" x14ac:dyDescent="0.35"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spans="7:29" x14ac:dyDescent="0.35"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</row>
    <row r="445" spans="7:29" x14ac:dyDescent="0.35"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</row>
    <row r="446" spans="7:29" x14ac:dyDescent="0.35"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</row>
    <row r="447" spans="7:29" x14ac:dyDescent="0.35"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</row>
    <row r="448" spans="7:29" x14ac:dyDescent="0.35"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</row>
    <row r="449" spans="7:29" x14ac:dyDescent="0.35"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</row>
    <row r="450" spans="7:29" x14ac:dyDescent="0.35"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</row>
    <row r="451" spans="7:29" x14ac:dyDescent="0.35"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</row>
    <row r="452" spans="7:29" x14ac:dyDescent="0.35"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spans="7:29" x14ac:dyDescent="0.35"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</row>
    <row r="454" spans="7:29" x14ac:dyDescent="0.35"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</row>
    <row r="455" spans="7:29" x14ac:dyDescent="0.35"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</row>
    <row r="456" spans="7:29" x14ac:dyDescent="0.35"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</row>
    <row r="457" spans="7:29" x14ac:dyDescent="0.35"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</row>
    <row r="458" spans="7:29" x14ac:dyDescent="0.35"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</row>
    <row r="459" spans="7:29" x14ac:dyDescent="0.35"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</row>
    <row r="460" spans="7:29" x14ac:dyDescent="0.35"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</row>
    <row r="461" spans="7:29" x14ac:dyDescent="0.35"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</row>
    <row r="462" spans="7:29" x14ac:dyDescent="0.35"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</row>
    <row r="463" spans="7:29" x14ac:dyDescent="0.35"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</row>
    <row r="464" spans="7:29" x14ac:dyDescent="0.35"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</row>
    <row r="465" spans="7:29" x14ac:dyDescent="0.35"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</row>
    <row r="466" spans="7:29" x14ac:dyDescent="0.35"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</row>
    <row r="467" spans="7:29" x14ac:dyDescent="0.35"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</row>
    <row r="468" spans="7:29" x14ac:dyDescent="0.35"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</row>
    <row r="469" spans="7:29" x14ac:dyDescent="0.35"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spans="7:29" x14ac:dyDescent="0.35"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</row>
    <row r="471" spans="7:29" x14ac:dyDescent="0.35"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</row>
    <row r="472" spans="7:29" x14ac:dyDescent="0.35"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</row>
    <row r="473" spans="7:29" x14ac:dyDescent="0.35"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</row>
    <row r="474" spans="7:29" x14ac:dyDescent="0.35"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</row>
    <row r="475" spans="7:29" x14ac:dyDescent="0.35"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</row>
    <row r="476" spans="7:29" x14ac:dyDescent="0.35"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</row>
    <row r="477" spans="7:29" x14ac:dyDescent="0.35"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</row>
    <row r="478" spans="7:29" x14ac:dyDescent="0.35"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spans="7:29" x14ac:dyDescent="0.35"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</row>
    <row r="480" spans="7:29" x14ac:dyDescent="0.35"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</row>
    <row r="481" spans="7:29" x14ac:dyDescent="0.35"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</row>
    <row r="482" spans="7:29" x14ac:dyDescent="0.35"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</row>
    <row r="483" spans="7:29" x14ac:dyDescent="0.35"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</row>
    <row r="484" spans="7:29" x14ac:dyDescent="0.35"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</row>
    <row r="485" spans="7:29" x14ac:dyDescent="0.35"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</row>
    <row r="486" spans="7:29" x14ac:dyDescent="0.35"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</row>
    <row r="487" spans="7:29" x14ac:dyDescent="0.35"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</row>
    <row r="488" spans="7:29" x14ac:dyDescent="0.35"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</row>
    <row r="489" spans="7:29" x14ac:dyDescent="0.35"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</row>
    <row r="490" spans="7:29" x14ac:dyDescent="0.35"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</row>
    <row r="491" spans="7:29" x14ac:dyDescent="0.35"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</row>
    <row r="492" spans="7:29" x14ac:dyDescent="0.35"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</row>
    <row r="493" spans="7:29" x14ac:dyDescent="0.35"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spans="7:29" x14ac:dyDescent="0.35"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</row>
    <row r="495" spans="7:29" x14ac:dyDescent="0.35"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</row>
    <row r="496" spans="7:29" x14ac:dyDescent="0.35"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</row>
    <row r="497" spans="7:29" x14ac:dyDescent="0.35"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</row>
    <row r="498" spans="7:29" x14ac:dyDescent="0.35"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</row>
    <row r="499" spans="7:29" x14ac:dyDescent="0.35"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</row>
    <row r="500" spans="7:29" x14ac:dyDescent="0.35"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</row>
    <row r="501" spans="7:29" x14ac:dyDescent="0.35"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spans="7:29" x14ac:dyDescent="0.35"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</row>
    <row r="503" spans="7:29" x14ac:dyDescent="0.35"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</row>
    <row r="504" spans="7:29" x14ac:dyDescent="0.35"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</row>
    <row r="505" spans="7:29" x14ac:dyDescent="0.35"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</row>
    <row r="506" spans="7:29" x14ac:dyDescent="0.35"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</row>
    <row r="507" spans="7:29" x14ac:dyDescent="0.35"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</row>
    <row r="508" spans="7:29" x14ac:dyDescent="0.35"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</row>
    <row r="509" spans="7:29" x14ac:dyDescent="0.35"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</row>
    <row r="510" spans="7:29" x14ac:dyDescent="0.35"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</row>
    <row r="511" spans="7:29" x14ac:dyDescent="0.35"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</row>
    <row r="512" spans="7:29" x14ac:dyDescent="0.35"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spans="7:29" x14ac:dyDescent="0.35"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</row>
    <row r="514" spans="7:29" x14ac:dyDescent="0.35"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</row>
    <row r="515" spans="7:29" x14ac:dyDescent="0.35"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</row>
    <row r="516" spans="7:29" x14ac:dyDescent="0.35"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</row>
    <row r="517" spans="7:29" x14ac:dyDescent="0.35"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</row>
    <row r="518" spans="7:29" x14ac:dyDescent="0.35"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</row>
    <row r="519" spans="7:29" x14ac:dyDescent="0.35"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</row>
    <row r="520" spans="7:29" x14ac:dyDescent="0.35"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</row>
    <row r="521" spans="7:29" x14ac:dyDescent="0.35"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</row>
    <row r="522" spans="7:29" x14ac:dyDescent="0.35"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</row>
    <row r="523" spans="7:29" x14ac:dyDescent="0.35"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</row>
    <row r="524" spans="7:29" x14ac:dyDescent="0.35"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</row>
    <row r="525" spans="7:29" x14ac:dyDescent="0.35"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spans="7:29" x14ac:dyDescent="0.35"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</row>
    <row r="527" spans="7:29" x14ac:dyDescent="0.35"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</row>
    <row r="528" spans="7:29" x14ac:dyDescent="0.35"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</row>
    <row r="529" spans="7:29" x14ac:dyDescent="0.35"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</row>
    <row r="530" spans="7:29" x14ac:dyDescent="0.35"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</row>
    <row r="531" spans="7:29" x14ac:dyDescent="0.35"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</row>
    <row r="532" spans="7:29" x14ac:dyDescent="0.35"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</row>
    <row r="533" spans="7:29" x14ac:dyDescent="0.35"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</row>
    <row r="534" spans="7:29" x14ac:dyDescent="0.35"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</row>
    <row r="535" spans="7:29" x14ac:dyDescent="0.35"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</row>
    <row r="536" spans="7:29" x14ac:dyDescent="0.35"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</row>
    <row r="537" spans="7:29" x14ac:dyDescent="0.35"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</row>
    <row r="538" spans="7:29" x14ac:dyDescent="0.35"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</row>
    <row r="539" spans="7:29" x14ac:dyDescent="0.35"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</row>
    <row r="540" spans="7:29" x14ac:dyDescent="0.35"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</row>
    <row r="541" spans="7:29" x14ac:dyDescent="0.35"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spans="7:29" x14ac:dyDescent="0.35"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</row>
    <row r="543" spans="7:29" x14ac:dyDescent="0.35"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</row>
    <row r="544" spans="7:29" x14ac:dyDescent="0.35"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</row>
    <row r="545" spans="7:29" x14ac:dyDescent="0.35"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</row>
    <row r="546" spans="7:29" x14ac:dyDescent="0.35"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</row>
    <row r="547" spans="7:29" x14ac:dyDescent="0.35"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</row>
    <row r="548" spans="7:29" x14ac:dyDescent="0.35"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</row>
    <row r="549" spans="7:29" x14ac:dyDescent="0.35"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</row>
    <row r="550" spans="7:29" x14ac:dyDescent="0.35"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</row>
    <row r="551" spans="7:29" x14ac:dyDescent="0.35"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spans="7:29" x14ac:dyDescent="0.35"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</row>
    <row r="553" spans="7:29" x14ac:dyDescent="0.35"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</row>
    <row r="554" spans="7:29" x14ac:dyDescent="0.35"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</row>
    <row r="555" spans="7:29" x14ac:dyDescent="0.35"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</row>
    <row r="556" spans="7:29" x14ac:dyDescent="0.35"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</row>
    <row r="557" spans="7:29" x14ac:dyDescent="0.35"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</row>
    <row r="558" spans="7:29" x14ac:dyDescent="0.35"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</row>
    <row r="559" spans="7:29" x14ac:dyDescent="0.35"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</row>
    <row r="560" spans="7:29" x14ac:dyDescent="0.35"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</row>
    <row r="561" spans="7:29" x14ac:dyDescent="0.35"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</row>
    <row r="562" spans="7:29" x14ac:dyDescent="0.35"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spans="7:29" x14ac:dyDescent="0.35"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</row>
    <row r="564" spans="7:29" x14ac:dyDescent="0.35"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</row>
    <row r="565" spans="7:29" x14ac:dyDescent="0.35"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</row>
    <row r="566" spans="7:29" x14ac:dyDescent="0.35"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spans="7:29" x14ac:dyDescent="0.35"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</row>
    <row r="568" spans="7:29" x14ac:dyDescent="0.35"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</row>
    <row r="569" spans="7:29" x14ac:dyDescent="0.35"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</row>
    <row r="570" spans="7:29" x14ac:dyDescent="0.35"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</row>
    <row r="571" spans="7:29" x14ac:dyDescent="0.35"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</row>
    <row r="572" spans="7:29" x14ac:dyDescent="0.35"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</row>
    <row r="573" spans="7:29" x14ac:dyDescent="0.35"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</row>
    <row r="574" spans="7:29" x14ac:dyDescent="0.35"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</row>
    <row r="575" spans="7:29" x14ac:dyDescent="0.35"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</row>
    <row r="576" spans="7:29" x14ac:dyDescent="0.35"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</row>
    <row r="577" spans="7:29" x14ac:dyDescent="0.35"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</row>
    <row r="578" spans="7:29" x14ac:dyDescent="0.35"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</row>
    <row r="579" spans="7:29" x14ac:dyDescent="0.35"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</row>
    <row r="580" spans="7:29" x14ac:dyDescent="0.35"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</row>
    <row r="581" spans="7:29" x14ac:dyDescent="0.35"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</row>
    <row r="582" spans="7:29" x14ac:dyDescent="0.35"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</row>
    <row r="583" spans="7:29" x14ac:dyDescent="0.35"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spans="7:29" x14ac:dyDescent="0.35"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</row>
    <row r="585" spans="7:29" x14ac:dyDescent="0.35"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</row>
    <row r="586" spans="7:29" x14ac:dyDescent="0.35"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spans="7:29" x14ac:dyDescent="0.35"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</row>
    <row r="588" spans="7:29" x14ac:dyDescent="0.35"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</row>
    <row r="589" spans="7:29" x14ac:dyDescent="0.35"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</row>
    <row r="590" spans="7:29" x14ac:dyDescent="0.35"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</row>
    <row r="591" spans="7:29" x14ac:dyDescent="0.35"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</row>
    <row r="592" spans="7:29" x14ac:dyDescent="0.35"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</row>
    <row r="593" spans="7:29" x14ac:dyDescent="0.35"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</row>
    <row r="594" spans="7:29" x14ac:dyDescent="0.35"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</row>
    <row r="595" spans="7:29" x14ac:dyDescent="0.35"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</row>
    <row r="596" spans="7:29" x14ac:dyDescent="0.35"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spans="7:29" x14ac:dyDescent="0.35"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</row>
    <row r="598" spans="7:29" x14ac:dyDescent="0.35"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</row>
    <row r="599" spans="7:29" x14ac:dyDescent="0.35"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</row>
    <row r="600" spans="7:29" x14ac:dyDescent="0.35"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spans="7:29" x14ac:dyDescent="0.35"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</row>
    <row r="602" spans="7:29" x14ac:dyDescent="0.35"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</row>
    <row r="603" spans="7:29" x14ac:dyDescent="0.35"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</row>
    <row r="604" spans="7:29" x14ac:dyDescent="0.35"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</row>
    <row r="605" spans="7:29" x14ac:dyDescent="0.35"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spans="7:29" x14ac:dyDescent="0.35"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</row>
    <row r="607" spans="7:29" x14ac:dyDescent="0.35"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</row>
    <row r="608" spans="7:29" x14ac:dyDescent="0.35"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</row>
    <row r="609" spans="7:29" x14ac:dyDescent="0.35"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</row>
    <row r="610" spans="7:29" x14ac:dyDescent="0.35"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</row>
    <row r="611" spans="7:29" x14ac:dyDescent="0.35"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</row>
    <row r="612" spans="7:29" x14ac:dyDescent="0.35"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spans="7:29" x14ac:dyDescent="0.35"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</row>
    <row r="614" spans="7:29" x14ac:dyDescent="0.35"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</row>
    <row r="615" spans="7:29" x14ac:dyDescent="0.35"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</row>
    <row r="616" spans="7:29" x14ac:dyDescent="0.35"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</row>
    <row r="617" spans="7:29" x14ac:dyDescent="0.35"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</row>
    <row r="618" spans="7:29" x14ac:dyDescent="0.35"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</row>
    <row r="619" spans="7:29" x14ac:dyDescent="0.35"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</row>
    <row r="620" spans="7:29" x14ac:dyDescent="0.35"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</row>
    <row r="621" spans="7:29" x14ac:dyDescent="0.35"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</row>
    <row r="622" spans="7:29" x14ac:dyDescent="0.35"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</row>
    <row r="623" spans="7:29" x14ac:dyDescent="0.35"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</row>
    <row r="624" spans="7:29" x14ac:dyDescent="0.35"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</row>
    <row r="625" spans="7:29" x14ac:dyDescent="0.35"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</row>
    <row r="626" spans="7:29" x14ac:dyDescent="0.35"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</row>
    <row r="627" spans="7:29" x14ac:dyDescent="0.35"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</row>
    <row r="628" spans="7:29" x14ac:dyDescent="0.35"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</row>
    <row r="629" spans="7:29" x14ac:dyDescent="0.35"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</row>
    <row r="630" spans="7:29" x14ac:dyDescent="0.35"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</row>
    <row r="631" spans="7:29" x14ac:dyDescent="0.35"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</row>
    <row r="632" spans="7:29" x14ac:dyDescent="0.35"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</row>
    <row r="633" spans="7:29" x14ac:dyDescent="0.35"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</row>
    <row r="634" spans="7:29" x14ac:dyDescent="0.35"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spans="7:29" x14ac:dyDescent="0.35"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</row>
    <row r="636" spans="7:29" x14ac:dyDescent="0.35"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</row>
    <row r="637" spans="7:29" x14ac:dyDescent="0.35"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</row>
    <row r="638" spans="7:29" x14ac:dyDescent="0.35"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</row>
    <row r="639" spans="7:29" x14ac:dyDescent="0.35"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</row>
    <row r="640" spans="7:29" x14ac:dyDescent="0.35"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</row>
    <row r="641" spans="7:29" x14ac:dyDescent="0.35"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</row>
    <row r="642" spans="7:29" x14ac:dyDescent="0.35"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</row>
    <row r="643" spans="7:29" x14ac:dyDescent="0.35"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</row>
    <row r="644" spans="7:29" x14ac:dyDescent="0.35"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</row>
    <row r="645" spans="7:29" x14ac:dyDescent="0.35"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</row>
    <row r="646" spans="7:29" x14ac:dyDescent="0.35"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</row>
    <row r="647" spans="7:29" x14ac:dyDescent="0.35"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</row>
    <row r="648" spans="7:29" x14ac:dyDescent="0.35"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spans="7:29" x14ac:dyDescent="0.35"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</row>
    <row r="650" spans="7:29" x14ac:dyDescent="0.35"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</row>
    <row r="651" spans="7:29" x14ac:dyDescent="0.35"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</row>
    <row r="652" spans="7:29" x14ac:dyDescent="0.35"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</row>
    <row r="653" spans="7:29" x14ac:dyDescent="0.35"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</row>
    <row r="654" spans="7:29" x14ac:dyDescent="0.35"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</row>
    <row r="655" spans="7:29" x14ac:dyDescent="0.35"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</row>
    <row r="656" spans="7:29" x14ac:dyDescent="0.35"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</row>
    <row r="657" spans="7:29" x14ac:dyDescent="0.35"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</row>
    <row r="658" spans="7:29" x14ac:dyDescent="0.35"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</row>
    <row r="659" spans="7:29" x14ac:dyDescent="0.35"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</row>
    <row r="660" spans="7:29" x14ac:dyDescent="0.35"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</row>
    <row r="661" spans="7:29" x14ac:dyDescent="0.35"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</row>
    <row r="662" spans="7:29" x14ac:dyDescent="0.35"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</row>
    <row r="663" spans="7:29" x14ac:dyDescent="0.35"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</row>
    <row r="664" spans="7:29" x14ac:dyDescent="0.35"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</row>
    <row r="665" spans="7:29" x14ac:dyDescent="0.35"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spans="7:29" x14ac:dyDescent="0.35"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</row>
    <row r="667" spans="7:29" x14ac:dyDescent="0.35"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</row>
    <row r="668" spans="7:29" x14ac:dyDescent="0.35"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</row>
    <row r="669" spans="7:29" x14ac:dyDescent="0.35"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</row>
    <row r="670" spans="7:29" x14ac:dyDescent="0.35"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</row>
    <row r="671" spans="7:29" x14ac:dyDescent="0.35"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</row>
    <row r="672" spans="7:29" x14ac:dyDescent="0.35"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</row>
    <row r="673" spans="7:29" x14ac:dyDescent="0.35"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</row>
    <row r="674" spans="7:29" x14ac:dyDescent="0.35"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</row>
    <row r="675" spans="7:29" x14ac:dyDescent="0.35"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</row>
    <row r="676" spans="7:29" x14ac:dyDescent="0.35"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</row>
    <row r="677" spans="7:29" x14ac:dyDescent="0.35"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</row>
    <row r="678" spans="7:29" x14ac:dyDescent="0.35"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spans="7:29" x14ac:dyDescent="0.35"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</row>
    <row r="680" spans="7:29" x14ac:dyDescent="0.35"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</row>
    <row r="681" spans="7:29" x14ac:dyDescent="0.35"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</row>
    <row r="682" spans="7:29" x14ac:dyDescent="0.35"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</row>
    <row r="683" spans="7:29" x14ac:dyDescent="0.35"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</row>
    <row r="684" spans="7:29" x14ac:dyDescent="0.35"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</row>
    <row r="685" spans="7:29" x14ac:dyDescent="0.35"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</row>
    <row r="686" spans="7:29" x14ac:dyDescent="0.35"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</row>
    <row r="687" spans="7:29" x14ac:dyDescent="0.35"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</row>
    <row r="688" spans="7:29" x14ac:dyDescent="0.35"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</row>
    <row r="689" spans="7:29" x14ac:dyDescent="0.35"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spans="7:29" x14ac:dyDescent="0.35"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</row>
    <row r="691" spans="7:29" x14ac:dyDescent="0.35"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</row>
    <row r="692" spans="7:29" x14ac:dyDescent="0.35"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</row>
    <row r="693" spans="7:29" x14ac:dyDescent="0.35"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spans="7:29" x14ac:dyDescent="0.35"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</row>
    <row r="695" spans="7:29" x14ac:dyDescent="0.35"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</row>
    <row r="696" spans="7:29" x14ac:dyDescent="0.35"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</row>
    <row r="697" spans="7:29" x14ac:dyDescent="0.35"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</row>
    <row r="698" spans="7:29" x14ac:dyDescent="0.35"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</row>
    <row r="699" spans="7:29" x14ac:dyDescent="0.35"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</row>
    <row r="700" spans="7:29" x14ac:dyDescent="0.35"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</row>
    <row r="701" spans="7:29" x14ac:dyDescent="0.35"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</row>
    <row r="702" spans="7:29" x14ac:dyDescent="0.35"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</row>
    <row r="703" spans="7:29" x14ac:dyDescent="0.35"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</row>
    <row r="704" spans="7:29" x14ac:dyDescent="0.35"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</row>
    <row r="705" spans="7:29" x14ac:dyDescent="0.35"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</row>
    <row r="706" spans="7:29" x14ac:dyDescent="0.35"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</row>
    <row r="707" spans="7:29" x14ac:dyDescent="0.35"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</row>
    <row r="708" spans="7:29" x14ac:dyDescent="0.35"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</row>
    <row r="709" spans="7:29" x14ac:dyDescent="0.35"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spans="7:29" x14ac:dyDescent="0.35"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</row>
    <row r="711" spans="7:29" x14ac:dyDescent="0.35"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</row>
    <row r="712" spans="7:29" x14ac:dyDescent="0.35"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</row>
    <row r="713" spans="7:29" x14ac:dyDescent="0.35"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</row>
    <row r="714" spans="7:29" x14ac:dyDescent="0.35"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spans="7:29" x14ac:dyDescent="0.35"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</row>
    <row r="716" spans="7:29" x14ac:dyDescent="0.35"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</row>
    <row r="717" spans="7:29" x14ac:dyDescent="0.35"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</row>
    <row r="718" spans="7:29" x14ac:dyDescent="0.35"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</row>
    <row r="719" spans="7:29" x14ac:dyDescent="0.35"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spans="7:29" x14ac:dyDescent="0.35"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</row>
    <row r="721" spans="7:29" x14ac:dyDescent="0.35"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</row>
    <row r="722" spans="7:29" x14ac:dyDescent="0.35"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</row>
    <row r="723" spans="7:29" x14ac:dyDescent="0.35"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</row>
    <row r="724" spans="7:29" x14ac:dyDescent="0.35"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</row>
    <row r="725" spans="7:29" x14ac:dyDescent="0.35"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</row>
    <row r="726" spans="7:29" x14ac:dyDescent="0.35"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</row>
    <row r="727" spans="7:29" x14ac:dyDescent="0.35"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</row>
    <row r="728" spans="7:29" x14ac:dyDescent="0.35"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</row>
    <row r="729" spans="7:29" x14ac:dyDescent="0.35"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spans="7:29" x14ac:dyDescent="0.35"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</row>
    <row r="731" spans="7:29" x14ac:dyDescent="0.35"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</row>
    <row r="732" spans="7:29" x14ac:dyDescent="0.35"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</row>
    <row r="733" spans="7:29" x14ac:dyDescent="0.35"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spans="7:29" x14ac:dyDescent="0.35"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</row>
    <row r="735" spans="7:29" x14ac:dyDescent="0.35"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</row>
    <row r="736" spans="7:29" x14ac:dyDescent="0.35"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</row>
    <row r="737" spans="7:29" x14ac:dyDescent="0.35"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</row>
    <row r="738" spans="7:29" x14ac:dyDescent="0.35"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</row>
    <row r="739" spans="7:29" x14ac:dyDescent="0.35"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</row>
    <row r="740" spans="7:29" x14ac:dyDescent="0.35"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</row>
    <row r="741" spans="7:29" x14ac:dyDescent="0.35"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</row>
    <row r="742" spans="7:29" x14ac:dyDescent="0.35"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</row>
    <row r="743" spans="7:29" x14ac:dyDescent="0.35"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</row>
    <row r="744" spans="7:29" x14ac:dyDescent="0.35"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</row>
    <row r="745" spans="7:29" x14ac:dyDescent="0.35"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</row>
    <row r="746" spans="7:29" x14ac:dyDescent="0.35"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</row>
    <row r="747" spans="7:29" x14ac:dyDescent="0.35"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</row>
    <row r="748" spans="7:29" x14ac:dyDescent="0.35"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</row>
    <row r="749" spans="7:29" x14ac:dyDescent="0.35"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</row>
    <row r="750" spans="7:29" x14ac:dyDescent="0.35"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</row>
    <row r="751" spans="7:29" x14ac:dyDescent="0.35"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</row>
    <row r="752" spans="7:29" x14ac:dyDescent="0.35"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spans="7:29" x14ac:dyDescent="0.35"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</row>
    <row r="754" spans="7:29" x14ac:dyDescent="0.35"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</row>
    <row r="755" spans="7:29" x14ac:dyDescent="0.35"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</row>
    <row r="756" spans="7:29" x14ac:dyDescent="0.35"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</row>
    <row r="757" spans="7:29" x14ac:dyDescent="0.35"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</row>
    <row r="758" spans="7:29" x14ac:dyDescent="0.35"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</row>
    <row r="759" spans="7:29" x14ac:dyDescent="0.35"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</row>
    <row r="760" spans="7:29" x14ac:dyDescent="0.35"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</row>
    <row r="761" spans="7:29" x14ac:dyDescent="0.35"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</row>
    <row r="762" spans="7:29" x14ac:dyDescent="0.35"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</row>
    <row r="763" spans="7:29" x14ac:dyDescent="0.35"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</row>
    <row r="764" spans="7:29" x14ac:dyDescent="0.35"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</row>
    <row r="765" spans="7:29" x14ac:dyDescent="0.35"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spans="7:29" x14ac:dyDescent="0.35"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</row>
    <row r="767" spans="7:29" x14ac:dyDescent="0.35"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</row>
    <row r="768" spans="7:29" x14ac:dyDescent="0.35"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</row>
    <row r="769" spans="7:29" x14ac:dyDescent="0.35"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</row>
    <row r="770" spans="7:29" x14ac:dyDescent="0.35"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</row>
    <row r="771" spans="7:29" x14ac:dyDescent="0.35"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</row>
    <row r="772" spans="7:29" x14ac:dyDescent="0.35"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</row>
    <row r="773" spans="7:29" x14ac:dyDescent="0.35"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</row>
    <row r="774" spans="7:29" x14ac:dyDescent="0.35"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</row>
    <row r="775" spans="7:29" x14ac:dyDescent="0.35"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</row>
    <row r="776" spans="7:29" x14ac:dyDescent="0.35"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</row>
    <row r="777" spans="7:29" x14ac:dyDescent="0.35"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</row>
    <row r="778" spans="7:29" x14ac:dyDescent="0.35"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</row>
    <row r="779" spans="7:29" x14ac:dyDescent="0.35"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</row>
    <row r="780" spans="7:29" x14ac:dyDescent="0.35"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</row>
    <row r="781" spans="7:29" x14ac:dyDescent="0.35"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</row>
    <row r="782" spans="7:29" x14ac:dyDescent="0.35"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spans="7:29" x14ac:dyDescent="0.35"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</row>
    <row r="784" spans="7:29" x14ac:dyDescent="0.35"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</row>
    <row r="785" spans="7:29" x14ac:dyDescent="0.35"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</row>
    <row r="786" spans="7:29" x14ac:dyDescent="0.35"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</row>
    <row r="787" spans="7:29" x14ac:dyDescent="0.35"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</row>
    <row r="788" spans="7:29" x14ac:dyDescent="0.35"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</row>
    <row r="789" spans="7:29" x14ac:dyDescent="0.35"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</row>
    <row r="790" spans="7:29" x14ac:dyDescent="0.35"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</row>
    <row r="791" spans="7:29" x14ac:dyDescent="0.35"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</row>
    <row r="792" spans="7:29" x14ac:dyDescent="0.35"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</row>
    <row r="793" spans="7:29" x14ac:dyDescent="0.35"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</row>
    <row r="794" spans="7:29" x14ac:dyDescent="0.35"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</row>
    <row r="795" spans="7:29" x14ac:dyDescent="0.35"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</row>
    <row r="796" spans="7:29" x14ac:dyDescent="0.35"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</row>
    <row r="797" spans="7:29" x14ac:dyDescent="0.35"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</row>
    <row r="798" spans="7:29" x14ac:dyDescent="0.35"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</row>
    <row r="799" spans="7:29" x14ac:dyDescent="0.35"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spans="7:29" x14ac:dyDescent="0.35"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</row>
    <row r="801" spans="7:29" x14ac:dyDescent="0.35"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</row>
    <row r="802" spans="7:29" x14ac:dyDescent="0.35"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</row>
    <row r="803" spans="7:29" x14ac:dyDescent="0.35"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</row>
    <row r="804" spans="7:29" x14ac:dyDescent="0.35"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spans="7:29" x14ac:dyDescent="0.35"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</row>
    <row r="806" spans="7:29" x14ac:dyDescent="0.35"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</row>
    <row r="807" spans="7:29" x14ac:dyDescent="0.35"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</row>
    <row r="808" spans="7:29" x14ac:dyDescent="0.35"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</row>
    <row r="809" spans="7:29" x14ac:dyDescent="0.35"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</row>
    <row r="810" spans="7:29" x14ac:dyDescent="0.35"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spans="7:29" x14ac:dyDescent="0.35"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</row>
    <row r="812" spans="7:29" x14ac:dyDescent="0.35"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</row>
    <row r="813" spans="7:29" x14ac:dyDescent="0.35"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</row>
  </sheetData>
  <mergeCells count="1">
    <mergeCell ref="A1:S1"/>
  </mergeCells>
  <dataValidations count="2">
    <dataValidation type="list" allowBlank="1" showInputMessage="1" showErrorMessage="1" sqref="O24:O31 O56:O63 O35:O42" xr:uid="{00A867D7-F5A6-4772-9D6B-531D1D69BA57}">
      <formula1>$G$9:$G$359</formula1>
    </dataValidation>
    <dataValidation type="list" allowBlank="1" showInputMessage="1" showErrorMessage="1" sqref="AC56:AC58" xr:uid="{00272F01-7A9A-4BD3-8A21-2D7C33AFBBA1}">
      <formula1>$AD$46:$AJ$46</formula1>
    </dataValidation>
  </dataValidations>
  <hyperlinks>
    <hyperlink ref="AJ19" r:id="rId1" xr:uid="{BD24766B-F078-4194-861A-A1A51604208D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FA02-341B-430E-B52A-01F351B84C2E}">
  <dimension ref="B2:I21"/>
  <sheetViews>
    <sheetView zoomScale="92" workbookViewId="0">
      <selection activeCell="I15" sqref="I15"/>
    </sheetView>
  </sheetViews>
  <sheetFormatPr defaultColWidth="8.19921875" defaultRowHeight="21" x14ac:dyDescent="0.4"/>
  <cols>
    <col min="1" max="1" width="8.19921875" style="31"/>
    <col min="2" max="2" width="12" style="31" bestFit="1" customWidth="1"/>
    <col min="3" max="3" width="9.69921875" style="31" bestFit="1" customWidth="1"/>
    <col min="4" max="4" width="13.3984375" style="31" bestFit="1" customWidth="1"/>
    <col min="5" max="7" width="8.19921875" style="31"/>
    <col min="8" max="8" width="12.69921875" style="31" bestFit="1" customWidth="1"/>
    <col min="9" max="9" width="32.3984375" style="31" customWidth="1"/>
    <col min="10" max="16384" width="8.19921875" style="31"/>
  </cols>
  <sheetData>
    <row r="2" spans="2:9" x14ac:dyDescent="0.4">
      <c r="B2" s="30" t="s">
        <v>1101</v>
      </c>
      <c r="C2" s="30" t="s">
        <v>1102</v>
      </c>
      <c r="D2" s="30" t="s">
        <v>1103</v>
      </c>
    </row>
    <row r="3" spans="2:9" x14ac:dyDescent="0.4">
      <c r="B3" s="32" t="s">
        <v>1104</v>
      </c>
      <c r="C3" s="33">
        <v>1000</v>
      </c>
      <c r="D3" s="32" t="s">
        <v>1105</v>
      </c>
    </row>
    <row r="4" spans="2:9" x14ac:dyDescent="0.4">
      <c r="B4" s="32" t="s">
        <v>1106</v>
      </c>
      <c r="C4" s="33">
        <v>850</v>
      </c>
      <c r="D4" s="32" t="s">
        <v>1107</v>
      </c>
      <c r="H4" s="30" t="s">
        <v>1103</v>
      </c>
      <c r="I4" s="30" t="s">
        <v>1101</v>
      </c>
    </row>
    <row r="5" spans="2:9" x14ac:dyDescent="0.4">
      <c r="B5" s="32" t="s">
        <v>1108</v>
      </c>
      <c r="C5" s="33">
        <v>500</v>
      </c>
      <c r="D5" s="32" t="s">
        <v>1109</v>
      </c>
      <c r="H5" s="32" t="s">
        <v>1110</v>
      </c>
      <c r="I5" s="34" t="str">
        <f>VLOOKUP(H5,CHOOSE({1,2},D3:D7,B3:B7),2,FALSE)</f>
        <v>James</v>
      </c>
    </row>
    <row r="6" spans="2:9" x14ac:dyDescent="0.4">
      <c r="B6" s="32" t="s">
        <v>1111</v>
      </c>
      <c r="C6" s="33">
        <v>275</v>
      </c>
      <c r="D6" s="32" t="s">
        <v>1112</v>
      </c>
    </row>
    <row r="7" spans="2:9" x14ac:dyDescent="0.4">
      <c r="B7" s="32" t="s">
        <v>1113</v>
      </c>
      <c r="C7" s="33">
        <v>350</v>
      </c>
      <c r="D7" s="32" t="s">
        <v>1110</v>
      </c>
    </row>
    <row r="9" spans="2:9" x14ac:dyDescent="0.4">
      <c r="C9" s="31">
        <f>CHOOSE(3,1,2,34,4)</f>
        <v>34</v>
      </c>
      <c r="H9" s="30" t="s">
        <v>1103</v>
      </c>
      <c r="I9" s="30" t="s">
        <v>1102</v>
      </c>
    </row>
    <row r="10" spans="2:9" x14ac:dyDescent="0.4">
      <c r="H10" s="32" t="s">
        <v>1105</v>
      </c>
      <c r="I10" s="33" t="str">
        <f>VLOOKUP(H10,CHOOSE({1,2},D3:D7,B3:B7),2,FALSE)</f>
        <v>David</v>
      </c>
    </row>
    <row r="11" spans="2:9" x14ac:dyDescent="0.4">
      <c r="B11" s="35" t="s">
        <v>1114</v>
      </c>
      <c r="C11" s="35" t="s">
        <v>1115</v>
      </c>
      <c r="D11" s="35" t="s">
        <v>1116</v>
      </c>
    </row>
    <row r="12" spans="2:9" x14ac:dyDescent="0.4">
      <c r="B12" s="36" t="s">
        <v>1117</v>
      </c>
      <c r="C12" s="36">
        <v>2</v>
      </c>
      <c r="D12" s="36">
        <v>10</v>
      </c>
    </row>
    <row r="13" spans="2:9" x14ac:dyDescent="0.4">
      <c r="B13" s="36" t="s">
        <v>1118</v>
      </c>
      <c r="C13" s="36">
        <v>3</v>
      </c>
      <c r="D13" s="36">
        <v>20</v>
      </c>
    </row>
    <row r="14" spans="2:9" x14ac:dyDescent="0.4">
      <c r="B14" s="36" t="s">
        <v>1119</v>
      </c>
      <c r="C14" s="36">
        <v>4</v>
      </c>
      <c r="D14" s="36">
        <v>30</v>
      </c>
      <c r="F14" s="31">
        <f>CHOOSE(3,4,6,8,12,5)</f>
        <v>8</v>
      </c>
    </row>
    <row r="15" spans="2:9" x14ac:dyDescent="0.4">
      <c r="B15" s="36" t="s">
        <v>1120</v>
      </c>
      <c r="C15" s="36">
        <v>5</v>
      </c>
      <c r="D15" s="36">
        <v>40</v>
      </c>
      <c r="F15" s="31" cm="1">
        <f t="array" ref="F15:G21">CHOOSE({2,1},C12:C18,D12:D18)</f>
        <v>10</v>
      </c>
      <c r="G15" s="31">
        <v>2</v>
      </c>
    </row>
    <row r="16" spans="2:9" x14ac:dyDescent="0.4">
      <c r="B16" s="36" t="s">
        <v>1121</v>
      </c>
      <c r="C16" s="36">
        <v>6</v>
      </c>
      <c r="D16" s="36">
        <v>50</v>
      </c>
      <c r="F16" s="31">
        <v>20</v>
      </c>
      <c r="G16" s="31">
        <v>3</v>
      </c>
    </row>
    <row r="17" spans="2:7" x14ac:dyDescent="0.4">
      <c r="B17" s="36" t="s">
        <v>1122</v>
      </c>
      <c r="C17" s="36">
        <v>7</v>
      </c>
      <c r="D17" s="36">
        <v>60</v>
      </c>
      <c r="F17" s="31">
        <v>30</v>
      </c>
      <c r="G17" s="31">
        <v>4</v>
      </c>
    </row>
    <row r="18" spans="2:7" x14ac:dyDescent="0.4">
      <c r="B18" s="36" t="s">
        <v>1123</v>
      </c>
      <c r="C18" s="36">
        <v>8</v>
      </c>
      <c r="D18" s="36">
        <v>70</v>
      </c>
      <c r="F18" s="31">
        <v>40</v>
      </c>
      <c r="G18" s="31">
        <v>5</v>
      </c>
    </row>
    <row r="19" spans="2:7" x14ac:dyDescent="0.4">
      <c r="F19" s="31">
        <v>50</v>
      </c>
      <c r="G19" s="31">
        <v>6</v>
      </c>
    </row>
    <row r="20" spans="2:7" x14ac:dyDescent="0.4">
      <c r="F20" s="31">
        <v>60</v>
      </c>
      <c r="G20" s="31">
        <v>7</v>
      </c>
    </row>
    <row r="21" spans="2:7" x14ac:dyDescent="0.4">
      <c r="F21" s="31">
        <v>70</v>
      </c>
      <c r="G21" s="31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Most Popular Formula</vt:lpstr>
      <vt:lpstr>Vlookup &amp; Choose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Devashish Das</dc:creator>
  <cp:lastModifiedBy>siddhant mishra</cp:lastModifiedBy>
  <dcterms:created xsi:type="dcterms:W3CDTF">2025-07-05T20:32:45Z</dcterms:created>
  <dcterms:modified xsi:type="dcterms:W3CDTF">2026-08-04T11:36:14Z</dcterms:modified>
</cp:coreProperties>
</file>