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6\"/>
    </mc:Choice>
  </mc:AlternateContent>
  <xr:revisionPtr revIDLastSave="0" documentId="13_ncr:1_{9BC76510-2B97-4560-AB7F-01C1D6DC2213}" xr6:coauthVersionLast="47" xr6:coauthVersionMax="47" xr10:uidLastSave="{00000000-0000-0000-0000-000000000000}"/>
  <bookViews>
    <workbookView xWindow="-108" yWindow="-108" windowWidth="23256" windowHeight="13176" xr2:uid="{C0EB1B41-9101-4A41-9F9C-909D155F6E3C}"/>
  </bookViews>
  <sheets>
    <sheet name="Date &amp; Time Functions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pr">#REF!</definedName>
    <definedName name="Bonus_Percentage">0.2</definedName>
    <definedName name="DeliveryCharges">5%</definedName>
    <definedName name="DeliveryCharges_Perc">2%</definedName>
    <definedName name="Dyn_EmpData">OFFSET('[1]Name Manager'!$G$1,0,0,COUNTA('[1]Name Manager'!$G:$G),2)</definedName>
    <definedName name="Dyn_EmpDetails">OFFSET('[2]Name Manager'!$J$1,0,0,COUNTA('[2]Name Manager'!$J:$J),2)</definedName>
    <definedName name="Dyn_SalaryInfo">OFFSET('[3]Name Manager'!$P$1,0,0,12,4)</definedName>
    <definedName name="Dynamic_EmpData">OFFSET('[4]Name Manager'!$J$1,0,0,COUNTA('[4]Name Manager'!$J:$J),2)</definedName>
    <definedName name="Dynamic_EmpList">OFFSET('[5]Name Manager'!$J$1,0,0,COUNTA('[5]Name Manager'!$J:$J),2)</definedName>
    <definedName name="Dynamic_EmployeeData">OFFSET('[6]Name Manager'!$J$1,0,0,COUNTA('[6]Name Manager'!$J:$J),2)</definedName>
    <definedName name="Dynamic_EmpRange">OFFSET(#REF!,0,0,COUNTA(#REF!),3)</definedName>
    <definedName name="DynamicProductList">OFFSET('[7]Named Range'!$E$2,0,0,COUNTA('[7]Named Range'!$E$2:$E$100),1)</definedName>
    <definedName name="East">'[2]Name Manager'!$AA$2:$AA$6</definedName>
    <definedName name="Emp">#REF!</definedName>
    <definedName name="Emp_Details" comment="hey this is my first name range...">'[2]Name Manager'!$D$1:$E$9</definedName>
    <definedName name="Emp1_">#REF!</definedName>
    <definedName name="Emp2_">#REF!</definedName>
    <definedName name="Emp3_">#REF!</definedName>
    <definedName name="Emp4_">#REF!</definedName>
    <definedName name="Emp5_">#REF!</definedName>
    <definedName name="EmpData">'[4]Name Manager'!$D$1:$E$11</definedName>
    <definedName name="EmployeeData">'[6]Name Manager'!$D$1:$E$12</definedName>
    <definedName name="EmpNamesList">'[4]Name Manager'!$D$1:$D$11</definedName>
    <definedName name="Feb">#REF!</definedName>
    <definedName name="GST_Rate_1">20%</definedName>
    <definedName name="GST_Tax1">20%</definedName>
    <definedName name="Headers">'[3]Name Manager'!$D$1:$G$1</definedName>
    <definedName name="Jan">#REF!</definedName>
    <definedName name="Mar">#REF!</definedName>
    <definedName name="May">#REF!</definedName>
    <definedName name="My_Data">#REF!</definedName>
    <definedName name="North">'[2]Name Manager'!$AC$2:$AC$6</definedName>
    <definedName name="Product_List">'[7]Named Range'!$C$1:$C$10</definedName>
    <definedName name="Salary_Headers">'[3]Name Manager'!$P$1:$S$1</definedName>
    <definedName name="SalaryRange">'[3]Name Manager'!$D$1:$G$13</definedName>
    <definedName name="SAM100_">#REF!</definedName>
    <definedName name="Tax_Rate">0.2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6" i="2" l="1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26" i="2"/>
  <c r="AA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26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B28" i="2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33" i="2"/>
  <c r="C33" i="2" s="1"/>
  <c r="B23" i="2"/>
  <c r="B22" i="2"/>
  <c r="B21" i="2"/>
  <c r="B24" i="2" s="1"/>
  <c r="C17" i="2"/>
  <c r="C15" i="2"/>
  <c r="C16" i="2"/>
  <c r="C14" i="2"/>
  <c r="B27" i="2" l="1"/>
  <c r="B25" i="2"/>
  <c r="G40" i="2"/>
  <c r="G36" i="2"/>
  <c r="G39" i="2"/>
  <c r="G35" i="2"/>
  <c r="G37" i="2"/>
  <c r="G38" i="2"/>
  <c r="G34" i="2"/>
  <c r="G33" i="2"/>
  <c r="E33" i="2"/>
  <c r="E40" i="2"/>
  <c r="E36" i="2"/>
  <c r="E39" i="2"/>
  <c r="E35" i="2"/>
  <c r="E37" i="2"/>
  <c r="E38" i="2"/>
  <c r="E34" i="2"/>
  <c r="D36" i="2"/>
  <c r="D39" i="2"/>
  <c r="D35" i="2"/>
  <c r="D37" i="2"/>
  <c r="D40" i="2"/>
  <c r="D38" i="2"/>
  <c r="D34" i="2"/>
  <c r="D33" i="2"/>
  <c r="B26" i="2"/>
  <c r="F33" i="2" l="1"/>
  <c r="F35" i="2"/>
  <c r="F34" i="2"/>
  <c r="F39" i="2"/>
  <c r="F40" i="2"/>
  <c r="F36" i="2"/>
  <c r="F38" i="2"/>
  <c r="F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</author>
    <author>Karthik Dale (Affluent Global Services)</author>
  </authors>
  <commentList>
    <comment ref="C17" authorId="0" shapeId="0" xr:uid="{EE9812BC-63DB-4784-B57A-78A7BBD69FDF}">
      <text>
        <r>
          <rPr>
            <b/>
            <sz val="9"/>
            <color indexed="81"/>
            <rFont val="Tahoma"/>
            <family val="2"/>
          </rPr>
          <t>Date+Date we never use</t>
        </r>
      </text>
    </comment>
    <comment ref="C21" authorId="1" shapeId="0" xr:uid="{DA893654-3372-4DD3-886F-C319505E44BE}">
      <text>
        <r>
          <rPr>
            <b/>
            <sz val="9"/>
            <color indexed="81"/>
            <rFont val="Tahoma"/>
            <family val="2"/>
          </rPr>
          <t>Ctrl+; to enter current date</t>
        </r>
      </text>
    </comment>
    <comment ref="C22" authorId="1" shapeId="0" xr:uid="{CD21EAFA-DC9A-43F8-9129-328B24F1360F}">
      <text>
        <r>
          <rPr>
            <b/>
            <sz val="9"/>
            <color indexed="81"/>
            <rFont val="Tahoma"/>
            <family val="2"/>
          </rPr>
          <t xml:space="preserve">to enter current date &amp; current time Ctrl+; Ctrl+Shift+; </t>
        </r>
      </text>
    </comment>
  </commentList>
</comments>
</file>

<file path=xl/sharedStrings.xml><?xml version="1.0" encoding="utf-8"?>
<sst xmlns="http://schemas.openxmlformats.org/spreadsheetml/2006/main" count="83" uniqueCount="67">
  <si>
    <t>Date &amp; Time Functions</t>
  </si>
  <si>
    <t>Basic info about Date &amp; Time</t>
  </si>
  <si>
    <t>Start Date</t>
  </si>
  <si>
    <t>End Date</t>
  </si>
  <si>
    <t>FYI: All Excel dates are serial numbers, number starting from 1 (01/01/1900).</t>
  </si>
  <si>
    <t>Date</t>
  </si>
  <si>
    <t>Number</t>
  </si>
  <si>
    <t>Output</t>
  </si>
  <si>
    <t>Holiday List</t>
  </si>
  <si>
    <t>Today</t>
  </si>
  <si>
    <t>Now</t>
  </si>
  <si>
    <t>Volataile Function:</t>
  </si>
  <si>
    <t>1. Any changes in Workbook</t>
  </si>
  <si>
    <t>Sun 1 , Mon 2,…Sat 7</t>
  </si>
  <si>
    <t>EOMONTH</t>
  </si>
  <si>
    <t>2. Open Workbook</t>
  </si>
  <si>
    <t>EOMONTH Examples</t>
  </si>
  <si>
    <t>Home Work</t>
  </si>
  <si>
    <t>NetWorkdays formula Example</t>
  </si>
  <si>
    <t>NetWorkdays.Intl formula is new from 2010 Version of Excel</t>
  </si>
  <si>
    <t>Workday formula Example</t>
  </si>
  <si>
    <t>Workday.Intl formula Example</t>
  </si>
  <si>
    <t>NETWORKDAYS</t>
  </si>
  <si>
    <t>3. When you press F9</t>
  </si>
  <si>
    <t>Dates</t>
  </si>
  <si>
    <t>End of Month</t>
  </si>
  <si>
    <t>Next Month last date</t>
  </si>
  <si>
    <t>Previous Month Last Date</t>
  </si>
  <si>
    <t>1st Date of the Month</t>
  </si>
  <si>
    <t>5th Date of Next Month</t>
  </si>
  <si>
    <t>25th Date of Last Month</t>
  </si>
  <si>
    <t>Project Start Date</t>
  </si>
  <si>
    <t>Project End Date</t>
  </si>
  <si>
    <t>Net Working Days (Sat &amp; Sun - Weekoff)</t>
  </si>
  <si>
    <t>Net Working Days (Holidays)</t>
  </si>
  <si>
    <t>Net Working Days (Weekend is only Sunday)</t>
  </si>
  <si>
    <t>Net Working Days (Weekend is only Sunday, consider holidays)</t>
  </si>
  <si>
    <t>Net Working Days</t>
  </si>
  <si>
    <t>Project End Date (Holidays)</t>
  </si>
  <si>
    <t>Project End Date (Weekend is Sunday, Holidays)</t>
  </si>
  <si>
    <t>Weekday</t>
  </si>
  <si>
    <t>WEEKNUM</t>
  </si>
  <si>
    <t>NETWORKDAYS.INTL</t>
  </si>
  <si>
    <t>WORKDAYS</t>
  </si>
  <si>
    <t>WEEKNUM/WEEKDAY</t>
  </si>
  <si>
    <t>Required Format</t>
  </si>
  <si>
    <t>excel is magic</t>
  </si>
  <si>
    <t>=DATEDIF(Start_Date, End_Date,Format)</t>
  </si>
  <si>
    <t>37 Years 10 Months 12 Days</t>
  </si>
  <si>
    <t>DOJ/DOB</t>
  </si>
  <si>
    <t>Today Date</t>
  </si>
  <si>
    <t>Years</t>
  </si>
  <si>
    <t>Months</t>
  </si>
  <si>
    <t>Days</t>
  </si>
  <si>
    <t>Overall Experience</t>
  </si>
  <si>
    <t>Overall Experience (Mega Formula)</t>
  </si>
  <si>
    <t>y</t>
  </si>
  <si>
    <t>completed years</t>
  </si>
  <si>
    <t>m</t>
  </si>
  <si>
    <t>completed months</t>
  </si>
  <si>
    <t>d</t>
  </si>
  <si>
    <t>completed days</t>
  </si>
  <si>
    <t>ym</t>
  </si>
  <si>
    <t>removes the completed years and gives remaining months</t>
  </si>
  <si>
    <t>md</t>
  </si>
  <si>
    <t>removes the completed months and gives remaining days</t>
  </si>
  <si>
    <t>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</si>
</sst>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dddd"/>
    <numFmt numFmtId="166" formatCode="dd/mm/yyyy\ hh:mm:ss"/>
    <numFmt numFmtId="167" formatCode="mm/dd/yy\ hh:mm:ss"/>
    <numFmt numFmtId="168" formatCode="mmm\ dd\ yyyy\ dddd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0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Segoe UI"/>
      <family val="2"/>
    </font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34A2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4EA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10" borderId="0" applyNumberFormat="0" applyBorder="0" applyAlignment="0" applyProtection="0"/>
  </cellStyleXfs>
  <cellXfs count="74">
    <xf numFmtId="0" fontId="0" fillId="0" borderId="0" xfId="0"/>
    <xf numFmtId="0" fontId="3" fillId="0" borderId="0" xfId="2" applyFont="1"/>
    <xf numFmtId="0" fontId="0" fillId="3" borderId="1" xfId="2" applyFont="1" applyFill="1" applyBorder="1"/>
    <xf numFmtId="2" fontId="3" fillId="0" borderId="0" xfId="2" applyNumberFormat="1" applyFont="1"/>
    <xf numFmtId="14" fontId="3" fillId="0" borderId="0" xfId="2" applyNumberFormat="1" applyFont="1"/>
    <xf numFmtId="0" fontId="4" fillId="0" borderId="0" xfId="3"/>
    <xf numFmtId="0" fontId="1" fillId="3" borderId="1" xfId="2" applyFill="1" applyBorder="1"/>
    <xf numFmtId="164" fontId="3" fillId="0" borderId="0" xfId="2" applyNumberFormat="1" applyFont="1"/>
    <xf numFmtId="0" fontId="5" fillId="0" borderId="2" xfId="2" applyFont="1" applyBorder="1"/>
    <xf numFmtId="0" fontId="5" fillId="0" borderId="3" xfId="2" applyFont="1" applyBorder="1"/>
    <xf numFmtId="0" fontId="5" fillId="0" borderId="4" xfId="2" applyFont="1" applyBorder="1"/>
    <xf numFmtId="0" fontId="5" fillId="0" borderId="0" xfId="2" applyFont="1"/>
    <xf numFmtId="14" fontId="5" fillId="0" borderId="5" xfId="2" applyNumberFormat="1" applyFont="1" applyBorder="1"/>
    <xf numFmtId="14" fontId="5" fillId="0" borderId="6" xfId="2" applyNumberFormat="1" applyFont="1" applyBorder="1"/>
    <xf numFmtId="14" fontId="5" fillId="0" borderId="0" xfId="2" applyNumberFormat="1" applyFont="1"/>
    <xf numFmtId="14" fontId="6" fillId="0" borderId="7" xfId="2" applyNumberFormat="1" applyFont="1" applyBorder="1"/>
    <xf numFmtId="14" fontId="6" fillId="0" borderId="8" xfId="2" applyNumberFormat="1" applyFont="1" applyBorder="1"/>
    <xf numFmtId="0" fontId="3" fillId="4" borderId="1" xfId="2" applyFont="1" applyFill="1" applyBorder="1"/>
    <xf numFmtId="2" fontId="5" fillId="0" borderId="0" xfId="2" applyNumberFormat="1" applyFont="1"/>
    <xf numFmtId="14" fontId="3" fillId="0" borderId="1" xfId="2" applyNumberFormat="1" applyFont="1" applyBorder="1"/>
    <xf numFmtId="0" fontId="5" fillId="5" borderId="0" xfId="2" applyFont="1" applyFill="1"/>
    <xf numFmtId="0" fontId="5" fillId="6" borderId="1" xfId="2" applyFont="1" applyFill="1" applyBorder="1"/>
    <xf numFmtId="14" fontId="5" fillId="0" borderId="1" xfId="2" applyNumberFormat="1" applyFont="1" applyBorder="1"/>
    <xf numFmtId="14" fontId="3" fillId="7" borderId="1" xfId="2" applyNumberFormat="1" applyFont="1" applyFill="1" applyBorder="1"/>
    <xf numFmtId="165" fontId="3" fillId="0" borderId="0" xfId="2" applyNumberFormat="1" applyFont="1"/>
    <xf numFmtId="166" fontId="5" fillId="0" borderId="1" xfId="2" applyNumberFormat="1" applyFont="1" applyBorder="1"/>
    <xf numFmtId="167" fontId="5" fillId="0" borderId="1" xfId="2" applyNumberFormat="1" applyFont="1" applyBorder="1"/>
    <xf numFmtId="18" fontId="5" fillId="0" borderId="0" xfId="2" applyNumberFormat="1" applyFont="1"/>
    <xf numFmtId="0" fontId="7" fillId="0" borderId="0" xfId="2" applyFont="1"/>
    <xf numFmtId="0" fontId="3" fillId="0" borderId="1" xfId="2" applyFont="1" applyBorder="1"/>
    <xf numFmtId="1" fontId="5" fillId="0" borderId="0" xfId="2" applyNumberFormat="1" applyFont="1"/>
    <xf numFmtId="14" fontId="3" fillId="8" borderId="1" xfId="2" applyNumberFormat="1" applyFont="1" applyFill="1" applyBorder="1" applyProtection="1">
      <protection locked="0"/>
    </xf>
    <xf numFmtId="14" fontId="3" fillId="8" borderId="1" xfId="2" applyNumberFormat="1" applyFont="1" applyFill="1" applyBorder="1"/>
    <xf numFmtId="0" fontId="3" fillId="8" borderId="1" xfId="2" applyFont="1" applyFill="1" applyBorder="1"/>
    <xf numFmtId="0" fontId="5" fillId="0" borderId="1" xfId="2" applyFont="1" applyBorder="1"/>
    <xf numFmtId="49" fontId="5" fillId="0" borderId="0" xfId="2" applyNumberFormat="1" applyFont="1"/>
    <xf numFmtId="14" fontId="5" fillId="8" borderId="1" xfId="2" applyNumberFormat="1" applyFont="1" applyFill="1" applyBorder="1"/>
    <xf numFmtId="18" fontId="3" fillId="0" borderId="0" xfId="2" applyNumberFormat="1" applyFont="1"/>
    <xf numFmtId="168" fontId="3" fillId="0" borderId="0" xfId="2" applyNumberFormat="1" applyFont="1"/>
    <xf numFmtId="19" fontId="3" fillId="0" borderId="0" xfId="2" applyNumberFormat="1" applyFont="1"/>
    <xf numFmtId="49" fontId="11" fillId="10" borderId="2" xfId="5" applyNumberFormat="1" applyFont="1" applyBorder="1"/>
    <xf numFmtId="0" fontId="11" fillId="10" borderId="3" xfId="5" applyFont="1" applyBorder="1"/>
    <xf numFmtId="0" fontId="11" fillId="10" borderId="4" xfId="5" applyFont="1" applyBorder="1"/>
    <xf numFmtId="18" fontId="11" fillId="10" borderId="5" xfId="5" applyNumberFormat="1" applyFont="1" applyBorder="1"/>
    <xf numFmtId="0" fontId="11" fillId="10" borderId="0" xfId="5" applyFont="1" applyBorder="1"/>
    <xf numFmtId="0" fontId="11" fillId="10" borderId="6" xfId="5" applyFont="1" applyBorder="1"/>
    <xf numFmtId="0" fontId="11" fillId="10" borderId="5" xfId="5" applyFont="1" applyBorder="1"/>
    <xf numFmtId="0" fontId="11" fillId="10" borderId="7" xfId="5" applyFont="1" applyBorder="1"/>
    <xf numFmtId="0" fontId="11" fillId="10" borderId="8" xfId="5" applyFont="1" applyBorder="1"/>
    <xf numFmtId="0" fontId="11" fillId="10" borderId="9" xfId="5" applyFont="1" applyBorder="1"/>
    <xf numFmtId="0" fontId="3" fillId="0" borderId="1" xfId="2" applyFont="1" applyBorder="1" applyAlignment="1">
      <alignment horizontal="center"/>
    </xf>
    <xf numFmtId="14" fontId="3" fillId="8" borderId="1" xfId="2" applyNumberFormat="1" applyFont="1" applyFill="1" applyBorder="1" applyAlignment="1">
      <alignment horizontal="center"/>
    </xf>
    <xf numFmtId="0" fontId="3" fillId="8" borderId="1" xfId="2" applyFont="1" applyFill="1" applyBorder="1" applyAlignment="1">
      <alignment horizontal="center"/>
    </xf>
    <xf numFmtId="14" fontId="3" fillId="8" borderId="1" xfId="2" applyNumberFormat="1" applyFont="1" applyFill="1" applyBorder="1" applyAlignment="1" applyProtection="1">
      <alignment horizontal="center"/>
      <protection locked="0"/>
    </xf>
    <xf numFmtId="14" fontId="8" fillId="6" borderId="1" xfId="4" applyNumberFormat="1" applyFont="1" applyFill="1" applyBorder="1" applyAlignment="1">
      <alignment horizontal="center"/>
    </xf>
    <xf numFmtId="14" fontId="3" fillId="8" borderId="10" xfId="2" applyNumberFormat="1" applyFont="1" applyFill="1" applyBorder="1" applyAlignment="1" applyProtection="1">
      <alignment horizontal="center"/>
      <protection locked="0"/>
    </xf>
    <xf numFmtId="0" fontId="3" fillId="12" borderId="10" xfId="2" applyFont="1" applyFill="1" applyBorder="1" applyProtection="1">
      <protection hidden="1"/>
    </xf>
    <xf numFmtId="0" fontId="7" fillId="0" borderId="11" xfId="2" applyFont="1" applyBorder="1" applyAlignment="1">
      <alignment horizontal="center"/>
    </xf>
    <xf numFmtId="0" fontId="7" fillId="0" borderId="12" xfId="2" applyFont="1" applyBorder="1" applyAlignment="1">
      <alignment horizontal="center"/>
    </xf>
    <xf numFmtId="0" fontId="7" fillId="0" borderId="12" xfId="2" applyFont="1" applyBorder="1"/>
    <xf numFmtId="0" fontId="7" fillId="0" borderId="13" xfId="2" applyFont="1" applyBorder="1"/>
    <xf numFmtId="14" fontId="8" fillId="6" borderId="10" xfId="4" applyNumberFormat="1" applyFont="1" applyFill="1" applyBorder="1" applyAlignment="1">
      <alignment horizontal="center"/>
    </xf>
    <xf numFmtId="14" fontId="3" fillId="11" borderId="10" xfId="2" applyNumberFormat="1" applyFont="1" applyFill="1" applyBorder="1"/>
    <xf numFmtId="14" fontId="9" fillId="11" borderId="10" xfId="2" applyNumberFormat="1" applyFont="1" applyFill="1" applyBorder="1"/>
    <xf numFmtId="0" fontId="7" fillId="4" borderId="11" xfId="2" applyFont="1" applyFill="1" applyBorder="1" applyAlignment="1">
      <alignment horizontal="center"/>
    </xf>
    <xf numFmtId="0" fontId="7" fillId="4" borderId="12" xfId="2" applyFont="1" applyFill="1" applyBorder="1"/>
    <xf numFmtId="0" fontId="7" fillId="4" borderId="13" xfId="2" applyFont="1" applyFill="1" applyBorder="1"/>
    <xf numFmtId="14" fontId="5" fillId="8" borderId="10" xfId="2" applyNumberFormat="1" applyFont="1" applyFill="1" applyBorder="1"/>
    <xf numFmtId="0" fontId="5" fillId="9" borderId="10" xfId="2" applyFont="1" applyFill="1" applyBorder="1"/>
    <xf numFmtId="0" fontId="12" fillId="0" borderId="11" xfId="2" applyFont="1" applyBorder="1"/>
    <xf numFmtId="0" fontId="12" fillId="0" borderId="12" xfId="2" applyFont="1" applyBorder="1"/>
    <xf numFmtId="0" fontId="12" fillId="0" borderId="13" xfId="2" applyFont="1" applyBorder="1"/>
    <xf numFmtId="0" fontId="0" fillId="0" borderId="1" xfId="0" applyBorder="1"/>
    <xf numFmtId="0" fontId="2" fillId="2" borderId="0" xfId="1" applyFont="1" applyFill="1" applyAlignment="1">
      <alignment horizontal="left" indent="67"/>
    </xf>
  </cellXfs>
  <cellStyles count="6">
    <cellStyle name="20% - Accent5" xfId="5" builtinId="46"/>
    <cellStyle name="Normal" xfId="0" builtinId="0"/>
    <cellStyle name="Normal 10 2 2 2 2 2" xfId="2" xr:uid="{51659924-76C6-4D62-B742-F1F9F7DFA5DC}"/>
    <cellStyle name="Normal 2" xfId="3" xr:uid="{6170A589-FD27-4A9C-9AAD-880D9EB688AB}"/>
    <cellStyle name="Normal 6 4 3 2 2" xfId="1" xr:uid="{B7D06B0D-02D2-46E5-AF76-CDC391336E43}"/>
    <cellStyle name="Normal 7 2 3 2 2 2" xfId="4" xr:uid="{D8CEE255-4C0D-4309-88F9-82401361B2C3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sv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Start!A1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1</xdr:row>
      <xdr:rowOff>38100</xdr:rowOff>
    </xdr:to>
    <xdr:pic>
      <xdr:nvPicPr>
        <xdr:cNvPr id="2" name="Graphic 1" descr="Home outline">
          <a:hlinkClick xmlns:r="http://schemas.openxmlformats.org/officeDocument/2006/relationships" r:id="rId1" tooltip="Start"/>
          <a:extLst>
            <a:ext uri="{FF2B5EF4-FFF2-40B4-BE49-F238E27FC236}">
              <a16:creationId xmlns:a16="http://schemas.microsoft.com/office/drawing/2014/main" id="{C054E4E9-EB0E-4C87-8E28-4EF566F8F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521606</xdr:colOff>
      <xdr:row>1</xdr:row>
      <xdr:rowOff>260805</xdr:rowOff>
    </xdr:from>
    <xdr:to>
      <xdr:col>5</xdr:col>
      <xdr:colOff>2463932</xdr:colOff>
      <xdr:row>6</xdr:row>
      <xdr:rowOff>148963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5C9FA-E2F0-48B3-91A2-D670C1CA6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93706" y="832305"/>
          <a:ext cx="10701244" cy="1380408"/>
        </a:xfrm>
        <a:prstGeom prst="rect">
          <a:avLst/>
        </a:prstGeom>
        <a:ln>
          <a:solidFill>
            <a:sysClr val="windowText" lastClr="000000"/>
          </a:solidFill>
        </a:ln>
        <a:effectLst>
          <a:glow rad="101600">
            <a:schemeClr val="bg2">
              <a:lumMod val="90000"/>
              <a:alpha val="60000"/>
            </a:schemeClr>
          </a:glow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1530804</xdr:colOff>
      <xdr:row>10</xdr:row>
      <xdr:rowOff>215446</xdr:rowOff>
    </xdr:from>
    <xdr:to>
      <xdr:col>6</xdr:col>
      <xdr:colOff>3967543</xdr:colOff>
      <xdr:row>19</xdr:row>
      <xdr:rowOff>6727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D443F2-1B86-4B34-BEB3-3BA635943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42904" y="3472996"/>
          <a:ext cx="10844139" cy="2712281"/>
        </a:xfrm>
        <a:prstGeom prst="rect">
          <a:avLst/>
        </a:prstGeom>
        <a:ln>
          <a:solidFill>
            <a:sysClr val="windowText" lastClr="000000"/>
          </a:solidFill>
        </a:ln>
        <a:effectLst>
          <a:glow rad="101600">
            <a:schemeClr val="bg2">
              <a:lumMod val="90000"/>
              <a:alpha val="60000"/>
            </a:schemeClr>
          </a:glow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759732</xdr:colOff>
      <xdr:row>6</xdr:row>
      <xdr:rowOff>272143</xdr:rowOff>
    </xdr:from>
    <xdr:to>
      <xdr:col>12</xdr:col>
      <xdr:colOff>1991119</xdr:colOff>
      <xdr:row>18</xdr:row>
      <xdr:rowOff>279926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35123E-467B-4E29-BEA7-618C63B56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47982" y="2335893"/>
          <a:ext cx="10725740" cy="3792383"/>
        </a:xfrm>
        <a:prstGeom prst="rect">
          <a:avLst/>
        </a:prstGeom>
        <a:ln>
          <a:solidFill>
            <a:sysClr val="windowText" lastClr="000000"/>
          </a:solidFill>
        </a:ln>
        <a:effectLst>
          <a:glow rad="101600">
            <a:schemeClr val="bg2">
              <a:lumMod val="90000"/>
              <a:alpha val="60000"/>
            </a:schemeClr>
          </a:glow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793750</xdr:colOff>
      <xdr:row>6</xdr:row>
      <xdr:rowOff>170090</xdr:rowOff>
    </xdr:from>
    <xdr:to>
      <xdr:col>18</xdr:col>
      <xdr:colOff>1283363</xdr:colOff>
      <xdr:row>13</xdr:row>
      <xdr:rowOff>280617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6E7FAA-B5B4-4823-A051-9B8CCC2D0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467550" y="2233840"/>
          <a:ext cx="11252863" cy="2237777"/>
        </a:xfrm>
        <a:prstGeom prst="rect">
          <a:avLst/>
        </a:prstGeom>
        <a:ln>
          <a:solidFill>
            <a:sysClr val="windowText" lastClr="000000"/>
          </a:solidFill>
        </a:ln>
        <a:effectLst>
          <a:glow rad="101600">
            <a:schemeClr val="bg2">
              <a:lumMod val="90000"/>
              <a:alpha val="60000"/>
            </a:schemeClr>
          </a:glow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648804</xdr:colOff>
      <xdr:row>40</xdr:row>
      <xdr:rowOff>248478</xdr:rowOff>
    </xdr:from>
    <xdr:to>
      <xdr:col>7</xdr:col>
      <xdr:colOff>6912</xdr:colOff>
      <xdr:row>53</xdr:row>
      <xdr:rowOff>225282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986F83-2676-78B2-F6B0-7FEF1CF3F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04347" y="13431630"/>
          <a:ext cx="10564699" cy="3924848"/>
        </a:xfrm>
        <a:prstGeom prst="rect">
          <a:avLst/>
        </a:prstGeom>
        <a:ln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Batch%2093%20-%20Excel%20-%20Feb%202022%20(Morning%20Batch)\DataSkills%20Excel%20Class%20File%20-%20Batch%209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Nov%2017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DataSkills%20-%20Advanced%20Excel%20Training%20-%20Batch%2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14%20Advanced%20Excel%20Class%20File%20-%20Day%2014-%20Aug%2018th%20Batch%20-%20Karthik%20Da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%20(WE%20-%209%20am%20to%201%20pm)\Excel\7%20Advanced%20Excel%20Class%20File%20-%20Day%207-%20June%2026th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9%20Advanced%20Excel%20Class%20File%20-%20Day%209-%20Aug%2018th%20Batch%20-%20Karthik%20Dal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Join the DataSkills Community"/>
      <sheetName val="About Excel"/>
      <sheetName val="How Big is Excel"/>
      <sheetName val="Copy &amp; Paste Special"/>
      <sheetName val="Sheet1"/>
      <sheetName val="Format as Table"/>
      <sheetName val="Conditional Formatting"/>
      <sheetName val="Conditional Formatting Prac"/>
      <sheetName val="Fill Series"/>
      <sheetName val="Flash Fill_Prac"/>
      <sheetName val="Flash Fill"/>
      <sheetName val="Data Types "/>
      <sheetName val="Number Format"/>
      <sheetName val="Customers Mobile Numbers"/>
      <sheetName val="Go to Special"/>
      <sheetName val="Go to Special (2)"/>
      <sheetName val="Misl"/>
      <sheetName val="Misl (2)"/>
      <sheetName val="The 3 Freezing Techniques"/>
      <sheetName val="Q &amp; A"/>
      <sheetName val="Suggestion1"/>
      <sheetName val="Formulas_Text"/>
      <sheetName val="Excel Requirements"/>
      <sheetName val="Date &amp; Time Functions"/>
      <sheetName val="Date Func Examples"/>
      <sheetName val="Logical Functions"/>
      <sheetName val="The Most Popular Formula"/>
      <sheetName val="Destination Sheet"/>
      <sheetName val="Index Formula"/>
      <sheetName val="Offset"/>
      <sheetName val="SUMIFS_Countifs_Averageifs"/>
      <sheetName val="Math Formulas"/>
      <sheetName val="Aggregate"/>
      <sheetName val="Statistical Functions"/>
      <sheetName val="Information Functions"/>
      <sheetName val="Name Manager"/>
      <sheetName val="Formula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8">
          <cell r="G8" t="str">
            <v>Employee Name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G1" t="str">
            <v>Employee Name</v>
          </cell>
        </row>
        <row r="2">
          <cell r="G2" t="str">
            <v>Abdul Razzak</v>
          </cell>
        </row>
        <row r="3">
          <cell r="G3" t="str">
            <v>Alexander Muthunoori</v>
          </cell>
        </row>
        <row r="4">
          <cell r="G4" t="str">
            <v>Anand Kumar Pandikonda</v>
          </cell>
        </row>
        <row r="5">
          <cell r="G5" t="str">
            <v>Anil Biradar</v>
          </cell>
        </row>
        <row r="6">
          <cell r="G6" t="str">
            <v>Swathi Matam</v>
          </cell>
        </row>
        <row r="7">
          <cell r="G7" t="str">
            <v>Arun KashaBoina</v>
          </cell>
        </row>
        <row r="8">
          <cell r="G8" t="str">
            <v>Saharsh</v>
          </cell>
        </row>
        <row r="9">
          <cell r="G9" t="str">
            <v>Khushi</v>
          </cell>
        </row>
        <row r="10">
          <cell r="G10" t="str">
            <v>Divya</v>
          </cell>
        </row>
      </sheetData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board Shortcuts List"/>
      <sheetName val="History of Spreadsheet"/>
      <sheetName val="Format as Table"/>
      <sheetName val="How big is Excel sheet"/>
      <sheetName val="Data Types "/>
      <sheetName val="Copy_Paste &amp; Others"/>
      <sheetName val="Number Format"/>
      <sheetName val="Excel file Formats"/>
      <sheetName val="Conditional Formatting"/>
      <sheetName val="Conditional Formatting_Prac"/>
      <sheetName val="Fill Data"/>
      <sheetName val="Finding Last Cell"/>
      <sheetName val="Find and Select"/>
      <sheetName val="Editing Group"/>
      <sheetName val="Cells Group"/>
      <sheetName val="Formulas_Introduction"/>
      <sheetName val="Formulas_Text"/>
      <sheetName val="Formulas_Text_Prac"/>
      <sheetName val="Date &amp; Time Functions"/>
      <sheetName val="Logical Functions"/>
      <sheetName val="Formulas_Lookup &amp; Reference"/>
      <sheetName val="Index Formula"/>
      <sheetName val="Index Formula_Prac"/>
      <sheetName val="Index &amp; Vlookup Notes"/>
      <sheetName val="OFFSET &amp; Other Lookup"/>
      <sheetName val="Creating Dynamic Calendar"/>
      <sheetName val="SUMIFS_Countifs_Averageifs"/>
      <sheetName val="Math Formulas"/>
      <sheetName val="Statistical Functions"/>
      <sheetName val="Financial Formulas"/>
      <sheetName val="Information Functions"/>
      <sheetName val="Formula Notes"/>
      <sheetName val="Name Manager"/>
      <sheetName val="Data Ribbon"/>
      <sheetName val="Sales 2015"/>
      <sheetName val="Sales 2016"/>
      <sheetName val="Sales 2017"/>
      <sheetName val="Consolidate"/>
      <sheetName val="Subtotals"/>
      <sheetName val="Copy &amp; Paste Only Visible Data"/>
      <sheetName val="What-If Analysis"/>
      <sheetName val="Filter Data"/>
      <sheetName val="Advanced Filter"/>
      <sheetName val="Sorting Data"/>
      <sheetName val="Ins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D1" t="str">
            <v>Emp Name</v>
          </cell>
          <cell r="E1" t="str">
            <v>Designation</v>
          </cell>
          <cell r="F1" t="str">
            <v>Basic Salary</v>
          </cell>
          <cell r="G1" t="str">
            <v>HRA</v>
          </cell>
          <cell r="P1" t="str">
            <v>Emp Name</v>
          </cell>
          <cell r="Q1" t="str">
            <v>Designation</v>
          </cell>
          <cell r="R1" t="str">
            <v>Basic Salary</v>
          </cell>
          <cell r="S1" t="str">
            <v>HRA</v>
          </cell>
        </row>
        <row r="2">
          <cell r="D2" t="str">
            <v>Vineesha Matam</v>
          </cell>
          <cell r="E2" t="str">
            <v>Tester</v>
          </cell>
          <cell r="F2">
            <v>50000</v>
          </cell>
          <cell r="G2">
            <v>10000</v>
          </cell>
        </row>
        <row r="3">
          <cell r="D3" t="str">
            <v>Prakash R</v>
          </cell>
          <cell r="E3" t="str">
            <v>Manager</v>
          </cell>
          <cell r="F3">
            <v>10000</v>
          </cell>
          <cell r="G3">
            <v>4000</v>
          </cell>
        </row>
        <row r="4">
          <cell r="D4" t="str">
            <v>Padma Sri</v>
          </cell>
          <cell r="E4" t="str">
            <v>PJM</v>
          </cell>
          <cell r="F4">
            <v>23400</v>
          </cell>
          <cell r="G4">
            <v>20330</v>
          </cell>
        </row>
        <row r="5">
          <cell r="D5" t="str">
            <v>Patlolla Sathish</v>
          </cell>
          <cell r="E5" t="str">
            <v>Lead</v>
          </cell>
          <cell r="F5">
            <v>220800</v>
          </cell>
          <cell r="G5">
            <v>149217</v>
          </cell>
        </row>
        <row r="6">
          <cell r="D6" t="str">
            <v>Pranathi Adem</v>
          </cell>
          <cell r="E6" t="str">
            <v>DB</v>
          </cell>
          <cell r="F6">
            <v>55200</v>
          </cell>
          <cell r="G6">
            <v>17868</v>
          </cell>
        </row>
        <row r="7">
          <cell r="D7" t="str">
            <v>Kaushik Kumar</v>
          </cell>
          <cell r="E7" t="str">
            <v>Tester</v>
          </cell>
          <cell r="F7">
            <v>116100</v>
          </cell>
          <cell r="G7">
            <v>20868</v>
          </cell>
        </row>
        <row r="8">
          <cell r="D8" t="str">
            <v>Manish Tadepalli</v>
          </cell>
          <cell r="E8" t="str">
            <v>Manager</v>
          </cell>
          <cell r="F8">
            <v>140700</v>
          </cell>
          <cell r="G8">
            <v>16595</v>
          </cell>
        </row>
        <row r="9">
          <cell r="D9" t="str">
            <v>Rajesh Nair</v>
          </cell>
          <cell r="E9" t="str">
            <v>Architech</v>
          </cell>
          <cell r="F9">
            <v>159789</v>
          </cell>
          <cell r="G9">
            <v>2586</v>
          </cell>
        </row>
        <row r="10">
          <cell r="D10" t="str">
            <v>Rachna Bhagat</v>
          </cell>
          <cell r="E10" t="str">
            <v>Manager</v>
          </cell>
          <cell r="F10">
            <v>250000</v>
          </cell>
          <cell r="G10">
            <v>3698</v>
          </cell>
        </row>
        <row r="11">
          <cell r="D11" t="str">
            <v>Naveen</v>
          </cell>
          <cell r="E11" t="str">
            <v>Lead</v>
          </cell>
          <cell r="F11">
            <v>55000</v>
          </cell>
          <cell r="G11">
            <v>9999</v>
          </cell>
        </row>
        <row r="12">
          <cell r="D12" t="str">
            <v>Virat Kohli</v>
          </cell>
          <cell r="E12" t="str">
            <v>Captain</v>
          </cell>
          <cell r="F12">
            <v>99999</v>
          </cell>
          <cell r="G12">
            <v>36987</v>
          </cell>
        </row>
        <row r="13">
          <cell r="D13" t="str">
            <v>Rishabh Pant</v>
          </cell>
          <cell r="E13" t="str">
            <v>Batsman</v>
          </cell>
          <cell r="F13">
            <v>15000</v>
          </cell>
          <cell r="G13">
            <v>2500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Filter Formula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  <sheetName val="Sheet1"/>
      <sheetName val="Uniqu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J12" t="str">
            <v>Ramesh Y</v>
          </cell>
        </row>
        <row r="13">
          <cell r="J13" t="str">
            <v>Shravan</v>
          </cell>
        </row>
        <row r="14">
          <cell r="J14" t="str">
            <v>Sahasra</v>
          </cell>
        </row>
        <row r="24">
          <cell r="J24" t="str">
            <v>product name</v>
          </cell>
        </row>
        <row r="25">
          <cell r="J25" t="str">
            <v>hi</v>
          </cell>
        </row>
        <row r="26">
          <cell r="J26" t="str">
            <v>bye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Formats"/>
      <sheetName val="Data Types "/>
      <sheetName val="Copy &amp; Paste Special"/>
      <sheetName val="PS - Transpose"/>
      <sheetName val="PS - Paste &amp; Linked Picture"/>
      <sheetName val="Shortcuts"/>
      <sheetName val="Flash Fill"/>
      <sheetName val="Fill Series "/>
      <sheetName val="Goto Special"/>
      <sheetName val="GtS - More"/>
      <sheetName val="Format as Table"/>
      <sheetName val="Conditional Formatting"/>
      <sheetName val="Logical Operators"/>
      <sheetName val="Number Format"/>
      <sheetName val="Attendance"/>
      <sheetName val="Referencing &amp; Freeze Technique"/>
      <sheetName val="Formulas_Text"/>
      <sheetName val="Date &amp; Time Functions"/>
      <sheetName val="Order Info"/>
      <sheetName val="Logical Functions"/>
      <sheetName val="SUMIFS_Countifs_Averageifs"/>
      <sheetName val="Financial Function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Q &amp; A of Participants"/>
      <sheetName val="Formula Notes"/>
      <sheetName val="Name Manager"/>
      <sheetName val="Insert Ribbon"/>
      <sheetName val="Filters &amp; Adv Filters"/>
      <sheetName val="Sort &amp; Custom Sort"/>
      <sheetName val="Remove Duplicates"/>
      <sheetName val="Text to Columns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D1" t="str">
            <v>Employee Name</v>
          </cell>
          <cell r="J1" t="str">
            <v>Employee Name</v>
          </cell>
        </row>
        <row r="2">
          <cell r="J2" t="str">
            <v>Divya Naidu</v>
          </cell>
        </row>
        <row r="3">
          <cell r="J3" t="str">
            <v>Alexander Muthunoori</v>
          </cell>
        </row>
        <row r="4">
          <cell r="J4" t="str">
            <v>Anand Kumar Pandikonda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Saharsh</v>
          </cell>
        </row>
        <row r="9"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7">
          <cell r="AD7" t="str">
            <v>Sales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D12" t="str">
            <v>Karthik</v>
          </cell>
          <cell r="E12" t="str">
            <v>Emp4569</v>
          </cell>
          <cell r="J12" t="str">
            <v>Ramesh Y</v>
          </cell>
        </row>
        <row r="13">
          <cell r="J13" t="str">
            <v>Sachin</v>
          </cell>
        </row>
        <row r="14">
          <cell r="J14" t="str">
            <v>Virat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7413-7EF2-422F-A586-6BDEC425A261}">
  <dimension ref="A1:AV66"/>
  <sheetViews>
    <sheetView tabSelected="1" topLeftCell="AA14" zoomScale="45" zoomScaleNormal="50" workbookViewId="0">
      <selection activeCell="AK26" sqref="AK26"/>
    </sheetView>
  </sheetViews>
  <sheetFormatPr defaultColWidth="8.77734375" defaultRowHeight="23.4" x14ac:dyDescent="0.45"/>
  <cols>
    <col min="1" max="1" width="39.6640625" style="1" customWidth="1"/>
    <col min="2" max="2" width="58.5546875" style="1" customWidth="1"/>
    <col min="3" max="3" width="54.109375" style="1" customWidth="1"/>
    <col min="4" max="4" width="36" style="1" customWidth="1"/>
    <col min="5" max="5" width="35.33203125" style="1" customWidth="1"/>
    <col min="6" max="6" width="49" style="1" customWidth="1"/>
    <col min="7" max="7" width="76.6640625" style="1" customWidth="1"/>
    <col min="8" max="8" width="16.77734375" style="1" customWidth="1"/>
    <col min="9" max="9" width="22" style="1" customWidth="1"/>
    <col min="10" max="10" width="38.6640625" style="1" customWidth="1"/>
    <col min="11" max="11" width="28.21875" style="1" customWidth="1"/>
    <col min="12" max="12" width="30.109375" style="1" bestFit="1" customWidth="1"/>
    <col min="13" max="13" width="36.44140625" style="1" bestFit="1" customWidth="1"/>
    <col min="14" max="14" width="31.21875" style="1" bestFit="1" customWidth="1"/>
    <col min="15" max="15" width="35.109375" style="1" customWidth="1"/>
    <col min="16" max="16" width="34.44140625" style="1" bestFit="1" customWidth="1"/>
    <col min="17" max="17" width="8.77734375" style="1"/>
    <col min="18" max="18" width="44.5546875" style="1" customWidth="1"/>
    <col min="19" max="19" width="45.21875" style="1" customWidth="1"/>
    <col min="20" max="20" width="63.88671875" style="1" customWidth="1"/>
    <col min="21" max="21" width="40" style="1" bestFit="1" customWidth="1"/>
    <col min="22" max="23" width="8.77734375" style="1"/>
    <col min="24" max="24" width="55.109375" style="1" customWidth="1"/>
    <col min="25" max="25" width="36.5546875" style="1" customWidth="1"/>
    <col min="26" max="26" width="61.5546875" style="1" customWidth="1"/>
    <col min="27" max="27" width="91.109375" style="1" customWidth="1"/>
    <col min="28" max="28" width="8.77734375" style="1"/>
    <col min="29" max="29" width="44.21875" style="1" customWidth="1"/>
    <col min="30" max="30" width="40.77734375" style="1" customWidth="1"/>
    <col min="31" max="31" width="31.5546875" style="1" customWidth="1"/>
    <col min="32" max="32" width="40" style="1" bestFit="1" customWidth="1"/>
    <col min="33" max="34" width="8.77734375" style="1"/>
    <col min="35" max="35" width="46.88671875" style="1" customWidth="1"/>
    <col min="36" max="36" width="39.109375" style="1" customWidth="1"/>
    <col min="37" max="37" width="67.21875" style="1" customWidth="1"/>
    <col min="38" max="39" width="8.77734375" style="1"/>
    <col min="40" max="40" width="33.88671875" style="1" bestFit="1" customWidth="1"/>
    <col min="41" max="41" width="35.6640625" style="1" customWidth="1"/>
    <col min="42" max="42" width="29.109375" style="1" customWidth="1"/>
    <col min="43" max="43" width="19.5546875" style="1" customWidth="1"/>
    <col min="44" max="44" width="16.21875" style="1" bestFit="1" customWidth="1"/>
    <col min="45" max="45" width="12.6640625" style="1" customWidth="1"/>
    <col min="46" max="16384" width="8.77734375" style="1"/>
  </cols>
  <sheetData>
    <row r="1" spans="1:13" ht="45" customHeight="1" x14ac:dyDescent="1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</row>
    <row r="4" spans="1:13" x14ac:dyDescent="0.45">
      <c r="A4" s="2" t="s">
        <v>0</v>
      </c>
      <c r="E4" s="3"/>
      <c r="G4" s="4">
        <v>1</v>
      </c>
    </row>
    <row r="5" spans="1:13" x14ac:dyDescent="0.45">
      <c r="J5" s="5"/>
      <c r="K5" s="5"/>
      <c r="L5" s="5"/>
      <c r="M5" s="5"/>
    </row>
    <row r="6" spans="1:13" x14ac:dyDescent="0.45">
      <c r="A6" s="6" t="s">
        <v>1</v>
      </c>
      <c r="C6" s="3"/>
      <c r="J6" s="5"/>
      <c r="K6" s="5"/>
      <c r="L6" s="5"/>
      <c r="M6" s="5"/>
    </row>
    <row r="7" spans="1:13" x14ac:dyDescent="0.45">
      <c r="A7" s="1" t="s">
        <v>2</v>
      </c>
      <c r="B7" s="4">
        <v>1</v>
      </c>
      <c r="C7" s="3"/>
      <c r="J7" s="5"/>
      <c r="K7" s="5"/>
      <c r="L7" s="5"/>
      <c r="M7" s="5"/>
    </row>
    <row r="8" spans="1:13" x14ac:dyDescent="0.45">
      <c r="A8" s="1" t="s">
        <v>3</v>
      </c>
      <c r="B8" s="4">
        <v>2958465</v>
      </c>
      <c r="E8" s="3"/>
      <c r="G8" s="7">
        <v>100</v>
      </c>
      <c r="J8" s="5"/>
      <c r="K8" s="5"/>
      <c r="L8" s="5"/>
      <c r="M8" s="5"/>
    </row>
    <row r="9" spans="1:13" x14ac:dyDescent="0.45">
      <c r="A9" s="1" t="s">
        <v>4</v>
      </c>
      <c r="J9" s="5"/>
      <c r="K9" s="5"/>
      <c r="L9" s="5"/>
      <c r="M9" s="5"/>
    </row>
    <row r="10" spans="1:13" x14ac:dyDescent="0.45">
      <c r="J10" s="5"/>
      <c r="K10" s="5"/>
      <c r="L10" s="5"/>
      <c r="M10" s="5"/>
    </row>
    <row r="11" spans="1:13" x14ac:dyDescent="0.45">
      <c r="B11" s="3"/>
      <c r="G11" s="4"/>
      <c r="J11" s="5"/>
      <c r="K11" s="5"/>
      <c r="L11" s="5"/>
      <c r="M11" s="5"/>
    </row>
    <row r="12" spans="1:13" ht="24" thickBot="1" x14ac:dyDescent="0.5">
      <c r="J12" s="5"/>
      <c r="K12" s="5"/>
      <c r="L12" s="5"/>
      <c r="M12" s="5"/>
    </row>
    <row r="13" spans="1:13" ht="25.8" x14ac:dyDescent="0.5">
      <c r="A13" s="8" t="s">
        <v>5</v>
      </c>
      <c r="B13" s="9" t="s">
        <v>6</v>
      </c>
      <c r="C13" s="10" t="s">
        <v>7</v>
      </c>
      <c r="G13" s="11"/>
      <c r="J13" s="5"/>
      <c r="K13" s="5"/>
      <c r="L13" s="5"/>
      <c r="M13" s="5"/>
    </row>
    <row r="14" spans="1:13" ht="25.8" x14ac:dyDescent="0.5">
      <c r="A14" s="12">
        <v>43910</v>
      </c>
      <c r="B14" s="11">
        <v>5</v>
      </c>
      <c r="C14" s="13">
        <f>SUM(A14,B14)</f>
        <v>43915</v>
      </c>
      <c r="E14" s="4"/>
      <c r="F14" s="1">
        <v>150</v>
      </c>
      <c r="G14" s="11"/>
      <c r="J14" s="5"/>
      <c r="K14" s="5"/>
      <c r="L14" s="5"/>
      <c r="M14" s="5"/>
    </row>
    <row r="15" spans="1:13" ht="25.8" x14ac:dyDescent="0.5">
      <c r="A15" s="12">
        <v>44799</v>
      </c>
      <c r="B15" s="11">
        <v>5</v>
      </c>
      <c r="C15" s="13">
        <f t="shared" ref="C15:C17" si="0">SUM(A15,B15)</f>
        <v>44804</v>
      </c>
      <c r="F15" s="1">
        <v>255</v>
      </c>
      <c r="G15" s="11"/>
      <c r="J15" s="5"/>
      <c r="K15" s="5"/>
      <c r="L15" s="5"/>
      <c r="M15" s="5"/>
    </row>
    <row r="16" spans="1:13" ht="25.8" x14ac:dyDescent="0.5">
      <c r="A16" s="12">
        <v>44920</v>
      </c>
      <c r="B16" s="14">
        <v>44926</v>
      </c>
      <c r="C16" s="13">
        <f t="shared" si="0"/>
        <v>89846</v>
      </c>
      <c r="D16" s="11"/>
      <c r="G16" s="14"/>
      <c r="J16" s="5"/>
      <c r="K16" s="5"/>
      <c r="L16" s="5"/>
      <c r="M16" s="5"/>
    </row>
    <row r="17" spans="1:48" ht="26.4" thickBot="1" x14ac:dyDescent="0.55000000000000004">
      <c r="A17" s="15">
        <v>44348</v>
      </c>
      <c r="B17" s="16">
        <v>44377</v>
      </c>
      <c r="C17" s="13">
        <f t="shared" si="0"/>
        <v>88725</v>
      </c>
      <c r="D17" s="11"/>
      <c r="G17" s="11"/>
      <c r="J17" s="5"/>
      <c r="K17" s="5"/>
      <c r="L17" s="5"/>
      <c r="M17" s="5"/>
      <c r="T17" s="17" t="s">
        <v>8</v>
      </c>
    </row>
    <row r="18" spans="1:48" ht="25.8" x14ac:dyDescent="0.5">
      <c r="A18" s="11"/>
      <c r="B18" s="11"/>
      <c r="C18" s="11"/>
      <c r="D18" s="11"/>
      <c r="F18" s="1">
        <v>999</v>
      </c>
      <c r="G18" s="18">
        <v>200</v>
      </c>
      <c r="J18" s="5"/>
      <c r="K18" s="5"/>
      <c r="L18" s="5"/>
      <c r="M18" s="5"/>
      <c r="T18" s="19">
        <v>44562</v>
      </c>
      <c r="U18" s="4"/>
      <c r="AC18" s="4">
        <v>43101</v>
      </c>
      <c r="AD18" s="1">
        <v>3</v>
      </c>
      <c r="AQ18" s="1">
        <v>365</v>
      </c>
      <c r="AR18" s="1">
        <v>7</v>
      </c>
      <c r="AV18" s="1">
        <v>53</v>
      </c>
    </row>
    <row r="19" spans="1:48" ht="25.8" x14ac:dyDescent="0.5">
      <c r="A19" s="11"/>
      <c r="B19" s="11"/>
      <c r="C19" s="11"/>
      <c r="D19" s="11"/>
      <c r="G19" s="18">
        <v>300</v>
      </c>
      <c r="T19" s="19">
        <v>44576</v>
      </c>
      <c r="U19" s="4"/>
      <c r="AN19" s="7">
        <v>1</v>
      </c>
      <c r="AQ19" s="1">
        <v>366</v>
      </c>
      <c r="AR19" s="1">
        <v>7</v>
      </c>
      <c r="AV19" s="1">
        <v>53</v>
      </c>
    </row>
    <row r="20" spans="1:48" ht="25.8" x14ac:dyDescent="0.5">
      <c r="A20" s="20" t="s">
        <v>0</v>
      </c>
      <c r="B20" s="11"/>
      <c r="C20" s="11"/>
      <c r="D20" s="11"/>
      <c r="G20" s="18"/>
      <c r="T20" s="19">
        <v>44741</v>
      </c>
      <c r="U20" s="4"/>
    </row>
    <row r="21" spans="1:48" ht="25.8" x14ac:dyDescent="0.5">
      <c r="A21" s="21" t="s">
        <v>9</v>
      </c>
      <c r="B21" s="22">
        <f ca="1">TODAY()</f>
        <v>46230</v>
      </c>
      <c r="C21" s="22">
        <v>44896</v>
      </c>
      <c r="D21" s="14"/>
      <c r="E21" s="11"/>
      <c r="F21" s="14"/>
      <c r="G21" s="18"/>
      <c r="N21" s="23">
        <v>42491</v>
      </c>
      <c r="O21" s="23">
        <v>42526</v>
      </c>
      <c r="T21" s="19">
        <v>44682</v>
      </c>
      <c r="U21" s="4"/>
      <c r="AP21" s="24">
        <v>1</v>
      </c>
    </row>
    <row r="22" spans="1:48" ht="25.8" x14ac:dyDescent="0.5">
      <c r="A22" s="21" t="s">
        <v>10</v>
      </c>
      <c r="B22" s="25">
        <f ca="1">NOW()</f>
        <v>46230.713913310188</v>
      </c>
      <c r="C22" s="26"/>
      <c r="D22" s="27"/>
      <c r="E22" s="11"/>
      <c r="F22" s="11" t="s">
        <v>11</v>
      </c>
      <c r="G22" s="11"/>
      <c r="N22" s="23">
        <v>43313</v>
      </c>
      <c r="O22" s="23">
        <v>43348</v>
      </c>
      <c r="T22" s="19">
        <v>44920</v>
      </c>
      <c r="U22" s="4"/>
    </row>
    <row r="23" spans="1:48" ht="25.8" x14ac:dyDescent="0.5">
      <c r="A23" s="21" t="s">
        <v>5</v>
      </c>
      <c r="B23" s="22">
        <f>DATE(2026,7,29)</f>
        <v>46232</v>
      </c>
      <c r="C23" s="22"/>
      <c r="D23" s="14"/>
      <c r="E23" s="14"/>
      <c r="F23" s="11" t="s">
        <v>12</v>
      </c>
      <c r="G23" s="14"/>
      <c r="AN23" s="1" t="s">
        <v>13</v>
      </c>
    </row>
    <row r="24" spans="1:48" ht="26.4" thickBot="1" x14ac:dyDescent="0.55000000000000004">
      <c r="A24" s="21" t="s">
        <v>14</v>
      </c>
      <c r="B24" s="22">
        <f ca="1">EOMONTH(B21,1)</f>
        <v>46265</v>
      </c>
      <c r="C24" s="22"/>
      <c r="D24" s="14"/>
      <c r="E24" s="14"/>
      <c r="F24" s="11" t="s">
        <v>15</v>
      </c>
      <c r="G24" s="11"/>
      <c r="J24" s="1" t="s">
        <v>16</v>
      </c>
      <c r="M24" s="1" t="s">
        <v>17</v>
      </c>
      <c r="O24" s="1" t="s">
        <v>17</v>
      </c>
      <c r="P24" s="1" t="s">
        <v>17</v>
      </c>
      <c r="R24" s="1" t="s">
        <v>18</v>
      </c>
      <c r="X24" s="1" t="s">
        <v>19</v>
      </c>
      <c r="AA24" s="28" t="s">
        <v>17</v>
      </c>
      <c r="AC24" s="1" t="s">
        <v>20</v>
      </c>
      <c r="AF24" s="1" t="s">
        <v>17</v>
      </c>
      <c r="AI24" s="1" t="s">
        <v>21</v>
      </c>
    </row>
    <row r="25" spans="1:48" ht="26.4" thickBot="1" x14ac:dyDescent="0.55000000000000004">
      <c r="A25" s="21" t="s">
        <v>22</v>
      </c>
      <c r="B25" s="22">
        <f ca="1">NETWORKDAYS(B21,"31-7-26")</f>
        <v>5</v>
      </c>
      <c r="C25" s="22"/>
      <c r="D25" s="11"/>
      <c r="E25" s="11"/>
      <c r="F25" s="11" t="s">
        <v>23</v>
      </c>
      <c r="G25" s="11"/>
      <c r="J25" s="64" t="s">
        <v>24</v>
      </c>
      <c r="K25" s="65" t="s">
        <v>25</v>
      </c>
      <c r="L25" s="65" t="s">
        <v>26</v>
      </c>
      <c r="M25" s="65" t="s">
        <v>27</v>
      </c>
      <c r="N25" s="65" t="s">
        <v>28</v>
      </c>
      <c r="O25" s="65" t="s">
        <v>29</v>
      </c>
      <c r="P25" s="66" t="s">
        <v>30</v>
      </c>
      <c r="R25" s="57" t="s">
        <v>31</v>
      </c>
      <c r="S25" s="58" t="s">
        <v>32</v>
      </c>
      <c r="T25" s="59" t="s">
        <v>33</v>
      </c>
      <c r="U25" s="60" t="s">
        <v>34</v>
      </c>
      <c r="X25" s="50" t="s">
        <v>31</v>
      </c>
      <c r="Y25" s="50" t="s">
        <v>32</v>
      </c>
      <c r="Z25" s="29" t="s">
        <v>35</v>
      </c>
      <c r="AA25" s="29" t="s">
        <v>36</v>
      </c>
      <c r="AC25" s="50" t="s">
        <v>31</v>
      </c>
      <c r="AD25" s="50" t="s">
        <v>37</v>
      </c>
      <c r="AE25" s="29" t="s">
        <v>32</v>
      </c>
      <c r="AF25" s="29" t="s">
        <v>38</v>
      </c>
      <c r="AI25" s="50" t="s">
        <v>31</v>
      </c>
      <c r="AJ25" s="50" t="s">
        <v>37</v>
      </c>
      <c r="AK25" s="29" t="s">
        <v>39</v>
      </c>
      <c r="AN25" s="50" t="s">
        <v>5</v>
      </c>
      <c r="AO25" s="29" t="s">
        <v>40</v>
      </c>
      <c r="AP25" s="29" t="s">
        <v>41</v>
      </c>
      <c r="AQ25"/>
      <c r="AR25"/>
    </row>
    <row r="26" spans="1:48" ht="25.8" x14ac:dyDescent="0.5">
      <c r="A26" s="21" t="s">
        <v>42</v>
      </c>
      <c r="B26" s="22">
        <f ca="1">NETWORKDAYS.INTL(B21,B24)</f>
        <v>26</v>
      </c>
      <c r="C26" s="22"/>
      <c r="D26" s="30"/>
      <c r="E26" s="18"/>
      <c r="F26" s="11"/>
      <c r="G26" s="11"/>
      <c r="J26" s="61">
        <v>44402</v>
      </c>
      <c r="K26" s="62">
        <f>EOMONTH(J26,0)</f>
        <v>44408</v>
      </c>
      <c r="L26" s="62">
        <f>EOMONTH(J26,1)</f>
        <v>44439</v>
      </c>
      <c r="M26" s="62">
        <f>EOMONTH(J26,-1)</f>
        <v>44377</v>
      </c>
      <c r="N26" s="62">
        <f>EOMONTH(J26,-1)+1</f>
        <v>44378</v>
      </c>
      <c r="O26" s="62">
        <f>EOMONTH(J26, 0) + 5</f>
        <v>44413</v>
      </c>
      <c r="P26" s="63">
        <f>EOMONTH(J26,-2)+25</f>
        <v>44372</v>
      </c>
      <c r="R26" s="55">
        <v>44728</v>
      </c>
      <c r="S26" s="55">
        <v>44811</v>
      </c>
      <c r="T26" s="56">
        <f>NETWORKDAYS(R26,S26)</f>
        <v>60</v>
      </c>
      <c r="U26" s="56">
        <f>NETWORKDAYS(R26,S26,$T$18:$T$22)</f>
        <v>59</v>
      </c>
      <c r="X26" s="53">
        <v>44728</v>
      </c>
      <c r="Y26" s="53">
        <v>44811</v>
      </c>
      <c r="Z26" s="29">
        <f>NETWORKDAYS.INTL(X26,Y26,11)</f>
        <v>72</v>
      </c>
      <c r="AA26" s="29">
        <f>NETWORKDAYS.INTL(X26,Y26,11,$T$18:$T$22)</f>
        <v>71</v>
      </c>
      <c r="AC26" s="51">
        <v>44859</v>
      </c>
      <c r="AD26" s="52">
        <v>15</v>
      </c>
      <c r="AE26" s="19">
        <f>WORKDAY(AC26,AD26)</f>
        <v>44880</v>
      </c>
      <c r="AF26" s="19">
        <f>WORKDAY(AC26,AD26,$T$18:$T$22)</f>
        <v>44880</v>
      </c>
      <c r="AI26" s="51">
        <v>44896</v>
      </c>
      <c r="AJ26" s="52">
        <v>15</v>
      </c>
      <c r="AK26" s="19">
        <f>WORKDAY.INTL(AI26,AJ26,11,$T$18:$T$22)</f>
        <v>44914</v>
      </c>
      <c r="AN26" s="51">
        <v>44896</v>
      </c>
      <c r="AO26" s="29">
        <f>WEEKDAY(AN26)</f>
        <v>5</v>
      </c>
      <c r="AP26" s="29">
        <f>WEEKNUM(AN26)</f>
        <v>49</v>
      </c>
      <c r="AQ26"/>
      <c r="AR26"/>
    </row>
    <row r="27" spans="1:48" ht="25.8" x14ac:dyDescent="0.5">
      <c r="A27" s="21" t="s">
        <v>43</v>
      </c>
      <c r="B27" s="22">
        <f ca="1">WORKDAY(B21,10)</f>
        <v>46244</v>
      </c>
      <c r="C27" s="34"/>
      <c r="D27" s="14"/>
      <c r="E27" s="30"/>
      <c r="F27" s="11">
        <v>1</v>
      </c>
      <c r="G27" s="11">
        <v>5</v>
      </c>
      <c r="J27" s="54">
        <v>44894</v>
      </c>
      <c r="K27" s="62">
        <f t="shared" ref="K27:K50" si="1">EOMONTH(J27,0)</f>
        <v>44895</v>
      </c>
      <c r="L27" s="62">
        <f t="shared" ref="L27:L50" si="2">EOMONTH(J27,1)</f>
        <v>44926</v>
      </c>
      <c r="M27" s="62">
        <f t="shared" ref="M27:M50" si="3">EOMONTH(J27,-1)</f>
        <v>44865</v>
      </c>
      <c r="N27" s="62">
        <f t="shared" ref="N27:N50" si="4">EOMONTH(J27,-1)+1</f>
        <v>44866</v>
      </c>
      <c r="O27" s="62">
        <f t="shared" ref="O27:O50" si="5">EOMONTH(J27, 0) + 5</f>
        <v>44900</v>
      </c>
      <c r="P27" s="63">
        <f t="shared" ref="P27:P50" si="6">EOMONTH(J27,-2)+25</f>
        <v>44859</v>
      </c>
      <c r="R27" s="53">
        <v>44713</v>
      </c>
      <c r="S27" s="53">
        <v>44742</v>
      </c>
      <c r="T27" s="56">
        <f t="shared" ref="T27:T50" si="7">NETWORKDAYS(R27,S27)</f>
        <v>22</v>
      </c>
      <c r="U27" s="56">
        <f t="shared" ref="U27:U50" si="8">NETWORKDAYS(R27,S27,$T$18:$T$22)</f>
        <v>21</v>
      </c>
      <c r="X27" s="51">
        <v>44713</v>
      </c>
      <c r="Y27" s="51">
        <v>44742</v>
      </c>
      <c r="Z27" s="29">
        <f t="shared" ref="Z27:Z50" si="9">NETWORKDAYS.INTL(X27,Y27,11)</f>
        <v>26</v>
      </c>
      <c r="AA27" s="29">
        <f t="shared" ref="AA27:AA50" si="10">NETWORKDAYS.INTL(X27,Y27,11,$T$18:$T$22)</f>
        <v>25</v>
      </c>
      <c r="AC27" s="51">
        <v>43213</v>
      </c>
      <c r="AD27" s="52">
        <v>10</v>
      </c>
      <c r="AE27" s="19">
        <f t="shared" ref="AE27:AE50" si="11">WORKDAY(AC27,AD27)</f>
        <v>43227</v>
      </c>
      <c r="AF27" s="19">
        <f t="shared" ref="AF27:AF50" si="12">WORKDAY(AC27,AD27,$T$18:$T$22)</f>
        <v>43227</v>
      </c>
      <c r="AI27" s="51">
        <v>43213</v>
      </c>
      <c r="AJ27" s="52">
        <v>10</v>
      </c>
      <c r="AK27" s="19">
        <f t="shared" ref="AK27:AK50" si="13">WORKDAY.INTL(AI27,AJ27,11,$T$18:$T$22)</f>
        <v>43224</v>
      </c>
      <c r="AN27" s="51">
        <v>44857</v>
      </c>
      <c r="AO27" s="29">
        <f t="shared" ref="AO27:AO50" si="14">WEEKDAY(AN27)</f>
        <v>1</v>
      </c>
      <c r="AP27" s="29">
        <f t="shared" ref="AP27:AP50" si="15">WEEKNUM(AN27)</f>
        <v>44</v>
      </c>
      <c r="AQ27"/>
      <c r="AR27"/>
    </row>
    <row r="28" spans="1:48" ht="25.8" x14ac:dyDescent="0.5">
      <c r="A28" s="21" t="s">
        <v>44</v>
      </c>
      <c r="B28" s="72">
        <f>WEEKNUM(A33)</f>
        <v>3</v>
      </c>
      <c r="C28" s="72"/>
      <c r="D28" s="14"/>
      <c r="E28" s="11"/>
      <c r="F28" s="11"/>
      <c r="G28" s="11"/>
      <c r="J28" s="54">
        <v>44282</v>
      </c>
      <c r="K28" s="62">
        <f t="shared" si="1"/>
        <v>44286</v>
      </c>
      <c r="L28" s="62">
        <f t="shared" si="2"/>
        <v>44316</v>
      </c>
      <c r="M28" s="62">
        <f t="shared" si="3"/>
        <v>44255</v>
      </c>
      <c r="N28" s="62">
        <f t="shared" si="4"/>
        <v>44256</v>
      </c>
      <c r="O28" s="62">
        <f t="shared" si="5"/>
        <v>44291</v>
      </c>
      <c r="P28" s="63">
        <f t="shared" si="6"/>
        <v>44252</v>
      </c>
      <c r="R28" s="53">
        <v>43063</v>
      </c>
      <c r="S28" s="53">
        <v>43094</v>
      </c>
      <c r="T28" s="56">
        <f t="shared" si="7"/>
        <v>22</v>
      </c>
      <c r="U28" s="56">
        <f t="shared" si="8"/>
        <v>22</v>
      </c>
      <c r="X28" s="51">
        <v>43063</v>
      </c>
      <c r="Y28" s="51">
        <v>43094</v>
      </c>
      <c r="Z28" s="29">
        <f t="shared" si="9"/>
        <v>27</v>
      </c>
      <c r="AA28" s="29">
        <f t="shared" si="10"/>
        <v>27</v>
      </c>
      <c r="AC28" s="51">
        <v>43063</v>
      </c>
      <c r="AD28" s="52">
        <v>22</v>
      </c>
      <c r="AE28" s="19">
        <f t="shared" si="11"/>
        <v>43095</v>
      </c>
      <c r="AF28" s="19">
        <f t="shared" si="12"/>
        <v>43095</v>
      </c>
      <c r="AI28" s="51">
        <v>43063</v>
      </c>
      <c r="AJ28" s="52">
        <v>22</v>
      </c>
      <c r="AK28" s="19">
        <f t="shared" si="13"/>
        <v>43089</v>
      </c>
      <c r="AN28" s="51">
        <v>44360</v>
      </c>
      <c r="AO28" s="29">
        <f t="shared" si="14"/>
        <v>1</v>
      </c>
      <c r="AP28" s="29">
        <f t="shared" si="15"/>
        <v>25</v>
      </c>
      <c r="AQ28"/>
      <c r="AR28"/>
    </row>
    <row r="29" spans="1:48" ht="25.8" x14ac:dyDescent="0.5">
      <c r="B29" s="14"/>
      <c r="C29" s="11"/>
      <c r="D29" s="11"/>
      <c r="E29" s="11"/>
      <c r="G29" s="11" t="s">
        <v>45</v>
      </c>
      <c r="J29" s="54">
        <v>44779</v>
      </c>
      <c r="K29" s="62">
        <f t="shared" si="1"/>
        <v>44804</v>
      </c>
      <c r="L29" s="62">
        <f t="shared" si="2"/>
        <v>44834</v>
      </c>
      <c r="M29" s="62">
        <f t="shared" si="3"/>
        <v>44773</v>
      </c>
      <c r="N29" s="62">
        <f t="shared" si="4"/>
        <v>44774</v>
      </c>
      <c r="O29" s="62">
        <f t="shared" si="5"/>
        <v>44809</v>
      </c>
      <c r="P29" s="63">
        <f t="shared" si="6"/>
        <v>44767</v>
      </c>
      <c r="R29" s="53">
        <v>43166</v>
      </c>
      <c r="S29" s="53">
        <v>43189</v>
      </c>
      <c r="T29" s="56">
        <f t="shared" si="7"/>
        <v>18</v>
      </c>
      <c r="U29" s="56">
        <f t="shared" si="8"/>
        <v>18</v>
      </c>
      <c r="X29" s="51">
        <v>43166</v>
      </c>
      <c r="Y29" s="51">
        <v>43189</v>
      </c>
      <c r="Z29" s="29">
        <f t="shared" si="9"/>
        <v>21</v>
      </c>
      <c r="AA29" s="29">
        <f t="shared" si="10"/>
        <v>21</v>
      </c>
      <c r="AC29" s="51">
        <v>43166</v>
      </c>
      <c r="AD29" s="52">
        <v>18</v>
      </c>
      <c r="AE29" s="19">
        <f t="shared" si="11"/>
        <v>43192</v>
      </c>
      <c r="AF29" s="19">
        <f t="shared" si="12"/>
        <v>43192</v>
      </c>
      <c r="AI29" s="51">
        <v>43166</v>
      </c>
      <c r="AJ29" s="52">
        <v>18</v>
      </c>
      <c r="AK29" s="19">
        <f t="shared" si="13"/>
        <v>43187</v>
      </c>
      <c r="AN29" s="51">
        <v>43166</v>
      </c>
      <c r="AO29" s="29">
        <f t="shared" si="14"/>
        <v>4</v>
      </c>
      <c r="AP29" s="29">
        <f t="shared" si="15"/>
        <v>10</v>
      </c>
      <c r="AQ29"/>
      <c r="AR29"/>
    </row>
    <row r="30" spans="1:48" ht="25.8" x14ac:dyDescent="0.5">
      <c r="A30" s="11"/>
      <c r="B30" s="11" t="s">
        <v>46</v>
      </c>
      <c r="C30" s="35" t="s">
        <v>47</v>
      </c>
      <c r="D30" s="11"/>
      <c r="E30" s="11"/>
      <c r="G30" s="34" t="s">
        <v>48</v>
      </c>
      <c r="J30" s="54">
        <v>44852</v>
      </c>
      <c r="K30" s="62">
        <f t="shared" si="1"/>
        <v>44865</v>
      </c>
      <c r="L30" s="62">
        <f t="shared" si="2"/>
        <v>44895</v>
      </c>
      <c r="M30" s="62">
        <f t="shared" si="3"/>
        <v>44834</v>
      </c>
      <c r="N30" s="62">
        <f t="shared" si="4"/>
        <v>44835</v>
      </c>
      <c r="O30" s="62">
        <f t="shared" si="5"/>
        <v>44870</v>
      </c>
      <c r="P30" s="63">
        <f t="shared" si="6"/>
        <v>44829</v>
      </c>
      <c r="R30" s="53">
        <v>43094</v>
      </c>
      <c r="S30" s="53">
        <v>43123</v>
      </c>
      <c r="T30" s="56">
        <f t="shared" si="7"/>
        <v>22</v>
      </c>
      <c r="U30" s="56">
        <f t="shared" si="8"/>
        <v>22</v>
      </c>
      <c r="X30" s="51">
        <v>43094</v>
      </c>
      <c r="Y30" s="51">
        <v>43123</v>
      </c>
      <c r="Z30" s="29">
        <f t="shared" si="9"/>
        <v>26</v>
      </c>
      <c r="AA30" s="29">
        <f t="shared" si="10"/>
        <v>26</v>
      </c>
      <c r="AC30" s="51">
        <v>43094</v>
      </c>
      <c r="AD30" s="52">
        <v>22</v>
      </c>
      <c r="AE30" s="19">
        <f t="shared" si="11"/>
        <v>43124</v>
      </c>
      <c r="AF30" s="19">
        <f t="shared" si="12"/>
        <v>43124</v>
      </c>
      <c r="AI30" s="51">
        <v>43094</v>
      </c>
      <c r="AJ30" s="52">
        <v>22</v>
      </c>
      <c r="AK30" s="19">
        <f t="shared" si="13"/>
        <v>43119</v>
      </c>
      <c r="AN30" s="51">
        <v>42917</v>
      </c>
      <c r="AO30" s="29">
        <f t="shared" si="14"/>
        <v>7</v>
      </c>
      <c r="AP30" s="29">
        <f t="shared" si="15"/>
        <v>26</v>
      </c>
      <c r="AQ30"/>
      <c r="AR30"/>
    </row>
    <row r="31" spans="1:48" ht="26.4" thickBot="1" x14ac:dyDescent="0.55000000000000004">
      <c r="A31" s="11"/>
      <c r="B31" s="11"/>
      <c r="C31" s="11"/>
      <c r="D31" s="11"/>
      <c r="E31" s="11"/>
      <c r="F31" s="11"/>
      <c r="G31" s="11" t="s">
        <v>17</v>
      </c>
      <c r="J31" s="54">
        <v>44462</v>
      </c>
      <c r="K31" s="62">
        <f t="shared" si="1"/>
        <v>44469</v>
      </c>
      <c r="L31" s="62">
        <f t="shared" si="2"/>
        <v>44500</v>
      </c>
      <c r="M31" s="62">
        <f t="shared" si="3"/>
        <v>44439</v>
      </c>
      <c r="N31" s="62">
        <f t="shared" si="4"/>
        <v>44440</v>
      </c>
      <c r="O31" s="62">
        <f t="shared" si="5"/>
        <v>44474</v>
      </c>
      <c r="P31" s="63">
        <f t="shared" si="6"/>
        <v>44433</v>
      </c>
      <c r="R31" s="53">
        <v>43087</v>
      </c>
      <c r="S31" s="53">
        <v>43123</v>
      </c>
      <c r="T31" s="56">
        <f t="shared" si="7"/>
        <v>27</v>
      </c>
      <c r="U31" s="56">
        <f t="shared" si="8"/>
        <v>27</v>
      </c>
      <c r="X31" s="51">
        <v>43087</v>
      </c>
      <c r="Y31" s="51">
        <v>43123</v>
      </c>
      <c r="Z31" s="29">
        <f t="shared" si="9"/>
        <v>32</v>
      </c>
      <c r="AA31" s="29">
        <f t="shared" si="10"/>
        <v>32</v>
      </c>
      <c r="AC31" s="51">
        <v>43087</v>
      </c>
      <c r="AD31" s="52">
        <v>27</v>
      </c>
      <c r="AE31" s="19">
        <f t="shared" si="11"/>
        <v>43124</v>
      </c>
      <c r="AF31" s="19">
        <f t="shared" si="12"/>
        <v>43124</v>
      </c>
      <c r="AI31" s="51">
        <v>43087</v>
      </c>
      <c r="AJ31" s="52">
        <v>27</v>
      </c>
      <c r="AK31" s="19">
        <f t="shared" si="13"/>
        <v>43118</v>
      </c>
      <c r="AN31" s="51">
        <v>43087</v>
      </c>
      <c r="AO31" s="29">
        <f t="shared" si="14"/>
        <v>2</v>
      </c>
      <c r="AP31" s="29">
        <f t="shared" si="15"/>
        <v>51</v>
      </c>
      <c r="AQ31"/>
      <c r="AR31"/>
    </row>
    <row r="32" spans="1:48" ht="26.4" thickBot="1" x14ac:dyDescent="0.55000000000000004">
      <c r="A32" s="69" t="s">
        <v>49</v>
      </c>
      <c r="B32" s="70" t="s">
        <v>50</v>
      </c>
      <c r="C32" s="70" t="s">
        <v>51</v>
      </c>
      <c r="D32" s="70" t="s">
        <v>52</v>
      </c>
      <c r="E32" s="70" t="s">
        <v>53</v>
      </c>
      <c r="F32" s="70" t="s">
        <v>54</v>
      </c>
      <c r="G32" s="71" t="s">
        <v>55</v>
      </c>
      <c r="J32" s="54">
        <v>44505</v>
      </c>
      <c r="K32" s="62">
        <f t="shared" si="1"/>
        <v>44530</v>
      </c>
      <c r="L32" s="62">
        <f t="shared" si="2"/>
        <v>44561</v>
      </c>
      <c r="M32" s="62">
        <f t="shared" si="3"/>
        <v>44500</v>
      </c>
      <c r="N32" s="62">
        <f t="shared" si="4"/>
        <v>44501</v>
      </c>
      <c r="O32" s="62">
        <f t="shared" si="5"/>
        <v>44535</v>
      </c>
      <c r="P32" s="63">
        <f t="shared" si="6"/>
        <v>44494</v>
      </c>
      <c r="R32" s="53">
        <v>43145</v>
      </c>
      <c r="S32" s="53">
        <v>43187</v>
      </c>
      <c r="T32" s="56">
        <f t="shared" si="7"/>
        <v>31</v>
      </c>
      <c r="U32" s="56">
        <f t="shared" si="8"/>
        <v>31</v>
      </c>
      <c r="X32" s="51">
        <v>43145</v>
      </c>
      <c r="Y32" s="51">
        <v>43187</v>
      </c>
      <c r="Z32" s="29">
        <f t="shared" si="9"/>
        <v>37</v>
      </c>
      <c r="AA32" s="29">
        <f t="shared" si="10"/>
        <v>37</v>
      </c>
      <c r="AC32" s="51">
        <v>43145</v>
      </c>
      <c r="AD32" s="52">
        <v>31</v>
      </c>
      <c r="AE32" s="19">
        <f t="shared" si="11"/>
        <v>43188</v>
      </c>
      <c r="AF32" s="19">
        <f t="shared" si="12"/>
        <v>43188</v>
      </c>
      <c r="AI32" s="51">
        <v>43145</v>
      </c>
      <c r="AJ32" s="52">
        <v>31</v>
      </c>
      <c r="AK32" s="19">
        <f t="shared" si="13"/>
        <v>43181</v>
      </c>
      <c r="AN32" s="51">
        <v>43145</v>
      </c>
      <c r="AO32" s="29">
        <f t="shared" si="14"/>
        <v>4</v>
      </c>
      <c r="AP32" s="29">
        <f t="shared" si="15"/>
        <v>7</v>
      </c>
      <c r="AQ32"/>
      <c r="AR32"/>
    </row>
    <row r="33" spans="1:44" ht="25.8" x14ac:dyDescent="0.5">
      <c r="A33" s="67">
        <v>31066</v>
      </c>
      <c r="B33" s="67">
        <f ca="1">TODAY()</f>
        <v>46230</v>
      </c>
      <c r="C33" s="68">
        <f ca="1">DATEDIF(A33,B33,"Y")</f>
        <v>41</v>
      </c>
      <c r="D33" s="68">
        <f ca="1">DATEDIF(A33,B33,"ym")</f>
        <v>6</v>
      </c>
      <c r="E33" s="68">
        <f ca="1">DATEDIF(A33,B33,"yd")</f>
        <v>189</v>
      </c>
      <c r="F33" s="68" t="str">
        <f ca="1">_xlfn.CONCAT(C33," Years ",D33," Months ",E33," days")</f>
        <v>41 Years 6 Months 189 days</v>
      </c>
      <c r="G33" s="68" t="str">
        <f ca="1">_xlfn.CONCAT(DATEDIF(A33,B33,"y")," years ",DATEDIF(A33,B33,"ym")," Months ",DATEDIF(A33,B33,"yd"), " days")</f>
        <v>41 years 6 Months 189 days</v>
      </c>
      <c r="J33" s="54">
        <v>44433</v>
      </c>
      <c r="K33" s="62">
        <f t="shared" si="1"/>
        <v>44439</v>
      </c>
      <c r="L33" s="62">
        <f t="shared" si="2"/>
        <v>44469</v>
      </c>
      <c r="M33" s="62">
        <f t="shared" si="3"/>
        <v>44408</v>
      </c>
      <c r="N33" s="62">
        <f t="shared" si="4"/>
        <v>44409</v>
      </c>
      <c r="O33" s="62">
        <f t="shared" si="5"/>
        <v>44444</v>
      </c>
      <c r="P33" s="63">
        <f t="shared" si="6"/>
        <v>44402</v>
      </c>
      <c r="R33" s="53">
        <v>43171</v>
      </c>
      <c r="S33" s="53">
        <v>43210</v>
      </c>
      <c r="T33" s="56">
        <f t="shared" si="7"/>
        <v>30</v>
      </c>
      <c r="U33" s="56">
        <f t="shared" si="8"/>
        <v>30</v>
      </c>
      <c r="X33" s="51">
        <v>43171</v>
      </c>
      <c r="Y33" s="51">
        <v>43210</v>
      </c>
      <c r="Z33" s="29">
        <f t="shared" si="9"/>
        <v>35</v>
      </c>
      <c r="AA33" s="29">
        <f t="shared" si="10"/>
        <v>35</v>
      </c>
      <c r="AC33" s="51">
        <v>43171</v>
      </c>
      <c r="AD33" s="52">
        <v>30</v>
      </c>
      <c r="AE33" s="19">
        <f t="shared" si="11"/>
        <v>43213</v>
      </c>
      <c r="AF33" s="19">
        <f t="shared" si="12"/>
        <v>43213</v>
      </c>
      <c r="AI33" s="51">
        <v>43171</v>
      </c>
      <c r="AJ33" s="52">
        <v>30</v>
      </c>
      <c r="AK33" s="19">
        <f t="shared" si="13"/>
        <v>43206</v>
      </c>
      <c r="AN33" s="51">
        <v>43171</v>
      </c>
      <c r="AO33" s="29">
        <f t="shared" si="14"/>
        <v>2</v>
      </c>
      <c r="AP33" s="29">
        <f t="shared" si="15"/>
        <v>11</v>
      </c>
      <c r="AQ33"/>
      <c r="AR33"/>
    </row>
    <row r="34" spans="1:44" ht="25.8" x14ac:dyDescent="0.5">
      <c r="A34" s="36">
        <v>17394</v>
      </c>
      <c r="B34" s="67">
        <f t="shared" ref="B34:B40" ca="1" si="16">TODAY()</f>
        <v>46230</v>
      </c>
      <c r="C34" s="68">
        <f t="shared" ref="C34:C40" ca="1" si="17">DATEDIF(A34,B34,"Y")</f>
        <v>78</v>
      </c>
      <c r="D34" s="68">
        <f t="shared" ref="D34:D40" ca="1" si="18">DATEDIF(A34,B34,"ym")</f>
        <v>11</v>
      </c>
      <c r="E34" s="68">
        <f t="shared" ref="E34:E40" ca="1" si="19">DATEDIF(A34,B34,"yd")</f>
        <v>347</v>
      </c>
      <c r="F34" s="68" t="str">
        <f t="shared" ref="F34:F40" ca="1" si="20">_xlfn.CONCAT(C34," Years ",D34," Months ",E34," days")</f>
        <v>78 Years 11 Months 347 days</v>
      </c>
      <c r="G34" s="68" t="str">
        <f t="shared" ref="G34:G40" ca="1" si="21">_xlfn.CONCAT(DATEDIF(A34,B34,"y")," years ",DATEDIF(A34,B34,"ym")," Months ",DATEDIF(A34,B34,"yd"), " days")</f>
        <v>78 years 11 Months 347 days</v>
      </c>
      <c r="J34" s="54">
        <v>44310</v>
      </c>
      <c r="K34" s="62">
        <f t="shared" si="1"/>
        <v>44316</v>
      </c>
      <c r="L34" s="62">
        <f t="shared" si="2"/>
        <v>44347</v>
      </c>
      <c r="M34" s="62">
        <f t="shared" si="3"/>
        <v>44286</v>
      </c>
      <c r="N34" s="62">
        <f t="shared" si="4"/>
        <v>44287</v>
      </c>
      <c r="O34" s="62">
        <f t="shared" si="5"/>
        <v>44321</v>
      </c>
      <c r="P34" s="63">
        <f t="shared" si="6"/>
        <v>44280</v>
      </c>
      <c r="R34" s="53">
        <v>43144</v>
      </c>
      <c r="S34" s="53">
        <v>43147</v>
      </c>
      <c r="T34" s="56">
        <f t="shared" si="7"/>
        <v>4</v>
      </c>
      <c r="U34" s="56">
        <f t="shared" si="8"/>
        <v>4</v>
      </c>
      <c r="X34" s="51">
        <v>43144</v>
      </c>
      <c r="Y34" s="51">
        <v>43147</v>
      </c>
      <c r="Z34" s="29">
        <f t="shared" si="9"/>
        <v>4</v>
      </c>
      <c r="AA34" s="29">
        <f t="shared" si="10"/>
        <v>4</v>
      </c>
      <c r="AC34" s="51">
        <v>43144</v>
      </c>
      <c r="AD34" s="52">
        <v>4</v>
      </c>
      <c r="AE34" s="19">
        <f t="shared" si="11"/>
        <v>43150</v>
      </c>
      <c r="AF34" s="19">
        <f t="shared" si="12"/>
        <v>43150</v>
      </c>
      <c r="AI34" s="51">
        <v>43144</v>
      </c>
      <c r="AJ34" s="52">
        <v>4</v>
      </c>
      <c r="AK34" s="19">
        <f t="shared" si="13"/>
        <v>43148</v>
      </c>
      <c r="AN34" s="51">
        <v>43144</v>
      </c>
      <c r="AO34" s="29">
        <f t="shared" si="14"/>
        <v>3</v>
      </c>
      <c r="AP34" s="29">
        <f t="shared" si="15"/>
        <v>7</v>
      </c>
      <c r="AQ34"/>
      <c r="AR34"/>
    </row>
    <row r="35" spans="1:44" ht="25.8" x14ac:dyDescent="0.5">
      <c r="A35" s="36">
        <v>38680</v>
      </c>
      <c r="B35" s="67">
        <f t="shared" ca="1" si="16"/>
        <v>46230</v>
      </c>
      <c r="C35" s="68">
        <f t="shared" ca="1" si="17"/>
        <v>20</v>
      </c>
      <c r="D35" s="68">
        <f t="shared" ca="1" si="18"/>
        <v>8</v>
      </c>
      <c r="E35" s="68">
        <f t="shared" ca="1" si="19"/>
        <v>245</v>
      </c>
      <c r="F35" s="68" t="str">
        <f t="shared" ca="1" si="20"/>
        <v>20 Years 8 Months 245 days</v>
      </c>
      <c r="G35" s="68" t="str">
        <f t="shared" ca="1" si="21"/>
        <v>20 years 8 Months 245 days</v>
      </c>
      <c r="J35" s="54">
        <v>44602</v>
      </c>
      <c r="K35" s="62">
        <f t="shared" si="1"/>
        <v>44620</v>
      </c>
      <c r="L35" s="62">
        <f t="shared" si="2"/>
        <v>44651</v>
      </c>
      <c r="M35" s="62">
        <f t="shared" si="3"/>
        <v>44592</v>
      </c>
      <c r="N35" s="62">
        <f t="shared" si="4"/>
        <v>44593</v>
      </c>
      <c r="O35" s="62">
        <f t="shared" si="5"/>
        <v>44625</v>
      </c>
      <c r="P35" s="63">
        <f t="shared" si="6"/>
        <v>44586</v>
      </c>
      <c r="R35" s="53">
        <v>43138</v>
      </c>
      <c r="S35" s="53">
        <v>43141</v>
      </c>
      <c r="T35" s="56">
        <f t="shared" si="7"/>
        <v>3</v>
      </c>
      <c r="U35" s="56">
        <f t="shared" si="8"/>
        <v>3</v>
      </c>
      <c r="X35" s="51">
        <v>43138</v>
      </c>
      <c r="Y35" s="51">
        <v>43141</v>
      </c>
      <c r="Z35" s="29">
        <f t="shared" si="9"/>
        <v>4</v>
      </c>
      <c r="AA35" s="29">
        <f t="shared" si="10"/>
        <v>4</v>
      </c>
      <c r="AC35" s="51">
        <v>43138</v>
      </c>
      <c r="AD35" s="52">
        <v>3</v>
      </c>
      <c r="AE35" s="19">
        <f t="shared" si="11"/>
        <v>43143</v>
      </c>
      <c r="AF35" s="19">
        <f t="shared" si="12"/>
        <v>43143</v>
      </c>
      <c r="AI35" s="51">
        <v>43138</v>
      </c>
      <c r="AJ35" s="52">
        <v>3</v>
      </c>
      <c r="AK35" s="19">
        <f t="shared" si="13"/>
        <v>43141</v>
      </c>
      <c r="AN35" s="51">
        <v>43138</v>
      </c>
      <c r="AO35" s="29">
        <f t="shared" si="14"/>
        <v>4</v>
      </c>
      <c r="AP35" s="29">
        <f t="shared" si="15"/>
        <v>6</v>
      </c>
      <c r="AQ35"/>
      <c r="AR35"/>
    </row>
    <row r="36" spans="1:44" ht="25.8" x14ac:dyDescent="0.5">
      <c r="A36" s="36">
        <v>38841</v>
      </c>
      <c r="B36" s="67">
        <f t="shared" ca="1" si="16"/>
        <v>46230</v>
      </c>
      <c r="C36" s="68">
        <f t="shared" ca="1" si="17"/>
        <v>20</v>
      </c>
      <c r="D36" s="68">
        <f t="shared" ca="1" si="18"/>
        <v>2</v>
      </c>
      <c r="E36" s="68">
        <f t="shared" ca="1" si="19"/>
        <v>84</v>
      </c>
      <c r="F36" s="68" t="str">
        <f t="shared" ca="1" si="20"/>
        <v>20 Years 2 Months 84 days</v>
      </c>
      <c r="G36" s="68" t="str">
        <f t="shared" ca="1" si="21"/>
        <v>20 years 2 Months 84 days</v>
      </c>
      <c r="J36" s="54">
        <v>44570</v>
      </c>
      <c r="K36" s="62">
        <f t="shared" si="1"/>
        <v>44592</v>
      </c>
      <c r="L36" s="62">
        <f t="shared" si="2"/>
        <v>44620</v>
      </c>
      <c r="M36" s="62">
        <f t="shared" si="3"/>
        <v>44561</v>
      </c>
      <c r="N36" s="62">
        <f t="shared" si="4"/>
        <v>44562</v>
      </c>
      <c r="O36" s="62">
        <f t="shared" si="5"/>
        <v>44597</v>
      </c>
      <c r="P36" s="63">
        <f t="shared" si="6"/>
        <v>44555</v>
      </c>
      <c r="R36" s="53">
        <v>43118</v>
      </c>
      <c r="S36" s="53">
        <v>43161</v>
      </c>
      <c r="T36" s="56">
        <f t="shared" si="7"/>
        <v>32</v>
      </c>
      <c r="U36" s="56">
        <f t="shared" si="8"/>
        <v>32</v>
      </c>
      <c r="X36" s="51">
        <v>43118</v>
      </c>
      <c r="Y36" s="51">
        <v>43161</v>
      </c>
      <c r="Z36" s="29">
        <f t="shared" si="9"/>
        <v>38</v>
      </c>
      <c r="AA36" s="29">
        <f t="shared" si="10"/>
        <v>38</v>
      </c>
      <c r="AC36" s="51">
        <v>43118</v>
      </c>
      <c r="AD36" s="52">
        <v>32</v>
      </c>
      <c r="AE36" s="19">
        <f t="shared" si="11"/>
        <v>43164</v>
      </c>
      <c r="AF36" s="19">
        <f t="shared" si="12"/>
        <v>43164</v>
      </c>
      <c r="AI36" s="51">
        <v>43118</v>
      </c>
      <c r="AJ36" s="52">
        <v>32</v>
      </c>
      <c r="AK36" s="19">
        <f t="shared" si="13"/>
        <v>43155</v>
      </c>
      <c r="AN36" s="51">
        <v>43118</v>
      </c>
      <c r="AO36" s="29">
        <f t="shared" si="14"/>
        <v>5</v>
      </c>
      <c r="AP36" s="29">
        <f t="shared" si="15"/>
        <v>3</v>
      </c>
      <c r="AQ36"/>
      <c r="AR36"/>
    </row>
    <row r="37" spans="1:44" ht="25.8" x14ac:dyDescent="0.5">
      <c r="A37" s="36">
        <v>42656</v>
      </c>
      <c r="B37" s="67">
        <f t="shared" ca="1" si="16"/>
        <v>46230</v>
      </c>
      <c r="C37" s="68">
        <f t="shared" ca="1" si="17"/>
        <v>9</v>
      </c>
      <c r="D37" s="68">
        <f t="shared" ca="1" si="18"/>
        <v>9</v>
      </c>
      <c r="E37" s="68">
        <f t="shared" ca="1" si="19"/>
        <v>287</v>
      </c>
      <c r="F37" s="68" t="str">
        <f t="shared" ca="1" si="20"/>
        <v>9 Years 9 Months 287 days</v>
      </c>
      <c r="G37" s="68" t="str">
        <f t="shared" ca="1" si="21"/>
        <v>9 years 9 Months 287 days</v>
      </c>
      <c r="J37" s="54">
        <v>44854</v>
      </c>
      <c r="K37" s="62">
        <f t="shared" si="1"/>
        <v>44865</v>
      </c>
      <c r="L37" s="62">
        <f t="shared" si="2"/>
        <v>44895</v>
      </c>
      <c r="M37" s="62">
        <f t="shared" si="3"/>
        <v>44834</v>
      </c>
      <c r="N37" s="62">
        <f t="shared" si="4"/>
        <v>44835</v>
      </c>
      <c r="O37" s="62">
        <f t="shared" si="5"/>
        <v>44870</v>
      </c>
      <c r="P37" s="63">
        <f t="shared" si="6"/>
        <v>44829</v>
      </c>
      <c r="R37" s="53">
        <v>43146</v>
      </c>
      <c r="S37" s="53">
        <v>43156</v>
      </c>
      <c r="T37" s="56">
        <f t="shared" si="7"/>
        <v>7</v>
      </c>
      <c r="U37" s="56">
        <f t="shared" si="8"/>
        <v>7</v>
      </c>
      <c r="X37" s="51">
        <v>43146</v>
      </c>
      <c r="Y37" s="51">
        <v>43156</v>
      </c>
      <c r="Z37" s="29">
        <f t="shared" si="9"/>
        <v>9</v>
      </c>
      <c r="AA37" s="29">
        <f t="shared" si="10"/>
        <v>9</v>
      </c>
      <c r="AC37" s="51">
        <v>43146</v>
      </c>
      <c r="AD37" s="52">
        <v>7</v>
      </c>
      <c r="AE37" s="19">
        <f t="shared" si="11"/>
        <v>43157</v>
      </c>
      <c r="AF37" s="19">
        <f t="shared" si="12"/>
        <v>43157</v>
      </c>
      <c r="AI37" s="51">
        <v>43146</v>
      </c>
      <c r="AJ37" s="52">
        <v>7</v>
      </c>
      <c r="AK37" s="19">
        <f t="shared" si="13"/>
        <v>43154</v>
      </c>
      <c r="AN37" s="51">
        <v>43146</v>
      </c>
      <c r="AO37" s="29">
        <f t="shared" si="14"/>
        <v>5</v>
      </c>
      <c r="AP37" s="29">
        <f t="shared" si="15"/>
        <v>7</v>
      </c>
      <c r="AQ37"/>
      <c r="AR37"/>
    </row>
    <row r="38" spans="1:44" ht="25.8" x14ac:dyDescent="0.5">
      <c r="A38" s="36">
        <v>42788</v>
      </c>
      <c r="B38" s="67">
        <f t="shared" ca="1" si="16"/>
        <v>46230</v>
      </c>
      <c r="C38" s="68">
        <f t="shared" ca="1" si="17"/>
        <v>9</v>
      </c>
      <c r="D38" s="68">
        <f t="shared" ca="1" si="18"/>
        <v>5</v>
      </c>
      <c r="E38" s="68">
        <f t="shared" ca="1" si="19"/>
        <v>155</v>
      </c>
      <c r="F38" s="68" t="str">
        <f t="shared" ca="1" si="20"/>
        <v>9 Years 5 Months 155 days</v>
      </c>
      <c r="G38" s="68" t="str">
        <f t="shared" ca="1" si="21"/>
        <v>9 years 5 Months 155 days</v>
      </c>
      <c r="J38" s="54">
        <v>44259</v>
      </c>
      <c r="K38" s="62">
        <f t="shared" si="1"/>
        <v>44286</v>
      </c>
      <c r="L38" s="62">
        <f t="shared" si="2"/>
        <v>44316</v>
      </c>
      <c r="M38" s="62">
        <f t="shared" si="3"/>
        <v>44255</v>
      </c>
      <c r="N38" s="62">
        <f t="shared" si="4"/>
        <v>44256</v>
      </c>
      <c r="O38" s="62">
        <f t="shared" si="5"/>
        <v>44291</v>
      </c>
      <c r="P38" s="63">
        <f t="shared" si="6"/>
        <v>44252</v>
      </c>
      <c r="R38" s="53">
        <v>43174</v>
      </c>
      <c r="S38" s="53">
        <v>43214</v>
      </c>
      <c r="T38" s="56">
        <f t="shared" si="7"/>
        <v>29</v>
      </c>
      <c r="U38" s="56">
        <f t="shared" si="8"/>
        <v>29</v>
      </c>
      <c r="X38" s="51">
        <v>43174</v>
      </c>
      <c r="Y38" s="51">
        <v>43214</v>
      </c>
      <c r="Z38" s="29">
        <f t="shared" si="9"/>
        <v>35</v>
      </c>
      <c r="AA38" s="29">
        <f t="shared" si="10"/>
        <v>35</v>
      </c>
      <c r="AC38" s="51">
        <v>43174</v>
      </c>
      <c r="AD38" s="52">
        <v>29</v>
      </c>
      <c r="AE38" s="19">
        <f t="shared" si="11"/>
        <v>43215</v>
      </c>
      <c r="AF38" s="19">
        <f t="shared" si="12"/>
        <v>43215</v>
      </c>
      <c r="AI38" s="51">
        <v>43174</v>
      </c>
      <c r="AJ38" s="52">
        <v>29</v>
      </c>
      <c r="AK38" s="19">
        <f t="shared" si="13"/>
        <v>43208</v>
      </c>
      <c r="AN38" s="51">
        <v>43174</v>
      </c>
      <c r="AO38" s="29">
        <f t="shared" si="14"/>
        <v>5</v>
      </c>
      <c r="AP38" s="29">
        <f t="shared" si="15"/>
        <v>11</v>
      </c>
      <c r="AQ38"/>
      <c r="AR38"/>
    </row>
    <row r="39" spans="1:44" ht="25.8" x14ac:dyDescent="0.5">
      <c r="A39" s="36">
        <v>42381</v>
      </c>
      <c r="B39" s="67">
        <f t="shared" ca="1" si="16"/>
        <v>46230</v>
      </c>
      <c r="C39" s="68">
        <f t="shared" ca="1" si="17"/>
        <v>10</v>
      </c>
      <c r="D39" s="68">
        <f t="shared" ca="1" si="18"/>
        <v>6</v>
      </c>
      <c r="E39" s="68">
        <f t="shared" ca="1" si="19"/>
        <v>197</v>
      </c>
      <c r="F39" s="68" t="str">
        <f t="shared" ca="1" si="20"/>
        <v>10 Years 6 Months 197 days</v>
      </c>
      <c r="G39" s="68" t="str">
        <f t="shared" ca="1" si="21"/>
        <v>10 years 6 Months 197 days</v>
      </c>
      <c r="J39" s="54">
        <v>44513</v>
      </c>
      <c r="K39" s="62">
        <f t="shared" si="1"/>
        <v>44530</v>
      </c>
      <c r="L39" s="62">
        <f t="shared" si="2"/>
        <v>44561</v>
      </c>
      <c r="M39" s="62">
        <f t="shared" si="3"/>
        <v>44500</v>
      </c>
      <c r="N39" s="62">
        <f t="shared" si="4"/>
        <v>44501</v>
      </c>
      <c r="O39" s="62">
        <f t="shared" si="5"/>
        <v>44535</v>
      </c>
      <c r="P39" s="63">
        <f t="shared" si="6"/>
        <v>44494</v>
      </c>
      <c r="R39" s="53">
        <v>43126</v>
      </c>
      <c r="S39" s="53">
        <v>43153</v>
      </c>
      <c r="T39" s="56">
        <f t="shared" si="7"/>
        <v>20</v>
      </c>
      <c r="U39" s="56">
        <f t="shared" si="8"/>
        <v>20</v>
      </c>
      <c r="X39" s="51">
        <v>43126</v>
      </c>
      <c r="Y39" s="51">
        <v>43153</v>
      </c>
      <c r="Z39" s="29">
        <f t="shared" si="9"/>
        <v>24</v>
      </c>
      <c r="AA39" s="29">
        <f t="shared" si="10"/>
        <v>24</v>
      </c>
      <c r="AC39" s="51">
        <v>43126</v>
      </c>
      <c r="AD39" s="52">
        <v>20</v>
      </c>
      <c r="AE39" s="19">
        <f t="shared" si="11"/>
        <v>43154</v>
      </c>
      <c r="AF39" s="19">
        <f t="shared" si="12"/>
        <v>43154</v>
      </c>
      <c r="AI39" s="51">
        <v>43126</v>
      </c>
      <c r="AJ39" s="52">
        <v>20</v>
      </c>
      <c r="AK39" s="19">
        <f t="shared" si="13"/>
        <v>43150</v>
      </c>
      <c r="AN39" s="51">
        <v>43126</v>
      </c>
      <c r="AO39" s="29">
        <f t="shared" si="14"/>
        <v>6</v>
      </c>
      <c r="AP39" s="29">
        <f t="shared" si="15"/>
        <v>4</v>
      </c>
      <c r="AQ39"/>
      <c r="AR39"/>
    </row>
    <row r="40" spans="1:44" ht="25.8" x14ac:dyDescent="0.5">
      <c r="A40" s="36">
        <v>40039</v>
      </c>
      <c r="B40" s="67">
        <f t="shared" ca="1" si="16"/>
        <v>46230</v>
      </c>
      <c r="C40" s="68">
        <f t="shared" ca="1" si="17"/>
        <v>16</v>
      </c>
      <c r="D40" s="68">
        <f t="shared" ca="1" si="18"/>
        <v>11</v>
      </c>
      <c r="E40" s="68">
        <f t="shared" ca="1" si="19"/>
        <v>347</v>
      </c>
      <c r="F40" s="68" t="str">
        <f t="shared" ca="1" si="20"/>
        <v>16 Years 11 Months 347 days</v>
      </c>
      <c r="G40" s="68" t="str">
        <f t="shared" ca="1" si="21"/>
        <v>16 years 11 Months 347 days</v>
      </c>
      <c r="J40" s="54">
        <v>44531</v>
      </c>
      <c r="K40" s="62">
        <f t="shared" si="1"/>
        <v>44561</v>
      </c>
      <c r="L40" s="62">
        <f t="shared" si="2"/>
        <v>44592</v>
      </c>
      <c r="M40" s="62">
        <f t="shared" si="3"/>
        <v>44530</v>
      </c>
      <c r="N40" s="62">
        <f t="shared" si="4"/>
        <v>44531</v>
      </c>
      <c r="O40" s="62">
        <f t="shared" si="5"/>
        <v>44566</v>
      </c>
      <c r="P40" s="63">
        <f t="shared" si="6"/>
        <v>44525</v>
      </c>
      <c r="R40" s="53">
        <v>42998</v>
      </c>
      <c r="S40" s="53">
        <v>43047</v>
      </c>
      <c r="T40" s="56">
        <f t="shared" si="7"/>
        <v>36</v>
      </c>
      <c r="U40" s="56">
        <f t="shared" si="8"/>
        <v>36</v>
      </c>
      <c r="X40" s="51">
        <v>42998</v>
      </c>
      <c r="Y40" s="51">
        <v>43047</v>
      </c>
      <c r="Z40" s="29">
        <f t="shared" si="9"/>
        <v>43</v>
      </c>
      <c r="AA40" s="29">
        <f t="shared" si="10"/>
        <v>43</v>
      </c>
      <c r="AC40" s="51">
        <v>42998</v>
      </c>
      <c r="AD40" s="52">
        <v>36</v>
      </c>
      <c r="AE40" s="19">
        <f t="shared" si="11"/>
        <v>43048</v>
      </c>
      <c r="AF40" s="19">
        <f t="shared" si="12"/>
        <v>43048</v>
      </c>
      <c r="AI40" s="51">
        <v>42998</v>
      </c>
      <c r="AJ40" s="52">
        <v>36</v>
      </c>
      <c r="AK40" s="19">
        <f t="shared" si="13"/>
        <v>43040</v>
      </c>
      <c r="AN40" s="51">
        <v>42998</v>
      </c>
      <c r="AO40" s="29">
        <f t="shared" si="14"/>
        <v>4</v>
      </c>
      <c r="AP40" s="29">
        <f t="shared" si="15"/>
        <v>38</v>
      </c>
      <c r="AQ40"/>
      <c r="AR40"/>
    </row>
    <row r="41" spans="1:44" ht="24" thickBot="1" x14ac:dyDescent="0.5">
      <c r="J41" s="54">
        <v>44623</v>
      </c>
      <c r="K41" s="62">
        <f t="shared" si="1"/>
        <v>44651</v>
      </c>
      <c r="L41" s="62">
        <f t="shared" si="2"/>
        <v>44681</v>
      </c>
      <c r="M41" s="62">
        <f t="shared" si="3"/>
        <v>44620</v>
      </c>
      <c r="N41" s="62">
        <f t="shared" si="4"/>
        <v>44621</v>
      </c>
      <c r="O41" s="62">
        <f t="shared" si="5"/>
        <v>44656</v>
      </c>
      <c r="P41" s="63">
        <f t="shared" si="6"/>
        <v>44617</v>
      </c>
      <c r="R41" s="53">
        <v>43147</v>
      </c>
      <c r="S41" s="53">
        <v>43180</v>
      </c>
      <c r="T41" s="56">
        <f t="shared" si="7"/>
        <v>24</v>
      </c>
      <c r="U41" s="56">
        <f t="shared" si="8"/>
        <v>24</v>
      </c>
      <c r="X41" s="51">
        <v>43147</v>
      </c>
      <c r="Y41" s="51">
        <v>43180</v>
      </c>
      <c r="Z41" s="29">
        <f t="shared" si="9"/>
        <v>29</v>
      </c>
      <c r="AA41" s="29">
        <f t="shared" si="10"/>
        <v>29</v>
      </c>
      <c r="AC41" s="51">
        <v>43147</v>
      </c>
      <c r="AD41" s="52">
        <v>24</v>
      </c>
      <c r="AE41" s="19">
        <f t="shared" si="11"/>
        <v>43181</v>
      </c>
      <c r="AF41" s="19">
        <f t="shared" si="12"/>
        <v>43181</v>
      </c>
      <c r="AI41" s="51">
        <v>43147</v>
      </c>
      <c r="AJ41" s="52">
        <v>24</v>
      </c>
      <c r="AK41" s="19">
        <f t="shared" si="13"/>
        <v>43175</v>
      </c>
      <c r="AN41" s="51">
        <v>43147</v>
      </c>
      <c r="AO41" s="29">
        <f t="shared" si="14"/>
        <v>6</v>
      </c>
      <c r="AP41" s="29">
        <f t="shared" si="15"/>
        <v>7</v>
      </c>
      <c r="AQ41"/>
      <c r="AR41"/>
    </row>
    <row r="42" spans="1:44" x14ac:dyDescent="0.45">
      <c r="A42" s="40" t="s">
        <v>47</v>
      </c>
      <c r="B42" s="41"/>
      <c r="C42" s="42"/>
      <c r="J42" s="54">
        <v>44275</v>
      </c>
      <c r="K42" s="62">
        <f t="shared" si="1"/>
        <v>44286</v>
      </c>
      <c r="L42" s="62">
        <f t="shared" si="2"/>
        <v>44316</v>
      </c>
      <c r="M42" s="62">
        <f t="shared" si="3"/>
        <v>44255</v>
      </c>
      <c r="N42" s="62">
        <f t="shared" si="4"/>
        <v>44256</v>
      </c>
      <c r="O42" s="62">
        <f t="shared" si="5"/>
        <v>44291</v>
      </c>
      <c r="P42" s="63">
        <f t="shared" si="6"/>
        <v>44252</v>
      </c>
      <c r="R42" s="53">
        <v>43191</v>
      </c>
      <c r="S42" s="53">
        <v>43222</v>
      </c>
      <c r="T42" s="56">
        <f t="shared" si="7"/>
        <v>23</v>
      </c>
      <c r="U42" s="56">
        <f t="shared" si="8"/>
        <v>23</v>
      </c>
      <c r="X42" s="51">
        <v>43191</v>
      </c>
      <c r="Y42" s="51">
        <v>43222</v>
      </c>
      <c r="Z42" s="29">
        <f t="shared" si="9"/>
        <v>27</v>
      </c>
      <c r="AA42" s="29">
        <f t="shared" si="10"/>
        <v>27</v>
      </c>
      <c r="AC42" s="51">
        <v>43191</v>
      </c>
      <c r="AD42" s="52">
        <v>23</v>
      </c>
      <c r="AE42" s="19">
        <f t="shared" si="11"/>
        <v>43222</v>
      </c>
      <c r="AF42" s="19">
        <f t="shared" si="12"/>
        <v>43222</v>
      </c>
      <c r="AI42" s="51">
        <v>43191</v>
      </c>
      <c r="AJ42" s="52">
        <v>23</v>
      </c>
      <c r="AK42" s="19">
        <f t="shared" si="13"/>
        <v>43217</v>
      </c>
      <c r="AN42" s="51">
        <v>43191</v>
      </c>
      <c r="AO42" s="29">
        <f t="shared" si="14"/>
        <v>1</v>
      </c>
      <c r="AP42" s="29">
        <f t="shared" si="15"/>
        <v>14</v>
      </c>
      <c r="AQ42"/>
      <c r="AR42"/>
    </row>
    <row r="43" spans="1:44" x14ac:dyDescent="0.45">
      <c r="A43" s="43" t="s">
        <v>56</v>
      </c>
      <c r="B43" s="44" t="s">
        <v>57</v>
      </c>
      <c r="C43" s="45"/>
      <c r="J43" s="54">
        <v>44349</v>
      </c>
      <c r="K43" s="62">
        <f t="shared" si="1"/>
        <v>44377</v>
      </c>
      <c r="L43" s="62">
        <f t="shared" si="2"/>
        <v>44408</v>
      </c>
      <c r="M43" s="62">
        <f t="shared" si="3"/>
        <v>44347</v>
      </c>
      <c r="N43" s="62">
        <f t="shared" si="4"/>
        <v>44348</v>
      </c>
      <c r="O43" s="62">
        <f t="shared" si="5"/>
        <v>44382</v>
      </c>
      <c r="P43" s="63">
        <f t="shared" si="6"/>
        <v>44341</v>
      </c>
      <c r="R43" s="53">
        <v>42989</v>
      </c>
      <c r="S43" s="53">
        <v>43010</v>
      </c>
      <c r="T43" s="56">
        <f t="shared" si="7"/>
        <v>16</v>
      </c>
      <c r="U43" s="56">
        <f t="shared" si="8"/>
        <v>16</v>
      </c>
      <c r="X43" s="51">
        <v>42989</v>
      </c>
      <c r="Y43" s="51">
        <v>43010</v>
      </c>
      <c r="Z43" s="29">
        <f t="shared" si="9"/>
        <v>19</v>
      </c>
      <c r="AA43" s="29">
        <f t="shared" si="10"/>
        <v>19</v>
      </c>
      <c r="AC43" s="51">
        <v>42989</v>
      </c>
      <c r="AD43" s="52">
        <v>16</v>
      </c>
      <c r="AE43" s="19">
        <f t="shared" si="11"/>
        <v>43011</v>
      </c>
      <c r="AF43" s="19">
        <f t="shared" si="12"/>
        <v>43011</v>
      </c>
      <c r="AI43" s="51">
        <v>42989</v>
      </c>
      <c r="AJ43" s="52">
        <v>16</v>
      </c>
      <c r="AK43" s="19">
        <f t="shared" si="13"/>
        <v>43007</v>
      </c>
      <c r="AN43" s="51">
        <v>42989</v>
      </c>
      <c r="AO43" s="29">
        <f t="shared" si="14"/>
        <v>2</v>
      </c>
      <c r="AP43" s="29">
        <f t="shared" si="15"/>
        <v>37</v>
      </c>
      <c r="AQ43"/>
      <c r="AR43"/>
    </row>
    <row r="44" spans="1:44" x14ac:dyDescent="0.45">
      <c r="A44" s="46" t="s">
        <v>58</v>
      </c>
      <c r="B44" s="44" t="s">
        <v>59</v>
      </c>
      <c r="C44" s="45"/>
      <c r="D44" s="38"/>
      <c r="J44" s="54">
        <v>44551</v>
      </c>
      <c r="K44" s="62">
        <f t="shared" si="1"/>
        <v>44561</v>
      </c>
      <c r="L44" s="62">
        <f t="shared" si="2"/>
        <v>44592</v>
      </c>
      <c r="M44" s="62">
        <f t="shared" si="3"/>
        <v>44530</v>
      </c>
      <c r="N44" s="62">
        <f t="shared" si="4"/>
        <v>44531</v>
      </c>
      <c r="O44" s="62">
        <f t="shared" si="5"/>
        <v>44566</v>
      </c>
      <c r="P44" s="63">
        <f t="shared" si="6"/>
        <v>44525</v>
      </c>
      <c r="R44" s="53">
        <v>43093</v>
      </c>
      <c r="S44" s="53">
        <v>43113</v>
      </c>
      <c r="T44" s="56">
        <f t="shared" si="7"/>
        <v>15</v>
      </c>
      <c r="U44" s="56">
        <f t="shared" si="8"/>
        <v>15</v>
      </c>
      <c r="X44" s="51">
        <v>43093</v>
      </c>
      <c r="Y44" s="51">
        <v>43113</v>
      </c>
      <c r="Z44" s="29">
        <f t="shared" si="9"/>
        <v>18</v>
      </c>
      <c r="AA44" s="29">
        <f t="shared" si="10"/>
        <v>18</v>
      </c>
      <c r="AC44" s="51">
        <v>43093</v>
      </c>
      <c r="AD44" s="52">
        <v>15</v>
      </c>
      <c r="AE44" s="19">
        <f t="shared" si="11"/>
        <v>43112</v>
      </c>
      <c r="AF44" s="19">
        <f t="shared" si="12"/>
        <v>43112</v>
      </c>
      <c r="AI44" s="51">
        <v>43093</v>
      </c>
      <c r="AJ44" s="52">
        <v>15</v>
      </c>
      <c r="AK44" s="19">
        <f t="shared" si="13"/>
        <v>43110</v>
      </c>
      <c r="AN44" s="51">
        <v>43093</v>
      </c>
      <c r="AO44" s="29">
        <f t="shared" si="14"/>
        <v>1</v>
      </c>
      <c r="AP44" s="29">
        <f t="shared" si="15"/>
        <v>52</v>
      </c>
      <c r="AQ44"/>
      <c r="AR44"/>
    </row>
    <row r="45" spans="1:44" x14ac:dyDescent="0.45">
      <c r="A45" s="46" t="s">
        <v>60</v>
      </c>
      <c r="B45" s="44" t="s">
        <v>61</v>
      </c>
      <c r="C45" s="45"/>
      <c r="J45" s="54">
        <v>44777</v>
      </c>
      <c r="K45" s="62">
        <f t="shared" si="1"/>
        <v>44804</v>
      </c>
      <c r="L45" s="62">
        <f t="shared" si="2"/>
        <v>44834</v>
      </c>
      <c r="M45" s="62">
        <f t="shared" si="3"/>
        <v>44773</v>
      </c>
      <c r="N45" s="62">
        <f t="shared" si="4"/>
        <v>44774</v>
      </c>
      <c r="O45" s="62">
        <f t="shared" si="5"/>
        <v>44809</v>
      </c>
      <c r="P45" s="63">
        <f t="shared" si="6"/>
        <v>44767</v>
      </c>
      <c r="R45" s="53">
        <v>43196</v>
      </c>
      <c r="S45" s="53">
        <v>43230</v>
      </c>
      <c r="T45" s="56">
        <f t="shared" si="7"/>
        <v>25</v>
      </c>
      <c r="U45" s="56">
        <f t="shared" si="8"/>
        <v>25</v>
      </c>
      <c r="X45" s="51">
        <v>43196</v>
      </c>
      <c r="Y45" s="51">
        <v>43230</v>
      </c>
      <c r="Z45" s="29">
        <f t="shared" si="9"/>
        <v>30</v>
      </c>
      <c r="AA45" s="29">
        <f t="shared" si="10"/>
        <v>30</v>
      </c>
      <c r="AC45" s="51">
        <v>43196</v>
      </c>
      <c r="AD45" s="52">
        <v>25</v>
      </c>
      <c r="AE45" s="19">
        <f t="shared" si="11"/>
        <v>43231</v>
      </c>
      <c r="AF45" s="19">
        <f t="shared" si="12"/>
        <v>43231</v>
      </c>
      <c r="AI45" s="51">
        <v>43196</v>
      </c>
      <c r="AJ45" s="52">
        <v>25</v>
      </c>
      <c r="AK45" s="19">
        <f t="shared" si="13"/>
        <v>43225</v>
      </c>
      <c r="AN45" s="51">
        <v>43196</v>
      </c>
      <c r="AO45" s="29">
        <f t="shared" si="14"/>
        <v>6</v>
      </c>
      <c r="AP45" s="29">
        <f t="shared" si="15"/>
        <v>14</v>
      </c>
      <c r="AQ45"/>
      <c r="AR45"/>
    </row>
    <row r="46" spans="1:44" x14ac:dyDescent="0.45">
      <c r="A46" s="46" t="s">
        <v>62</v>
      </c>
      <c r="B46" s="44" t="s">
        <v>63</v>
      </c>
      <c r="C46" s="45"/>
      <c r="J46" s="54">
        <v>44262</v>
      </c>
      <c r="K46" s="62">
        <f t="shared" si="1"/>
        <v>44286</v>
      </c>
      <c r="L46" s="62">
        <f t="shared" si="2"/>
        <v>44316</v>
      </c>
      <c r="M46" s="62">
        <f t="shared" si="3"/>
        <v>44255</v>
      </c>
      <c r="N46" s="62">
        <f t="shared" si="4"/>
        <v>44256</v>
      </c>
      <c r="O46" s="62">
        <f t="shared" si="5"/>
        <v>44291</v>
      </c>
      <c r="P46" s="63">
        <f t="shared" si="6"/>
        <v>44252</v>
      </c>
      <c r="R46" s="31"/>
      <c r="S46" s="31"/>
      <c r="T46" s="56">
        <f t="shared" si="7"/>
        <v>0</v>
      </c>
      <c r="U46" s="56">
        <f t="shared" si="8"/>
        <v>0</v>
      </c>
      <c r="X46" s="32"/>
      <c r="Y46" s="32"/>
      <c r="Z46" s="29">
        <f t="shared" si="9"/>
        <v>1</v>
      </c>
      <c r="AA46" s="29">
        <f t="shared" si="10"/>
        <v>1</v>
      </c>
      <c r="AC46" s="32"/>
      <c r="AD46" s="33"/>
      <c r="AE46" s="19">
        <f t="shared" si="11"/>
        <v>0</v>
      </c>
      <c r="AF46" s="19">
        <f t="shared" si="12"/>
        <v>0</v>
      </c>
      <c r="AI46" s="32"/>
      <c r="AJ46" s="33"/>
      <c r="AK46" s="19">
        <f t="shared" si="13"/>
        <v>0</v>
      </c>
      <c r="AN46" s="32"/>
      <c r="AO46" s="29">
        <f t="shared" si="14"/>
        <v>7</v>
      </c>
      <c r="AP46" s="29">
        <f t="shared" si="15"/>
        <v>0</v>
      </c>
      <c r="AQ46"/>
      <c r="AR46"/>
    </row>
    <row r="47" spans="1:44" ht="24" thickBot="1" x14ac:dyDescent="0.5">
      <c r="A47" s="47" t="s">
        <v>64</v>
      </c>
      <c r="B47" s="48" t="s">
        <v>65</v>
      </c>
      <c r="C47" s="49"/>
      <c r="J47" s="54">
        <v>44772</v>
      </c>
      <c r="K47" s="62">
        <f t="shared" si="1"/>
        <v>44773</v>
      </c>
      <c r="L47" s="62">
        <f t="shared" si="2"/>
        <v>44804</v>
      </c>
      <c r="M47" s="62">
        <f t="shared" si="3"/>
        <v>44742</v>
      </c>
      <c r="N47" s="62">
        <f t="shared" si="4"/>
        <v>44743</v>
      </c>
      <c r="O47" s="62">
        <f t="shared" si="5"/>
        <v>44778</v>
      </c>
      <c r="P47" s="63">
        <f t="shared" si="6"/>
        <v>44737</v>
      </c>
      <c r="R47" s="31"/>
      <c r="S47" s="31"/>
      <c r="T47" s="56">
        <f t="shared" si="7"/>
        <v>0</v>
      </c>
      <c r="U47" s="56">
        <f t="shared" si="8"/>
        <v>0</v>
      </c>
      <c r="X47" s="32"/>
      <c r="Y47" s="32"/>
      <c r="Z47" s="29">
        <f t="shared" si="9"/>
        <v>1</v>
      </c>
      <c r="AA47" s="29">
        <f t="shared" si="10"/>
        <v>1</v>
      </c>
      <c r="AC47" s="32"/>
      <c r="AD47" s="33"/>
      <c r="AE47" s="19">
        <f t="shared" si="11"/>
        <v>0</v>
      </c>
      <c r="AF47" s="19">
        <f t="shared" si="12"/>
        <v>0</v>
      </c>
      <c r="AI47" s="32"/>
      <c r="AJ47" s="33"/>
      <c r="AK47" s="19">
        <f t="shared" si="13"/>
        <v>0</v>
      </c>
      <c r="AN47" s="32"/>
      <c r="AO47" s="29">
        <f t="shared" si="14"/>
        <v>7</v>
      </c>
      <c r="AP47" s="29">
        <f t="shared" si="15"/>
        <v>0</v>
      </c>
      <c r="AQ47"/>
      <c r="AR47"/>
    </row>
    <row r="48" spans="1:44" x14ac:dyDescent="0.45">
      <c r="B48" s="4">
        <v>45285</v>
      </c>
      <c r="J48" s="54">
        <v>44812</v>
      </c>
      <c r="K48" s="62">
        <f t="shared" si="1"/>
        <v>44834</v>
      </c>
      <c r="L48" s="62">
        <f t="shared" si="2"/>
        <v>44865</v>
      </c>
      <c r="M48" s="62">
        <f t="shared" si="3"/>
        <v>44804</v>
      </c>
      <c r="N48" s="62">
        <f t="shared" si="4"/>
        <v>44805</v>
      </c>
      <c r="O48" s="62">
        <f t="shared" si="5"/>
        <v>44839</v>
      </c>
      <c r="P48" s="63">
        <f t="shared" si="6"/>
        <v>44798</v>
      </c>
      <c r="R48" s="31"/>
      <c r="S48" s="31"/>
      <c r="T48" s="56">
        <f t="shared" si="7"/>
        <v>0</v>
      </c>
      <c r="U48" s="56">
        <f t="shared" si="8"/>
        <v>0</v>
      </c>
      <c r="X48" s="32"/>
      <c r="Y48" s="32"/>
      <c r="Z48" s="29">
        <f t="shared" si="9"/>
        <v>1</v>
      </c>
      <c r="AA48" s="29">
        <f t="shared" si="10"/>
        <v>1</v>
      </c>
      <c r="AC48" s="32"/>
      <c r="AD48" s="33"/>
      <c r="AE48" s="19">
        <f t="shared" si="11"/>
        <v>0</v>
      </c>
      <c r="AF48" s="19">
        <f t="shared" si="12"/>
        <v>0</v>
      </c>
      <c r="AI48" s="32"/>
      <c r="AJ48" s="33"/>
      <c r="AK48" s="19">
        <f t="shared" si="13"/>
        <v>0</v>
      </c>
      <c r="AN48" s="32"/>
      <c r="AO48" s="29">
        <f t="shared" si="14"/>
        <v>7</v>
      </c>
      <c r="AP48" s="29">
        <f t="shared" si="15"/>
        <v>0</v>
      </c>
      <c r="AQ48"/>
      <c r="AR48"/>
    </row>
    <row r="49" spans="1:44" x14ac:dyDescent="0.45">
      <c r="A49"/>
      <c r="B49"/>
      <c r="C49"/>
      <c r="D49" s="4"/>
      <c r="E49" s="37"/>
      <c r="J49" s="54">
        <v>44374</v>
      </c>
      <c r="K49" s="62">
        <f t="shared" si="1"/>
        <v>44377</v>
      </c>
      <c r="L49" s="62">
        <f t="shared" si="2"/>
        <v>44408</v>
      </c>
      <c r="M49" s="62">
        <f t="shared" si="3"/>
        <v>44347</v>
      </c>
      <c r="N49" s="62">
        <f t="shared" si="4"/>
        <v>44348</v>
      </c>
      <c r="O49" s="62">
        <f t="shared" si="5"/>
        <v>44382</v>
      </c>
      <c r="P49" s="63">
        <f t="shared" si="6"/>
        <v>44341</v>
      </c>
      <c r="R49" s="31">
        <v>43150</v>
      </c>
      <c r="S49" s="31">
        <v>43162</v>
      </c>
      <c r="T49" s="56">
        <f t="shared" si="7"/>
        <v>10</v>
      </c>
      <c r="U49" s="56">
        <f t="shared" si="8"/>
        <v>10</v>
      </c>
      <c r="X49" s="32">
        <v>43150</v>
      </c>
      <c r="Y49" s="32">
        <v>43162</v>
      </c>
      <c r="Z49" s="29">
        <f t="shared" si="9"/>
        <v>12</v>
      </c>
      <c r="AA49" s="29">
        <f t="shared" si="10"/>
        <v>12</v>
      </c>
      <c r="AC49" s="32">
        <v>43150</v>
      </c>
      <c r="AD49" s="33">
        <v>10</v>
      </c>
      <c r="AE49" s="19">
        <f t="shared" si="11"/>
        <v>43164</v>
      </c>
      <c r="AF49" s="19">
        <f t="shared" si="12"/>
        <v>43164</v>
      </c>
      <c r="AI49" s="32">
        <v>43150</v>
      </c>
      <c r="AJ49" s="33">
        <v>10</v>
      </c>
      <c r="AK49" s="19">
        <f t="shared" si="13"/>
        <v>43161</v>
      </c>
      <c r="AN49" s="32">
        <v>43150</v>
      </c>
      <c r="AO49" s="29">
        <f t="shared" si="14"/>
        <v>2</v>
      </c>
      <c r="AP49" s="29">
        <f t="shared" si="15"/>
        <v>8</v>
      </c>
      <c r="AQ49"/>
      <c r="AR49"/>
    </row>
    <row r="50" spans="1:44" x14ac:dyDescent="0.45">
      <c r="A50"/>
      <c r="B50"/>
      <c r="C50"/>
      <c r="J50" s="54">
        <v>44699</v>
      </c>
      <c r="K50" s="62">
        <f t="shared" si="1"/>
        <v>44712</v>
      </c>
      <c r="L50" s="62">
        <f t="shared" si="2"/>
        <v>44742</v>
      </c>
      <c r="M50" s="62">
        <f t="shared" si="3"/>
        <v>44681</v>
      </c>
      <c r="N50" s="62">
        <f t="shared" si="4"/>
        <v>44682</v>
      </c>
      <c r="O50" s="62">
        <f t="shared" si="5"/>
        <v>44717</v>
      </c>
      <c r="P50" s="63">
        <f t="shared" si="6"/>
        <v>44676</v>
      </c>
      <c r="R50" s="31">
        <v>43047</v>
      </c>
      <c r="S50" s="31">
        <v>43062</v>
      </c>
      <c r="T50" s="56">
        <f t="shared" si="7"/>
        <v>12</v>
      </c>
      <c r="U50" s="56">
        <f t="shared" si="8"/>
        <v>12</v>
      </c>
      <c r="X50" s="32">
        <v>43047</v>
      </c>
      <c r="Y50" s="32">
        <v>43062</v>
      </c>
      <c r="Z50" s="29">
        <f t="shared" si="9"/>
        <v>14</v>
      </c>
      <c r="AA50" s="29">
        <f t="shared" si="10"/>
        <v>14</v>
      </c>
      <c r="AC50" s="32">
        <v>43047</v>
      </c>
      <c r="AD50" s="33">
        <v>12</v>
      </c>
      <c r="AE50" s="19">
        <f t="shared" si="11"/>
        <v>43063</v>
      </c>
      <c r="AF50" s="19">
        <f t="shared" si="12"/>
        <v>43063</v>
      </c>
      <c r="AI50" s="32">
        <v>43047</v>
      </c>
      <c r="AJ50" s="33">
        <v>12</v>
      </c>
      <c r="AK50" s="19">
        <f t="shared" si="13"/>
        <v>43061</v>
      </c>
      <c r="AN50" s="32">
        <v>43047</v>
      </c>
      <c r="AO50" s="29">
        <f t="shared" si="14"/>
        <v>4</v>
      </c>
      <c r="AP50" s="29">
        <f t="shared" si="15"/>
        <v>45</v>
      </c>
      <c r="AQ50"/>
      <c r="AR50"/>
    </row>
    <row r="51" spans="1:44" x14ac:dyDescent="0.45">
      <c r="A51"/>
      <c r="B51"/>
      <c r="C51"/>
    </row>
    <row r="52" spans="1:44" x14ac:dyDescent="0.45">
      <c r="A52"/>
      <c r="B52"/>
      <c r="C52"/>
    </row>
    <row r="55" spans="1:44" x14ac:dyDescent="0.45">
      <c r="B55" s="39"/>
    </row>
    <row r="60" spans="1:44" x14ac:dyDescent="0.45">
      <c r="A60" s="1" t="s">
        <v>66</v>
      </c>
      <c r="B60" s="4">
        <v>44727</v>
      </c>
      <c r="C60" s="1">
        <v>2</v>
      </c>
      <c r="D60" s="4"/>
      <c r="E60" s="4"/>
    </row>
    <row r="62" spans="1:44" x14ac:dyDescent="0.45">
      <c r="A62"/>
      <c r="B62"/>
      <c r="C62"/>
      <c r="D62"/>
      <c r="E62"/>
    </row>
    <row r="63" spans="1:44" x14ac:dyDescent="0.45">
      <c r="A63"/>
      <c r="B63"/>
      <c r="C63"/>
      <c r="D63"/>
      <c r="E63"/>
    </row>
    <row r="64" spans="1:44" x14ac:dyDescent="0.45">
      <c r="A64"/>
      <c r="B64"/>
      <c r="C64"/>
      <c r="D64"/>
      <c r="E64"/>
    </row>
    <row r="65" spans="1:5" x14ac:dyDescent="0.45">
      <c r="A65"/>
      <c r="B65"/>
      <c r="C65"/>
      <c r="D65"/>
      <c r="E65"/>
    </row>
    <row r="66" spans="1:5" x14ac:dyDescent="0.45">
      <c r="A66"/>
      <c r="B66"/>
      <c r="C66"/>
      <c r="D66"/>
      <c r="E66"/>
    </row>
  </sheetData>
  <mergeCells count="1">
    <mergeCell ref="A1:J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2A7C-D976-4D89-866C-75139D6E9AD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&amp; Time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2025-07-05T11:15:33Z</dcterms:created>
  <dcterms:modified xsi:type="dcterms:W3CDTF">2026-07-27T11:38:02Z</dcterms:modified>
</cp:coreProperties>
</file>