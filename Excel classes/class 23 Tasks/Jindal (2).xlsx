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esktop\Codepro\Upgrad classes\Excel classes\class 23 Tasks\"/>
    </mc:Choice>
  </mc:AlternateContent>
  <xr:revisionPtr revIDLastSave="0" documentId="13_ncr:1_{987084A5-7051-4B15-B9C9-650844A439B3}" xr6:coauthVersionLast="47" xr6:coauthVersionMax="47" xr10:uidLastSave="{00000000-0000-0000-0000-000000000000}"/>
  <bookViews>
    <workbookView xWindow="-108" yWindow="-108" windowWidth="23256" windowHeight="13176" xr2:uid="{8FB7A1CB-FB3F-4114-9A6A-40FE281EACC8}"/>
  </bookViews>
  <sheets>
    <sheet name="original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1" l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<sst xmlns="http://schemas.openxmlformats.org/spreadsheetml/2006/main" count="58" uniqueCount="29">
  <si>
    <t>CAPACITY (IN KVA)</t>
  </si>
  <si>
    <t>30 KVA</t>
  </si>
  <si>
    <t>40 KVA</t>
  </si>
  <si>
    <t>50 KVA</t>
  </si>
  <si>
    <t>60 KVA</t>
  </si>
  <si>
    <t>75 KVA</t>
  </si>
  <si>
    <t>100 KVA</t>
  </si>
  <si>
    <t>125 / 150 KVA</t>
  </si>
  <si>
    <t>200 KVA</t>
  </si>
  <si>
    <t>250 KVA</t>
  </si>
  <si>
    <t>300 KVA</t>
  </si>
  <si>
    <t>350 / 400 KVA</t>
  </si>
  <si>
    <t>500 KVA</t>
  </si>
  <si>
    <t>600 KVA</t>
  </si>
  <si>
    <t>750 KVA</t>
  </si>
  <si>
    <t>1000 KVA</t>
  </si>
  <si>
    <t>1250 KVA</t>
  </si>
  <si>
    <t>1500 KVA</t>
  </si>
  <si>
    <t>1600 KVA</t>
  </si>
  <si>
    <t>1750 KVA</t>
  </si>
  <si>
    <t>2000 KVA</t>
  </si>
  <si>
    <t>2500 kVA</t>
  </si>
  <si>
    <t>3000 kVA</t>
  </si>
  <si>
    <t>200 - 260 V</t>
  </si>
  <si>
    <t>195 - 265 V</t>
  </si>
  <si>
    <t>190 - 270 V</t>
  </si>
  <si>
    <t>185 - 275 V</t>
  </si>
  <si>
    <t>170 - 265 V</t>
  </si>
  <si>
    <t>160 - 265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</si>
</sst>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0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B6E5E0-7773-4283-89D6-2CD3849017D5}" name="Table2" displayName="Table2" ref="Y1:AE23" totalsRowShown="0">
  <autoFilter ref="Y1:AE23" xr:uid="{E5B6E5E0-7773-4283-89D6-2CD3849017D5}"/>
  <tableColumns count="7">
    <tableColumn id="1" xr3:uid="{23B2BF48-9006-4968-B46A-6C0D24C7ABB1}" name="CAPACITY (IN KVA)"/>
    <tableColumn id="2" xr3:uid="{08102004-DC8D-4783-94DC-944E8F8DF4A0}" name="200 - 260 V" dataDxfId="10">
      <calculatedColumnFormula>Table3[[#This Row],[200 - 260 V]] * $U$11</calculatedColumnFormula>
    </tableColumn>
    <tableColumn id="3" xr3:uid="{C30FF8F8-4096-437B-9855-060D028386B6}" name="195 - 265 V" dataDxfId="4">
      <calculatedColumnFormula>Table3[[#This Row],[195 - 265 V]] * $U$11</calculatedColumnFormula>
    </tableColumn>
    <tableColumn id="4" xr3:uid="{C7E1BCD8-725D-4E30-80CE-3D8DE82AF5E2}" name="190 - 270 V" dataDxfId="3">
      <calculatedColumnFormula>Table3[[#This Row],[190 - 270 V]] * $U$11</calculatedColumnFormula>
    </tableColumn>
    <tableColumn id="5" xr3:uid="{0121F216-72B8-4F18-BE77-5AB8136094AF}" name="185 - 275 V" dataDxfId="2">
      <calculatedColumnFormula>Table3[[#This Row],[185 - 275 V]] * $U$11</calculatedColumnFormula>
    </tableColumn>
    <tableColumn id="6" xr3:uid="{C566AFB7-2A80-4D2D-8A23-1E26866AB86D}" name="170 - 265 V" dataDxfId="1">
      <calculatedColumnFormula>Table3[[#This Row],[170 - 265 V]] * $U$11</calculatedColumnFormula>
    </tableColumn>
    <tableColumn id="7" xr3:uid="{78FD983B-795E-4063-9584-EEDC4469B66D}" name="160 - 265 V" dataDxfId="0">
      <calculatedColumnFormula>Table3[[#This Row],[160 - 265 V]] * $U$11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BE0B5A-2D4C-4DB8-BE62-92E336D768C7}" name="Table3" displayName="Table3" ref="M1:S23" totalsRowShown="0">
  <autoFilter ref="M1:S23" xr:uid="{E1BE0B5A-2D4C-4DB8-BE62-92E336D768C7}"/>
  <tableColumns count="7">
    <tableColumn id="1" xr3:uid="{DF71C15D-747C-439E-AD52-261B6AE74F4A}" name="CAPACITY (IN KVA)"/>
    <tableColumn id="2" xr3:uid="{80026DD2-23E1-4189-B233-50DAD8EFBB8B}" name="200 - 260 V" dataDxfId="9"/>
    <tableColumn id="3" xr3:uid="{BADDE3F0-B163-48EB-8B42-25A543E76392}" name="195 - 265 V" dataDxfId="8"/>
    <tableColumn id="4" xr3:uid="{9DE8FC78-4B30-4BC0-B452-4187F91E5D57}" name="190 - 270 V" dataDxfId="7"/>
    <tableColumn id="5" xr3:uid="{97AF64D5-C6A4-4EBA-96E8-083D3906CE8D}" name="185 - 275 V" dataDxfId="6"/>
    <tableColumn id="6" xr3:uid="{F722FD47-F13A-4258-BD9A-D675B7CF0992}" name="170 - 265 V" dataDxfId="5"/>
    <tableColumn id="7" xr3:uid="{E56A84FF-62BE-4D41-913C-4FDA0B94BD1E}" name="160 - 265 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E336-565F-42BC-BB60-7FE1A83F0C2E}">
  <dimension ref="K1:AE23"/>
  <sheetViews>
    <sheetView tabSelected="1" topLeftCell="O6" zoomScale="84" zoomScaleNormal="84" workbookViewId="0">
      <selection activeCell="U7" sqref="U7"/>
    </sheetView>
  </sheetViews>
  <sheetFormatPr defaultRowHeight="14.4" x14ac:dyDescent="0.3"/>
  <cols>
    <col min="2" max="8" width="18.6640625" customWidth="1"/>
    <col min="9" max="12" width="15.6640625" customWidth="1"/>
    <col min="13" max="13" width="18.33203125" customWidth="1"/>
    <col min="14" max="19" width="15.6640625" customWidth="1"/>
    <col min="21" max="21" width="14" customWidth="1"/>
    <col min="25" max="25" width="18.33203125" customWidth="1"/>
    <col min="26" max="31" width="11.33203125" customWidth="1"/>
  </cols>
  <sheetData>
    <row r="1" spans="11:31" x14ac:dyDescent="0.3">
      <c r="M1" t="s">
        <v>0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Y1" t="s">
        <v>0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</row>
    <row r="2" spans="11:31" x14ac:dyDescent="0.3">
      <c r="M2" t="s">
        <v>1</v>
      </c>
      <c r="N2">
        <v>0</v>
      </c>
      <c r="O2">
        <v>0</v>
      </c>
      <c r="P2" s="1">
        <v>239000</v>
      </c>
      <c r="Q2">
        <v>0</v>
      </c>
      <c r="R2" s="1">
        <v>287000</v>
      </c>
      <c r="S2" s="1">
        <v>344000</v>
      </c>
      <c r="U2" s="3">
        <v>0.15</v>
      </c>
      <c r="Y2" t="s">
        <v>1</v>
      </c>
      <c r="Z2">
        <f>Table3[[#This Row],[200 - 260 V]] * $U$11</f>
        <v>0</v>
      </c>
      <c r="AA2">
        <f>Table3[[#This Row],[195 - 265 V]] * $U$11</f>
        <v>0</v>
      </c>
      <c r="AB2">
        <f>Table3[[#This Row],[190 - 270 V]] * $U$11</f>
        <v>71700</v>
      </c>
      <c r="AC2">
        <f>Table3[[#This Row],[185 - 275 V]] * $U$11</f>
        <v>0</v>
      </c>
      <c r="AD2">
        <f>Table3[[#This Row],[170 - 265 V]] * $U$11</f>
        <v>86100</v>
      </c>
      <c r="AE2">
        <f>Table3[[#This Row],[160 - 265 V]] * $U$11</f>
        <v>103200</v>
      </c>
    </row>
    <row r="3" spans="11:31" x14ac:dyDescent="0.3">
      <c r="M3" t="s">
        <v>2</v>
      </c>
      <c r="N3">
        <v>0</v>
      </c>
      <c r="O3">
        <v>0</v>
      </c>
      <c r="P3" s="1">
        <v>273000</v>
      </c>
      <c r="Q3">
        <v>0</v>
      </c>
      <c r="R3" s="1">
        <v>332000</v>
      </c>
      <c r="S3" s="1">
        <v>396000</v>
      </c>
      <c r="U3" s="3">
        <v>0.3</v>
      </c>
      <c r="Y3" t="s">
        <v>2</v>
      </c>
      <c r="Z3">
        <f>Table3[[#This Row],[200 - 260 V]] * $U$11</f>
        <v>0</v>
      </c>
      <c r="AA3">
        <f>Table3[[#This Row],[195 - 265 V]] * $U$11</f>
        <v>0</v>
      </c>
      <c r="AB3">
        <f>Table3[[#This Row],[190 - 270 V]] * $U$11</f>
        <v>81900</v>
      </c>
      <c r="AC3">
        <f>Table3[[#This Row],[185 - 275 V]] * $U$11</f>
        <v>0</v>
      </c>
      <c r="AD3">
        <f>Table3[[#This Row],[170 - 265 V]] * $U$11</f>
        <v>99600</v>
      </c>
      <c r="AE3">
        <f>Table3[[#This Row],[160 - 265 V]] * $U$11</f>
        <v>118800</v>
      </c>
    </row>
    <row r="4" spans="11:31" x14ac:dyDescent="0.3">
      <c r="M4" t="s">
        <v>3</v>
      </c>
      <c r="N4">
        <v>0</v>
      </c>
      <c r="O4">
        <v>0</v>
      </c>
      <c r="P4" s="1">
        <v>332000</v>
      </c>
      <c r="Q4">
        <v>0</v>
      </c>
      <c r="R4" s="1">
        <v>395000</v>
      </c>
      <c r="S4" s="1">
        <v>475000</v>
      </c>
      <c r="U4" s="3">
        <v>0.45</v>
      </c>
      <c r="Y4" t="s">
        <v>3</v>
      </c>
      <c r="Z4">
        <f>Table3[[#This Row],[200 - 260 V]] * $U$11</f>
        <v>0</v>
      </c>
      <c r="AA4">
        <f>Table3[[#This Row],[195 - 265 V]] * $U$11</f>
        <v>0</v>
      </c>
      <c r="AB4">
        <f>Table3[[#This Row],[190 - 270 V]] * $U$11</f>
        <v>99600</v>
      </c>
      <c r="AC4">
        <f>Table3[[#This Row],[185 - 275 V]] * $U$11</f>
        <v>0</v>
      </c>
      <c r="AD4">
        <f>Table3[[#This Row],[170 - 265 V]] * $U$11</f>
        <v>118500</v>
      </c>
      <c r="AE4">
        <f>Table3[[#This Row],[160 - 265 V]] * $U$11</f>
        <v>142500</v>
      </c>
    </row>
    <row r="5" spans="11:31" x14ac:dyDescent="0.3">
      <c r="M5" t="s">
        <v>4</v>
      </c>
      <c r="N5">
        <v>0</v>
      </c>
      <c r="O5">
        <v>0</v>
      </c>
      <c r="P5" s="1">
        <v>389000</v>
      </c>
      <c r="Q5">
        <v>0</v>
      </c>
      <c r="R5" s="1">
        <v>468000</v>
      </c>
      <c r="S5" s="1">
        <v>559000</v>
      </c>
      <c r="U5" s="3">
        <v>0.6</v>
      </c>
      <c r="Y5" t="s">
        <v>4</v>
      </c>
      <c r="Z5">
        <f>Table3[[#This Row],[200 - 260 V]] * $U$11</f>
        <v>0</v>
      </c>
      <c r="AA5">
        <f>Table3[[#This Row],[195 - 265 V]] * $U$11</f>
        <v>0</v>
      </c>
      <c r="AB5">
        <f>Table3[[#This Row],[190 - 270 V]] * $U$11</f>
        <v>116700</v>
      </c>
      <c r="AC5">
        <f>Table3[[#This Row],[185 - 275 V]] * $U$11</f>
        <v>0</v>
      </c>
      <c r="AD5">
        <f>Table3[[#This Row],[170 - 265 V]] * $U$11</f>
        <v>140400</v>
      </c>
      <c r="AE5">
        <f>Table3[[#This Row],[160 - 265 V]] * $U$11</f>
        <v>167700</v>
      </c>
    </row>
    <row r="6" spans="11:31" x14ac:dyDescent="0.3">
      <c r="M6" t="s">
        <v>5</v>
      </c>
      <c r="N6">
        <v>0</v>
      </c>
      <c r="O6">
        <v>0</v>
      </c>
      <c r="P6" s="1">
        <v>477000</v>
      </c>
      <c r="Q6">
        <v>0</v>
      </c>
      <c r="R6" s="1">
        <v>573000</v>
      </c>
      <c r="S6" s="1">
        <v>686000</v>
      </c>
      <c r="Y6" t="s">
        <v>5</v>
      </c>
      <c r="Z6">
        <f>Table3[[#This Row],[200 - 260 V]] * $U$11</f>
        <v>0</v>
      </c>
      <c r="AA6">
        <f>Table3[[#This Row],[195 - 265 V]] * $U$11</f>
        <v>0</v>
      </c>
      <c r="AB6">
        <f>Table3[[#This Row],[190 - 270 V]] * $U$11</f>
        <v>143100</v>
      </c>
      <c r="AC6">
        <f>Table3[[#This Row],[185 - 275 V]] * $U$11</f>
        <v>0</v>
      </c>
      <c r="AD6">
        <f>Table3[[#This Row],[170 - 265 V]] * $U$11</f>
        <v>171900</v>
      </c>
      <c r="AE6">
        <f>Table3[[#This Row],[160 - 265 V]] * $U$11</f>
        <v>205800</v>
      </c>
    </row>
    <row r="7" spans="11:31" x14ac:dyDescent="0.3">
      <c r="M7" t="s">
        <v>6</v>
      </c>
      <c r="N7">
        <v>0</v>
      </c>
      <c r="O7">
        <v>0</v>
      </c>
      <c r="P7" s="1">
        <v>538000</v>
      </c>
      <c r="Q7">
        <v>0</v>
      </c>
      <c r="R7" s="1">
        <v>645000</v>
      </c>
      <c r="S7" s="1">
        <v>774000</v>
      </c>
      <c r="Y7" t="s">
        <v>6</v>
      </c>
      <c r="Z7">
        <f>Table3[[#This Row],[200 - 260 V]] * $U$11</f>
        <v>0</v>
      </c>
      <c r="AA7">
        <f>Table3[[#This Row],[195 - 265 V]] * $U$11</f>
        <v>0</v>
      </c>
      <c r="AB7">
        <f>Table3[[#This Row],[190 - 270 V]] * $U$11</f>
        <v>161400</v>
      </c>
      <c r="AC7">
        <f>Table3[[#This Row],[185 - 275 V]] * $U$11</f>
        <v>0</v>
      </c>
      <c r="AD7">
        <f>Table3[[#This Row],[170 - 265 V]] * $U$11</f>
        <v>193500</v>
      </c>
      <c r="AE7">
        <f>Table3[[#This Row],[160 - 265 V]] * $U$11</f>
        <v>232200</v>
      </c>
    </row>
    <row r="8" spans="11:31" x14ac:dyDescent="0.3">
      <c r="K8" s="2"/>
      <c r="M8" t="s">
        <v>7</v>
      </c>
      <c r="N8" s="1">
        <v>609000</v>
      </c>
      <c r="O8" s="1">
        <v>677000</v>
      </c>
      <c r="P8" s="1">
        <v>708000</v>
      </c>
      <c r="Q8" s="1">
        <v>740000</v>
      </c>
      <c r="R8" s="1">
        <v>854000</v>
      </c>
      <c r="S8" s="1">
        <v>1024000</v>
      </c>
      <c r="Y8" t="s">
        <v>7</v>
      </c>
      <c r="Z8">
        <f>Table3[[#This Row],[200 - 260 V]] * $U$11</f>
        <v>182700</v>
      </c>
      <c r="AA8">
        <f>Table3[[#This Row],[195 - 265 V]] * $U$11</f>
        <v>203100</v>
      </c>
      <c r="AB8">
        <f>Table3[[#This Row],[190 - 270 V]] * $U$11</f>
        <v>212400</v>
      </c>
      <c r="AC8">
        <f>Table3[[#This Row],[185 - 275 V]] * $U$11</f>
        <v>222000</v>
      </c>
      <c r="AD8">
        <f>Table3[[#This Row],[170 - 265 V]] * $U$11</f>
        <v>256200</v>
      </c>
      <c r="AE8">
        <f>Table3[[#This Row],[160 - 265 V]] * $U$11</f>
        <v>307200</v>
      </c>
    </row>
    <row r="9" spans="11:31" x14ac:dyDescent="0.3">
      <c r="K9" s="2"/>
      <c r="M9" t="s">
        <v>8</v>
      </c>
      <c r="N9" s="1">
        <v>704000</v>
      </c>
      <c r="O9" s="1">
        <v>760000</v>
      </c>
      <c r="P9" s="1">
        <v>849000</v>
      </c>
      <c r="Q9" s="1">
        <v>942000</v>
      </c>
      <c r="R9" s="1">
        <v>1018000</v>
      </c>
      <c r="S9" s="1">
        <v>1221000</v>
      </c>
      <c r="Y9" t="s">
        <v>8</v>
      </c>
      <c r="Z9">
        <f>Table3[[#This Row],[200 - 260 V]] * $U$11</f>
        <v>211200</v>
      </c>
      <c r="AA9">
        <f>Table3[[#This Row],[195 - 265 V]] * $U$11</f>
        <v>228000</v>
      </c>
      <c r="AB9">
        <f>Table3[[#This Row],[190 - 270 V]] * $U$11</f>
        <v>254700</v>
      </c>
      <c r="AC9">
        <f>Table3[[#This Row],[185 - 275 V]] * $U$11</f>
        <v>282600</v>
      </c>
      <c r="AD9">
        <f>Table3[[#This Row],[170 - 265 V]] * $U$11</f>
        <v>305400</v>
      </c>
      <c r="AE9">
        <f>Table3[[#This Row],[160 - 265 V]] * $U$11</f>
        <v>366300</v>
      </c>
    </row>
    <row r="10" spans="11:31" x14ac:dyDescent="0.3">
      <c r="K10" s="2"/>
      <c r="M10" t="s">
        <v>9</v>
      </c>
      <c r="N10" s="1">
        <v>794000</v>
      </c>
      <c r="O10" s="1">
        <v>874000</v>
      </c>
      <c r="P10" s="1">
        <v>926000</v>
      </c>
      <c r="Q10" s="1">
        <v>975000</v>
      </c>
      <c r="R10" s="1">
        <v>1125000</v>
      </c>
      <c r="S10" s="1">
        <v>1346000</v>
      </c>
      <c r="Y10" t="s">
        <v>9</v>
      </c>
      <c r="Z10">
        <f>Table3[[#This Row],[200 - 260 V]] * $U$11</f>
        <v>238200</v>
      </c>
      <c r="AA10">
        <f>Table3[[#This Row],[195 - 265 V]] * $U$11</f>
        <v>262200</v>
      </c>
      <c r="AB10">
        <f>Table3[[#This Row],[190 - 270 V]] * $U$11</f>
        <v>277800</v>
      </c>
      <c r="AC10">
        <f>Table3[[#This Row],[185 - 275 V]] * $U$11</f>
        <v>292500</v>
      </c>
      <c r="AD10">
        <f>Table3[[#This Row],[170 - 265 V]] * $U$11</f>
        <v>337500</v>
      </c>
      <c r="AE10">
        <f>Table3[[#This Row],[160 - 265 V]] * $U$11</f>
        <v>403800</v>
      </c>
    </row>
    <row r="11" spans="11:31" ht="22.8" x14ac:dyDescent="0.45">
      <c r="M11" t="s">
        <v>10</v>
      </c>
      <c r="N11" s="1">
        <v>876000</v>
      </c>
      <c r="O11" s="1">
        <v>975000</v>
      </c>
      <c r="P11" s="1">
        <v>1032000</v>
      </c>
      <c r="Q11" s="1">
        <v>1098000</v>
      </c>
      <c r="R11" s="1">
        <v>1267000</v>
      </c>
      <c r="S11" s="1">
        <v>1523000</v>
      </c>
      <c r="U11" s="4">
        <v>0.3</v>
      </c>
      <c r="Y11" t="s">
        <v>10</v>
      </c>
      <c r="Z11">
        <f>Table3[[#This Row],[200 - 260 V]] * $U$11</f>
        <v>262800</v>
      </c>
      <c r="AA11">
        <f>Table3[[#This Row],[195 - 265 V]] * $U$11</f>
        <v>292500</v>
      </c>
      <c r="AB11">
        <f>Table3[[#This Row],[190 - 270 V]] * $U$11</f>
        <v>309600</v>
      </c>
      <c r="AC11">
        <f>Table3[[#This Row],[185 - 275 V]] * $U$11</f>
        <v>329400</v>
      </c>
      <c r="AD11">
        <f>Table3[[#This Row],[170 - 265 V]] * $U$11</f>
        <v>380100</v>
      </c>
      <c r="AE11">
        <f>Table3[[#This Row],[160 - 265 V]] * $U$11</f>
        <v>456900</v>
      </c>
    </row>
    <row r="12" spans="11:31" x14ac:dyDescent="0.3">
      <c r="M12" t="s">
        <v>11</v>
      </c>
      <c r="N12" s="1">
        <v>1070000</v>
      </c>
      <c r="O12" s="1">
        <v>1178000</v>
      </c>
      <c r="P12" s="1">
        <v>1241000</v>
      </c>
      <c r="Q12" s="1">
        <v>1308000</v>
      </c>
      <c r="R12" s="1">
        <v>1518000</v>
      </c>
      <c r="S12" s="1">
        <v>1825000</v>
      </c>
      <c r="Y12" t="s">
        <v>11</v>
      </c>
      <c r="Z12">
        <f>Table3[[#This Row],[200 - 260 V]] * $U$11</f>
        <v>321000</v>
      </c>
      <c r="AA12">
        <f>Table3[[#This Row],[195 - 265 V]] * $U$11</f>
        <v>353400</v>
      </c>
      <c r="AB12">
        <f>Table3[[#This Row],[190 - 270 V]] * $U$11</f>
        <v>372300</v>
      </c>
      <c r="AC12">
        <f>Table3[[#This Row],[185 - 275 V]] * $U$11</f>
        <v>392400</v>
      </c>
      <c r="AD12">
        <f>Table3[[#This Row],[170 - 265 V]] * $U$11</f>
        <v>455400</v>
      </c>
      <c r="AE12">
        <f>Table3[[#This Row],[160 - 265 V]] * $U$11</f>
        <v>547500</v>
      </c>
    </row>
    <row r="13" spans="11:31" x14ac:dyDescent="0.3">
      <c r="M13" t="s">
        <v>12</v>
      </c>
      <c r="N13" s="1">
        <v>1146000</v>
      </c>
      <c r="O13" s="1">
        <v>1267000</v>
      </c>
      <c r="P13" s="1">
        <v>1344000</v>
      </c>
      <c r="Q13" s="1">
        <v>1417000</v>
      </c>
      <c r="R13" s="1">
        <v>1636000</v>
      </c>
      <c r="S13" s="1">
        <v>1962000</v>
      </c>
      <c r="Y13" t="s">
        <v>12</v>
      </c>
      <c r="Z13">
        <f>Table3[[#This Row],[200 - 260 V]] * $U$11</f>
        <v>343800</v>
      </c>
      <c r="AA13">
        <f>Table3[[#This Row],[195 - 265 V]] * $U$11</f>
        <v>380100</v>
      </c>
      <c r="AB13">
        <f>Table3[[#This Row],[190 - 270 V]] * $U$11</f>
        <v>403200</v>
      </c>
      <c r="AC13">
        <f>Table3[[#This Row],[185 - 275 V]] * $U$11</f>
        <v>425100</v>
      </c>
      <c r="AD13">
        <f>Table3[[#This Row],[170 - 265 V]] * $U$11</f>
        <v>490800</v>
      </c>
      <c r="AE13">
        <f>Table3[[#This Row],[160 - 265 V]] * $U$11</f>
        <v>588600</v>
      </c>
    </row>
    <row r="14" spans="11:31" x14ac:dyDescent="0.3">
      <c r="M14" t="s">
        <v>13</v>
      </c>
      <c r="N14" s="1">
        <v>1307000</v>
      </c>
      <c r="O14" s="1">
        <v>1452000</v>
      </c>
      <c r="P14" s="1">
        <v>1539000</v>
      </c>
      <c r="Q14" s="1">
        <v>1624000</v>
      </c>
      <c r="R14" s="1">
        <v>1867000</v>
      </c>
      <c r="S14" s="1">
        <v>2240000</v>
      </c>
      <c r="Y14" t="s">
        <v>13</v>
      </c>
      <c r="Z14">
        <f>Table3[[#This Row],[200 - 260 V]] * $U$11</f>
        <v>392100</v>
      </c>
      <c r="AA14">
        <f>Table3[[#This Row],[195 - 265 V]] * $U$11</f>
        <v>435600</v>
      </c>
      <c r="AB14">
        <f>Table3[[#This Row],[190 - 270 V]] * $U$11</f>
        <v>461700</v>
      </c>
      <c r="AC14">
        <f>Table3[[#This Row],[185 - 275 V]] * $U$11</f>
        <v>487200</v>
      </c>
      <c r="AD14">
        <f>Table3[[#This Row],[170 - 265 V]] * $U$11</f>
        <v>560100</v>
      </c>
      <c r="AE14">
        <f>Table3[[#This Row],[160 - 265 V]] * $U$11</f>
        <v>672000</v>
      </c>
    </row>
    <row r="15" spans="11:31" x14ac:dyDescent="0.3">
      <c r="M15" t="s">
        <v>14</v>
      </c>
      <c r="N15" s="1">
        <v>1539000</v>
      </c>
      <c r="O15" s="1">
        <v>1709000</v>
      </c>
      <c r="P15" s="1">
        <v>1831000</v>
      </c>
      <c r="Q15" s="1">
        <v>1927000</v>
      </c>
      <c r="R15" s="1">
        <v>2218000</v>
      </c>
      <c r="S15" s="1">
        <v>2661000</v>
      </c>
      <c r="Y15" t="s">
        <v>14</v>
      </c>
      <c r="Z15">
        <f>Table3[[#This Row],[200 - 260 V]] * $U$11</f>
        <v>461700</v>
      </c>
      <c r="AA15">
        <f>Table3[[#This Row],[195 - 265 V]] * $U$11</f>
        <v>512700</v>
      </c>
      <c r="AB15">
        <f>Table3[[#This Row],[190 - 270 V]] * $U$11</f>
        <v>549300</v>
      </c>
      <c r="AC15">
        <f>Table3[[#This Row],[185 - 275 V]] * $U$11</f>
        <v>578100</v>
      </c>
      <c r="AD15">
        <f>Table3[[#This Row],[170 - 265 V]] * $U$11</f>
        <v>665400</v>
      </c>
      <c r="AE15">
        <f>Table3[[#This Row],[160 - 265 V]] * $U$11</f>
        <v>798300</v>
      </c>
    </row>
    <row r="16" spans="11:31" x14ac:dyDescent="0.3">
      <c r="M16" t="s">
        <v>15</v>
      </c>
      <c r="N16" s="1">
        <v>1966000</v>
      </c>
      <c r="O16" s="1">
        <v>2163000</v>
      </c>
      <c r="P16" s="1">
        <v>2291000</v>
      </c>
      <c r="Q16" s="1">
        <v>2418000</v>
      </c>
      <c r="R16" s="1">
        <v>2777000</v>
      </c>
      <c r="S16" s="1">
        <v>3330000</v>
      </c>
      <c r="Y16" t="s">
        <v>15</v>
      </c>
      <c r="Z16">
        <f>Table3[[#This Row],[200 - 260 V]] * $U$11</f>
        <v>589800</v>
      </c>
      <c r="AA16">
        <f>Table3[[#This Row],[195 - 265 V]] * $U$11</f>
        <v>648900</v>
      </c>
      <c r="AB16">
        <f>Table3[[#This Row],[190 - 270 V]] * $U$11</f>
        <v>687300</v>
      </c>
      <c r="AC16">
        <f>Table3[[#This Row],[185 - 275 V]] * $U$11</f>
        <v>725400</v>
      </c>
      <c r="AD16">
        <f>Table3[[#This Row],[170 - 265 V]] * $U$11</f>
        <v>833100</v>
      </c>
      <c r="AE16">
        <f>Table3[[#This Row],[160 - 265 V]] * $U$11</f>
        <v>999000</v>
      </c>
    </row>
    <row r="17" spans="13:31" x14ac:dyDescent="0.3">
      <c r="M17" t="s">
        <v>16</v>
      </c>
      <c r="N17" s="1">
        <v>2343000</v>
      </c>
      <c r="O17" s="1">
        <v>2698000</v>
      </c>
      <c r="P17" s="1">
        <v>2889000</v>
      </c>
      <c r="Q17" s="1">
        <v>3087000</v>
      </c>
      <c r="R17" s="1">
        <v>3463000</v>
      </c>
      <c r="S17">
        <v>0</v>
      </c>
      <c r="Y17" t="s">
        <v>16</v>
      </c>
      <c r="Z17">
        <f>Table3[[#This Row],[200 - 260 V]] * $U$11</f>
        <v>702900</v>
      </c>
      <c r="AA17">
        <f>Table3[[#This Row],[195 - 265 V]] * $U$11</f>
        <v>809400</v>
      </c>
      <c r="AB17">
        <f>Table3[[#This Row],[190 - 270 V]] * $U$11</f>
        <v>866700</v>
      </c>
      <c r="AC17">
        <f>Table3[[#This Row],[185 - 275 V]] * $U$11</f>
        <v>926100</v>
      </c>
      <c r="AD17">
        <f>Table3[[#This Row],[170 - 265 V]] * $U$11</f>
        <v>1038900</v>
      </c>
      <c r="AE17">
        <f>Table3[[#This Row],[160 - 265 V]] * $U$11</f>
        <v>0</v>
      </c>
    </row>
    <row r="18" spans="13:31" x14ac:dyDescent="0.3">
      <c r="M18" t="s">
        <v>17</v>
      </c>
      <c r="N18" s="1">
        <v>2821000</v>
      </c>
      <c r="O18" s="1">
        <v>3174000</v>
      </c>
      <c r="P18" s="1">
        <v>3328000</v>
      </c>
      <c r="Q18" s="1">
        <v>3490000</v>
      </c>
      <c r="R18" s="1">
        <v>3844000</v>
      </c>
      <c r="S18">
        <v>0</v>
      </c>
      <c r="Y18" t="s">
        <v>17</v>
      </c>
      <c r="Z18">
        <f>Table3[[#This Row],[200 - 260 V]] * $U$11</f>
        <v>846300</v>
      </c>
      <c r="AA18">
        <f>Table3[[#This Row],[195 - 265 V]] * $U$11</f>
        <v>952200</v>
      </c>
      <c r="AB18">
        <f>Table3[[#This Row],[190 - 270 V]] * $U$11</f>
        <v>998400</v>
      </c>
      <c r="AC18">
        <f>Table3[[#This Row],[185 - 275 V]] * $U$11</f>
        <v>1047000</v>
      </c>
      <c r="AD18">
        <f>Table3[[#This Row],[170 - 265 V]] * $U$11</f>
        <v>1153200</v>
      </c>
      <c r="AE18">
        <f>Table3[[#This Row],[160 - 265 V]] * $U$11</f>
        <v>0</v>
      </c>
    </row>
    <row r="19" spans="13:31" x14ac:dyDescent="0.3">
      <c r="M19" t="s">
        <v>18</v>
      </c>
      <c r="N19" s="1">
        <v>3090000</v>
      </c>
      <c r="O19" s="1">
        <v>3441000</v>
      </c>
      <c r="P19" s="1">
        <v>3628000</v>
      </c>
      <c r="Q19" s="1">
        <v>3819000</v>
      </c>
      <c r="R19" s="1">
        <v>4210000</v>
      </c>
      <c r="S19">
        <v>0</v>
      </c>
      <c r="Y19" t="s">
        <v>18</v>
      </c>
      <c r="Z19">
        <f>Table3[[#This Row],[200 - 260 V]] * $U$11</f>
        <v>927000</v>
      </c>
      <c r="AA19">
        <f>Table3[[#This Row],[195 - 265 V]] * $U$11</f>
        <v>1032300</v>
      </c>
      <c r="AB19">
        <f>Table3[[#This Row],[190 - 270 V]] * $U$11</f>
        <v>1088400</v>
      </c>
      <c r="AC19">
        <f>Table3[[#This Row],[185 - 275 V]] * $U$11</f>
        <v>1145700</v>
      </c>
      <c r="AD19">
        <f>Table3[[#This Row],[170 - 265 V]] * $U$11</f>
        <v>1263000</v>
      </c>
      <c r="AE19">
        <f>Table3[[#This Row],[160 - 265 V]] * $U$11</f>
        <v>0</v>
      </c>
    </row>
    <row r="20" spans="13:31" x14ac:dyDescent="0.3">
      <c r="M20" t="s">
        <v>19</v>
      </c>
      <c r="N20" s="1">
        <v>3357000</v>
      </c>
      <c r="O20" s="1">
        <v>3709000</v>
      </c>
      <c r="P20" s="1">
        <v>3930000</v>
      </c>
      <c r="Q20" s="1">
        <v>4148000</v>
      </c>
      <c r="R20" s="1">
        <v>4575000</v>
      </c>
      <c r="S20">
        <v>0</v>
      </c>
      <c r="Y20" t="s">
        <v>19</v>
      </c>
      <c r="Z20">
        <f>Table3[[#This Row],[200 - 260 V]] * $U$11</f>
        <v>1007100</v>
      </c>
      <c r="AA20">
        <f>Table3[[#This Row],[195 - 265 V]] * $U$11</f>
        <v>1112700</v>
      </c>
      <c r="AB20">
        <f>Table3[[#This Row],[190 - 270 V]] * $U$11</f>
        <v>1179000</v>
      </c>
      <c r="AC20">
        <f>Table3[[#This Row],[185 - 275 V]] * $U$11</f>
        <v>1244400</v>
      </c>
      <c r="AD20">
        <f>Table3[[#This Row],[170 - 265 V]] * $U$11</f>
        <v>1372500</v>
      </c>
      <c r="AE20">
        <f>Table3[[#This Row],[160 - 265 V]] * $U$11</f>
        <v>0</v>
      </c>
    </row>
    <row r="21" spans="13:31" x14ac:dyDescent="0.3">
      <c r="M21" t="s">
        <v>20</v>
      </c>
      <c r="N21" s="1">
        <v>3662000</v>
      </c>
      <c r="O21" s="1">
        <v>4028000</v>
      </c>
      <c r="P21" s="1">
        <v>4210000</v>
      </c>
      <c r="Q21" s="1">
        <v>4392000</v>
      </c>
      <c r="R21" s="1">
        <v>4828000</v>
      </c>
      <c r="S21">
        <v>0</v>
      </c>
      <c r="Y21" t="s">
        <v>20</v>
      </c>
      <c r="Z21">
        <f>Table3[[#This Row],[200 - 260 V]] * $U$11</f>
        <v>1098600</v>
      </c>
      <c r="AA21">
        <f>Table3[[#This Row],[195 - 265 V]] * $U$11</f>
        <v>1208400</v>
      </c>
      <c r="AB21">
        <f>Table3[[#This Row],[190 - 270 V]] * $U$11</f>
        <v>1263000</v>
      </c>
      <c r="AC21">
        <f>Table3[[#This Row],[185 - 275 V]] * $U$11</f>
        <v>1317600</v>
      </c>
      <c r="AD21">
        <f>Table3[[#This Row],[170 - 265 V]] * $U$11</f>
        <v>1448400</v>
      </c>
      <c r="AE21">
        <f>Table3[[#This Row],[160 - 265 V]] * $U$11</f>
        <v>0</v>
      </c>
    </row>
    <row r="22" spans="13:31" x14ac:dyDescent="0.3">
      <c r="M22" t="s">
        <v>21</v>
      </c>
      <c r="N22" s="1">
        <v>4568000</v>
      </c>
      <c r="O22" s="1">
        <v>5029000</v>
      </c>
      <c r="P22" s="1">
        <v>5274000</v>
      </c>
      <c r="Q22" s="1">
        <v>5517000</v>
      </c>
      <c r="R22" s="1">
        <v>6139000</v>
      </c>
      <c r="S22">
        <v>0</v>
      </c>
      <c r="Y22" t="s">
        <v>21</v>
      </c>
      <c r="Z22">
        <f>Table3[[#This Row],[200 - 260 V]] * $U$11</f>
        <v>1370400</v>
      </c>
      <c r="AA22">
        <f>Table3[[#This Row],[195 - 265 V]] * $U$11</f>
        <v>1508700</v>
      </c>
      <c r="AB22">
        <f>Table3[[#This Row],[190 - 270 V]] * $U$11</f>
        <v>1582200</v>
      </c>
      <c r="AC22">
        <f>Table3[[#This Row],[185 - 275 V]] * $U$11</f>
        <v>1655100</v>
      </c>
      <c r="AD22">
        <f>Table3[[#This Row],[170 - 265 V]] * $U$11</f>
        <v>1841700</v>
      </c>
      <c r="AE22">
        <f>Table3[[#This Row],[160 - 265 V]] * $U$11</f>
        <v>0</v>
      </c>
    </row>
    <row r="23" spans="13:31" x14ac:dyDescent="0.3">
      <c r="M23" t="s">
        <v>22</v>
      </c>
      <c r="N23" s="1">
        <v>5205000</v>
      </c>
      <c r="O23" s="1">
        <v>5724000</v>
      </c>
      <c r="P23" s="1">
        <v>6014000</v>
      </c>
      <c r="Q23" s="1">
        <v>6297000</v>
      </c>
      <c r="R23" s="1">
        <v>7035000</v>
      </c>
      <c r="S23">
        <v>0</v>
      </c>
      <c r="Y23" t="s">
        <v>22</v>
      </c>
      <c r="Z23">
        <f>Table3[[#This Row],[200 - 260 V]] * $U$11</f>
        <v>1561500</v>
      </c>
      <c r="AA23">
        <f>Table3[[#This Row],[195 - 265 V]] * $U$11</f>
        <v>1717200</v>
      </c>
      <c r="AB23">
        <f>Table3[[#This Row],[190 - 270 V]] * $U$11</f>
        <v>1804200</v>
      </c>
      <c r="AC23">
        <f>Table3[[#This Row],[185 - 275 V]] * $U$11</f>
        <v>1889100</v>
      </c>
      <c r="AD23">
        <f>Table3[[#This Row],[170 - 265 V]] * $U$11</f>
        <v>2110500</v>
      </c>
      <c r="AE23">
        <f>Table3[[#This Row],[160 - 265 V]] * $U$11</f>
        <v>0</v>
      </c>
    </row>
  </sheetData>
  <dataValidations count="2">
    <dataValidation type="list" allowBlank="1" showInputMessage="1" showErrorMessage="1" sqref="J2" xr:uid="{B37FE444-183F-49EB-8FE8-6F71432C7C6B}">
      <formula1>$K$2:$K$10</formula1>
    </dataValidation>
    <dataValidation type="list" allowBlank="1" showInputMessage="1" showErrorMessage="1" sqref="U11" xr:uid="{D34CA507-87D2-4AC7-B221-5DF6F21D8BB3}">
      <formula1>$U$2:$U$5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siddhant mishra</cp:lastModifiedBy>
  <dcterms:created xsi:type="dcterms:W3CDTF">2026-02-01T13:07:19Z</dcterms:created>
  <dcterms:modified xsi:type="dcterms:W3CDTF">2026-09-29T10:13:44Z</dcterms:modified>
</cp:coreProperties>
</file>