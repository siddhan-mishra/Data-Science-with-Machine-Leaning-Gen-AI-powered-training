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iddh\Desktop\Codepro\Upgrad classes\Excel classes\class 23 Tasks\"/>
    </mc:Choice>
  </mc:AlternateContent>
  <xr:revisionPtr revIDLastSave="0" documentId="13_ncr:1_{5F147864-FD60-4A07-A670-7A7F13A1B1F3}" xr6:coauthVersionLast="47" xr6:coauthVersionMax="47" xr10:uidLastSave="{00000000-0000-0000-0000-000000000000}"/>
  <bookViews>
    <workbookView xWindow="-96" yWindow="0" windowWidth="15084" windowHeight="13056" xr2:uid="{BA44CE9A-29A7-48B7-8579-F97E326B652B}"/>
  </bookViews>
  <sheets>
    <sheet name="Sales 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1" i="1" l="1"/>
  <c r="L10" i="1"/>
  <c r="I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L12" i="1"/>
  <c r="L9" i="1"/>
  <c r="L7" i="1"/>
  <c r="L4" i="1"/>
  <c r="L3" i="1"/>
</calcChain>
</file>

<file path=xl/sharedStrings.xml><?xml version="1.0" encoding="utf-8"?>
<sst xmlns="http://schemas.openxmlformats.org/spreadsheetml/2006/main" count="65" uniqueCount="37">
  <si>
    <t>OrderID</t>
  </si>
  <si>
    <t>OrderDate</t>
  </si>
  <si>
    <t>Product</t>
  </si>
  <si>
    <t>Category</t>
  </si>
  <si>
    <t>Region</t>
  </si>
  <si>
    <t>Amount</t>
  </si>
  <si>
    <t>Quantity</t>
  </si>
  <si>
    <t>CustomerID</t>
  </si>
  <si>
    <t>Laptop</t>
  </si>
  <si>
    <t>Electronics</t>
  </si>
  <si>
    <t>North</t>
  </si>
  <si>
    <t>C001</t>
  </si>
  <si>
    <t>Mouse</t>
  </si>
  <si>
    <t>South</t>
  </si>
  <si>
    <t>C002</t>
  </si>
  <si>
    <t>Desk</t>
  </si>
  <si>
    <t>Furniture</t>
  </si>
  <si>
    <t>East</t>
  </si>
  <si>
    <t>C003</t>
  </si>
  <si>
    <t>Monitor</t>
  </si>
  <si>
    <t>West</t>
  </si>
  <si>
    <t>C004</t>
  </si>
  <si>
    <t>Chair</t>
  </si>
  <si>
    <t>C005</t>
  </si>
  <si>
    <t>Keyboard</t>
  </si>
  <si>
    <t>C006</t>
  </si>
  <si>
    <t>Tablet</t>
  </si>
  <si>
    <t>C007</t>
  </si>
  <si>
    <t>Sofa</t>
  </si>
  <si>
    <t>C008</t>
  </si>
  <si>
    <t>C009</t>
  </si>
  <si>
    <t>C010</t>
  </si>
  <si>
    <t>C011</t>
  </si>
  <si>
    <t>C012</t>
  </si>
  <si>
    <t>C013</t>
  </si>
  <si>
    <t>C014</t>
  </si>
  <si>
    <t>Month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</si>
</sst>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&quot;₹&quot;\ #,##0.00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165" fontId="0" fillId="0" borderId="0" xfId="0" applyNumberFormat="1"/>
    <xf numFmtId="0" fontId="16" fillId="0" borderId="0" xfId="0" applyFont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3">
    <dxf>
      <numFmt numFmtId="0" formatCode="General"/>
    </dxf>
    <dxf>
      <numFmt numFmtId="165" formatCode="&quot;₹&quot;\ #,##0.00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5EA72B5-1CD8-499E-B03A-C1ACB6839ED6}" name="Table1" displayName="Table1" ref="A1:I15" totalsRowShown="0">
  <autoFilter ref="A1:I15" xr:uid="{D5EA72B5-1CD8-499E-B03A-C1ACB6839ED6}"/>
  <sortState xmlns:xlrd2="http://schemas.microsoft.com/office/spreadsheetml/2017/richdata2" ref="A2:H15">
    <sortCondition ref="B2:B15"/>
  </sortState>
  <tableColumns count="9">
    <tableColumn id="1" xr3:uid="{22FA97F7-726D-4F69-BB2B-AE607D329968}" name="OrderID"/>
    <tableColumn id="2" xr3:uid="{EE75F02F-A741-4510-B3F2-2A715A90D763}" name="OrderDate" dataDxfId="2"/>
    <tableColumn id="3" xr3:uid="{015214F9-5B6C-4DDA-AA1E-469AE8137BD9}" name="Product"/>
    <tableColumn id="4" xr3:uid="{6770E9F5-5A28-49B3-9C8D-1715A6FCF6E3}" name="Category"/>
    <tableColumn id="5" xr3:uid="{A717B77A-ED64-4AF9-A290-0B29F90ECE9A}" name="Region"/>
    <tableColumn id="6" xr3:uid="{2629213B-EB85-4157-BD22-7127BB8B1D8B}" name="Amount" dataDxfId="1"/>
    <tableColumn id="7" xr3:uid="{6148150A-2AAD-42A8-B672-E0F096490EA8}" name="Quantity"/>
    <tableColumn id="8" xr3:uid="{FC3003A8-437A-4423-8E94-8A92E1D1D681}" name="CustomerID"/>
    <tableColumn id="9" xr3:uid="{55668C60-BEF3-4298-BF2C-25D9D7462BBC}" name="Month" dataDxfId="0">
      <calculatedColumnFormula>TEXT(Table1[[#This Row],[OrderDate]],"mmm")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154331-1AED-4926-85A2-566CAE8414C6}">
  <dimension ref="A1:L15"/>
  <sheetViews>
    <sheetView tabSelected="1" topLeftCell="B1" workbookViewId="0">
      <pane ySplit="1" topLeftCell="A2" activePane="bottomLeft" state="frozen"/>
      <selection pane="bottomLeft" activeCell="L12" sqref="L12"/>
    </sheetView>
  </sheetViews>
  <sheetFormatPr defaultRowHeight="14.4" x14ac:dyDescent="0.3"/>
  <cols>
    <col min="1" max="1" width="9.44140625" customWidth="1"/>
    <col min="2" max="2" width="21.77734375" customWidth="1"/>
    <col min="3" max="3" width="9.44140625" customWidth="1"/>
    <col min="4" max="4" width="10.21875" customWidth="1"/>
    <col min="6" max="6" width="9.33203125" customWidth="1"/>
    <col min="7" max="7" width="10" customWidth="1"/>
    <col min="8" max="8" width="12.77734375" customWidth="1"/>
    <col min="10" max="10" width="8.21875" customWidth="1"/>
    <col min="11" max="12" width="9.44140625" bestFit="1" customWidth="1"/>
  </cols>
  <sheetData>
    <row r="1" spans="1:12" x14ac:dyDescent="0.3">
      <c r="A1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36</v>
      </c>
    </row>
    <row r="2" spans="1:12" x14ac:dyDescent="0.3">
      <c r="A2">
        <v>1001</v>
      </c>
      <c r="B2" s="1">
        <v>44941</v>
      </c>
      <c r="C2" t="s">
        <v>8</v>
      </c>
      <c r="D2" t="s">
        <v>9</v>
      </c>
      <c r="E2" t="s">
        <v>10</v>
      </c>
      <c r="F2" s="2">
        <v>1200</v>
      </c>
      <c r="G2">
        <v>1</v>
      </c>
      <c r="H2" t="s">
        <v>11</v>
      </c>
      <c r="I2" t="str">
        <f>TEXT(Table1[[#This Row],[OrderDate]],"mmm")</f>
        <v>Jan</v>
      </c>
    </row>
    <row r="3" spans="1:12" x14ac:dyDescent="0.3">
      <c r="A3">
        <v>1002</v>
      </c>
      <c r="B3" s="1">
        <v>44977</v>
      </c>
      <c r="C3" t="s">
        <v>12</v>
      </c>
      <c r="D3" t="s">
        <v>9</v>
      </c>
      <c r="E3" t="s">
        <v>13</v>
      </c>
      <c r="F3" s="2">
        <v>50</v>
      </c>
      <c r="G3">
        <v>2</v>
      </c>
      <c r="H3" t="s">
        <v>14</v>
      </c>
      <c r="I3" t="str">
        <f>TEXT(Table1[[#This Row],[OrderDate]],"mmm")</f>
        <v>Feb</v>
      </c>
      <c r="L3">
        <f>COUNT(A2:A15)</f>
        <v>14</v>
      </c>
    </row>
    <row r="4" spans="1:12" x14ac:dyDescent="0.3">
      <c r="A4">
        <v>1003</v>
      </c>
      <c r="B4" s="1">
        <v>44995</v>
      </c>
      <c r="C4" t="s">
        <v>15</v>
      </c>
      <c r="D4" t="s">
        <v>16</v>
      </c>
      <c r="E4" t="s">
        <v>17</v>
      </c>
      <c r="F4" s="2">
        <v>300</v>
      </c>
      <c r="G4">
        <v>1</v>
      </c>
      <c r="H4" t="s">
        <v>18</v>
      </c>
      <c r="I4" t="str">
        <f>TEXT(Table1[[#This Row],[OrderDate]],"mmm")</f>
        <v>Mar</v>
      </c>
      <c r="L4">
        <f>MAX(F2:F15)</f>
        <v>1200</v>
      </c>
    </row>
    <row r="5" spans="1:12" x14ac:dyDescent="0.3">
      <c r="A5">
        <v>1004</v>
      </c>
      <c r="B5" s="1">
        <v>45021</v>
      </c>
      <c r="C5" t="s">
        <v>19</v>
      </c>
      <c r="D5" t="s">
        <v>9</v>
      </c>
      <c r="E5" t="s">
        <v>20</v>
      </c>
      <c r="F5" s="2">
        <v>400</v>
      </c>
      <c r="G5">
        <v>1</v>
      </c>
      <c r="H5" t="s">
        <v>21</v>
      </c>
      <c r="I5" t="str">
        <f>TEXT(Table1[[#This Row],[OrderDate]],"mmm")</f>
        <v>Apr</v>
      </c>
    </row>
    <row r="6" spans="1:12" x14ac:dyDescent="0.3">
      <c r="A6">
        <v>1005</v>
      </c>
      <c r="B6" s="1">
        <v>45058</v>
      </c>
      <c r="C6" t="s">
        <v>22</v>
      </c>
      <c r="D6" t="s">
        <v>16</v>
      </c>
      <c r="E6" t="s">
        <v>10</v>
      </c>
      <c r="F6" s="2">
        <v>150</v>
      </c>
      <c r="G6">
        <v>2</v>
      </c>
      <c r="H6" t="s">
        <v>23</v>
      </c>
      <c r="I6" t="str">
        <f>TEXT(Table1[[#This Row],[OrderDate]],"mmm")</f>
        <v>May</v>
      </c>
    </row>
    <row r="7" spans="1:12" x14ac:dyDescent="0.3">
      <c r="A7">
        <v>1006</v>
      </c>
      <c r="B7" s="1">
        <v>45095</v>
      </c>
      <c r="C7" t="s">
        <v>24</v>
      </c>
      <c r="D7" t="s">
        <v>9</v>
      </c>
      <c r="E7" t="s">
        <v>13</v>
      </c>
      <c r="F7" s="2">
        <v>80</v>
      </c>
      <c r="G7">
        <v>1</v>
      </c>
      <c r="H7" t="s">
        <v>25</v>
      </c>
      <c r="I7" t="str">
        <f>TEXT(Table1[[#This Row],[OrderDate]],"mmm")</f>
        <v>Jun</v>
      </c>
      <c r="L7">
        <f>SUM(Table1[Quantity])</f>
        <v>19</v>
      </c>
    </row>
    <row r="8" spans="1:12" x14ac:dyDescent="0.3">
      <c r="A8">
        <v>1007</v>
      </c>
      <c r="B8" s="1">
        <v>45129</v>
      </c>
      <c r="C8" t="s">
        <v>26</v>
      </c>
      <c r="D8" t="s">
        <v>9</v>
      </c>
      <c r="E8" t="s">
        <v>17</v>
      </c>
      <c r="F8" s="2">
        <v>600</v>
      </c>
      <c r="G8">
        <v>1</v>
      </c>
      <c r="H8" t="s">
        <v>27</v>
      </c>
      <c r="I8" t="str">
        <f>TEXT(Table1[[#This Row],[OrderDate]],"mmm")</f>
        <v>Jul</v>
      </c>
    </row>
    <row r="9" spans="1:12" x14ac:dyDescent="0.3">
      <c r="A9">
        <v>1008</v>
      </c>
      <c r="B9" s="1">
        <v>45168</v>
      </c>
      <c r="C9" t="s">
        <v>28</v>
      </c>
      <c r="D9" t="s">
        <v>16</v>
      </c>
      <c r="E9" t="s">
        <v>20</v>
      </c>
      <c r="F9" s="2">
        <v>1000</v>
      </c>
      <c r="G9">
        <v>1</v>
      </c>
      <c r="H9" t="s">
        <v>29</v>
      </c>
      <c r="I9" t="str">
        <f>TEXT(Table1[[#This Row],[OrderDate]],"mmm")</f>
        <v>Aug</v>
      </c>
      <c r="L9">
        <f>AVERAGE(Table1[Amount])</f>
        <v>426.78571428571428</v>
      </c>
    </row>
    <row r="10" spans="1:12" x14ac:dyDescent="0.3">
      <c r="A10">
        <v>1009</v>
      </c>
      <c r="B10" s="1">
        <v>45183</v>
      </c>
      <c r="C10" t="s">
        <v>8</v>
      </c>
      <c r="D10" t="s">
        <v>9</v>
      </c>
      <c r="E10" t="s">
        <v>10</v>
      </c>
      <c r="F10" s="2">
        <v>1100</v>
      </c>
      <c r="G10">
        <v>1</v>
      </c>
      <c r="H10" t="s">
        <v>30</v>
      </c>
      <c r="I10" t="str">
        <f>TEXT(Table1[[#This Row],[OrderDate]],"mmm")</f>
        <v>Sep</v>
      </c>
      <c r="L10" s="2">
        <f>SUM(Table1[Amount])</f>
        <v>5975</v>
      </c>
    </row>
    <row r="11" spans="1:12" x14ac:dyDescent="0.3">
      <c r="A11">
        <v>1010</v>
      </c>
      <c r="B11" s="1">
        <v>45224</v>
      </c>
      <c r="C11" t="s">
        <v>12</v>
      </c>
      <c r="D11" t="s">
        <v>9</v>
      </c>
      <c r="E11" t="s">
        <v>13</v>
      </c>
      <c r="F11" s="2">
        <v>45</v>
      </c>
      <c r="G11">
        <v>3</v>
      </c>
      <c r="H11" t="s">
        <v>31</v>
      </c>
      <c r="I11" t="str">
        <f>TEXT(Table1[[#This Row],[OrderDate]],"mmm")</f>
        <v>Oct</v>
      </c>
      <c r="L11" t="e">
        <f>_xlfn.MODE.SNGL(Table1[Product])</f>
        <v>#N/A</v>
      </c>
    </row>
    <row r="12" spans="1:12" x14ac:dyDescent="0.3">
      <c r="A12">
        <v>1011</v>
      </c>
      <c r="B12" s="1">
        <v>45238</v>
      </c>
      <c r="C12" t="s">
        <v>15</v>
      </c>
      <c r="D12" t="s">
        <v>16</v>
      </c>
      <c r="E12" t="s">
        <v>17</v>
      </c>
      <c r="F12" s="2">
        <v>350</v>
      </c>
      <c r="G12">
        <v>1</v>
      </c>
      <c r="H12" t="s">
        <v>32</v>
      </c>
      <c r="I12" t="str">
        <f>TEXT(Table1[[#This Row],[OrderDate]],"mmm")</f>
        <v>Nov</v>
      </c>
      <c r="L12">
        <f>COUNTIF(Table1[Region],"north")</f>
        <v>4</v>
      </c>
    </row>
    <row r="13" spans="1:12" x14ac:dyDescent="0.3">
      <c r="A13">
        <v>1012</v>
      </c>
      <c r="B13" s="1">
        <v>45280</v>
      </c>
      <c r="C13" t="s">
        <v>19</v>
      </c>
      <c r="D13" t="s">
        <v>9</v>
      </c>
      <c r="E13" t="s">
        <v>20</v>
      </c>
      <c r="F13" s="2">
        <v>450</v>
      </c>
      <c r="G13">
        <v>1</v>
      </c>
      <c r="H13" t="s">
        <v>33</v>
      </c>
      <c r="I13" t="str">
        <f>TEXT(Table1[[#This Row],[OrderDate]],"mmm")</f>
        <v>Dec</v>
      </c>
    </row>
    <row r="14" spans="1:12" x14ac:dyDescent="0.3">
      <c r="A14">
        <v>1013</v>
      </c>
      <c r="B14" s="1">
        <v>45301</v>
      </c>
      <c r="C14" t="s">
        <v>22</v>
      </c>
      <c r="D14" t="s">
        <v>16</v>
      </c>
      <c r="E14" t="s">
        <v>10</v>
      </c>
      <c r="F14" s="2">
        <v>160</v>
      </c>
      <c r="G14">
        <v>2</v>
      </c>
      <c r="H14" t="s">
        <v>34</v>
      </c>
      <c r="I14" t="str">
        <f>TEXT(Table1[[#This Row],[OrderDate]],"mmm")</f>
        <v>Jan</v>
      </c>
    </row>
    <row r="15" spans="1:12" x14ac:dyDescent="0.3">
      <c r="A15">
        <v>1014</v>
      </c>
      <c r="B15" s="1">
        <v>45337</v>
      </c>
      <c r="C15" t="s">
        <v>24</v>
      </c>
      <c r="D15" t="s">
        <v>9</v>
      </c>
      <c r="E15" t="s">
        <v>13</v>
      </c>
      <c r="F15" s="2">
        <v>90</v>
      </c>
      <c r="G15">
        <v>1</v>
      </c>
      <c r="H15" t="s">
        <v>35</v>
      </c>
      <c r="I15" t="str">
        <f>TEXT(Table1[[#This Row],[OrderDate]],"mmm")</f>
        <v>Feb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siddhant mishra</cp:lastModifiedBy>
  <dcterms:created xsi:type="dcterms:W3CDTF">2026-07-10T09:57:20Z</dcterms:created>
  <dcterms:modified xsi:type="dcterms:W3CDTF">2026-09-29T18:38:05Z</dcterms:modified>
</cp:coreProperties>
</file>