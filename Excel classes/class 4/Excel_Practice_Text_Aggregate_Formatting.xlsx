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4\"/>
    </mc:Choice>
  </mc:AlternateContent>
  <xr:revisionPtr revIDLastSave="0" documentId="13_ncr:1_{04F95400-795D-4C17-8044-61C281AAFD4C}" xr6:coauthVersionLast="47" xr6:coauthVersionMax="47" xr10:uidLastSave="{00000000-0000-0000-0000-000000000000}"/>
  <bookViews>
    <workbookView xWindow="-108" yWindow="-108" windowWidth="23256" windowHeight="13176" tabRatio="500" firstSheet="3" activeTab="5" xr2:uid="{00000000-000D-0000-FFFF-FFFF00000000}"/>
  </bookViews>
  <sheets>
    <sheet name="Instructions" sheetId="1" r:id="rId1"/>
    <sheet name="Raw Data" sheetId="2" r:id="rId2"/>
    <sheet name="Text Functions Practice" sheetId="3" r:id="rId3"/>
    <sheet name="Aggregate Functions Practice" sheetId="4" r:id="rId4"/>
    <sheet name="Conditional Formatting" sheetId="5" r:id="rId5"/>
    <sheet name="Dashboard" sheetId="6" r:id="rId6"/>
  </sheets>
  <definedNames>
    <definedName name="_xlnm._FilterDatabase" localSheetId="1" hidden="1">'Raw Data'!$A$1:$J$53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4" l="1"/>
  <c r="C23" i="4"/>
  <c r="C9" i="6"/>
  <c r="C7" i="6"/>
  <c r="B93" i="5"/>
  <c r="C17" i="4"/>
  <c r="C16" i="4"/>
  <c r="C15" i="4"/>
  <c r="C14" i="4"/>
  <c r="C13" i="4"/>
  <c r="C12" i="4"/>
  <c r="C11" i="4"/>
  <c r="B86" i="3"/>
  <c r="C86" i="3" s="1"/>
  <c r="C107" i="3"/>
  <c r="F15" i="6" l="1"/>
  <c r="C15" i="6"/>
  <c r="F14" i="6"/>
  <c r="C14" i="6"/>
  <c r="F13" i="6"/>
  <c r="C13" i="6"/>
  <c r="F12" i="6"/>
  <c r="C12" i="6"/>
  <c r="F11" i="6"/>
  <c r="C11" i="6"/>
  <c r="F10" i="6"/>
  <c r="C10" i="6"/>
  <c r="F9" i="6"/>
  <c r="F8" i="6"/>
  <c r="C8" i="6"/>
  <c r="F131" i="5"/>
  <c r="E131" i="5"/>
  <c r="D131" i="5"/>
  <c r="C131" i="5"/>
  <c r="B131" i="5"/>
  <c r="A131" i="5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97" i="5"/>
  <c r="A97" i="5"/>
  <c r="B96" i="5"/>
  <c r="A96" i="5"/>
  <c r="B95" i="5"/>
  <c r="A95" i="5"/>
  <c r="B94" i="5"/>
  <c r="A94" i="5"/>
  <c r="A93" i="5"/>
  <c r="B92" i="5"/>
  <c r="A92" i="5"/>
  <c r="B91" i="5"/>
  <c r="A91" i="5"/>
  <c r="B90" i="5"/>
  <c r="A90" i="5"/>
  <c r="B89" i="5"/>
  <c r="A89" i="5"/>
  <c r="B88" i="5"/>
  <c r="A88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6" i="3"/>
  <c r="C116" i="3"/>
  <c r="B116" i="3"/>
  <c r="E116" i="3" s="1"/>
  <c r="D115" i="3"/>
  <c r="C115" i="3"/>
  <c r="B115" i="3"/>
  <c r="D114" i="3"/>
  <c r="C114" i="3"/>
  <c r="B114" i="3"/>
  <c r="D113" i="3"/>
  <c r="C113" i="3"/>
  <c r="B113" i="3"/>
  <c r="D112" i="3"/>
  <c r="C112" i="3"/>
  <c r="B112" i="3"/>
  <c r="E112" i="3" s="1"/>
  <c r="B107" i="3"/>
  <c r="C106" i="3" s="1"/>
  <c r="B106" i="3"/>
  <c r="B105" i="3"/>
  <c r="B104" i="3"/>
  <c r="D103" i="3"/>
  <c r="B103" i="3"/>
  <c r="B98" i="3"/>
  <c r="C98" i="3" s="1"/>
  <c r="B97" i="3"/>
  <c r="C97" i="3" s="1"/>
  <c r="B96" i="3"/>
  <c r="C96" i="3" s="1"/>
  <c r="B95" i="3"/>
  <c r="C95" i="3" s="1"/>
  <c r="B94" i="3"/>
  <c r="C94" i="3" s="1"/>
  <c r="B89" i="3"/>
  <c r="C89" i="3" s="1"/>
  <c r="B88" i="3"/>
  <c r="C88" i="3" s="1"/>
  <c r="B87" i="3"/>
  <c r="C87" i="3" s="1"/>
  <c r="B85" i="3"/>
  <c r="C85" i="3" s="1"/>
  <c r="B80" i="3"/>
  <c r="C80" i="3" s="1"/>
  <c r="B79" i="3"/>
  <c r="C79" i="3" s="1"/>
  <c r="B78" i="3"/>
  <c r="C78" i="3" s="1"/>
  <c r="B77" i="3"/>
  <c r="C77" i="3" s="1"/>
  <c r="B76" i="3"/>
  <c r="C76" i="3" s="1"/>
  <c r="C71" i="3"/>
  <c r="B71" i="3"/>
  <c r="C70" i="3"/>
  <c r="B70" i="3"/>
  <c r="C69" i="3"/>
  <c r="B69" i="3"/>
  <c r="C68" i="3"/>
  <c r="B68" i="3"/>
  <c r="C67" i="3"/>
  <c r="B67" i="3"/>
  <c r="B62" i="3"/>
  <c r="C62" i="3" s="1"/>
  <c r="B61" i="3"/>
  <c r="C61" i="3" s="1"/>
  <c r="B60" i="3"/>
  <c r="C60" i="3" s="1"/>
  <c r="B59" i="3"/>
  <c r="C59" i="3" s="1"/>
  <c r="B58" i="3"/>
  <c r="C58" i="3" s="1"/>
  <c r="B53" i="3"/>
  <c r="C53" i="3" s="1"/>
  <c r="B52" i="3"/>
  <c r="C52" i="3" s="1"/>
  <c r="B51" i="3"/>
  <c r="C51" i="3" s="1"/>
  <c r="B50" i="3"/>
  <c r="C50" i="3" s="1"/>
  <c r="B49" i="3"/>
  <c r="C49" i="3" s="1"/>
  <c r="B44" i="3"/>
  <c r="C44" i="3" s="1"/>
  <c r="B43" i="3"/>
  <c r="C43" i="3" s="1"/>
  <c r="B42" i="3"/>
  <c r="C42" i="3" s="1"/>
  <c r="B41" i="3"/>
  <c r="C41" i="3" s="1"/>
  <c r="B40" i="3"/>
  <c r="C40" i="3" s="1"/>
  <c r="B35" i="3"/>
  <c r="C35" i="3" s="1"/>
  <c r="B34" i="3"/>
  <c r="C34" i="3" s="1"/>
  <c r="B33" i="3"/>
  <c r="C33" i="3" s="1"/>
  <c r="B32" i="3"/>
  <c r="C32" i="3" s="1"/>
  <c r="B31" i="3"/>
  <c r="C31" i="3" s="1"/>
  <c r="B26" i="3"/>
  <c r="C26" i="3" s="1"/>
  <c r="B25" i="3"/>
  <c r="C25" i="3" s="1"/>
  <c r="B24" i="3"/>
  <c r="C24" i="3" s="1"/>
  <c r="B23" i="3"/>
  <c r="C23" i="3" s="1"/>
  <c r="B22" i="3"/>
  <c r="C22" i="3" s="1"/>
  <c r="B17" i="3"/>
  <c r="C17" i="3" s="1"/>
  <c r="B16" i="3"/>
  <c r="C16" i="3" s="1"/>
  <c r="B15" i="3"/>
  <c r="C15" i="3" s="1"/>
  <c r="B14" i="3"/>
  <c r="C14" i="3" s="1"/>
  <c r="B13" i="3"/>
  <c r="C13" i="3" s="1"/>
  <c r="D68" i="3" l="1"/>
  <c r="D70" i="3"/>
  <c r="D104" i="3"/>
  <c r="C103" i="3"/>
  <c r="D107" i="3"/>
  <c r="E113" i="3"/>
  <c r="D67" i="3"/>
  <c r="D69" i="3"/>
  <c r="D71" i="3"/>
  <c r="D106" i="3"/>
  <c r="C105" i="3"/>
  <c r="E115" i="3"/>
  <c r="D105" i="3"/>
  <c r="C104" i="3"/>
  <c r="E114" i="3"/>
</calcChain>
</file>

<file path=xl/sharedStrings.xml><?xml version="1.0" encoding="utf-8"?>
<sst xmlns="http://schemas.openxmlformats.org/spreadsheetml/2006/main" count="498" uniqueCount="296">
  <si>
    <t>Excel Practice Workbook: Text Functions, Aggregate Functions &amp; Conditional Formatting</t>
  </si>
  <si>
    <t>📘 Welcome</t>
  </si>
  <si>
    <t>This workbook is designed to help you practice three essential Excel skill areas: Text Functions, Aggregate Functions, and Conditional Formatting. Work through each sheet in order, complete the highlighted task cells, and compare your answers with the reference solutions provided.</t>
  </si>
  <si>
    <t>🎯 Learning Objectives</t>
  </si>
  <si>
    <t>•  Manipulate and extract text using LEFT, RIGHT, MID, LEN, FIND/SEARCH, TRIM, SUBSTITUTE, REPLACE.</t>
  </si>
  <si>
    <t>•  Combine text using CONCAT and TEXTJOIN, and change case using UPPER, LOWER, PROPER.</t>
  </si>
  <si>
    <t>•  Summarize numeric data using SUM, AVERAGE, COUNT, COUNTA, MAX, and MIN.</t>
  </si>
  <si>
    <t>•  Apply Conditional Formatting rules: color scales, data bars, icon sets, and highlight rules (above/below average, duplicates, blanks, specific text, Top 10 / Bottom 10).</t>
  </si>
  <si>
    <t>•  Build a simple Dashboard that pulls key metrics from raw data using live formulas.</t>
  </si>
  <si>
    <t>🗂️ Workbook Structure</t>
  </si>
  <si>
    <t>▪  Instructions — This sheet — overview, objectives, and how to use the workbook.</t>
  </si>
  <si>
    <t>▪  Raw Data — 52 rows of sample student data used throughout all practice sheets. Do not edit this sheet.</t>
  </si>
  <si>
    <t>▪  Text Functions Practice — 8 guided tasks on text manipulation, referencing the Raw Data sheet.</t>
  </si>
  <si>
    <t>▪  Aggregate Functions Practice — 6 guided tasks on SUM/AVERAGE/COUNT/MAX/MIN plus grouped analysis.</t>
  </si>
  <si>
    <t>▪  Conditional Formatting — 8 guided tasks applying visual formatting rules to the score data.</t>
  </si>
  <si>
    <t>▪  Dashboard — A summary dashboard that pulls key metrics live from the Raw Data using formulas.</t>
  </si>
  <si>
    <t>✅ How to Complete the Exercises</t>
  </si>
  <si>
    <t>•  Each practice sheet has a blue instruction box at the top — read it before starting.</t>
  </si>
  <si>
    <t>•  Yellow cells labeled 'TASK' are where you type your own formula.</t>
  </si>
  <si>
    <t>•  A light-gray 'Suggested Solution' column/section is provided to the right (or below) each task — try the task yourself first before checking it!</t>
  </si>
  <si>
    <t>•  Formulas reference the 'Raw Data' sheet — use cell references like 'Raw Data'!B2, not typed values.</t>
  </si>
  <si>
    <t>•  The header row on each sheet is frozen so column titles stay visible as you scroll.</t>
  </si>
  <si>
    <t>🏁 Difficulty Guide</t>
  </si>
  <si>
    <t>🟢 Beginner   🟡 Intermediate   🔴 Challenge — each task is labeled so you can gauge your progress.</t>
  </si>
  <si>
    <t>Good luck, and have fun exploring Excel! Start with the 'Raw Data' sheet to familiarize yourself with the dataset, then move on to 'Text Functions Practice'.</t>
  </si>
  <si>
    <t>Student ID</t>
  </si>
  <si>
    <t>Full Name</t>
  </si>
  <si>
    <t>Email</t>
  </si>
  <si>
    <t>Course</t>
  </si>
  <si>
    <t>Score1</t>
  </si>
  <si>
    <t>Score2</t>
  </si>
  <si>
    <t>Score3</t>
  </si>
  <si>
    <t>Enrollment Date</t>
  </si>
  <si>
    <t>Status</t>
  </si>
  <si>
    <t>Notes</t>
  </si>
  <si>
    <t>STU1001</t>
  </si>
  <si>
    <t>Suresh Nair</t>
  </si>
  <si>
    <t>suresh.nair1@gmail.com</t>
  </si>
  <si>
    <t>Machine Learning Basics</t>
  </si>
  <si>
    <t>Active</t>
  </si>
  <si>
    <t>On track for certification</t>
  </si>
  <si>
    <t>STU1002</t>
  </si>
  <si>
    <t>Gaurav Patel</t>
  </si>
  <si>
    <t>gaurav.patel2@learnhub.org</t>
  </si>
  <si>
    <t>Power BI Essentials</t>
  </si>
  <si>
    <t>Great participation in class</t>
  </si>
  <si>
    <t>STU1003</t>
  </si>
  <si>
    <t>Ishita Naidu</t>
  </si>
  <si>
    <t>ishita.naidu3@outlook.com</t>
  </si>
  <si>
    <t>Completed</t>
  </si>
  <si>
    <t>Needs support with formulas</t>
  </si>
  <si>
    <t>STU1004</t>
  </si>
  <si>
    <t>Alok Mehta</t>
  </si>
  <si>
    <t>alok.mehta4@yahoo.com</t>
  </si>
  <si>
    <t>SQL for Data Analysis</t>
  </si>
  <si>
    <t>Excellent progress</t>
  </si>
  <si>
    <t>STU1005</t>
  </si>
  <si>
    <t>Kabir Reddy</t>
  </si>
  <si>
    <t>kabir.reddy5@upgrad.edu</t>
  </si>
  <si>
    <t>STU1006</t>
  </si>
  <si>
    <t>Kabir Patel</t>
  </si>
  <si>
    <t>kabir.patel6@learnhub.org</t>
  </si>
  <si>
    <t>STU1007</t>
  </si>
  <si>
    <t>Vikram Gupta</t>
  </si>
  <si>
    <t>vikram.gupta7@outlook.com</t>
  </si>
  <si>
    <t>STU1008</t>
  </si>
  <si>
    <t>Suresh Desai</t>
  </si>
  <si>
    <t>suresh.desai8@outlook.com</t>
  </si>
  <si>
    <t>Struggling with syntax</t>
  </si>
  <si>
    <t>STU1009</t>
  </si>
  <si>
    <t>Komal Kumar</t>
  </si>
  <si>
    <t>komal.kumar9@learnhub.org</t>
  </si>
  <si>
    <t>Python for Analytics</t>
  </si>
  <si>
    <t>Strong performer</t>
  </si>
  <si>
    <t>STU1010</t>
  </si>
  <si>
    <t>Suresh Khanna</t>
  </si>
  <si>
    <t>suresh.khanna10@learnhub.org</t>
  </si>
  <si>
    <t>Business Analytics</t>
  </si>
  <si>
    <t>STU1011</t>
  </si>
  <si>
    <t>Payal Bhat</t>
  </si>
  <si>
    <t>payal.bhat11@yahoo.com</t>
  </si>
  <si>
    <t>STU1012</t>
  </si>
  <si>
    <t>Swati Saxena</t>
  </si>
  <si>
    <t>swati.saxena12@yahoo.com</t>
  </si>
  <si>
    <t>STU1013</t>
  </si>
  <si>
    <t>Bhavna Dubey</t>
  </si>
  <si>
    <t>bhavna.dubey13@yahoo.com</t>
  </si>
  <si>
    <t>STU1014</t>
  </si>
  <si>
    <t>Sneha Das</t>
  </si>
  <si>
    <t>sneha.das14@outlook.com</t>
  </si>
  <si>
    <t>STU1015</t>
  </si>
  <si>
    <t>Anjali Bose</t>
  </si>
  <si>
    <t>anjali.bose15@learnhub.org</t>
  </si>
  <si>
    <t>Data Science Fundamentals</t>
  </si>
  <si>
    <t>Dropped</t>
  </si>
  <si>
    <t>STU1016</t>
  </si>
  <si>
    <t>Kritika Sen</t>
  </si>
  <si>
    <t>kritika.sen16@upgrad.edu</t>
  </si>
  <si>
    <t>Advanced Excel</t>
  </si>
  <si>
    <t>STU1017</t>
  </si>
  <si>
    <t>Manoj Bose</t>
  </si>
  <si>
    <t>manoj.bose17@learnhub.org</t>
  </si>
  <si>
    <t>STU1018</t>
  </si>
  <si>
    <t>Deepak Ghosh</t>
  </si>
  <si>
    <t>deepak.ghosh18@outlook.com</t>
  </si>
  <si>
    <t>On Hold</t>
  </si>
  <si>
    <t>STU1019</t>
  </si>
  <si>
    <t>Aarav Ghosh</t>
  </si>
  <si>
    <t>aarav.ghosh19@upgrad.edu</t>
  </si>
  <si>
    <t>Statistics for Data Science</t>
  </si>
  <si>
    <t>Requested extra practice</t>
  </si>
  <si>
    <t>STU1020</t>
  </si>
  <si>
    <t>Vivek Patel</t>
  </si>
  <si>
    <t>vivek.patel20@gmail.com</t>
  </si>
  <si>
    <t>Missed last session</t>
  </si>
  <si>
    <t>STU1021</t>
  </si>
  <si>
    <t>Ashish Chauhan</t>
  </si>
  <si>
    <t>ashish.chauhan21@learnhub.org</t>
  </si>
  <si>
    <t>STU1022</t>
  </si>
  <si>
    <t>Alok Dutta</t>
  </si>
  <si>
    <t>alok.dutta22@outlook.com</t>
  </si>
  <si>
    <t>STU1023</t>
  </si>
  <si>
    <t>Yash Nair</t>
  </si>
  <si>
    <t>yash.nair23@outlook.com</t>
  </si>
  <si>
    <t>STU1024</t>
  </si>
  <si>
    <t>Siddharth Sharma</t>
  </si>
  <si>
    <t>siddharth.sharma24@gmail.com</t>
  </si>
  <si>
    <t>STU1025</t>
  </si>
  <si>
    <t>Pooja Bajaj</t>
  </si>
  <si>
    <t>pooja.bajaj25@yahoo.com</t>
  </si>
  <si>
    <t>STU1026</t>
  </si>
  <si>
    <t>Naveen Chauhan</t>
  </si>
  <si>
    <t>naveen.chauhan26@yahoo.com</t>
  </si>
  <si>
    <t>STU1027</t>
  </si>
  <si>
    <t>Nandini Dutta</t>
  </si>
  <si>
    <t>nandini.dutta27@gmail.com</t>
  </si>
  <si>
    <t>STU1028</t>
  </si>
  <si>
    <t>Neha Chopra</t>
  </si>
  <si>
    <t>neha.chopra28@outlook.com</t>
  </si>
  <si>
    <t>STU1029</t>
  </si>
  <si>
    <t>Yash Naidu</t>
  </si>
  <si>
    <t>yash.naidu29@gmail.com</t>
  </si>
  <si>
    <t>STU1030</t>
  </si>
  <si>
    <t>Aditya Mishra</t>
  </si>
  <si>
    <t>aditya.mishra30@yahoo.com</t>
  </si>
  <si>
    <t>STU1031</t>
  </si>
  <si>
    <t>kabir.bose31@yahoo.com</t>
  </si>
  <si>
    <t>STU1032</t>
  </si>
  <si>
    <t>Meera Chopra</t>
  </si>
  <si>
    <t>meera.chopra32@upgrad.edu</t>
  </si>
  <si>
    <t>Submitted assignment late</t>
  </si>
  <si>
    <t>STU1033</t>
  </si>
  <si>
    <t>Priya Singh</t>
  </si>
  <si>
    <t>priya.singh33@learnhub.org</t>
  </si>
  <si>
    <t>STU1034</t>
  </si>
  <si>
    <t>Ananya Joshi</t>
  </si>
  <si>
    <t>ananya.joshi34@gmail.com</t>
  </si>
  <si>
    <t>STU1035</t>
  </si>
  <si>
    <t>Neha Dubey</t>
  </si>
  <si>
    <t>neha.dubey35@learnhub.org</t>
  </si>
  <si>
    <t>STU1036</t>
  </si>
  <si>
    <t>Sanjay Bose</t>
  </si>
  <si>
    <t>sanjay.bose36@outlook.com</t>
  </si>
  <si>
    <t>STU1037</t>
  </si>
  <si>
    <t>Nandini Bhat</t>
  </si>
  <si>
    <t>nandini.bhat37@gmail.com</t>
  </si>
  <si>
    <t>STU1038</t>
  </si>
  <si>
    <t>Deepak Bose</t>
  </si>
  <si>
    <t>deepak.bose38@outlook.com</t>
  </si>
  <si>
    <t>STU1039</t>
  </si>
  <si>
    <t>Gaurav Arora</t>
  </si>
  <si>
    <t>gaurav.arora39@upgrad.edu</t>
  </si>
  <si>
    <t>STU1040</t>
  </si>
  <si>
    <t>Arjun Bose</t>
  </si>
  <si>
    <t>arjun.bose40@gmail.com</t>
  </si>
  <si>
    <t>STU1041</t>
  </si>
  <si>
    <t>Sunita Menon</t>
  </si>
  <si>
    <t>sunita.menon41@outlook.com</t>
  </si>
  <si>
    <t>STU1042</t>
  </si>
  <si>
    <t>Pooja Gupta</t>
  </si>
  <si>
    <t>pooja.gupta42@gmail.com</t>
  </si>
  <si>
    <t>STU1043</t>
  </si>
  <si>
    <t>Shreya Arora</t>
  </si>
  <si>
    <t>shreya.arora43@yahoo.com</t>
  </si>
  <si>
    <t>STU1044</t>
  </si>
  <si>
    <t>Nisha Naidu</t>
  </si>
  <si>
    <t>nisha.naidu44@outlook.com</t>
  </si>
  <si>
    <t>STU1045</t>
  </si>
  <si>
    <t>Varun Malhotra</t>
  </si>
  <si>
    <t>varun.malhotra45@outlook.com</t>
  </si>
  <si>
    <t>STU1046</t>
  </si>
  <si>
    <t>Meera Pillai</t>
  </si>
  <si>
    <t>meera.pillai46@outlook.com</t>
  </si>
  <si>
    <t>STU1047</t>
  </si>
  <si>
    <t>Payal Bajaj</t>
  </si>
  <si>
    <t>payal.bajaj47@outlook.com</t>
  </si>
  <si>
    <t>STU1048</t>
  </si>
  <si>
    <t>Rajesh Rao</t>
  </si>
  <si>
    <t>rajesh.rao48@outlook.com</t>
  </si>
  <si>
    <t>STU1049</t>
  </si>
  <si>
    <t>Rahul Saxena</t>
  </si>
  <si>
    <t>rahul.saxena49@upgrad.edu</t>
  </si>
  <si>
    <t>STU1050</t>
  </si>
  <si>
    <t>Riya Sood</t>
  </si>
  <si>
    <t>riya.sood50@learnhub.org</t>
  </si>
  <si>
    <t>STU1051</t>
  </si>
  <si>
    <t>Rohan Reddy</t>
  </si>
  <si>
    <t>rohan.reddy51@learnhub.org</t>
  </si>
  <si>
    <t>STU1052</t>
  </si>
  <si>
    <t>Sneha Trivedi</t>
  </si>
  <si>
    <t>sneha.trivedi52@learnhub.org</t>
  </si>
  <si>
    <t>Note: This sheet contains sample data for practice only. A few blank cells and one duplicate record are included intentionally, to support the Conditional Formatting exercises later in this workbook. Please do not edit this sheet directly.</t>
  </si>
  <si>
    <t>TEXT FUNCTIONS PRACTICE</t>
  </si>
  <si>
    <t>HOW TO USE THIS SHEET: Work through Tasks 1-12 below. Each task shows sample data pulled live from the Raw Data sheet. Type your own formula into the yellow YOUR FORMULA cell. A worked SUGGESTED SOLUTION is shown alongside in gray italics for reference - try it yourself first! Functions covered: LEFT, RIGHT, MID, FIND/SEARCH, LEN, UPPER, LOWER, PROPER, TRIM, SUBSTITUTE, REPLACE, and CONCAT/TEXTJOIN.</t>
  </si>
  <si>
    <t>Legend:</t>
  </si>
  <si>
    <t>Yellow = Your Task</t>
  </si>
  <si>
    <t>Gray italics = Suggested Solution</t>
  </si>
  <si>
    <t>TASK 1  BEGINNER   Extract First Name (LEFT)</t>
  </si>
  <si>
    <t>Instructions: Use LEFT together with FIND to pull the first name out of the Full Name in column B.</t>
  </si>
  <si>
    <t>#</t>
  </si>
  <si>
    <t>YOUR FORMULA (TASK)</t>
  </si>
  <si>
    <t>SUGGESTED SOLUTION</t>
  </si>
  <si>
    <t>TASK 2  INTERMEDIATE   Extract Last Name (RIGHT)</t>
  </si>
  <si>
    <t>Instructions: Use RIGHT together with LEN and FIND to pull the last name out of the Full Name.</t>
  </si>
  <si>
    <t>TASK 3  BEGINNER   Extract ID Number (MID)</t>
  </si>
  <si>
    <t>Instructions: Use MID to extract the 4-digit number from the Student ID (starts at character 4, is 4 characters long).</t>
  </si>
  <si>
    <t>TASK 4  BEGINNER   Locate the @ Symbol (FIND/SEARCH)</t>
  </si>
  <si>
    <t>Instructions: Use FIND (case-sensitive) or SEARCH (case-insensitive) to return the character position of "@" within the Email.</t>
  </si>
  <si>
    <t>TASK 5  INTERMEDIATE   Extract the Domain (MID + FIND)</t>
  </si>
  <si>
    <t>Instructions: Combine MID and FIND to extract everything after the "@" symbol in the Email address.</t>
  </si>
  <si>
    <t>TASK 6  BEGINNER   Count Characters (LEN)</t>
  </si>
  <si>
    <t>Instructions: Use LEN to count the total number of characters in the Email address.</t>
  </si>
  <si>
    <t>TASK 7  BEGINNER   Change Case (UPPER / LOWER)</t>
  </si>
  <si>
    <t>Instructions: Use UPPER to convert Full Name to all capitals, and LOWER to force Email to all lowercase.</t>
  </si>
  <si>
    <t>TASK 8  INTERMEDIATE   Fix Capitalization (PROPER)</t>
  </si>
  <si>
    <t>Instructions: Use PROPER to automatically capitalize the first letter of each word in the Notes field.</t>
  </si>
  <si>
    <t>TASK 9  BEGINNER   Remove Extra Spaces (TRIM)</t>
  </si>
  <si>
    <t>Instructions: The Messy Text column has extra leading/trailing spaces added on purpose. Use TRIM to clean it up.</t>
  </si>
  <si>
    <t>Messy Text (Full Name with extra spaces)</t>
  </si>
  <si>
    <t>TASK 10  INTERMEDIATE   Mask Part of the Email (SUBSTITUTE)</t>
  </si>
  <si>
    <t>Instructions: Use SUBSTITUTE to replace the "@" symbol in the Email with " [at] ".</t>
  </si>
  <si>
    <t>TASK 11  CHALLENGE   Mask the Student ID (REPLACE)</t>
  </si>
  <si>
    <t>Instructions: Use REPLACE to swap out the 4 numeric characters (starting at position 4) in the Student ID with "****".</t>
  </si>
  <si>
    <t>TASK 12  CHALLENGE   Combine Fields (CONCAT / TEXTJOIN)</t>
  </si>
  <si>
    <t>Instructions: Use TEXTJOIN to combine Full Name, Course, and Status into one string separated by " | ", ignoring blanks.</t>
  </si>
  <si>
    <t>AGGREGATE FUNCTIONS PRACTICE</t>
  </si>
  <si>
    <t>HOW TO USE THIS SHEET: Work through Tasks 1-7 below using SUM, AVERAGE, COUNT, COUNTA, MAX, and MIN. All formulas should reference the full data range on the Raw Data sheet (rows 2 to 53), not typed-in numbers. Type your formula into the yellow cell; a working Suggested Solution formula is shown in gray italics to the right.</t>
  </si>
  <si>
    <t>Task</t>
  </si>
  <si>
    <t>[BEGINNER]  SUM: Total of all Score1 values</t>
  </si>
  <si>
    <t>[BEGINNER]  AVERAGE: Average of all Score2 values</t>
  </si>
  <si>
    <t>[BEGINNER]  COUNT: How many students have a numeric Score2 (non-blank)</t>
  </si>
  <si>
    <t>[INTERMEDIATE]  COUNTA: How many students have any Notes entered (non-blank text)</t>
  </si>
  <si>
    <t>[BEGINNER]  MAX: Highest score achieved in Score1</t>
  </si>
  <si>
    <t>[BEGINNER]  MIN: Lowest score achieved in Score3</t>
  </si>
  <si>
    <t>[CHALLENGE]  AVERAGE across all three score columns combined (one overall class average)</t>
  </si>
  <si>
    <t>BONUS: Grouped Analysis by Course (uses COUNTIFS / AVERAGEIFS)</t>
  </si>
  <si>
    <t>Instructions: Pick any course name from the Raw Data sheet and use COUNTIFS/AVERAGEIFS below to summarize just that course.</t>
  </si>
  <si>
    <t>Course to analyze (type a course name from Raw Data):</t>
  </si>
  <si>
    <t>Number of students in that course (COUNTIFS)</t>
  </si>
  <si>
    <t>Average Score1 for that course (AVERAGEIFS)</t>
  </si>
  <si>
    <t>CONDITIONAL FORMATTING PRACTICE</t>
  </si>
  <si>
    <t>HOW TO USE THIS SHEET: Each section below already has a Conditional Formatting rule APPLIED to a small demo table, so you can see the visual result immediately. Read the step-by-step instructions above each table describing exactly how that rule was built (Home tab &gt; Conditional Formatting &gt; ...). Then scroll to the 'YOUR TURN' practice table at the bottom of this sheet and try applying each rule yourself to that unformatted data.</t>
  </si>
  <si>
    <t>RULE 1:  Color Scale on Scores</t>
  </si>
  <si>
    <t>Steps: Select the score range -&gt; Home tab -&gt; Conditional Formatting -&gt; Color Scales -&gt; pick Green-Yellow-Red (3-Color Scale). Higher scores shade green, lower scores shade red.</t>
  </si>
  <si>
    <t>RULE 2:  Highlight Above / Below Average</t>
  </si>
  <si>
    <t>Steps: Select the Score1 column -&gt; Conditional Formatting -&gt; Top/Bottom Rules -&gt; Above Average (green fill) and again -&gt; Below Average (red fill).</t>
  </si>
  <si>
    <t>RULE 3:  Data Bars</t>
  </si>
  <si>
    <t>Steps: Select the Score2 column -&gt; Conditional Formatting -&gt; Data Bars -&gt; pick a Gradient Fill (e.g. blue). Longer bars mean higher scores, letting you compare values at a glance.</t>
  </si>
  <si>
    <t>RULE 4:  Icon Sets</t>
  </si>
  <si>
    <t>Steps: Select the Score3 column -&gt; Conditional Formatting -&gt; Icon Sets -&gt; 3 Traffic Lights (Unrimmed). Green = high score, yellow = mid, red = low.</t>
  </si>
  <si>
    <t>RULE 5:  Highlight Duplicate Values</t>
  </si>
  <si>
    <t>Steps: Select the Full Name column -&gt; Conditional Formatting -&gt; Highlight Cells Rules -&gt; Duplicate Values -&gt; choose a fill color. Notice one duplicated name is highlighted below (this was planted intentionally in Raw Data).</t>
  </si>
  <si>
    <t>RULE 6:  Highlight Blank Cells</t>
  </si>
  <si>
    <t>Steps: Select the Score2 column -&gt; Conditional Formatting -&gt; New Rule -&gt; Format only cells that contain -&gt; Blanks -&gt; choose an orange fill. This flags missing data for follow-up.</t>
  </si>
  <si>
    <t>RULE 7:  Highlight Specific Text</t>
  </si>
  <si>
    <t>Steps: Select the Status column -&gt; Conditional Formatting -&gt; Highlight Cells Rules -&gt; Text that Contains -&gt; type "Dropped" -&gt; choose a red fill, to flag at-risk students immediately.</t>
  </si>
  <si>
    <t>RULE 8:  Top 10% / Bottom 10 Items</t>
  </si>
  <si>
    <t>Steps: Select the Score1 column -&gt; Conditional Formatting -&gt; Top/Bottom Rules -&gt; Top 10 Items (green) and Bottom 10 Items (red). With small samples this highlights the standout scores.</t>
  </si>
  <si>
    <t>YOUR TURN: Apply the 8 rules above to this fresh table</t>
  </si>
  <si>
    <t>Instructions: Select each column below and re-create the matching Conditional Formatting rule from the sections above (color scale on scores, above/below average, data bars, icon set, duplicates, blanks, specific text, Top/Bottom 10). None of these cells are pre-formatted yet.</t>
  </si>
  <si>
    <t>CLASS DASHBOARD - LIVE SUMMARY</t>
  </si>
  <si>
    <t>Every figure below is a live formula pulling directly from the Raw Data sheet. If Raw Data changes, this Dashboard updates automatically - no manual recalculation needed.</t>
  </si>
  <si>
    <t>KEY METRICS</t>
  </si>
  <si>
    <t>STUDENTS PER COURSE</t>
  </si>
  <si>
    <t>Total Students Enrolled</t>
  </si>
  <si>
    <t>Count</t>
  </si>
  <si>
    <t>Overall Average Score (all 3 tests)</t>
  </si>
  <si>
    <t>Highest Individual Score</t>
  </si>
  <si>
    <t>Lowest Individual Score</t>
  </si>
  <si>
    <t>Students Currently Active</t>
  </si>
  <si>
    <t>Students Completed</t>
  </si>
  <si>
    <t>Students Dropped</t>
  </si>
  <si>
    <t>Earliest Enrollment Date</t>
  </si>
  <si>
    <t>Latest Enrollment Date</t>
  </si>
  <si>
    <t>gmail.com</t>
  </si>
  <si>
    <t>FULL NAME 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</si>
</sst>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3"/>
      <color rgb="FF1F386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10"/>
      <color rgb="FF808080"/>
      <name val="Arial"/>
      <charset val="1"/>
    </font>
    <font>
      <sz val="11"/>
      <color rgb="FF1F3864"/>
      <name val="Arial"/>
      <charset val="1"/>
    </font>
    <font>
      <b/>
      <sz val="10"/>
      <color rgb="FFBF9000"/>
      <name val="Arial"/>
      <charset val="1"/>
    </font>
    <font>
      <i/>
      <sz val="10"/>
      <color rgb="FFA6A6A6"/>
      <name val="Arial"/>
      <charset val="1"/>
    </font>
    <font>
      <b/>
      <sz val="11"/>
      <color rgb="FFBF9000"/>
      <name val="Arial"/>
      <charset val="1"/>
    </font>
    <font>
      <i/>
      <sz val="10"/>
      <color rgb="FF2E5395"/>
      <name val="Arial"/>
      <charset val="1"/>
    </font>
    <font>
      <b/>
      <sz val="12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D9E2F3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2E5395"/>
        <bgColor rgb="FF1F3864"/>
      </patternFill>
    </fill>
    <fill>
      <patternFill patternType="solid">
        <fgColor rgb="FF375623"/>
        <bgColor rgb="FF33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4" fillId="0" borderId="0" xfId="0" applyFont="1"/>
    <xf numFmtId="0" fontId="8" fillId="4" borderId="0" xfId="0" applyFont="1" applyFill="1"/>
    <xf numFmtId="0" fontId="9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4" borderId="1" xfId="0" applyFill="1" applyBorder="1"/>
    <xf numFmtId="0" fontId="9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0" xfId="0" applyFont="1"/>
    <xf numFmtId="2" fontId="9" fillId="0" borderId="1" xfId="0" applyNumberFormat="1" applyFont="1" applyBorder="1"/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5" fillId="5" borderId="1" xfId="0" applyFont="1" applyFill="1" applyBorder="1"/>
    <xf numFmtId="2" fontId="12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wrapText="1"/>
    </xf>
    <xf numFmtId="0" fontId="11" fillId="0" borderId="0" xfId="0" applyFont="1" applyAlignment="1">
      <alignment vertical="top" wrapText="1" indent="1"/>
    </xf>
    <xf numFmtId="0" fontId="10" fillId="4" borderId="0" xfId="0" applyFont="1" applyFill="1" applyAlignment="1">
      <alignment vertical="center" indent="1"/>
    </xf>
    <xf numFmtId="0" fontId="1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top" wrapText="1" indent="1"/>
    </xf>
    <xf numFmtId="0" fontId="11" fillId="0" borderId="0" xfId="0" applyFont="1" applyAlignment="1">
      <alignment wrapText="1" indent="1"/>
    </xf>
    <xf numFmtId="0" fontId="7" fillId="3" borderId="0" xfId="0" applyFont="1" applyFill="1" applyAlignment="1">
      <alignment vertical="top" wrapText="1" indent="1"/>
    </xf>
  </cellXfs>
  <cellStyles count="1">
    <cellStyle name="Normal" xfId="0" builtinId="0"/>
  </cellStyles>
  <dxfs count="16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BF90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B33"/>
  <sheetViews>
    <sheetView showGridLines="0" topLeftCell="A22" zoomScaleNormal="100" workbookViewId="0"/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39.75" customHeight="1" x14ac:dyDescent="0.3">
      <c r="B2" s="25" t="s">
        <v>0</v>
      </c>
    </row>
    <row r="3" spans="2:2" ht="19.5" customHeight="1" x14ac:dyDescent="0.3">
      <c r="B3" s="25"/>
    </row>
    <row r="5" spans="2:2" ht="16.8" x14ac:dyDescent="0.3">
      <c r="B5" s="1" t="s">
        <v>1</v>
      </c>
    </row>
    <row r="6" spans="2:2" ht="41.4" x14ac:dyDescent="0.3">
      <c r="B6" s="2" t="s">
        <v>2</v>
      </c>
    </row>
    <row r="8" spans="2:2" ht="16.8" x14ac:dyDescent="0.3">
      <c r="B8" s="1" t="s">
        <v>3</v>
      </c>
    </row>
    <row r="9" spans="2:2" ht="27.6" x14ac:dyDescent="0.3">
      <c r="B9" s="2" t="s">
        <v>4</v>
      </c>
    </row>
    <row r="10" spans="2:2" x14ac:dyDescent="0.3">
      <c r="B10" s="2" t="s">
        <v>5</v>
      </c>
    </row>
    <row r="11" spans="2:2" x14ac:dyDescent="0.3">
      <c r="B11" s="2" t="s">
        <v>6</v>
      </c>
    </row>
    <row r="12" spans="2:2" ht="27.6" x14ac:dyDescent="0.3">
      <c r="B12" s="2" t="s">
        <v>7</v>
      </c>
    </row>
    <row r="13" spans="2:2" x14ac:dyDescent="0.3">
      <c r="B13" s="2" t="s">
        <v>8</v>
      </c>
    </row>
    <row r="15" spans="2:2" ht="16.8" x14ac:dyDescent="0.3">
      <c r="B15" s="1" t="s">
        <v>9</v>
      </c>
    </row>
    <row r="16" spans="2:2" x14ac:dyDescent="0.3">
      <c r="B16" s="3" t="s">
        <v>10</v>
      </c>
    </row>
    <row r="17" spans="2:2" x14ac:dyDescent="0.3">
      <c r="B17" s="3" t="s">
        <v>11</v>
      </c>
    </row>
    <row r="18" spans="2:2" x14ac:dyDescent="0.3">
      <c r="B18" s="3" t="s">
        <v>12</v>
      </c>
    </row>
    <row r="19" spans="2:2" ht="28.2" x14ac:dyDescent="0.3">
      <c r="B19" s="3" t="s">
        <v>13</v>
      </c>
    </row>
    <row r="20" spans="2:2" x14ac:dyDescent="0.3">
      <c r="B20" s="3" t="s">
        <v>14</v>
      </c>
    </row>
    <row r="21" spans="2:2" x14ac:dyDescent="0.3">
      <c r="B21" s="3" t="s">
        <v>15</v>
      </c>
    </row>
    <row r="23" spans="2:2" ht="16.8" x14ac:dyDescent="0.3">
      <c r="B23" s="1" t="s">
        <v>16</v>
      </c>
    </row>
    <row r="24" spans="2:2" x14ac:dyDescent="0.3">
      <c r="B24" s="2" t="s">
        <v>17</v>
      </c>
    </row>
    <row r="25" spans="2:2" x14ac:dyDescent="0.3">
      <c r="B25" s="2" t="s">
        <v>18</v>
      </c>
    </row>
    <row r="26" spans="2:2" ht="27.6" x14ac:dyDescent="0.3">
      <c r="B26" s="2" t="s">
        <v>19</v>
      </c>
    </row>
    <row r="27" spans="2:2" x14ac:dyDescent="0.3">
      <c r="B27" s="2" t="s">
        <v>20</v>
      </c>
    </row>
    <row r="28" spans="2:2" x14ac:dyDescent="0.3">
      <c r="B28" s="2" t="s">
        <v>21</v>
      </c>
    </row>
    <row r="30" spans="2:2" ht="16.8" x14ac:dyDescent="0.3">
      <c r="B30" s="1" t="s">
        <v>22</v>
      </c>
    </row>
    <row r="31" spans="2:2" x14ac:dyDescent="0.3">
      <c r="B31" s="2" t="s">
        <v>23</v>
      </c>
    </row>
    <row r="33" spans="2:2" ht="27.6" x14ac:dyDescent="0.3">
      <c r="B33" s="4" t="s">
        <v>24</v>
      </c>
    </row>
  </sheetData>
  <mergeCells count="1"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J106"/>
  <sheetViews>
    <sheetView zoomScaleNormal="100" workbookViewId="0">
      <pane ySplit="1" topLeftCell="A2" activePane="bottomLeft" state="frozen"/>
      <selection pane="bottomLeft" activeCell="D27" sqref="D27"/>
    </sheetView>
  </sheetViews>
  <sheetFormatPr defaultColWidth="8.6640625" defaultRowHeight="14.4" x14ac:dyDescent="0.3"/>
  <cols>
    <col min="1" max="1" width="11" customWidth="1"/>
    <col min="2" max="2" width="20" customWidth="1"/>
    <col min="3" max="3" width="30" customWidth="1"/>
    <col min="4" max="4" width="26" customWidth="1"/>
    <col min="5" max="6" width="9" customWidth="1"/>
    <col min="7" max="7" width="15.88671875" customWidth="1"/>
    <col min="8" max="8" width="21.109375" customWidth="1"/>
    <col min="9" max="9" width="19.88671875" customWidth="1"/>
    <col min="10" max="10" width="49.77734375" customWidth="1"/>
  </cols>
  <sheetData>
    <row r="1" spans="1:10" ht="27.6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</row>
    <row r="2" spans="1:10" x14ac:dyDescent="0.3">
      <c r="A2" s="6" t="s">
        <v>35</v>
      </c>
      <c r="B2" s="6" t="s">
        <v>36</v>
      </c>
      <c r="C2" s="6" t="s">
        <v>37</v>
      </c>
      <c r="D2" s="6" t="s">
        <v>38</v>
      </c>
      <c r="E2" s="7"/>
      <c r="F2" s="7">
        <v>54</v>
      </c>
      <c r="G2" s="7">
        <v>58</v>
      </c>
      <c r="H2" s="8">
        <v>45678</v>
      </c>
      <c r="I2" s="6" t="s">
        <v>39</v>
      </c>
      <c r="J2" s="6" t="s">
        <v>40</v>
      </c>
    </row>
    <row r="3" spans="1:10" x14ac:dyDescent="0.3">
      <c r="A3" s="6" t="s">
        <v>41</v>
      </c>
      <c r="B3" s="6" t="s">
        <v>42</v>
      </c>
      <c r="C3" s="6" t="s">
        <v>43</v>
      </c>
      <c r="D3" s="6" t="s">
        <v>44</v>
      </c>
      <c r="E3" s="7">
        <v>47</v>
      </c>
      <c r="F3" s="7">
        <v>41</v>
      </c>
      <c r="G3" s="7">
        <v>55</v>
      </c>
      <c r="H3" s="8">
        <v>45412</v>
      </c>
      <c r="I3" s="6" t="s">
        <v>39</v>
      </c>
      <c r="J3" s="6" t="s">
        <v>45</v>
      </c>
    </row>
    <row r="4" spans="1:10" x14ac:dyDescent="0.3">
      <c r="A4" s="6" t="s">
        <v>46</v>
      </c>
      <c r="B4" s="6" t="s">
        <v>47</v>
      </c>
      <c r="C4" s="6" t="s">
        <v>48</v>
      </c>
      <c r="D4" s="6" t="s">
        <v>44</v>
      </c>
      <c r="E4" s="7">
        <v>59</v>
      </c>
      <c r="F4" s="7">
        <v>68</v>
      </c>
      <c r="G4" s="7">
        <v>87</v>
      </c>
      <c r="H4" s="8">
        <v>45443</v>
      </c>
      <c r="I4" s="6" t="s">
        <v>49</v>
      </c>
      <c r="J4" s="6" t="s">
        <v>50</v>
      </c>
    </row>
    <row r="5" spans="1:10" x14ac:dyDescent="0.3">
      <c r="A5" s="6" t="s">
        <v>51</v>
      </c>
      <c r="B5" s="6" t="s">
        <v>52</v>
      </c>
      <c r="C5" s="6" t="s">
        <v>53</v>
      </c>
      <c r="D5" s="6" t="s">
        <v>54</v>
      </c>
      <c r="E5" s="7">
        <v>62</v>
      </c>
      <c r="F5" s="7">
        <v>49</v>
      </c>
      <c r="G5" s="7">
        <v>63</v>
      </c>
      <c r="H5" s="8">
        <v>45691</v>
      </c>
      <c r="I5" s="6" t="s">
        <v>39</v>
      </c>
      <c r="J5" s="6" t="s">
        <v>55</v>
      </c>
    </row>
    <row r="6" spans="1:10" x14ac:dyDescent="0.3">
      <c r="A6" s="6" t="s">
        <v>56</v>
      </c>
      <c r="B6" s="6" t="s">
        <v>57</v>
      </c>
      <c r="C6" s="6" t="s">
        <v>58</v>
      </c>
      <c r="D6" s="6" t="s">
        <v>54</v>
      </c>
      <c r="E6" s="7">
        <v>83</v>
      </c>
      <c r="F6" s="7">
        <v>56</v>
      </c>
      <c r="G6" s="7">
        <v>52</v>
      </c>
      <c r="H6" s="8">
        <v>45674</v>
      </c>
      <c r="I6" s="6" t="s">
        <v>39</v>
      </c>
      <c r="J6" s="6" t="s">
        <v>55</v>
      </c>
    </row>
    <row r="7" spans="1:10" x14ac:dyDescent="0.3">
      <c r="A7" s="6" t="s">
        <v>59</v>
      </c>
      <c r="B7" s="6" t="s">
        <v>60</v>
      </c>
      <c r="C7" s="6" t="s">
        <v>61</v>
      </c>
      <c r="D7" s="6" t="s">
        <v>38</v>
      </c>
      <c r="E7" s="7">
        <v>98</v>
      </c>
      <c r="F7" s="7">
        <v>80</v>
      </c>
      <c r="G7" s="7">
        <v>89</v>
      </c>
      <c r="H7" s="8">
        <v>45486</v>
      </c>
      <c r="I7" s="6" t="s">
        <v>49</v>
      </c>
      <c r="J7" s="6" t="s">
        <v>40</v>
      </c>
    </row>
    <row r="8" spans="1:10" x14ac:dyDescent="0.3">
      <c r="A8" s="6" t="s">
        <v>62</v>
      </c>
      <c r="B8" s="6" t="s">
        <v>63</v>
      </c>
      <c r="C8" s="6" t="s">
        <v>64</v>
      </c>
      <c r="D8" s="6" t="s">
        <v>38</v>
      </c>
      <c r="E8" s="7">
        <v>50</v>
      </c>
      <c r="F8" s="7">
        <v>94</v>
      </c>
      <c r="G8" s="7">
        <v>64</v>
      </c>
      <c r="H8" s="8">
        <v>45352</v>
      </c>
      <c r="I8" s="6" t="s">
        <v>39</v>
      </c>
      <c r="J8" s="6"/>
    </row>
    <row r="9" spans="1:10" x14ac:dyDescent="0.3">
      <c r="A9" s="6" t="s">
        <v>65</v>
      </c>
      <c r="B9" s="6" t="s">
        <v>66</v>
      </c>
      <c r="C9" s="6" t="s">
        <v>67</v>
      </c>
      <c r="D9" s="6" t="s">
        <v>54</v>
      </c>
      <c r="E9" s="7">
        <v>67</v>
      </c>
      <c r="F9" s="7">
        <v>53</v>
      </c>
      <c r="G9" s="7">
        <v>92</v>
      </c>
      <c r="H9" s="8">
        <v>45437</v>
      </c>
      <c r="I9" s="6" t="s">
        <v>49</v>
      </c>
      <c r="J9" s="6" t="s">
        <v>68</v>
      </c>
    </row>
    <row r="10" spans="1:10" x14ac:dyDescent="0.3">
      <c r="A10" s="6" t="s">
        <v>69</v>
      </c>
      <c r="B10" s="6" t="s">
        <v>70</v>
      </c>
      <c r="C10" s="6" t="s">
        <v>71</v>
      </c>
      <c r="D10" s="6" t="s">
        <v>72</v>
      </c>
      <c r="E10" s="7">
        <v>79</v>
      </c>
      <c r="F10" s="7">
        <v>86</v>
      </c>
      <c r="G10" s="7">
        <v>65</v>
      </c>
      <c r="H10" s="8">
        <v>45384</v>
      </c>
      <c r="I10" s="6" t="s">
        <v>39</v>
      </c>
      <c r="J10" s="6" t="s">
        <v>73</v>
      </c>
    </row>
    <row r="11" spans="1:10" x14ac:dyDescent="0.3">
      <c r="A11" s="6" t="s">
        <v>74</v>
      </c>
      <c r="B11" s="6" t="s">
        <v>75</v>
      </c>
      <c r="C11" s="6" t="s">
        <v>76</v>
      </c>
      <c r="D11" s="6" t="s">
        <v>77</v>
      </c>
      <c r="E11" s="7">
        <v>88</v>
      </c>
      <c r="F11" s="7">
        <v>60</v>
      </c>
      <c r="G11" s="7">
        <v>99</v>
      </c>
      <c r="H11" s="8">
        <v>45698</v>
      </c>
      <c r="I11" s="6" t="s">
        <v>39</v>
      </c>
      <c r="J11" s="6" t="s">
        <v>50</v>
      </c>
    </row>
    <row r="12" spans="1:10" x14ac:dyDescent="0.3">
      <c r="A12" s="6" t="s">
        <v>78</v>
      </c>
      <c r="B12" s="6" t="s">
        <v>79</v>
      </c>
      <c r="C12" s="6" t="s">
        <v>80</v>
      </c>
      <c r="D12" s="6" t="s">
        <v>38</v>
      </c>
      <c r="E12" s="7">
        <v>49</v>
      </c>
      <c r="F12" s="7"/>
      <c r="G12" s="7">
        <v>86</v>
      </c>
      <c r="H12" s="8">
        <v>45668</v>
      </c>
      <c r="I12" s="6" t="s">
        <v>39</v>
      </c>
      <c r="J12" s="6" t="s">
        <v>68</v>
      </c>
    </row>
    <row r="13" spans="1:10" x14ac:dyDescent="0.3">
      <c r="A13" s="6" t="s">
        <v>81</v>
      </c>
      <c r="B13" s="6" t="s">
        <v>82</v>
      </c>
      <c r="C13" s="6" t="s">
        <v>83</v>
      </c>
      <c r="D13" s="6" t="s">
        <v>72</v>
      </c>
      <c r="E13" s="7">
        <v>61</v>
      </c>
      <c r="F13" s="7">
        <v>48</v>
      </c>
      <c r="G13" s="7">
        <v>65</v>
      </c>
      <c r="H13" s="8">
        <v>45682</v>
      </c>
      <c r="I13" s="6" t="s">
        <v>49</v>
      </c>
      <c r="J13" s="6" t="s">
        <v>73</v>
      </c>
    </row>
    <row r="14" spans="1:10" x14ac:dyDescent="0.3">
      <c r="A14" s="6" t="s">
        <v>84</v>
      </c>
      <c r="B14" s="6" t="s">
        <v>85</v>
      </c>
      <c r="C14" s="6" t="s">
        <v>86</v>
      </c>
      <c r="D14" s="6" t="s">
        <v>44</v>
      </c>
      <c r="E14" s="7">
        <v>68</v>
      </c>
      <c r="F14" s="7">
        <v>54</v>
      </c>
      <c r="G14" s="7">
        <v>58</v>
      </c>
      <c r="H14" s="8">
        <v>45561</v>
      </c>
      <c r="I14" s="6" t="s">
        <v>39</v>
      </c>
      <c r="J14" s="6" t="s">
        <v>50</v>
      </c>
    </row>
    <row r="15" spans="1:10" x14ac:dyDescent="0.3">
      <c r="A15" s="6" t="s">
        <v>87</v>
      </c>
      <c r="B15" s="6" t="s">
        <v>88</v>
      </c>
      <c r="C15" s="6" t="s">
        <v>89</v>
      </c>
      <c r="D15" s="6" t="s">
        <v>44</v>
      </c>
      <c r="E15" s="7">
        <v>83</v>
      </c>
      <c r="F15" s="7">
        <v>44</v>
      </c>
      <c r="G15" s="7">
        <v>74</v>
      </c>
      <c r="H15" s="8">
        <v>45496</v>
      </c>
      <c r="I15" s="6" t="s">
        <v>49</v>
      </c>
      <c r="J15" s="6"/>
    </row>
    <row r="16" spans="1:10" x14ac:dyDescent="0.3">
      <c r="A16" s="6" t="s">
        <v>90</v>
      </c>
      <c r="B16" s="6" t="s">
        <v>91</v>
      </c>
      <c r="C16" s="6" t="s">
        <v>92</v>
      </c>
      <c r="D16" s="6" t="s">
        <v>93</v>
      </c>
      <c r="E16" s="7">
        <v>88</v>
      </c>
      <c r="F16" s="7">
        <v>86</v>
      </c>
      <c r="G16" s="7">
        <v>57</v>
      </c>
      <c r="H16" s="8">
        <v>45650</v>
      </c>
      <c r="I16" s="6" t="s">
        <v>94</v>
      </c>
      <c r="J16" s="6" t="s">
        <v>73</v>
      </c>
    </row>
    <row r="17" spans="1:10" x14ac:dyDescent="0.3">
      <c r="A17" s="6" t="s">
        <v>95</v>
      </c>
      <c r="B17" s="6" t="s">
        <v>96</v>
      </c>
      <c r="C17" s="6" t="s">
        <v>97</v>
      </c>
      <c r="D17" s="6" t="s">
        <v>98</v>
      </c>
      <c r="E17" s="7">
        <v>63</v>
      </c>
      <c r="F17" s="7">
        <v>67</v>
      </c>
      <c r="G17" s="7">
        <v>60</v>
      </c>
      <c r="H17" s="8">
        <v>45533</v>
      </c>
      <c r="I17" s="6" t="s">
        <v>39</v>
      </c>
      <c r="J17" s="6" t="s">
        <v>40</v>
      </c>
    </row>
    <row r="18" spans="1:10" x14ac:dyDescent="0.3">
      <c r="A18" s="6" t="s">
        <v>99</v>
      </c>
      <c r="B18" s="6" t="s">
        <v>100</v>
      </c>
      <c r="C18" s="6" t="s">
        <v>101</v>
      </c>
      <c r="D18" s="6" t="s">
        <v>72</v>
      </c>
      <c r="E18" s="7">
        <v>77</v>
      </c>
      <c r="F18" s="7">
        <v>98</v>
      </c>
      <c r="G18" s="7">
        <v>56</v>
      </c>
      <c r="H18" s="8">
        <v>45621</v>
      </c>
      <c r="I18" s="6" t="s">
        <v>39</v>
      </c>
      <c r="J18" s="6" t="s">
        <v>68</v>
      </c>
    </row>
    <row r="19" spans="1:10" x14ac:dyDescent="0.3">
      <c r="A19" s="6" t="s">
        <v>102</v>
      </c>
      <c r="B19" s="6" t="s">
        <v>103</v>
      </c>
      <c r="C19" s="6" t="s">
        <v>104</v>
      </c>
      <c r="D19" s="6" t="s">
        <v>72</v>
      </c>
      <c r="E19" s="7">
        <v>68</v>
      </c>
      <c r="F19" s="7">
        <v>88</v>
      </c>
      <c r="G19" s="7">
        <v>60</v>
      </c>
      <c r="H19" s="8">
        <v>45577</v>
      </c>
      <c r="I19" s="6" t="s">
        <v>105</v>
      </c>
      <c r="J19" s="6"/>
    </row>
    <row r="20" spans="1:10" x14ac:dyDescent="0.3">
      <c r="A20" s="6" t="s">
        <v>106</v>
      </c>
      <c r="B20" s="6" t="s">
        <v>107</v>
      </c>
      <c r="C20" s="6" t="s">
        <v>108</v>
      </c>
      <c r="D20" s="6" t="s">
        <v>109</v>
      </c>
      <c r="E20" s="7">
        <v>46</v>
      </c>
      <c r="F20" s="7">
        <v>47</v>
      </c>
      <c r="G20" s="7">
        <v>73</v>
      </c>
      <c r="H20" s="8">
        <v>45458</v>
      </c>
      <c r="I20" s="6" t="s">
        <v>39</v>
      </c>
      <c r="J20" s="6" t="s">
        <v>110</v>
      </c>
    </row>
    <row r="21" spans="1:10" x14ac:dyDescent="0.3">
      <c r="A21" s="6" t="s">
        <v>111</v>
      </c>
      <c r="B21" s="6" t="s">
        <v>112</v>
      </c>
      <c r="C21" s="6" t="s">
        <v>113</v>
      </c>
      <c r="D21" s="6" t="s">
        <v>109</v>
      </c>
      <c r="E21" s="7">
        <v>97</v>
      </c>
      <c r="F21" s="7">
        <v>44</v>
      </c>
      <c r="G21" s="7">
        <v>98</v>
      </c>
      <c r="H21" s="8">
        <v>45573</v>
      </c>
      <c r="I21" s="6" t="s">
        <v>49</v>
      </c>
      <c r="J21" s="6" t="s">
        <v>114</v>
      </c>
    </row>
    <row r="22" spans="1:10" x14ac:dyDescent="0.3">
      <c r="A22" s="6" t="s">
        <v>115</v>
      </c>
      <c r="B22" s="6" t="s">
        <v>116</v>
      </c>
      <c r="C22" s="6" t="s">
        <v>117</v>
      </c>
      <c r="D22" s="6" t="s">
        <v>72</v>
      </c>
      <c r="E22" s="7">
        <v>61</v>
      </c>
      <c r="F22" s="7">
        <v>73</v>
      </c>
      <c r="G22" s="7">
        <v>88</v>
      </c>
      <c r="H22" s="8">
        <v>45517</v>
      </c>
      <c r="I22" s="6" t="s">
        <v>105</v>
      </c>
      <c r="J22" s="6"/>
    </row>
    <row r="23" spans="1:10" x14ac:dyDescent="0.3">
      <c r="A23" s="6" t="s">
        <v>118</v>
      </c>
      <c r="B23" s="6" t="s">
        <v>119</v>
      </c>
      <c r="C23" s="6" t="s">
        <v>120</v>
      </c>
      <c r="D23" s="6" t="s">
        <v>38</v>
      </c>
      <c r="E23" s="7">
        <v>70</v>
      </c>
      <c r="F23" s="7">
        <v>82</v>
      </c>
      <c r="G23" s="7">
        <v>91</v>
      </c>
      <c r="H23" s="8">
        <v>45492</v>
      </c>
      <c r="I23" s="6" t="s">
        <v>39</v>
      </c>
      <c r="J23" s="6"/>
    </row>
    <row r="24" spans="1:10" x14ac:dyDescent="0.3">
      <c r="A24" s="6" t="s">
        <v>121</v>
      </c>
      <c r="B24" s="6" t="s">
        <v>122</v>
      </c>
      <c r="C24" s="6" t="s">
        <v>123</v>
      </c>
      <c r="D24" s="6" t="s">
        <v>77</v>
      </c>
      <c r="E24" s="7">
        <v>49</v>
      </c>
      <c r="F24" s="7">
        <v>61</v>
      </c>
      <c r="G24" s="7">
        <v>51</v>
      </c>
      <c r="H24" s="8">
        <v>45602</v>
      </c>
      <c r="I24" s="6" t="s">
        <v>49</v>
      </c>
      <c r="J24" s="6" t="s">
        <v>45</v>
      </c>
    </row>
    <row r="25" spans="1:10" x14ac:dyDescent="0.3">
      <c r="A25" s="6" t="s">
        <v>124</v>
      </c>
      <c r="B25" s="6" t="s">
        <v>125</v>
      </c>
      <c r="C25" s="6" t="s">
        <v>126</v>
      </c>
      <c r="D25" s="6" t="s">
        <v>93</v>
      </c>
      <c r="E25" s="7">
        <v>59</v>
      </c>
      <c r="F25" s="7">
        <v>44</v>
      </c>
      <c r="G25" s="7">
        <v>52</v>
      </c>
      <c r="H25" s="8">
        <v>45470</v>
      </c>
      <c r="I25" s="6" t="s">
        <v>39</v>
      </c>
      <c r="J25" s="6" t="s">
        <v>110</v>
      </c>
    </row>
    <row r="26" spans="1:10" x14ac:dyDescent="0.3">
      <c r="A26" s="6" t="s">
        <v>127</v>
      </c>
      <c r="B26" s="6" t="s">
        <v>128</v>
      </c>
      <c r="C26" s="6" t="s">
        <v>129</v>
      </c>
      <c r="D26" s="6" t="s">
        <v>77</v>
      </c>
      <c r="E26" s="7">
        <v>79</v>
      </c>
      <c r="F26" s="7">
        <v>48</v>
      </c>
      <c r="G26" s="7">
        <v>96</v>
      </c>
      <c r="H26" s="8">
        <v>45593</v>
      </c>
      <c r="I26" s="6" t="s">
        <v>49</v>
      </c>
      <c r="J26" s="6" t="s">
        <v>110</v>
      </c>
    </row>
    <row r="27" spans="1:10" x14ac:dyDescent="0.3">
      <c r="A27" s="6" t="s">
        <v>130</v>
      </c>
      <c r="B27" s="6" t="s">
        <v>131</v>
      </c>
      <c r="C27" s="6" t="s">
        <v>132</v>
      </c>
      <c r="D27" s="6" t="s">
        <v>77</v>
      </c>
      <c r="E27" s="7">
        <v>51</v>
      </c>
      <c r="F27" s="7">
        <v>46</v>
      </c>
      <c r="G27" s="7">
        <v>92</v>
      </c>
      <c r="H27" s="8">
        <v>45521</v>
      </c>
      <c r="I27" s="6" t="s">
        <v>39</v>
      </c>
      <c r="J27" s="6"/>
    </row>
    <row r="28" spans="1:10" x14ac:dyDescent="0.3">
      <c r="A28" s="6" t="s">
        <v>133</v>
      </c>
      <c r="B28" s="6" t="s">
        <v>134</v>
      </c>
      <c r="C28" s="6" t="s">
        <v>135</v>
      </c>
      <c r="D28" s="6" t="s">
        <v>98</v>
      </c>
      <c r="E28" s="7">
        <v>48</v>
      </c>
      <c r="F28" s="7">
        <v>65</v>
      </c>
      <c r="G28" s="7">
        <v>96</v>
      </c>
      <c r="H28" s="8">
        <v>45474</v>
      </c>
      <c r="I28" s="6" t="s">
        <v>49</v>
      </c>
      <c r="J28" s="6" t="s">
        <v>55</v>
      </c>
    </row>
    <row r="29" spans="1:10" x14ac:dyDescent="0.3">
      <c r="A29" s="6" t="s">
        <v>136</v>
      </c>
      <c r="B29" s="6" t="s">
        <v>137</v>
      </c>
      <c r="C29" s="6" t="s">
        <v>138</v>
      </c>
      <c r="D29" s="6" t="s">
        <v>109</v>
      </c>
      <c r="E29" s="7">
        <v>53</v>
      </c>
      <c r="F29" s="7">
        <v>67</v>
      </c>
      <c r="G29" s="7">
        <v>61</v>
      </c>
      <c r="H29" s="8">
        <v>45443</v>
      </c>
      <c r="I29" s="6" t="s">
        <v>39</v>
      </c>
      <c r="J29" s="6" t="s">
        <v>55</v>
      </c>
    </row>
    <row r="30" spans="1:10" x14ac:dyDescent="0.3">
      <c r="A30" s="6" t="s">
        <v>139</v>
      </c>
      <c r="B30" s="6" t="s">
        <v>140</v>
      </c>
      <c r="C30" s="6" t="s">
        <v>141</v>
      </c>
      <c r="D30" s="6" t="s">
        <v>93</v>
      </c>
      <c r="E30" s="7">
        <v>86</v>
      </c>
      <c r="F30" s="7">
        <v>74</v>
      </c>
      <c r="G30" s="7">
        <v>50</v>
      </c>
      <c r="H30" s="8">
        <v>45348</v>
      </c>
      <c r="I30" s="6" t="s">
        <v>94</v>
      </c>
      <c r="J30" s="6" t="s">
        <v>110</v>
      </c>
    </row>
    <row r="31" spans="1:10" x14ac:dyDescent="0.3">
      <c r="A31" s="6" t="s">
        <v>142</v>
      </c>
      <c r="B31" s="6" t="s">
        <v>143</v>
      </c>
      <c r="C31" s="6" t="s">
        <v>144</v>
      </c>
      <c r="D31" s="6" t="s">
        <v>109</v>
      </c>
      <c r="E31" s="7">
        <v>58</v>
      </c>
      <c r="F31" s="7">
        <v>95</v>
      </c>
      <c r="G31" s="7">
        <v>75</v>
      </c>
      <c r="H31" s="8">
        <v>45331</v>
      </c>
      <c r="I31" s="6" t="s">
        <v>39</v>
      </c>
      <c r="J31" s="6" t="s">
        <v>50</v>
      </c>
    </row>
    <row r="32" spans="1:10" x14ac:dyDescent="0.3">
      <c r="A32" s="6" t="s">
        <v>145</v>
      </c>
      <c r="B32" s="6" t="s">
        <v>60</v>
      </c>
      <c r="C32" s="6" t="s">
        <v>146</v>
      </c>
      <c r="D32" s="6" t="s">
        <v>38</v>
      </c>
      <c r="E32" s="7">
        <v>72</v>
      </c>
      <c r="F32" s="7">
        <v>84</v>
      </c>
      <c r="G32" s="7">
        <v>96</v>
      </c>
      <c r="H32" s="8">
        <v>45585</v>
      </c>
      <c r="I32" s="6" t="s">
        <v>49</v>
      </c>
      <c r="J32" s="6"/>
    </row>
    <row r="33" spans="1:10" x14ac:dyDescent="0.3">
      <c r="A33" s="6" t="s">
        <v>147</v>
      </c>
      <c r="B33" s="6" t="s">
        <v>148</v>
      </c>
      <c r="C33" s="6" t="s">
        <v>149</v>
      </c>
      <c r="D33" s="6" t="s">
        <v>77</v>
      </c>
      <c r="E33" s="7">
        <v>48</v>
      </c>
      <c r="F33" s="7">
        <v>77</v>
      </c>
      <c r="G33" s="7">
        <v>97</v>
      </c>
      <c r="H33" s="8">
        <v>45578</v>
      </c>
      <c r="I33" s="6" t="s">
        <v>39</v>
      </c>
      <c r="J33" s="6" t="s">
        <v>150</v>
      </c>
    </row>
    <row r="34" spans="1:10" x14ac:dyDescent="0.3">
      <c r="A34" s="6" t="s">
        <v>151</v>
      </c>
      <c r="B34" s="6" t="s">
        <v>152</v>
      </c>
      <c r="C34" s="6" t="s">
        <v>153</v>
      </c>
      <c r="D34" s="6" t="s">
        <v>109</v>
      </c>
      <c r="E34" s="7">
        <v>77</v>
      </c>
      <c r="F34" s="7">
        <v>98</v>
      </c>
      <c r="G34" s="7">
        <v>83</v>
      </c>
      <c r="H34" s="8">
        <v>45381</v>
      </c>
      <c r="I34" s="6" t="s">
        <v>39</v>
      </c>
      <c r="J34" s="6"/>
    </row>
    <row r="35" spans="1:10" x14ac:dyDescent="0.3">
      <c r="A35" s="6" t="s">
        <v>154</v>
      </c>
      <c r="B35" s="6" t="s">
        <v>155</v>
      </c>
      <c r="C35" s="6" t="s">
        <v>156</v>
      </c>
      <c r="D35" s="6" t="s">
        <v>98</v>
      </c>
      <c r="E35" s="7">
        <v>88</v>
      </c>
      <c r="F35" s="7">
        <v>95</v>
      </c>
      <c r="G35" s="7">
        <v>65</v>
      </c>
      <c r="H35" s="8">
        <v>45507</v>
      </c>
      <c r="I35" s="6" t="s">
        <v>39</v>
      </c>
      <c r="J35" s="6" t="s">
        <v>45</v>
      </c>
    </row>
    <row r="36" spans="1:10" x14ac:dyDescent="0.3">
      <c r="A36" s="6" t="s">
        <v>157</v>
      </c>
      <c r="B36" s="6" t="s">
        <v>158</v>
      </c>
      <c r="C36" s="6" t="s">
        <v>159</v>
      </c>
      <c r="D36" s="6" t="s">
        <v>93</v>
      </c>
      <c r="E36" s="7">
        <v>84</v>
      </c>
      <c r="F36" s="7">
        <v>45</v>
      </c>
      <c r="G36" s="7">
        <v>76</v>
      </c>
      <c r="H36" s="8">
        <v>45637</v>
      </c>
      <c r="I36" s="6" t="s">
        <v>49</v>
      </c>
      <c r="J36" s="6"/>
    </row>
    <row r="37" spans="1:10" x14ac:dyDescent="0.3">
      <c r="A37" s="6" t="s">
        <v>160</v>
      </c>
      <c r="B37" s="6" t="s">
        <v>161</v>
      </c>
      <c r="C37" s="6" t="s">
        <v>162</v>
      </c>
      <c r="D37" s="6" t="s">
        <v>54</v>
      </c>
      <c r="E37" s="7">
        <v>60</v>
      </c>
      <c r="F37" s="7">
        <v>56</v>
      </c>
      <c r="G37" s="7">
        <v>75</v>
      </c>
      <c r="H37" s="8">
        <v>45368</v>
      </c>
      <c r="I37" s="6" t="s">
        <v>49</v>
      </c>
      <c r="J37" s="6" t="s">
        <v>73</v>
      </c>
    </row>
    <row r="38" spans="1:10" x14ac:dyDescent="0.3">
      <c r="A38" s="6" t="s">
        <v>163</v>
      </c>
      <c r="B38" s="6" t="s">
        <v>164</v>
      </c>
      <c r="C38" s="6" t="s">
        <v>165</v>
      </c>
      <c r="D38" s="6" t="s">
        <v>93</v>
      </c>
      <c r="E38" s="7">
        <v>74</v>
      </c>
      <c r="F38" s="7">
        <v>79</v>
      </c>
      <c r="G38" s="7">
        <v>86</v>
      </c>
      <c r="H38" s="8">
        <v>45352</v>
      </c>
      <c r="I38" s="6" t="s">
        <v>39</v>
      </c>
      <c r="J38" s="6" t="s">
        <v>110</v>
      </c>
    </row>
    <row r="39" spans="1:10" x14ac:dyDescent="0.3">
      <c r="A39" s="6" t="s">
        <v>166</v>
      </c>
      <c r="B39" s="6" t="s">
        <v>167</v>
      </c>
      <c r="C39" s="6" t="s">
        <v>168</v>
      </c>
      <c r="D39" s="6" t="s">
        <v>54</v>
      </c>
      <c r="E39" s="7">
        <v>49</v>
      </c>
      <c r="F39" s="7">
        <v>96</v>
      </c>
      <c r="G39" s="7">
        <v>65</v>
      </c>
      <c r="H39" s="8">
        <v>45490</v>
      </c>
      <c r="I39" s="6" t="s">
        <v>39</v>
      </c>
      <c r="J39" s="6"/>
    </row>
    <row r="40" spans="1:10" x14ac:dyDescent="0.3">
      <c r="A40" s="6" t="s">
        <v>169</v>
      </c>
      <c r="B40" s="6" t="s">
        <v>170</v>
      </c>
      <c r="C40" s="6" t="s">
        <v>171</v>
      </c>
      <c r="D40" s="6" t="s">
        <v>93</v>
      </c>
      <c r="E40" s="7">
        <v>87</v>
      </c>
      <c r="F40" s="7">
        <v>92</v>
      </c>
      <c r="G40" s="7">
        <v>85</v>
      </c>
      <c r="H40" s="8">
        <v>45454</v>
      </c>
      <c r="I40" s="6" t="s">
        <v>94</v>
      </c>
      <c r="J40" s="6" t="s">
        <v>55</v>
      </c>
    </row>
    <row r="41" spans="1:10" x14ac:dyDescent="0.3">
      <c r="A41" s="6" t="s">
        <v>172</v>
      </c>
      <c r="B41" s="6" t="s">
        <v>173</v>
      </c>
      <c r="C41" s="6" t="s">
        <v>174</v>
      </c>
      <c r="D41" s="6" t="s">
        <v>98</v>
      </c>
      <c r="E41" s="7">
        <v>92</v>
      </c>
      <c r="F41" s="7">
        <v>75</v>
      </c>
      <c r="G41" s="7">
        <v>59</v>
      </c>
      <c r="H41" s="8">
        <v>45440</v>
      </c>
      <c r="I41" s="6" t="s">
        <v>39</v>
      </c>
      <c r="J41" s="6" t="s">
        <v>110</v>
      </c>
    </row>
    <row r="42" spans="1:10" x14ac:dyDescent="0.3">
      <c r="A42" s="6" t="s">
        <v>175</v>
      </c>
      <c r="B42" s="6" t="s">
        <v>176</v>
      </c>
      <c r="C42" s="6" t="s">
        <v>177</v>
      </c>
      <c r="D42" s="6" t="s">
        <v>38</v>
      </c>
      <c r="E42" s="7">
        <v>77</v>
      </c>
      <c r="F42" s="7">
        <v>71</v>
      </c>
      <c r="G42" s="7">
        <v>66</v>
      </c>
      <c r="H42" s="8">
        <v>45327</v>
      </c>
      <c r="I42" s="6" t="s">
        <v>39</v>
      </c>
      <c r="J42" s="6"/>
    </row>
    <row r="43" spans="1:10" x14ac:dyDescent="0.3">
      <c r="A43" s="6" t="s">
        <v>178</v>
      </c>
      <c r="B43" s="6" t="s">
        <v>179</v>
      </c>
      <c r="C43" s="6" t="s">
        <v>180</v>
      </c>
      <c r="D43" s="6" t="s">
        <v>54</v>
      </c>
      <c r="E43" s="7">
        <v>94</v>
      </c>
      <c r="F43" s="7">
        <v>48</v>
      </c>
      <c r="G43" s="7">
        <v>90</v>
      </c>
      <c r="H43" s="8">
        <v>45435</v>
      </c>
      <c r="I43" s="6" t="s">
        <v>39</v>
      </c>
      <c r="J43" s="6"/>
    </row>
    <row r="44" spans="1:10" x14ac:dyDescent="0.3">
      <c r="A44" s="6" t="s">
        <v>181</v>
      </c>
      <c r="B44" s="6" t="s">
        <v>182</v>
      </c>
      <c r="C44" s="6" t="s">
        <v>183</v>
      </c>
      <c r="D44" s="6" t="s">
        <v>93</v>
      </c>
      <c r="E44" s="7">
        <v>52</v>
      </c>
      <c r="F44" s="7">
        <v>44</v>
      </c>
      <c r="G44" s="7">
        <v>94</v>
      </c>
      <c r="H44" s="8">
        <v>45377</v>
      </c>
      <c r="I44" s="6" t="s">
        <v>39</v>
      </c>
      <c r="J44" s="6" t="s">
        <v>150</v>
      </c>
    </row>
    <row r="45" spans="1:10" x14ac:dyDescent="0.3">
      <c r="A45" s="6" t="s">
        <v>184</v>
      </c>
      <c r="B45" s="6" t="s">
        <v>185</v>
      </c>
      <c r="C45" s="6" t="s">
        <v>186</v>
      </c>
      <c r="D45" s="6" t="s">
        <v>44</v>
      </c>
      <c r="E45" s="7">
        <v>53</v>
      </c>
      <c r="F45" s="7">
        <v>42</v>
      </c>
      <c r="G45" s="7">
        <v>69</v>
      </c>
      <c r="H45" s="8">
        <v>45487</v>
      </c>
      <c r="I45" s="6" t="s">
        <v>94</v>
      </c>
      <c r="J45" s="6" t="s">
        <v>50</v>
      </c>
    </row>
    <row r="46" spans="1:10" x14ac:dyDescent="0.3">
      <c r="A46" s="6" t="s">
        <v>187</v>
      </c>
      <c r="B46" s="6" t="s">
        <v>188</v>
      </c>
      <c r="C46" s="6" t="s">
        <v>189</v>
      </c>
      <c r="D46" s="6" t="s">
        <v>98</v>
      </c>
      <c r="E46" s="7">
        <v>67</v>
      </c>
      <c r="F46" s="7">
        <v>89</v>
      </c>
      <c r="G46" s="7">
        <v>85</v>
      </c>
      <c r="H46" s="8">
        <v>45509</v>
      </c>
      <c r="I46" s="6" t="s">
        <v>105</v>
      </c>
      <c r="J46" s="6" t="s">
        <v>40</v>
      </c>
    </row>
    <row r="47" spans="1:10" x14ac:dyDescent="0.3">
      <c r="A47" s="6" t="s">
        <v>190</v>
      </c>
      <c r="B47" s="6" t="s">
        <v>191</v>
      </c>
      <c r="C47" s="6" t="s">
        <v>192</v>
      </c>
      <c r="D47" s="6" t="s">
        <v>72</v>
      </c>
      <c r="E47" s="7">
        <v>71</v>
      </c>
      <c r="F47" s="7">
        <v>41</v>
      </c>
      <c r="G47" s="7">
        <v>61</v>
      </c>
      <c r="H47" s="8">
        <v>45678</v>
      </c>
      <c r="I47" s="6" t="s">
        <v>94</v>
      </c>
      <c r="J47" s="6"/>
    </row>
    <row r="48" spans="1:10" x14ac:dyDescent="0.3">
      <c r="A48" s="6" t="s">
        <v>193</v>
      </c>
      <c r="B48" s="6" t="s">
        <v>194</v>
      </c>
      <c r="C48" s="6" t="s">
        <v>195</v>
      </c>
      <c r="D48" s="6" t="s">
        <v>38</v>
      </c>
      <c r="E48" s="7">
        <v>55</v>
      </c>
      <c r="F48" s="7">
        <v>90</v>
      </c>
      <c r="G48" s="7">
        <v>94</v>
      </c>
      <c r="H48" s="8">
        <v>45356</v>
      </c>
      <c r="I48" s="6" t="s">
        <v>39</v>
      </c>
      <c r="J48" s="6" t="s">
        <v>50</v>
      </c>
    </row>
    <row r="49" spans="1:10" x14ac:dyDescent="0.3">
      <c r="A49" s="6" t="s">
        <v>196</v>
      </c>
      <c r="B49" s="6" t="s">
        <v>197</v>
      </c>
      <c r="C49" s="6" t="s">
        <v>198</v>
      </c>
      <c r="D49" s="6" t="s">
        <v>109</v>
      </c>
      <c r="E49" s="7">
        <v>67</v>
      </c>
      <c r="F49" s="7">
        <v>59</v>
      </c>
      <c r="G49" s="7">
        <v>100</v>
      </c>
      <c r="H49" s="8">
        <v>45417</v>
      </c>
      <c r="I49" s="6" t="s">
        <v>39</v>
      </c>
      <c r="J49" s="6" t="s">
        <v>68</v>
      </c>
    </row>
    <row r="50" spans="1:10" x14ac:dyDescent="0.3">
      <c r="A50" s="6" t="s">
        <v>199</v>
      </c>
      <c r="B50" s="6" t="s">
        <v>200</v>
      </c>
      <c r="C50" s="6" t="s">
        <v>201</v>
      </c>
      <c r="D50" s="6" t="s">
        <v>38</v>
      </c>
      <c r="E50" s="7">
        <v>100</v>
      </c>
      <c r="F50" s="7">
        <v>44</v>
      </c>
      <c r="G50" s="7">
        <v>99</v>
      </c>
      <c r="H50" s="8">
        <v>45443</v>
      </c>
      <c r="I50" s="6" t="s">
        <v>39</v>
      </c>
      <c r="J50" s="6"/>
    </row>
    <row r="51" spans="1:10" x14ac:dyDescent="0.3">
      <c r="A51" s="6" t="s">
        <v>202</v>
      </c>
      <c r="B51" s="6" t="s">
        <v>203</v>
      </c>
      <c r="C51" s="6" t="s">
        <v>204</v>
      </c>
      <c r="D51" s="6" t="s">
        <v>54</v>
      </c>
      <c r="E51" s="7">
        <v>46</v>
      </c>
      <c r="F51" s="7">
        <v>47</v>
      </c>
      <c r="G51" s="7">
        <v>66</v>
      </c>
      <c r="H51" s="8">
        <v>45392</v>
      </c>
      <c r="I51" s="6" t="s">
        <v>49</v>
      </c>
      <c r="J51" s="6" t="s">
        <v>73</v>
      </c>
    </row>
    <row r="52" spans="1:10" x14ac:dyDescent="0.3">
      <c r="A52" s="6" t="s">
        <v>205</v>
      </c>
      <c r="B52" s="6" t="s">
        <v>206</v>
      </c>
      <c r="C52" s="6" t="s">
        <v>207</v>
      </c>
      <c r="D52" s="6" t="s">
        <v>44</v>
      </c>
      <c r="E52" s="7">
        <v>67</v>
      </c>
      <c r="F52" s="7">
        <v>86</v>
      </c>
      <c r="G52" s="7">
        <v>100</v>
      </c>
      <c r="H52" s="8">
        <v>45461</v>
      </c>
      <c r="I52" s="6" t="s">
        <v>39</v>
      </c>
      <c r="J52" s="6"/>
    </row>
    <row r="53" spans="1:10" x14ac:dyDescent="0.3">
      <c r="A53" s="6" t="s">
        <v>208</v>
      </c>
      <c r="B53" s="6" t="s">
        <v>209</v>
      </c>
      <c r="C53" s="6" t="s">
        <v>210</v>
      </c>
      <c r="D53" s="6" t="s">
        <v>77</v>
      </c>
      <c r="E53" s="7">
        <v>61</v>
      </c>
      <c r="F53" s="7">
        <v>42</v>
      </c>
      <c r="G53" s="7">
        <v>95</v>
      </c>
      <c r="H53" s="8">
        <v>45524</v>
      </c>
      <c r="I53" s="6" t="s">
        <v>39</v>
      </c>
      <c r="J53" s="6"/>
    </row>
    <row r="55" spans="1:10" ht="23.85" customHeight="1" x14ac:dyDescent="0.3">
      <c r="A55" s="26" t="s">
        <v>211</v>
      </c>
      <c r="B55" s="26"/>
      <c r="C55" s="26"/>
      <c r="D55" s="26"/>
      <c r="E55" s="26"/>
      <c r="F55" s="26"/>
      <c r="G55" s="26"/>
      <c r="H55" s="26"/>
      <c r="I55" s="26"/>
      <c r="J55" s="26"/>
    </row>
    <row r="99" spans="4:4" x14ac:dyDescent="0.3">
      <c r="D99" s="6"/>
    </row>
    <row r="100" spans="4:4" x14ac:dyDescent="0.3">
      <c r="D100" s="6"/>
    </row>
    <row r="101" spans="4:4" x14ac:dyDescent="0.3">
      <c r="D101" s="6"/>
    </row>
    <row r="102" spans="4:4" x14ac:dyDescent="0.3">
      <c r="D102" s="6"/>
    </row>
    <row r="103" spans="4:4" x14ac:dyDescent="0.3">
      <c r="D103" s="6"/>
    </row>
    <row r="104" spans="4:4" x14ac:dyDescent="0.3">
      <c r="D104" s="6"/>
    </row>
    <row r="105" spans="4:4" x14ac:dyDescent="0.3">
      <c r="D105" s="6"/>
    </row>
    <row r="106" spans="4:4" x14ac:dyDescent="0.3">
      <c r="D106" s="6"/>
    </row>
  </sheetData>
  <autoFilter ref="A1:J53" xr:uid="{00000000-0009-0000-0000-000001000000}"/>
  <mergeCells count="1">
    <mergeCell ref="A55:J5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9000"/>
  </sheetPr>
  <dimension ref="A1:F116"/>
  <sheetViews>
    <sheetView showGridLines="0" zoomScaleNormal="100" workbookViewId="0">
      <pane ySplit="8" topLeftCell="A112" activePane="bottomLeft" state="frozen"/>
      <selection pane="bottomLeft" activeCell="E112" sqref="E112"/>
    </sheetView>
  </sheetViews>
  <sheetFormatPr defaultColWidth="8.6640625" defaultRowHeight="14.4" x14ac:dyDescent="0.3"/>
  <cols>
    <col min="1" max="1" width="5" customWidth="1"/>
    <col min="2" max="3" width="30" customWidth="1"/>
    <col min="4" max="5" width="38" customWidth="1"/>
    <col min="6" max="6" width="3" customWidth="1"/>
  </cols>
  <sheetData>
    <row r="1" spans="1:5" ht="19.5" customHeight="1" x14ac:dyDescent="0.3">
      <c r="A1" s="29" t="s">
        <v>212</v>
      </c>
      <c r="B1" s="29"/>
      <c r="C1" s="29"/>
      <c r="D1" s="29"/>
      <c r="E1" s="29"/>
    </row>
    <row r="2" spans="1:5" ht="19.5" customHeight="1" x14ac:dyDescent="0.3">
      <c r="A2" s="29"/>
      <c r="B2" s="29"/>
      <c r="C2" s="29"/>
      <c r="D2" s="29"/>
      <c r="E2" s="29"/>
    </row>
    <row r="3" spans="1:5" ht="15" customHeight="1" x14ac:dyDescent="0.3">
      <c r="A3" s="30" t="s">
        <v>213</v>
      </c>
      <c r="B3" s="30"/>
      <c r="C3" s="30"/>
      <c r="D3" s="30"/>
      <c r="E3" s="30"/>
    </row>
    <row r="4" spans="1:5" x14ac:dyDescent="0.3">
      <c r="A4" s="30"/>
      <c r="B4" s="30"/>
      <c r="C4" s="30"/>
      <c r="D4" s="30"/>
      <c r="E4" s="30"/>
    </row>
    <row r="5" spans="1:5" x14ac:dyDescent="0.3">
      <c r="A5" s="30"/>
      <c r="B5" s="30"/>
      <c r="C5" s="30"/>
      <c r="D5" s="30"/>
      <c r="E5" s="30"/>
    </row>
    <row r="6" spans="1:5" x14ac:dyDescent="0.3">
      <c r="A6" s="30"/>
      <c r="B6" s="30"/>
      <c r="C6" s="30"/>
      <c r="D6" s="30"/>
      <c r="E6" s="30"/>
    </row>
    <row r="8" spans="1:5" x14ac:dyDescent="0.3">
      <c r="A8" s="9" t="s">
        <v>214</v>
      </c>
      <c r="B8" s="10" t="s">
        <v>215</v>
      </c>
      <c r="C8" s="11" t="s">
        <v>216</v>
      </c>
    </row>
    <row r="10" spans="1:5" ht="18" customHeight="1" x14ac:dyDescent="0.3">
      <c r="A10" s="28" t="s">
        <v>217</v>
      </c>
      <c r="B10" s="28"/>
      <c r="C10" s="28"/>
      <c r="D10" s="28"/>
      <c r="E10" s="28"/>
    </row>
    <row r="11" spans="1:5" ht="27.75" customHeight="1" x14ac:dyDescent="0.3">
      <c r="A11" s="27" t="s">
        <v>218</v>
      </c>
      <c r="B11" s="27"/>
      <c r="C11" s="27"/>
      <c r="D11" s="27"/>
      <c r="E11" s="27"/>
    </row>
    <row r="12" spans="1:5" x14ac:dyDescent="0.3">
      <c r="A12" s="12" t="s">
        <v>219</v>
      </c>
      <c r="B12" s="12" t="s">
        <v>26</v>
      </c>
      <c r="C12" s="12" t="s">
        <v>220</v>
      </c>
    </row>
    <row r="13" spans="1:5" x14ac:dyDescent="0.3">
      <c r="A13" s="13">
        <v>1</v>
      </c>
      <c r="B13" s="6" t="str">
        <f>'Raw Data'!B2</f>
        <v>Suresh Nair</v>
      </c>
      <c r="C13" s="14" t="str">
        <f>LEFT(B13,FIND(" ",B13))</f>
        <v xml:space="preserve">Suresh </v>
      </c>
    </row>
    <row r="14" spans="1:5" x14ac:dyDescent="0.3">
      <c r="A14" s="13">
        <v>2</v>
      </c>
      <c r="B14" s="6" t="str">
        <f>'Raw Data'!B3</f>
        <v>Gaurav Patel</v>
      </c>
      <c r="C14" s="14" t="str">
        <f t="shared" ref="C14:C17" si="0">LEFT(B14,FIND(" ",B14))</f>
        <v xml:space="preserve">Gaurav </v>
      </c>
    </row>
    <row r="15" spans="1:5" x14ac:dyDescent="0.3">
      <c r="A15" s="13">
        <v>3</v>
      </c>
      <c r="B15" s="6" t="str">
        <f>'Raw Data'!B4</f>
        <v>Ishita Naidu</v>
      </c>
      <c r="C15" s="14" t="str">
        <f t="shared" si="0"/>
        <v xml:space="preserve">Ishita </v>
      </c>
    </row>
    <row r="16" spans="1:5" x14ac:dyDescent="0.3">
      <c r="A16" s="13">
        <v>4</v>
      </c>
      <c r="B16" s="6" t="str">
        <f>'Raw Data'!B5</f>
        <v>Alok Mehta</v>
      </c>
      <c r="C16" s="14" t="str">
        <f t="shared" si="0"/>
        <v xml:space="preserve">Alok </v>
      </c>
    </row>
    <row r="17" spans="1:5" x14ac:dyDescent="0.3">
      <c r="A17" s="13">
        <v>5</v>
      </c>
      <c r="B17" s="6" t="str">
        <f>'Raw Data'!B6</f>
        <v>Kabir Reddy</v>
      </c>
      <c r="C17" s="14" t="str">
        <f t="shared" si="0"/>
        <v xml:space="preserve">Kabir </v>
      </c>
    </row>
    <row r="19" spans="1:5" ht="18" customHeight="1" x14ac:dyDescent="0.3">
      <c r="A19" s="28" t="s">
        <v>222</v>
      </c>
      <c r="B19" s="28"/>
      <c r="C19" s="28"/>
      <c r="D19" s="28"/>
      <c r="E19" s="28"/>
    </row>
    <row r="20" spans="1:5" ht="27.75" customHeight="1" x14ac:dyDescent="0.3">
      <c r="A20" s="27" t="s">
        <v>223</v>
      </c>
      <c r="B20" s="27"/>
      <c r="C20" s="27"/>
      <c r="D20" s="27"/>
      <c r="E20" s="27"/>
    </row>
    <row r="21" spans="1:5" x14ac:dyDescent="0.3">
      <c r="A21" s="12" t="s">
        <v>219</v>
      </c>
      <c r="B21" s="12" t="s">
        <v>26</v>
      </c>
      <c r="C21" s="12" t="s">
        <v>220</v>
      </c>
    </row>
    <row r="22" spans="1:5" x14ac:dyDescent="0.3">
      <c r="A22" s="13">
        <v>1</v>
      </c>
      <c r="B22" s="6" t="str">
        <f>'Raw Data'!B2</f>
        <v>Suresh Nair</v>
      </c>
      <c r="C22" s="14" t="str">
        <f>RIGHT(B22,LEN(B22)-FIND(" ",B22)+1)</f>
        <v xml:space="preserve"> Nair</v>
      </c>
    </row>
    <row r="23" spans="1:5" x14ac:dyDescent="0.3">
      <c r="A23" s="13">
        <v>2</v>
      </c>
      <c r="B23" s="6" t="str">
        <f>'Raw Data'!B3</f>
        <v>Gaurav Patel</v>
      </c>
      <c r="C23" s="14" t="str">
        <f t="shared" ref="C23:C26" si="1">RIGHT(B23,LEN(B23)-FIND(" ",B23)+1)</f>
        <v xml:space="preserve"> Patel</v>
      </c>
    </row>
    <row r="24" spans="1:5" x14ac:dyDescent="0.3">
      <c r="A24" s="13">
        <v>3</v>
      </c>
      <c r="B24" s="6" t="str">
        <f>'Raw Data'!B4</f>
        <v>Ishita Naidu</v>
      </c>
      <c r="C24" s="14" t="str">
        <f t="shared" si="1"/>
        <v xml:space="preserve"> Naidu</v>
      </c>
    </row>
    <row r="25" spans="1:5" x14ac:dyDescent="0.3">
      <c r="A25" s="13">
        <v>4</v>
      </c>
      <c r="B25" s="6" t="str">
        <f>'Raw Data'!B5</f>
        <v>Alok Mehta</v>
      </c>
      <c r="C25" s="14" t="str">
        <f t="shared" si="1"/>
        <v xml:space="preserve"> Mehta</v>
      </c>
    </row>
    <row r="26" spans="1:5" x14ac:dyDescent="0.3">
      <c r="A26" s="13">
        <v>5</v>
      </c>
      <c r="B26" s="6" t="str">
        <f>'Raw Data'!B6</f>
        <v>Kabir Reddy</v>
      </c>
      <c r="C26" s="14" t="str">
        <f t="shared" si="1"/>
        <v xml:space="preserve"> Reddy</v>
      </c>
    </row>
    <row r="28" spans="1:5" ht="18" customHeight="1" x14ac:dyDescent="0.3">
      <c r="A28" s="28" t="s">
        <v>224</v>
      </c>
      <c r="B28" s="28"/>
      <c r="C28" s="28"/>
      <c r="D28" s="28"/>
      <c r="E28" s="28"/>
    </row>
    <row r="29" spans="1:5" ht="27.75" customHeight="1" x14ac:dyDescent="0.3">
      <c r="A29" s="27" t="s">
        <v>225</v>
      </c>
      <c r="B29" s="27"/>
      <c r="C29" s="27"/>
      <c r="D29" s="27"/>
      <c r="E29" s="27"/>
    </row>
    <row r="30" spans="1:5" x14ac:dyDescent="0.3">
      <c r="A30" s="12" t="s">
        <v>219</v>
      </c>
      <c r="B30" s="12" t="s">
        <v>25</v>
      </c>
      <c r="C30" s="12" t="s">
        <v>220</v>
      </c>
      <c r="D30" s="12" t="s">
        <v>221</v>
      </c>
    </row>
    <row r="31" spans="1:5" x14ac:dyDescent="0.3">
      <c r="A31" s="13">
        <v>1</v>
      </c>
      <c r="B31" s="6" t="str">
        <f>'Raw Data'!A2</f>
        <v>STU1001</v>
      </c>
      <c r="C31" s="14" t="str">
        <f>MID(B31,4,4)</f>
        <v>1001</v>
      </c>
      <c r="D31" s="15">
        <v>1001</v>
      </c>
    </row>
    <row r="32" spans="1:5" x14ac:dyDescent="0.3">
      <c r="A32" s="13">
        <v>2</v>
      </c>
      <c r="B32" s="6" t="str">
        <f>'Raw Data'!A3</f>
        <v>STU1002</v>
      </c>
      <c r="C32" s="14" t="str">
        <f t="shared" ref="C32:C35" si="2">MID(B32,4,4)</f>
        <v>1002</v>
      </c>
      <c r="D32" s="15"/>
    </row>
    <row r="33" spans="1:5" x14ac:dyDescent="0.3">
      <c r="A33" s="13">
        <v>3</v>
      </c>
      <c r="B33" s="6" t="str">
        <f>'Raw Data'!A4</f>
        <v>STU1003</v>
      </c>
      <c r="C33" s="14" t="str">
        <f t="shared" si="2"/>
        <v>1003</v>
      </c>
      <c r="D33" s="15"/>
    </row>
    <row r="34" spans="1:5" x14ac:dyDescent="0.3">
      <c r="A34" s="13">
        <v>4</v>
      </c>
      <c r="B34" s="6" t="str">
        <f>'Raw Data'!A5</f>
        <v>STU1004</v>
      </c>
      <c r="C34" s="14" t="str">
        <f t="shared" si="2"/>
        <v>1004</v>
      </c>
      <c r="D34" s="15"/>
    </row>
    <row r="35" spans="1:5" x14ac:dyDescent="0.3">
      <c r="A35" s="13">
        <v>5</v>
      </c>
      <c r="B35" s="6" t="str">
        <f>'Raw Data'!A6</f>
        <v>STU1005</v>
      </c>
      <c r="C35" s="14" t="str">
        <f t="shared" si="2"/>
        <v>1005</v>
      </c>
      <c r="D35" s="15"/>
    </row>
    <row r="37" spans="1:5" ht="18" customHeight="1" x14ac:dyDescent="0.3">
      <c r="A37" s="28" t="s">
        <v>226</v>
      </c>
      <c r="B37" s="28"/>
      <c r="C37" s="28"/>
      <c r="D37" s="28"/>
      <c r="E37" s="28"/>
    </row>
    <row r="38" spans="1:5" ht="27.75" customHeight="1" x14ac:dyDescent="0.3">
      <c r="A38" s="27" t="s">
        <v>227</v>
      </c>
      <c r="B38" s="27"/>
      <c r="C38" s="27"/>
      <c r="D38" s="27"/>
      <c r="E38" s="27"/>
    </row>
    <row r="39" spans="1:5" x14ac:dyDescent="0.3">
      <c r="A39" s="12" t="s">
        <v>219</v>
      </c>
      <c r="B39" s="12" t="s">
        <v>27</v>
      </c>
      <c r="C39" s="12" t="s">
        <v>220</v>
      </c>
      <c r="D39" s="12" t="s">
        <v>221</v>
      </c>
    </row>
    <row r="40" spans="1:5" x14ac:dyDescent="0.3">
      <c r="A40" s="13">
        <v>1</v>
      </c>
      <c r="B40" s="6" t="str">
        <f>'Raw Data'!C2</f>
        <v>suresh.nair1@gmail.com</v>
      </c>
      <c r="C40" s="14">
        <f>FIND("@",B40)</f>
        <v>13</v>
      </c>
      <c r="D40" s="15">
        <v>13</v>
      </c>
    </row>
    <row r="41" spans="1:5" x14ac:dyDescent="0.3">
      <c r="A41" s="13">
        <v>2</v>
      </c>
      <c r="B41" s="6" t="str">
        <f>'Raw Data'!C3</f>
        <v>gaurav.patel2@learnhub.org</v>
      </c>
      <c r="C41" s="14">
        <f t="shared" ref="C41:C44" si="3">FIND("@",B41)</f>
        <v>14</v>
      </c>
      <c r="D41" s="15"/>
    </row>
    <row r="42" spans="1:5" x14ac:dyDescent="0.3">
      <c r="A42" s="13">
        <v>3</v>
      </c>
      <c r="B42" s="6" t="str">
        <f>'Raw Data'!C4</f>
        <v>ishita.naidu3@outlook.com</v>
      </c>
      <c r="C42" s="14">
        <f t="shared" si="3"/>
        <v>14</v>
      </c>
      <c r="D42" s="15"/>
    </row>
    <row r="43" spans="1:5" x14ac:dyDescent="0.3">
      <c r="A43" s="13">
        <v>4</v>
      </c>
      <c r="B43" s="6" t="str">
        <f>'Raw Data'!C5</f>
        <v>alok.mehta4@yahoo.com</v>
      </c>
      <c r="C43" s="14">
        <f t="shared" si="3"/>
        <v>12</v>
      </c>
      <c r="D43" s="15"/>
    </row>
    <row r="44" spans="1:5" x14ac:dyDescent="0.3">
      <c r="A44" s="13">
        <v>5</v>
      </c>
      <c r="B44" s="6" t="str">
        <f>'Raw Data'!C6</f>
        <v>kabir.reddy5@upgrad.edu</v>
      </c>
      <c r="C44" s="14">
        <f t="shared" si="3"/>
        <v>13</v>
      </c>
      <c r="D44" s="15"/>
    </row>
    <row r="46" spans="1:5" ht="18" customHeight="1" x14ac:dyDescent="0.3">
      <c r="A46" s="28" t="s">
        <v>228</v>
      </c>
      <c r="B46" s="28"/>
      <c r="C46" s="28"/>
      <c r="D46" s="28"/>
      <c r="E46" s="28"/>
    </row>
    <row r="47" spans="1:5" ht="27.75" customHeight="1" x14ac:dyDescent="0.3">
      <c r="A47" s="27" t="s">
        <v>229</v>
      </c>
      <c r="B47" s="27"/>
      <c r="C47" s="27"/>
      <c r="D47" s="27"/>
      <c r="E47" s="27"/>
    </row>
    <row r="48" spans="1:5" x14ac:dyDescent="0.3">
      <c r="A48" s="12" t="s">
        <v>219</v>
      </c>
      <c r="B48" s="12" t="s">
        <v>27</v>
      </c>
      <c r="C48" s="12" t="s">
        <v>220</v>
      </c>
      <c r="D48" s="12" t="s">
        <v>221</v>
      </c>
    </row>
    <row r="49" spans="1:5" x14ac:dyDescent="0.3">
      <c r="A49" s="13">
        <v>1</v>
      </c>
      <c r="B49" s="6" t="str">
        <f>'Raw Data'!C2</f>
        <v>suresh.nair1@gmail.com</v>
      </c>
      <c r="C49" s="14" t="str">
        <f>+MID(B49,FIND("@",B49)+1,LEN(B49))</f>
        <v>gmail.com</v>
      </c>
      <c r="D49" s="15" t="s">
        <v>294</v>
      </c>
    </row>
    <row r="50" spans="1:5" x14ac:dyDescent="0.3">
      <c r="A50" s="13">
        <v>2</v>
      </c>
      <c r="B50" s="6" t="str">
        <f>'Raw Data'!C3</f>
        <v>gaurav.patel2@learnhub.org</v>
      </c>
      <c r="C50" s="14" t="str">
        <f t="shared" ref="C50:C53" si="4">+MID(B50,FIND("@",B50)+1,LEN(B50))</f>
        <v>learnhub.org</v>
      </c>
      <c r="D50" s="15"/>
    </row>
    <row r="51" spans="1:5" x14ac:dyDescent="0.3">
      <c r="A51" s="13">
        <v>3</v>
      </c>
      <c r="B51" s="6" t="str">
        <f>'Raw Data'!C4</f>
        <v>ishita.naidu3@outlook.com</v>
      </c>
      <c r="C51" s="14" t="str">
        <f t="shared" si="4"/>
        <v>outlook.com</v>
      </c>
      <c r="D51" s="15"/>
    </row>
    <row r="52" spans="1:5" x14ac:dyDescent="0.3">
      <c r="A52" s="13">
        <v>4</v>
      </c>
      <c r="B52" s="6" t="str">
        <f>'Raw Data'!C5</f>
        <v>alok.mehta4@yahoo.com</v>
      </c>
      <c r="C52" s="14" t="str">
        <f t="shared" si="4"/>
        <v>yahoo.com</v>
      </c>
      <c r="D52" s="15"/>
    </row>
    <row r="53" spans="1:5" x14ac:dyDescent="0.3">
      <c r="A53" s="13">
        <v>5</v>
      </c>
      <c r="B53" s="6" t="str">
        <f>'Raw Data'!C6</f>
        <v>kabir.reddy5@upgrad.edu</v>
      </c>
      <c r="C53" s="14" t="str">
        <f t="shared" si="4"/>
        <v>upgrad.edu</v>
      </c>
      <c r="D53" s="15"/>
    </row>
    <row r="55" spans="1:5" ht="18" customHeight="1" x14ac:dyDescent="0.3">
      <c r="A55" s="28" t="s">
        <v>230</v>
      </c>
      <c r="B55" s="28"/>
      <c r="C55" s="28"/>
      <c r="D55" s="28"/>
      <c r="E55" s="28"/>
    </row>
    <row r="56" spans="1:5" ht="27.75" customHeight="1" x14ac:dyDescent="0.3">
      <c r="A56" s="27" t="s">
        <v>231</v>
      </c>
      <c r="B56" s="27"/>
      <c r="C56" s="27"/>
      <c r="D56" s="27"/>
      <c r="E56" s="27"/>
    </row>
    <row r="57" spans="1:5" x14ac:dyDescent="0.3">
      <c r="A57" s="12" t="s">
        <v>219</v>
      </c>
      <c r="B57" s="12" t="s">
        <v>27</v>
      </c>
      <c r="C57" s="12" t="s">
        <v>220</v>
      </c>
      <c r="D57" s="12" t="s">
        <v>221</v>
      </c>
    </row>
    <row r="58" spans="1:5" x14ac:dyDescent="0.3">
      <c r="A58" s="13">
        <v>1</v>
      </c>
      <c r="B58" s="6" t="str">
        <f>'Raw Data'!C2</f>
        <v>suresh.nair1@gmail.com</v>
      </c>
      <c r="C58" s="14">
        <f>LEN(B58)</f>
        <v>22</v>
      </c>
      <c r="D58" s="15">
        <v>22</v>
      </c>
    </row>
    <row r="59" spans="1:5" x14ac:dyDescent="0.3">
      <c r="A59" s="13">
        <v>2</v>
      </c>
      <c r="B59" s="6" t="str">
        <f>'Raw Data'!C3</f>
        <v>gaurav.patel2@learnhub.org</v>
      </c>
      <c r="C59" s="14">
        <f t="shared" ref="C59:C62" si="5">LEN(B59)</f>
        <v>26</v>
      </c>
      <c r="D59" s="15"/>
    </row>
    <row r="60" spans="1:5" x14ac:dyDescent="0.3">
      <c r="A60" s="13">
        <v>3</v>
      </c>
      <c r="B60" s="6" t="str">
        <f>'Raw Data'!C4</f>
        <v>ishita.naidu3@outlook.com</v>
      </c>
      <c r="C60" s="14">
        <f t="shared" si="5"/>
        <v>25</v>
      </c>
      <c r="D60" s="15"/>
    </row>
    <row r="61" spans="1:5" x14ac:dyDescent="0.3">
      <c r="A61" s="13">
        <v>4</v>
      </c>
      <c r="B61" s="6" t="str">
        <f>'Raw Data'!C5</f>
        <v>alok.mehta4@yahoo.com</v>
      </c>
      <c r="C61" s="14">
        <f t="shared" si="5"/>
        <v>21</v>
      </c>
      <c r="D61" s="15"/>
    </row>
    <row r="62" spans="1:5" x14ac:dyDescent="0.3">
      <c r="A62" s="13">
        <v>5</v>
      </c>
      <c r="B62" s="6" t="str">
        <f>'Raw Data'!C6</f>
        <v>kabir.reddy5@upgrad.edu</v>
      </c>
      <c r="C62" s="14">
        <f t="shared" si="5"/>
        <v>23</v>
      </c>
      <c r="D62" s="15"/>
    </row>
    <row r="64" spans="1:5" ht="18" customHeight="1" x14ac:dyDescent="0.3">
      <c r="A64" s="28" t="s">
        <v>232</v>
      </c>
      <c r="B64" s="28"/>
      <c r="C64" s="28"/>
      <c r="D64" s="28"/>
      <c r="E64" s="28"/>
    </row>
    <row r="65" spans="1:5" ht="27.75" customHeight="1" x14ac:dyDescent="0.3">
      <c r="A65" s="27" t="s">
        <v>233</v>
      </c>
      <c r="B65" s="27"/>
      <c r="C65" s="27"/>
      <c r="D65" s="27"/>
      <c r="E65" s="27"/>
    </row>
    <row r="66" spans="1:5" x14ac:dyDescent="0.3">
      <c r="A66" s="12" t="s">
        <v>219</v>
      </c>
      <c r="B66" s="12" t="s">
        <v>26</v>
      </c>
      <c r="C66" s="12" t="s">
        <v>27</v>
      </c>
      <c r="D66" s="12" t="s">
        <v>220</v>
      </c>
      <c r="E66" s="12" t="s">
        <v>221</v>
      </c>
    </row>
    <row r="67" spans="1:5" x14ac:dyDescent="0.3">
      <c r="A67" s="13">
        <v>1</v>
      </c>
      <c r="B67" s="6" t="str">
        <f>'Raw Data'!B2</f>
        <v>Suresh Nair</v>
      </c>
      <c r="C67" s="6" t="str">
        <f>'Raw Data'!C2</f>
        <v>suresh.nair1@gmail.com</v>
      </c>
      <c r="D67" s="14" t="str">
        <f>_xlfn.TEXTJOIN("_",TRUE,UPPER(B67),LOWER(C67))</f>
        <v>SURESH NAIR_suresh.nair1@gmail.com</v>
      </c>
      <c r="E67" s="15" t="s">
        <v>295</v>
      </c>
    </row>
    <row r="68" spans="1:5" x14ac:dyDescent="0.3">
      <c r="A68" s="13">
        <v>2</v>
      </c>
      <c r="B68" s="6" t="str">
        <f>'Raw Data'!B3</f>
        <v>Gaurav Patel</v>
      </c>
      <c r="C68" s="6" t="str">
        <f>'Raw Data'!C3</f>
        <v>gaurav.patel2@learnhub.org</v>
      </c>
      <c r="D68" s="14" t="str">
        <f t="shared" ref="D68:D71" si="6">_xlfn.TEXTJOIN("_",TRUE,UPPER(B68),LOWER(C68))</f>
        <v>GAURAV PATEL_gaurav.patel2@learnhub.org</v>
      </c>
      <c r="E68" s="15"/>
    </row>
    <row r="69" spans="1:5" x14ac:dyDescent="0.3">
      <c r="A69" s="13">
        <v>3</v>
      </c>
      <c r="B69" s="6" t="str">
        <f>'Raw Data'!B4</f>
        <v>Ishita Naidu</v>
      </c>
      <c r="C69" s="6" t="str">
        <f>'Raw Data'!C4</f>
        <v>ishita.naidu3@outlook.com</v>
      </c>
      <c r="D69" s="14" t="str">
        <f t="shared" si="6"/>
        <v>ISHITA NAIDU_ishita.naidu3@outlook.com</v>
      </c>
      <c r="E69" s="15"/>
    </row>
    <row r="70" spans="1:5" x14ac:dyDescent="0.3">
      <c r="A70" s="13">
        <v>4</v>
      </c>
      <c r="B70" s="6" t="str">
        <f>'Raw Data'!B5</f>
        <v>Alok Mehta</v>
      </c>
      <c r="C70" s="6" t="str">
        <f>'Raw Data'!C5</f>
        <v>alok.mehta4@yahoo.com</v>
      </c>
      <c r="D70" s="14" t="str">
        <f t="shared" si="6"/>
        <v>ALOK MEHTA_alok.mehta4@yahoo.com</v>
      </c>
      <c r="E70" s="15"/>
    </row>
    <row r="71" spans="1:5" x14ac:dyDescent="0.3">
      <c r="A71" s="13">
        <v>5</v>
      </c>
      <c r="B71" s="6" t="str">
        <f>'Raw Data'!B6</f>
        <v>Kabir Reddy</v>
      </c>
      <c r="C71" s="6" t="str">
        <f>'Raw Data'!C6</f>
        <v>kabir.reddy5@upgrad.edu</v>
      </c>
      <c r="D71" s="14" t="str">
        <f t="shared" si="6"/>
        <v>KABIR REDDY_kabir.reddy5@upgrad.edu</v>
      </c>
      <c r="E71" s="15"/>
    </row>
    <row r="73" spans="1:5" ht="18" customHeight="1" x14ac:dyDescent="0.3">
      <c r="A73" s="28" t="s">
        <v>234</v>
      </c>
      <c r="B73" s="28"/>
      <c r="C73" s="28"/>
      <c r="D73" s="28"/>
      <c r="E73" s="28"/>
    </row>
    <row r="74" spans="1:5" ht="27.75" customHeight="1" x14ac:dyDescent="0.3">
      <c r="A74" s="27" t="s">
        <v>235</v>
      </c>
      <c r="B74" s="27"/>
      <c r="C74" s="27"/>
      <c r="D74" s="27"/>
      <c r="E74" s="27"/>
    </row>
    <row r="75" spans="1:5" x14ac:dyDescent="0.3">
      <c r="A75" s="12" t="s">
        <v>219</v>
      </c>
      <c r="B75" s="12" t="s">
        <v>34</v>
      </c>
      <c r="C75" s="12" t="s">
        <v>220</v>
      </c>
      <c r="D75" s="12" t="s">
        <v>221</v>
      </c>
    </row>
    <row r="76" spans="1:5" x14ac:dyDescent="0.3">
      <c r="A76" s="13">
        <v>1</v>
      </c>
      <c r="B76" s="6" t="str">
        <f>'Raw Data'!J2</f>
        <v>On track for certification</v>
      </c>
      <c r="C76" s="14" t="str">
        <f>PROPER(B76)</f>
        <v>On Track For Certification</v>
      </c>
      <c r="D76" s="15"/>
    </row>
    <row r="77" spans="1:5" x14ac:dyDescent="0.3">
      <c r="A77" s="13">
        <v>2</v>
      </c>
      <c r="B77" s="6" t="str">
        <f>'Raw Data'!J3</f>
        <v>Great participation in class</v>
      </c>
      <c r="C77" s="14" t="str">
        <f t="shared" ref="C77:C80" si="7">PROPER(B77)</f>
        <v>Great Participation In Class</v>
      </c>
      <c r="D77" s="15"/>
    </row>
    <row r="78" spans="1:5" x14ac:dyDescent="0.3">
      <c r="A78" s="13">
        <v>3</v>
      </c>
      <c r="B78" s="6" t="str">
        <f>'Raw Data'!J4</f>
        <v>Needs support with formulas</v>
      </c>
      <c r="C78" s="14" t="str">
        <f t="shared" si="7"/>
        <v>Needs Support With Formulas</v>
      </c>
      <c r="D78" s="15"/>
    </row>
    <row r="79" spans="1:5" x14ac:dyDescent="0.3">
      <c r="A79" s="13">
        <v>4</v>
      </c>
      <c r="B79" s="6" t="str">
        <f>'Raw Data'!J5</f>
        <v>Excellent progress</v>
      </c>
      <c r="C79" s="14" t="str">
        <f t="shared" si="7"/>
        <v>Excellent Progress</v>
      </c>
      <c r="D79" s="15"/>
    </row>
    <row r="80" spans="1:5" x14ac:dyDescent="0.3">
      <c r="A80" s="13">
        <v>5</v>
      </c>
      <c r="B80" s="6" t="str">
        <f>'Raw Data'!J6</f>
        <v>Excellent progress</v>
      </c>
      <c r="C80" s="14" t="str">
        <f t="shared" si="7"/>
        <v>Excellent Progress</v>
      </c>
      <c r="D80" s="15"/>
    </row>
    <row r="82" spans="1:5" ht="18" customHeight="1" x14ac:dyDescent="0.3">
      <c r="A82" s="28" t="s">
        <v>236</v>
      </c>
      <c r="B82" s="28"/>
      <c r="C82" s="28"/>
      <c r="D82" s="28"/>
      <c r="E82" s="28"/>
    </row>
    <row r="83" spans="1:5" ht="27.75" customHeight="1" x14ac:dyDescent="0.3">
      <c r="A83" s="27" t="s">
        <v>237</v>
      </c>
      <c r="B83" s="27"/>
      <c r="C83" s="27"/>
      <c r="D83" s="27"/>
      <c r="E83" s="27"/>
    </row>
    <row r="84" spans="1:5" ht="27.6" x14ac:dyDescent="0.3">
      <c r="A84" s="12" t="s">
        <v>219</v>
      </c>
      <c r="B84" s="12" t="s">
        <v>238</v>
      </c>
      <c r="C84" s="12" t="s">
        <v>220</v>
      </c>
      <c r="D84" s="12" t="s">
        <v>221</v>
      </c>
    </row>
    <row r="85" spans="1:5" x14ac:dyDescent="0.3">
      <c r="A85" s="13">
        <v>1</v>
      </c>
      <c r="B85" s="6" t="str">
        <f>" "&amp;'Raw Data'!B2&amp;"  "</f>
        <v xml:space="preserve"> Suresh Nair  </v>
      </c>
      <c r="C85" s="14" t="str">
        <f>TRIM(B85)</f>
        <v>Suresh Nair</v>
      </c>
      <c r="D85" s="15"/>
    </row>
    <row r="86" spans="1:5" x14ac:dyDescent="0.3">
      <c r="A86" s="13">
        <v>2</v>
      </c>
      <c r="B86" s="6" t="str">
        <f>" "&amp;'Raw Data'!B3&amp;"  "</f>
        <v xml:space="preserve"> Gaurav Patel  </v>
      </c>
      <c r="C86" s="14" t="str">
        <f t="shared" ref="C86:C89" si="8">TRIM(B86)</f>
        <v>Gaurav Patel</v>
      </c>
      <c r="D86" s="15"/>
    </row>
    <row r="87" spans="1:5" x14ac:dyDescent="0.3">
      <c r="A87" s="13">
        <v>3</v>
      </c>
      <c r="B87" s="6" t="str">
        <f>" "&amp;'Raw Data'!B4&amp;"  "</f>
        <v xml:space="preserve"> Ishita Naidu  </v>
      </c>
      <c r="C87" s="14" t="str">
        <f t="shared" si="8"/>
        <v>Ishita Naidu</v>
      </c>
      <c r="D87" s="15"/>
    </row>
    <row r="88" spans="1:5" x14ac:dyDescent="0.3">
      <c r="A88" s="13">
        <v>4</v>
      </c>
      <c r="B88" s="6" t="str">
        <f>" "&amp;'Raw Data'!B5&amp;"  "</f>
        <v xml:space="preserve"> Alok Mehta  </v>
      </c>
      <c r="C88" s="14" t="str">
        <f t="shared" si="8"/>
        <v>Alok Mehta</v>
      </c>
      <c r="D88" s="15"/>
    </row>
    <row r="89" spans="1:5" x14ac:dyDescent="0.3">
      <c r="A89" s="13">
        <v>5</v>
      </c>
      <c r="B89" s="6" t="str">
        <f>" "&amp;'Raw Data'!B6&amp;"  "</f>
        <v xml:space="preserve"> Kabir Reddy  </v>
      </c>
      <c r="C89" s="14" t="str">
        <f t="shared" si="8"/>
        <v>Kabir Reddy</v>
      </c>
      <c r="D89" s="15"/>
    </row>
    <row r="91" spans="1:5" ht="18" customHeight="1" x14ac:dyDescent="0.3">
      <c r="A91" s="28" t="s">
        <v>239</v>
      </c>
      <c r="B91" s="28"/>
      <c r="C91" s="28"/>
      <c r="D91" s="28"/>
      <c r="E91" s="28"/>
    </row>
    <row r="92" spans="1:5" ht="27.75" customHeight="1" x14ac:dyDescent="0.3">
      <c r="A92" s="27" t="s">
        <v>240</v>
      </c>
      <c r="B92" s="27"/>
      <c r="C92" s="27"/>
      <c r="D92" s="27"/>
      <c r="E92" s="27"/>
    </row>
    <row r="93" spans="1:5" x14ac:dyDescent="0.3">
      <c r="A93" s="12" t="s">
        <v>219</v>
      </c>
      <c r="B93" s="12" t="s">
        <v>27</v>
      </c>
      <c r="C93" s="12" t="s">
        <v>220</v>
      </c>
    </row>
    <row r="94" spans="1:5" x14ac:dyDescent="0.3">
      <c r="A94" s="13">
        <v>1</v>
      </c>
      <c r="B94" s="6" t="str">
        <f>'Raw Data'!C2</f>
        <v>suresh.nair1@gmail.com</v>
      </c>
      <c r="C94" s="14" t="str">
        <f>SUBSTITUTE(B94,"@","at")</f>
        <v>suresh.nair1atgmail.com</v>
      </c>
    </row>
    <row r="95" spans="1:5" x14ac:dyDescent="0.3">
      <c r="A95" s="13">
        <v>2</v>
      </c>
      <c r="B95" s="6" t="str">
        <f>'Raw Data'!C3</f>
        <v>gaurav.patel2@learnhub.org</v>
      </c>
      <c r="C95" s="14" t="str">
        <f t="shared" ref="C95:C98" si="9">SUBSTITUTE(B95,"@","at")</f>
        <v>gaurav.patel2atlearnhub.org</v>
      </c>
    </row>
    <row r="96" spans="1:5" x14ac:dyDescent="0.3">
      <c r="A96" s="13">
        <v>3</v>
      </c>
      <c r="B96" s="6" t="str">
        <f>'Raw Data'!C4</f>
        <v>ishita.naidu3@outlook.com</v>
      </c>
      <c r="C96" s="14" t="str">
        <f t="shared" si="9"/>
        <v>ishita.naidu3atoutlook.com</v>
      </c>
    </row>
    <row r="97" spans="1:6" x14ac:dyDescent="0.3">
      <c r="A97" s="13">
        <v>4</v>
      </c>
      <c r="B97" s="6" t="str">
        <f>'Raw Data'!C5</f>
        <v>alok.mehta4@yahoo.com</v>
      </c>
      <c r="C97" s="14" t="str">
        <f t="shared" si="9"/>
        <v>alok.mehta4atyahoo.com</v>
      </c>
    </row>
    <row r="98" spans="1:6" x14ac:dyDescent="0.3">
      <c r="A98" s="13">
        <v>5</v>
      </c>
      <c r="B98" s="6" t="str">
        <f>'Raw Data'!C6</f>
        <v>kabir.reddy5@upgrad.edu</v>
      </c>
      <c r="C98" s="14" t="str">
        <f t="shared" si="9"/>
        <v>kabir.reddy5atupgrad.edu</v>
      </c>
    </row>
    <row r="100" spans="1:6" ht="18" customHeight="1" x14ac:dyDescent="0.3">
      <c r="A100" s="28" t="s">
        <v>241</v>
      </c>
      <c r="B100" s="28"/>
      <c r="C100" s="28"/>
      <c r="D100" s="28"/>
      <c r="E100" s="28"/>
    </row>
    <row r="101" spans="1:6" ht="27.75" customHeight="1" x14ac:dyDescent="0.3">
      <c r="A101" s="27" t="s">
        <v>242</v>
      </c>
      <c r="B101" s="27"/>
      <c r="C101" s="27"/>
      <c r="D101" s="27"/>
      <c r="E101" s="27"/>
    </row>
    <row r="102" spans="1:6" x14ac:dyDescent="0.3">
      <c r="A102" s="12" t="s">
        <v>219</v>
      </c>
      <c r="B102" s="12" t="s">
        <v>25</v>
      </c>
      <c r="C102" s="12" t="s">
        <v>220</v>
      </c>
      <c r="D102" s="12" t="s">
        <v>221</v>
      </c>
    </row>
    <row r="103" spans="1:6" x14ac:dyDescent="0.3">
      <c r="A103" s="13">
        <v>1</v>
      </c>
      <c r="B103" s="6" t="str">
        <f>'Raw Data'!A2</f>
        <v>STU1001</v>
      </c>
      <c r="C103" s="14" t="str">
        <f>REPLACE(B104,4,4,"****")</f>
        <v>STU****</v>
      </c>
      <c r="D103" s="15" t="str">
        <f>REPLACE(B103,4,4,"****")</f>
        <v>STU****</v>
      </c>
    </row>
    <row r="104" spans="1:6" x14ac:dyDescent="0.3">
      <c r="A104" s="13">
        <v>2</v>
      </c>
      <c r="B104" s="6" t="str">
        <f>'Raw Data'!A3</f>
        <v>STU1002</v>
      </c>
      <c r="C104" s="14" t="str">
        <f t="shared" ref="C104:C107" si="10">REPLACE(B105,4,4,"****")</f>
        <v>STU****</v>
      </c>
      <c r="D104" s="15" t="str">
        <f>REPLACE(B104,4,4,"****")</f>
        <v>STU****</v>
      </c>
    </row>
    <row r="105" spans="1:6" x14ac:dyDescent="0.3">
      <c r="A105" s="13">
        <v>3</v>
      </c>
      <c r="B105" s="6" t="str">
        <f>'Raw Data'!A4</f>
        <v>STU1003</v>
      </c>
      <c r="C105" s="14" t="str">
        <f t="shared" si="10"/>
        <v>STU****</v>
      </c>
      <c r="D105" s="15" t="str">
        <f>REPLACE(B105,4,4,"****")</f>
        <v>STU****</v>
      </c>
    </row>
    <row r="106" spans="1:6" x14ac:dyDescent="0.3">
      <c r="A106" s="13">
        <v>4</v>
      </c>
      <c r="B106" s="6" t="str">
        <f>'Raw Data'!A5</f>
        <v>STU1004</v>
      </c>
      <c r="C106" s="14" t="str">
        <f t="shared" si="10"/>
        <v>STU****</v>
      </c>
      <c r="D106" s="15" t="str">
        <f>REPLACE(B106,4,4,"****")</f>
        <v>STU****</v>
      </c>
    </row>
    <row r="107" spans="1:6" x14ac:dyDescent="0.3">
      <c r="A107" s="13">
        <v>5</v>
      </c>
      <c r="B107" s="6" t="str">
        <f>'Raw Data'!A6</f>
        <v>STU1005</v>
      </c>
      <c r="C107" s="14" t="str">
        <f t="shared" si="10"/>
        <v>****</v>
      </c>
      <c r="D107" s="15" t="str">
        <f>REPLACE(B107,4,4,"****")</f>
        <v>STU****</v>
      </c>
    </row>
    <row r="109" spans="1:6" ht="18" customHeight="1" x14ac:dyDescent="0.3">
      <c r="A109" s="28" t="s">
        <v>243</v>
      </c>
      <c r="B109" s="28"/>
      <c r="C109" s="28"/>
      <c r="D109" s="28"/>
      <c r="E109" s="28"/>
    </row>
    <row r="110" spans="1:6" ht="27.75" customHeight="1" x14ac:dyDescent="0.3">
      <c r="A110" s="27" t="s">
        <v>244</v>
      </c>
      <c r="B110" s="27"/>
      <c r="C110" s="27"/>
      <c r="D110" s="27"/>
      <c r="E110" s="27"/>
    </row>
    <row r="111" spans="1:6" ht="220.8" x14ac:dyDescent="0.3">
      <c r="A111" s="12" t="s">
        <v>219</v>
      </c>
      <c r="B111" s="12" t="s">
        <v>26</v>
      </c>
      <c r="C111" s="12" t="s">
        <v>28</v>
      </c>
      <c r="D111" s="12" t="s">
        <v>33</v>
      </c>
      <c r="E111" s="12" t="s">
        <v>220</v>
      </c>
      <c r="F111" s="12" t="s">
        <v>221</v>
      </c>
    </row>
    <row r="112" spans="1:6" x14ac:dyDescent="0.3">
      <c r="A112" s="13">
        <v>1</v>
      </c>
      <c r="B112" s="6" t="str">
        <f>'Raw Data'!B2</f>
        <v>Suresh Nair</v>
      </c>
      <c r="C112" s="6" t="str">
        <f>'Raw Data'!D2</f>
        <v>Machine Learning Basics</v>
      </c>
      <c r="D112" s="6" t="str">
        <f>'Raw Data'!I2</f>
        <v>Active</v>
      </c>
      <c r="E112" s="14" t="str">
        <f>_xlfn.TEXTJOIN("|",TRUE,B112,C112,D112)</f>
        <v>Suresh Nair|Machine Learning Basics|Active</v>
      </c>
      <c r="F112" s="15"/>
    </row>
    <row r="113" spans="1:6" x14ac:dyDescent="0.3">
      <c r="A113" s="13">
        <v>2</v>
      </c>
      <c r="B113" s="6" t="str">
        <f>'Raw Data'!B3</f>
        <v>Gaurav Patel</v>
      </c>
      <c r="C113" s="6" t="str">
        <f>'Raw Data'!D3</f>
        <v>Power BI Essentials</v>
      </c>
      <c r="D113" s="6" t="str">
        <f>'Raw Data'!I3</f>
        <v>Active</v>
      </c>
      <c r="E113" s="14" t="str">
        <f t="shared" ref="E113:E116" si="11">_xlfn.TEXTJOIN("|",TRUE,B113,C113,D113)</f>
        <v>Gaurav Patel|Power BI Essentials|Active</v>
      </c>
      <c r="F113" s="15"/>
    </row>
    <row r="114" spans="1:6" x14ac:dyDescent="0.3">
      <c r="A114" s="13">
        <v>3</v>
      </c>
      <c r="B114" s="6" t="str">
        <f>'Raw Data'!B4</f>
        <v>Ishita Naidu</v>
      </c>
      <c r="C114" s="6" t="str">
        <f>'Raw Data'!D4</f>
        <v>Power BI Essentials</v>
      </c>
      <c r="D114" s="6" t="str">
        <f>'Raw Data'!I4</f>
        <v>Completed</v>
      </c>
      <c r="E114" s="14" t="str">
        <f t="shared" si="11"/>
        <v>Ishita Naidu|Power BI Essentials|Completed</v>
      </c>
      <c r="F114" s="15"/>
    </row>
    <row r="115" spans="1:6" x14ac:dyDescent="0.3">
      <c r="A115" s="13">
        <v>4</v>
      </c>
      <c r="B115" s="6" t="str">
        <f>'Raw Data'!B5</f>
        <v>Alok Mehta</v>
      </c>
      <c r="C115" s="6" t="str">
        <f>'Raw Data'!D5</f>
        <v>SQL for Data Analysis</v>
      </c>
      <c r="D115" s="6" t="str">
        <f>'Raw Data'!I5</f>
        <v>Active</v>
      </c>
      <c r="E115" s="14" t="str">
        <f t="shared" si="11"/>
        <v>Alok Mehta|SQL for Data Analysis|Active</v>
      </c>
      <c r="F115" s="15"/>
    </row>
    <row r="116" spans="1:6" x14ac:dyDescent="0.3">
      <c r="A116" s="13">
        <v>5</v>
      </c>
      <c r="B116" s="6" t="str">
        <f>'Raw Data'!B6</f>
        <v>Kabir Reddy</v>
      </c>
      <c r="C116" s="6" t="str">
        <f>'Raw Data'!D6</f>
        <v>SQL for Data Analysis</v>
      </c>
      <c r="D116" s="6" t="str">
        <f>'Raw Data'!I6</f>
        <v>Active</v>
      </c>
      <c r="E116" s="14" t="str">
        <f t="shared" si="11"/>
        <v>Kabir Reddy|SQL for Data Analysis|Active</v>
      </c>
      <c r="F116" s="15"/>
    </row>
  </sheetData>
  <mergeCells count="26">
    <mergeCell ref="A1:E2"/>
    <mergeCell ref="A3:E6"/>
    <mergeCell ref="A10:E10"/>
    <mergeCell ref="A11:E11"/>
    <mergeCell ref="A19:E19"/>
    <mergeCell ref="A20:E20"/>
    <mergeCell ref="A28:E28"/>
    <mergeCell ref="A29:E29"/>
    <mergeCell ref="A37:E37"/>
    <mergeCell ref="A38:E38"/>
    <mergeCell ref="A46:E46"/>
    <mergeCell ref="A47:E47"/>
    <mergeCell ref="A55:E55"/>
    <mergeCell ref="A56:E56"/>
    <mergeCell ref="A64:E64"/>
    <mergeCell ref="A65:E65"/>
    <mergeCell ref="A73:E73"/>
    <mergeCell ref="A74:E74"/>
    <mergeCell ref="A82:E82"/>
    <mergeCell ref="A83:E83"/>
    <mergeCell ref="A110:E110"/>
    <mergeCell ref="A91:E91"/>
    <mergeCell ref="A92:E92"/>
    <mergeCell ref="A100:E100"/>
    <mergeCell ref="A101:E101"/>
    <mergeCell ref="A109:E10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D23"/>
  <sheetViews>
    <sheetView showGridLines="0" zoomScaleNormal="100" workbookViewId="0">
      <pane ySplit="10" topLeftCell="A46" activePane="bottomLeft" state="frozen"/>
      <selection pane="bottomLeft" activeCell="D24" sqref="D24"/>
    </sheetView>
  </sheetViews>
  <sheetFormatPr defaultColWidth="8.6640625" defaultRowHeight="14.4" x14ac:dyDescent="0.3"/>
  <cols>
    <col min="1" max="1" width="5" customWidth="1"/>
    <col min="2" max="2" width="51.6640625" customWidth="1"/>
    <col min="3" max="3" width="22" customWidth="1"/>
    <col min="4" max="4" width="34" customWidth="1"/>
    <col min="5" max="5" width="3" customWidth="1"/>
  </cols>
  <sheetData>
    <row r="1" spans="1:4" ht="19.5" customHeight="1" x14ac:dyDescent="0.3">
      <c r="A1" s="29" t="s">
        <v>245</v>
      </c>
      <c r="B1" s="29"/>
      <c r="C1" s="29"/>
      <c r="D1" s="29"/>
    </row>
    <row r="2" spans="1:4" ht="19.5" customHeight="1" x14ac:dyDescent="0.3">
      <c r="A2" s="29"/>
      <c r="B2" s="29"/>
      <c r="C2" s="29"/>
      <c r="D2" s="29"/>
    </row>
    <row r="3" spans="1:4" ht="15" customHeight="1" x14ac:dyDescent="0.3">
      <c r="A3" s="30" t="s">
        <v>246</v>
      </c>
      <c r="B3" s="30"/>
      <c r="C3" s="30"/>
      <c r="D3" s="30"/>
    </row>
    <row r="4" spans="1:4" x14ac:dyDescent="0.3">
      <c r="A4" s="30"/>
      <c r="B4" s="30"/>
      <c r="C4" s="30"/>
      <c r="D4" s="30"/>
    </row>
    <row r="5" spans="1:4" x14ac:dyDescent="0.3">
      <c r="A5" s="30"/>
      <c r="B5" s="30"/>
      <c r="C5" s="30"/>
      <c r="D5" s="30"/>
    </row>
    <row r="6" spans="1:4" x14ac:dyDescent="0.3">
      <c r="A6" s="30"/>
      <c r="B6" s="30"/>
      <c r="C6" s="30"/>
      <c r="D6" s="30"/>
    </row>
    <row r="8" spans="1:4" x14ac:dyDescent="0.3">
      <c r="A8" s="9" t="s">
        <v>214</v>
      </c>
      <c r="B8" s="10" t="s">
        <v>215</v>
      </c>
      <c r="C8" s="11"/>
    </row>
    <row r="10" spans="1:4" ht="27.6" x14ac:dyDescent="0.3">
      <c r="A10" s="12" t="s">
        <v>219</v>
      </c>
      <c r="B10" s="12" t="s">
        <v>247</v>
      </c>
      <c r="C10" s="12" t="s">
        <v>220</v>
      </c>
    </row>
    <row r="11" spans="1:4" ht="30" customHeight="1" x14ac:dyDescent="0.3">
      <c r="A11" s="7">
        <v>1</v>
      </c>
      <c r="B11" s="16" t="s">
        <v>248</v>
      </c>
      <c r="C11" s="14">
        <f>SUM('Raw Data'!E2:E53)</f>
        <v>3488</v>
      </c>
    </row>
    <row r="12" spans="1:4" ht="30" customHeight="1" x14ac:dyDescent="0.3">
      <c r="A12" s="7">
        <v>2</v>
      </c>
      <c r="B12" s="16" t="s">
        <v>249</v>
      </c>
      <c r="C12" s="14">
        <f>SUM('Raw Data'!F:F)</f>
        <v>3372</v>
      </c>
    </row>
    <row r="13" spans="1:4" ht="58.95" customHeight="1" x14ac:dyDescent="0.3">
      <c r="A13" s="7">
        <v>3</v>
      </c>
      <c r="B13" s="16" t="s">
        <v>250</v>
      </c>
      <c r="C13" s="14">
        <f>COUNT('Raw Data'!F1:F53)</f>
        <v>51</v>
      </c>
    </row>
    <row r="14" spans="1:4" ht="57" customHeight="1" x14ac:dyDescent="0.3">
      <c r="A14" s="7">
        <v>4</v>
      </c>
      <c r="B14" s="16" t="s">
        <v>251</v>
      </c>
      <c r="C14" s="14">
        <f>COUNTA('Raw Data'!J2:J53)</f>
        <v>36</v>
      </c>
    </row>
    <row r="15" spans="1:4" ht="30" customHeight="1" x14ac:dyDescent="0.3">
      <c r="A15" s="7">
        <v>5</v>
      </c>
      <c r="B15" s="16" t="s">
        <v>252</v>
      </c>
      <c r="C15" s="14">
        <f>MAX('Raw Data'!E2:E53)</f>
        <v>100</v>
      </c>
    </row>
    <row r="16" spans="1:4" ht="30" customHeight="1" x14ac:dyDescent="0.3">
      <c r="A16" s="7">
        <v>6</v>
      </c>
      <c r="B16" s="16" t="s">
        <v>253</v>
      </c>
      <c r="C16" s="14">
        <f>MIN('Raw Data'!G2:G53)</f>
        <v>50</v>
      </c>
    </row>
    <row r="17" spans="1:4" ht="30" customHeight="1" x14ac:dyDescent="0.3">
      <c r="A17" s="7">
        <v>7</v>
      </c>
      <c r="B17" s="16" t="s">
        <v>254</v>
      </c>
      <c r="C17" s="14">
        <f>AVERAGE('Raw Data'!E2:G53)</f>
        <v>70.318181818181813</v>
      </c>
    </row>
    <row r="19" spans="1:4" x14ac:dyDescent="0.3">
      <c r="A19" s="28" t="s">
        <v>255</v>
      </c>
      <c r="B19" s="28"/>
      <c r="C19" s="28"/>
      <c r="D19" s="28"/>
    </row>
    <row r="20" spans="1:4" ht="23.85" customHeight="1" x14ac:dyDescent="0.3">
      <c r="A20" s="31" t="s">
        <v>256</v>
      </c>
      <c r="B20" s="31"/>
      <c r="C20" s="31"/>
      <c r="D20" s="31"/>
    </row>
    <row r="21" spans="1:4" x14ac:dyDescent="0.3">
      <c r="B21" s="17" t="s">
        <v>257</v>
      </c>
      <c r="C21" s="14" t="s">
        <v>77</v>
      </c>
    </row>
    <row r="22" spans="1:4" x14ac:dyDescent="0.3">
      <c r="B22" s="17" t="s">
        <v>258</v>
      </c>
      <c r="C22" s="15">
        <f>COUNTIF('Raw Data'!D2:D53,"Business Analytics")</f>
        <v>6</v>
      </c>
    </row>
    <row r="23" spans="1:4" x14ac:dyDescent="0.3">
      <c r="B23" s="17" t="s">
        <v>259</v>
      </c>
      <c r="C23" s="18">
        <f>AVERAGEIFS('Raw Data'!E2:E53, 'Raw Data'!D2:D53,"Business Analytics")</f>
        <v>62.666666666666664</v>
      </c>
    </row>
  </sheetData>
  <mergeCells count="4">
    <mergeCell ref="A1:D2"/>
    <mergeCell ref="A3:D6"/>
    <mergeCell ref="A19:D1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G131"/>
  <sheetViews>
    <sheetView showGridLines="0" zoomScaleNormal="100" workbookViewId="0">
      <pane ySplit="8" topLeftCell="A98" activePane="bottomLeft" state="frozen"/>
      <selection pane="bottomLeft" activeCell="E65" sqref="E65"/>
    </sheetView>
  </sheetViews>
  <sheetFormatPr defaultColWidth="8.6640625" defaultRowHeight="14.4" x14ac:dyDescent="0.3"/>
  <cols>
    <col min="1" max="1" width="20.44140625" customWidth="1"/>
    <col min="2" max="2" width="36.44140625" customWidth="1"/>
    <col min="3" max="3" width="22" customWidth="1"/>
    <col min="4" max="6" width="11" customWidth="1"/>
    <col min="7" max="7" width="14" customWidth="1"/>
    <col min="8" max="8" width="3" customWidth="1"/>
  </cols>
  <sheetData>
    <row r="1" spans="1:7" ht="19.5" customHeight="1" x14ac:dyDescent="0.3">
      <c r="A1" s="29" t="s">
        <v>260</v>
      </c>
      <c r="B1" s="29"/>
      <c r="C1" s="29"/>
      <c r="D1" s="29"/>
      <c r="E1" s="29"/>
      <c r="F1" s="29"/>
      <c r="G1" s="29"/>
    </row>
    <row r="2" spans="1:7" ht="19.5" customHeight="1" x14ac:dyDescent="0.3">
      <c r="A2" s="29"/>
      <c r="B2" s="29"/>
      <c r="C2" s="29"/>
      <c r="D2" s="29"/>
      <c r="E2" s="29"/>
      <c r="F2" s="29"/>
      <c r="G2" s="29"/>
    </row>
    <row r="3" spans="1:7" ht="15" customHeight="1" x14ac:dyDescent="0.3">
      <c r="A3" s="30" t="s">
        <v>261</v>
      </c>
      <c r="B3" s="30"/>
      <c r="C3" s="30"/>
      <c r="D3" s="30"/>
      <c r="E3" s="30"/>
      <c r="F3" s="30"/>
      <c r="G3" s="30"/>
    </row>
    <row r="4" spans="1:7" x14ac:dyDescent="0.3">
      <c r="A4" s="30"/>
      <c r="B4" s="30"/>
      <c r="C4" s="30"/>
      <c r="D4" s="30"/>
      <c r="E4" s="30"/>
      <c r="F4" s="30"/>
      <c r="G4" s="30"/>
    </row>
    <row r="5" spans="1:7" x14ac:dyDescent="0.3">
      <c r="A5" s="30"/>
      <c r="B5" s="30"/>
      <c r="C5" s="30"/>
      <c r="D5" s="30"/>
      <c r="E5" s="30"/>
      <c r="F5" s="30"/>
      <c r="G5" s="30"/>
    </row>
    <row r="6" spans="1:7" x14ac:dyDescent="0.3">
      <c r="A6" s="30"/>
      <c r="B6" s="30"/>
      <c r="C6" s="30"/>
      <c r="D6" s="30"/>
      <c r="E6" s="30"/>
      <c r="F6" s="30"/>
      <c r="G6" s="30"/>
    </row>
    <row r="7" spans="1:7" x14ac:dyDescent="0.3">
      <c r="A7" s="30"/>
      <c r="B7" s="30"/>
      <c r="C7" s="30"/>
      <c r="D7" s="30"/>
      <c r="E7" s="30"/>
      <c r="F7" s="30"/>
      <c r="G7" s="30"/>
    </row>
    <row r="9" spans="1:7" ht="18" customHeight="1" x14ac:dyDescent="0.3">
      <c r="A9" s="28" t="s">
        <v>262</v>
      </c>
      <c r="B9" s="28"/>
      <c r="C9" s="28"/>
      <c r="D9" s="28"/>
      <c r="E9" s="28"/>
      <c r="F9" s="28"/>
      <c r="G9" s="28"/>
    </row>
    <row r="10" spans="1:7" ht="30" customHeight="1" x14ac:dyDescent="0.3">
      <c r="A10" s="27" t="s">
        <v>263</v>
      </c>
      <c r="B10" s="27"/>
      <c r="C10" s="27"/>
      <c r="D10" s="27"/>
      <c r="E10" s="27"/>
      <c r="F10" s="27"/>
      <c r="G10" s="27"/>
    </row>
    <row r="11" spans="1:7" x14ac:dyDescent="0.3">
      <c r="A11" s="19" t="s">
        <v>26</v>
      </c>
      <c r="B11" s="19" t="s">
        <v>29</v>
      </c>
      <c r="C11" s="19" t="s">
        <v>30</v>
      </c>
      <c r="D11" s="19" t="s">
        <v>31</v>
      </c>
    </row>
    <row r="12" spans="1:7" x14ac:dyDescent="0.3">
      <c r="A12" s="7" t="str">
        <f>'Raw Data'!B2</f>
        <v>Suresh Nair</v>
      </c>
      <c r="B12">
        <f>'Raw Data'!E2</f>
        <v>0</v>
      </c>
      <c r="C12">
        <f>'Raw Data'!F2</f>
        <v>54</v>
      </c>
      <c r="D12">
        <f>'Raw Data'!G2</f>
        <v>58</v>
      </c>
    </row>
    <row r="13" spans="1:7" x14ac:dyDescent="0.3">
      <c r="A13" s="7" t="str">
        <f>'Raw Data'!B3</f>
        <v>Gaurav Patel</v>
      </c>
      <c r="B13">
        <f>'Raw Data'!E3</f>
        <v>47</v>
      </c>
      <c r="C13">
        <f>'Raw Data'!F3</f>
        <v>41</v>
      </c>
      <c r="D13">
        <f>'Raw Data'!G3</f>
        <v>55</v>
      </c>
    </row>
    <row r="14" spans="1:7" x14ac:dyDescent="0.3">
      <c r="A14" s="7" t="str">
        <f>'Raw Data'!B4</f>
        <v>Ishita Naidu</v>
      </c>
      <c r="B14">
        <f>'Raw Data'!E4</f>
        <v>59</v>
      </c>
      <c r="C14">
        <f>'Raw Data'!F4</f>
        <v>68</v>
      </c>
      <c r="D14">
        <f>'Raw Data'!G4</f>
        <v>87</v>
      </c>
    </row>
    <row r="15" spans="1:7" x14ac:dyDescent="0.3">
      <c r="A15" s="7" t="str">
        <f>'Raw Data'!B5</f>
        <v>Alok Mehta</v>
      </c>
      <c r="B15">
        <f>'Raw Data'!E5</f>
        <v>62</v>
      </c>
      <c r="C15">
        <f>'Raw Data'!F5</f>
        <v>49</v>
      </c>
      <c r="D15">
        <f>'Raw Data'!G5</f>
        <v>63</v>
      </c>
    </row>
    <row r="16" spans="1:7" x14ac:dyDescent="0.3">
      <c r="A16" s="7" t="str">
        <f>'Raw Data'!B6</f>
        <v>Kabir Reddy</v>
      </c>
      <c r="B16">
        <f>'Raw Data'!E6</f>
        <v>83</v>
      </c>
      <c r="C16">
        <f>'Raw Data'!F6</f>
        <v>56</v>
      </c>
      <c r="D16">
        <f>'Raw Data'!G6</f>
        <v>52</v>
      </c>
    </row>
    <row r="17" spans="1:7" x14ac:dyDescent="0.3">
      <c r="A17" s="7" t="str">
        <f>'Raw Data'!B7</f>
        <v>Kabir Patel</v>
      </c>
      <c r="B17">
        <f>'Raw Data'!E7</f>
        <v>98</v>
      </c>
      <c r="C17">
        <f>'Raw Data'!F7</f>
        <v>80</v>
      </c>
      <c r="D17">
        <f>'Raw Data'!G7</f>
        <v>89</v>
      </c>
    </row>
    <row r="18" spans="1:7" x14ac:dyDescent="0.3">
      <c r="A18" s="7" t="str">
        <f>'Raw Data'!B8</f>
        <v>Vikram Gupta</v>
      </c>
      <c r="B18">
        <f>'Raw Data'!E8</f>
        <v>50</v>
      </c>
      <c r="C18">
        <f>'Raw Data'!F8</f>
        <v>94</v>
      </c>
      <c r="D18">
        <f>'Raw Data'!G8</f>
        <v>64</v>
      </c>
    </row>
    <row r="19" spans="1:7" x14ac:dyDescent="0.3">
      <c r="A19" s="7" t="str">
        <f>'Raw Data'!B9</f>
        <v>Suresh Desai</v>
      </c>
      <c r="B19">
        <f>'Raw Data'!E9</f>
        <v>67</v>
      </c>
      <c r="C19">
        <f>'Raw Data'!F9</f>
        <v>53</v>
      </c>
      <c r="D19">
        <f>'Raw Data'!G9</f>
        <v>92</v>
      </c>
    </row>
    <row r="21" spans="1:7" ht="18" customHeight="1" x14ac:dyDescent="0.3">
      <c r="A21" s="28" t="s">
        <v>264</v>
      </c>
      <c r="B21" s="28"/>
      <c r="C21" s="28"/>
      <c r="D21" s="28"/>
      <c r="E21" s="28"/>
      <c r="F21" s="28"/>
      <c r="G21" s="28"/>
    </row>
    <row r="22" spans="1:7" ht="30" customHeight="1" x14ac:dyDescent="0.3">
      <c r="A22" s="27" t="s">
        <v>265</v>
      </c>
      <c r="B22" s="27"/>
      <c r="C22" s="27"/>
      <c r="D22" s="27"/>
      <c r="E22" s="27"/>
      <c r="F22" s="27"/>
      <c r="G22" s="27"/>
    </row>
    <row r="23" spans="1:7" x14ac:dyDescent="0.3">
      <c r="A23" s="19" t="s">
        <v>26</v>
      </c>
      <c r="B23" s="19" t="s">
        <v>29</v>
      </c>
    </row>
    <row r="24" spans="1:7" x14ac:dyDescent="0.3">
      <c r="A24" s="7" t="str">
        <f>'Raw Data'!B2</f>
        <v>Suresh Nair</v>
      </c>
      <c r="B24">
        <f>'Raw Data'!E2</f>
        <v>0</v>
      </c>
    </row>
    <row r="25" spans="1:7" x14ac:dyDescent="0.3">
      <c r="A25" s="7" t="str">
        <f>'Raw Data'!B3</f>
        <v>Gaurav Patel</v>
      </c>
      <c r="B25">
        <f>'Raw Data'!E3</f>
        <v>47</v>
      </c>
    </row>
    <row r="26" spans="1:7" x14ac:dyDescent="0.3">
      <c r="A26" s="7" t="str">
        <f>'Raw Data'!B4</f>
        <v>Ishita Naidu</v>
      </c>
      <c r="B26">
        <f>'Raw Data'!E4</f>
        <v>59</v>
      </c>
    </row>
    <row r="27" spans="1:7" x14ac:dyDescent="0.3">
      <c r="A27" s="7" t="str">
        <f>'Raw Data'!B5</f>
        <v>Alok Mehta</v>
      </c>
      <c r="B27">
        <f>'Raw Data'!E5</f>
        <v>62</v>
      </c>
    </row>
    <row r="28" spans="1:7" x14ac:dyDescent="0.3">
      <c r="A28" s="7" t="str">
        <f>'Raw Data'!B6</f>
        <v>Kabir Reddy</v>
      </c>
      <c r="B28">
        <f>'Raw Data'!E6</f>
        <v>83</v>
      </c>
    </row>
    <row r="29" spans="1:7" x14ac:dyDescent="0.3">
      <c r="A29" s="7" t="str">
        <f>'Raw Data'!B7</f>
        <v>Kabir Patel</v>
      </c>
      <c r="B29">
        <f>'Raw Data'!E7</f>
        <v>98</v>
      </c>
    </row>
    <row r="30" spans="1:7" x14ac:dyDescent="0.3">
      <c r="A30" s="7" t="str">
        <f>'Raw Data'!B8</f>
        <v>Vikram Gupta</v>
      </c>
      <c r="B30">
        <f>'Raw Data'!E8</f>
        <v>50</v>
      </c>
    </row>
    <row r="31" spans="1:7" x14ac:dyDescent="0.3">
      <c r="A31" s="7" t="str">
        <f>'Raw Data'!B9</f>
        <v>Suresh Desai</v>
      </c>
      <c r="B31">
        <f>'Raw Data'!E9</f>
        <v>67</v>
      </c>
    </row>
    <row r="33" spans="1:7" ht="18" customHeight="1" x14ac:dyDescent="0.3">
      <c r="A33" s="28" t="s">
        <v>266</v>
      </c>
      <c r="B33" s="28"/>
      <c r="C33" s="28"/>
      <c r="D33" s="28"/>
      <c r="E33" s="28"/>
      <c r="F33" s="28"/>
      <c r="G33" s="28"/>
    </row>
    <row r="34" spans="1:7" ht="30" customHeight="1" x14ac:dyDescent="0.3">
      <c r="A34" s="27" t="s">
        <v>267</v>
      </c>
      <c r="B34" s="27"/>
      <c r="C34" s="27"/>
      <c r="D34" s="27"/>
      <c r="E34" s="27"/>
      <c r="F34" s="27"/>
      <c r="G34" s="27"/>
    </row>
    <row r="35" spans="1:7" x14ac:dyDescent="0.3">
      <c r="A35" s="19" t="s">
        <v>26</v>
      </c>
      <c r="B35" s="19" t="s">
        <v>30</v>
      </c>
    </row>
    <row r="36" spans="1:7" x14ac:dyDescent="0.3">
      <c r="A36" s="7" t="str">
        <f>'Raw Data'!B2</f>
        <v>Suresh Nair</v>
      </c>
      <c r="B36">
        <f>'Raw Data'!F2</f>
        <v>54</v>
      </c>
    </row>
    <row r="37" spans="1:7" x14ac:dyDescent="0.3">
      <c r="A37" s="7" t="str">
        <f>'Raw Data'!B3</f>
        <v>Gaurav Patel</v>
      </c>
      <c r="B37">
        <f>'Raw Data'!F3</f>
        <v>41</v>
      </c>
    </row>
    <row r="38" spans="1:7" x14ac:dyDescent="0.3">
      <c r="A38" s="7" t="str">
        <f>'Raw Data'!B4</f>
        <v>Ishita Naidu</v>
      </c>
      <c r="B38">
        <f>'Raw Data'!F4</f>
        <v>68</v>
      </c>
    </row>
    <row r="39" spans="1:7" x14ac:dyDescent="0.3">
      <c r="A39" s="7" t="str">
        <f>'Raw Data'!B5</f>
        <v>Alok Mehta</v>
      </c>
      <c r="B39">
        <f>'Raw Data'!F5</f>
        <v>49</v>
      </c>
    </row>
    <row r="40" spans="1:7" x14ac:dyDescent="0.3">
      <c r="A40" s="7" t="str">
        <f>'Raw Data'!B6</f>
        <v>Kabir Reddy</v>
      </c>
      <c r="B40">
        <f>'Raw Data'!F6</f>
        <v>56</v>
      </c>
    </row>
    <row r="41" spans="1:7" x14ac:dyDescent="0.3">
      <c r="A41" s="7" t="str">
        <f>'Raw Data'!B7</f>
        <v>Kabir Patel</v>
      </c>
      <c r="B41">
        <f>'Raw Data'!F7</f>
        <v>80</v>
      </c>
    </row>
    <row r="42" spans="1:7" x14ac:dyDescent="0.3">
      <c r="A42" s="7" t="str">
        <f>'Raw Data'!B8</f>
        <v>Vikram Gupta</v>
      </c>
      <c r="B42">
        <f>'Raw Data'!F8</f>
        <v>94</v>
      </c>
    </row>
    <row r="43" spans="1:7" x14ac:dyDescent="0.3">
      <c r="A43" s="7" t="str">
        <f>'Raw Data'!B9</f>
        <v>Suresh Desai</v>
      </c>
      <c r="B43">
        <f>'Raw Data'!F9</f>
        <v>53</v>
      </c>
    </row>
    <row r="45" spans="1:7" ht="18" customHeight="1" x14ac:dyDescent="0.3">
      <c r="A45" s="28" t="s">
        <v>268</v>
      </c>
      <c r="B45" s="28"/>
      <c r="C45" s="28"/>
      <c r="D45" s="28"/>
      <c r="E45" s="28"/>
      <c r="F45" s="28"/>
      <c r="G45" s="28"/>
    </row>
    <row r="46" spans="1:7" ht="30" customHeight="1" x14ac:dyDescent="0.3">
      <c r="A46" s="27" t="s">
        <v>269</v>
      </c>
      <c r="B46" s="27"/>
      <c r="C46" s="27"/>
      <c r="D46" s="27"/>
      <c r="E46" s="27"/>
      <c r="F46" s="27"/>
      <c r="G46" s="27"/>
    </row>
    <row r="47" spans="1:7" x14ac:dyDescent="0.3">
      <c r="A47" s="19" t="s">
        <v>26</v>
      </c>
      <c r="B47" s="19" t="s">
        <v>31</v>
      </c>
    </row>
    <row r="48" spans="1:7" x14ac:dyDescent="0.3">
      <c r="A48" s="7" t="str">
        <f>'Raw Data'!B2</f>
        <v>Suresh Nair</v>
      </c>
      <c r="B48">
        <f>'Raw Data'!G2</f>
        <v>58</v>
      </c>
    </row>
    <row r="49" spans="1:7" x14ac:dyDescent="0.3">
      <c r="A49" s="7" t="str">
        <f>'Raw Data'!B3</f>
        <v>Gaurav Patel</v>
      </c>
      <c r="B49">
        <f>'Raw Data'!G3</f>
        <v>55</v>
      </c>
    </row>
    <row r="50" spans="1:7" x14ac:dyDescent="0.3">
      <c r="A50" s="7" t="str">
        <f>'Raw Data'!B4</f>
        <v>Ishita Naidu</v>
      </c>
      <c r="B50">
        <f>'Raw Data'!G4</f>
        <v>87</v>
      </c>
    </row>
    <row r="51" spans="1:7" x14ac:dyDescent="0.3">
      <c r="A51" s="7" t="str">
        <f>'Raw Data'!B5</f>
        <v>Alok Mehta</v>
      </c>
      <c r="B51">
        <f>'Raw Data'!G5</f>
        <v>63</v>
      </c>
    </row>
    <row r="52" spans="1:7" x14ac:dyDescent="0.3">
      <c r="A52" s="7" t="str">
        <f>'Raw Data'!B6</f>
        <v>Kabir Reddy</v>
      </c>
      <c r="B52">
        <f>'Raw Data'!G6</f>
        <v>52</v>
      </c>
    </row>
    <row r="53" spans="1:7" x14ac:dyDescent="0.3">
      <c r="A53" s="7" t="str">
        <f>'Raw Data'!B7</f>
        <v>Kabir Patel</v>
      </c>
      <c r="B53">
        <f>'Raw Data'!G7</f>
        <v>89</v>
      </c>
    </row>
    <row r="54" spans="1:7" x14ac:dyDescent="0.3">
      <c r="A54" s="7" t="str">
        <f>'Raw Data'!B8</f>
        <v>Vikram Gupta</v>
      </c>
      <c r="B54">
        <f>'Raw Data'!G8</f>
        <v>64</v>
      </c>
    </row>
    <row r="55" spans="1:7" x14ac:dyDescent="0.3">
      <c r="A55" s="7" t="str">
        <f>'Raw Data'!B9</f>
        <v>Suresh Desai</v>
      </c>
      <c r="B55">
        <f>'Raw Data'!G9</f>
        <v>92</v>
      </c>
    </row>
    <row r="57" spans="1:7" ht="18" customHeight="1" x14ac:dyDescent="0.3">
      <c r="A57" s="28" t="s">
        <v>270</v>
      </c>
      <c r="B57" s="28"/>
      <c r="C57" s="28"/>
      <c r="D57" s="28"/>
      <c r="E57" s="28"/>
      <c r="F57" s="28"/>
      <c r="G57" s="28"/>
    </row>
    <row r="58" spans="1:7" ht="30" customHeight="1" x14ac:dyDescent="0.3">
      <c r="A58" s="27" t="s">
        <v>271</v>
      </c>
      <c r="B58" s="27"/>
      <c r="C58" s="27"/>
      <c r="D58" s="27"/>
      <c r="E58" s="27"/>
      <c r="F58" s="27"/>
      <c r="G58" s="27"/>
    </row>
    <row r="59" spans="1:7" x14ac:dyDescent="0.3">
      <c r="A59" s="19" t="s">
        <v>26</v>
      </c>
      <c r="B59" s="19" t="s">
        <v>28</v>
      </c>
    </row>
    <row r="60" spans="1:7" x14ac:dyDescent="0.3">
      <c r="A60" s="7" t="str">
        <f>'Raw Data'!B2</f>
        <v>Suresh Nair</v>
      </c>
      <c r="B60" s="7" t="str">
        <f>'Raw Data'!D2</f>
        <v>Machine Learning Basics</v>
      </c>
    </row>
    <row r="61" spans="1:7" x14ac:dyDescent="0.3">
      <c r="A61" s="7" t="str">
        <f>'Raw Data'!B3</f>
        <v>Gaurav Patel</v>
      </c>
      <c r="B61" s="7" t="str">
        <f>'Raw Data'!D3</f>
        <v>Power BI Essentials</v>
      </c>
    </row>
    <row r="62" spans="1:7" x14ac:dyDescent="0.3">
      <c r="A62" s="7" t="str">
        <f>'Raw Data'!B4</f>
        <v>Ishita Naidu</v>
      </c>
      <c r="B62" s="7" t="str">
        <f>'Raw Data'!D4</f>
        <v>Power BI Essentials</v>
      </c>
    </row>
    <row r="63" spans="1:7" x14ac:dyDescent="0.3">
      <c r="A63" s="7" t="str">
        <f>'Raw Data'!B5</f>
        <v>Alok Mehta</v>
      </c>
      <c r="B63" s="7" t="str">
        <f>'Raw Data'!D5</f>
        <v>SQL for Data Analysis</v>
      </c>
    </row>
    <row r="64" spans="1:7" x14ac:dyDescent="0.3">
      <c r="A64" s="7" t="str">
        <f>'Raw Data'!B6</f>
        <v>Kabir Reddy</v>
      </c>
      <c r="B64" s="7" t="str">
        <f>'Raw Data'!D6</f>
        <v>SQL for Data Analysis</v>
      </c>
    </row>
    <row r="65" spans="1:7" x14ac:dyDescent="0.3">
      <c r="A65" s="7" t="str">
        <f>'Raw Data'!B7</f>
        <v>Kabir Patel</v>
      </c>
      <c r="B65" s="7" t="str">
        <f>'Raw Data'!D7</f>
        <v>Machine Learning Basics</v>
      </c>
    </row>
    <row r="66" spans="1:7" x14ac:dyDescent="0.3">
      <c r="A66" s="7" t="str">
        <f>'Raw Data'!B8</f>
        <v>Vikram Gupta</v>
      </c>
      <c r="B66" s="7" t="str">
        <f>'Raw Data'!D8</f>
        <v>Machine Learning Basics</v>
      </c>
    </row>
    <row r="67" spans="1:7" x14ac:dyDescent="0.3">
      <c r="A67" s="7" t="str">
        <f>'Raw Data'!B9</f>
        <v>Suresh Desai</v>
      </c>
      <c r="B67" s="7" t="str">
        <f>'Raw Data'!D9</f>
        <v>SQL for Data Analysis</v>
      </c>
    </row>
    <row r="68" spans="1:7" x14ac:dyDescent="0.3">
      <c r="A68" s="7" t="str">
        <f>'Raw Data'!B10</f>
        <v>Komal Kumar</v>
      </c>
      <c r="B68" s="7" t="str">
        <f>'Raw Data'!D10</f>
        <v>Python for Analytics</v>
      </c>
    </row>
    <row r="69" spans="1:7" x14ac:dyDescent="0.3">
      <c r="A69" s="7" t="str">
        <f>'Raw Data'!B11</f>
        <v>Suresh Khanna</v>
      </c>
      <c r="B69" s="7" t="str">
        <f>'Raw Data'!D11</f>
        <v>Business Analytics</v>
      </c>
    </row>
    <row r="71" spans="1:7" ht="18" customHeight="1" x14ac:dyDescent="0.3">
      <c r="A71" s="28" t="s">
        <v>272</v>
      </c>
      <c r="B71" s="28"/>
      <c r="C71" s="28"/>
      <c r="D71" s="28"/>
      <c r="E71" s="28"/>
      <c r="F71" s="28"/>
      <c r="G71" s="28"/>
    </row>
    <row r="72" spans="1:7" ht="30" customHeight="1" x14ac:dyDescent="0.3">
      <c r="A72" s="27" t="s">
        <v>273</v>
      </c>
      <c r="B72" s="27"/>
      <c r="C72" s="27"/>
      <c r="D72" s="27"/>
      <c r="E72" s="27"/>
      <c r="F72" s="27"/>
      <c r="G72" s="27"/>
    </row>
    <row r="73" spans="1:7" x14ac:dyDescent="0.3">
      <c r="A73" s="19" t="s">
        <v>26</v>
      </c>
      <c r="B73" s="19" t="s">
        <v>30</v>
      </c>
    </row>
    <row r="74" spans="1:7" x14ac:dyDescent="0.3">
      <c r="A74" s="7" t="str">
        <f>'Raw Data'!B2</f>
        <v>Suresh Nair</v>
      </c>
      <c r="B74" s="7">
        <f>'Raw Data'!F2</f>
        <v>54</v>
      </c>
    </row>
    <row r="75" spans="1:7" x14ac:dyDescent="0.3">
      <c r="A75" s="7" t="str">
        <f>'Raw Data'!B3</f>
        <v>Gaurav Patel</v>
      </c>
      <c r="B75" s="7">
        <f>'Raw Data'!F3</f>
        <v>41</v>
      </c>
    </row>
    <row r="76" spans="1:7" x14ac:dyDescent="0.3">
      <c r="A76" s="7" t="str">
        <f>'Raw Data'!B4</f>
        <v>Ishita Naidu</v>
      </c>
      <c r="B76" s="7">
        <f>'Raw Data'!F4</f>
        <v>68</v>
      </c>
    </row>
    <row r="77" spans="1:7" x14ac:dyDescent="0.3">
      <c r="A77" s="7" t="str">
        <f>'Raw Data'!B5</f>
        <v>Alok Mehta</v>
      </c>
      <c r="B77" s="7">
        <f>'Raw Data'!F5</f>
        <v>49</v>
      </c>
    </row>
    <row r="78" spans="1:7" x14ac:dyDescent="0.3">
      <c r="A78" s="7" t="str">
        <f>'Raw Data'!B6</f>
        <v>Kabir Reddy</v>
      </c>
      <c r="B78" s="7">
        <f>'Raw Data'!F6</f>
        <v>56</v>
      </c>
    </row>
    <row r="79" spans="1:7" x14ac:dyDescent="0.3">
      <c r="A79" s="7" t="str">
        <f>'Raw Data'!B7</f>
        <v>Kabir Patel</v>
      </c>
      <c r="B79" s="7">
        <f>'Raw Data'!F7</f>
        <v>80</v>
      </c>
    </row>
    <row r="80" spans="1:7" x14ac:dyDescent="0.3">
      <c r="A80" s="7" t="str">
        <f>'Raw Data'!B8</f>
        <v>Vikram Gupta</v>
      </c>
      <c r="B80" s="7">
        <f>'Raw Data'!F8</f>
        <v>94</v>
      </c>
    </row>
    <row r="81" spans="1:7" x14ac:dyDescent="0.3">
      <c r="A81" s="7" t="str">
        <f>'Raw Data'!B9</f>
        <v>Suresh Desai</v>
      </c>
      <c r="B81" s="7">
        <f>'Raw Data'!F9</f>
        <v>53</v>
      </c>
    </row>
    <row r="82" spans="1:7" x14ac:dyDescent="0.3">
      <c r="A82" s="7" t="str">
        <f>'Raw Data'!B10</f>
        <v>Komal Kumar</v>
      </c>
      <c r="B82" s="7">
        <f>'Raw Data'!F10</f>
        <v>86</v>
      </c>
    </row>
    <row r="83" spans="1:7" x14ac:dyDescent="0.3">
      <c r="A83" s="7" t="str">
        <f>'Raw Data'!B11</f>
        <v>Suresh Khanna</v>
      </c>
      <c r="B83" s="7">
        <f>'Raw Data'!F11</f>
        <v>60</v>
      </c>
    </row>
    <row r="85" spans="1:7" ht="18" customHeight="1" x14ac:dyDescent="0.3">
      <c r="A85" s="28" t="s">
        <v>274</v>
      </c>
      <c r="B85" s="28"/>
      <c r="C85" s="28"/>
      <c r="D85" s="28"/>
      <c r="E85" s="28"/>
      <c r="F85" s="28"/>
      <c r="G85" s="28"/>
    </row>
    <row r="86" spans="1:7" ht="30" customHeight="1" x14ac:dyDescent="0.3">
      <c r="A86" s="27" t="s">
        <v>275</v>
      </c>
      <c r="B86" s="27"/>
      <c r="C86" s="27"/>
      <c r="D86" s="27"/>
      <c r="E86" s="27"/>
      <c r="F86" s="27"/>
      <c r="G86" s="27"/>
    </row>
    <row r="87" spans="1:7" x14ac:dyDescent="0.3">
      <c r="A87" s="19" t="s">
        <v>26</v>
      </c>
      <c r="B87" s="19" t="s">
        <v>33</v>
      </c>
    </row>
    <row r="88" spans="1:7" x14ac:dyDescent="0.3">
      <c r="A88" s="7" t="str">
        <f>'Raw Data'!B2</f>
        <v>Suresh Nair</v>
      </c>
      <c r="B88" s="7" t="str">
        <f>'Raw Data'!I2</f>
        <v>Active</v>
      </c>
    </row>
    <row r="89" spans="1:7" x14ac:dyDescent="0.3">
      <c r="A89" s="7" t="str">
        <f>'Raw Data'!B3</f>
        <v>Gaurav Patel</v>
      </c>
      <c r="B89" s="7" t="str">
        <f>'Raw Data'!I3</f>
        <v>Active</v>
      </c>
    </row>
    <row r="90" spans="1:7" x14ac:dyDescent="0.3">
      <c r="A90" s="7" t="str">
        <f>'Raw Data'!B4</f>
        <v>Ishita Naidu</v>
      </c>
      <c r="B90" s="7" t="str">
        <f>'Raw Data'!I4</f>
        <v>Completed</v>
      </c>
    </row>
    <row r="91" spans="1:7" x14ac:dyDescent="0.3">
      <c r="A91" s="7" t="str">
        <f>'Raw Data'!B5</f>
        <v>Alok Mehta</v>
      </c>
      <c r="B91" s="7" t="str">
        <f>'Raw Data'!I5</f>
        <v>Active</v>
      </c>
    </row>
    <row r="92" spans="1:7" x14ac:dyDescent="0.3">
      <c r="A92" s="7" t="str">
        <f>'Raw Data'!B6</f>
        <v>Kabir Reddy</v>
      </c>
      <c r="B92" s="7" t="str">
        <f>'Raw Data'!I6</f>
        <v>Active</v>
      </c>
    </row>
    <row r="93" spans="1:7" x14ac:dyDescent="0.3">
      <c r="A93" s="7" t="str">
        <f>'Raw Data'!B7</f>
        <v>Kabir Patel</v>
      </c>
      <c r="B93" s="7" t="str">
        <f>'Raw Data'!I7</f>
        <v>Completed</v>
      </c>
    </row>
    <row r="94" spans="1:7" x14ac:dyDescent="0.3">
      <c r="A94" s="7" t="str">
        <f>'Raw Data'!B8</f>
        <v>Vikram Gupta</v>
      </c>
      <c r="B94" s="7" t="str">
        <f>'Raw Data'!I8</f>
        <v>Active</v>
      </c>
    </row>
    <row r="95" spans="1:7" x14ac:dyDescent="0.3">
      <c r="A95" s="7" t="str">
        <f>'Raw Data'!B9</f>
        <v>Suresh Desai</v>
      </c>
      <c r="B95" s="7" t="str">
        <f>'Raw Data'!I9</f>
        <v>Completed</v>
      </c>
    </row>
    <row r="96" spans="1:7" x14ac:dyDescent="0.3">
      <c r="A96" s="7" t="str">
        <f>'Raw Data'!B10</f>
        <v>Komal Kumar</v>
      </c>
      <c r="B96" s="7" t="str">
        <f>'Raw Data'!I10</f>
        <v>Active</v>
      </c>
    </row>
    <row r="97" spans="1:7" x14ac:dyDescent="0.3">
      <c r="A97" s="7" t="str">
        <f>'Raw Data'!B11</f>
        <v>Suresh Khanna</v>
      </c>
      <c r="B97" s="7" t="str">
        <f>'Raw Data'!I11</f>
        <v>Active</v>
      </c>
    </row>
    <row r="99" spans="1:7" ht="18" customHeight="1" x14ac:dyDescent="0.3">
      <c r="A99" s="28" t="s">
        <v>276</v>
      </c>
      <c r="B99" s="28"/>
      <c r="C99" s="28"/>
      <c r="D99" s="28"/>
      <c r="E99" s="28"/>
      <c r="F99" s="28"/>
      <c r="G99" s="28"/>
    </row>
    <row r="100" spans="1:7" ht="30" customHeight="1" x14ac:dyDescent="0.3">
      <c r="A100" s="27" t="s">
        <v>277</v>
      </c>
      <c r="B100" s="27"/>
      <c r="C100" s="27"/>
      <c r="D100" s="27"/>
      <c r="E100" s="27"/>
      <c r="F100" s="27"/>
      <c r="G100" s="27"/>
    </row>
    <row r="101" spans="1:7" x14ac:dyDescent="0.3">
      <c r="A101" s="19" t="s">
        <v>26</v>
      </c>
      <c r="B101" s="19" t="s">
        <v>29</v>
      </c>
    </row>
    <row r="102" spans="1:7" x14ac:dyDescent="0.3">
      <c r="A102" s="7" t="str">
        <f>'Raw Data'!B2</f>
        <v>Suresh Nair</v>
      </c>
      <c r="B102">
        <f>'Raw Data'!E2</f>
        <v>0</v>
      </c>
    </row>
    <row r="103" spans="1:7" x14ac:dyDescent="0.3">
      <c r="A103" s="7" t="str">
        <f>'Raw Data'!B3</f>
        <v>Gaurav Patel</v>
      </c>
      <c r="B103">
        <f>'Raw Data'!E3</f>
        <v>47</v>
      </c>
    </row>
    <row r="104" spans="1:7" x14ac:dyDescent="0.3">
      <c r="A104" s="7" t="str">
        <f>'Raw Data'!B4</f>
        <v>Ishita Naidu</v>
      </c>
      <c r="B104">
        <f>'Raw Data'!E4</f>
        <v>59</v>
      </c>
    </row>
    <row r="105" spans="1:7" x14ac:dyDescent="0.3">
      <c r="A105" s="7" t="str">
        <f>'Raw Data'!B5</f>
        <v>Alok Mehta</v>
      </c>
      <c r="B105">
        <f>'Raw Data'!E5</f>
        <v>62</v>
      </c>
    </row>
    <row r="106" spans="1:7" x14ac:dyDescent="0.3">
      <c r="A106" s="7" t="str">
        <f>'Raw Data'!B6</f>
        <v>Kabir Reddy</v>
      </c>
      <c r="B106">
        <f>'Raw Data'!E6</f>
        <v>83</v>
      </c>
    </row>
    <row r="107" spans="1:7" x14ac:dyDescent="0.3">
      <c r="A107" s="7" t="str">
        <f>'Raw Data'!B7</f>
        <v>Kabir Patel</v>
      </c>
      <c r="B107">
        <f>'Raw Data'!E7</f>
        <v>98</v>
      </c>
    </row>
    <row r="108" spans="1:7" x14ac:dyDescent="0.3">
      <c r="A108" s="7" t="str">
        <f>'Raw Data'!B8</f>
        <v>Vikram Gupta</v>
      </c>
      <c r="B108">
        <f>'Raw Data'!E8</f>
        <v>50</v>
      </c>
    </row>
    <row r="109" spans="1:7" x14ac:dyDescent="0.3">
      <c r="A109" s="7" t="str">
        <f>'Raw Data'!B9</f>
        <v>Suresh Desai</v>
      </c>
      <c r="B109">
        <f>'Raw Data'!E9</f>
        <v>67</v>
      </c>
    </row>
    <row r="110" spans="1:7" x14ac:dyDescent="0.3">
      <c r="A110" s="7" t="str">
        <f>'Raw Data'!B10</f>
        <v>Komal Kumar</v>
      </c>
      <c r="B110">
        <f>'Raw Data'!E10</f>
        <v>79</v>
      </c>
    </row>
    <row r="111" spans="1:7" x14ac:dyDescent="0.3">
      <c r="A111" s="7" t="str">
        <f>'Raw Data'!B11</f>
        <v>Suresh Khanna</v>
      </c>
      <c r="B111">
        <f>'Raw Data'!E11</f>
        <v>88</v>
      </c>
    </row>
    <row r="114" spans="1:7" x14ac:dyDescent="0.3">
      <c r="A114" s="28" t="s">
        <v>278</v>
      </c>
      <c r="B114" s="28"/>
      <c r="C114" s="28"/>
      <c r="D114" s="28"/>
      <c r="E114" s="28"/>
      <c r="F114" s="28"/>
      <c r="G114" s="28"/>
    </row>
    <row r="115" spans="1:7" ht="30" customHeight="1" x14ac:dyDescent="0.3">
      <c r="A115" s="27" t="s">
        <v>279</v>
      </c>
      <c r="B115" s="27"/>
      <c r="C115" s="27"/>
      <c r="D115" s="27"/>
      <c r="E115" s="27"/>
      <c r="F115" s="27"/>
      <c r="G115" s="27"/>
    </row>
    <row r="116" spans="1:7" x14ac:dyDescent="0.3">
      <c r="A116" s="20" t="s">
        <v>26</v>
      </c>
      <c r="B116" s="20" t="s">
        <v>29</v>
      </c>
      <c r="C116" s="20" t="s">
        <v>30</v>
      </c>
      <c r="D116" s="20" t="s">
        <v>31</v>
      </c>
      <c r="E116" s="20" t="s">
        <v>28</v>
      </c>
      <c r="F116" s="20" t="s">
        <v>33</v>
      </c>
    </row>
    <row r="117" spans="1:7" x14ac:dyDescent="0.3">
      <c r="A117" s="7" t="str">
        <f>'Raw Data'!B2</f>
        <v>Suresh Nair</v>
      </c>
      <c r="B117" s="7">
        <f>'Raw Data'!E2</f>
        <v>0</v>
      </c>
      <c r="C117" s="7">
        <f>'Raw Data'!F2</f>
        <v>54</v>
      </c>
      <c r="D117" s="7">
        <f>'Raw Data'!G2</f>
        <v>58</v>
      </c>
      <c r="E117" s="7" t="str">
        <f>'Raw Data'!D2</f>
        <v>Machine Learning Basics</v>
      </c>
      <c r="F117" s="7" t="str">
        <f>'Raw Data'!I2</f>
        <v>Active</v>
      </c>
    </row>
    <row r="118" spans="1:7" x14ac:dyDescent="0.3">
      <c r="A118" s="7" t="str">
        <f>'Raw Data'!B3</f>
        <v>Gaurav Patel</v>
      </c>
      <c r="B118" s="7">
        <f>'Raw Data'!E3</f>
        <v>47</v>
      </c>
      <c r="C118" s="7">
        <f>'Raw Data'!F3</f>
        <v>41</v>
      </c>
      <c r="D118" s="7">
        <f>'Raw Data'!G3</f>
        <v>55</v>
      </c>
      <c r="E118" s="7" t="str">
        <f>'Raw Data'!D3</f>
        <v>Power BI Essentials</v>
      </c>
      <c r="F118" s="7" t="str">
        <f>'Raw Data'!I3</f>
        <v>Active</v>
      </c>
    </row>
    <row r="119" spans="1:7" x14ac:dyDescent="0.3">
      <c r="A119" s="7" t="str">
        <f>'Raw Data'!B4</f>
        <v>Ishita Naidu</v>
      </c>
      <c r="B119" s="7">
        <f>'Raw Data'!E4</f>
        <v>59</v>
      </c>
      <c r="C119" s="7">
        <f>'Raw Data'!F4</f>
        <v>68</v>
      </c>
      <c r="D119" s="7">
        <f>'Raw Data'!G4</f>
        <v>87</v>
      </c>
      <c r="E119" s="7" t="str">
        <f>'Raw Data'!D4</f>
        <v>Power BI Essentials</v>
      </c>
      <c r="F119" s="7" t="str">
        <f>'Raw Data'!I4</f>
        <v>Completed</v>
      </c>
    </row>
    <row r="120" spans="1:7" x14ac:dyDescent="0.3">
      <c r="A120" s="7" t="str">
        <f>'Raw Data'!B5</f>
        <v>Alok Mehta</v>
      </c>
      <c r="B120" s="7">
        <f>'Raw Data'!E5</f>
        <v>62</v>
      </c>
      <c r="C120" s="7">
        <f>'Raw Data'!F5</f>
        <v>49</v>
      </c>
      <c r="D120" s="7">
        <f>'Raw Data'!G5</f>
        <v>63</v>
      </c>
      <c r="E120" s="7" t="str">
        <f>'Raw Data'!D5</f>
        <v>SQL for Data Analysis</v>
      </c>
      <c r="F120" s="7" t="str">
        <f>'Raw Data'!I5</f>
        <v>Active</v>
      </c>
    </row>
    <row r="121" spans="1:7" x14ac:dyDescent="0.3">
      <c r="A121" s="7" t="str">
        <f>'Raw Data'!B6</f>
        <v>Kabir Reddy</v>
      </c>
      <c r="B121" s="7">
        <f>'Raw Data'!E6</f>
        <v>83</v>
      </c>
      <c r="C121" s="7">
        <f>'Raw Data'!F6</f>
        <v>56</v>
      </c>
      <c r="D121" s="7">
        <f>'Raw Data'!G6</f>
        <v>52</v>
      </c>
      <c r="E121" s="7" t="str">
        <f>'Raw Data'!D6</f>
        <v>SQL for Data Analysis</v>
      </c>
      <c r="F121" s="7" t="str">
        <f>'Raw Data'!I6</f>
        <v>Active</v>
      </c>
    </row>
    <row r="122" spans="1:7" x14ac:dyDescent="0.3">
      <c r="A122" s="7" t="str">
        <f>'Raw Data'!B7</f>
        <v>Kabir Patel</v>
      </c>
      <c r="B122" s="7">
        <f>'Raw Data'!E7</f>
        <v>98</v>
      </c>
      <c r="C122" s="7">
        <f>'Raw Data'!F7</f>
        <v>80</v>
      </c>
      <c r="D122" s="7">
        <f>'Raw Data'!G7</f>
        <v>89</v>
      </c>
      <c r="E122" s="7" t="str">
        <f>'Raw Data'!D7</f>
        <v>Machine Learning Basics</v>
      </c>
      <c r="F122" s="7" t="str">
        <f>'Raw Data'!I7</f>
        <v>Completed</v>
      </c>
    </row>
    <row r="123" spans="1:7" x14ac:dyDescent="0.3">
      <c r="A123" s="7" t="str">
        <f>'Raw Data'!B8</f>
        <v>Vikram Gupta</v>
      </c>
      <c r="B123" s="7">
        <f>'Raw Data'!E8</f>
        <v>50</v>
      </c>
      <c r="C123" s="7">
        <f>'Raw Data'!F8</f>
        <v>94</v>
      </c>
      <c r="D123" s="7">
        <f>'Raw Data'!G8</f>
        <v>64</v>
      </c>
      <c r="E123" s="7" t="str">
        <f>'Raw Data'!D8</f>
        <v>Machine Learning Basics</v>
      </c>
      <c r="F123" s="7" t="str">
        <f>'Raw Data'!I8</f>
        <v>Active</v>
      </c>
    </row>
    <row r="124" spans="1:7" x14ac:dyDescent="0.3">
      <c r="A124" s="7" t="str">
        <f>'Raw Data'!B9</f>
        <v>Suresh Desai</v>
      </c>
      <c r="B124" s="7">
        <f>'Raw Data'!E9</f>
        <v>67</v>
      </c>
      <c r="C124" s="7">
        <f>'Raw Data'!F9</f>
        <v>53</v>
      </c>
      <c r="D124" s="7">
        <f>'Raw Data'!G9</f>
        <v>92</v>
      </c>
      <c r="E124" s="7" t="str">
        <f>'Raw Data'!D9</f>
        <v>SQL for Data Analysis</v>
      </c>
      <c r="F124" s="7" t="str">
        <f>'Raw Data'!I9</f>
        <v>Completed</v>
      </c>
    </row>
    <row r="125" spans="1:7" x14ac:dyDescent="0.3">
      <c r="A125" s="7" t="str">
        <f>'Raw Data'!B10</f>
        <v>Komal Kumar</v>
      </c>
      <c r="B125" s="7">
        <f>'Raw Data'!E10</f>
        <v>79</v>
      </c>
      <c r="C125" s="7">
        <f>'Raw Data'!F10</f>
        <v>86</v>
      </c>
      <c r="D125" s="7">
        <f>'Raw Data'!G10</f>
        <v>65</v>
      </c>
      <c r="E125" s="7" t="str">
        <f>'Raw Data'!D10</f>
        <v>Python for Analytics</v>
      </c>
      <c r="F125" s="7" t="str">
        <f>'Raw Data'!I10</f>
        <v>Active</v>
      </c>
    </row>
    <row r="126" spans="1:7" x14ac:dyDescent="0.3">
      <c r="A126" s="7" t="str">
        <f>'Raw Data'!B11</f>
        <v>Suresh Khanna</v>
      </c>
      <c r="B126" s="7">
        <f>'Raw Data'!E11</f>
        <v>88</v>
      </c>
      <c r="C126" s="7">
        <f>'Raw Data'!F11</f>
        <v>60</v>
      </c>
      <c r="D126" s="7">
        <f>'Raw Data'!G11</f>
        <v>99</v>
      </c>
      <c r="E126" s="7" t="str">
        <f>'Raw Data'!D11</f>
        <v>Business Analytics</v>
      </c>
      <c r="F126" s="7" t="str">
        <f>'Raw Data'!I11</f>
        <v>Active</v>
      </c>
    </row>
    <row r="127" spans="1:7" x14ac:dyDescent="0.3">
      <c r="A127" s="7" t="str">
        <f>'Raw Data'!B12</f>
        <v>Payal Bhat</v>
      </c>
      <c r="B127" s="7">
        <f>'Raw Data'!E12</f>
        <v>49</v>
      </c>
      <c r="C127" s="7">
        <f>'Raw Data'!F12</f>
        <v>0</v>
      </c>
      <c r="D127" s="7">
        <f>'Raw Data'!G12</f>
        <v>86</v>
      </c>
      <c r="E127" s="7" t="str">
        <f>'Raw Data'!D12</f>
        <v>Machine Learning Basics</v>
      </c>
      <c r="F127" s="7" t="str">
        <f>'Raw Data'!I12</f>
        <v>Active</v>
      </c>
    </row>
    <row r="128" spans="1:7" x14ac:dyDescent="0.3">
      <c r="A128" s="7" t="str">
        <f>'Raw Data'!B13</f>
        <v>Swati Saxena</v>
      </c>
      <c r="B128" s="7">
        <f>'Raw Data'!E13</f>
        <v>61</v>
      </c>
      <c r="C128" s="7">
        <f>'Raw Data'!F13</f>
        <v>48</v>
      </c>
      <c r="D128" s="7">
        <f>'Raw Data'!G13</f>
        <v>65</v>
      </c>
      <c r="E128" s="7" t="str">
        <f>'Raw Data'!D13</f>
        <v>Python for Analytics</v>
      </c>
      <c r="F128" s="7" t="str">
        <f>'Raw Data'!I13</f>
        <v>Completed</v>
      </c>
    </row>
    <row r="129" spans="1:6" x14ac:dyDescent="0.3">
      <c r="A129" s="7" t="str">
        <f>'Raw Data'!B14</f>
        <v>Bhavna Dubey</v>
      </c>
      <c r="B129" s="7">
        <f>'Raw Data'!E14</f>
        <v>68</v>
      </c>
      <c r="C129" s="7">
        <f>'Raw Data'!F14</f>
        <v>54</v>
      </c>
      <c r="D129" s="7">
        <f>'Raw Data'!G14</f>
        <v>58</v>
      </c>
      <c r="E129" s="7" t="str">
        <f>'Raw Data'!D14</f>
        <v>Power BI Essentials</v>
      </c>
      <c r="F129" s="7" t="str">
        <f>'Raw Data'!I14</f>
        <v>Active</v>
      </c>
    </row>
    <row r="130" spans="1:6" x14ac:dyDescent="0.3">
      <c r="A130" s="7" t="str">
        <f>'Raw Data'!B15</f>
        <v>Sneha Das</v>
      </c>
      <c r="B130" s="7">
        <f>'Raw Data'!E15</f>
        <v>83</v>
      </c>
      <c r="C130" s="7">
        <f>'Raw Data'!F15</f>
        <v>44</v>
      </c>
      <c r="D130" s="7">
        <f>'Raw Data'!G15</f>
        <v>74</v>
      </c>
      <c r="E130" s="7" t="str">
        <f>'Raw Data'!D15</f>
        <v>Power BI Essentials</v>
      </c>
      <c r="F130" s="7" t="str">
        <f>'Raw Data'!I15</f>
        <v>Completed</v>
      </c>
    </row>
    <row r="131" spans="1:6" x14ac:dyDescent="0.3">
      <c r="A131" s="7" t="str">
        <f>'Raw Data'!B16</f>
        <v>Anjali Bose</v>
      </c>
      <c r="B131" s="7">
        <f>'Raw Data'!E16</f>
        <v>88</v>
      </c>
      <c r="C131" s="7">
        <f>'Raw Data'!F16</f>
        <v>86</v>
      </c>
      <c r="D131" s="7">
        <f>'Raw Data'!G16</f>
        <v>57</v>
      </c>
      <c r="E131" s="7" t="str">
        <f>'Raw Data'!D16</f>
        <v>Data Science Fundamentals</v>
      </c>
      <c r="F131" s="7" t="str">
        <f>'Raw Data'!I16</f>
        <v>Dropped</v>
      </c>
    </row>
  </sheetData>
  <mergeCells count="20">
    <mergeCell ref="A1:G2"/>
    <mergeCell ref="A3:G7"/>
    <mergeCell ref="A9:G9"/>
    <mergeCell ref="A10:G10"/>
    <mergeCell ref="A21:G21"/>
    <mergeCell ref="A22:G22"/>
    <mergeCell ref="A33:G33"/>
    <mergeCell ref="A34:G34"/>
    <mergeCell ref="A45:G45"/>
    <mergeCell ref="A46:G46"/>
    <mergeCell ref="A57:G57"/>
    <mergeCell ref="A58:G58"/>
    <mergeCell ref="A71:G71"/>
    <mergeCell ref="A72:G72"/>
    <mergeCell ref="A85:G85"/>
    <mergeCell ref="A86:G86"/>
    <mergeCell ref="A99:G99"/>
    <mergeCell ref="A100:G100"/>
    <mergeCell ref="A114:G114"/>
    <mergeCell ref="A115:G115"/>
  </mergeCells>
  <conditionalFormatting sqref="A60:A69">
    <cfRule type="expression" dxfId="15" priority="31">
      <formula>COUNTIF($A$60:$A$69,A60)&gt;1</formula>
    </cfRule>
  </conditionalFormatting>
  <conditionalFormatting sqref="B74:B83">
    <cfRule type="expression" dxfId="14" priority="32">
      <formula>ISBLANK(B74)</formula>
    </cfRule>
  </conditionalFormatting>
  <conditionalFormatting sqref="B88:B97">
    <cfRule type="expression" dxfId="13" priority="33">
      <formula>ISNUMBER(SEARCH("Dropped",B88))</formula>
    </cfRule>
  </conditionalFormatting>
  <conditionalFormatting sqref="A12:D1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:B31">
    <cfRule type="aboveAverage" dxfId="12" priority="22"/>
    <cfRule type="aboveAverage" dxfId="11" priority="21" aboveAverage="0"/>
  </conditionalFormatting>
  <conditionalFormatting sqref="A35:B43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{65BE62CD-812E-4E95-A9D5-855F16ED98CE}</x14:id>
        </ext>
      </extLst>
    </cfRule>
  </conditionalFormatting>
  <conditionalFormatting sqref="A47:B55">
    <cfRule type="iconSet" priority="19">
      <iconSet>
        <cfvo type="percent" val="0"/>
        <cfvo type="percent" val="33"/>
        <cfvo type="percent" val="67"/>
      </iconSet>
    </cfRule>
  </conditionalFormatting>
  <conditionalFormatting sqref="A59:B69">
    <cfRule type="duplicateValues" dxfId="10" priority="18"/>
  </conditionalFormatting>
  <conditionalFormatting sqref="A73:B83">
    <cfRule type="containsBlanks" priority="15">
      <formula>LEN(TRIM(A73))=0</formula>
    </cfRule>
  </conditionalFormatting>
  <conditionalFormatting sqref="A87:B97">
    <cfRule type="containsText" dxfId="9" priority="14" operator="containsText" text="Dropped">
      <formula>NOT(ISERROR(SEARCH("Dropped",A87)))</formula>
    </cfRule>
  </conditionalFormatting>
  <conditionalFormatting sqref="A101:B111">
    <cfRule type="top10" dxfId="8" priority="13" bottom="1" rank="10"/>
    <cfRule type="top10" dxfId="7" priority="12" bottom="1" rank="10"/>
    <cfRule type="top10" dxfId="6" priority="11" rank="10"/>
  </conditionalFormatting>
  <conditionalFormatting sqref="A116:F131">
    <cfRule type="top10" dxfId="5" priority="10" percent="1" rank="10"/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{B0699E30-66E5-4E7C-8DE9-549ED2466826}</x14:id>
        </ext>
      </extLst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ntainsBlanks" priority="7">
      <formula>LEN(TRIM(A116))=0</formula>
    </cfRule>
    <cfRule type="top10" dxfId="4" priority="6" percent="1" rank="10"/>
    <cfRule type="iconSet" priority="5">
      <iconSet>
        <cfvo type="percent" val="0"/>
        <cfvo type="percent" val="33"/>
        <cfvo type="percent" val="67"/>
      </iconSet>
    </cfRule>
    <cfRule type="duplicateValues" dxfId="3" priority="4"/>
    <cfRule type="containsText" dxfId="2" priority="3" operator="containsText" text="Dropped">
      <formula>NOT(ISERROR(SEARCH("Dropped",A116)))</formula>
    </cfRule>
    <cfRule type="top10" dxfId="1" priority="2" percent="1" bottom="1" rank="10"/>
    <cfRule type="top10" dxfId="0" priority="1" percent="1" rank="10"/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BE62CD-812E-4E95-A9D5-855F16ED98C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A35:B43</xm:sqref>
        </x14:conditionalFormatting>
        <x14:conditionalFormatting xmlns:xm="http://schemas.microsoft.com/office/excel/2006/main">
          <x14:cfRule type="dataBar" id="{B0699E30-66E5-4E7C-8DE9-549ED24668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A116:F131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F15"/>
  <sheetViews>
    <sheetView showGridLines="0" tabSelected="1" zoomScale="124" zoomScaleNormal="100" workbookViewId="0">
      <pane ySplit="4" topLeftCell="A5" activePane="bottomLeft" state="frozen"/>
      <selection pane="bottomLeft" activeCell="C17" sqref="C17"/>
    </sheetView>
  </sheetViews>
  <sheetFormatPr defaultColWidth="8.6640625" defaultRowHeight="14.4" x14ac:dyDescent="0.3"/>
  <cols>
    <col min="1" max="1" width="3" customWidth="1"/>
    <col min="2" max="2" width="32" customWidth="1"/>
    <col min="3" max="3" width="18" customWidth="1"/>
    <col min="4" max="4" width="4" customWidth="1"/>
    <col min="5" max="5" width="32" customWidth="1"/>
    <col min="6" max="6" width="18" customWidth="1"/>
  </cols>
  <sheetData>
    <row r="1" spans="1:6" ht="19.5" customHeight="1" x14ac:dyDescent="0.3">
      <c r="A1" s="29" t="s">
        <v>280</v>
      </c>
      <c r="B1" s="29"/>
      <c r="C1" s="29"/>
      <c r="D1" s="29"/>
      <c r="E1" s="29"/>
      <c r="F1" s="29"/>
    </row>
    <row r="2" spans="1:6" ht="19.5" customHeight="1" x14ac:dyDescent="0.3">
      <c r="A2" s="29"/>
      <c r="B2" s="29"/>
      <c r="C2" s="29"/>
      <c r="D2" s="29"/>
      <c r="E2" s="29"/>
      <c r="F2" s="29"/>
    </row>
    <row r="3" spans="1:6" ht="15" customHeight="1" x14ac:dyDescent="0.3">
      <c r="A3" s="32" t="s">
        <v>281</v>
      </c>
      <c r="B3" s="32"/>
      <c r="C3" s="32"/>
      <c r="D3" s="32"/>
      <c r="E3" s="32"/>
      <c r="F3" s="32"/>
    </row>
    <row r="4" spans="1:6" x14ac:dyDescent="0.3">
      <c r="A4" s="32"/>
      <c r="B4" s="32"/>
      <c r="C4" s="32"/>
      <c r="D4" s="32"/>
      <c r="E4" s="32"/>
      <c r="F4" s="32"/>
    </row>
    <row r="6" spans="1:6" ht="16.8" x14ac:dyDescent="0.3">
      <c r="B6" s="1" t="s">
        <v>282</v>
      </c>
      <c r="E6" s="1" t="s">
        <v>283</v>
      </c>
    </row>
    <row r="7" spans="1:6" ht="15.6" x14ac:dyDescent="0.3">
      <c r="B7" s="9" t="s">
        <v>284</v>
      </c>
      <c r="C7" s="21">
        <f>COUNTA('Raw Data'!A2:A53)</f>
        <v>52</v>
      </c>
      <c r="E7" s="22" t="s">
        <v>28</v>
      </c>
      <c r="F7" s="22" t="s">
        <v>285</v>
      </c>
    </row>
    <row r="8" spans="1:6" ht="15.6" x14ac:dyDescent="0.3">
      <c r="B8" s="9" t="s">
        <v>286</v>
      </c>
      <c r="C8" s="23">
        <f>AVERAGE('Raw Data'!E2:G53)</f>
        <v>70.318181818181813</v>
      </c>
      <c r="E8" s="6" t="s">
        <v>93</v>
      </c>
      <c r="F8" s="7">
        <f>COUNTIF('Raw Data'!D2:D53,E8)</f>
        <v>7</v>
      </c>
    </row>
    <row r="9" spans="1:6" ht="15.6" x14ac:dyDescent="0.3">
      <c r="B9" s="9" t="s">
        <v>287</v>
      </c>
      <c r="C9" s="21">
        <f>MAX('Raw Data'!E2:G53)</f>
        <v>100</v>
      </c>
      <c r="E9" s="6" t="s">
        <v>98</v>
      </c>
      <c r="F9" s="7">
        <f>COUNTIF('Raw Data'!D2:D53,E9)</f>
        <v>5</v>
      </c>
    </row>
    <row r="10" spans="1:6" ht="15.6" x14ac:dyDescent="0.3">
      <c r="B10" s="9" t="s">
        <v>288</v>
      </c>
      <c r="C10" s="21">
        <f>MIN('Raw Data'!E2:G53)</f>
        <v>41</v>
      </c>
      <c r="E10" s="6" t="s">
        <v>72</v>
      </c>
      <c r="F10" s="7">
        <f>COUNTIF('Raw Data'!D2:D53,E10)</f>
        <v>6</v>
      </c>
    </row>
    <row r="11" spans="1:6" ht="15.6" x14ac:dyDescent="0.3">
      <c r="B11" s="9" t="s">
        <v>289</v>
      </c>
      <c r="C11" s="21">
        <f>COUNTIF('Raw Data'!I2:I53,"Active")</f>
        <v>31</v>
      </c>
      <c r="E11" s="6" t="s">
        <v>77</v>
      </c>
      <c r="F11" s="7">
        <f>COUNTIF('Raw Data'!D2:D53,E11)</f>
        <v>6</v>
      </c>
    </row>
    <row r="12" spans="1:6" ht="15.6" x14ac:dyDescent="0.3">
      <c r="B12" s="9" t="s">
        <v>290</v>
      </c>
      <c r="C12" s="21">
        <f>COUNTIF('Raw Data'!I2:I53,"Completed")</f>
        <v>13</v>
      </c>
      <c r="E12" s="6" t="s">
        <v>38</v>
      </c>
      <c r="F12" s="7">
        <f>COUNTIF('Raw Data'!D2:D53,E12)</f>
        <v>9</v>
      </c>
    </row>
    <row r="13" spans="1:6" ht="15.6" x14ac:dyDescent="0.3">
      <c r="B13" s="9" t="s">
        <v>291</v>
      </c>
      <c r="C13" s="21">
        <f>COUNTIF('Raw Data'!I2:I53,"Dropped")</f>
        <v>5</v>
      </c>
      <c r="E13" s="6" t="s">
        <v>54</v>
      </c>
      <c r="F13" s="7">
        <f>COUNTIF('Raw Data'!D2:D53,E13)</f>
        <v>7</v>
      </c>
    </row>
    <row r="14" spans="1:6" ht="15.6" x14ac:dyDescent="0.3">
      <c r="B14" s="9" t="s">
        <v>292</v>
      </c>
      <c r="C14" s="24">
        <f>MIN('Raw Data'!H2:H53)</f>
        <v>45327</v>
      </c>
      <c r="E14" s="6" t="s">
        <v>44</v>
      </c>
      <c r="F14" s="7">
        <f>COUNTIF('Raw Data'!D2:D53,E14)</f>
        <v>6</v>
      </c>
    </row>
    <row r="15" spans="1:6" ht="15.6" x14ac:dyDescent="0.3">
      <c r="B15" s="9" t="s">
        <v>293</v>
      </c>
      <c r="C15" s="24">
        <f>MAX('Raw Data'!H2:H53)</f>
        <v>45698</v>
      </c>
      <c r="E15" s="6" t="s">
        <v>109</v>
      </c>
      <c r="F15" s="7">
        <f>COUNTIF('Raw Data'!D2:D53,E15)</f>
        <v>6</v>
      </c>
    </row>
  </sheetData>
  <mergeCells count="2">
    <mergeCell ref="A1:F2"/>
    <mergeCell ref="A3:F4"/>
  </mergeCells>
  <conditionalFormatting sqref="F8:F15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{19D47B54-39C0-4430-95CC-234B4AEB20BF}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D47B54-39C0-4430-95CC-234B4AEB20BF}">
            <x14:dataBar axisPosition="none">
              <x14:cfvo type="min"/>
              <x14:cfvo type="max"/>
              <x14:negativeFillColor rgb="FF70AD47"/>
            </x14:dataBar>
          </x14:cfRule>
          <xm:sqref>F8:F15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Raw Data</vt:lpstr>
      <vt:lpstr>Text Functions Practice</vt:lpstr>
      <vt:lpstr>Aggregate Functions Practice</vt:lpstr>
      <vt:lpstr>Conditional Formatting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siddhant mishra</cp:lastModifiedBy>
  <cp:revision>0</cp:revision>
  <dcterms:created xsi:type="dcterms:W3CDTF">2026-07-23T04:40:49Z</dcterms:created>
  <dcterms:modified xsi:type="dcterms:W3CDTF">2026-07-23T10:45:27Z</dcterms:modified>
  <dc:language>en-US</dc:language>
</cp:coreProperties>
</file>