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91943\Downloads\Upgrad classes\class 7(online)\"/>
    </mc:Choice>
  </mc:AlternateContent>
  <xr:revisionPtr revIDLastSave="0" documentId="8_{5172F244-3E20-4BF7-B010-89BBF4554E2A}" xr6:coauthVersionLast="47" xr6:coauthVersionMax="47" xr10:uidLastSave="{00000000-0000-0000-0000-000000000000}"/>
  <bookViews>
    <workbookView xWindow="3924" yWindow="3348" windowWidth="17280" windowHeight="9420" xr2:uid="{C4E6976B-BB5C-4BB3-A830-5A718C5DD9EE}"/>
  </bookViews>
  <sheets>
    <sheet name="Logical Functions" sheetId="1" r:id="rId1"/>
  </sheets>
  <externalReferences>
    <externalReference r:id="rId2"/>
    <externalReference r:id="rId3"/>
    <externalReference r:id="rId4"/>
  </externalReferences>
  <definedNames>
    <definedName name="Delivery_Charges">20%</definedName>
    <definedName name="DeliveryCharges">5%</definedName>
    <definedName name="DeliveryCharges_Perc">2%</definedName>
    <definedName name="Dyn_EmpDetails">OFFSET('[1]Name Manager'!$J$1,0,0,COUNTA('[1]Name Manager'!$J:$J),2)</definedName>
    <definedName name="Dyn_EmpList">OFFSET('[2]Named Range'!$J$1,0,0,COUNTA('[2]Named Range'!$J:$J),4)</definedName>
    <definedName name="DynamicProductList">OFFSET('[3]Named Range'!$E$2,0,0,COUNTA('[3]Named Range'!$E$2:$E$100),1)</definedName>
    <definedName name="East">'[1]Name Manager'!$AA$2:$AA$6</definedName>
    <definedName name="Emp_Details" comment="hey this is my first name range...">'[1]Name Manager'!$D$1:$E$9</definedName>
    <definedName name="North">'[1]Name Manager'!$AC$2:$AC$6</definedName>
    <definedName name="Product_List">'[3]Named Range'!$C$1:$C$10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P38" i="1" l="1"/>
  <c r="H24" i="1"/>
  <c r="H23" i="1"/>
  <c r="H22" i="1"/>
  <c r="H21" i="1"/>
  <c r="H17" i="1"/>
  <c r="H16" i="1"/>
  <c r="K15" i="1"/>
  <c r="J15" i="1"/>
  <c r="H15" i="1"/>
  <c r="K14" i="1"/>
  <c r="J14" i="1"/>
  <c r="H14" i="1"/>
  <c r="I9" i="1"/>
</calcChain>
</file>

<file path=xl/sharedStrings.xml><?xml version="1.0" encoding="utf-8"?>
<sst xmlns="http://schemas.openxmlformats.org/spreadsheetml/2006/main" count="303" uniqueCount="237">
  <si>
    <t>Logical Functions</t>
  </si>
  <si>
    <t>Syntax: =IF(logical_test,[value_if_true],[value_if_false])</t>
  </si>
  <si>
    <t>How many "IF" Conditions should be written based on the Conditions to be evaluated?</t>
  </si>
  <si>
    <t>AND()</t>
  </si>
  <si>
    <t xml:space="preserve">OR() </t>
  </si>
  <si>
    <t>NOT()</t>
  </si>
  <si>
    <t>TRUE(), FALSE()</t>
  </si>
  <si>
    <t>IF()</t>
  </si>
  <si>
    <t>IFS()
2016</t>
  </si>
  <si>
    <t>IFERROR() or IFNA()</t>
  </si>
  <si>
    <t>SWITCH()</t>
  </si>
  <si>
    <t>Syntax: =AND(logical1,[logical2],…)</t>
  </si>
  <si>
    <t>Syntax: =OR(logical1,[logical2],…)</t>
  </si>
  <si>
    <t>Syntax: =NOT(logical)</t>
  </si>
  <si>
    <t>Theory Subjects Condition: Theory Pass marks are 40. Student needs to score minimum 40 marks in all the Subjects.</t>
  </si>
  <si>
    <t>Syntax: =IFS(logical_test,value_if_true,[logical_test],[value_if_true],...)</t>
  </si>
  <si>
    <t>Syntax: =IFERROR(value,value_if_error)</t>
  </si>
  <si>
    <t>Syntax: =SWITCH(expression,value1,result1,[default_or_value2],[result2],...)</t>
  </si>
  <si>
    <t>logical values</t>
  </si>
  <si>
    <t>Scenario: Get Result "Pass" or "Fail" if the student get minimum 40 marks</t>
  </si>
  <si>
    <t>Sc1:  Calculate discount of 10% on Sales if the sales figure is more than or equal to 50000 else discount amount is 5% of sales</t>
  </si>
  <si>
    <t>Practical Subjects Condition: Practical Pass Marks are 25. (Note: If in any one subject the student scores 25, then mark as "Pass")</t>
  </si>
  <si>
    <t>=IF(logical_test,value_if_true,`)</t>
  </si>
  <si>
    <t>Sc2:  For New York  city 10% on Sales for other cities 5% on Sales</t>
  </si>
  <si>
    <t>Without Nested IF</t>
  </si>
  <si>
    <t>Home Work</t>
  </si>
  <si>
    <t>Number</t>
  </si>
  <si>
    <t>Day Name (Using IF)</t>
  </si>
  <si>
    <t>Day Name (Using IFS)</t>
  </si>
  <si>
    <t>State</t>
  </si>
  <si>
    <t>Capital</t>
  </si>
  <si>
    <t>Sales</t>
  </si>
  <si>
    <t>IFERROR</t>
  </si>
  <si>
    <t>hi</t>
  </si>
  <si>
    <t>Sc3:  New York or Delhi 10%, other city 5%</t>
  </si>
  <si>
    <t>=IF(CJ9=1,"Sun",IF(CJ9=2,"Mon",IF(CJ9=3,"Tue"</t>
  </si>
  <si>
    <t>Telangana</t>
  </si>
  <si>
    <t>Andhra Pradesh</t>
  </si>
  <si>
    <t>Amaravati</t>
  </si>
  <si>
    <t>Ex 1: First Way:</t>
  </si>
  <si>
    <t>Ex 2: Alternate Way:</t>
  </si>
  <si>
    <t>Ex 3:</t>
  </si>
  <si>
    <t>Ex 4:</t>
  </si>
  <si>
    <t>london</t>
  </si>
  <si>
    <t>Ex 5:</t>
  </si>
  <si>
    <t>Nested Ifs</t>
  </si>
  <si>
    <t>Ex 6:</t>
  </si>
  <si>
    <t>Conditions</t>
  </si>
  <si>
    <t>Ex 7: Display "Pass" if the students scores min 40 in all Subjects else "Fail"</t>
  </si>
  <si>
    <t>Ex 8:</t>
  </si>
  <si>
    <t xml:space="preserve">Theory </t>
  </si>
  <si>
    <t>Practical</t>
  </si>
  <si>
    <t>Ex 9:</t>
  </si>
  <si>
    <t>Goa</t>
  </si>
  <si>
    <t>Arunachal Pradesh</t>
  </si>
  <si>
    <t>Itanagar</t>
  </si>
  <si>
    <t>Functions</t>
  </si>
  <si>
    <t>Marks</t>
  </si>
  <si>
    <t>Result</t>
  </si>
  <si>
    <t>Sc1: Output</t>
  </si>
  <si>
    <t>City</t>
  </si>
  <si>
    <t>Sc2: Output</t>
  </si>
  <si>
    <t>Sc2: Output New</t>
  </si>
  <si>
    <t>Logical</t>
  </si>
  <si>
    <t>Sc3: Output</t>
  </si>
  <si>
    <t>Sc3: Output (Mega Formula)</t>
  </si>
  <si>
    <t>Salary</t>
  </si>
  <si>
    <t>Grade (Ascending Order)</t>
  </si>
  <si>
    <t>Grade (Method 2)</t>
  </si>
  <si>
    <t>Salary Bracket</t>
  </si>
  <si>
    <t>Grade</t>
  </si>
  <si>
    <t>Order</t>
  </si>
  <si>
    <t>Student Name</t>
  </si>
  <si>
    <t>English</t>
  </si>
  <si>
    <t>Maths</t>
  </si>
  <si>
    <t>Science</t>
  </si>
  <si>
    <t>Formula1</t>
  </si>
  <si>
    <t>Result (Mega Formula)</t>
  </si>
  <si>
    <t>Studen Name</t>
  </si>
  <si>
    <t>Practical1</t>
  </si>
  <si>
    <t>Practical2</t>
  </si>
  <si>
    <t>Theory Result</t>
  </si>
  <si>
    <t>Practical Result</t>
  </si>
  <si>
    <t>Overall Result</t>
  </si>
  <si>
    <t>Overall Result (Mega Formula)</t>
  </si>
  <si>
    <t>Tax Amount</t>
  </si>
  <si>
    <t>Sl#</t>
  </si>
  <si>
    <t>Taxable income</t>
  </si>
  <si>
    <t>Tax Rate</t>
  </si>
  <si>
    <t>Maharashtra</t>
  </si>
  <si>
    <t>Assam</t>
  </si>
  <si>
    <t>Dispur</t>
  </si>
  <si>
    <t>=</t>
  </si>
  <si>
    <t>AND TRUTH TABLE</t>
  </si>
  <si>
    <t>AND Function</t>
  </si>
  <si>
    <t>ISBLANK()</t>
  </si>
  <si>
    <t>Delhi</t>
  </si>
  <si>
    <t>&lt;50000</t>
  </si>
  <si>
    <t>Grade C</t>
  </si>
  <si>
    <t>0 to 50000</t>
  </si>
  <si>
    <t>Grade E</t>
  </si>
  <si>
    <t>Student1</t>
  </si>
  <si>
    <t>Slab#</t>
  </si>
  <si>
    <t>(Existing Scheme)</t>
  </si>
  <si>
    <t>(New Scheme)</t>
  </si>
  <si>
    <t>Punjab</t>
  </si>
  <si>
    <t>Bihar</t>
  </si>
  <si>
    <t>Patna</t>
  </si>
  <si>
    <t>&lt;&gt;</t>
  </si>
  <si>
    <t>O1</t>
  </si>
  <si>
    <t>O2</t>
  </si>
  <si>
    <t>FINAL OUTPUT</t>
  </si>
  <si>
    <t>ISNA()</t>
  </si>
  <si>
    <t>London</t>
  </si>
  <si>
    <t>50000 to 100000</t>
  </si>
  <si>
    <t>Grade B</t>
  </si>
  <si>
    <t>50001 to 100000</t>
  </si>
  <si>
    <t>Grade D</t>
  </si>
  <si>
    <t>Student2</t>
  </si>
  <si>
    <t>Up to Rs. 2,50,000</t>
  </si>
  <si>
    <t>Nil</t>
  </si>
  <si>
    <t>Tamil Nadu</t>
  </si>
  <si>
    <t>Chhattisgarh</t>
  </si>
  <si>
    <t>Raipur</t>
  </si>
  <si>
    <t>&gt;</t>
  </si>
  <si>
    <t>ISERR()</t>
  </si>
  <si>
    <t>new york</t>
  </si>
  <si>
    <t>&gt;100000</t>
  </si>
  <si>
    <t>Grade A</t>
  </si>
  <si>
    <t>100001 to 250000</t>
  </si>
  <si>
    <t>Student3</t>
  </si>
  <si>
    <t>Rs. 2,50,001 to Rs. 5,00,000</t>
  </si>
  <si>
    <t>Rajasthan</t>
  </si>
  <si>
    <t>Panaji</t>
  </si>
  <si>
    <t>&lt;</t>
  </si>
  <si>
    <t>ISERROR()</t>
  </si>
  <si>
    <t>New York</t>
  </si>
  <si>
    <t>250001 to 500000</t>
  </si>
  <si>
    <t>Student4</t>
  </si>
  <si>
    <t>Rs. 5,00,001 to Rs. 7,50,000</t>
  </si>
  <si>
    <t>Gujarat</t>
  </si>
  <si>
    <t>Gandhinagar</t>
  </si>
  <si>
    <t>&gt;=</t>
  </si>
  <si>
    <t>ISEVEN()</t>
  </si>
  <si>
    <t>Beijing</t>
  </si>
  <si>
    <t>&gt;500000</t>
  </si>
  <si>
    <t>Student5</t>
  </si>
  <si>
    <t>Rs. 7,50,001 to Rs. 10,00,000</t>
  </si>
  <si>
    <t>Haryana</t>
  </si>
  <si>
    <t>Chandigarh (Shared with Punjab)</t>
  </si>
  <si>
    <t>&lt;=</t>
  </si>
  <si>
    <t>ISODD()</t>
  </si>
  <si>
    <t>Student6</t>
  </si>
  <si>
    <t>Rs. 10,00,001 to Rs. 12,50,000</t>
  </si>
  <si>
    <t>Date</t>
  </si>
  <si>
    <t>Himachal Pradesh</t>
  </si>
  <si>
    <t>Shimla</t>
  </si>
  <si>
    <t>ISFORMULA()</t>
  </si>
  <si>
    <t>Student7</t>
  </si>
  <si>
    <t>Rs. 12,50,001 to Rs. 15,00,000</t>
  </si>
  <si>
    <t>Using IFS</t>
  </si>
  <si>
    <t>Jharkhand</t>
  </si>
  <si>
    <t>Ranchi</t>
  </si>
  <si>
    <t>OR TRUTH TABLE</t>
  </si>
  <si>
    <t>ISLOGICAL()</t>
  </si>
  <si>
    <t>Tokyo</t>
  </si>
  <si>
    <t>Student8</t>
  </si>
  <si>
    <t>Above Rs. 15,00,000</t>
  </si>
  <si>
    <t>&lt;=50000</t>
  </si>
  <si>
    <t>Karnataka</t>
  </si>
  <si>
    <t>Bengaluru</t>
  </si>
  <si>
    <t>ISTEXT()</t>
  </si>
  <si>
    <t>Student9</t>
  </si>
  <si>
    <t>Kerala</t>
  </si>
  <si>
    <t>Thiruvananthapuram</t>
  </si>
  <si>
    <t>ISNONTEXT()</t>
  </si>
  <si>
    <t>Student10</t>
  </si>
  <si>
    <t>Madhya Pradesh</t>
  </si>
  <si>
    <t>Bhopal</t>
  </si>
  <si>
    <t>ISNUMBER()</t>
  </si>
  <si>
    <t>Student11</t>
  </si>
  <si>
    <t>Mumbai</t>
  </si>
  <si>
    <t>Student12</t>
  </si>
  <si>
    <t>Manipur</t>
  </si>
  <si>
    <t>Imphal</t>
  </si>
  <si>
    <t>Student13</t>
  </si>
  <si>
    <t>Meghalaya</t>
  </si>
  <si>
    <t>Shillong</t>
  </si>
  <si>
    <t>Student14</t>
  </si>
  <si>
    <t>Mizoram</t>
  </si>
  <si>
    <t>Aizawl</t>
  </si>
  <si>
    <t>Nagaland</t>
  </si>
  <si>
    <t>Kohima</t>
  </si>
  <si>
    <t>Odisha</t>
  </si>
  <si>
    <t>Bhubaneswar</t>
  </si>
  <si>
    <t>Chandigarh</t>
  </si>
  <si>
    <t>Jaipur</t>
  </si>
  <si>
    <t>Sikkim</t>
  </si>
  <si>
    <t>Gangtok</t>
  </si>
  <si>
    <t>Chennai</t>
  </si>
  <si>
    <t>It's an Even Number</t>
  </si>
  <si>
    <t>Hyderabad</t>
  </si>
  <si>
    <t>It's not an Even Number</t>
  </si>
  <si>
    <t>Tripura</t>
  </si>
  <si>
    <t>Agartala</t>
  </si>
  <si>
    <t>Uttar Pradesh</t>
  </si>
  <si>
    <t>Lucknow</t>
  </si>
  <si>
    <t>Uttarakhand</t>
  </si>
  <si>
    <t>Dehradun</t>
  </si>
  <si>
    <t>West Bengal</t>
  </si>
  <si>
    <t>Kolkata</t>
  </si>
  <si>
    <t>IFS</t>
  </si>
  <si>
    <t>SWITCH</t>
  </si>
  <si>
    <t>=SWITCH(CO9,"Telangana","Hyderabad","Goa","Panaji","Maharashtra","Bombay")</t>
  </si>
  <si>
    <t>=IFS(CO9="Telangana","Hyderabad",CO9="Goa","Panaji)</t>
  </si>
  <si>
    <t>Jan</t>
  </si>
  <si>
    <t>Feb</t>
  </si>
  <si>
    <t>Mar</t>
  </si>
  <si>
    <t>Apr</t>
  </si>
  <si>
    <t>May</t>
  </si>
  <si>
    <t>Jun</t>
  </si>
  <si>
    <t>Jul</t>
  </si>
  <si>
    <t>Aug</t>
  </si>
  <si>
    <t>Sep</t>
  </si>
  <si>
    <t>Oct</t>
  </si>
  <si>
    <t>Nov</t>
  </si>
  <si>
    <t>Dec</t>
  </si>
  <si>
    <t>weekend/weekday</t>
  </si>
  <si>
    <t>Grade (Method  - IFS)</t>
  </si>
  <si>
    <t>poor</t>
  </si>
  <si>
    <t>fair</t>
  </si>
  <si>
    <t>good</t>
  </si>
  <si>
    <t>very good</t>
  </si>
  <si>
    <t>excellent</t>
  </si>
  <si>
    <t>invalid rating</t>
  </si>
  <si>
    <t xml:space="preserve">Any other number </t>
  </si>
  <si>
    <t xml:space="preserve"> with true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</si>
</sst>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Aptos Narrow"/>
      <family val="2"/>
      <scheme val="minor"/>
    </font>
    <font>
      <sz val="11"/>
      <color theme="1"/>
      <name val="Aptos Narrow"/>
      <family val="2"/>
      <scheme val="minor"/>
    </font>
    <font>
      <b/>
      <sz val="40"/>
      <color theme="0"/>
      <name val="Segoe UI"/>
      <family val="2"/>
    </font>
    <font>
      <sz val="40"/>
      <color theme="9" tint="0.59999389629810485"/>
      <name val="Segoe UI"/>
      <family val="2"/>
    </font>
    <font>
      <sz val="11"/>
      <color theme="9" tint="0.59999389629810485"/>
      <name val="Segoe UI"/>
      <family val="2"/>
    </font>
    <font>
      <sz val="11"/>
      <color theme="1"/>
      <name val="Segoe UI"/>
      <family val="2"/>
    </font>
    <font>
      <sz val="11"/>
      <color theme="1"/>
      <name val="Calibri"/>
      <family val="2"/>
    </font>
    <font>
      <b/>
      <sz val="10"/>
      <color theme="1"/>
      <name val="Segoe UI"/>
      <family val="2"/>
    </font>
    <font>
      <b/>
      <sz val="12"/>
      <color theme="3"/>
      <name val="Segoe UI"/>
      <family val="2"/>
    </font>
    <font>
      <b/>
      <sz val="11"/>
      <color theme="3"/>
      <name val="Segoe UI"/>
      <family val="2"/>
    </font>
    <font>
      <b/>
      <sz val="11"/>
      <color rgb="FFFA7D00"/>
      <name val="Segoe UI"/>
      <family val="2"/>
    </font>
    <font>
      <u/>
      <sz val="11"/>
      <color theme="10"/>
      <name val="Segoe UI"/>
      <family val="2"/>
    </font>
    <font>
      <b/>
      <sz val="11"/>
      <color theme="0"/>
      <name val="Segoe UI"/>
      <family val="2"/>
    </font>
    <font>
      <b/>
      <sz val="11"/>
      <color theme="1"/>
      <name val="Segoe UI"/>
      <family val="2"/>
    </font>
    <font>
      <b/>
      <sz val="11"/>
      <color rgb="FF3F3F3F"/>
      <name val="Segoe UI"/>
      <family val="2"/>
    </font>
    <font>
      <b/>
      <sz val="14"/>
      <color theme="0"/>
      <name val="Aptos Narrow"/>
      <family val="2"/>
      <scheme val="minor"/>
    </font>
  </fonts>
  <fills count="12">
    <fill>
      <patternFill patternType="none"/>
    </fill>
    <fill>
      <patternFill patternType="gray125"/>
    </fill>
    <fill>
      <patternFill patternType="solid">
        <fgColor rgb="FFF2F2F2"/>
      </patternFill>
    </fill>
    <fill>
      <patternFill patternType="solid">
        <fgColor rgb="FF134A2C"/>
        <bgColor indexed="64"/>
      </patternFill>
    </fill>
    <fill>
      <patternFill patternType="solid">
        <fgColor theme="9"/>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8" tint="-0.499984740745262"/>
        <bgColor indexed="64"/>
      </patternFill>
    </fill>
    <fill>
      <patternFill patternType="solid">
        <fgColor theme="5" tint="-0.24994659260841701"/>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s>
  <borders count="20">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thick">
        <color theme="9"/>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0">
    <xf numFmtId="0" fontId="0" fillId="0" borderId="0"/>
    <xf numFmtId="0" fontId="11" fillId="0" borderId="0" applyNumberFormat="0" applyFill="0" applyBorder="0" applyAlignment="0" applyProtection="0"/>
    <xf numFmtId="0" fontId="1" fillId="0" borderId="0"/>
    <xf numFmtId="0" fontId="6" fillId="0" borderId="0"/>
    <xf numFmtId="0" fontId="8" fillId="0" borderId="3" applyNumberFormat="0" applyFill="0" applyAlignment="0" applyProtection="0"/>
    <xf numFmtId="0" fontId="5" fillId="0" borderId="0"/>
    <xf numFmtId="0" fontId="10" fillId="2" borderId="1" applyNumberFormat="0" applyAlignment="0" applyProtection="0"/>
    <xf numFmtId="0" fontId="12" fillId="4" borderId="10">
      <alignment horizontal="center" vertical="center"/>
    </xf>
    <xf numFmtId="0" fontId="12" fillId="8" borderId="10">
      <alignment horizontal="center" vertical="center"/>
    </xf>
    <xf numFmtId="0" fontId="14" fillId="2" borderId="2" applyNumberFormat="0" applyAlignment="0" applyProtection="0"/>
  </cellStyleXfs>
  <cellXfs count="78">
    <xf numFmtId="0" fontId="0" fillId="0" borderId="0" xfId="0"/>
    <xf numFmtId="0" fontId="2" fillId="3" borderId="0" xfId="2" applyFont="1" applyFill="1" applyAlignment="1">
      <alignment horizontal="left" vertical="center" indent="22"/>
    </xf>
    <xf numFmtId="0" fontId="2" fillId="3" borderId="0" xfId="2" applyFont="1" applyFill="1" applyAlignment="1">
      <alignment horizontal="left" indent="22"/>
    </xf>
    <xf numFmtId="0" fontId="3" fillId="3" borderId="0" xfId="2" applyFont="1" applyFill="1"/>
    <xf numFmtId="0" fontId="4" fillId="3" borderId="0" xfId="2" applyFont="1" applyFill="1"/>
    <xf numFmtId="0" fontId="5" fillId="0" borderId="0" xfId="2" applyFont="1"/>
    <xf numFmtId="0" fontId="5" fillId="0" borderId="0" xfId="3" applyFont="1"/>
    <xf numFmtId="0" fontId="7" fillId="0" borderId="0" xfId="3" applyFont="1"/>
    <xf numFmtId="0" fontId="6" fillId="0" borderId="0" xfId="3"/>
    <xf numFmtId="0" fontId="5" fillId="0" borderId="0" xfId="3" quotePrefix="1" applyFont="1"/>
    <xf numFmtId="0" fontId="8" fillId="0" borderId="3" xfId="4"/>
    <xf numFmtId="0" fontId="5" fillId="0" borderId="0" xfId="5"/>
    <xf numFmtId="0" fontId="10" fillId="2" borderId="4" xfId="6" applyBorder="1"/>
    <xf numFmtId="0" fontId="10" fillId="2" borderId="5" xfId="6" applyBorder="1"/>
    <xf numFmtId="0" fontId="10" fillId="2" borderId="6" xfId="6" applyBorder="1"/>
    <xf numFmtId="0" fontId="7" fillId="0" borderId="0" xfId="3" applyFont="1" applyAlignment="1">
      <alignment horizontal="left" vertical="center"/>
    </xf>
    <xf numFmtId="0" fontId="7" fillId="0" borderId="0" xfId="3" applyFont="1" applyAlignment="1">
      <alignment horizontal="center" vertical="center" wrapText="1"/>
    </xf>
    <xf numFmtId="0" fontId="11" fillId="0" borderId="0" xfId="1"/>
    <xf numFmtId="0" fontId="12" fillId="4" borderId="10" xfId="7">
      <alignment horizontal="center" vertical="center"/>
    </xf>
    <xf numFmtId="0" fontId="12" fillId="4" borderId="10" xfId="7" quotePrefix="1">
      <alignment horizontal="center" vertical="center"/>
    </xf>
    <xf numFmtId="0" fontId="13" fillId="0" borderId="0" xfId="3" applyFont="1"/>
    <xf numFmtId="0" fontId="5" fillId="0" borderId="10" xfId="3" applyFont="1" applyBorder="1"/>
    <xf numFmtId="0" fontId="5" fillId="0" borderId="10" xfId="3" applyFont="1" applyBorder="1" applyAlignment="1">
      <alignment horizontal="center"/>
    </xf>
    <xf numFmtId="0" fontId="5" fillId="0" borderId="10" xfId="3" quotePrefix="1" applyFont="1" applyBorder="1" applyAlignment="1">
      <alignment horizontal="center"/>
    </xf>
    <xf numFmtId="0" fontId="6" fillId="0" borderId="0" xfId="3" quotePrefix="1"/>
    <xf numFmtId="0" fontId="5" fillId="5" borderId="10" xfId="3" applyFont="1" applyFill="1" applyBorder="1"/>
    <xf numFmtId="0" fontId="12" fillId="8" borderId="10" xfId="8">
      <alignment horizontal="center" vertical="center"/>
    </xf>
    <xf numFmtId="0" fontId="14" fillId="2" borderId="2" xfId="9" applyAlignment="1">
      <alignment horizontal="center" vertical="center"/>
    </xf>
    <xf numFmtId="0" fontId="12" fillId="4" borderId="10" xfId="7" applyAlignment="1">
      <alignment horizontal="center" vertical="center" wrapText="1"/>
    </xf>
    <xf numFmtId="0" fontId="14" fillId="2" borderId="10" xfId="9" applyBorder="1" applyAlignment="1">
      <alignment horizontal="center" vertical="center"/>
    </xf>
    <xf numFmtId="0" fontId="12" fillId="7" borderId="10" xfId="7" applyFill="1">
      <alignment horizontal="center" vertical="center"/>
    </xf>
    <xf numFmtId="0" fontId="14" fillId="2" borderId="2" xfId="9" applyAlignment="1">
      <alignment horizontal="center"/>
    </xf>
    <xf numFmtId="0" fontId="5" fillId="0" borderId="10" xfId="3" quotePrefix="1" applyFont="1" applyBorder="1"/>
    <xf numFmtId="0" fontId="5" fillId="9" borderId="10" xfId="3" applyFont="1" applyFill="1" applyBorder="1"/>
    <xf numFmtId="0" fontId="5" fillId="10" borderId="10" xfId="3" applyFont="1" applyFill="1" applyBorder="1"/>
    <xf numFmtId="0" fontId="5" fillId="0" borderId="10" xfId="5" applyBorder="1"/>
    <xf numFmtId="0" fontId="5" fillId="5" borderId="10" xfId="3" applyFont="1" applyFill="1" applyBorder="1" applyAlignment="1">
      <alignment horizontal="center"/>
    </xf>
    <xf numFmtId="9" fontId="5" fillId="0" borderId="10" xfId="3" applyNumberFormat="1" applyFont="1" applyBorder="1" applyAlignment="1">
      <alignment horizontal="center"/>
    </xf>
    <xf numFmtId="0" fontId="5" fillId="11" borderId="10" xfId="3" applyFont="1" applyFill="1" applyBorder="1" applyAlignment="1">
      <alignment horizontal="center"/>
    </xf>
    <xf numFmtId="9" fontId="5" fillId="11" borderId="10" xfId="3" applyNumberFormat="1" applyFont="1" applyFill="1" applyBorder="1" applyAlignment="1">
      <alignment horizontal="center"/>
    </xf>
    <xf numFmtId="14" fontId="5" fillId="0" borderId="0" xfId="3" applyNumberFormat="1" applyFont="1"/>
    <xf numFmtId="15" fontId="5" fillId="0" borderId="10" xfId="3" applyNumberFormat="1" applyFont="1" applyBorder="1" applyAlignment="1">
      <alignment horizontal="center"/>
    </xf>
    <xf numFmtId="15" fontId="5" fillId="0" borderId="0" xfId="3" applyNumberFormat="1" applyFont="1"/>
    <xf numFmtId="0" fontId="5" fillId="0" borderId="7" xfId="3" applyFont="1" applyBorder="1"/>
    <xf numFmtId="0" fontId="0" fillId="0" borderId="10" xfId="0" applyBorder="1" applyAlignment="1">
      <alignment horizontal="center"/>
    </xf>
    <xf numFmtId="0" fontId="5" fillId="0" borderId="9" xfId="3" applyFont="1" applyBorder="1"/>
    <xf numFmtId="0" fontId="0" fillId="0" borderId="11" xfId="0" applyBorder="1" applyAlignment="1">
      <alignment horizontal="center"/>
    </xf>
    <xf numFmtId="0" fontId="5" fillId="0" borderId="12" xfId="5" applyBorder="1"/>
    <xf numFmtId="0" fontId="0" fillId="0" borderId="13" xfId="0" applyBorder="1" applyAlignment="1">
      <alignment horizontal="center"/>
    </xf>
    <xf numFmtId="0" fontId="5" fillId="0" borderId="14" xfId="5" applyBorder="1"/>
    <xf numFmtId="0" fontId="0" fillId="0" borderId="15" xfId="0" applyBorder="1" applyAlignment="1">
      <alignment horizontal="center"/>
    </xf>
    <xf numFmtId="0" fontId="5" fillId="0" borderId="16" xfId="5" applyBorder="1"/>
    <xf numFmtId="0" fontId="5" fillId="0" borderId="17" xfId="5" applyBorder="1"/>
    <xf numFmtId="0" fontId="5" fillId="0" borderId="18" xfId="3" applyFont="1" applyBorder="1"/>
    <xf numFmtId="0" fontId="5" fillId="0" borderId="19" xfId="3" applyFont="1" applyBorder="1"/>
    <xf numFmtId="0" fontId="15" fillId="4" borderId="0" xfId="0" applyFont="1" applyFill="1" applyAlignment="1">
      <alignment horizontal="center" vertical="center"/>
    </xf>
    <xf numFmtId="0" fontId="9" fillId="0" borderId="0" xfId="4" applyFont="1" applyBorder="1" applyAlignment="1">
      <alignment horizontal="left" vertical="center"/>
    </xf>
    <xf numFmtId="0" fontId="9" fillId="0" borderId="3" xfId="4" applyFont="1" applyAlignment="1">
      <alignment horizontal="left" vertical="center"/>
    </xf>
    <xf numFmtId="0" fontId="8" fillId="0" borderId="3" xfId="4" applyAlignment="1">
      <alignment horizontal="left" vertical="center"/>
    </xf>
    <xf numFmtId="0" fontId="8" fillId="0" borderId="3" xfId="4" applyAlignment="1">
      <alignment vertical="center"/>
    </xf>
    <xf numFmtId="0" fontId="10" fillId="2" borderId="1" xfId="6" applyAlignment="1">
      <alignment horizontal="center" wrapText="1"/>
    </xf>
    <xf numFmtId="0" fontId="10" fillId="2" borderId="7" xfId="6" applyBorder="1" applyAlignment="1"/>
    <xf numFmtId="0" fontId="10" fillId="2" borderId="8" xfId="6" applyBorder="1" applyAlignment="1"/>
    <xf numFmtId="0" fontId="10" fillId="2" borderId="9" xfId="6" applyBorder="1" applyAlignment="1"/>
    <xf numFmtId="0" fontId="6" fillId="0" borderId="8" xfId="3" applyBorder="1"/>
    <xf numFmtId="0" fontId="6" fillId="0" borderId="9" xfId="3" applyBorder="1"/>
    <xf numFmtId="0" fontId="5" fillId="0" borderId="0" xfId="3" quotePrefix="1" applyFont="1" applyAlignment="1">
      <alignment horizontal="center"/>
    </xf>
    <xf numFmtId="0" fontId="10" fillId="2" borderId="4" xfId="6" applyBorder="1"/>
    <xf numFmtId="0" fontId="10" fillId="2" borderId="5" xfId="6" applyBorder="1"/>
    <xf numFmtId="0" fontId="10" fillId="2" borderId="6" xfId="6" applyBorder="1"/>
    <xf numFmtId="0" fontId="12" fillId="7" borderId="10" xfId="3" applyFont="1" applyFill="1" applyBorder="1" applyAlignment="1">
      <alignment horizontal="center"/>
    </xf>
    <xf numFmtId="0" fontId="14" fillId="2" borderId="2" xfId="9" applyAlignment="1">
      <alignment horizontal="center" vertical="center"/>
    </xf>
    <xf numFmtId="0" fontId="8" fillId="0" borderId="3" xfId="4" applyAlignment="1">
      <alignment horizontal="left" vertical="center" wrapText="1"/>
    </xf>
    <xf numFmtId="0" fontId="5" fillId="0" borderId="7" xfId="5" applyBorder="1" applyAlignment="1">
      <alignment horizontal="center"/>
    </xf>
    <xf numFmtId="0" fontId="5" fillId="0" borderId="8" xfId="5" applyBorder="1" applyAlignment="1">
      <alignment horizontal="center"/>
    </xf>
    <xf numFmtId="0" fontId="5" fillId="0" borderId="9" xfId="5" applyBorder="1" applyAlignment="1">
      <alignment horizontal="center"/>
    </xf>
    <xf numFmtId="0" fontId="12" fillId="4" borderId="10" xfId="3" applyFont="1" applyFill="1" applyBorder="1" applyAlignment="1">
      <alignment horizontal="center"/>
    </xf>
    <xf numFmtId="0" fontId="12" fillId="6" borderId="0" xfId="3" applyFont="1" applyFill="1" applyAlignment="1">
      <alignment horizontal="center"/>
    </xf>
  </cellXfs>
  <cellStyles count="10">
    <cellStyle name="Calculation 2" xfId="6" xr:uid="{294E5751-28E7-45F7-A33A-DC62ACA5FE4D}"/>
    <cellStyle name="Heading 2 2" xfId="4" xr:uid="{A0F52FE0-D977-44D0-AB35-22B44B747BDD}"/>
    <cellStyle name="Hyperlink" xfId="1" builtinId="8"/>
    <cellStyle name="Normal" xfId="0" builtinId="0"/>
    <cellStyle name="Normal 2 3" xfId="3" xr:uid="{608F4BDD-15CE-4A35-8ACA-BC468095835F}"/>
    <cellStyle name="Normal 6 2 4 2 2 2" xfId="2" xr:uid="{C90288C4-B745-4D88-936B-867EC3BEAB33}"/>
    <cellStyle name="Normal 8" xfId="5" xr:uid="{2DB6EAF2-28A4-4D86-BC57-F7F6BB4114FD}"/>
    <cellStyle name="Output 2" xfId="9" xr:uid="{C8358CC6-9935-456C-A519-0F587F7B72EC}"/>
    <cellStyle name="Table Header - DS" xfId="7" xr:uid="{220B5BD5-6E11-4719-8A68-F3C7E0540BC6}"/>
    <cellStyle name="Task Header" xfId="8" xr:uid="{4AD5435D-2F05-4412-9756-5726F36E49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Start!A1"/><Relationship Id="rId5" Type="http://schemas.openxmlformats.org/officeDocument/2006/relationships/image" Target="../media/image3.png"/><Relationship Id="rId4"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oneCellAnchor>
    <xdr:from>
      <xdr:col>1</xdr:col>
      <xdr:colOff>0</xdr:colOff>
      <xdr:row>3</xdr:row>
      <xdr:rowOff>0</xdr:rowOff>
    </xdr:from>
    <xdr:ext cx="5219700" cy="911019"/>
    <xdr:sp macro="" textlink="">
      <xdr:nvSpPr>
        <xdr:cNvPr id="2" name="TextBox 1">
          <a:extLst>
            <a:ext uri="{FF2B5EF4-FFF2-40B4-BE49-F238E27FC236}">
              <a16:creationId xmlns:a16="http://schemas.microsoft.com/office/drawing/2014/main" id="{CF423D4F-0CA3-4828-B88E-B4F4F8381230}"/>
            </a:ext>
          </a:extLst>
        </xdr:cNvPr>
        <xdr:cNvSpPr txBox="1"/>
      </xdr:nvSpPr>
      <xdr:spPr>
        <a:xfrm>
          <a:off x="1231900" y="1028700"/>
          <a:ext cx="5219700" cy="911019"/>
        </a:xfrm>
        <a:prstGeom prst="rect">
          <a:avLst/>
        </a:prstGeom>
        <a:noFill/>
        <a:ln>
          <a:solidFill>
            <a:schemeClr val="accent6"/>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r>
            <a:rPr lang="en-IN" sz="1200" b="1" i="0">
              <a:solidFill>
                <a:schemeClr val="tx1"/>
              </a:solidFill>
              <a:effectLst/>
              <a:latin typeface="Segoe UI" panose="020B0502040204020203" pitchFamily="34" charset="0"/>
              <a:ea typeface="+mn-ea"/>
              <a:cs typeface="Segoe UI" panose="020B0502040204020203" pitchFamily="34" charset="0"/>
            </a:rPr>
            <a:t>Logical functions </a:t>
          </a:r>
          <a:r>
            <a:rPr lang="en-IN" sz="1200" b="0" i="0">
              <a:solidFill>
                <a:schemeClr val="tx1"/>
              </a:solidFill>
              <a:effectLst/>
              <a:latin typeface="Segoe UI" panose="020B0502040204020203" pitchFamily="34" charset="0"/>
              <a:ea typeface="+mn-ea"/>
              <a:cs typeface="Segoe UI" panose="020B0502040204020203" pitchFamily="34" charset="0"/>
            </a:rPr>
            <a:t>are used in </a:t>
          </a:r>
          <a:r>
            <a:rPr lang="en-IN" sz="1200" b="1" i="0">
              <a:solidFill>
                <a:schemeClr val="tx1"/>
              </a:solidFill>
              <a:effectLst/>
              <a:latin typeface="Segoe UI" panose="020B0502040204020203" pitchFamily="34" charset="0"/>
              <a:ea typeface="+mn-ea"/>
              <a:cs typeface="Segoe UI" panose="020B0502040204020203" pitchFamily="34" charset="0"/>
            </a:rPr>
            <a:t>spreadsheets to test whether a situation is true or false</a:t>
          </a:r>
          <a:r>
            <a:rPr lang="en-IN" sz="1200" b="0" i="0">
              <a:solidFill>
                <a:schemeClr val="tx1"/>
              </a:solidFill>
              <a:effectLst/>
              <a:latin typeface="Segoe UI" panose="020B0502040204020203" pitchFamily="34" charset="0"/>
              <a:ea typeface="+mn-ea"/>
              <a:cs typeface="Segoe UI" panose="020B0502040204020203" pitchFamily="34" charset="0"/>
            </a:rPr>
            <a:t>. Depending on the result of that test, you can then elect to do one thing or another. These decisions can be used to display information, perform different calculations, or to perform further tests.</a:t>
          </a:r>
          <a:endParaRPr lang="en-IN" sz="1600">
            <a:latin typeface="Segoe UI" panose="020B0502040204020203" pitchFamily="34" charset="0"/>
            <a:cs typeface="Segoe UI" panose="020B0502040204020203" pitchFamily="34" charset="0"/>
          </a:endParaRPr>
        </a:p>
      </xdr:txBody>
    </xdr:sp>
    <xdr:clientData/>
  </xdr:oneCellAnchor>
  <xdr:twoCellAnchor editAs="oneCell">
    <xdr:from>
      <xdr:col>0</xdr:col>
      <xdr:colOff>0</xdr:colOff>
      <xdr:row>0</xdr:row>
      <xdr:rowOff>0</xdr:rowOff>
    </xdr:from>
    <xdr:to>
      <xdr:col>0</xdr:col>
      <xdr:colOff>609600</xdr:colOff>
      <xdr:row>1</xdr:row>
      <xdr:rowOff>23446</xdr:rowOff>
    </xdr:to>
    <xdr:pic>
      <xdr:nvPicPr>
        <xdr:cNvPr id="3" name="Graphic 2" descr="Home outline">
          <a:hlinkClick xmlns:r="http://schemas.openxmlformats.org/officeDocument/2006/relationships" r:id="rId1" tooltip="Start"/>
          <a:extLst>
            <a:ext uri="{FF2B5EF4-FFF2-40B4-BE49-F238E27FC236}">
              <a16:creationId xmlns:a16="http://schemas.microsoft.com/office/drawing/2014/main" id="{BC6C107B-D8D1-4FC3-B0B5-2F4FEEB7ADC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0" y="0"/>
          <a:ext cx="609600" cy="613996"/>
        </a:xfrm>
        <a:prstGeom prst="rect">
          <a:avLst/>
        </a:prstGeom>
      </xdr:spPr>
    </xdr:pic>
    <xdr:clientData/>
  </xdr:twoCellAnchor>
  <xdr:twoCellAnchor editAs="oneCell">
    <xdr:from>
      <xdr:col>14</xdr:col>
      <xdr:colOff>936420</xdr:colOff>
      <xdr:row>9</xdr:row>
      <xdr:rowOff>36951</xdr:rowOff>
    </xdr:from>
    <xdr:to>
      <xdr:col>14</xdr:col>
      <xdr:colOff>946140</xdr:colOff>
      <xdr:row>9</xdr:row>
      <xdr:rowOff>40911</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24" name="Ink 23">
              <a:extLst>
                <a:ext uri="{FF2B5EF4-FFF2-40B4-BE49-F238E27FC236}">
                  <a16:creationId xmlns:a16="http://schemas.microsoft.com/office/drawing/2014/main" id="{A7921440-793A-4AC1-38F8-4FC0C3C4EA39}"/>
                </a:ext>
              </a:extLst>
            </xdr14:cNvPr>
            <xdr14:cNvContentPartPr/>
          </xdr14:nvContentPartPr>
          <xdr14:nvPr macro=""/>
          <xdr14:xfrm>
            <a:off x="17721015" y="2611275"/>
            <a:ext cx="9720" cy="3960"/>
          </xdr14:xfrm>
        </xdr:contentPart>
      </mc:Choice>
      <mc:Fallback xmlns="">
        <xdr:pic>
          <xdr:nvPicPr>
            <xdr:cNvPr id="24" name="Ink 23">
              <a:extLst>
                <a:ext uri="{FF2B5EF4-FFF2-40B4-BE49-F238E27FC236}">
                  <a16:creationId xmlns:a16="http://schemas.microsoft.com/office/drawing/2014/main" id="{A7921440-793A-4AC1-38F8-4FC0C3C4EA39}"/>
                </a:ext>
              </a:extLst>
            </xdr:cNvPr>
            <xdr:cNvPicPr/>
          </xdr:nvPicPr>
          <xdr:blipFill>
            <a:blip xmlns:r="http://schemas.openxmlformats.org/officeDocument/2006/relationships" r:embed="rId5"/>
            <a:stretch>
              <a:fillRect/>
            </a:stretch>
          </xdr:blipFill>
          <xdr:spPr>
            <a:xfrm>
              <a:off x="17703375" y="2593275"/>
              <a:ext cx="45360" cy="39600"/>
            </a:xfrm>
            <a:prstGeom prst="rect">
              <a:avLst/>
            </a:prstGeom>
          </xdr:spPr>
        </xdr:pic>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Karthik%20Dale\Companies\ExcelR\Batch%2012%20(WD%20-%20Nov%2017th%209%20AM%20to%2011%20AM)\Excel\13%20Advanced%20Excel%20Class%20File%20-%20Day%2013-%20Nov%2017th%20Batch%20-%20Karthik%20Dale.xlsx" TargetMode="External"/><Relationship Id="rId1" Type="http://schemas.openxmlformats.org/officeDocument/2006/relationships/externalLinkPath" Target="file:///G:\Karthik%20Dale\Companies\ExcelR\Batch%2012%20(WD%20-%20Nov%2017th%209%20AM%20to%2011%20AM)\Excel\13%20Advanced%20Excel%20Class%20File%20-%20Day%2013-%20Nov%2017th%20Batch%20-%20Karthik%20Dal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DevashishDas\Downloads\13%20Advanced%20Excel%20Class%20File%20-%20Day%2013-%20Oct%2013th%20Batch%20-%20Karthik%20Dale.xlsx" TargetMode="External"/><Relationship Id="rId1" Type="http://schemas.openxmlformats.org/officeDocument/2006/relationships/externalLinkPath" Target="https://ueducation-my.sharepoint.com/Users/DevashishDas/Downloads/13%20Advanced%20Excel%20Class%20File%20-%20Day%2013-%20Oct%2013th%20Batch%20-%20Karthik%20Dal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G:\Karthik%20Dale\Companies\ExcelR\Batch%2012%20(WD%20-%20Nov%2022nd%209%20AM%20to%2011%20AM)\13%20Advanced%20Excel%20Class%20File%20-%20Day%2013-%20Batch%203040%20-%20%20Sep%2014th%20Batch%20-%20Karthik%20Dale.xlsx" TargetMode="External"/><Relationship Id="rId1" Type="http://schemas.openxmlformats.org/officeDocument/2006/relationships/externalLinkPath" Target="file:///G:\Karthik%20Dale\Companies\ExcelR\Batch%2012%20(WD%20-%20Nov%2022nd%209%20AM%20to%2011%20AM)\13%20Advanced%20Excel%20Class%20File%20-%20Day%2013-%20Batch%203040%20-%20%20Sep%2014th%20Batch%20-%20Karthik%20Da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rt"/>
      <sheetName val="Data Types "/>
      <sheetName val="Flash Fill"/>
      <sheetName val="Fill Series"/>
      <sheetName val="Number Format"/>
      <sheetName val="Conditional Formatting"/>
      <sheetName val="Make Excel Speak"/>
      <sheetName val="Copy &amp; Paste Special"/>
      <sheetName val="PS - Transpose"/>
      <sheetName val="PS - Paste &amp; Linked Picture"/>
      <sheetName val="Shortcuts"/>
      <sheetName val="Format as Table"/>
      <sheetName val="Excel file Formats"/>
      <sheetName val="Students Q &amp; A"/>
      <sheetName val="The 3 Freezing Techniques"/>
      <sheetName val="Text Functions"/>
      <sheetName val="Q &amp; A"/>
      <sheetName val="Date &amp; Time Functions"/>
      <sheetName val="Logical Functions"/>
      <sheetName val="SUMIFS_Countifs_Averageifs"/>
      <sheetName val="The Most Popular Formula"/>
      <sheetName val="Destination Sheet"/>
      <sheetName val="Index Formula"/>
      <sheetName val="Math Formulas_Prac"/>
      <sheetName val="Math Formulas"/>
      <sheetName val="Aggregate"/>
      <sheetName val="Statistical Functions"/>
      <sheetName val="Information Functions"/>
      <sheetName val="EMI Calculator"/>
      <sheetName val="Formula Notes"/>
      <sheetName val="Name Manager"/>
      <sheetName val="Data Ribbon 1"/>
      <sheetName val="Data Ribbon 2"/>
      <sheetName val="Text to Columns"/>
      <sheetName val="Remove Duplicates"/>
      <sheetName val="Review Ribb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ow r="1">
          <cell r="D1" t="str">
            <v>Employee Name</v>
          </cell>
          <cell r="E1" t="str">
            <v>Emp ID</v>
          </cell>
          <cell r="J1" t="str">
            <v>Employee Name</v>
          </cell>
        </row>
        <row r="2">
          <cell r="D2" t="str">
            <v>Divya Naidu</v>
          </cell>
          <cell r="E2" t="str">
            <v>Emp0345</v>
          </cell>
          <cell r="J2" t="str">
            <v>Divya Naidu</v>
          </cell>
          <cell r="AA2" t="str">
            <v>Name1</v>
          </cell>
          <cell r="AC2" t="str">
            <v>Name111</v>
          </cell>
        </row>
        <row r="3">
          <cell r="D3" t="str">
            <v>Alexander Muthunoori</v>
          </cell>
          <cell r="E3" t="str">
            <v>Emp0030</v>
          </cell>
          <cell r="J3" t="str">
            <v>Alexander Muthunoori</v>
          </cell>
          <cell r="AA3" t="str">
            <v>Name2</v>
          </cell>
          <cell r="AC3" t="str">
            <v>Name112</v>
          </cell>
        </row>
        <row r="4">
          <cell r="D4" t="str">
            <v>Anand Kumar Pandikonda</v>
          </cell>
          <cell r="E4" t="str">
            <v>Emp0476</v>
          </cell>
          <cell r="J4" t="str">
            <v>Anand Kumar Pandikonda</v>
          </cell>
          <cell r="AA4" t="str">
            <v>Name3</v>
          </cell>
          <cell r="AC4" t="str">
            <v>Name113</v>
          </cell>
        </row>
        <row r="5">
          <cell r="D5" t="str">
            <v>Anil Biradar</v>
          </cell>
          <cell r="E5" t="str">
            <v>Emp0189</v>
          </cell>
          <cell r="J5" t="str">
            <v>Anil Biradar</v>
          </cell>
          <cell r="AA5" t="str">
            <v>Name4</v>
          </cell>
          <cell r="AC5" t="str">
            <v>Name114</v>
          </cell>
        </row>
        <row r="6">
          <cell r="D6" t="str">
            <v>Swathi Matam</v>
          </cell>
          <cell r="E6" t="str">
            <v>Emp0553</v>
          </cell>
          <cell r="J6" t="str">
            <v>Swathi Matam</v>
          </cell>
          <cell r="AA6" t="str">
            <v>Name5</v>
          </cell>
          <cell r="AC6" t="str">
            <v>Name115</v>
          </cell>
        </row>
        <row r="7">
          <cell r="D7" t="str">
            <v>Arun KashaBoina</v>
          </cell>
          <cell r="E7" t="str">
            <v>Emp0584</v>
          </cell>
          <cell r="J7" t="str">
            <v>Arun KashaBoina</v>
          </cell>
        </row>
        <row r="8">
          <cell r="D8" t="str">
            <v>Khushi</v>
          </cell>
          <cell r="E8" t="str">
            <v>Emp123</v>
          </cell>
          <cell r="J8" t="str">
            <v>Saharsh</v>
          </cell>
        </row>
        <row r="9">
          <cell r="D9" t="str">
            <v>Saharsh</v>
          </cell>
          <cell r="E9" t="str">
            <v>Emp456</v>
          </cell>
          <cell r="J9" t="str">
            <v>Khushi</v>
          </cell>
        </row>
        <row r="10">
          <cell r="J10" t="str">
            <v>Divya</v>
          </cell>
        </row>
        <row r="11">
          <cell r="J11" t="str">
            <v>Rajesh Nair</v>
          </cell>
        </row>
        <row r="12">
          <cell r="J12" t="str">
            <v>Prakash</v>
          </cell>
        </row>
        <row r="13">
          <cell r="J13" t="str">
            <v>Prakash Ramachandran</v>
          </cell>
        </row>
        <row r="14">
          <cell r="J14" t="str">
            <v>Brahma</v>
          </cell>
        </row>
        <row r="15">
          <cell r="J15" t="str">
            <v>Dharani</v>
          </cell>
        </row>
        <row r="16">
          <cell r="J16" t="str">
            <v>Virat</v>
          </cell>
        </row>
      </sheetData>
      <sheetData sheetId="31"/>
      <sheetData sheetId="32" refreshError="1"/>
      <sheetData sheetId="33" refreshError="1"/>
      <sheetData sheetId="34"/>
      <sheetData sheetId="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rt"/>
      <sheetName val="Data Types "/>
      <sheetName val="Flash Fill_Prac"/>
      <sheetName val="Flash Fill"/>
      <sheetName val="Format painter"/>
      <sheetName val="Number Format"/>
      <sheetName val="Conditional Formatting"/>
      <sheetName val="Format as Table"/>
      <sheetName val="Fill Series"/>
      <sheetName val="filter"/>
      <sheetName val="Copy &amp; Paste Special"/>
      <sheetName val="data validation"/>
      <sheetName val="PS - Transpose"/>
      <sheetName val="The Most Popular Formula"/>
      <sheetName val="Index Formula"/>
      <sheetName val="PS - Paste &amp; Linked Picture"/>
      <sheetName val="SUMIFS_Countifs_Averageifs"/>
      <sheetName val="Shortcuts"/>
      <sheetName val="Goto Special"/>
      <sheetName val="Excel file Formats"/>
      <sheetName val="Misl"/>
      <sheetName val="Insert Ribbon"/>
      <sheetName val="The 3 Freezing Techniques"/>
      <sheetName val="Text Functions"/>
      <sheetName val="Q &amp; A"/>
      <sheetName val="Date &amp; Time Functions"/>
      <sheetName val="Logical Functions"/>
      <sheetName val="Destination Sheet"/>
      <sheetName val="Math Formulas"/>
      <sheetName val="Aggregate &amp; Offset &amp; Indirect"/>
      <sheetName val="SalesData"/>
      <sheetName val="PurchaseData"/>
      <sheetName val="Statistical Functions"/>
      <sheetName val="Information Functions"/>
      <sheetName val="EMI Calculator"/>
      <sheetName val="Formula Notes"/>
      <sheetName val="Named Range"/>
      <sheetName val="Review Ribbon"/>
      <sheetName val="Data Ribbon 1"/>
      <sheetName val="Data Ribbon 2"/>
      <sheetName val="Remove Duplicates"/>
      <sheetName val="Text to Colum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ow r="1">
          <cell r="J1" t="str">
            <v>Employee Name</v>
          </cell>
        </row>
        <row r="2">
          <cell r="J2" t="str">
            <v>Abdul Razzak</v>
          </cell>
        </row>
        <row r="3">
          <cell r="J3" t="str">
            <v>Alexander Muthunoori</v>
          </cell>
        </row>
        <row r="4">
          <cell r="J4" t="str">
            <v>Swathi Kumari</v>
          </cell>
        </row>
        <row r="5">
          <cell r="J5" t="str">
            <v>Anil Biradar</v>
          </cell>
        </row>
        <row r="6">
          <cell r="J6" t="str">
            <v>Swathi Matam</v>
          </cell>
        </row>
        <row r="7">
          <cell r="J7" t="str">
            <v>Arun KashaBoina</v>
          </cell>
        </row>
        <row r="8">
          <cell r="J8" t="str">
            <v>Arun Kumar Keesari</v>
          </cell>
        </row>
        <row r="9">
          <cell r="J9" t="str">
            <v>Anil Kumar</v>
          </cell>
        </row>
        <row r="10">
          <cell r="J10" t="str">
            <v>Divya</v>
          </cell>
        </row>
      </sheetData>
      <sheetData sheetId="37"/>
      <sheetData sheetId="38"/>
      <sheetData sheetId="39"/>
      <sheetData sheetId="40"/>
      <sheetData sheetId="4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rt"/>
      <sheetName val="Data Types "/>
      <sheetName val="Flash Fill"/>
      <sheetName val="Fill Series"/>
      <sheetName val="Number Format"/>
      <sheetName val="Conditional Formatting"/>
      <sheetName val="Copy &amp; Paste Special"/>
      <sheetName val="PS - Transpose"/>
      <sheetName val="PS - Paste &amp; Linked Picture"/>
      <sheetName val="Shortcuts"/>
      <sheetName val="Format as Table"/>
      <sheetName val="Excel file Formats"/>
      <sheetName val="Goto Special"/>
      <sheetName val="The 3 Freezing Techniques"/>
      <sheetName val="Formulas_Text"/>
      <sheetName val="Formulas_Text Prac"/>
      <sheetName val="Date &amp; Time Functions"/>
      <sheetName val="Logical Functions"/>
      <sheetName val="SUMIFS_Countifs_Averageifs"/>
      <sheetName val="The Most Popular Formula"/>
      <sheetName val="Destination Sheet"/>
      <sheetName val="Index Formula"/>
      <sheetName val="Math Formulas"/>
      <sheetName val="Aggregate"/>
      <sheetName val="EMI Calculator"/>
      <sheetName val="Statistical Functions"/>
      <sheetName val="Information Functions"/>
      <sheetName val="Excel New Formulas"/>
      <sheetName val="Named Range"/>
      <sheetName val="Data Ribbon 1"/>
      <sheetName val="Data Ribbon 2"/>
      <sheetName val="Text to Columns"/>
      <sheetName val="Remove Duplicates"/>
      <sheetName val="Grouping &amp; Subtotals"/>
      <sheetName val="Insert Ribbon"/>
      <sheetName val="Review Ribbon"/>
      <sheetName val="Table1"/>
      <sheetName val="Power Query"/>
      <sheetName val="Query_SalesData"/>
      <sheetName val="PQ DataS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C1" t="str">
            <v>Product List</v>
          </cell>
        </row>
        <row r="2">
          <cell r="C2" t="str">
            <v>Product 1</v>
          </cell>
          <cell r="E2" t="str">
            <v>Product 1</v>
          </cell>
        </row>
        <row r="3">
          <cell r="C3" t="str">
            <v>Product 2</v>
          </cell>
          <cell r="E3" t="str">
            <v>Product 2</v>
          </cell>
        </row>
        <row r="4">
          <cell r="C4" t="str">
            <v>Apple</v>
          </cell>
          <cell r="E4" t="str">
            <v>Product 3</v>
          </cell>
        </row>
        <row r="5">
          <cell r="C5" t="str">
            <v>Product 4</v>
          </cell>
          <cell r="E5" t="str">
            <v>Product 4</v>
          </cell>
        </row>
        <row r="6">
          <cell r="C6" t="str">
            <v>Product 5</v>
          </cell>
          <cell r="E6" t="str">
            <v>Product 5</v>
          </cell>
        </row>
        <row r="7">
          <cell r="C7" t="str">
            <v>Product 6</v>
          </cell>
          <cell r="E7" t="str">
            <v>Product 6</v>
          </cell>
        </row>
        <row r="8">
          <cell r="C8" t="str">
            <v>Product 7</v>
          </cell>
          <cell r="E8" t="str">
            <v>Product 7</v>
          </cell>
        </row>
        <row r="9">
          <cell r="C9" t="str">
            <v>Product 8</v>
          </cell>
          <cell r="E9" t="str">
            <v>Product 8</v>
          </cell>
        </row>
        <row r="10">
          <cell r="C10" t="str">
            <v>Product 9</v>
          </cell>
          <cell r="E10" t="str">
            <v>Product 9</v>
          </cell>
        </row>
        <row r="11">
          <cell r="E11" t="str">
            <v>Product 10</v>
          </cell>
        </row>
        <row r="12">
          <cell r="E12" t="str">
            <v>Product 11</v>
          </cell>
        </row>
      </sheetData>
      <sheetData sheetId="29"/>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9T02:54:41.286"/>
    </inkml:context>
    <inkml:brush xml:id="br0">
      <inkml:brushProperty name="width" value="0.1" units="cm"/>
      <inkml:brushProperty name="height" value="0.1" units="cm"/>
      <inkml:brushProperty name="color" value="#AB008B"/>
    </inkml:brush>
  </inkml:definitions>
  <inkml:trace contextRef="#ctx0" brushRef="#br0">1923 1223 584,'11'-6'284,"4"1"892</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B4E6E-1076-4D48-88A8-AEC45F9BB64C}">
  <dimension ref="A1:EN59"/>
  <sheetViews>
    <sheetView showGridLines="0" tabSelected="1" topLeftCell="CN3" zoomScale="74" zoomScaleNormal="120" workbookViewId="0">
      <selection activeCell="CT9" sqref="CT9"/>
    </sheetView>
  </sheetViews>
  <sheetFormatPr defaultColWidth="10.44140625" defaultRowHeight="20.100000000000001" customHeight="1" x14ac:dyDescent="0.4"/>
  <cols>
    <col min="1" max="1" width="17.6640625" style="6" customWidth="1"/>
    <col min="2" max="2" width="16.5546875" style="6" customWidth="1"/>
    <col min="3" max="3" width="22.5546875" style="6" customWidth="1"/>
    <col min="4" max="4" width="22" style="6" customWidth="1"/>
    <col min="5" max="5" width="35" style="6" customWidth="1"/>
    <col min="6" max="7" width="10.44140625" style="6"/>
    <col min="8" max="8" width="16" style="6" customWidth="1"/>
    <col min="9" max="9" width="22.21875" style="6" customWidth="1"/>
    <col min="10" max="11" width="12.77734375" style="6" customWidth="1"/>
    <col min="12" max="12" width="18.21875" style="6" customWidth="1"/>
    <col min="13" max="13" width="13.21875" style="6" bestFit="1" customWidth="1"/>
    <col min="14" max="14" width="10.44140625" style="6"/>
    <col min="15" max="15" width="18.21875" style="6" customWidth="1"/>
    <col min="16" max="16" width="19.5546875" style="6" bestFit="1" customWidth="1"/>
    <col min="17" max="17" width="19.77734375" style="6" customWidth="1"/>
    <col min="18" max="18" width="14.77734375" style="6" bestFit="1" customWidth="1"/>
    <col min="19" max="19" width="19.21875" style="6" bestFit="1" customWidth="1"/>
    <col min="20" max="20" width="17.109375" style="6" customWidth="1"/>
    <col min="21" max="21" width="10.5546875" style="6" customWidth="1"/>
    <col min="22" max="22" width="20.88671875" style="6" customWidth="1"/>
    <col min="23" max="23" width="10.44140625" style="6"/>
    <col min="24" max="25" width="7.21875" style="6" bestFit="1" customWidth="1"/>
    <col min="26" max="26" width="12.6640625" style="6" customWidth="1"/>
    <col min="27" max="27" width="10.44140625" style="6" customWidth="1"/>
    <col min="28" max="28" width="11.5546875" style="6" customWidth="1"/>
    <col min="29" max="29" width="24" style="6" customWidth="1"/>
    <col min="30" max="30" width="15.44140625" style="6" bestFit="1" customWidth="1"/>
    <col min="31" max="31" width="9.77734375" style="6" customWidth="1"/>
    <col min="32" max="32" width="12" style="6" customWidth="1"/>
    <col min="33" max="33" width="23.44140625" style="6" customWidth="1"/>
    <col min="34" max="34" width="23.6640625" style="6" customWidth="1"/>
    <col min="35" max="35" width="12.77734375" style="6" bestFit="1" customWidth="1"/>
    <col min="36" max="36" width="15.44140625" style="6" bestFit="1" customWidth="1"/>
    <col min="37" max="37" width="30.77734375" style="6" customWidth="1"/>
    <col min="38" max="40" width="10.44140625" style="6" customWidth="1"/>
    <col min="41" max="41" width="13.6640625" style="6" customWidth="1"/>
    <col min="42" max="42" width="29.109375" style="6" customWidth="1"/>
    <col min="43" max="43" width="21.44140625" style="6" customWidth="1"/>
    <col min="44" max="44" width="8.33203125" style="6" customWidth="1"/>
    <col min="45" max="45" width="16.5546875" style="6" bestFit="1" customWidth="1"/>
    <col min="46" max="46" width="8.33203125" style="6" bestFit="1" customWidth="1"/>
    <col min="47" max="48" width="10.44140625" style="6" customWidth="1"/>
    <col min="49" max="49" width="12.21875" style="6" customWidth="1"/>
    <col min="50" max="50" width="16.33203125" style="6" customWidth="1"/>
    <col min="51" max="51" width="27.44140625" style="6" customWidth="1"/>
    <col min="52" max="52" width="14.77734375" style="6" customWidth="1"/>
    <col min="53" max="53" width="19.109375" style="6" customWidth="1"/>
    <col min="54" max="54" width="17.109375" style="6" bestFit="1" customWidth="1"/>
    <col min="55" max="56" width="10.44140625" style="6" customWidth="1"/>
    <col min="57" max="57" width="21.6640625" style="6" customWidth="1"/>
    <col min="58" max="58" width="20.109375" style="6" customWidth="1"/>
    <col min="59" max="59" width="25" style="6" customWidth="1"/>
    <col min="60" max="60" width="13.5546875" style="6" customWidth="1"/>
    <col min="61" max="61" width="17" style="6" customWidth="1"/>
    <col min="62" max="62" width="16" style="6" customWidth="1"/>
    <col min="63" max="63" width="33.21875" style="6" customWidth="1"/>
    <col min="64" max="64" width="24.21875" style="6" bestFit="1" customWidth="1"/>
    <col min="65" max="66" width="10.44140625" style="6" customWidth="1"/>
    <col min="67" max="67" width="14.77734375" style="6" bestFit="1" customWidth="1"/>
    <col min="68" max="68" width="8.21875" style="6" bestFit="1" customWidth="1"/>
    <col min="69" max="69" width="7.21875" style="6" bestFit="1" customWidth="1"/>
    <col min="70" max="70" width="8.33203125" style="6" bestFit="1" customWidth="1"/>
    <col min="71" max="71" width="10.77734375" style="6" bestFit="1" customWidth="1"/>
    <col min="72" max="72" width="18.44140625" style="6" customWidth="1"/>
    <col min="73" max="73" width="24" style="6" customWidth="1"/>
    <col min="74" max="74" width="26.21875" style="6" customWidth="1"/>
    <col min="75" max="75" width="35.5546875" style="6" customWidth="1"/>
    <col min="76" max="76" width="31.77734375" style="6" bestFit="1" customWidth="1"/>
    <col min="77" max="77" width="21.77734375" style="6" customWidth="1"/>
    <col min="78" max="78" width="18" style="6" customWidth="1"/>
    <col min="79" max="79" width="15.77734375" style="6" customWidth="1"/>
    <col min="80" max="80" width="15" style="6" customWidth="1"/>
    <col min="81" max="81" width="33.88671875" style="6" customWidth="1"/>
    <col min="82" max="82" width="28" style="6" bestFit="1" customWidth="1"/>
    <col min="83" max="83" width="19.109375" style="6" hidden="1" customWidth="1"/>
    <col min="84" max="84" width="15.77734375" style="6" bestFit="1" customWidth="1"/>
    <col min="85" max="85" width="10.44140625" style="6" customWidth="1"/>
    <col min="86" max="86" width="8.33203125" style="6" bestFit="1" customWidth="1"/>
    <col min="87" max="87" width="20.21875" style="6" bestFit="1" customWidth="1"/>
    <col min="88" max="88" width="14" style="6" customWidth="1"/>
    <col min="89" max="89" width="47.88671875" style="6" customWidth="1"/>
    <col min="90" max="90" width="32.33203125" style="6" customWidth="1"/>
    <col min="91" max="91" width="17.21875" style="6" customWidth="1"/>
    <col min="92" max="93" width="23" style="6" customWidth="1"/>
    <col min="94" max="94" width="11.33203125" style="6" bestFit="1" customWidth="1"/>
    <col min="95" max="95" width="22.77734375" style="6" customWidth="1"/>
    <col min="96" max="96" width="19.5546875" style="6" customWidth="1"/>
    <col min="97" max="97" width="30.44140625" style="6" customWidth="1"/>
    <col min="98" max="98" width="20.44140625" style="6" customWidth="1"/>
    <col min="99" max="99" width="13.77734375" style="6" customWidth="1"/>
    <col min="100" max="100" width="10.44140625" style="6"/>
    <col min="101" max="101" width="18.21875" style="6" bestFit="1" customWidth="1"/>
    <col min="102" max="102" width="40.33203125" style="6" bestFit="1" customWidth="1"/>
    <col min="103" max="103" width="10.44140625" style="6"/>
    <col min="104" max="104" width="12.44140625" style="6" bestFit="1" customWidth="1"/>
    <col min="105" max="105" width="24.21875" style="6" customWidth="1"/>
    <col min="106" max="106" width="38.88671875" style="6" customWidth="1"/>
    <col min="107" max="107" width="44.5546875" style="6" customWidth="1"/>
    <col min="108" max="108" width="42" style="6" customWidth="1"/>
    <col min="109" max="109" width="5.88671875" style="6" bestFit="1" customWidth="1"/>
    <col min="110" max="120" width="10.44140625" style="6"/>
    <col min="121" max="121" width="13.6640625" style="6" bestFit="1" customWidth="1"/>
    <col min="122" max="16384" width="10.44140625" style="6"/>
  </cols>
  <sheetData>
    <row r="1" spans="1:144" s="5" customFormat="1" ht="46.5" customHeight="1" x14ac:dyDescent="1.1499999999999999">
      <c r="A1" s="1" t="s">
        <v>0</v>
      </c>
      <c r="B1" s="2"/>
      <c r="C1" s="2"/>
      <c r="D1" s="2"/>
      <c r="E1" s="2"/>
      <c r="F1" s="2"/>
      <c r="G1" s="2"/>
      <c r="H1" s="2"/>
      <c r="I1" s="2"/>
      <c r="J1" s="2"/>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4"/>
      <c r="DG1" s="4"/>
      <c r="DH1" s="4"/>
      <c r="DI1" s="4"/>
      <c r="DJ1" s="4"/>
      <c r="DK1" s="4"/>
      <c r="DL1" s="4"/>
      <c r="DM1" s="4"/>
      <c r="DN1" s="4"/>
      <c r="DO1" s="4"/>
      <c r="DP1" s="4"/>
      <c r="DQ1" s="4"/>
      <c r="DR1" s="4"/>
      <c r="DS1" s="4"/>
      <c r="DT1" s="4"/>
      <c r="DU1" s="4"/>
      <c r="DV1" s="3"/>
      <c r="DW1" s="3"/>
      <c r="DX1" s="3"/>
      <c r="DY1" s="3"/>
      <c r="DZ1" s="3"/>
      <c r="EA1" s="3"/>
      <c r="EB1" s="3"/>
      <c r="EC1" s="3"/>
      <c r="ED1" s="3"/>
      <c r="EE1" s="4"/>
      <c r="EF1" s="4"/>
      <c r="EG1" s="4"/>
      <c r="EH1" s="4"/>
      <c r="EI1" s="4"/>
      <c r="EJ1" s="4"/>
      <c r="EK1" s="4"/>
      <c r="EL1" s="4"/>
      <c r="EM1" s="4"/>
      <c r="EN1" s="4"/>
    </row>
    <row r="2" spans="1:144" ht="16.8" x14ac:dyDescent="0.4">
      <c r="T2" s="7" t="s">
        <v>1</v>
      </c>
    </row>
    <row r="3" spans="1:144" ht="18" customHeight="1" x14ac:dyDescent="0.4">
      <c r="AC3" s="6" t="s">
        <v>2</v>
      </c>
      <c r="DB3" s="8"/>
      <c r="DC3" s="8"/>
      <c r="DD3" s="8"/>
      <c r="DE3" s="8"/>
      <c r="DF3" s="8"/>
      <c r="DG3" s="8"/>
      <c r="DH3" s="8"/>
      <c r="DI3" s="8"/>
      <c r="DJ3" s="8"/>
      <c r="DK3" s="8"/>
      <c r="DL3" s="8"/>
      <c r="DM3" s="8"/>
      <c r="DN3" s="8"/>
      <c r="DO3" s="8"/>
    </row>
    <row r="4" spans="1:144" ht="20.100000000000001" customHeight="1" thickBot="1" x14ac:dyDescent="0.45">
      <c r="J4" s="56" t="s">
        <v>3</v>
      </c>
      <c r="K4" s="56"/>
      <c r="M4" s="57" t="s">
        <v>4</v>
      </c>
      <c r="N4" s="57"/>
      <c r="P4" s="57" t="s">
        <v>5</v>
      </c>
      <c r="R4" s="57" t="s">
        <v>6</v>
      </c>
      <c r="S4" s="57"/>
      <c r="U4" s="58" t="s">
        <v>7</v>
      </c>
      <c r="V4" s="58"/>
      <c r="W4" s="58"/>
      <c r="X4" s="58"/>
      <c r="Y4" s="58"/>
      <c r="Z4" s="58"/>
      <c r="AT4" s="9"/>
      <c r="CC4" s="66"/>
      <c r="CD4" s="66"/>
      <c r="CE4" s="66"/>
      <c r="CF4" s="66"/>
      <c r="CG4" s="66"/>
      <c r="CH4" s="66"/>
      <c r="CI4" s="66"/>
      <c r="CJ4" s="72" t="s">
        <v>8</v>
      </c>
      <c r="CK4" s="58"/>
      <c r="CL4" s="8"/>
      <c r="CN4" s="58" t="s">
        <v>9</v>
      </c>
      <c r="CO4" s="58"/>
      <c r="CP4" s="58"/>
      <c r="CQ4" s="58"/>
      <c r="CS4" s="59" t="s">
        <v>10</v>
      </c>
      <c r="CT4" s="59"/>
      <c r="CU4" s="8"/>
      <c r="CV4" s="8"/>
      <c r="CW4" s="8"/>
      <c r="CX4" s="8"/>
      <c r="CZ4"/>
      <c r="DA4"/>
      <c r="DB4"/>
      <c r="DC4"/>
      <c r="DD4"/>
      <c r="DE4"/>
      <c r="DF4"/>
      <c r="DG4"/>
      <c r="DH4"/>
      <c r="DI4"/>
      <c r="DJ4"/>
      <c r="DK4"/>
      <c r="DL4"/>
      <c r="DM4"/>
      <c r="DN4"/>
      <c r="DO4"/>
      <c r="DQ4"/>
      <c r="DR4"/>
    </row>
    <row r="5" spans="1:144" ht="20.100000000000001" customHeight="1" thickTop="1" thickBot="1" x14ac:dyDescent="0.5">
      <c r="J5" s="57"/>
      <c r="K5" s="57"/>
      <c r="M5" s="57"/>
      <c r="N5" s="57"/>
      <c r="P5" s="57"/>
      <c r="R5" s="57"/>
      <c r="S5" s="57"/>
      <c r="U5" s="58"/>
      <c r="V5" s="58"/>
      <c r="W5" s="58"/>
      <c r="X5" s="58"/>
      <c r="Y5" s="58"/>
      <c r="Z5" s="58"/>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J5" s="58"/>
      <c r="CK5" s="58"/>
      <c r="CL5" s="10"/>
      <c r="CN5" s="58"/>
      <c r="CO5" s="58"/>
      <c r="CP5" s="58"/>
      <c r="CQ5" s="58"/>
      <c r="CS5" s="59"/>
      <c r="CT5" s="59"/>
      <c r="CU5" s="10"/>
      <c r="CV5" s="10"/>
      <c r="CW5" s="10"/>
      <c r="CX5" s="10"/>
      <c r="CZ5"/>
      <c r="DA5"/>
      <c r="DB5"/>
      <c r="DC5"/>
      <c r="DD5"/>
      <c r="DE5"/>
      <c r="DF5"/>
      <c r="DG5"/>
      <c r="DH5"/>
      <c r="DI5"/>
      <c r="DJ5"/>
      <c r="DK5"/>
      <c r="DL5"/>
      <c r="DM5"/>
      <c r="DN5"/>
      <c r="DO5"/>
      <c r="DQ5"/>
      <c r="DR5"/>
      <c r="DT5" s="11"/>
    </row>
    <row r="6" spans="1:144" ht="20.100000000000001" customHeight="1" thickTop="1" x14ac:dyDescent="0.4">
      <c r="J6" s="7" t="s">
        <v>11</v>
      </c>
      <c r="M6" s="7" t="s">
        <v>12</v>
      </c>
      <c r="P6" s="7" t="s">
        <v>13</v>
      </c>
      <c r="U6" s="7" t="s">
        <v>1</v>
      </c>
      <c r="BO6" s="67" t="s">
        <v>14</v>
      </c>
      <c r="BP6" s="68"/>
      <c r="BQ6" s="68"/>
      <c r="BR6" s="68"/>
      <c r="BS6" s="68"/>
      <c r="BT6" s="68"/>
      <c r="BU6" s="68"/>
      <c r="BV6" s="68"/>
      <c r="BW6" s="68"/>
      <c r="BX6" s="69"/>
      <c r="CJ6" s="7" t="s">
        <v>15</v>
      </c>
      <c r="CN6" s="7" t="s">
        <v>16</v>
      </c>
      <c r="CO6" s="7"/>
      <c r="CS6" s="15" t="s">
        <v>17</v>
      </c>
      <c r="CT6" s="16"/>
      <c r="CV6" s="16"/>
      <c r="CW6" s="16"/>
      <c r="CX6" s="16"/>
      <c r="CZ6"/>
      <c r="DA6"/>
      <c r="DB6"/>
      <c r="DC6"/>
      <c r="DD6"/>
      <c r="DE6"/>
      <c r="DF6"/>
      <c r="DG6"/>
      <c r="DH6"/>
      <c r="DI6"/>
      <c r="DJ6"/>
      <c r="DK6"/>
      <c r="DL6"/>
      <c r="DM6"/>
      <c r="DN6"/>
      <c r="DO6"/>
      <c r="DT6" s="11"/>
    </row>
    <row r="7" spans="1:144" ht="20.100000000000001" customHeight="1" x14ac:dyDescent="0.4">
      <c r="T7" s="6" t="s">
        <v>18</v>
      </c>
      <c r="U7" s="60" t="s">
        <v>19</v>
      </c>
      <c r="V7" s="60"/>
      <c r="W7" s="60"/>
      <c r="X7" s="60"/>
      <c r="Y7" s="60"/>
      <c r="AB7" s="61" t="s">
        <v>20</v>
      </c>
      <c r="AC7" s="62"/>
      <c r="AD7" s="62"/>
      <c r="AE7" s="62"/>
      <c r="AF7" s="62"/>
      <c r="AG7" s="62"/>
      <c r="AH7" s="62"/>
      <c r="AI7" s="62"/>
      <c r="AJ7" s="62"/>
      <c r="AK7" s="62"/>
      <c r="AL7" s="62"/>
      <c r="AM7" s="63"/>
      <c r="BO7" s="12" t="s">
        <v>21</v>
      </c>
      <c r="BP7" s="13"/>
      <c r="BQ7" s="13"/>
      <c r="BR7" s="13"/>
      <c r="BS7" s="13"/>
      <c r="BT7" s="13"/>
      <c r="BU7" s="13"/>
      <c r="BV7" s="13"/>
      <c r="BW7" s="13"/>
      <c r="BX7" s="14"/>
      <c r="BZ7" s="17"/>
      <c r="CK7" s="9" t="s">
        <v>22</v>
      </c>
      <c r="CZ7"/>
      <c r="DA7"/>
      <c r="DB7"/>
      <c r="DC7"/>
      <c r="DD7"/>
      <c r="DE7"/>
      <c r="DF7"/>
      <c r="DG7"/>
      <c r="DH7"/>
      <c r="DI7"/>
      <c r="DJ7"/>
      <c r="DK7"/>
      <c r="DL7"/>
      <c r="DM7"/>
      <c r="DN7"/>
      <c r="DO7"/>
      <c r="DR7" s="11"/>
    </row>
    <row r="8" spans="1:144" ht="20.100000000000001" customHeight="1" thickBot="1" x14ac:dyDescent="0.45">
      <c r="T8" s="6" t="b">
        <v>1</v>
      </c>
      <c r="U8" s="60"/>
      <c r="V8" s="60"/>
      <c r="W8" s="60"/>
      <c r="X8" s="60"/>
      <c r="Y8" s="60"/>
      <c r="AB8" s="61" t="s">
        <v>23</v>
      </c>
      <c r="AC8" s="64"/>
      <c r="AD8" s="64"/>
      <c r="AE8" s="64"/>
      <c r="AF8" s="64"/>
      <c r="AG8" s="64"/>
      <c r="AH8" s="64"/>
      <c r="AI8" s="64"/>
      <c r="AJ8" s="64"/>
      <c r="AK8" s="64"/>
      <c r="AL8" s="64"/>
      <c r="AM8" s="65"/>
      <c r="BF8" s="6" t="s">
        <v>24</v>
      </c>
      <c r="BO8" s="6" t="s">
        <v>25</v>
      </c>
      <c r="CJ8" s="18" t="s">
        <v>26</v>
      </c>
      <c r="CK8" s="18" t="s">
        <v>27</v>
      </c>
      <c r="CL8" s="18" t="s">
        <v>28</v>
      </c>
      <c r="CS8" s="19" t="s">
        <v>29</v>
      </c>
      <c r="CT8" s="18" t="s">
        <v>30</v>
      </c>
      <c r="CW8" s="18" t="s">
        <v>29</v>
      </c>
      <c r="CX8" s="18" t="s">
        <v>30</v>
      </c>
      <c r="CZ8"/>
      <c r="DA8"/>
      <c r="DB8"/>
      <c r="DC8"/>
      <c r="DE8"/>
      <c r="DF8"/>
      <c r="DG8"/>
      <c r="DH8"/>
      <c r="DI8"/>
      <c r="DJ8"/>
      <c r="DK8"/>
      <c r="DL8"/>
      <c r="DM8"/>
      <c r="DN8"/>
      <c r="DO8"/>
      <c r="DR8" s="11"/>
      <c r="DS8" s="11"/>
      <c r="DT8" s="11"/>
    </row>
    <row r="9" spans="1:144" ht="20.100000000000001" customHeight="1" x14ac:dyDescent="0.4">
      <c r="F9" s="21" t="s">
        <v>32</v>
      </c>
      <c r="G9" s="21">
        <v>100</v>
      </c>
      <c r="H9" s="21" t="s">
        <v>33</v>
      </c>
      <c r="I9" s="21" t="str">
        <f>IFERROR(G9/H9,"Something went wrong")</f>
        <v>Something went wrong</v>
      </c>
      <c r="J9" s="8"/>
      <c r="K9" s="8"/>
      <c r="L9" s="8"/>
      <c r="T9" s="6" t="b">
        <v>0</v>
      </c>
      <c r="U9" s="8"/>
      <c r="V9" s="8"/>
      <c r="W9" s="8"/>
      <c r="X9" s="8"/>
      <c r="Y9" s="8"/>
      <c r="Z9" s="8"/>
      <c r="AB9" s="61" t="s">
        <v>34</v>
      </c>
      <c r="AC9" s="64"/>
      <c r="AD9" s="64"/>
      <c r="AE9" s="64"/>
      <c r="AF9" s="64"/>
      <c r="AG9" s="64"/>
      <c r="AH9" s="64"/>
      <c r="AI9" s="64"/>
      <c r="AJ9" s="64"/>
      <c r="AK9" s="64"/>
      <c r="AL9" s="64"/>
      <c r="AM9" s="65"/>
      <c r="AO9" s="20" t="s">
        <v>25</v>
      </c>
      <c r="BZ9" s="20"/>
      <c r="CJ9" s="22">
        <v>1</v>
      </c>
      <c r="CK9" s="23" t="s">
        <v>35</v>
      </c>
      <c r="CL9" s="43"/>
      <c r="CM9" s="46">
        <v>1</v>
      </c>
      <c r="CN9" s="47" t="s">
        <v>229</v>
      </c>
      <c r="CO9"/>
      <c r="CP9" s="52">
        <v>1</v>
      </c>
      <c r="CQ9" s="45"/>
      <c r="CS9" s="21" t="s">
        <v>36</v>
      </c>
      <c r="CT9" s="21"/>
      <c r="CW9" s="21" t="s">
        <v>37</v>
      </c>
      <c r="CX9" s="21" t="s">
        <v>38</v>
      </c>
      <c r="CZ9"/>
      <c r="DA9"/>
      <c r="DB9"/>
      <c r="DC9"/>
      <c r="DE9"/>
      <c r="DF9"/>
      <c r="DG9"/>
      <c r="DH9"/>
      <c r="DI9"/>
      <c r="DJ9"/>
      <c r="DK9"/>
      <c r="DL9"/>
      <c r="DM9"/>
      <c r="DN9"/>
      <c r="DO9"/>
      <c r="DR9" s="11"/>
      <c r="DS9" s="11"/>
      <c r="DT9" s="11"/>
    </row>
    <row r="10" spans="1:144" ht="20.100000000000001" customHeight="1" x14ac:dyDescent="0.4">
      <c r="J10" s="24"/>
      <c r="K10" s="8"/>
      <c r="L10" s="8"/>
      <c r="U10" s="20" t="s">
        <v>39</v>
      </c>
      <c r="Y10" s="20" t="s">
        <v>40</v>
      </c>
      <c r="AB10" s="20" t="s">
        <v>41</v>
      </c>
      <c r="AE10" s="20" t="s">
        <v>42</v>
      </c>
      <c r="AH10" s="25" t="s">
        <v>43</v>
      </c>
      <c r="AO10" s="20" t="s">
        <v>44</v>
      </c>
      <c r="AP10" s="6" t="s">
        <v>45</v>
      </c>
      <c r="AW10" s="20" t="s">
        <v>46</v>
      </c>
      <c r="AX10" s="20"/>
      <c r="AY10" s="20" t="s">
        <v>25</v>
      </c>
      <c r="BA10" s="77" t="s">
        <v>47</v>
      </c>
      <c r="BB10" s="77"/>
      <c r="BC10" s="77"/>
      <c r="BE10" s="20" t="s">
        <v>48</v>
      </c>
      <c r="BN10" s="20" t="s">
        <v>49</v>
      </c>
      <c r="BO10" s="76" t="s">
        <v>50</v>
      </c>
      <c r="BP10" s="76"/>
      <c r="BQ10" s="76"/>
      <c r="BR10" s="70" t="s">
        <v>51</v>
      </c>
      <c r="BS10" s="70"/>
      <c r="BY10" s="20" t="s">
        <v>52</v>
      </c>
      <c r="CJ10" s="22">
        <v>4</v>
      </c>
      <c r="CK10" s="22"/>
      <c r="CL10" s="43"/>
      <c r="CM10" s="48">
        <v>2</v>
      </c>
      <c r="CN10" s="49" t="s">
        <v>230</v>
      </c>
      <c r="CO10"/>
      <c r="CP10" s="53">
        <v>2</v>
      </c>
      <c r="CQ10" s="45"/>
      <c r="CS10" s="21" t="s">
        <v>53</v>
      </c>
      <c r="CT10" s="21"/>
      <c r="CW10" s="21" t="s">
        <v>54</v>
      </c>
      <c r="CX10" s="21" t="s">
        <v>55</v>
      </c>
      <c r="CY10"/>
      <c r="CZ10"/>
      <c r="DA10"/>
      <c r="DB10"/>
      <c r="DC10"/>
      <c r="DD10"/>
      <c r="DE10"/>
      <c r="DF10"/>
      <c r="DG10"/>
      <c r="DH10"/>
      <c r="DI10"/>
      <c r="DJ10"/>
      <c r="DK10"/>
      <c r="DL10"/>
      <c r="DM10"/>
      <c r="DN10"/>
      <c r="DQ10" s="11"/>
      <c r="DR10" s="11"/>
      <c r="DS10" s="11"/>
    </row>
    <row r="11" spans="1:144" ht="30" customHeight="1" x14ac:dyDescent="0.4">
      <c r="R11" s="18" t="s">
        <v>56</v>
      </c>
      <c r="U11" s="18" t="s">
        <v>57</v>
      </c>
      <c r="V11" s="18" t="s">
        <v>58</v>
      </c>
      <c r="Y11" s="18" t="s">
        <v>57</v>
      </c>
      <c r="Z11" s="18" t="s">
        <v>58</v>
      </c>
      <c r="AB11" s="18" t="s">
        <v>31</v>
      </c>
      <c r="AC11" s="18" t="s">
        <v>59</v>
      </c>
      <c r="AE11" s="18" t="s">
        <v>60</v>
      </c>
      <c r="AF11" s="18" t="s">
        <v>31</v>
      </c>
      <c r="AG11" s="18" t="s">
        <v>61</v>
      </c>
      <c r="AH11" s="18" t="s">
        <v>62</v>
      </c>
      <c r="AI11" s="18" t="s">
        <v>63</v>
      </c>
      <c r="AJ11" s="18" t="s">
        <v>64</v>
      </c>
      <c r="AK11" s="18" t="s">
        <v>65</v>
      </c>
      <c r="AO11" s="18" t="s">
        <v>66</v>
      </c>
      <c r="AP11" s="18" t="s">
        <v>67</v>
      </c>
      <c r="AQ11" s="26" t="s">
        <v>68</v>
      </c>
      <c r="AS11" s="27" t="s">
        <v>69</v>
      </c>
      <c r="AT11" s="27" t="s">
        <v>70</v>
      </c>
      <c r="AU11" s="27" t="s">
        <v>71</v>
      </c>
      <c r="AW11" s="18" t="s">
        <v>66</v>
      </c>
      <c r="AX11" s="28" t="s">
        <v>67</v>
      </c>
      <c r="AY11" s="18" t="s">
        <v>228</v>
      </c>
      <c r="BA11" s="27" t="s">
        <v>69</v>
      </c>
      <c r="BB11" s="29" t="s">
        <v>70</v>
      </c>
      <c r="BC11" s="27" t="s">
        <v>71</v>
      </c>
      <c r="BE11" s="26" t="s">
        <v>72</v>
      </c>
      <c r="BF11" s="26" t="s">
        <v>73</v>
      </c>
      <c r="BG11" s="26" t="s">
        <v>74</v>
      </c>
      <c r="BH11" s="26" t="s">
        <v>75</v>
      </c>
      <c r="BI11" s="26" t="s">
        <v>76</v>
      </c>
      <c r="BJ11" s="26" t="s">
        <v>58</v>
      </c>
      <c r="BK11" s="26" t="s">
        <v>77</v>
      </c>
      <c r="BN11" s="18" t="s">
        <v>78</v>
      </c>
      <c r="BO11" s="18" t="s">
        <v>73</v>
      </c>
      <c r="BP11" s="18" t="s">
        <v>74</v>
      </c>
      <c r="BQ11" s="18" t="s">
        <v>75</v>
      </c>
      <c r="BR11" s="30" t="s">
        <v>79</v>
      </c>
      <c r="BS11" s="30" t="s">
        <v>80</v>
      </c>
      <c r="BT11" s="18" t="s">
        <v>81</v>
      </c>
      <c r="BU11" s="18" t="s">
        <v>82</v>
      </c>
      <c r="BV11" s="18" t="s">
        <v>83</v>
      </c>
      <c r="BW11" s="18" t="s">
        <v>84</v>
      </c>
      <c r="BY11" s="26" t="s">
        <v>66</v>
      </c>
      <c r="BZ11" s="26" t="s">
        <v>85</v>
      </c>
      <c r="CB11" s="71" t="s">
        <v>86</v>
      </c>
      <c r="CC11" s="71" t="s">
        <v>87</v>
      </c>
      <c r="CD11" s="31" t="s">
        <v>88</v>
      </c>
      <c r="CE11" s="31" t="s">
        <v>88</v>
      </c>
      <c r="CG11" s="11"/>
      <c r="CJ11" s="22">
        <v>4</v>
      </c>
      <c r="CK11" s="22"/>
      <c r="CL11" s="43"/>
      <c r="CM11" s="48">
        <v>3</v>
      </c>
      <c r="CN11" s="49" t="s">
        <v>231</v>
      </c>
      <c r="CO11"/>
      <c r="CP11" s="53">
        <v>3</v>
      </c>
      <c r="CQ11" s="45"/>
      <c r="CS11" s="21" t="s">
        <v>89</v>
      </c>
      <c r="CT11" s="21"/>
      <c r="CW11" s="21" t="s">
        <v>90</v>
      </c>
      <c r="CX11" s="21" t="s">
        <v>91</v>
      </c>
      <c r="CY11"/>
      <c r="CZ11"/>
      <c r="DA11"/>
      <c r="DB11"/>
      <c r="DC11"/>
      <c r="DD11"/>
      <c r="DE11"/>
      <c r="DF11"/>
      <c r="DG11"/>
      <c r="DH11"/>
      <c r="DI11"/>
      <c r="DJ11"/>
      <c r="DK11"/>
      <c r="DL11"/>
      <c r="DM11"/>
      <c r="DN11"/>
      <c r="DQ11" s="11"/>
      <c r="DR11" s="11"/>
      <c r="DS11" s="11"/>
    </row>
    <row r="12" spans="1:144" ht="20.100000000000001" customHeight="1" x14ac:dyDescent="0.4">
      <c r="C12" s="11" t="s">
        <v>92</v>
      </c>
      <c r="F12" s="73" t="s">
        <v>93</v>
      </c>
      <c r="G12" s="74"/>
      <c r="H12" s="75"/>
      <c r="J12" s="6" t="s">
        <v>94</v>
      </c>
      <c r="R12" s="22" t="s">
        <v>95</v>
      </c>
      <c r="U12" s="32">
        <v>55</v>
      </c>
      <c r="V12"/>
      <c r="Y12" s="22">
        <v>55</v>
      </c>
      <c r="Z12" s="22"/>
      <c r="AB12" s="22">
        <v>60000</v>
      </c>
      <c r="AC12" s="22"/>
      <c r="AE12" s="21" t="s">
        <v>96</v>
      </c>
      <c r="AF12" s="21">
        <v>30000</v>
      </c>
      <c r="AG12" s="21"/>
      <c r="AH12" s="21"/>
      <c r="AI12" s="21"/>
      <c r="AJ12" s="21"/>
      <c r="AK12" s="21"/>
      <c r="AO12" s="22">
        <v>190000</v>
      </c>
      <c r="AP12" s="22"/>
      <c r="AQ12" s="22"/>
      <c r="AS12" s="22" t="s">
        <v>97</v>
      </c>
      <c r="AT12" s="22" t="s">
        <v>98</v>
      </c>
      <c r="AU12" s="22">
        <v>2</v>
      </c>
      <c r="AW12" s="22">
        <v>75000</v>
      </c>
      <c r="AX12" s="23"/>
      <c r="AY12" s="21"/>
      <c r="BA12" s="22" t="s">
        <v>99</v>
      </c>
      <c r="BB12" s="22" t="s">
        <v>100</v>
      </c>
      <c r="BC12" s="22">
        <v>3</v>
      </c>
      <c r="BE12" s="22" t="s">
        <v>101</v>
      </c>
      <c r="BF12" s="22">
        <v>45</v>
      </c>
      <c r="BG12" s="22">
        <v>55</v>
      </c>
      <c r="BH12" s="22">
        <v>60</v>
      </c>
      <c r="BI12" s="22"/>
      <c r="BJ12" s="22"/>
      <c r="BK12" s="22"/>
      <c r="BN12" s="21" t="s">
        <v>101</v>
      </c>
      <c r="BO12" s="33">
        <v>45</v>
      </c>
      <c r="BP12" s="33">
        <v>55</v>
      </c>
      <c r="BQ12" s="33">
        <v>90</v>
      </c>
      <c r="BR12" s="34">
        <v>0</v>
      </c>
      <c r="BS12" s="34">
        <v>31</v>
      </c>
      <c r="BT12" s="22"/>
      <c r="BU12" s="21"/>
      <c r="BV12" s="22"/>
      <c r="BW12" s="22"/>
      <c r="BY12" s="22">
        <v>400000</v>
      </c>
      <c r="BZ12" s="23"/>
      <c r="CB12" s="71" t="s">
        <v>102</v>
      </c>
      <c r="CC12" s="71"/>
      <c r="CD12" s="31" t="s">
        <v>103</v>
      </c>
      <c r="CE12" s="31" t="s">
        <v>104</v>
      </c>
      <c r="CG12" s="11"/>
      <c r="CJ12" s="22">
        <v>7</v>
      </c>
      <c r="CK12" s="22"/>
      <c r="CL12" s="43"/>
      <c r="CM12" s="48">
        <v>4</v>
      </c>
      <c r="CN12" s="49" t="s">
        <v>232</v>
      </c>
      <c r="CO12"/>
      <c r="CP12" s="53">
        <v>4</v>
      </c>
      <c r="CQ12" s="45"/>
      <c r="CS12" s="21" t="s">
        <v>105</v>
      </c>
      <c r="CT12" s="21"/>
      <c r="CW12" s="21" t="s">
        <v>106</v>
      </c>
      <c r="CX12" s="21" t="s">
        <v>107</v>
      </c>
      <c r="CY12"/>
      <c r="CZ12"/>
      <c r="DA12"/>
      <c r="DB12"/>
      <c r="DC12"/>
      <c r="DD12"/>
      <c r="DE12"/>
      <c r="DF12"/>
      <c r="DG12"/>
      <c r="DH12"/>
      <c r="DI12"/>
      <c r="DJ12"/>
      <c r="DK12"/>
      <c r="DL12"/>
      <c r="DM12"/>
      <c r="DN12"/>
      <c r="DQ12" s="11"/>
      <c r="DR12" s="11"/>
      <c r="DS12" s="11"/>
    </row>
    <row r="13" spans="1:144" ht="20.100000000000001" customHeight="1" x14ac:dyDescent="0.4">
      <c r="C13" s="11" t="s">
        <v>108</v>
      </c>
      <c r="F13" s="35" t="s">
        <v>109</v>
      </c>
      <c r="G13" s="35" t="s">
        <v>110</v>
      </c>
      <c r="H13" s="35" t="s">
        <v>111</v>
      </c>
      <c r="R13" s="36" t="s">
        <v>112</v>
      </c>
      <c r="U13" s="21">
        <v>22</v>
      </c>
      <c r="V13"/>
      <c r="Y13" s="22">
        <v>22</v>
      </c>
      <c r="Z13" s="22"/>
      <c r="AB13" s="22">
        <v>30000</v>
      </c>
      <c r="AC13" s="22"/>
      <c r="AE13" s="21" t="s">
        <v>113</v>
      </c>
      <c r="AF13" s="21">
        <v>10000</v>
      </c>
      <c r="AG13" s="21"/>
      <c r="AH13" s="21"/>
      <c r="AI13" s="21"/>
      <c r="AJ13" s="21"/>
      <c r="AK13" s="21"/>
      <c r="AO13" s="22">
        <v>6000</v>
      </c>
      <c r="AP13" s="22"/>
      <c r="AQ13" s="22"/>
      <c r="AS13" s="22" t="s">
        <v>114</v>
      </c>
      <c r="AT13" s="22" t="s">
        <v>115</v>
      </c>
      <c r="AU13" s="22">
        <v>1</v>
      </c>
      <c r="AW13" s="22">
        <v>600000</v>
      </c>
      <c r="AX13" s="23"/>
      <c r="AY13" s="21"/>
      <c r="BA13" s="22" t="s">
        <v>116</v>
      </c>
      <c r="BB13" s="22" t="s">
        <v>117</v>
      </c>
      <c r="BC13" s="22">
        <v>1</v>
      </c>
      <c r="BE13" s="22" t="s">
        <v>118</v>
      </c>
      <c r="BF13" s="22">
        <v>33</v>
      </c>
      <c r="BG13" s="22">
        <v>100</v>
      </c>
      <c r="BH13" s="22">
        <v>80</v>
      </c>
      <c r="BI13" s="22"/>
      <c r="BJ13" s="22"/>
      <c r="BK13" s="22"/>
      <c r="BN13" s="21" t="s">
        <v>118</v>
      </c>
      <c r="BO13" s="33">
        <v>95</v>
      </c>
      <c r="BP13" s="33">
        <v>88</v>
      </c>
      <c r="BQ13" s="33">
        <v>57</v>
      </c>
      <c r="BR13" s="34">
        <v>41</v>
      </c>
      <c r="BS13" s="34">
        <v>50</v>
      </c>
      <c r="BT13" s="22"/>
      <c r="BU13" s="21"/>
      <c r="BV13" s="22"/>
      <c r="BW13" s="22"/>
      <c r="BY13" s="22">
        <v>600000</v>
      </c>
      <c r="BZ13" s="23"/>
      <c r="CB13" s="22">
        <v>1</v>
      </c>
      <c r="CC13" s="22" t="s">
        <v>119</v>
      </c>
      <c r="CD13" s="22" t="s">
        <v>120</v>
      </c>
      <c r="CE13" s="22" t="s">
        <v>120</v>
      </c>
      <c r="CG13" s="11"/>
      <c r="CJ13" s="22">
        <v>3</v>
      </c>
      <c r="CK13" s="22"/>
      <c r="CL13" s="43"/>
      <c r="CM13" s="48">
        <v>5</v>
      </c>
      <c r="CN13" s="49" t="s">
        <v>233</v>
      </c>
      <c r="CO13"/>
      <c r="CP13" s="53">
        <v>5</v>
      </c>
      <c r="CQ13" s="45"/>
      <c r="CS13" s="21" t="s">
        <v>121</v>
      </c>
      <c r="CT13" s="21"/>
      <c r="CW13" s="21" t="s">
        <v>122</v>
      </c>
      <c r="CX13" s="21" t="s">
        <v>123</v>
      </c>
      <c r="CY13"/>
      <c r="CZ13"/>
      <c r="DA13"/>
      <c r="DB13"/>
      <c r="DC13"/>
      <c r="DD13"/>
      <c r="DE13"/>
      <c r="DF13"/>
      <c r="DG13"/>
      <c r="DH13"/>
      <c r="DI13"/>
      <c r="DJ13"/>
      <c r="DK13"/>
      <c r="DL13"/>
      <c r="DM13"/>
      <c r="DN13"/>
      <c r="DQ13" s="11"/>
      <c r="DR13" s="11"/>
      <c r="DS13" s="11"/>
    </row>
    <row r="14" spans="1:144" ht="20.100000000000001" customHeight="1" thickBot="1" x14ac:dyDescent="0.45">
      <c r="C14" s="11" t="s">
        <v>124</v>
      </c>
      <c r="F14" s="35" t="b">
        <v>1</v>
      </c>
      <c r="G14" s="35" t="b">
        <v>1</v>
      </c>
      <c r="H14" s="35" t="b">
        <f>AND(F14,G14)</f>
        <v>1</v>
      </c>
      <c r="J14" s="6" t="b">
        <f>AND(100&gt;50,1000&lt;2000,10&lt;&gt;20)</f>
        <v>1</v>
      </c>
      <c r="K14" s="6" t="b">
        <f>AND(100&gt;50,1000&lt;2000,10&lt;&gt;20,10=20)</f>
        <v>0</v>
      </c>
      <c r="R14" s="36" t="s">
        <v>125</v>
      </c>
      <c r="U14" s="21">
        <v>77</v>
      </c>
      <c r="V14"/>
      <c r="Y14" s="22">
        <v>77</v>
      </c>
      <c r="Z14" s="22"/>
      <c r="AB14" s="22">
        <v>50000</v>
      </c>
      <c r="AC14" s="22"/>
      <c r="AE14" s="21" t="s">
        <v>126</v>
      </c>
      <c r="AF14" s="21">
        <v>18000</v>
      </c>
      <c r="AG14" s="21"/>
      <c r="AH14" s="21"/>
      <c r="AI14" s="21"/>
      <c r="AJ14" s="21"/>
      <c r="AK14" s="21"/>
      <c r="AO14" s="22">
        <v>10000</v>
      </c>
      <c r="AP14" s="22"/>
      <c r="AQ14" s="22"/>
      <c r="AS14" s="22" t="s">
        <v>127</v>
      </c>
      <c r="AT14" s="22" t="s">
        <v>128</v>
      </c>
      <c r="AU14" s="22">
        <v>3</v>
      </c>
      <c r="AW14" s="22">
        <v>150000</v>
      </c>
      <c r="AX14" s="23"/>
      <c r="AY14" s="21"/>
      <c r="BA14" s="22" t="s">
        <v>129</v>
      </c>
      <c r="BB14" s="22" t="s">
        <v>98</v>
      </c>
      <c r="BC14" s="22">
        <v>2</v>
      </c>
      <c r="BE14" s="22" t="s">
        <v>130</v>
      </c>
      <c r="BF14" s="22">
        <v>40</v>
      </c>
      <c r="BG14" s="22">
        <v>40</v>
      </c>
      <c r="BH14" s="22">
        <v>40</v>
      </c>
      <c r="BI14" s="22"/>
      <c r="BJ14" s="22"/>
      <c r="BK14" s="22"/>
      <c r="BN14" s="21" t="s">
        <v>130</v>
      </c>
      <c r="BO14" s="33">
        <v>76</v>
      </c>
      <c r="BP14" s="33">
        <v>71</v>
      </c>
      <c r="BQ14" s="33">
        <v>26</v>
      </c>
      <c r="BR14" s="34">
        <v>26</v>
      </c>
      <c r="BS14" s="34">
        <v>48</v>
      </c>
      <c r="BT14" s="22"/>
      <c r="BU14" s="21"/>
      <c r="BV14" s="22"/>
      <c r="BW14" s="22"/>
      <c r="BY14" s="22">
        <v>200000</v>
      </c>
      <c r="BZ14" s="23"/>
      <c r="CB14" s="22">
        <v>2</v>
      </c>
      <c r="CC14" s="22" t="s">
        <v>131</v>
      </c>
      <c r="CD14" s="22" t="s">
        <v>120</v>
      </c>
      <c r="CE14" s="37">
        <v>0.05</v>
      </c>
      <c r="CG14" s="11"/>
      <c r="CJ14" s="22">
        <v>6</v>
      </c>
      <c r="CK14" s="22"/>
      <c r="CL14" s="43"/>
      <c r="CM14" s="50" t="s">
        <v>235</v>
      </c>
      <c r="CN14" s="51" t="s">
        <v>234</v>
      </c>
      <c r="CO14"/>
      <c r="CP14" s="54">
        <v>6</v>
      </c>
      <c r="CQ14" s="45"/>
      <c r="CS14" s="21" t="s">
        <v>132</v>
      </c>
      <c r="CT14" s="21"/>
      <c r="CW14" s="21" t="s">
        <v>53</v>
      </c>
      <c r="CX14" s="21" t="s">
        <v>133</v>
      </c>
      <c r="CY14"/>
      <c r="CZ14"/>
      <c r="DA14"/>
      <c r="DB14"/>
      <c r="DC14"/>
      <c r="DD14"/>
      <c r="DE14"/>
      <c r="DF14"/>
      <c r="DG14"/>
      <c r="DH14"/>
      <c r="DI14"/>
      <c r="DJ14"/>
      <c r="DK14"/>
      <c r="DL14"/>
      <c r="DM14"/>
      <c r="DN14"/>
      <c r="DQ14" s="11"/>
      <c r="DR14" s="11"/>
      <c r="DS14" s="11"/>
    </row>
    <row r="15" spans="1:144" ht="20.100000000000001" customHeight="1" x14ac:dyDescent="0.4">
      <c r="C15" s="11" t="s">
        <v>134</v>
      </c>
      <c r="F15" s="35" t="b">
        <v>1</v>
      </c>
      <c r="G15" s="35" t="b">
        <v>0</v>
      </c>
      <c r="H15" s="35" t="b">
        <f t="shared" ref="H15:H17" si="0">AND(F15,G15)</f>
        <v>0</v>
      </c>
      <c r="J15" s="6" t="b">
        <f>OR(100&gt;50,1000&lt;2000,10&lt;&gt;20)</f>
        <v>1</v>
      </c>
      <c r="K15" s="6" t="b">
        <f>OR(100&gt;50,1000&lt;2000,10&lt;&gt;20,10=20)</f>
        <v>1</v>
      </c>
      <c r="R15" s="36" t="s">
        <v>135</v>
      </c>
      <c r="U15" s="21">
        <v>75</v>
      </c>
      <c r="V15"/>
      <c r="Y15" s="22">
        <v>75</v>
      </c>
      <c r="Z15" s="22"/>
      <c r="AB15" s="22">
        <v>75000</v>
      </c>
      <c r="AC15" s="22"/>
      <c r="AE15" s="21" t="s">
        <v>136</v>
      </c>
      <c r="AF15" s="21">
        <v>18000</v>
      </c>
      <c r="AG15" s="21"/>
      <c r="AH15" s="21"/>
      <c r="AI15" s="21"/>
      <c r="AJ15" s="21"/>
      <c r="AK15" s="21"/>
      <c r="AO15" s="22">
        <v>75984</v>
      </c>
      <c r="AP15" s="22"/>
      <c r="AQ15" s="22"/>
      <c r="AW15" s="22">
        <v>8700</v>
      </c>
      <c r="AX15" s="23"/>
      <c r="AY15" s="21"/>
      <c r="BA15" s="22" t="s">
        <v>137</v>
      </c>
      <c r="BB15" s="22" t="s">
        <v>115</v>
      </c>
      <c r="BC15" s="22">
        <v>4</v>
      </c>
      <c r="BE15" s="22" t="s">
        <v>138</v>
      </c>
      <c r="BF15" s="22">
        <v>55</v>
      </c>
      <c r="BG15" s="22">
        <v>3</v>
      </c>
      <c r="BH15" s="22">
        <v>4</v>
      </c>
      <c r="BI15" s="22"/>
      <c r="BJ15" s="22"/>
      <c r="BK15" s="22"/>
      <c r="BN15" s="21" t="s">
        <v>138</v>
      </c>
      <c r="BO15" s="33">
        <v>48</v>
      </c>
      <c r="BP15" s="33">
        <v>35</v>
      </c>
      <c r="BQ15" s="33">
        <v>59</v>
      </c>
      <c r="BR15" s="34">
        <v>37</v>
      </c>
      <c r="BS15" s="34">
        <v>8</v>
      </c>
      <c r="BT15" s="22"/>
      <c r="BU15" s="21"/>
      <c r="BV15" s="22"/>
      <c r="BW15" s="22"/>
      <c r="BY15" s="22">
        <v>600000</v>
      </c>
      <c r="BZ15" s="23"/>
      <c r="CB15" s="38">
        <v>3</v>
      </c>
      <c r="CC15" s="38" t="s">
        <v>139</v>
      </c>
      <c r="CD15" s="39">
        <v>0.2</v>
      </c>
      <c r="CE15" s="39">
        <v>0.1</v>
      </c>
      <c r="CG15" s="11"/>
      <c r="CJ15" s="22">
        <v>2</v>
      </c>
      <c r="CK15" s="22"/>
      <c r="CL15" s="21"/>
      <c r="CW15" s="21" t="s">
        <v>140</v>
      </c>
      <c r="CX15" s="21" t="s">
        <v>141</v>
      </c>
      <c r="CY15"/>
      <c r="CZ15"/>
      <c r="DA15"/>
      <c r="DB15"/>
      <c r="DC15"/>
      <c r="DD15"/>
      <c r="DE15"/>
      <c r="DF15"/>
      <c r="DG15"/>
      <c r="DH15"/>
      <c r="DI15"/>
      <c r="DJ15"/>
      <c r="DK15"/>
      <c r="DL15"/>
      <c r="DM15"/>
      <c r="DN15"/>
      <c r="DQ15" s="11"/>
      <c r="DR15" s="11"/>
      <c r="DS15" s="11"/>
    </row>
    <row r="16" spans="1:144" ht="20.100000000000001" customHeight="1" x14ac:dyDescent="0.4">
      <c r="C16" s="11" t="s">
        <v>142</v>
      </c>
      <c r="F16" s="35" t="b">
        <v>0</v>
      </c>
      <c r="G16" s="35" t="b">
        <v>1</v>
      </c>
      <c r="H16" s="35" t="b">
        <f t="shared" si="0"/>
        <v>0</v>
      </c>
      <c r="R16" s="22" t="s">
        <v>143</v>
      </c>
      <c r="T16" s="9"/>
      <c r="U16" s="21">
        <v>40</v>
      </c>
      <c r="V16"/>
      <c r="Y16" s="22">
        <v>40</v>
      </c>
      <c r="Z16" s="22"/>
      <c r="AB16" s="22">
        <v>78000</v>
      </c>
      <c r="AC16" s="22"/>
      <c r="AE16" s="21" t="s">
        <v>144</v>
      </c>
      <c r="AF16" s="21">
        <v>78000</v>
      </c>
      <c r="AG16" s="21"/>
      <c r="AH16" s="21"/>
      <c r="AI16" s="21"/>
      <c r="AJ16" s="21"/>
      <c r="AK16" s="21"/>
      <c r="AO16" s="22">
        <v>25000</v>
      </c>
      <c r="AP16" s="22"/>
      <c r="AQ16" s="22"/>
      <c r="AW16" s="22">
        <v>25000</v>
      </c>
      <c r="AX16" s="23"/>
      <c r="AY16" s="21"/>
      <c r="BA16" s="22" t="s">
        <v>145</v>
      </c>
      <c r="BB16" s="22" t="s">
        <v>128</v>
      </c>
      <c r="BC16" s="22">
        <v>5</v>
      </c>
      <c r="BE16" s="22" t="s">
        <v>146</v>
      </c>
      <c r="BF16" s="22">
        <v>52</v>
      </c>
      <c r="BG16" s="22">
        <v>22</v>
      </c>
      <c r="BH16" s="22">
        <v>80</v>
      </c>
      <c r="BI16" s="22"/>
      <c r="BJ16" s="22"/>
      <c r="BK16" s="22"/>
      <c r="BN16" s="21" t="s">
        <v>146</v>
      </c>
      <c r="BO16" s="33">
        <v>52</v>
      </c>
      <c r="BP16" s="33">
        <v>22</v>
      </c>
      <c r="BQ16" s="33">
        <v>80</v>
      </c>
      <c r="BR16" s="34">
        <v>14</v>
      </c>
      <c r="BS16" s="34">
        <v>5</v>
      </c>
      <c r="BT16" s="22"/>
      <c r="BU16" s="21"/>
      <c r="BV16" s="22"/>
      <c r="BW16" s="22"/>
      <c r="BY16" s="22">
        <v>1200000</v>
      </c>
      <c r="BZ16" s="23"/>
      <c r="CB16" s="22">
        <v>4</v>
      </c>
      <c r="CC16" s="22" t="s">
        <v>147</v>
      </c>
      <c r="CD16" s="37">
        <v>0.2</v>
      </c>
      <c r="CE16" s="37">
        <v>0.15</v>
      </c>
      <c r="CG16" s="11"/>
      <c r="CM16"/>
      <c r="CS16" s="40"/>
      <c r="CW16" s="21" t="s">
        <v>148</v>
      </c>
      <c r="CX16" s="21" t="s">
        <v>149</v>
      </c>
      <c r="CY16"/>
      <c r="CZ16"/>
      <c r="DA16"/>
      <c r="DB16"/>
      <c r="DC16"/>
      <c r="DD16"/>
      <c r="DE16"/>
      <c r="DF16"/>
      <c r="DG16"/>
      <c r="DH16"/>
      <c r="DI16"/>
      <c r="DJ16"/>
      <c r="DK16"/>
      <c r="DL16"/>
      <c r="DM16"/>
      <c r="DN16"/>
      <c r="DQ16" s="11"/>
      <c r="DR16" s="11"/>
      <c r="DS16" s="11"/>
    </row>
    <row r="17" spans="3:123" ht="20.100000000000001" customHeight="1" x14ac:dyDescent="0.4">
      <c r="C17" s="11" t="s">
        <v>150</v>
      </c>
      <c r="F17" s="35" t="b">
        <v>0</v>
      </c>
      <c r="G17" s="35" t="b">
        <v>0</v>
      </c>
      <c r="H17" s="35" t="b">
        <f t="shared" si="0"/>
        <v>0</v>
      </c>
      <c r="R17" s="22" t="s">
        <v>151</v>
      </c>
      <c r="U17" s="21">
        <v>70</v>
      </c>
      <c r="V17"/>
      <c r="Y17" s="22">
        <v>70</v>
      </c>
      <c r="Z17" s="22"/>
      <c r="AB17" s="22">
        <v>3000</v>
      </c>
      <c r="AC17" s="22"/>
      <c r="AE17" s="21" t="s">
        <v>136</v>
      </c>
      <c r="AF17" s="21">
        <v>3000</v>
      </c>
      <c r="AG17" s="21"/>
      <c r="AH17" s="21"/>
      <c r="AI17" s="21"/>
      <c r="AJ17" s="21"/>
      <c r="AK17" s="21"/>
      <c r="AO17" s="22">
        <v>820000</v>
      </c>
      <c r="AP17" s="22"/>
      <c r="AQ17" s="22"/>
      <c r="AW17" s="22">
        <v>820000</v>
      </c>
      <c r="AX17" s="23"/>
      <c r="AY17" s="21"/>
      <c r="BE17" s="22" t="s">
        <v>152</v>
      </c>
      <c r="BF17" s="22">
        <v>66</v>
      </c>
      <c r="BG17" s="22">
        <v>36</v>
      </c>
      <c r="BH17" s="22">
        <v>51</v>
      </c>
      <c r="BI17" s="22"/>
      <c r="BJ17" s="22"/>
      <c r="BK17" s="22"/>
      <c r="BN17" s="21" t="s">
        <v>152</v>
      </c>
      <c r="BO17" s="33">
        <v>66</v>
      </c>
      <c r="BP17" s="33">
        <v>36</v>
      </c>
      <c r="BQ17" s="33">
        <v>51</v>
      </c>
      <c r="BR17" s="34">
        <v>31</v>
      </c>
      <c r="BS17" s="34">
        <v>41</v>
      </c>
      <c r="BT17" s="22"/>
      <c r="BU17" s="21"/>
      <c r="BV17" s="22"/>
      <c r="BW17" s="22"/>
      <c r="BY17" s="22">
        <v>750000</v>
      </c>
      <c r="BZ17" s="23"/>
      <c r="CB17" s="22">
        <v>5</v>
      </c>
      <c r="CC17" s="22" t="s">
        <v>153</v>
      </c>
      <c r="CD17" s="37">
        <v>0.3</v>
      </c>
      <c r="CE17" s="37">
        <v>0.2</v>
      </c>
      <c r="CG17" s="11"/>
      <c r="CR17" s="18" t="s">
        <v>154</v>
      </c>
      <c r="CS17" s="18" t="s">
        <v>227</v>
      </c>
      <c r="CT17" s="55" t="s">
        <v>236</v>
      </c>
      <c r="CW17" s="21" t="s">
        <v>155</v>
      </c>
      <c r="CX17" s="21" t="s">
        <v>156</v>
      </c>
      <c r="CY17"/>
      <c r="CZ17"/>
      <c r="DA17"/>
      <c r="DB17"/>
      <c r="DC17"/>
      <c r="DD17"/>
      <c r="DE17"/>
      <c r="DF17"/>
      <c r="DG17"/>
      <c r="DH17"/>
      <c r="DI17"/>
      <c r="DJ17"/>
      <c r="DK17"/>
      <c r="DL17"/>
      <c r="DM17"/>
      <c r="DN17"/>
      <c r="DQ17" s="11"/>
      <c r="DR17" s="11"/>
      <c r="DS17" s="11"/>
    </row>
    <row r="18" spans="3:123" ht="20.100000000000001" customHeight="1" x14ac:dyDescent="0.4">
      <c r="F18" s="11"/>
      <c r="G18" s="11"/>
      <c r="H18" s="11"/>
      <c r="R18" s="22" t="s">
        <v>157</v>
      </c>
      <c r="U18" s="21">
        <v>22</v>
      </c>
      <c r="V18"/>
      <c r="Y18" s="22">
        <v>22</v>
      </c>
      <c r="Z18" s="22"/>
      <c r="AB18" s="22">
        <v>68000</v>
      </c>
      <c r="AC18" s="22"/>
      <c r="AE18" s="21" t="s">
        <v>144</v>
      </c>
      <c r="AF18" s="21">
        <v>68000</v>
      </c>
      <c r="AG18" s="21"/>
      <c r="AH18" s="21"/>
      <c r="AI18" s="21"/>
      <c r="AJ18" s="21"/>
      <c r="AK18" s="21"/>
      <c r="AO18" s="22">
        <v>660000</v>
      </c>
      <c r="AP18" s="22"/>
      <c r="AQ18" s="22"/>
      <c r="AW18" s="22">
        <v>660000</v>
      </c>
      <c r="AX18" s="23"/>
      <c r="AY18" s="21"/>
      <c r="BE18" s="22" t="s">
        <v>158</v>
      </c>
      <c r="BF18" s="22">
        <v>22</v>
      </c>
      <c r="BG18" s="22">
        <v>92</v>
      </c>
      <c r="BH18" s="22">
        <v>26</v>
      </c>
      <c r="BI18" s="22"/>
      <c r="BJ18" s="22"/>
      <c r="BK18" s="22"/>
      <c r="BN18" s="21" t="s">
        <v>158</v>
      </c>
      <c r="BO18" s="33">
        <v>22</v>
      </c>
      <c r="BP18" s="33">
        <v>92</v>
      </c>
      <c r="BQ18" s="33">
        <v>26</v>
      </c>
      <c r="BR18" s="34">
        <v>40</v>
      </c>
      <c r="BS18" s="34">
        <v>10</v>
      </c>
      <c r="BT18" s="22"/>
      <c r="BU18" s="21"/>
      <c r="BV18" s="22"/>
      <c r="BW18" s="22"/>
      <c r="BY18" s="22">
        <v>1000000</v>
      </c>
      <c r="BZ18" s="23"/>
      <c r="CB18" s="22">
        <v>6</v>
      </c>
      <c r="CC18" s="22" t="s">
        <v>159</v>
      </c>
      <c r="CD18" s="37">
        <v>0.3</v>
      </c>
      <c r="CE18" s="37">
        <v>0.25</v>
      </c>
      <c r="CG18" s="11"/>
      <c r="CI18" s="18" t="s">
        <v>66</v>
      </c>
      <c r="CJ18" s="18" t="s">
        <v>160</v>
      </c>
      <c r="CK18" s="11"/>
      <c r="CL18" s="11"/>
      <c r="CM18"/>
      <c r="CR18" s="41">
        <v>44219</v>
      </c>
      <c r="CS18" s="22"/>
      <c r="CT18" s="44"/>
      <c r="CW18" s="21" t="s">
        <v>161</v>
      </c>
      <c r="CX18" s="21" t="s">
        <v>162</v>
      </c>
      <c r="CZ18"/>
      <c r="DA18"/>
      <c r="DB18"/>
      <c r="DC18"/>
      <c r="DF18" s="11"/>
      <c r="DG18" s="11"/>
      <c r="DH18" s="11"/>
      <c r="DI18" s="11"/>
      <c r="DJ18" s="11"/>
      <c r="DK18" s="11"/>
      <c r="DQ18" s="11"/>
      <c r="DR18" s="11"/>
      <c r="DS18" s="11"/>
    </row>
    <row r="19" spans="3:123" ht="20.100000000000001" customHeight="1" x14ac:dyDescent="0.4">
      <c r="F19" s="73" t="s">
        <v>163</v>
      </c>
      <c r="G19" s="74"/>
      <c r="H19" s="75"/>
      <c r="R19" s="22" t="s">
        <v>164</v>
      </c>
      <c r="U19" s="21">
        <v>46</v>
      </c>
      <c r="V19"/>
      <c r="Y19" s="22">
        <v>46</v>
      </c>
      <c r="Z19" s="22"/>
      <c r="AB19" s="22">
        <v>23000</v>
      </c>
      <c r="AC19" s="22"/>
      <c r="AE19" s="21" t="s">
        <v>165</v>
      </c>
      <c r="AF19" s="21">
        <v>23000</v>
      </c>
      <c r="AG19" s="21"/>
      <c r="AH19" s="21"/>
      <c r="AI19" s="21"/>
      <c r="AJ19" s="21"/>
      <c r="AK19" s="21"/>
      <c r="AO19" s="22">
        <v>54000</v>
      </c>
      <c r="AP19" s="22"/>
      <c r="AQ19" s="22"/>
      <c r="AW19" s="22">
        <v>54000</v>
      </c>
      <c r="AX19" s="23"/>
      <c r="AY19" s="21"/>
      <c r="BE19" s="22" t="s">
        <v>166</v>
      </c>
      <c r="BF19" s="22">
        <v>74</v>
      </c>
      <c r="BG19" s="22">
        <v>81</v>
      </c>
      <c r="BH19" s="22">
        <v>93</v>
      </c>
      <c r="BI19" s="22"/>
      <c r="BJ19" s="22"/>
      <c r="BK19" s="22"/>
      <c r="BN19" s="21" t="s">
        <v>166</v>
      </c>
      <c r="BO19" s="33">
        <v>74</v>
      </c>
      <c r="BP19" s="33">
        <v>81</v>
      </c>
      <c r="BQ19" s="33">
        <v>93</v>
      </c>
      <c r="BR19" s="34">
        <v>22</v>
      </c>
      <c r="BS19" s="34">
        <v>48</v>
      </c>
      <c r="BT19" s="22"/>
      <c r="BU19" s="21"/>
      <c r="BV19" s="22"/>
      <c r="BW19" s="22"/>
      <c r="BY19" s="22">
        <v>200000</v>
      </c>
      <c r="BZ19" s="23"/>
      <c r="CB19" s="22">
        <v>7</v>
      </c>
      <c r="CC19" s="22" t="s">
        <v>167</v>
      </c>
      <c r="CD19" s="37">
        <v>0.3</v>
      </c>
      <c r="CE19" s="37">
        <v>0.3</v>
      </c>
      <c r="CI19" s="22">
        <v>300000</v>
      </c>
      <c r="CJ19" s="23"/>
      <c r="CK19" s="11"/>
      <c r="CL19" s="11"/>
      <c r="CR19" s="41">
        <v>44304</v>
      </c>
      <c r="CS19" s="22"/>
      <c r="CT19" s="44"/>
      <c r="CW19" s="21" t="s">
        <v>169</v>
      </c>
      <c r="CX19" s="21" t="s">
        <v>170</v>
      </c>
      <c r="CZ19"/>
      <c r="DA19"/>
      <c r="DB19"/>
      <c r="DC19"/>
      <c r="DF19" s="11"/>
      <c r="DG19" s="11"/>
      <c r="DH19" s="11"/>
      <c r="DI19" s="11"/>
      <c r="DJ19" s="11"/>
      <c r="DK19" s="11"/>
    </row>
    <row r="20" spans="3:123" ht="20.100000000000001" customHeight="1" x14ac:dyDescent="0.4">
      <c r="F20" s="35" t="s">
        <v>109</v>
      </c>
      <c r="G20" s="35" t="s">
        <v>110</v>
      </c>
      <c r="H20" s="35" t="s">
        <v>111</v>
      </c>
      <c r="R20" s="22" t="s">
        <v>171</v>
      </c>
      <c r="U20" s="21">
        <v>45</v>
      </c>
      <c r="V20"/>
      <c r="Y20" s="22">
        <v>45</v>
      </c>
      <c r="Z20" s="22"/>
      <c r="AB20" s="22">
        <v>66000</v>
      </c>
      <c r="AC20" s="22"/>
      <c r="AE20" s="21" t="s">
        <v>165</v>
      </c>
      <c r="AF20" s="21">
        <v>66000</v>
      </c>
      <c r="AG20" s="21"/>
      <c r="AH20" s="21"/>
      <c r="AI20" s="21"/>
      <c r="AJ20" s="21"/>
      <c r="AK20" s="21"/>
      <c r="AO20" s="22">
        <v>390000</v>
      </c>
      <c r="AP20" s="22"/>
      <c r="AQ20" s="22"/>
      <c r="AW20" s="22">
        <v>390000</v>
      </c>
      <c r="AX20" s="23"/>
      <c r="AY20" s="21"/>
      <c r="BE20" s="22" t="s">
        <v>172</v>
      </c>
      <c r="BF20" s="22">
        <v>53</v>
      </c>
      <c r="BG20" s="22">
        <v>51</v>
      </c>
      <c r="BH20" s="22">
        <v>97</v>
      </c>
      <c r="BI20" s="22"/>
      <c r="BJ20" s="22"/>
      <c r="BK20" s="22"/>
      <c r="BN20" s="21" t="s">
        <v>172</v>
      </c>
      <c r="BO20" s="33">
        <v>53</v>
      </c>
      <c r="BP20" s="33">
        <v>51</v>
      </c>
      <c r="BQ20" s="33">
        <v>97</v>
      </c>
      <c r="BR20" s="34">
        <v>35</v>
      </c>
      <c r="BS20" s="34">
        <v>18</v>
      </c>
      <c r="BT20" s="22"/>
      <c r="BU20" s="21"/>
      <c r="BV20" s="22"/>
      <c r="BW20" s="22"/>
      <c r="BY20" s="22">
        <v>250000</v>
      </c>
      <c r="BZ20" s="23"/>
      <c r="CI20" s="22">
        <v>600000</v>
      </c>
      <c r="CJ20" s="23"/>
      <c r="CK20" s="11"/>
      <c r="CL20" s="11"/>
      <c r="CR20" s="41">
        <v>44440</v>
      </c>
      <c r="CS20" s="22"/>
      <c r="CT20" s="44"/>
      <c r="CW20" s="21" t="s">
        <v>173</v>
      </c>
      <c r="CX20" s="21" t="s">
        <v>174</v>
      </c>
      <c r="CZ20"/>
      <c r="DA20"/>
      <c r="DB20"/>
      <c r="DC20"/>
      <c r="DF20" s="11"/>
      <c r="DG20" s="11"/>
      <c r="DH20" s="11"/>
      <c r="DI20" s="11"/>
      <c r="DJ20" s="11"/>
      <c r="DK20" s="11"/>
    </row>
    <row r="21" spans="3:123" ht="20.100000000000001" customHeight="1" x14ac:dyDescent="0.4">
      <c r="F21" s="35" t="b">
        <v>1</v>
      </c>
      <c r="G21" s="35" t="b">
        <v>1</v>
      </c>
      <c r="H21" s="35" t="b">
        <f>OR(F21,G21)</f>
        <v>1</v>
      </c>
      <c r="R21" s="22" t="s">
        <v>175</v>
      </c>
      <c r="U21" s="21">
        <v>26</v>
      </c>
      <c r="V21"/>
      <c r="Y21" s="22">
        <v>26</v>
      </c>
      <c r="Z21" s="22"/>
      <c r="AB21" s="22">
        <v>27000</v>
      </c>
      <c r="AC21" s="22"/>
      <c r="AE21" s="21" t="s">
        <v>136</v>
      </c>
      <c r="AF21" s="21">
        <v>27000</v>
      </c>
      <c r="AG21" s="21"/>
      <c r="AH21" s="21"/>
      <c r="AI21" s="21"/>
      <c r="AJ21" s="21"/>
      <c r="AK21" s="21"/>
      <c r="AO21" s="22">
        <v>310000</v>
      </c>
      <c r="AP21" s="22"/>
      <c r="AQ21" s="22"/>
      <c r="AW21" s="22">
        <v>310000</v>
      </c>
      <c r="AX21" s="23"/>
      <c r="AY21" s="21"/>
      <c r="BE21" s="22" t="s">
        <v>176</v>
      </c>
      <c r="BF21" s="22">
        <v>21</v>
      </c>
      <c r="BG21" s="22">
        <v>71</v>
      </c>
      <c r="BH21" s="22">
        <v>27</v>
      </c>
      <c r="BI21" s="22"/>
      <c r="BJ21" s="22"/>
      <c r="BK21" s="22"/>
      <c r="BN21" s="21" t="s">
        <v>176</v>
      </c>
      <c r="BO21" s="33">
        <v>21</v>
      </c>
      <c r="BP21" s="33">
        <v>71</v>
      </c>
      <c r="BQ21" s="33">
        <v>27</v>
      </c>
      <c r="BR21" s="34">
        <v>49</v>
      </c>
      <c r="BS21" s="34">
        <v>29</v>
      </c>
      <c r="BT21" s="22"/>
      <c r="BU21" s="21"/>
      <c r="BV21" s="22"/>
      <c r="BW21" s="22"/>
      <c r="BY21" s="22">
        <v>100000</v>
      </c>
      <c r="BZ21" s="23"/>
      <c r="CC21"/>
      <c r="CD21"/>
      <c r="CE21"/>
      <c r="CF21"/>
      <c r="CI21" s="22">
        <v>150000</v>
      </c>
      <c r="CJ21" s="23"/>
      <c r="CK21" s="11"/>
      <c r="CL21" s="11"/>
      <c r="CR21" s="41">
        <v>44468</v>
      </c>
      <c r="CS21" s="22"/>
      <c r="CT21" s="44"/>
      <c r="CW21" s="21" t="s">
        <v>177</v>
      </c>
      <c r="CX21" s="21" t="s">
        <v>178</v>
      </c>
      <c r="CZ21"/>
      <c r="DA21"/>
      <c r="DB21"/>
      <c r="DC21"/>
      <c r="DF21" s="11"/>
      <c r="DG21" s="11"/>
      <c r="DH21" s="11"/>
      <c r="DI21" s="11"/>
      <c r="DJ21" s="11"/>
      <c r="DK21" s="11"/>
    </row>
    <row r="22" spans="3:123" ht="20.100000000000001" customHeight="1" x14ac:dyDescent="0.4">
      <c r="F22" s="35" t="b">
        <v>1</v>
      </c>
      <c r="G22" s="35" t="b">
        <v>0</v>
      </c>
      <c r="H22" s="35" t="b">
        <f t="shared" ref="H22:H24" si="1">OR(F22,G22)</f>
        <v>1</v>
      </c>
      <c r="R22" s="22" t="s">
        <v>179</v>
      </c>
      <c r="U22" s="21">
        <v>78</v>
      </c>
      <c r="V22"/>
      <c r="Y22" s="22">
        <v>78</v>
      </c>
      <c r="Z22" s="22"/>
      <c r="AB22" s="22">
        <v>65000</v>
      </c>
      <c r="AC22" s="22"/>
      <c r="AE22" s="21" t="s">
        <v>96</v>
      </c>
      <c r="AF22" s="21">
        <v>65000</v>
      </c>
      <c r="AG22" s="21"/>
      <c r="AH22" s="21"/>
      <c r="AI22" s="21"/>
      <c r="AJ22" s="21"/>
      <c r="AK22" s="21"/>
      <c r="AO22" s="22">
        <v>580000</v>
      </c>
      <c r="AP22" s="22"/>
      <c r="AQ22" s="22"/>
      <c r="AW22" s="22">
        <v>580000</v>
      </c>
      <c r="AX22" s="23"/>
      <c r="AY22" s="21"/>
      <c r="BE22" s="22" t="s">
        <v>180</v>
      </c>
      <c r="BF22" s="22">
        <v>56</v>
      </c>
      <c r="BG22" s="22">
        <v>27</v>
      </c>
      <c r="BH22" s="22">
        <v>83</v>
      </c>
      <c r="BI22" s="22"/>
      <c r="BJ22" s="22"/>
      <c r="BK22" s="22"/>
      <c r="BN22" s="21" t="s">
        <v>180</v>
      </c>
      <c r="BO22" s="33">
        <v>56</v>
      </c>
      <c r="BP22" s="33">
        <v>27</v>
      </c>
      <c r="BQ22" s="33">
        <v>83</v>
      </c>
      <c r="BR22" s="34">
        <v>25</v>
      </c>
      <c r="BS22" s="34">
        <v>8</v>
      </c>
      <c r="BT22" s="22"/>
      <c r="BU22" s="21"/>
      <c r="BV22" s="22"/>
      <c r="BW22" s="22"/>
      <c r="BY22" s="22">
        <v>1150000</v>
      </c>
      <c r="BZ22" s="23"/>
      <c r="CC22"/>
      <c r="CD22"/>
      <c r="CE22"/>
      <c r="CF22"/>
      <c r="CI22" s="22">
        <v>8700</v>
      </c>
      <c r="CJ22" s="23"/>
      <c r="CK22" s="11"/>
      <c r="CL22" s="11"/>
      <c r="CR22" s="41">
        <v>44217</v>
      </c>
      <c r="CS22" s="22"/>
      <c r="CT22" s="44"/>
      <c r="CW22" s="21" t="s">
        <v>89</v>
      </c>
      <c r="CX22" s="21" t="s">
        <v>181</v>
      </c>
      <c r="CZ22"/>
      <c r="DA22"/>
      <c r="DB22"/>
      <c r="DC22"/>
    </row>
    <row r="23" spans="3:123" ht="20.100000000000001" customHeight="1" x14ac:dyDescent="0.4">
      <c r="F23" s="35" t="b">
        <v>0</v>
      </c>
      <c r="G23" s="35" t="b">
        <v>1</v>
      </c>
      <c r="H23" s="35" t="b">
        <f t="shared" si="1"/>
        <v>1</v>
      </c>
      <c r="U23" s="21">
        <v>1</v>
      </c>
      <c r="V23"/>
      <c r="Y23" s="22">
        <v>1</v>
      </c>
      <c r="Z23" s="22"/>
      <c r="AB23" s="22">
        <v>43000</v>
      </c>
      <c r="AC23" s="22"/>
      <c r="AE23" s="21" t="s">
        <v>113</v>
      </c>
      <c r="AF23" s="21">
        <v>43000</v>
      </c>
      <c r="AG23" s="21"/>
      <c r="AH23" s="21"/>
      <c r="AI23" s="21"/>
      <c r="AJ23" s="21"/>
      <c r="AK23" s="21"/>
      <c r="AO23" s="22">
        <v>67000</v>
      </c>
      <c r="AP23" s="22"/>
      <c r="AQ23" s="22"/>
      <c r="AW23" s="22">
        <v>67000</v>
      </c>
      <c r="AX23" s="23"/>
      <c r="AY23" s="21"/>
      <c r="BE23" s="22" t="s">
        <v>182</v>
      </c>
      <c r="BF23" s="22">
        <v>71</v>
      </c>
      <c r="BG23" s="22">
        <v>83</v>
      </c>
      <c r="BH23" s="22">
        <v>71</v>
      </c>
      <c r="BI23" s="22"/>
      <c r="BJ23" s="22"/>
      <c r="BK23" s="22"/>
      <c r="BN23" s="21" t="s">
        <v>182</v>
      </c>
      <c r="BO23" s="33">
        <v>71</v>
      </c>
      <c r="BP23" s="33">
        <v>83</v>
      </c>
      <c r="BQ23" s="33">
        <v>71</v>
      </c>
      <c r="BR23" s="34">
        <v>35</v>
      </c>
      <c r="BS23" s="34">
        <v>12</v>
      </c>
      <c r="BT23" s="22"/>
      <c r="BU23" s="21"/>
      <c r="BV23" s="22"/>
      <c r="BW23" s="22"/>
      <c r="BY23" s="22">
        <v>1000000</v>
      </c>
      <c r="BZ23" s="23"/>
      <c r="CB23"/>
      <c r="CC23"/>
      <c r="CD23"/>
      <c r="CE23"/>
      <c r="CF23"/>
      <c r="CI23" s="22">
        <v>25000</v>
      </c>
      <c r="CJ23" s="23"/>
      <c r="CK23" s="29" t="s">
        <v>69</v>
      </c>
      <c r="CL23" s="29" t="s">
        <v>70</v>
      </c>
      <c r="CR23" s="41">
        <v>44364</v>
      </c>
      <c r="CS23" s="22"/>
      <c r="CT23" s="44"/>
      <c r="CW23" s="21" t="s">
        <v>183</v>
      </c>
      <c r="CX23" s="21" t="s">
        <v>184</v>
      </c>
    </row>
    <row r="24" spans="3:123" ht="20.100000000000001" customHeight="1" x14ac:dyDescent="0.4">
      <c r="F24" s="35" t="b">
        <v>0</v>
      </c>
      <c r="G24" s="35" t="b">
        <v>0</v>
      </c>
      <c r="H24" s="35" t="b">
        <f t="shared" si="1"/>
        <v>0</v>
      </c>
      <c r="U24" s="21">
        <v>63</v>
      </c>
      <c r="V24"/>
      <c r="Y24" s="22">
        <v>63</v>
      </c>
      <c r="Z24" s="22"/>
      <c r="AO24" s="22">
        <v>870000</v>
      </c>
      <c r="AP24" s="22"/>
      <c r="AQ24" s="22"/>
      <c r="AW24" s="22">
        <v>870000</v>
      </c>
      <c r="AX24" s="23"/>
      <c r="AY24" s="21"/>
      <c r="BE24" s="22" t="s">
        <v>185</v>
      </c>
      <c r="BF24" s="22">
        <v>51</v>
      </c>
      <c r="BG24" s="22">
        <v>47</v>
      </c>
      <c r="BH24" s="22">
        <v>93</v>
      </c>
      <c r="BI24" s="22"/>
      <c r="BJ24" s="22"/>
      <c r="BK24" s="22"/>
      <c r="BN24" s="21" t="s">
        <v>185</v>
      </c>
      <c r="BO24" s="33">
        <v>51</v>
      </c>
      <c r="BP24" s="33">
        <v>47</v>
      </c>
      <c r="BQ24" s="33">
        <v>93</v>
      </c>
      <c r="BR24" s="34">
        <v>45</v>
      </c>
      <c r="BS24" s="34">
        <v>14</v>
      </c>
      <c r="BT24" s="22"/>
      <c r="BU24" s="21"/>
      <c r="BV24" s="22"/>
      <c r="BW24" s="22"/>
      <c r="CB24"/>
      <c r="CC24"/>
      <c r="CD24"/>
      <c r="CE24"/>
      <c r="CF24"/>
      <c r="CI24" s="22">
        <v>820000</v>
      </c>
      <c r="CJ24" s="23"/>
      <c r="CK24" s="22" t="s">
        <v>168</v>
      </c>
      <c r="CL24" s="22" t="s">
        <v>100</v>
      </c>
      <c r="CR24" s="41">
        <v>44364</v>
      </c>
      <c r="CS24" s="22"/>
      <c r="CT24" s="44"/>
      <c r="CW24" s="21" t="s">
        <v>186</v>
      </c>
      <c r="CX24" s="21" t="s">
        <v>187</v>
      </c>
    </row>
    <row r="25" spans="3:123" ht="20.100000000000001" customHeight="1" x14ac:dyDescent="0.4">
      <c r="U25" s="21">
        <v>12</v>
      </c>
      <c r="V25"/>
      <c r="Y25" s="22">
        <v>12</v>
      </c>
      <c r="Z25" s="22"/>
      <c r="AO25" s="22">
        <v>420000</v>
      </c>
      <c r="AP25" s="22"/>
      <c r="AQ25" s="22"/>
      <c r="AW25" s="22">
        <v>420000</v>
      </c>
      <c r="AX25" s="23"/>
      <c r="AY25" s="21"/>
      <c r="BE25" s="22" t="s">
        <v>188</v>
      </c>
      <c r="BF25" s="22">
        <v>47</v>
      </c>
      <c r="BG25" s="22">
        <v>69</v>
      </c>
      <c r="BH25" s="22">
        <v>62</v>
      </c>
      <c r="BI25" s="22"/>
      <c r="BJ25" s="22"/>
      <c r="BK25" s="22"/>
      <c r="BN25" s="21" t="s">
        <v>188</v>
      </c>
      <c r="BO25" s="33">
        <v>47</v>
      </c>
      <c r="BP25" s="33">
        <v>69</v>
      </c>
      <c r="BQ25" s="33">
        <v>62</v>
      </c>
      <c r="BR25" s="34">
        <v>36</v>
      </c>
      <c r="BS25" s="34">
        <v>48</v>
      </c>
      <c r="BT25" s="22"/>
      <c r="BU25" s="21"/>
      <c r="BV25" s="22"/>
      <c r="BW25" s="22"/>
      <c r="CB25"/>
      <c r="CC25"/>
      <c r="CD25"/>
      <c r="CE25"/>
      <c r="CF25"/>
      <c r="CI25" s="22">
        <v>660000</v>
      </c>
      <c r="CJ25" s="23"/>
      <c r="CK25" s="22" t="s">
        <v>116</v>
      </c>
      <c r="CL25" s="22" t="s">
        <v>117</v>
      </c>
      <c r="CR25" s="41">
        <v>44550</v>
      </c>
      <c r="CS25" s="22"/>
      <c r="CT25" s="44"/>
      <c r="CW25" s="21" t="s">
        <v>189</v>
      </c>
      <c r="CX25" s="21" t="s">
        <v>190</v>
      </c>
    </row>
    <row r="26" spans="3:123" ht="20.100000000000001" customHeight="1" x14ac:dyDescent="0.4">
      <c r="CC26"/>
      <c r="CD26"/>
      <c r="CE26"/>
      <c r="CF26"/>
      <c r="CI26" s="22">
        <v>54000</v>
      </c>
      <c r="CJ26" s="23"/>
      <c r="CK26" s="22" t="s">
        <v>129</v>
      </c>
      <c r="CL26" s="22" t="s">
        <v>98</v>
      </c>
      <c r="CM26" s="11"/>
      <c r="CR26" s="41">
        <v>44247</v>
      </c>
      <c r="CS26" s="22"/>
      <c r="CT26" s="44"/>
      <c r="CW26" s="21" t="s">
        <v>191</v>
      </c>
      <c r="CX26" s="21" t="s">
        <v>192</v>
      </c>
    </row>
    <row r="27" spans="3:123" ht="20.100000000000001" customHeight="1" x14ac:dyDescent="0.4">
      <c r="CI27" s="22">
        <v>390000</v>
      </c>
      <c r="CJ27" s="23"/>
      <c r="CK27" s="22" t="s">
        <v>137</v>
      </c>
      <c r="CL27" s="22" t="s">
        <v>115</v>
      </c>
      <c r="CM27" s="11"/>
      <c r="CR27" s="41">
        <v>44222</v>
      </c>
      <c r="CS27" s="22"/>
      <c r="CT27" s="44"/>
      <c r="CW27" s="21" t="s">
        <v>193</v>
      </c>
      <c r="CX27" s="21" t="s">
        <v>194</v>
      </c>
    </row>
    <row r="28" spans="3:123" ht="20.100000000000001" customHeight="1" x14ac:dyDescent="0.4">
      <c r="CI28" s="22">
        <v>310000</v>
      </c>
      <c r="CJ28" s="23"/>
      <c r="CK28" s="22" t="s">
        <v>145</v>
      </c>
      <c r="CL28" s="22" t="s">
        <v>128</v>
      </c>
      <c r="CM28" s="11"/>
      <c r="CR28" s="41">
        <v>44206</v>
      </c>
      <c r="CS28" s="22"/>
      <c r="CT28" s="44"/>
      <c r="CW28" s="21" t="s">
        <v>105</v>
      </c>
      <c r="CX28" s="21" t="s">
        <v>195</v>
      </c>
    </row>
    <row r="29" spans="3:123" ht="20.100000000000001" customHeight="1" x14ac:dyDescent="0.4">
      <c r="CI29" s="22">
        <v>580000</v>
      </c>
      <c r="CJ29" s="23"/>
      <c r="CL29" s="11"/>
      <c r="CM29" s="11"/>
      <c r="CR29" s="41">
        <v>44403</v>
      </c>
      <c r="CS29" s="22"/>
      <c r="CT29" s="44"/>
      <c r="CW29" s="21" t="s">
        <v>132</v>
      </c>
      <c r="CX29" s="21" t="s">
        <v>196</v>
      </c>
    </row>
    <row r="30" spans="3:123" ht="20.100000000000001" customHeight="1" x14ac:dyDescent="0.4">
      <c r="CI30" s="22">
        <v>67000</v>
      </c>
      <c r="CJ30" s="23"/>
      <c r="CL30" s="11"/>
      <c r="CM30" s="11"/>
      <c r="CN30" s="42">
        <v>44600</v>
      </c>
      <c r="CO30" s="42"/>
      <c r="CP30" s="42">
        <v>44926</v>
      </c>
      <c r="CR30" s="41">
        <v>44336</v>
      </c>
      <c r="CS30" s="22"/>
      <c r="CT30" s="44"/>
      <c r="CW30" s="21" t="s">
        <v>197</v>
      </c>
      <c r="CX30" s="21" t="s">
        <v>198</v>
      </c>
    </row>
    <row r="31" spans="3:123" ht="20.100000000000001" customHeight="1" x14ac:dyDescent="0.4">
      <c r="R31" s="22" t="s">
        <v>143</v>
      </c>
      <c r="T31" s="6">
        <v>2</v>
      </c>
      <c r="CI31" s="22">
        <v>870000</v>
      </c>
      <c r="CJ31" s="23"/>
      <c r="CL31" s="11"/>
      <c r="CM31" s="11"/>
      <c r="CR31" s="41">
        <v>44212</v>
      </c>
      <c r="CS31" s="22"/>
      <c r="CT31" s="44"/>
      <c r="CW31" s="21" t="s">
        <v>121</v>
      </c>
      <c r="CX31" s="21" t="s">
        <v>199</v>
      </c>
    </row>
    <row r="32" spans="3:123" ht="20.100000000000001" customHeight="1" x14ac:dyDescent="0.4">
      <c r="S32" s="6" t="s">
        <v>200</v>
      </c>
      <c r="CI32" s="22">
        <v>420000</v>
      </c>
      <c r="CJ32" s="23"/>
      <c r="CL32" s="11"/>
      <c r="CM32" s="11"/>
      <c r="CR32" s="41">
        <v>44325</v>
      </c>
      <c r="CS32" s="22"/>
      <c r="CT32" s="44"/>
      <c r="CW32" s="21" t="s">
        <v>36</v>
      </c>
      <c r="CX32" s="21" t="s">
        <v>201</v>
      </c>
    </row>
    <row r="33" spans="19:102" ht="20.100000000000001" customHeight="1" x14ac:dyDescent="0.4">
      <c r="S33" s="6" t="s">
        <v>202</v>
      </c>
      <c r="CL33" s="11"/>
      <c r="CM33" s="11"/>
      <c r="CN33" s="42">
        <v>44788</v>
      </c>
      <c r="CO33" s="42"/>
      <c r="CR33" s="41">
        <v>44531</v>
      </c>
      <c r="CS33" s="22"/>
      <c r="CT33" s="44"/>
      <c r="CW33" s="21" t="s">
        <v>203</v>
      </c>
      <c r="CX33" s="21" t="s">
        <v>204</v>
      </c>
    </row>
    <row r="34" spans="19:102" ht="20.100000000000001" customHeight="1" x14ac:dyDescent="0.4">
      <c r="CW34" s="21" t="s">
        <v>205</v>
      </c>
      <c r="CX34" s="21" t="s">
        <v>206</v>
      </c>
    </row>
    <row r="35" spans="19:102" ht="20.100000000000001" customHeight="1" x14ac:dyDescent="0.4">
      <c r="CW35" s="21" t="s">
        <v>207</v>
      </c>
      <c r="CX35" s="21" t="s">
        <v>208</v>
      </c>
    </row>
    <row r="36" spans="19:102" ht="20.100000000000001" customHeight="1" x14ac:dyDescent="0.4">
      <c r="CW36" s="21" t="s">
        <v>209</v>
      </c>
      <c r="CX36" s="21" t="s">
        <v>210</v>
      </c>
    </row>
    <row r="37" spans="19:102" ht="20.100000000000001" customHeight="1" x14ac:dyDescent="0.4">
      <c r="CU37" s="22"/>
    </row>
    <row r="38" spans="19:102" ht="20.100000000000001" customHeight="1" x14ac:dyDescent="0.4">
      <c r="CP38" s="6">
        <f>WEEKDAY(CR33,2)</f>
        <v>3</v>
      </c>
      <c r="CU38" s="22" t="s">
        <v>211</v>
      </c>
    </row>
    <row r="39" spans="19:102" ht="20.100000000000001" customHeight="1" x14ac:dyDescent="0.4">
      <c r="CU39" s="22" t="s">
        <v>212</v>
      </c>
    </row>
    <row r="42" spans="19:102" ht="20.100000000000001" customHeight="1" x14ac:dyDescent="0.4">
      <c r="CS42" s="9" t="s">
        <v>213</v>
      </c>
    </row>
    <row r="43" spans="19:102" ht="20.100000000000001" customHeight="1" x14ac:dyDescent="0.4">
      <c r="CS43" s="9" t="s">
        <v>214</v>
      </c>
    </row>
    <row r="48" spans="19:102" ht="20.100000000000001" customHeight="1" x14ac:dyDescent="0.4">
      <c r="CU48" s="6" t="s">
        <v>215</v>
      </c>
      <c r="CV48" s="6">
        <v>1</v>
      </c>
    </row>
    <row r="49" spans="99:100" ht="20.100000000000001" customHeight="1" x14ac:dyDescent="0.4">
      <c r="CU49" s="6" t="s">
        <v>216</v>
      </c>
      <c r="CV49" s="6">
        <v>1</v>
      </c>
    </row>
    <row r="50" spans="99:100" ht="20.100000000000001" customHeight="1" x14ac:dyDescent="0.4">
      <c r="CU50" s="6" t="s">
        <v>217</v>
      </c>
      <c r="CV50" s="6">
        <v>1</v>
      </c>
    </row>
    <row r="51" spans="99:100" ht="20.100000000000001" customHeight="1" x14ac:dyDescent="0.4">
      <c r="CU51" s="6" t="s">
        <v>218</v>
      </c>
      <c r="CV51" s="6">
        <v>2</v>
      </c>
    </row>
    <row r="52" spans="99:100" ht="20.100000000000001" customHeight="1" x14ac:dyDescent="0.4">
      <c r="CU52" s="6" t="s">
        <v>219</v>
      </c>
      <c r="CV52" s="6">
        <v>2</v>
      </c>
    </row>
    <row r="53" spans="99:100" ht="20.100000000000001" customHeight="1" x14ac:dyDescent="0.4">
      <c r="CU53" s="6" t="s">
        <v>220</v>
      </c>
      <c r="CV53" s="6">
        <v>2</v>
      </c>
    </row>
    <row r="54" spans="99:100" ht="20.100000000000001" customHeight="1" x14ac:dyDescent="0.4">
      <c r="CU54" s="6" t="s">
        <v>221</v>
      </c>
      <c r="CV54" s="6">
        <v>3</v>
      </c>
    </row>
    <row r="55" spans="99:100" ht="20.100000000000001" customHeight="1" x14ac:dyDescent="0.4">
      <c r="CU55" s="6" t="s">
        <v>222</v>
      </c>
      <c r="CV55" s="6">
        <v>3</v>
      </c>
    </row>
    <row r="56" spans="99:100" ht="20.100000000000001" customHeight="1" x14ac:dyDescent="0.4">
      <c r="CU56" s="6" t="s">
        <v>223</v>
      </c>
      <c r="CV56" s="6">
        <v>3</v>
      </c>
    </row>
    <row r="57" spans="99:100" ht="20.100000000000001" customHeight="1" x14ac:dyDescent="0.4">
      <c r="CU57" s="6" t="s">
        <v>224</v>
      </c>
      <c r="CV57" s="6">
        <v>4</v>
      </c>
    </row>
    <row r="58" spans="99:100" ht="20.100000000000001" customHeight="1" x14ac:dyDescent="0.4">
      <c r="CU58" s="6" t="s">
        <v>225</v>
      </c>
      <c r="CV58" s="6">
        <v>4</v>
      </c>
    </row>
    <row r="59" spans="99:100" ht="20.100000000000001" customHeight="1" x14ac:dyDescent="0.4">
      <c r="CU59" s="6" t="s">
        <v>226</v>
      </c>
      <c r="CV59" s="6">
        <v>4</v>
      </c>
    </row>
  </sheetData>
  <mergeCells count="21">
    <mergeCell ref="F12:H12"/>
    <mergeCell ref="F19:H19"/>
    <mergeCell ref="BO10:BQ10"/>
    <mergeCell ref="AB9:AM9"/>
    <mergeCell ref="BA10:BC10"/>
    <mergeCell ref="BR10:BS10"/>
    <mergeCell ref="CB11:CB12"/>
    <mergeCell ref="CC11:CC12"/>
    <mergeCell ref="CJ4:CK5"/>
    <mergeCell ref="CN4:CQ5"/>
    <mergeCell ref="CS4:CT5"/>
    <mergeCell ref="U7:Y8"/>
    <mergeCell ref="AB7:AM7"/>
    <mergeCell ref="AB8:AM8"/>
    <mergeCell ref="CC4:CI4"/>
    <mergeCell ref="BO6:BX6"/>
    <mergeCell ref="J4:K5"/>
    <mergeCell ref="M4:N5"/>
    <mergeCell ref="P4:P5"/>
    <mergeCell ref="R4:S5"/>
    <mergeCell ref="U4:Z5"/>
  </mergeCells>
  <dataValidations count="1">
    <dataValidation type="list" allowBlank="1" showInputMessage="1" showErrorMessage="1" sqref="BW32" xr:uid="{B0BFAC3A-72E7-4990-B16C-7F65753E8626}">
      <formula1>$BV$32:$BV$37</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Logical Functions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Devashish Das</dc:creator>
  <cp:lastModifiedBy>siddhant mishra</cp:lastModifiedBy>
  <dcterms:created xsi:type="dcterms:W3CDTF">2025-07-05T20:15:31Z</dcterms:created>
  <dcterms:modified xsi:type="dcterms:W3CDTF">2026-07-29T10:13:00Z</dcterms:modified>
</cp:coreProperties>
</file>