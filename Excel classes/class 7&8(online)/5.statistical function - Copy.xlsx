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ashishDas\Desktop\excel\excel class practice\"/>
    </mc:Choice>
  </mc:AlternateContent>
  <xr:revisionPtr revIDLastSave="0" documentId="13_ncr:1_{7FA99021-1FC2-485B-B25F-B98EF057CC32}" xr6:coauthVersionLast="47" xr6:coauthVersionMax="47" xr10:uidLastSave="{00000000-0000-0000-0000-000000000000}"/>
  <bookViews>
    <workbookView xWindow="-110" yWindow="-110" windowWidth="19420" windowHeight="10300" xr2:uid="{4D28E30B-319A-4A5C-A1BF-549EAFFFA631}"/>
  </bookViews>
  <sheets>
    <sheet name="Statistical Functions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'Statistical Functions'!$AO$12:$AO$19</definedName>
    <definedName name="Delivery_Charges">20%</definedName>
    <definedName name="DeliveryCharges">5%</definedName>
    <definedName name="DeliveryCharges_Perc">2%</definedName>
    <definedName name="Dyn_EmpDetails">OFFSET('[1]Name Manager'!$J$1,0,0,COUNTA('[1]Name Manager'!$J:$J),2)</definedName>
    <definedName name="Dyn_EmpList">OFFSET('[2]Named Range'!$J$1,0,0,COUNTA('[2]Named Range'!$J:$J),4)</definedName>
    <definedName name="DynamicProductList">OFFSET('[3]Named Range'!$E$2,0,0,COUNTA('[3]Named Range'!$E$2:$E$100),1)</definedName>
    <definedName name="East">'[1]Name Manager'!$AA$2:$AA$6</definedName>
    <definedName name="Emp_Details" comment="hey this is my first name range...">'[1]Name Manager'!$D$1:$E$9</definedName>
    <definedName name="North">'[1]Name Manager'!$AC$2:$AC$6</definedName>
    <definedName name="Product_List">'[3]Named Range'!$C$1:$C$10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" i="1" l="1"/>
  <c r="AW4" i="1"/>
  <c r="AS4" i="1"/>
</calcChain>
</file>

<file path=xl/sharedStrings.xml><?xml version="1.0" encoding="utf-8"?>
<sst xmlns="http://schemas.openxmlformats.org/spreadsheetml/2006/main" count="83" uniqueCount="63">
  <si>
    <t>`</t>
  </si>
  <si>
    <t>Small + Row</t>
  </si>
  <si>
    <t>Home Work</t>
  </si>
  <si>
    <t>Numbers</t>
  </si>
  <si>
    <t>Ascending Order</t>
  </si>
  <si>
    <t>Descending Order</t>
  </si>
  <si>
    <t>Date</t>
  </si>
  <si>
    <t>Newest to Oldest Dates</t>
  </si>
  <si>
    <t>Oldest Dates to Newest Dates</t>
  </si>
  <si>
    <t>Average</t>
  </si>
  <si>
    <t>AverageA</t>
  </si>
  <si>
    <t>CountBlank</t>
  </si>
  <si>
    <t>COUNT</t>
  </si>
  <si>
    <t>Count</t>
  </si>
  <si>
    <t>Counta</t>
  </si>
  <si>
    <t>Min</t>
  </si>
  <si>
    <t>MinA</t>
  </si>
  <si>
    <t>MAX</t>
  </si>
  <si>
    <t>MAXA</t>
  </si>
  <si>
    <t xml:space="preserve"> </t>
  </si>
  <si>
    <t>Median</t>
  </si>
  <si>
    <t>Mode</t>
  </si>
  <si>
    <t>COUNTA</t>
  </si>
  <si>
    <t xml:space="preserve">    </t>
  </si>
  <si>
    <t>MODE</t>
  </si>
  <si>
    <t>MIN</t>
  </si>
  <si>
    <t>hi</t>
  </si>
  <si>
    <t>MINA</t>
  </si>
  <si>
    <t>HI</t>
  </si>
  <si>
    <t>SMALL</t>
  </si>
  <si>
    <t>LARGE</t>
  </si>
  <si>
    <t>AVERAGE</t>
  </si>
  <si>
    <t>abc123</t>
  </si>
  <si>
    <t>ab123</t>
  </si>
  <si>
    <t>AVERAGEA</t>
  </si>
  <si>
    <t>COUNTBLANK</t>
  </si>
  <si>
    <t>Emp Names</t>
  </si>
  <si>
    <t>Sales</t>
  </si>
  <si>
    <t>Rank (Descending)</t>
  </si>
  <si>
    <t>Error Numbers</t>
  </si>
  <si>
    <t>Rank (Ascending)</t>
  </si>
  <si>
    <t>Emp 1</t>
  </si>
  <si>
    <t>Emp 2</t>
  </si>
  <si>
    <t>Emp 3</t>
  </si>
  <si>
    <t>Emp 4</t>
  </si>
  <si>
    <t>Emp 5</t>
  </si>
  <si>
    <t>Emp 6</t>
  </si>
  <si>
    <t>Emp 7</t>
  </si>
  <si>
    <t>Emp 8</t>
  </si>
  <si>
    <t>Emp 9</t>
  </si>
  <si>
    <t>Emp 10</t>
  </si>
  <si>
    <t>Emp 11</t>
  </si>
  <si>
    <t>Emp 12</t>
  </si>
  <si>
    <t>Emp 13</t>
  </si>
  <si>
    <t>Emp 14</t>
  </si>
  <si>
    <t>Emp 15</t>
  </si>
  <si>
    <t>Emp 16</t>
  </si>
  <si>
    <t>Emp 17</t>
  </si>
  <si>
    <t>Bill Amount</t>
  </si>
  <si>
    <t>Output</t>
  </si>
  <si>
    <t>small</t>
  </si>
  <si>
    <t>large</t>
  </si>
  <si>
    <t>3rd largest &amp;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</si>
</sst>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1"/>
      <color rgb="FF000000"/>
      <name val="Calibri"/>
      <family val="2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/>
  </cellStyleXfs>
  <cellXfs count="20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3" borderId="0" xfId="1" applyFont="1" applyFill="1" applyAlignment="1">
      <alignment horizontal="center"/>
    </xf>
    <xf numFmtId="2" fontId="2" fillId="3" borderId="0" xfId="1" applyNumberFormat="1" applyFont="1" applyFill="1" applyAlignment="1">
      <alignment horizontal="center"/>
    </xf>
    <xf numFmtId="0" fontId="2" fillId="0" borderId="1" xfId="1" applyFont="1" applyBorder="1" applyAlignment="1">
      <alignment horizontal="center"/>
    </xf>
    <xf numFmtId="14" fontId="2" fillId="0" borderId="1" xfId="1" applyNumberFormat="1" applyFont="1" applyBorder="1" applyAlignment="1">
      <alignment horizontal="center"/>
    </xf>
    <xf numFmtId="14" fontId="2" fillId="2" borderId="1" xfId="1" applyNumberFormat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1" fillId="0" borderId="0" xfId="2"/>
    <xf numFmtId="2" fontId="2" fillId="0" borderId="1" xfId="1" applyNumberFormat="1" applyFont="1" applyBorder="1" applyAlignment="1">
      <alignment horizontal="center"/>
    </xf>
    <xf numFmtId="0" fontId="2" fillId="4" borderId="0" xfId="1" applyFont="1" applyFill="1" applyAlignment="1">
      <alignment horizontal="center"/>
    </xf>
    <xf numFmtId="0" fontId="2" fillId="5" borderId="1" xfId="1" applyFont="1" applyFill="1" applyBorder="1" applyAlignment="1">
      <alignment horizontal="center"/>
    </xf>
    <xf numFmtId="0" fontId="2" fillId="0" borderId="0" xfId="2" applyFont="1"/>
    <xf numFmtId="0" fontId="2" fillId="0" borderId="0" xfId="3" applyFont="1" applyAlignment="1">
      <alignment horizontal="center"/>
    </xf>
    <xf numFmtId="14" fontId="2" fillId="0" borderId="0" xfId="1" applyNumberFormat="1" applyFont="1" applyAlignment="1">
      <alignment horizontal="center"/>
    </xf>
    <xf numFmtId="0" fontId="0" fillId="0" borderId="1" xfId="0" applyBorder="1"/>
    <xf numFmtId="0" fontId="6" fillId="3" borderId="0" xfId="0" applyFont="1" applyFill="1"/>
    <xf numFmtId="0" fontId="5" fillId="3" borderId="0" xfId="1" applyFont="1" applyFill="1" applyAlignment="1">
      <alignment horizontal="center"/>
    </xf>
    <xf numFmtId="0" fontId="7" fillId="0" borderId="0" xfId="0" applyFont="1"/>
  </cellXfs>
  <cellStyles count="4">
    <cellStyle name="Normal" xfId="0" builtinId="0"/>
    <cellStyle name="Normal 4 3 2 2 2 2" xfId="2" xr:uid="{DE517CF8-41CF-4F64-848A-134D0C0FA826}"/>
    <cellStyle name="Normal 4 3 3" xfId="3" xr:uid="{7798A088-4106-4AD5-9EEF-F238937CF16A}"/>
    <cellStyle name="Normal 6 3 2 2 2" xfId="1" xr:uid="{E20C59E6-C609-4230-9754-EFABED5ED9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270655</xdr:colOff>
      <xdr:row>16</xdr:row>
      <xdr:rowOff>83278</xdr:rowOff>
    </xdr:from>
    <xdr:to>
      <xdr:col>1</xdr:col>
      <xdr:colOff>2209334</xdr:colOff>
      <xdr:row>22</xdr:row>
      <xdr:rowOff>127471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377EB4-A4FD-9CA8-364F-9D7F159CA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655" y="4080655"/>
          <a:ext cx="3583433" cy="160311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1</xdr:colOff>
      <xdr:row>24</xdr:row>
      <xdr:rowOff>0</xdr:rowOff>
    </xdr:from>
    <xdr:to>
      <xdr:col>2</xdr:col>
      <xdr:colOff>218607</xdr:colOff>
      <xdr:row>26</xdr:row>
      <xdr:rowOff>191823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12E78D-6B2F-121F-8C34-6346DC54E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5996066"/>
          <a:ext cx="4944672" cy="69149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2</xdr:col>
      <xdr:colOff>390769</xdr:colOff>
      <xdr:row>29</xdr:row>
      <xdr:rowOff>43951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1B0AD2-DEEF-FC78-C9E1-256E427FB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838462"/>
          <a:ext cx="5112564" cy="28818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2</xdr:col>
      <xdr:colOff>379252</xdr:colOff>
      <xdr:row>39</xdr:row>
      <xdr:rowOff>81410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524100-E164-074D-891E-D7A570ED1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326923"/>
          <a:ext cx="5101047" cy="227948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1</xdr:colOff>
      <xdr:row>40</xdr:row>
      <xdr:rowOff>1</xdr:rowOff>
    </xdr:from>
    <xdr:to>
      <xdr:col>2</xdr:col>
      <xdr:colOff>185683</xdr:colOff>
      <xdr:row>51</xdr:row>
      <xdr:rowOff>203526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C54986-7978-2F98-185E-9CDEB4F11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9769232"/>
          <a:ext cx="4907477" cy="289006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936218</xdr:colOff>
      <xdr:row>52</xdr:row>
      <xdr:rowOff>179104</xdr:rowOff>
    </xdr:from>
    <xdr:to>
      <xdr:col>1</xdr:col>
      <xdr:colOff>2124808</xdr:colOff>
      <xdr:row>55</xdr:row>
      <xdr:rowOff>120955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0D297A-197D-28CC-8F20-A67454CBF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6218" y="12879104"/>
          <a:ext cx="2833077" cy="67454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781538</xdr:colOff>
      <xdr:row>56</xdr:row>
      <xdr:rowOff>32564</xdr:rowOff>
    </xdr:from>
    <xdr:to>
      <xdr:col>1</xdr:col>
      <xdr:colOff>2966635</xdr:colOff>
      <xdr:row>70</xdr:row>
      <xdr:rowOff>23759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9B9BA93-A557-EE2C-D9B1-8BDAD4E03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1538" y="13709487"/>
          <a:ext cx="3829584" cy="341042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427405</xdr:colOff>
      <xdr:row>56</xdr:row>
      <xdr:rowOff>195385</xdr:rowOff>
    </xdr:from>
    <xdr:to>
      <xdr:col>5</xdr:col>
      <xdr:colOff>1328525</xdr:colOff>
      <xdr:row>68</xdr:row>
      <xdr:rowOff>17726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5BB4EB-5CE4-BB6B-AA87-81CA7F986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53270" y="13872308"/>
          <a:ext cx="4601217" cy="275310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5</xdr:col>
      <xdr:colOff>1746250</xdr:colOff>
      <xdr:row>62</xdr:row>
      <xdr:rowOff>85481</xdr:rowOff>
    </xdr:from>
    <xdr:to>
      <xdr:col>9</xdr:col>
      <xdr:colOff>345720</xdr:colOff>
      <xdr:row>65</xdr:row>
      <xdr:rowOff>86316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ADED1F7-189A-60E0-C193-66F4D5A3A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72212" y="15227789"/>
          <a:ext cx="4448796" cy="73352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10</xdr:col>
      <xdr:colOff>0</xdr:colOff>
      <xdr:row>58</xdr:row>
      <xdr:rowOff>0</xdr:rowOff>
    </xdr:from>
    <xdr:to>
      <xdr:col>15</xdr:col>
      <xdr:colOff>529158</xdr:colOff>
      <xdr:row>76</xdr:row>
      <xdr:rowOff>233644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BA55AA9-FF77-DA25-2505-6A3E289B3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203365" y="14165385"/>
          <a:ext cx="6354062" cy="462979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Karthik%20Dale\Companies\ExcelR\Batch%2012%20(WD%20-%20Nov%2017th%209%20AM%20to%2011%20AM)\Excel\13%20Advanced%20Excel%20Class%20File%20-%20Day%2013-%20Nov%2017th%20Batch%20-%20Karthik%20Dale.xlsx" TargetMode="External"/><Relationship Id="rId1" Type="http://schemas.openxmlformats.org/officeDocument/2006/relationships/externalLinkPath" Target="file:///G:\Karthik%20Dale\Companies\ExcelR\Batch%2012%20(WD%20-%20Nov%2017th%209%20AM%20to%2011%20AM)\Excel\13%20Advanced%20Excel%20Class%20File%20-%20Day%2013-%20Nov%2017th%20Batch%20-%20Karthik%20Da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vashishDas\Downloads\13%20Advanced%20Excel%20Class%20File%20-%20Day%2013-%20Oct%2013th%20Batch%20-%20Karthik%20Dale.xlsx" TargetMode="External"/><Relationship Id="rId1" Type="http://schemas.openxmlformats.org/officeDocument/2006/relationships/externalLinkPath" Target="/Users/DevashishDas/Downloads/13%20Advanced%20Excel%20Class%20File%20-%20Day%2013-%20Oct%2013th%20Batch%20-%20Karthik%20Dal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Karthik%20Dale\Companies\ExcelR\Batch%2012%20(WD%20-%20Nov%2022nd%209%20AM%20to%2011%20AM)\13%20Advanced%20Excel%20Class%20File%20-%20Day%2013-%20Batch%203040%20-%20%20Sep%2014th%20Batch%20-%20Karthik%20Dale.xlsx" TargetMode="External"/><Relationship Id="rId1" Type="http://schemas.openxmlformats.org/officeDocument/2006/relationships/externalLinkPath" Target="file:///G:\Karthik%20Dale\Companies\ExcelR\Batch%2012%20(WD%20-%20Nov%2022nd%209%20AM%20to%2011%20AM)\13%20Advanced%20Excel%20Class%20File%20-%20Day%2013-%20Batch%203040%20-%20%20Sep%2014th%20Batch%20-%20Karthik%20D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"/>
      <sheetName val="Data Types "/>
      <sheetName val="Flash Fill"/>
      <sheetName val="Fill Series"/>
      <sheetName val="Number Format"/>
      <sheetName val="Conditional Formatting"/>
      <sheetName val="Make Excel Speak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Students Q &amp; A"/>
      <sheetName val="The 3 Freezing Techniques"/>
      <sheetName val="Text Functions"/>
      <sheetName val="Q &amp; A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_Prac"/>
      <sheetName val="Math Formulas"/>
      <sheetName val="Aggregate"/>
      <sheetName val="Statistical Functions"/>
      <sheetName val="Information Functions"/>
      <sheetName val="EMI Calculator"/>
      <sheetName val="Formula Notes"/>
      <sheetName val="Name Manager"/>
      <sheetName val="Data Ribbon 1"/>
      <sheetName val="Data Ribbon 2"/>
      <sheetName val="Text to Columns"/>
      <sheetName val="Remove Duplicates"/>
      <sheetName val="Review Ribb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  <cell r="AA2" t="str">
            <v>Name1</v>
          </cell>
          <cell r="AC2" t="str">
            <v>Name111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  <cell r="AA3" t="str">
            <v>Name2</v>
          </cell>
          <cell r="AC3" t="str">
            <v>Name112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  <cell r="AA4" t="str">
            <v>Name3</v>
          </cell>
          <cell r="AC4" t="str">
            <v>Name113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  <cell r="AA5" t="str">
            <v>Name4</v>
          </cell>
          <cell r="AC5" t="str">
            <v>Name114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  <cell r="AA6" t="str">
            <v>Name5</v>
          </cell>
          <cell r="AC6" t="str">
            <v>Name115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  <row r="15">
          <cell r="J15" t="str">
            <v>Dharani</v>
          </cell>
        </row>
        <row r="16">
          <cell r="J16" t="str">
            <v>Virat</v>
          </cell>
        </row>
      </sheetData>
      <sheetData sheetId="31"/>
      <sheetData sheetId="32" refreshError="1"/>
      <sheetData sheetId="33" refreshError="1"/>
      <sheetData sheetId="34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"/>
      <sheetName val="Data Types "/>
      <sheetName val="Flash Fill_Prac"/>
      <sheetName val="Flash Fill"/>
      <sheetName val="Format painter"/>
      <sheetName val="Number Format"/>
      <sheetName val="Conditional Formatting"/>
      <sheetName val="Format as Table"/>
      <sheetName val="Fill Series"/>
      <sheetName val="filter"/>
      <sheetName val="Copy &amp; Paste Special"/>
      <sheetName val="data validation"/>
      <sheetName val="PS - Transpose"/>
      <sheetName val="The Most Popular Formula"/>
      <sheetName val="Index Formula"/>
      <sheetName val="PS - Paste &amp; Linked Picture"/>
      <sheetName val="SUMIFS_Countifs_Averageifs"/>
      <sheetName val="Shortcuts"/>
      <sheetName val="Goto Special"/>
      <sheetName val="Excel file Formats"/>
      <sheetName val="Misl"/>
      <sheetName val="Insert Ribbon"/>
      <sheetName val="The 3 Freezing Techniques"/>
      <sheetName val="Text Functions"/>
      <sheetName val="Q &amp; A"/>
      <sheetName val="Date &amp; Time Functions"/>
      <sheetName val="Logical Functions"/>
      <sheetName val="Destination Sheet"/>
      <sheetName val="Math Formulas"/>
      <sheetName val="Aggregate &amp; Offset &amp; Indirect"/>
      <sheetName val="SalesData"/>
      <sheetName val="PurchaseData"/>
      <sheetName val="Statistical Functions"/>
      <sheetName val="Information Functions"/>
      <sheetName val="EMI Calculator"/>
      <sheetName val="Formula Notes"/>
      <sheetName val="Named Range"/>
      <sheetName val="Review Ribbon"/>
      <sheetName val="Data Ribbon 1"/>
      <sheetName val="Data Ribbon 2"/>
      <sheetName val="Remove Duplicates"/>
      <sheetName val="Text to Colum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J1" t="str">
            <v>Employee Name</v>
          </cell>
        </row>
        <row r="2">
          <cell r="J2" t="str">
            <v>Abdul Razzak</v>
          </cell>
        </row>
        <row r="3">
          <cell r="J3" t="str">
            <v>Alexander Muthunoori</v>
          </cell>
        </row>
        <row r="4">
          <cell r="J4" t="str">
            <v>Swathi Kumari</v>
          </cell>
        </row>
        <row r="5">
          <cell r="J5" t="str">
            <v>Anil Biradar</v>
          </cell>
        </row>
        <row r="6">
          <cell r="J6" t="str">
            <v>Swathi Matam</v>
          </cell>
        </row>
        <row r="7">
          <cell r="J7" t="str">
            <v>Arun KashaBoina</v>
          </cell>
        </row>
        <row r="8">
          <cell r="J8" t="str">
            <v>Arun Kumar Keesari</v>
          </cell>
        </row>
        <row r="9">
          <cell r="J9" t="str">
            <v>Anil Kumar</v>
          </cell>
        </row>
        <row r="10">
          <cell r="J10" t="str">
            <v>Divya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"/>
      <sheetName val="Data Types "/>
      <sheetName val="Flash Fill"/>
      <sheetName val="Fill Series"/>
      <sheetName val="Number Format"/>
      <sheetName val="Conditional Formatting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Goto Special"/>
      <sheetName val="The 3 Freezing Techniques"/>
      <sheetName val="Formulas_Text"/>
      <sheetName val="Formulas_Text 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"/>
      <sheetName val="EMI Calculator"/>
      <sheetName val="Statistical Functions"/>
      <sheetName val="Information Functions"/>
      <sheetName val="Excel New Formulas"/>
      <sheetName val="Named Range"/>
      <sheetName val="Data Ribbon 1"/>
      <sheetName val="Data Ribbon 2"/>
      <sheetName val="Text to Columns"/>
      <sheetName val="Remove Duplicates"/>
      <sheetName val="Grouping &amp; Subtotals"/>
      <sheetName val="Insert Ribbon"/>
      <sheetName val="Review Ribbon"/>
      <sheetName val="Table1"/>
      <sheetName val="Power Query"/>
      <sheetName val="Query_SalesData"/>
      <sheetName val="PQ DataS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">
          <cell r="C1" t="str">
            <v>Product List</v>
          </cell>
        </row>
        <row r="2">
          <cell r="C2" t="str">
            <v>Product 1</v>
          </cell>
          <cell r="E2" t="str">
            <v>Product 1</v>
          </cell>
        </row>
        <row r="3">
          <cell r="C3" t="str">
            <v>Product 2</v>
          </cell>
          <cell r="E3" t="str">
            <v>Product 2</v>
          </cell>
        </row>
        <row r="4">
          <cell r="C4" t="str">
            <v>Apple</v>
          </cell>
          <cell r="E4" t="str">
            <v>Product 3</v>
          </cell>
        </row>
        <row r="5">
          <cell r="C5" t="str">
            <v>Product 4</v>
          </cell>
          <cell r="E5" t="str">
            <v>Product 4</v>
          </cell>
        </row>
        <row r="6">
          <cell r="C6" t="str">
            <v>Product 5</v>
          </cell>
          <cell r="E6" t="str">
            <v>Product 5</v>
          </cell>
        </row>
        <row r="7">
          <cell r="C7" t="str">
            <v>Product 6</v>
          </cell>
          <cell r="E7" t="str">
            <v>Product 6</v>
          </cell>
        </row>
        <row r="8">
          <cell r="C8" t="str">
            <v>Product 7</v>
          </cell>
          <cell r="E8" t="str">
            <v>Product 7</v>
          </cell>
        </row>
        <row r="9">
          <cell r="C9" t="str">
            <v>Product 8</v>
          </cell>
          <cell r="E9" t="str">
            <v>Product 8</v>
          </cell>
        </row>
        <row r="10">
          <cell r="C10" t="str">
            <v>Product 9</v>
          </cell>
          <cell r="E10" t="str">
            <v>Product 9</v>
          </cell>
        </row>
        <row r="11">
          <cell r="E11" t="str">
            <v>Product 10</v>
          </cell>
        </row>
        <row r="12">
          <cell r="E12" t="str">
            <v>Product 11</v>
          </cell>
        </row>
      </sheetData>
      <sheetData sheetId="29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F62D-3E53-49CC-87AD-7B40BB32A027}">
  <dimension ref="A1:AY72"/>
  <sheetViews>
    <sheetView tabSelected="1" topLeftCell="P1" zoomScale="53" zoomScaleNormal="85" workbookViewId="0">
      <selection activeCell="U22" sqref="U22"/>
    </sheetView>
  </sheetViews>
  <sheetFormatPr defaultColWidth="8.7265625" defaultRowHeight="19.5" x14ac:dyDescent="0.45"/>
  <cols>
    <col min="1" max="1" width="23.54296875" style="1" bestFit="1" customWidth="1"/>
    <col min="2" max="2" width="44.08984375" style="1" customWidth="1"/>
    <col min="3" max="3" width="8.7265625" style="1"/>
    <col min="4" max="4" width="14.08984375" style="1" customWidth="1"/>
    <col min="5" max="5" width="30.08984375" style="1" customWidth="1"/>
    <col min="6" max="6" width="32.81640625" style="1" customWidth="1"/>
    <col min="7" max="7" width="23.453125" style="1" customWidth="1"/>
    <col min="8" max="8" width="12" style="1" customWidth="1"/>
    <col min="9" max="9" width="15.453125" style="1" customWidth="1"/>
    <col min="10" max="10" width="13.26953125" style="1" customWidth="1"/>
    <col min="11" max="11" width="18.54296875" style="1" customWidth="1"/>
    <col min="12" max="12" width="20.6328125" style="1" bestFit="1" customWidth="1"/>
    <col min="13" max="13" width="14.6328125" style="1" customWidth="1"/>
    <col min="14" max="14" width="16.453125" style="1" customWidth="1"/>
    <col min="15" max="15" width="13.08984375" style="1" customWidth="1"/>
    <col min="16" max="16" width="51.36328125" style="1" customWidth="1"/>
    <col min="17" max="17" width="11.453125" style="1" customWidth="1"/>
    <col min="18" max="18" width="13.1796875" style="1" customWidth="1"/>
    <col min="19" max="19" width="11.36328125" style="1" bestFit="1" customWidth="1"/>
    <col min="20" max="20" width="24.7265625" style="1" customWidth="1"/>
    <col min="21" max="21" width="16" style="1" customWidth="1"/>
    <col min="22" max="22" width="11.36328125" style="1" bestFit="1" customWidth="1"/>
    <col min="23" max="23" width="22.81640625" style="1" customWidth="1"/>
    <col min="24" max="24" width="11.54296875" style="1" customWidth="1"/>
    <col min="25" max="25" width="15.453125" style="1" customWidth="1"/>
    <col min="26" max="26" width="20.36328125" style="1" customWidth="1"/>
    <col min="27" max="27" width="32.6328125" style="1" customWidth="1"/>
    <col min="28" max="28" width="34.54296875" style="1" bestFit="1" customWidth="1"/>
    <col min="29" max="29" width="8.7265625" style="1"/>
    <col min="30" max="30" width="13.54296875" style="1" customWidth="1"/>
    <col min="31" max="31" width="15.1796875" style="1" customWidth="1"/>
    <col min="32" max="32" width="8.7265625" style="1"/>
    <col min="33" max="33" width="20.90625" style="1" customWidth="1"/>
    <col min="34" max="34" width="8.7265625" style="1"/>
    <col min="35" max="35" width="26.90625" style="1" customWidth="1"/>
    <col min="36" max="37" width="8.7265625" style="1"/>
    <col min="38" max="38" width="8.81640625" style="1" bestFit="1" customWidth="1"/>
    <col min="39" max="42" width="8.7265625" style="1"/>
    <col min="43" max="43" width="8.81640625" style="1" bestFit="1" customWidth="1"/>
    <col min="44" max="44" width="8.7265625" style="1"/>
    <col min="45" max="45" width="19.54296875" style="1" customWidth="1"/>
    <col min="46" max="46" width="8.7265625" style="1"/>
    <col min="47" max="47" width="8.81640625" style="1" bestFit="1" customWidth="1"/>
    <col min="48" max="48" width="8.7265625" style="1"/>
    <col min="49" max="49" width="10.54296875" style="1" bestFit="1" customWidth="1"/>
    <col min="50" max="16384" width="8.7265625" style="1"/>
  </cols>
  <sheetData>
    <row r="1" spans="1:51" x14ac:dyDescent="0.45">
      <c r="A1" s="1" t="s">
        <v>0</v>
      </c>
      <c r="Q1"/>
      <c r="T1" s="1" t="s">
        <v>1</v>
      </c>
      <c r="W1" s="2"/>
      <c r="AB1" s="1" t="s">
        <v>2</v>
      </c>
    </row>
    <row r="2" spans="1:51" x14ac:dyDescent="0.45">
      <c r="E2" s="3"/>
      <c r="G2" s="3"/>
      <c r="I2" s="3"/>
      <c r="K2" s="3"/>
      <c r="M2" s="4"/>
      <c r="O2" s="3"/>
      <c r="Q2" s="5" t="s">
        <v>3</v>
      </c>
      <c r="S2" s="5" t="s">
        <v>3</v>
      </c>
      <c r="T2" s="5" t="s">
        <v>4</v>
      </c>
      <c r="V2" s="5" t="s">
        <v>3</v>
      </c>
      <c r="W2" s="5" t="s">
        <v>5</v>
      </c>
      <c r="Z2" s="5" t="s">
        <v>6</v>
      </c>
      <c r="AA2" s="5" t="s">
        <v>7</v>
      </c>
      <c r="AB2" s="5" t="s">
        <v>8</v>
      </c>
      <c r="AD2" s="1" t="s">
        <v>9</v>
      </c>
      <c r="AE2" s="1" t="s">
        <v>10</v>
      </c>
      <c r="AG2" s="1" t="s">
        <v>11</v>
      </c>
      <c r="AQ2" s="5" t="s">
        <v>3</v>
      </c>
      <c r="AU2" s="1" t="s">
        <v>3</v>
      </c>
    </row>
    <row r="3" spans="1:51" x14ac:dyDescent="0.45">
      <c r="A3" s="1" t="s">
        <v>12</v>
      </c>
      <c r="E3" s="1" t="s">
        <v>13</v>
      </c>
      <c r="G3" s="1" t="s">
        <v>14</v>
      </c>
      <c r="I3" s="1" t="s">
        <v>15</v>
      </c>
      <c r="K3" s="1" t="s">
        <v>16</v>
      </c>
      <c r="M3" s="1" t="s">
        <v>17</v>
      </c>
      <c r="O3" s="1" t="s">
        <v>18</v>
      </c>
      <c r="Q3" s="5">
        <v>191</v>
      </c>
      <c r="S3" s="5">
        <v>100</v>
      </c>
      <c r="T3" s="16"/>
      <c r="V3" s="5">
        <v>100</v>
      </c>
      <c r="W3" s="16"/>
      <c r="Z3" s="6">
        <v>42624</v>
      </c>
      <c r="AA3" s="7"/>
      <c r="AB3" s="7"/>
      <c r="AD3" s="1">
        <v>100</v>
      </c>
      <c r="AE3" s="1">
        <v>100</v>
      </c>
      <c r="AG3" s="3"/>
      <c r="AI3" s="8"/>
      <c r="AJ3" s="8" t="s">
        <v>19</v>
      </c>
      <c r="AL3"/>
      <c r="AM3"/>
      <c r="AO3" s="1">
        <v>25</v>
      </c>
      <c r="AQ3" s="9">
        <v>50</v>
      </c>
      <c r="AS3" s="1" t="s">
        <v>20</v>
      </c>
      <c r="AU3" s="1">
        <v>100</v>
      </c>
      <c r="AW3" s="1" t="s">
        <v>21</v>
      </c>
    </row>
    <row r="4" spans="1:51" x14ac:dyDescent="0.45">
      <c r="A4" s="1" t="s">
        <v>22</v>
      </c>
      <c r="E4" s="5">
        <v>56</v>
      </c>
      <c r="F4" s="1" t="s">
        <v>19</v>
      </c>
      <c r="G4" s="5">
        <v>56</v>
      </c>
      <c r="I4" s="5">
        <v>56</v>
      </c>
      <c r="K4" s="5">
        <v>56</v>
      </c>
      <c r="M4" s="10">
        <v>0.2803325306363581</v>
      </c>
      <c r="O4" s="10">
        <v>0.2803325306363581</v>
      </c>
      <c r="Q4" s="5">
        <v>43</v>
      </c>
      <c r="S4" s="5">
        <v>43</v>
      </c>
      <c r="T4" s="16"/>
      <c r="V4" s="5">
        <v>43</v>
      </c>
      <c r="W4" s="16"/>
      <c r="Z4" s="6">
        <v>42797</v>
      </c>
      <c r="AA4" s="7"/>
      <c r="AB4" s="7"/>
      <c r="AD4" s="1">
        <v>200</v>
      </c>
      <c r="AE4" s="1">
        <v>200</v>
      </c>
      <c r="AI4" s="8" t="s">
        <v>23</v>
      </c>
      <c r="AJ4" s="8"/>
      <c r="AL4"/>
      <c r="AM4"/>
      <c r="AO4" s="1">
        <v>75</v>
      </c>
      <c r="AQ4" s="9">
        <v>100</v>
      </c>
      <c r="AS4" s="3">
        <f>MEDIAN(AO3:AO9)</f>
        <v>100</v>
      </c>
      <c r="AU4" s="1">
        <v>145</v>
      </c>
      <c r="AW4" s="3">
        <f>MODE(AU3:AU14)</f>
        <v>100</v>
      </c>
      <c r="AY4" s="1" t="s">
        <v>24</v>
      </c>
    </row>
    <row r="5" spans="1:51" x14ac:dyDescent="0.45">
      <c r="A5" s="1" t="s">
        <v>25</v>
      </c>
      <c r="E5" s="5">
        <v>45</v>
      </c>
      <c r="G5" s="5"/>
      <c r="I5" s="5">
        <v>38</v>
      </c>
      <c r="K5" s="5">
        <v>38</v>
      </c>
      <c r="M5" s="10">
        <v>0.47687620850396106</v>
      </c>
      <c r="O5" s="10">
        <v>0.47687620850396106</v>
      </c>
      <c r="Q5" s="5">
        <v>190</v>
      </c>
      <c r="S5" s="5">
        <v>190</v>
      </c>
      <c r="T5" s="16"/>
      <c r="V5" s="5">
        <v>190</v>
      </c>
      <c r="W5" s="16"/>
      <c r="Z5" s="6">
        <v>42757</v>
      </c>
      <c r="AA5" s="7"/>
      <c r="AB5" s="7"/>
      <c r="AD5" s="1">
        <v>300</v>
      </c>
      <c r="AE5" s="1">
        <v>300</v>
      </c>
      <c r="AI5" s="8" t="s">
        <v>26</v>
      </c>
      <c r="AJ5" s="8"/>
      <c r="AL5"/>
      <c r="AM5"/>
      <c r="AO5" s="1">
        <v>100</v>
      </c>
      <c r="AQ5" s="9">
        <v>25</v>
      </c>
      <c r="AS5" s="3">
        <f>MEDIAN(AQ3:AQ15)</f>
        <v>125</v>
      </c>
      <c r="AU5" s="1">
        <v>100</v>
      </c>
    </row>
    <row r="6" spans="1:51" x14ac:dyDescent="0.45">
      <c r="A6" s="1" t="s">
        <v>27</v>
      </c>
      <c r="E6" s="5" t="s">
        <v>26</v>
      </c>
      <c r="G6" s="5" t="s">
        <v>26</v>
      </c>
      <c r="I6" s="5">
        <v>10</v>
      </c>
      <c r="K6" s="5">
        <v>10</v>
      </c>
      <c r="M6" s="10">
        <v>0.38818489681311386</v>
      </c>
      <c r="O6" s="10">
        <v>0.38818489681311386</v>
      </c>
      <c r="Q6" s="5">
        <v>70</v>
      </c>
      <c r="S6" s="5">
        <v>70</v>
      </c>
      <c r="T6" s="16"/>
      <c r="V6" s="5">
        <v>70</v>
      </c>
      <c r="W6" s="16"/>
      <c r="Z6" s="6">
        <v>42803</v>
      </c>
      <c r="AA6" s="7"/>
      <c r="AB6" s="7"/>
      <c r="AD6" s="1" t="s">
        <v>26</v>
      </c>
      <c r="AE6" s="1" t="s">
        <v>26</v>
      </c>
      <c r="AI6" s="8"/>
      <c r="AJ6" s="8" t="s">
        <v>23</v>
      </c>
      <c r="AL6"/>
      <c r="AM6"/>
      <c r="AO6" s="1">
        <v>50</v>
      </c>
      <c r="AQ6" s="9">
        <v>75</v>
      </c>
      <c r="AU6" s="1">
        <v>200</v>
      </c>
    </row>
    <row r="7" spans="1:51" x14ac:dyDescent="0.45">
      <c r="A7" s="1" t="s">
        <v>17</v>
      </c>
      <c r="E7" s="5">
        <v>81</v>
      </c>
      <c r="G7" s="5">
        <v>81</v>
      </c>
      <c r="I7" s="5">
        <v>79</v>
      </c>
      <c r="K7" s="5">
        <v>79</v>
      </c>
      <c r="M7" s="10" t="s">
        <v>28</v>
      </c>
      <c r="O7" s="10" t="s">
        <v>28</v>
      </c>
      <c r="Q7" s="5">
        <v>1000</v>
      </c>
      <c r="S7" s="5">
        <v>5000</v>
      </c>
      <c r="T7" s="16"/>
      <c r="V7" s="5">
        <v>79</v>
      </c>
      <c r="W7" s="16"/>
      <c r="Z7" s="6">
        <v>44863</v>
      </c>
      <c r="AA7" s="7"/>
      <c r="AB7" s="7"/>
      <c r="AD7" s="3"/>
      <c r="AE7" s="3"/>
      <c r="AL7"/>
      <c r="AM7"/>
      <c r="AO7" s="1">
        <v>125</v>
      </c>
      <c r="AQ7" s="9">
        <v>125</v>
      </c>
      <c r="AU7" s="1">
        <v>200</v>
      </c>
    </row>
    <row r="8" spans="1:51" x14ac:dyDescent="0.45">
      <c r="A8" s="1" t="s">
        <v>18</v>
      </c>
      <c r="E8" s="5" t="s">
        <v>26</v>
      </c>
      <c r="G8" s="5" t="s">
        <v>26</v>
      </c>
      <c r="I8" s="5" t="s">
        <v>26</v>
      </c>
      <c r="K8" s="5" t="s">
        <v>26</v>
      </c>
      <c r="M8" s="10">
        <v>0.38889323279015398</v>
      </c>
      <c r="O8" s="10">
        <v>0.38889323279015398</v>
      </c>
      <c r="Q8" s="5">
        <v>39</v>
      </c>
      <c r="S8" s="5">
        <v>500</v>
      </c>
      <c r="T8" s="16"/>
      <c r="V8" s="5">
        <v>500</v>
      </c>
      <c r="W8" s="16"/>
      <c r="Z8" s="6">
        <v>44637</v>
      </c>
      <c r="AA8" s="7"/>
      <c r="AB8" s="7"/>
      <c r="AL8"/>
      <c r="AM8"/>
      <c r="AO8" s="1">
        <v>200</v>
      </c>
      <c r="AQ8" s="9">
        <v>200</v>
      </c>
      <c r="AU8" s="1">
        <v>100</v>
      </c>
    </row>
    <row r="9" spans="1:51" x14ac:dyDescent="0.45">
      <c r="A9" s="1" t="s">
        <v>29</v>
      </c>
      <c r="E9" s="5">
        <v>92</v>
      </c>
      <c r="G9" s="5">
        <v>92</v>
      </c>
      <c r="I9" s="5">
        <v>92</v>
      </c>
      <c r="K9" s="5">
        <v>92</v>
      </c>
      <c r="M9" s="10">
        <v>0.4920694897228487</v>
      </c>
      <c r="O9" s="10">
        <v>0.4920694897228487</v>
      </c>
      <c r="Q9" s="5">
        <v>164</v>
      </c>
      <c r="S9" s="5">
        <v>164</v>
      </c>
      <c r="T9" s="16"/>
      <c r="V9" s="5">
        <v>164</v>
      </c>
      <c r="W9" s="16"/>
      <c r="Z9" s="6">
        <v>42787</v>
      </c>
      <c r="AA9" s="7"/>
      <c r="AB9" s="7"/>
      <c r="AL9"/>
      <c r="AM9"/>
      <c r="AO9" s="1">
        <v>145</v>
      </c>
      <c r="AQ9" s="9">
        <v>99</v>
      </c>
      <c r="AU9" s="1">
        <v>234</v>
      </c>
    </row>
    <row r="10" spans="1:51" x14ac:dyDescent="0.45">
      <c r="A10" s="1" t="s">
        <v>30</v>
      </c>
      <c r="E10" s="5">
        <v>2</v>
      </c>
      <c r="G10" s="5">
        <v>2</v>
      </c>
      <c r="I10" s="5">
        <v>2</v>
      </c>
      <c r="K10" s="5">
        <v>2</v>
      </c>
      <c r="M10" s="10" t="b">
        <v>1</v>
      </c>
      <c r="O10" s="10" t="b">
        <v>1</v>
      </c>
      <c r="Q10" s="5">
        <v>5</v>
      </c>
      <c r="S10" s="5">
        <v>169</v>
      </c>
      <c r="T10" s="16"/>
      <c r="V10" s="5">
        <v>169</v>
      </c>
      <c r="W10" s="16"/>
      <c r="Z10" s="6">
        <v>44860</v>
      </c>
      <c r="AA10" s="7"/>
      <c r="AB10" s="7"/>
      <c r="AL10"/>
      <c r="AM10"/>
      <c r="AQ10" s="9">
        <v>1000</v>
      </c>
      <c r="AU10" s="1">
        <v>100</v>
      </c>
    </row>
    <row r="11" spans="1:51" x14ac:dyDescent="0.45">
      <c r="A11" s="1" t="s">
        <v>31</v>
      </c>
      <c r="E11" s="5" t="s">
        <v>32</v>
      </c>
      <c r="G11" s="5" t="s">
        <v>32</v>
      </c>
      <c r="I11" s="5" t="s">
        <v>33</v>
      </c>
      <c r="K11" s="5" t="s">
        <v>33</v>
      </c>
      <c r="M11" s="10">
        <v>0.18129214274751027</v>
      </c>
      <c r="O11" s="10">
        <v>0.18129214274751027</v>
      </c>
      <c r="Q11" s="5">
        <v>138</v>
      </c>
      <c r="S11" s="5">
        <v>1000</v>
      </c>
      <c r="T11" s="16"/>
      <c r="V11" s="5">
        <v>1000</v>
      </c>
      <c r="W11" s="16"/>
      <c r="Z11" s="6">
        <v>44649</v>
      </c>
      <c r="AA11" s="7"/>
      <c r="AB11" s="7"/>
      <c r="AL11"/>
      <c r="AM11"/>
      <c r="AQ11" s="9">
        <v>100</v>
      </c>
      <c r="AU11" s="1">
        <v>300</v>
      </c>
    </row>
    <row r="12" spans="1:51" x14ac:dyDescent="0.45">
      <c r="A12" s="1" t="s">
        <v>34</v>
      </c>
      <c r="E12" s="5">
        <v>9</v>
      </c>
      <c r="G12" s="5">
        <v>9</v>
      </c>
      <c r="I12" s="5" t="b">
        <v>1</v>
      </c>
      <c r="K12" s="5" t="b">
        <v>1</v>
      </c>
      <c r="M12" s="10">
        <v>3.3585128742299797E-2</v>
      </c>
      <c r="O12" s="10">
        <v>3.3585128742299797E-2</v>
      </c>
      <c r="Q12" s="5">
        <v>145</v>
      </c>
      <c r="S12" s="5">
        <v>200</v>
      </c>
      <c r="T12" s="16"/>
      <c r="V12" s="5">
        <v>200</v>
      </c>
      <c r="W12" s="16"/>
      <c r="Z12" s="6">
        <v>42675</v>
      </c>
      <c r="AA12" s="7"/>
      <c r="AB12" s="7"/>
      <c r="AQ12" s="9">
        <v>500</v>
      </c>
      <c r="AU12" s="1">
        <v>500</v>
      </c>
    </row>
    <row r="13" spans="1:51" x14ac:dyDescent="0.45">
      <c r="A13" s="1" t="s">
        <v>35</v>
      </c>
      <c r="B13"/>
      <c r="E13" s="5">
        <v>72</v>
      </c>
      <c r="G13" s="5">
        <v>72</v>
      </c>
      <c r="I13" s="5">
        <v>72</v>
      </c>
      <c r="K13" s="5">
        <v>72</v>
      </c>
      <c r="M13" s="10">
        <v>0.13680841592629256</v>
      </c>
      <c r="O13" s="10">
        <v>0.13680841592629256</v>
      </c>
      <c r="Q13" s="5">
        <v>22</v>
      </c>
      <c r="S13" s="5">
        <v>22</v>
      </c>
      <c r="T13" s="16"/>
      <c r="V13" s="5">
        <v>22</v>
      </c>
      <c r="W13" s="16"/>
      <c r="Z13" s="6">
        <v>42828</v>
      </c>
      <c r="AA13" s="7"/>
      <c r="AB13" s="7"/>
      <c r="AQ13" s="9">
        <v>300</v>
      </c>
      <c r="AU13" s="1">
        <v>1000</v>
      </c>
    </row>
    <row r="14" spans="1:51" x14ac:dyDescent="0.45">
      <c r="A14"/>
      <c r="B14"/>
      <c r="E14" s="5">
        <v>46</v>
      </c>
      <c r="G14" s="5">
        <v>46</v>
      </c>
      <c r="I14" s="5" t="b">
        <v>0</v>
      </c>
      <c r="K14" s="5" t="b">
        <v>0</v>
      </c>
      <c r="M14" s="10">
        <v>0.9624693525469884</v>
      </c>
      <c r="O14" s="10">
        <v>0.9624693525469884</v>
      </c>
      <c r="Q14" s="5">
        <v>145</v>
      </c>
      <c r="S14" s="5">
        <v>145</v>
      </c>
      <c r="T14" s="16"/>
      <c r="V14" s="5">
        <v>145</v>
      </c>
      <c r="W14" s="16"/>
      <c r="Z14" s="6">
        <v>42766</v>
      </c>
      <c r="AA14" s="7"/>
      <c r="AB14" s="7"/>
      <c r="AQ14" s="9">
        <v>1000</v>
      </c>
      <c r="AU14" s="1">
        <v>2500</v>
      </c>
    </row>
    <row r="15" spans="1:51" x14ac:dyDescent="0.45">
      <c r="A15"/>
      <c r="B15"/>
      <c r="E15" s="5">
        <v>38</v>
      </c>
      <c r="G15" s="5">
        <v>38</v>
      </c>
      <c r="I15" s="5">
        <v>38</v>
      </c>
      <c r="K15" s="5">
        <v>38</v>
      </c>
      <c r="M15" s="10">
        <v>0.12</v>
      </c>
      <c r="O15" s="10">
        <v>0.12</v>
      </c>
      <c r="Q15" s="5">
        <v>85</v>
      </c>
      <c r="S15" s="5">
        <v>85</v>
      </c>
      <c r="T15" s="16"/>
      <c r="V15" s="5">
        <v>85</v>
      </c>
      <c r="W15" s="16"/>
      <c r="Z15" s="6">
        <v>42655</v>
      </c>
      <c r="AA15" s="7"/>
      <c r="AB15" s="7"/>
      <c r="AQ15" s="9">
        <v>2500</v>
      </c>
    </row>
    <row r="17" spans="4:28" ht="23.5" x14ac:dyDescent="0.55000000000000004">
      <c r="P17"/>
      <c r="Q17" s="17" t="s">
        <v>60</v>
      </c>
      <c r="R17" s="18" t="s">
        <v>61</v>
      </c>
      <c r="AA17"/>
    </row>
    <row r="18" spans="4:28" ht="21" x14ac:dyDescent="0.5">
      <c r="P18" s="19" t="s">
        <v>62</v>
      </c>
      <c r="Q18"/>
      <c r="AA18"/>
    </row>
    <row r="19" spans="4:28" x14ac:dyDescent="0.45">
      <c r="D19" s="12" t="s">
        <v>6</v>
      </c>
      <c r="E19" s="12" t="s">
        <v>36</v>
      </c>
      <c r="F19" s="12" t="s">
        <v>37</v>
      </c>
      <c r="G19" s="12" t="s">
        <v>38</v>
      </c>
      <c r="K19" s="12" t="s">
        <v>39</v>
      </c>
      <c r="L19" s="12" t="s">
        <v>40</v>
      </c>
      <c r="P19"/>
      <c r="Q19"/>
      <c r="T19"/>
      <c r="U19"/>
      <c r="V19"/>
      <c r="AA19"/>
      <c r="AB19" s="15"/>
    </row>
    <row r="20" spans="4:28" x14ac:dyDescent="0.45">
      <c r="D20" s="6">
        <v>42571</v>
      </c>
      <c r="E20" s="5" t="s">
        <v>41</v>
      </c>
      <c r="F20" s="5">
        <v>75810</v>
      </c>
      <c r="G20" s="16"/>
      <c r="K20" s="5">
        <v>10</v>
      </c>
      <c r="L20" s="16"/>
      <c r="P20"/>
      <c r="Q20"/>
      <c r="T20"/>
      <c r="U20"/>
      <c r="V20"/>
      <c r="AA20"/>
      <c r="AB20" s="15"/>
    </row>
    <row r="21" spans="4:28" x14ac:dyDescent="0.45">
      <c r="D21" s="6">
        <v>42575</v>
      </c>
      <c r="E21" s="5" t="s">
        <v>42</v>
      </c>
      <c r="F21" s="5">
        <v>36307</v>
      </c>
      <c r="G21" s="16"/>
      <c r="K21" s="5">
        <v>150</v>
      </c>
      <c r="L21" s="16"/>
      <c r="P21"/>
      <c r="Q21"/>
      <c r="T21"/>
      <c r="U21"/>
      <c r="V21"/>
      <c r="W21" s="9"/>
      <c r="AA21"/>
      <c r="AB21" s="15"/>
    </row>
    <row r="22" spans="4:28" x14ac:dyDescent="0.45">
      <c r="D22" s="6">
        <v>42571</v>
      </c>
      <c r="E22" s="5" t="s">
        <v>43</v>
      </c>
      <c r="F22" s="5">
        <v>90000</v>
      </c>
      <c r="G22" s="16"/>
      <c r="K22" s="5">
        <v>0</v>
      </c>
      <c r="L22" s="16"/>
      <c r="P22"/>
      <c r="Q22"/>
      <c r="T22"/>
      <c r="U22"/>
      <c r="V22"/>
      <c r="W22" s="9"/>
      <c r="AA22"/>
      <c r="AB22" s="15"/>
    </row>
    <row r="23" spans="4:28" x14ac:dyDescent="0.45">
      <c r="D23" s="6">
        <v>42576</v>
      </c>
      <c r="E23" s="5" t="s">
        <v>44</v>
      </c>
      <c r="F23" s="5">
        <v>18436</v>
      </c>
      <c r="G23" s="16"/>
      <c r="K23" s="5">
        <v>25</v>
      </c>
      <c r="L23" s="16"/>
      <c r="P23"/>
      <c r="Q23"/>
      <c r="T23"/>
      <c r="U23"/>
      <c r="V23"/>
      <c r="W23" s="9"/>
      <c r="AA23"/>
      <c r="AB23" s="15"/>
    </row>
    <row r="24" spans="4:28" x14ac:dyDescent="0.45">
      <c r="D24" s="6">
        <v>42573</v>
      </c>
      <c r="E24" s="5" t="s">
        <v>45</v>
      </c>
      <c r="F24" s="5">
        <v>90000</v>
      </c>
      <c r="G24" s="16"/>
      <c r="K24" s="5">
        <v>36</v>
      </c>
      <c r="L24" s="16"/>
      <c r="M24" s="13"/>
      <c r="N24" s="13"/>
      <c r="P24"/>
      <c r="Q24"/>
      <c r="T24"/>
      <c r="U24"/>
      <c r="V24"/>
      <c r="W24" s="9"/>
      <c r="X24" s="5"/>
      <c r="Y24" s="5"/>
      <c r="Z24" s="5"/>
      <c r="AA24"/>
      <c r="AB24" s="15"/>
    </row>
    <row r="25" spans="4:28" x14ac:dyDescent="0.45">
      <c r="D25" s="6">
        <v>42574</v>
      </c>
      <c r="E25" s="5" t="s">
        <v>46</v>
      </c>
      <c r="F25" s="5">
        <v>61697</v>
      </c>
      <c r="G25" s="16"/>
      <c r="K25" s="5">
        <v>9</v>
      </c>
      <c r="L25" s="16"/>
      <c r="M25" s="13"/>
      <c r="N25" s="13"/>
      <c r="P25"/>
      <c r="Q25"/>
      <c r="T25"/>
      <c r="U25"/>
      <c r="V25"/>
      <c r="W25" s="9"/>
      <c r="X25" s="5"/>
      <c r="Y25" s="5"/>
      <c r="Z25" s="5"/>
      <c r="AA25"/>
      <c r="AB25" s="15"/>
    </row>
    <row r="26" spans="4:28" x14ac:dyDescent="0.45">
      <c r="D26" s="6">
        <v>42567</v>
      </c>
      <c r="E26" s="5" t="s">
        <v>47</v>
      </c>
      <c r="F26" s="5">
        <v>63265</v>
      </c>
      <c r="G26" s="16"/>
      <c r="M26" s="13"/>
      <c r="N26" s="13"/>
      <c r="T26"/>
      <c r="U26"/>
      <c r="V26"/>
      <c r="W26" s="9"/>
      <c r="AA26"/>
      <c r="AB26" s="15"/>
    </row>
    <row r="27" spans="4:28" x14ac:dyDescent="0.45">
      <c r="D27" s="6">
        <v>42567</v>
      </c>
      <c r="E27" s="5" t="s">
        <v>48</v>
      </c>
      <c r="F27" s="5">
        <v>13521</v>
      </c>
      <c r="G27" s="16"/>
      <c r="M27" s="13"/>
      <c r="N27" s="13"/>
      <c r="T27"/>
      <c r="U27"/>
      <c r="V27"/>
      <c r="W27" s="9"/>
      <c r="AA27"/>
      <c r="AB27" s="15"/>
    </row>
    <row r="28" spans="4:28" x14ac:dyDescent="0.45">
      <c r="D28" s="6">
        <v>42576</v>
      </c>
      <c r="E28" s="5" t="s">
        <v>49</v>
      </c>
      <c r="F28" s="5">
        <v>100000</v>
      </c>
      <c r="G28" s="16"/>
      <c r="M28" s="13"/>
      <c r="N28" s="13"/>
      <c r="T28"/>
      <c r="U28"/>
      <c r="V28"/>
      <c r="W28" s="9"/>
      <c r="AA28"/>
      <c r="AB28" s="15"/>
    </row>
    <row r="29" spans="4:28" x14ac:dyDescent="0.45">
      <c r="D29" s="6">
        <v>42577</v>
      </c>
      <c r="E29" s="5" t="s">
        <v>50</v>
      </c>
      <c r="F29" s="5">
        <v>86312</v>
      </c>
      <c r="G29" s="16"/>
      <c r="M29" s="13"/>
      <c r="N29" s="13"/>
      <c r="T29"/>
      <c r="U29"/>
      <c r="V29"/>
      <c r="W29" s="9"/>
      <c r="AA29"/>
      <c r="AB29" s="15"/>
    </row>
    <row r="30" spans="4:28" x14ac:dyDescent="0.45">
      <c r="D30" s="6">
        <v>42576</v>
      </c>
      <c r="E30" s="5" t="s">
        <v>51</v>
      </c>
      <c r="F30" s="5">
        <v>61917</v>
      </c>
      <c r="G30" s="16"/>
      <c r="M30" s="13"/>
      <c r="N30" s="13"/>
      <c r="T30"/>
      <c r="U30"/>
      <c r="V30"/>
      <c r="W30" s="9"/>
      <c r="AB30" s="15"/>
    </row>
    <row r="31" spans="4:28" x14ac:dyDescent="0.45">
      <c r="D31" s="6">
        <v>42574</v>
      </c>
      <c r="E31" s="5" t="s">
        <v>52</v>
      </c>
      <c r="F31" s="5">
        <v>90000</v>
      </c>
      <c r="G31" s="16"/>
      <c r="M31" s="13"/>
      <c r="N31" s="13"/>
      <c r="T31" s="9"/>
      <c r="U31" s="9"/>
      <c r="V31" s="9"/>
      <c r="W31" s="9"/>
      <c r="AB31" s="15"/>
    </row>
    <row r="32" spans="4:28" x14ac:dyDescent="0.45">
      <c r="D32" s="6">
        <v>42568</v>
      </c>
      <c r="E32" s="5" t="s">
        <v>53</v>
      </c>
      <c r="F32" s="5">
        <v>57263</v>
      </c>
      <c r="G32" s="16"/>
      <c r="M32" s="13"/>
      <c r="N32" s="13"/>
      <c r="T32" s="9"/>
      <c r="U32" s="9"/>
      <c r="V32" s="9"/>
      <c r="W32" s="9"/>
    </row>
    <row r="33" spans="1:27" x14ac:dyDescent="0.45">
      <c r="D33" s="6">
        <v>42572</v>
      </c>
      <c r="E33" s="5" t="s">
        <v>54</v>
      </c>
      <c r="F33" s="5">
        <v>55346</v>
      </c>
      <c r="G33" s="16"/>
      <c r="M33" s="13"/>
      <c r="N33" s="13"/>
      <c r="T33" s="9"/>
      <c r="U33" s="9"/>
      <c r="V33" s="9"/>
      <c r="W33" s="9"/>
    </row>
    <row r="34" spans="1:27" x14ac:dyDescent="0.45">
      <c r="D34" s="6">
        <v>42569</v>
      </c>
      <c r="E34" s="5" t="s">
        <v>55</v>
      </c>
      <c r="F34" s="5">
        <v>86911</v>
      </c>
      <c r="G34" s="16"/>
      <c r="T34" s="9"/>
      <c r="U34" s="9"/>
      <c r="V34" s="9"/>
      <c r="W34" s="9"/>
    </row>
    <row r="35" spans="1:27" x14ac:dyDescent="0.45">
      <c r="D35" s="6">
        <v>42568</v>
      </c>
      <c r="E35" s="5" t="s">
        <v>56</v>
      </c>
      <c r="F35" s="5">
        <v>60517</v>
      </c>
      <c r="G35" s="16"/>
      <c r="T35" s="9"/>
      <c r="U35" s="9"/>
      <c r="V35" s="9"/>
      <c r="W35" s="9"/>
    </row>
    <row r="36" spans="1:27" x14ac:dyDescent="0.45">
      <c r="D36" s="6">
        <v>42570</v>
      </c>
      <c r="E36" s="5" t="s">
        <v>57</v>
      </c>
      <c r="F36" s="5">
        <v>89000</v>
      </c>
      <c r="G36" s="16"/>
      <c r="T36" s="9"/>
      <c r="U36" s="9"/>
      <c r="V36" s="9"/>
      <c r="W36" s="9"/>
      <c r="Y36" s="1">
        <v>42</v>
      </c>
      <c r="Z36" s="1">
        <v>42.21</v>
      </c>
      <c r="AA36" s="1">
        <v>43</v>
      </c>
    </row>
    <row r="37" spans="1:27" x14ac:dyDescent="0.45">
      <c r="T37" s="9"/>
      <c r="U37" s="9"/>
      <c r="V37" s="9"/>
      <c r="W37" s="9"/>
    </row>
    <row r="38" spans="1:27" x14ac:dyDescent="0.45">
      <c r="A38" s="14"/>
      <c r="B38" s="14"/>
      <c r="C38" s="14"/>
      <c r="D38" s="14"/>
      <c r="E38" s="14"/>
      <c r="F38" s="14"/>
      <c r="G38" s="14"/>
      <c r="I38" s="14"/>
      <c r="J38" s="14"/>
      <c r="K38" s="14"/>
      <c r="L38" s="14"/>
      <c r="M38" s="14"/>
      <c r="T38" s="9"/>
      <c r="U38" s="9"/>
      <c r="V38" s="9"/>
      <c r="W38" s="9"/>
    </row>
    <row r="39" spans="1:27" x14ac:dyDescent="0.45">
      <c r="A39" s="14"/>
      <c r="B39" s="14"/>
      <c r="C39" s="14"/>
      <c r="D39"/>
      <c r="E39"/>
      <c r="F39"/>
      <c r="G39"/>
      <c r="H39"/>
      <c r="I39"/>
      <c r="J39"/>
      <c r="K39"/>
      <c r="L39"/>
      <c r="M39"/>
      <c r="N39"/>
      <c r="T39" s="9"/>
      <c r="U39" s="9"/>
      <c r="V39" s="9"/>
      <c r="W39" s="9"/>
      <c r="Z39" s="1" t="s">
        <v>58</v>
      </c>
      <c r="AA39" s="1" t="s">
        <v>59</v>
      </c>
    </row>
    <row r="40" spans="1:27" x14ac:dyDescent="0.45">
      <c r="A40" s="14"/>
      <c r="B40" s="14"/>
      <c r="C40" s="14"/>
      <c r="D40"/>
      <c r="E40"/>
      <c r="F40"/>
      <c r="G40"/>
      <c r="H40"/>
      <c r="I40"/>
      <c r="J40"/>
      <c r="K40"/>
      <c r="L40"/>
      <c r="M40"/>
      <c r="N40"/>
      <c r="S40" s="1">
        <v>106.25</v>
      </c>
      <c r="T40" s="9"/>
      <c r="U40" s="9"/>
      <c r="V40" s="9"/>
      <c r="W40" s="9"/>
      <c r="X40" s="1">
        <v>1</v>
      </c>
      <c r="Z40" s="1">
        <v>9.61</v>
      </c>
    </row>
    <row r="41" spans="1:27" x14ac:dyDescent="0.45">
      <c r="A41" s="14"/>
      <c r="B41" s="14"/>
      <c r="C41" s="14"/>
      <c r="D41"/>
      <c r="E41"/>
      <c r="F41"/>
      <c r="G41"/>
      <c r="H41"/>
      <c r="I41"/>
      <c r="J41"/>
      <c r="K41"/>
      <c r="L41"/>
      <c r="M41"/>
      <c r="N41"/>
      <c r="S41" s="1">
        <v>106.25</v>
      </c>
      <c r="T41" s="9"/>
      <c r="U41" s="9"/>
      <c r="V41" s="9"/>
      <c r="W41" s="9"/>
      <c r="X41" s="1">
        <v>2</v>
      </c>
      <c r="Z41" s="1">
        <v>42.21</v>
      </c>
    </row>
    <row r="42" spans="1:27" x14ac:dyDescent="0.45">
      <c r="A42" s="14"/>
      <c r="B42" s="14"/>
      <c r="C42" s="14"/>
      <c r="D42"/>
      <c r="E42"/>
      <c r="F42"/>
      <c r="G42"/>
      <c r="H42"/>
      <c r="I42"/>
      <c r="J42"/>
      <c r="K42"/>
      <c r="L42"/>
      <c r="M42"/>
      <c r="N42"/>
      <c r="T42" s="9"/>
      <c r="U42" s="9"/>
      <c r="V42" s="9"/>
      <c r="W42" s="9"/>
      <c r="X42" s="1">
        <v>3</v>
      </c>
      <c r="Z42" s="1">
        <v>54.48</v>
      </c>
    </row>
    <row r="43" spans="1:27" x14ac:dyDescent="0.45">
      <c r="A43" s="14"/>
      <c r="B43" s="14"/>
      <c r="C43" s="14"/>
      <c r="D43"/>
      <c r="E43"/>
      <c r="F43"/>
      <c r="G43"/>
      <c r="H43"/>
      <c r="I43"/>
      <c r="J43"/>
      <c r="K43"/>
      <c r="L43"/>
      <c r="M43"/>
      <c r="N43"/>
      <c r="S43" s="1">
        <v>106.25</v>
      </c>
      <c r="T43" s="9">
        <v>107</v>
      </c>
      <c r="U43" s="9"/>
      <c r="V43" s="9"/>
      <c r="W43" s="9"/>
      <c r="X43" s="1">
        <v>4</v>
      </c>
      <c r="Z43" s="1">
        <v>87.83</v>
      </c>
    </row>
    <row r="44" spans="1:27" x14ac:dyDescent="0.45">
      <c r="A44" s="14"/>
      <c r="B44" s="14"/>
      <c r="C44" s="14"/>
      <c r="D44"/>
      <c r="E44"/>
      <c r="F44"/>
      <c r="G44"/>
      <c r="H44"/>
      <c r="I44"/>
      <c r="J44"/>
      <c r="K44"/>
      <c r="L44"/>
      <c r="M44"/>
      <c r="N44"/>
      <c r="S44" s="1">
        <v>106.75</v>
      </c>
      <c r="T44" s="9">
        <v>102</v>
      </c>
      <c r="U44" s="9"/>
      <c r="V44" s="9"/>
      <c r="W44" s="9"/>
      <c r="X44" s="1">
        <v>5</v>
      </c>
      <c r="Z44" s="1">
        <v>6.91</v>
      </c>
    </row>
    <row r="45" spans="1:27" x14ac:dyDescent="0.45">
      <c r="A45" s="14"/>
      <c r="B45" s="14"/>
      <c r="C45" s="14"/>
      <c r="D45"/>
      <c r="E45"/>
      <c r="F45"/>
      <c r="G45"/>
      <c r="H45"/>
      <c r="I45"/>
      <c r="J45"/>
      <c r="K45"/>
      <c r="L45"/>
      <c r="M45"/>
      <c r="N45"/>
      <c r="T45" s="9"/>
      <c r="U45" s="9"/>
      <c r="V45" s="9"/>
      <c r="W45" s="9"/>
      <c r="X45" s="1">
        <v>6</v>
      </c>
      <c r="Z45" s="1">
        <v>64.83</v>
      </c>
    </row>
    <row r="46" spans="1:27" x14ac:dyDescent="0.45">
      <c r="A46" s="14"/>
      <c r="B46" s="14"/>
      <c r="C46" s="14"/>
      <c r="D46"/>
      <c r="E46"/>
      <c r="F46"/>
      <c r="G46"/>
      <c r="H46"/>
      <c r="I46"/>
      <c r="J46"/>
      <c r="K46"/>
      <c r="L46"/>
      <c r="M46"/>
      <c r="N46"/>
      <c r="T46" s="9"/>
      <c r="U46" s="9"/>
      <c r="V46" s="9"/>
      <c r="W46" s="9"/>
      <c r="X46" s="1">
        <v>7</v>
      </c>
      <c r="Z46" s="1">
        <v>98.44</v>
      </c>
    </row>
    <row r="47" spans="1:27" x14ac:dyDescent="0.45">
      <c r="A47" s="14"/>
      <c r="B47" s="14"/>
      <c r="C47" s="14"/>
      <c r="D47"/>
      <c r="E47"/>
      <c r="F47"/>
      <c r="G47"/>
      <c r="H47"/>
      <c r="I47"/>
      <c r="J47"/>
      <c r="K47"/>
      <c r="L47"/>
      <c r="M47"/>
      <c r="N47"/>
      <c r="R47" s="1">
        <v>106</v>
      </c>
      <c r="S47" s="11">
        <v>106.25</v>
      </c>
      <c r="T47" s="9">
        <v>107</v>
      </c>
      <c r="U47" s="9"/>
      <c r="V47" s="9"/>
      <c r="W47" s="9"/>
      <c r="X47" s="1">
        <v>8</v>
      </c>
      <c r="Z47" s="1">
        <v>42.32</v>
      </c>
    </row>
    <row r="48" spans="1:27" x14ac:dyDescent="0.45">
      <c r="A48" s="14"/>
      <c r="B48" s="14"/>
      <c r="C48" s="14"/>
      <c r="D48"/>
      <c r="E48"/>
      <c r="F48"/>
      <c r="G48"/>
      <c r="H48"/>
      <c r="I48"/>
      <c r="J48"/>
      <c r="K48"/>
      <c r="L48"/>
      <c r="M48"/>
      <c r="N48"/>
      <c r="X48" s="1">
        <v>9</v>
      </c>
      <c r="Z48" s="1">
        <v>7.14</v>
      </c>
    </row>
    <row r="49" spans="1:26" x14ac:dyDescent="0.45">
      <c r="A49" s="14"/>
      <c r="B49" s="14"/>
      <c r="C49" s="14"/>
      <c r="D49"/>
      <c r="E49"/>
      <c r="F49"/>
      <c r="G49"/>
      <c r="H49"/>
      <c r="I49"/>
      <c r="J49"/>
      <c r="K49"/>
      <c r="L49"/>
      <c r="M49"/>
      <c r="N49"/>
      <c r="X49" s="1">
        <v>10</v>
      </c>
      <c r="Z49" s="1">
        <v>31.48</v>
      </c>
    </row>
    <row r="50" spans="1:26" x14ac:dyDescent="0.45">
      <c r="A50" s="14"/>
      <c r="B50" s="14"/>
      <c r="C50" s="14"/>
      <c r="D50"/>
      <c r="E50"/>
      <c r="F50"/>
      <c r="G50"/>
      <c r="H50"/>
      <c r="I50"/>
      <c r="J50"/>
      <c r="K50"/>
      <c r="L50"/>
      <c r="M50"/>
      <c r="N50"/>
      <c r="Z50" s="1">
        <v>6.45</v>
      </c>
    </row>
    <row r="51" spans="1:26" x14ac:dyDescent="0.45">
      <c r="A51" s="14"/>
      <c r="B51" s="14"/>
      <c r="C51" s="14"/>
      <c r="D51"/>
      <c r="E51"/>
      <c r="F51"/>
      <c r="G51"/>
      <c r="H51"/>
      <c r="I51"/>
      <c r="J51"/>
      <c r="K51"/>
      <c r="L51"/>
      <c r="M51"/>
      <c r="N51"/>
    </row>
    <row r="52" spans="1:26" x14ac:dyDescent="0.45">
      <c r="A52" s="14"/>
      <c r="B52" s="14"/>
      <c r="C52" s="14"/>
      <c r="D52"/>
      <c r="E52"/>
      <c r="F52"/>
      <c r="G52"/>
      <c r="H52"/>
      <c r="I52"/>
      <c r="J52"/>
      <c r="K52"/>
      <c r="L52"/>
      <c r="M52"/>
      <c r="N52"/>
    </row>
    <row r="53" spans="1:26" x14ac:dyDescent="0.45">
      <c r="A53" s="14"/>
      <c r="B53" s="14"/>
      <c r="C53" s="14"/>
      <c r="D53"/>
      <c r="E53"/>
      <c r="F53"/>
      <c r="G53"/>
      <c r="H53"/>
      <c r="I53"/>
      <c r="J53"/>
      <c r="K53"/>
      <c r="L53"/>
      <c r="M53"/>
      <c r="N53"/>
    </row>
    <row r="54" spans="1:26" x14ac:dyDescent="0.45">
      <c r="A54" s="14"/>
      <c r="B54" s="14"/>
      <c r="C54" s="14"/>
      <c r="D54"/>
      <c r="E54"/>
      <c r="F54"/>
      <c r="G54"/>
      <c r="H54"/>
      <c r="I54"/>
      <c r="J54"/>
      <c r="K54"/>
      <c r="L54"/>
      <c r="M54"/>
      <c r="N54"/>
    </row>
    <row r="55" spans="1:26" x14ac:dyDescent="0.45">
      <c r="A55" s="14"/>
      <c r="B55" s="14"/>
      <c r="C55" s="14"/>
      <c r="D55"/>
      <c r="E55"/>
      <c r="F55"/>
      <c r="G55"/>
      <c r="H55"/>
      <c r="I55"/>
      <c r="J55"/>
      <c r="K55"/>
      <c r="L55"/>
      <c r="M55"/>
      <c r="N55"/>
    </row>
    <row r="56" spans="1:26" x14ac:dyDescent="0.45">
      <c r="A56" s="14"/>
      <c r="B56" s="14"/>
      <c r="C56" s="14"/>
      <c r="D56"/>
      <c r="E56"/>
      <c r="F56"/>
      <c r="G56"/>
      <c r="H56"/>
      <c r="I56"/>
      <c r="J56"/>
      <c r="K56"/>
      <c r="L56"/>
      <c r="M56"/>
      <c r="N56"/>
    </row>
    <row r="57" spans="1:26" x14ac:dyDescent="0.4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26" x14ac:dyDescent="0.4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26" x14ac:dyDescent="0.4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26" x14ac:dyDescent="0.4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26" x14ac:dyDescent="0.4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26" x14ac:dyDescent="0.4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26" x14ac:dyDescent="0.4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26" x14ac:dyDescent="0.4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x14ac:dyDescent="0.4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x14ac:dyDescent="0.4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x14ac:dyDescent="0.4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x14ac:dyDescent="0.4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x14ac:dyDescent="0.4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x14ac:dyDescent="0.4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x14ac:dyDescent="0.4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x14ac:dyDescent="0.4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Das</dc:creator>
  <cp:lastModifiedBy>Devashish Das</cp:lastModifiedBy>
  <dcterms:created xsi:type="dcterms:W3CDTF">2025-07-05T20:18:25Z</dcterms:created>
  <dcterms:modified xsi:type="dcterms:W3CDTF">2025-07-09T08:45:45Z</dcterms:modified>
</cp:coreProperties>
</file>