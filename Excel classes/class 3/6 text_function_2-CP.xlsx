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91943\Downloads\Upgrad classes\class 3\"/>
    </mc:Choice>
  </mc:AlternateContent>
  <xr:revisionPtr revIDLastSave="0" documentId="13_ncr:1_{6A13E298-F044-4A31-835C-3359D8CD4923}" xr6:coauthVersionLast="47" xr6:coauthVersionMax="47" xr10:uidLastSave="{00000000-0000-0000-0000-000000000000}"/>
  <bookViews>
    <workbookView xWindow="-108" yWindow="-108" windowWidth="23256" windowHeight="13176" xr2:uid="{F72576B9-AE06-409C-95AC-89D8D3386214}"/>
  </bookViews>
  <sheets>
    <sheet name="Text Functions_2" sheetId="2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</externalReferences>
  <definedNames>
    <definedName name="Apr">#REF!</definedName>
    <definedName name="Bonus_Percentage">0.2</definedName>
    <definedName name="DeliveryCharges">5%</definedName>
    <definedName name="DeliveryCharges_Perc">2%</definedName>
    <definedName name="Dyn_EmpData">OFFSET('[1]Name Manager'!$G$1,0,0,COUNTA('[1]Name Manager'!$G:$G),2)</definedName>
    <definedName name="Dyn_EmpDetails">OFFSET('[2]Name Manager'!$J$1,0,0,COUNTA('[2]Name Manager'!$J:$J),2)</definedName>
    <definedName name="Dyn_SalaryInfo">OFFSET('[3]Name Manager'!$P$1,0,0,12,4)</definedName>
    <definedName name="Dynamic_EmpData">OFFSET('[4]Name Manager'!$J$1,0,0,COUNTA('[4]Name Manager'!$J:$J),2)</definedName>
    <definedName name="Dynamic_EmpList">OFFSET('[5]Name Manager'!$J$1,0,0,COUNTA('[5]Name Manager'!$J:$J),2)</definedName>
    <definedName name="Dynamic_EmployeeData">OFFSET('[6]Name Manager'!$J$1,0,0,COUNTA('[6]Name Manager'!$J:$J),2)</definedName>
    <definedName name="Dynamic_EmpRange">OFFSET(#REF!,0,0,COUNTA(#REF!),3)</definedName>
    <definedName name="DynamicProductList">OFFSET('[7]Named Range'!$E$2,0,0,COUNTA('[7]Named Range'!$E$2:$E$100),1)</definedName>
    <definedName name="East">'[2]Name Manager'!$AA$2:$AA$6</definedName>
    <definedName name="Emp">#REF!</definedName>
    <definedName name="Emp_Details" comment="hey this is my first name range...">'[2]Name Manager'!$D$1:$E$9</definedName>
    <definedName name="Emp1_">#REF!</definedName>
    <definedName name="Emp2_">#REF!</definedName>
    <definedName name="Emp3_">#REF!</definedName>
    <definedName name="Emp4_">#REF!</definedName>
    <definedName name="Emp5_">#REF!</definedName>
    <definedName name="EmpData">'[4]Name Manager'!$D$1:$E$11</definedName>
    <definedName name="EmployeeData">'[6]Name Manager'!$D$1:$E$12</definedName>
    <definedName name="EmpNamesList">'[4]Name Manager'!$D$1:$D$11</definedName>
    <definedName name="Feb">#REF!</definedName>
    <definedName name="GST_Rate_1">20%</definedName>
    <definedName name="GST_Tax1">20%</definedName>
    <definedName name="Headers">'[3]Name Manager'!$D$1:$G$1</definedName>
    <definedName name="Jan">#REF!</definedName>
    <definedName name="Mar">#REF!</definedName>
    <definedName name="May">#REF!</definedName>
    <definedName name="My_Data">#REF!</definedName>
    <definedName name="North">'[2]Name Manager'!$AC$2:$AC$6</definedName>
    <definedName name="Product_List">'[7]Named Range'!$C$1:$C$10</definedName>
    <definedName name="Salary_Headers">'[3]Name Manager'!$P$1:$S$1</definedName>
    <definedName name="SalaryRange">'[3]Name Manager'!$D$1:$G$13</definedName>
    <definedName name="SAM100_">#REF!</definedName>
    <definedName name="Tax_Rate">0.2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40" i="2" l="1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39" i="2"/>
  <c r="D123" i="2"/>
  <c r="D124" i="2"/>
  <c r="D125" i="2"/>
  <c r="D126" i="2"/>
  <c r="D127" i="2"/>
  <c r="D128" i="2"/>
  <c r="D129" i="2"/>
  <c r="D130" i="2"/>
  <c r="D131" i="2"/>
  <c r="D132" i="2"/>
  <c r="D133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N106" i="2"/>
  <c r="N107" i="2"/>
  <c r="N108" i="2"/>
  <c r="N109" i="2"/>
  <c r="N110" i="2"/>
  <c r="N111" i="2"/>
  <c r="N112" i="2"/>
  <c r="N113" i="2"/>
  <c r="N114" i="2"/>
  <c r="N115" i="2"/>
  <c r="N116" i="2"/>
  <c r="N117" i="2"/>
  <c r="N118" i="2"/>
  <c r="N119" i="2"/>
  <c r="O106" i="2"/>
  <c r="O107" i="2"/>
  <c r="O108" i="2"/>
  <c r="O109" i="2"/>
  <c r="O110" i="2"/>
  <c r="O111" i="2"/>
  <c r="O112" i="2"/>
  <c r="O113" i="2"/>
  <c r="O114" i="2"/>
  <c r="O115" i="2"/>
  <c r="O116" i="2"/>
  <c r="O117" i="2"/>
  <c r="O118" i="2"/>
  <c r="O119" i="2"/>
  <c r="O105" i="2"/>
  <c r="N105" i="2"/>
  <c r="L105" i="2"/>
  <c r="M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05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05" i="2"/>
  <c r="C100" i="2"/>
  <c r="C99" i="2"/>
  <c r="D94" i="2"/>
  <c r="F87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54" i="2"/>
  <c r="B36" i="2"/>
  <c r="B37" i="2"/>
  <c r="B38" i="2"/>
  <c r="B39" i="2"/>
  <c r="B40" i="2"/>
  <c r="B35" i="2"/>
  <c r="D11" i="2"/>
  <c r="D10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10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Karthik Dale</author>
  </authors>
  <commentList>
    <comment ref="E101" authorId="0" shapeId="0" xr:uid="{83B820AA-CAFB-4BA3-BE7C-47257DBC0578}">
      <text>
        <r>
          <rPr>
            <b/>
            <sz val="9"/>
            <color indexed="81"/>
            <rFont val="Tahoma"/>
            <family val="2"/>
          </rPr>
          <t>Karthik Dale: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<sst xmlns="http://schemas.openxmlformats.org/spreadsheetml/2006/main" count="338" uniqueCount="223">
  <si>
    <t>D</t>
  </si>
  <si>
    <t>C</t>
  </si>
  <si>
    <t>B</t>
  </si>
  <si>
    <t>A</t>
  </si>
  <si>
    <t>Print Alphabet Vertically (Hint - use Char &amp; Row functions)</t>
  </si>
  <si>
    <t>Print Numbers 1 to 10 vertically using formula</t>
  </si>
  <si>
    <t>Home Work</t>
  </si>
  <si>
    <t>ROW</t>
  </si>
  <si>
    <t>Names</t>
  </si>
  <si>
    <t>Emp 217 539585 112000</t>
  </si>
  <si>
    <t>Emp 734 727943 17000</t>
  </si>
  <si>
    <t>Emp 15 544333 61000</t>
  </si>
  <si>
    <t>Emp 832 711467 170000</t>
  </si>
  <si>
    <t>Emp 866 333823 213000</t>
  </si>
  <si>
    <t>Emp 802 806896 44000</t>
  </si>
  <si>
    <t>Emp 563 619510 236000</t>
  </si>
  <si>
    <t>Emp 70 696010 221000</t>
  </si>
  <si>
    <t>Emp 31 648441 182000</t>
  </si>
  <si>
    <t>Emp 578 923154 168000</t>
  </si>
  <si>
    <t>Emp 122 621417 68000</t>
  </si>
  <si>
    <t>Emp 531 971946 161000</t>
  </si>
  <si>
    <t>Emp 563 712117 51000</t>
  </si>
  <si>
    <t>Emp 338 486078 157000</t>
  </si>
  <si>
    <t>Emp 129 355535 170000</t>
  </si>
  <si>
    <t>Emp 48 850570 197000</t>
  </si>
  <si>
    <t>Emp 437 924680 92000</t>
  </si>
  <si>
    <t>Emp 825 245605 217000</t>
  </si>
  <si>
    <t>Salary in thousands</t>
  </si>
  <si>
    <t>Salary</t>
  </si>
  <si>
    <t>Emp 412 712927 106000</t>
  </si>
  <si>
    <t>Emp 764 714085 51000</t>
  </si>
  <si>
    <t>Emp 9 207605 150000</t>
  </si>
  <si>
    <t>Emp 350 343705 229000</t>
  </si>
  <si>
    <t>Emp 577 732881 34000</t>
  </si>
  <si>
    <t>3451</t>
  </si>
  <si>
    <t>Emp 854 936026 122000</t>
  </si>
  <si>
    <t>1836</t>
  </si>
  <si>
    <t>Emp 571 713703 221000</t>
  </si>
  <si>
    <t>4219</t>
  </si>
  <si>
    <t>Emp 899 978202 215000</t>
  </si>
  <si>
    <t>1910</t>
  </si>
  <si>
    <t>Emp 638 149109 16000</t>
  </si>
  <si>
    <t>4807</t>
  </si>
  <si>
    <t>Emp 27 382109 249000</t>
  </si>
  <si>
    <t>1371</t>
  </si>
  <si>
    <t>Emp 638 140909 82000</t>
  </si>
  <si>
    <t>1355</t>
  </si>
  <si>
    <t>Emp 18 211710 148000</t>
  </si>
  <si>
    <t>1946</t>
  </si>
  <si>
    <t>Emp 540 251227 164000</t>
  </si>
  <si>
    <t>2429</t>
  </si>
  <si>
    <t>Emp 543 925048 131000</t>
  </si>
  <si>
    <t>3743</t>
  </si>
  <si>
    <t>Emp 174 393570 162000</t>
  </si>
  <si>
    <t>3939</t>
  </si>
  <si>
    <t>Emp 689 451216 192000</t>
  </si>
  <si>
    <t>4201</t>
  </si>
  <si>
    <t>Emp 988 979440 108000</t>
  </si>
  <si>
    <t>3000</t>
  </si>
  <si>
    <t>Emp 165 714572 120000</t>
  </si>
  <si>
    <t>2000</t>
  </si>
  <si>
    <t>Emp 455 621631 187000</t>
  </si>
  <si>
    <t>1000</t>
  </si>
  <si>
    <t>Emp 130 740544 212000</t>
  </si>
  <si>
    <t>Year</t>
  </si>
  <si>
    <t>Day Full Name</t>
  </si>
  <si>
    <t>Month Full Name</t>
  </si>
  <si>
    <t>Month Short Name &amp; Year</t>
  </si>
  <si>
    <t>Date</t>
  </si>
  <si>
    <t>Mobile# in Required Format</t>
  </si>
  <si>
    <t>Mobile#</t>
  </si>
  <si>
    <t>Convert to Proper Number</t>
  </si>
  <si>
    <t>Text Formatted Numbers</t>
  </si>
  <si>
    <t>Convert to Text Formatted Numbers</t>
  </si>
  <si>
    <t>Emp IDs</t>
  </si>
  <si>
    <t>Emp 256 131242 148000</t>
  </si>
  <si>
    <t>Monday</t>
  </si>
  <si>
    <t>August</t>
  </si>
  <si>
    <t>Emp 109 778401 44000</t>
  </si>
  <si>
    <t>Emp 898 960318 206000</t>
  </si>
  <si>
    <t>Working with Text Formula</t>
  </si>
  <si>
    <t>Emp 369 982146 142000</t>
  </si>
  <si>
    <t>hello</t>
  </si>
  <si>
    <t>Emp 978 422473 81000</t>
  </si>
  <si>
    <t xml:space="preserve">sorry </t>
  </si>
  <si>
    <t>Emp 599 617766 123000</t>
  </si>
  <si>
    <t>Rept 3 times</t>
  </si>
  <si>
    <t>Text</t>
  </si>
  <si>
    <t>Emp 971 776592 141000</t>
  </si>
  <si>
    <t>HERE</t>
  </si>
  <si>
    <t>Emp 345 982421 220000</t>
  </si>
  <si>
    <t>Emp 278 509694 182000</t>
  </si>
  <si>
    <t>pramod</t>
  </si>
  <si>
    <t>Emp 818 905376 74000</t>
  </si>
  <si>
    <t>Emp 446 174968 89000</t>
  </si>
  <si>
    <t>Saharsh</t>
  </si>
  <si>
    <t>Emp 958 569179 82000</t>
  </si>
  <si>
    <t>Task: Get all the "Names" in one cell with the "_" as delimeter</t>
  </si>
  <si>
    <t>Khushi</t>
  </si>
  <si>
    <t>Emp 472 308229 191000</t>
  </si>
  <si>
    <t>Note: TextJoin is new from 2016 version of Excel</t>
  </si>
  <si>
    <t>ramesh</t>
  </si>
  <si>
    <t>Emp 597 658877 175000</t>
  </si>
  <si>
    <t>ram</t>
  </si>
  <si>
    <t>Emp 990 267763 159000</t>
  </si>
  <si>
    <t>Concatinate all names into single cell with a delimiter "_"</t>
  </si>
  <si>
    <t>Emp 23 122052 87000</t>
  </si>
  <si>
    <t>Emp 171 752667 14000</t>
  </si>
  <si>
    <t>kohli</t>
  </si>
  <si>
    <t>virat</t>
  </si>
  <si>
    <t>Emp 784 341976 210000</t>
  </si>
  <si>
    <t>Emp 749 258519 139000</t>
  </si>
  <si>
    <t>Emp 415 195575 123000</t>
  </si>
  <si>
    <t>Emp 273 204375 115000</t>
  </si>
  <si>
    <t>RAJESH UPPALA</t>
  </si>
  <si>
    <t>Emp 121 288624 15000</t>
  </si>
  <si>
    <t>V V S Laxman</t>
  </si>
  <si>
    <t>Emp 682 687866 162000</t>
  </si>
  <si>
    <t>abhimanyu pulugurtha TL</t>
  </si>
  <si>
    <t>Emp 150 765297 248000</t>
  </si>
  <si>
    <t>Emp 803 993757 51000</t>
  </si>
  <si>
    <t>Emp Names</t>
  </si>
  <si>
    <t>Emp 931 888326 173000</t>
  </si>
  <si>
    <t>Emp 119 449878 15000</t>
  </si>
  <si>
    <t>Emp 661 944973 195000</t>
  </si>
  <si>
    <t>ABDUL RAZZAK</t>
  </si>
  <si>
    <t>Emp 200 950269 143000</t>
  </si>
  <si>
    <t>SHRAVAN KUMAR</t>
  </si>
  <si>
    <t>Emp 753 780130 39000</t>
  </si>
  <si>
    <t>RAJESH CHIGURUPATI</t>
  </si>
  <si>
    <t>Emp 861 202189 78000</t>
  </si>
  <si>
    <t>ravi kishore</t>
  </si>
  <si>
    <t>Emp 814 177516 181000</t>
  </si>
  <si>
    <t>prakash ramachandran</t>
  </si>
  <si>
    <t>Emp 988 834710 157000</t>
  </si>
  <si>
    <t>Gundu Kumar</t>
  </si>
  <si>
    <t>Emp 166 783228 232000</t>
  </si>
  <si>
    <t>V GOWTHAMI</t>
  </si>
  <si>
    <t>Emp 58 687315 221000</t>
  </si>
  <si>
    <t>rijoy kapoor</t>
  </si>
  <si>
    <t>Emp 939 557876 230000</t>
  </si>
  <si>
    <t>LAKSHMI VENNELA</t>
  </si>
  <si>
    <t>Emp 337 882820 244000</t>
  </si>
  <si>
    <t>Data</t>
  </si>
  <si>
    <t>RAJENDRA S</t>
  </si>
  <si>
    <t>Emp 323 381939 111000</t>
  </si>
  <si>
    <t>sujana kasturi</t>
  </si>
  <si>
    <t>Emp 371 766007 198000</t>
  </si>
  <si>
    <t>Saharsh Dale</t>
  </si>
  <si>
    <t>Emp 252 228001 65000</t>
  </si>
  <si>
    <t>Kiran Kunaparaju</t>
  </si>
  <si>
    <t>Emp 385 857081 112000</t>
  </si>
  <si>
    <t>malay mandal</t>
  </si>
  <si>
    <t>Emp 387 906917 208000</t>
  </si>
  <si>
    <t>Kaushik Kumar</t>
  </si>
  <si>
    <t>Emp 175 543799 67000</t>
  </si>
  <si>
    <t>ALFRED JOSEPH</t>
  </si>
  <si>
    <t>Emp 10 378956 215000</t>
  </si>
  <si>
    <t>Emp 871 176916 136000</t>
  </si>
  <si>
    <t>Suresh KARNE</t>
  </si>
  <si>
    <t>Emp 355 123972 173000</t>
  </si>
  <si>
    <t>Kamal          Chalamalasetti</t>
  </si>
  <si>
    <t>Emp 390 384501 57000</t>
  </si>
  <si>
    <t>Emp 594 712174 123000</t>
  </si>
  <si>
    <t>Emp 342 679450 231000</t>
  </si>
  <si>
    <t>Emp 952 219748 40000</t>
  </si>
  <si>
    <t>SWATHI MATAM Kumari</t>
  </si>
  <si>
    <t>Emp 170 450417 124000</t>
  </si>
  <si>
    <t>Substitute " " with "@" in only in 1st &amp; 2nd Instance</t>
  </si>
  <si>
    <t>Substitute " " with "@" only in 1st Instance</t>
  </si>
  <si>
    <t>Substitute " " with "-"</t>
  </si>
  <si>
    <t>Emp 227 655682 199000</t>
  </si>
  <si>
    <t>Emp 98 997526 22000</t>
  </si>
  <si>
    <t>SWATHI MATAM K</t>
  </si>
  <si>
    <t>Emp 944 331399 39000</t>
  </si>
  <si>
    <t>a b c d</t>
  </si>
  <si>
    <t>Emp 999 294733 225000</t>
  </si>
  <si>
    <t>Sachin Ramesh Tendulkar Great Cricket Player</t>
  </si>
  <si>
    <t>Sales</t>
  </si>
  <si>
    <t>Product Id</t>
  </si>
  <si>
    <t>Emp Id</t>
  </si>
  <si>
    <t>Substitute " " with "@"</t>
  </si>
  <si>
    <t>Full Name</t>
  </si>
  <si>
    <t>Required Output</t>
  </si>
  <si>
    <t>nar esh maka</t>
  </si>
  <si>
    <t>abhimanyu pulu gurtha</t>
  </si>
  <si>
    <t>SWATHI MA TAM</t>
  </si>
  <si>
    <t>Suresh KARNE a</t>
  </si>
  <si>
    <t>Kamal Chala malasetti</t>
  </si>
  <si>
    <t>RAJESH UPPA LA</t>
  </si>
  <si>
    <t>abhimanyu pulu gurtha rajesh</t>
  </si>
  <si>
    <t>Kamal Chalam alasetti</t>
  </si>
  <si>
    <t>mahendra singh dhoni</t>
  </si>
  <si>
    <t>sachin ramesh tendulkar ex team captain</t>
  </si>
  <si>
    <t>3rd space</t>
  </si>
  <si>
    <t>Find second " " position number</t>
  </si>
  <si>
    <t>Find first " " position number</t>
  </si>
  <si>
    <t>Text Functions</t>
  </si>
  <si>
    <t xml:space="preserve">shahid </t>
  </si>
  <si>
    <t>kapoor</t>
  </si>
  <si>
    <t>subh</t>
  </si>
  <si>
    <t>shree</t>
  </si>
  <si>
    <t>varsha</t>
  </si>
  <si>
    <t>badal</t>
  </si>
  <si>
    <t>prabhat</t>
  </si>
  <si>
    <t>suraj</t>
  </si>
  <si>
    <t>gagan</t>
  </si>
  <si>
    <t>patal</t>
  </si>
  <si>
    <t>a</t>
  </si>
  <si>
    <t>lok</t>
  </si>
  <si>
    <t>him</t>
  </si>
  <si>
    <t>ansh</t>
  </si>
  <si>
    <t>maya</t>
  </si>
  <si>
    <t>aashu</t>
  </si>
  <si>
    <t>tosh</t>
  </si>
  <si>
    <t>priya</t>
  </si>
  <si>
    <t>ashish</t>
  </si>
  <si>
    <t>id</t>
  </si>
  <si>
    <t>join the text</t>
  </si>
  <si>
    <t xml:space="preserve">merge with sapce </t>
  </si>
  <si>
    <t>merge without formula</t>
  </si>
  <si>
    <t>Emp</t>
  </si>
  <si>
    <r>
      <t xml:space="preserve"> </t>
    </r>
    <r>
      <rPr>
        <sz val="24"/>
        <color theme="1"/>
        <rFont val="Aptos Narrow"/>
        <family val="2"/>
        <scheme val="minor"/>
      </rPr>
      <t xml:space="preserve">here we are using the </t>
    </r>
    <r>
      <rPr>
        <u/>
        <sz val="24"/>
        <color theme="1"/>
        <rFont val="Aptos Narrow"/>
        <family val="2"/>
        <scheme val="minor"/>
      </rPr>
      <t>data tab</t>
    </r>
    <r>
      <rPr>
        <sz val="24"/>
        <color theme="1"/>
        <rFont val="Aptos Narrow"/>
        <family val="2"/>
        <scheme val="minor"/>
      </rPr>
      <t xml:space="preserve"> and then we go to </t>
    </r>
    <r>
      <rPr>
        <u/>
        <sz val="24"/>
        <color theme="1"/>
        <rFont val="Aptos Narrow"/>
        <family val="2"/>
        <scheme val="minor"/>
      </rPr>
      <t>text to column option</t>
    </r>
    <r>
      <rPr>
        <sz val="24"/>
        <color theme="1"/>
        <rFont val="Aptos Narrow"/>
        <family val="2"/>
        <scheme val="minor"/>
      </rPr>
      <t xml:space="preserve"> and then we do it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</si>
</sst>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mmm/yyyy"/>
    <numFmt numFmtId="165" formatCode="_(&quot;$&quot;* #,##0.00_);_(&quot;$&quot;* \(#,##0.00\);_(&quot;$&quot;* &quot;-&quot;??_);_(@_)"/>
    <numFmt numFmtId="166" formatCode="##000.0"/>
    <numFmt numFmtId="169" formatCode="####\-####\-##"/>
    <numFmt numFmtId="174" formatCode="###,\k"/>
  </numFmts>
  <fonts count="1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5"/>
      <color theme="1"/>
      <name val="Aptos Narrow"/>
      <family val="2"/>
      <scheme val="minor"/>
    </font>
    <font>
      <b/>
      <sz val="15"/>
      <color theme="1"/>
      <name val="Aptos Narrow"/>
      <family val="2"/>
      <scheme val="minor"/>
    </font>
    <font>
      <sz val="11"/>
      <color theme="1"/>
      <name val="Calibri"/>
      <family val="2"/>
    </font>
    <font>
      <sz val="11"/>
      <color theme="1"/>
      <name val="Segoe UI"/>
      <family val="2"/>
    </font>
    <font>
      <sz val="40"/>
      <color theme="1"/>
      <name val="Aptos Narrow"/>
      <family val="2"/>
      <scheme val="minor"/>
    </font>
    <font>
      <sz val="40"/>
      <color theme="9" tint="0.59999389629810485"/>
      <name val="Aptos Narrow"/>
      <family val="2"/>
      <scheme val="minor"/>
    </font>
    <font>
      <b/>
      <sz val="40"/>
      <color theme="0"/>
      <name val="Aptos Narrow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24"/>
      <color theme="1"/>
      <name val="Aptos Narrow"/>
      <family val="2"/>
      <scheme val="minor"/>
    </font>
    <font>
      <u/>
      <sz val="24"/>
      <color theme="1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134A2C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theme="0" tint="-0.249977111117893"/>
      </bottom>
      <diagonal/>
    </border>
    <border>
      <left style="medium">
        <color indexed="64"/>
      </left>
      <right style="medium">
        <color indexed="64"/>
      </right>
      <top style="thin">
        <color theme="0" tint="-0.249977111117893"/>
      </top>
      <bottom style="thin">
        <color theme="0" tint="-0.249977111117893"/>
      </bottom>
      <diagonal/>
    </border>
    <border>
      <left style="medium">
        <color indexed="64"/>
      </left>
      <right style="medium">
        <color indexed="64"/>
      </right>
      <top style="thin">
        <color theme="0" tint="-0.249977111117893"/>
      </top>
      <bottom style="medium">
        <color indexed="64"/>
      </bottom>
      <diagonal/>
    </border>
  </borders>
  <cellStyleXfs count="5">
    <xf numFmtId="0" fontId="0" fillId="0" borderId="0"/>
    <xf numFmtId="0" fontId="1" fillId="0" borderId="0"/>
    <xf numFmtId="165" fontId="1" fillId="0" borderId="0" applyFont="0" applyFill="0" applyBorder="0" applyAlignment="0" applyProtection="0"/>
    <xf numFmtId="0" fontId="4" fillId="0" borderId="0"/>
    <xf numFmtId="0" fontId="5" fillId="0" borderId="0"/>
  </cellStyleXfs>
  <cellXfs count="48">
    <xf numFmtId="0" fontId="0" fillId="0" borderId="0" xfId="0"/>
    <xf numFmtId="0" fontId="2" fillId="0" borderId="0" xfId="1" applyFont="1"/>
    <xf numFmtId="0" fontId="2" fillId="0" borderId="1" xfId="1" applyFont="1" applyBorder="1"/>
    <xf numFmtId="0" fontId="2" fillId="3" borderId="1" xfId="1" applyFont="1" applyFill="1" applyBorder="1"/>
    <xf numFmtId="0" fontId="2" fillId="4" borderId="1" xfId="1" applyFont="1" applyFill="1" applyBorder="1"/>
    <xf numFmtId="14" fontId="2" fillId="3" borderId="1" xfId="1" applyNumberFormat="1" applyFont="1" applyFill="1" applyBorder="1"/>
    <xf numFmtId="0" fontId="2" fillId="4" borderId="1" xfId="1" quotePrefix="1" applyFont="1" applyFill="1" applyBorder="1"/>
    <xf numFmtId="0" fontId="2" fillId="3" borderId="1" xfId="1" quotePrefix="1" applyFont="1" applyFill="1" applyBorder="1"/>
    <xf numFmtId="0" fontId="2" fillId="5" borderId="1" xfId="1" applyFont="1" applyFill="1" applyBorder="1"/>
    <xf numFmtId="164" fontId="2" fillId="0" borderId="0" xfId="1" applyNumberFormat="1" applyFont="1" applyAlignment="1">
      <alignment horizontal="left"/>
    </xf>
    <xf numFmtId="0" fontId="2" fillId="6" borderId="0" xfId="1" applyFont="1" applyFill="1"/>
    <xf numFmtId="0" fontId="2" fillId="2" borderId="2" xfId="1" applyFont="1" applyFill="1" applyBorder="1"/>
    <xf numFmtId="0" fontId="2" fillId="3" borderId="2" xfId="1" applyFont="1" applyFill="1" applyBorder="1"/>
    <xf numFmtId="0" fontId="2" fillId="5" borderId="2" xfId="1" applyFont="1" applyFill="1" applyBorder="1"/>
    <xf numFmtId="0" fontId="2" fillId="0" borderId="0" xfId="1" quotePrefix="1" applyFont="1"/>
    <xf numFmtId="0" fontId="2" fillId="0" borderId="1" xfId="2" applyNumberFormat="1" applyFont="1" applyBorder="1"/>
    <xf numFmtId="0" fontId="3" fillId="0" borderId="0" xfId="1" applyFont="1"/>
    <xf numFmtId="0" fontId="4" fillId="0" borderId="0" xfId="3"/>
    <xf numFmtId="0" fontId="1" fillId="0" borderId="0" xfId="1"/>
    <xf numFmtId="0" fontId="6" fillId="0" borderId="0" xfId="1" applyFont="1"/>
    <xf numFmtId="0" fontId="7" fillId="7" borderId="0" xfId="1" applyFont="1" applyFill="1"/>
    <xf numFmtId="0" fontId="7" fillId="8" borderId="0" xfId="1" applyFont="1" applyFill="1"/>
    <xf numFmtId="0" fontId="3" fillId="9" borderId="1" xfId="1" applyFont="1" applyFill="1" applyBorder="1" applyAlignment="1">
      <alignment horizontal="center"/>
    </xf>
    <xf numFmtId="0" fontId="2" fillId="0" borderId="4" xfId="1" applyFont="1" applyBorder="1"/>
    <xf numFmtId="0" fontId="2" fillId="0" borderId="5" xfId="1" applyFont="1" applyBorder="1"/>
    <xf numFmtId="0" fontId="2" fillId="9" borderId="6" xfId="1" applyFont="1" applyFill="1" applyBorder="1"/>
    <xf numFmtId="0" fontId="11" fillId="10" borderId="0" xfId="0" applyFont="1" applyFill="1"/>
    <xf numFmtId="0" fontId="2" fillId="0" borderId="7" xfId="1" applyFont="1" applyBorder="1"/>
    <xf numFmtId="0" fontId="2" fillId="5" borderId="8" xfId="1" applyFont="1" applyFill="1" applyBorder="1"/>
    <xf numFmtId="0" fontId="2" fillId="5" borderId="9" xfId="1" applyFont="1" applyFill="1" applyBorder="1"/>
    <xf numFmtId="0" fontId="2" fillId="5" borderId="10" xfId="1" applyFont="1" applyFill="1" applyBorder="1"/>
    <xf numFmtId="0" fontId="2" fillId="3" borderId="11" xfId="1" applyFont="1" applyFill="1" applyBorder="1"/>
    <xf numFmtId="0" fontId="2" fillId="0" borderId="12" xfId="1" applyFont="1" applyBorder="1"/>
    <xf numFmtId="0" fontId="2" fillId="3" borderId="13" xfId="1" applyFont="1" applyFill="1" applyBorder="1"/>
    <xf numFmtId="0" fontId="2" fillId="5" borderId="14" xfId="1" applyFont="1" applyFill="1" applyBorder="1"/>
    <xf numFmtId="0" fontId="2" fillId="3" borderId="15" xfId="1" applyFont="1" applyFill="1" applyBorder="1"/>
    <xf numFmtId="0" fontId="2" fillId="3" borderId="16" xfId="1" applyFont="1" applyFill="1" applyBorder="1"/>
    <xf numFmtId="0" fontId="8" fillId="8" borderId="0" xfId="1" applyFont="1" applyFill="1" applyAlignment="1">
      <alignment horizontal="left" indent="67"/>
    </xf>
    <xf numFmtId="0" fontId="2" fillId="0" borderId="3" xfId="1" applyFont="1" applyBorder="1" applyAlignment="1">
      <alignment horizontal="center"/>
    </xf>
    <xf numFmtId="2" fontId="2" fillId="5" borderId="1" xfId="1" applyNumberFormat="1" applyFont="1" applyFill="1" applyBorder="1"/>
    <xf numFmtId="166" fontId="2" fillId="4" borderId="1" xfId="1" applyNumberFormat="1" applyFont="1" applyFill="1" applyBorder="1"/>
    <xf numFmtId="169" fontId="2" fillId="4" borderId="1" xfId="1" applyNumberFormat="1" applyFont="1" applyFill="1" applyBorder="1"/>
    <xf numFmtId="174" fontId="2" fillId="0" borderId="1" xfId="1" applyNumberFormat="1" applyFont="1" applyBorder="1"/>
    <xf numFmtId="3" fontId="2" fillId="0" borderId="0" xfId="1" applyNumberFormat="1" applyFont="1"/>
    <xf numFmtId="0" fontId="12" fillId="5" borderId="1" xfId="1" applyFont="1" applyFill="1" applyBorder="1"/>
    <xf numFmtId="0" fontId="12" fillId="3" borderId="1" xfId="1" applyFont="1" applyFill="1" applyBorder="1"/>
    <xf numFmtId="0" fontId="12" fillId="0" borderId="1" xfId="1" applyFont="1" applyBorder="1"/>
    <xf numFmtId="0" fontId="12" fillId="0" borderId="1" xfId="3" applyFont="1" applyBorder="1"/>
  </cellXfs>
  <cellStyles count="5">
    <cellStyle name="Currency 3 2 2 2 2" xfId="2" xr:uid="{83A2A3B6-34EE-4BB0-989E-4C090B2C2960}"/>
    <cellStyle name="Normal" xfId="0" builtinId="0"/>
    <cellStyle name="Normal 2" xfId="3" xr:uid="{BA478DF6-5D00-4197-AE15-79803DEE707D}"/>
    <cellStyle name="Normal 3" xfId="4" xr:uid="{AACD108B-78DE-4233-ACBA-A59BF70FD2D3}"/>
    <cellStyle name="Normal 6 4 2 2 2" xfId="1" xr:uid="{1A96BD11-D7CF-4474-BD56-6E547615AD7D}"/>
  </cellStyles>
  <dxfs count="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Aptos Narrow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sharedStrings" Target="sharedStrings.xml"/><Relationship Id="rId5" Type="http://schemas.openxmlformats.org/officeDocument/2006/relationships/externalLink" Target="externalLinks/externalLink4.xml"/><Relationship Id="rId10" Type="http://schemas.openxmlformats.org/officeDocument/2006/relationships/styles" Target="styles.xml"/><Relationship Id="rId4" Type="http://schemas.openxmlformats.org/officeDocument/2006/relationships/externalLink" Target="externalLinks/externalLink3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Start!A1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609600" cy="607972"/>
    <xdr:pic>
      <xdr:nvPicPr>
        <xdr:cNvPr id="2" name="Graphic 1" descr="Home outline">
          <a:hlinkClick xmlns:r="http://schemas.openxmlformats.org/officeDocument/2006/relationships" r:id="rId1" tooltip="Start"/>
          <a:extLst>
            <a:ext uri="{FF2B5EF4-FFF2-40B4-BE49-F238E27FC236}">
              <a16:creationId xmlns:a16="http://schemas.microsoft.com/office/drawing/2014/main" id="{F5D0D65D-569F-46B3-AF92-C426F7011B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0" y="0"/>
          <a:ext cx="609600" cy="607972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Karthik%20Dale\DataSkills\Batch%20Files\Batch%2093%20-%20Excel%20-%20Feb%202022%20(Morning%20Batch)\DataSkills%20Excel%20Class%20File%20-%20Batch%2093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Karthik%20Dale\Companies\ExcelR\Batch%2012%20(WD%20-%20Nov%2022nd%209%20AM%20to%2011%20AM)\13%20Advanced%20Excel%20Class%20File%20-%20Day%2013-%20Nov%2017th%20Batch%20-%20Karthik%20Dale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Karthik%20Dale\DataSkills\Batch%20Files\DataSkills%20-%20Advanced%20Excel%20Training%20-%20Batch%208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Karthik%20Dale\Companies\ExcelR\Batch%205%20(WD%20-%205%20PM%20to%207%20PM)\Excel\14%20Advanced%20Excel%20Class%20File%20-%20Day%2014-%20Aug%2018th%20Batch%20-%20Karthik%20Dale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Karthik%20Dale\Companies\ExcelR\Batch%201%20(WE%20-%209%20am%20to%201%20pm)\Excel\7%20Advanced%20Excel%20Class%20File%20-%20Day%207-%20June%2026th%202022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Karthik%20Dale\Companies\ExcelR\Batch%205%20(WD%20-%205%20PM%20to%207%20PM)\Excel\9%20Advanced%20Excel%20Class%20File%20-%20Day%209-%20Aug%2018th%20Batch%20-%20Karthik%20Dale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Karthik%20Dale\Companies\ExcelR\Batch%2012%20(WD%20-%20Nov%2022nd%209%20AM%20to%2011%20AM)\13%20Advanced%20Excel%20Class%20File%20-%20Day%2013-%20Batch%203040%20-%20%20Sep%2014th%20Batch%20-%20Karthik%20Dale.xlsx" TargetMode="External"/><Relationship Id="rId1" Type="http://schemas.openxmlformats.org/officeDocument/2006/relationships/externalLinkPath" Target="file:///G:\Karthik%20Dale\Companies\ExcelR\Batch%2012%20(WD%20-%20Nov%2022nd%209%20AM%20to%2011%20AM)\13%20Advanced%20Excel%20Class%20File%20-%20Day%2013-%20Batch%203040%20-%20%20Sep%2014th%20Batch%20-%20Karthik%20Dal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art"/>
      <sheetName val="Join the DataSkills Community"/>
      <sheetName val="About Excel"/>
      <sheetName val="How Big is Excel"/>
      <sheetName val="Copy &amp; Paste Special"/>
      <sheetName val="Sheet1"/>
      <sheetName val="Format as Table"/>
      <sheetName val="Conditional Formatting"/>
      <sheetName val="Conditional Formatting Prac"/>
      <sheetName val="Fill Series"/>
      <sheetName val="Flash Fill_Prac"/>
      <sheetName val="Flash Fill"/>
      <sheetName val="Data Types "/>
      <sheetName val="Number Format"/>
      <sheetName val="Customers Mobile Numbers"/>
      <sheetName val="Go to Special"/>
      <sheetName val="Go to Special (2)"/>
      <sheetName val="Misl"/>
      <sheetName val="Misl (2)"/>
      <sheetName val="The 3 Freezing Techniques"/>
      <sheetName val="Q &amp; A"/>
      <sheetName val="Suggestion1"/>
      <sheetName val="Formulas_Text"/>
      <sheetName val="Excel Requirements"/>
      <sheetName val="Date &amp; Time Functions"/>
      <sheetName val="Date Func Examples"/>
      <sheetName val="Logical Functions"/>
      <sheetName val="The Most Popular Formula"/>
      <sheetName val="Destination Sheet"/>
      <sheetName val="Index Formula"/>
      <sheetName val="Offset"/>
      <sheetName val="SUMIFS_Countifs_Averageifs"/>
      <sheetName val="Math Formulas"/>
      <sheetName val="Aggregate"/>
      <sheetName val="Statistical Functions"/>
      <sheetName val="Information Functions"/>
      <sheetName val="Name Manager"/>
      <sheetName val="Formula Not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>
        <row r="8">
          <cell r="G8" t="str">
            <v>Employee Name</v>
          </cell>
        </row>
      </sheetData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>
        <row r="1">
          <cell r="G1" t="str">
            <v>Employee Name</v>
          </cell>
        </row>
        <row r="2">
          <cell r="G2" t="str">
            <v>Abdul Razzak</v>
          </cell>
        </row>
        <row r="3">
          <cell r="G3" t="str">
            <v>Alexander Muthunoori</v>
          </cell>
        </row>
        <row r="4">
          <cell r="G4" t="str">
            <v>Anand Kumar Pandikonda</v>
          </cell>
        </row>
        <row r="5">
          <cell r="G5" t="str">
            <v>Anil Biradar</v>
          </cell>
        </row>
        <row r="6">
          <cell r="G6" t="str">
            <v>Swathi Matam</v>
          </cell>
        </row>
        <row r="7">
          <cell r="G7" t="str">
            <v>Arun KashaBoina</v>
          </cell>
        </row>
        <row r="8">
          <cell r="G8" t="str">
            <v>Saharsh</v>
          </cell>
        </row>
        <row r="9">
          <cell r="G9" t="str">
            <v>Khushi</v>
          </cell>
        </row>
        <row r="10">
          <cell r="G10" t="str">
            <v>Divya</v>
          </cell>
        </row>
      </sheetData>
      <sheetData sheetId="3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art"/>
      <sheetName val="Data Types "/>
      <sheetName val="Flash Fill"/>
      <sheetName val="Fill Series"/>
      <sheetName val="Number Format"/>
      <sheetName val="Conditional Formatting"/>
      <sheetName val="Make Excel Speak"/>
      <sheetName val="Copy &amp; Paste Special"/>
      <sheetName val="PS - Transpose"/>
      <sheetName val="PS - Paste &amp; Linked Picture"/>
      <sheetName val="Shortcuts"/>
      <sheetName val="Format as Table"/>
      <sheetName val="Excel file Formats"/>
      <sheetName val="Students Q &amp; A"/>
      <sheetName val="The 3 Freezing Techniques"/>
      <sheetName val="Text Functions"/>
      <sheetName val="Q &amp; A"/>
      <sheetName val="Date &amp; Time Functions"/>
      <sheetName val="Logical Functions"/>
      <sheetName val="SUMIFS_Countifs_Averageifs"/>
      <sheetName val="The Most Popular Formula"/>
      <sheetName val="Destination Sheet"/>
      <sheetName val="Index Formula"/>
      <sheetName val="Math Formulas_Prac"/>
      <sheetName val="Math Formulas"/>
      <sheetName val="Aggregate"/>
      <sheetName val="Statistical Functions"/>
      <sheetName val="Information Functions"/>
      <sheetName val="EMI Calculator"/>
      <sheetName val="Formula Notes"/>
      <sheetName val="Name Manager"/>
      <sheetName val="Data Ribbon 1"/>
      <sheetName val="Data Ribbon 2"/>
      <sheetName val="Text to Columns"/>
      <sheetName val="Remove Duplicates"/>
      <sheetName val="Review Ribbo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>
        <row r="1">
          <cell r="D1" t="str">
            <v>Employee Name</v>
          </cell>
          <cell r="E1" t="str">
            <v>Emp ID</v>
          </cell>
          <cell r="J1" t="str">
            <v>Employee Name</v>
          </cell>
        </row>
        <row r="2">
          <cell r="D2" t="str">
            <v>Divya Naidu</v>
          </cell>
          <cell r="E2" t="str">
            <v>Emp0345</v>
          </cell>
          <cell r="J2" t="str">
            <v>Divya Naidu</v>
          </cell>
          <cell r="AA2" t="str">
            <v>Name1</v>
          </cell>
          <cell r="AC2" t="str">
            <v>Name111</v>
          </cell>
        </row>
        <row r="3">
          <cell r="D3" t="str">
            <v>Alexander Muthunoori</v>
          </cell>
          <cell r="E3" t="str">
            <v>Emp0030</v>
          </cell>
          <cell r="J3" t="str">
            <v>Alexander Muthunoori</v>
          </cell>
          <cell r="AA3" t="str">
            <v>Name2</v>
          </cell>
          <cell r="AC3" t="str">
            <v>Name112</v>
          </cell>
        </row>
        <row r="4">
          <cell r="D4" t="str">
            <v>Anand Kumar Pandikonda</v>
          </cell>
          <cell r="E4" t="str">
            <v>Emp0476</v>
          </cell>
          <cell r="J4" t="str">
            <v>Anand Kumar Pandikonda</v>
          </cell>
          <cell r="AA4" t="str">
            <v>Name3</v>
          </cell>
          <cell r="AC4" t="str">
            <v>Name113</v>
          </cell>
        </row>
        <row r="5">
          <cell r="D5" t="str">
            <v>Anil Biradar</v>
          </cell>
          <cell r="E5" t="str">
            <v>Emp0189</v>
          </cell>
          <cell r="J5" t="str">
            <v>Anil Biradar</v>
          </cell>
          <cell r="AA5" t="str">
            <v>Name4</v>
          </cell>
          <cell r="AC5" t="str">
            <v>Name114</v>
          </cell>
        </row>
        <row r="6">
          <cell r="D6" t="str">
            <v>Swathi Matam</v>
          </cell>
          <cell r="E6" t="str">
            <v>Emp0553</v>
          </cell>
          <cell r="J6" t="str">
            <v>Swathi Matam</v>
          </cell>
          <cell r="AA6" t="str">
            <v>Name5</v>
          </cell>
          <cell r="AC6" t="str">
            <v>Name115</v>
          </cell>
        </row>
        <row r="7">
          <cell r="D7" t="str">
            <v>Arun KashaBoina</v>
          </cell>
          <cell r="E7" t="str">
            <v>Emp0584</v>
          </cell>
          <cell r="J7" t="str">
            <v>Arun KashaBoina</v>
          </cell>
        </row>
        <row r="8">
          <cell r="D8" t="str">
            <v>Khushi</v>
          </cell>
          <cell r="E8" t="str">
            <v>Emp123</v>
          </cell>
          <cell r="J8" t="str">
            <v>Saharsh</v>
          </cell>
        </row>
        <row r="9">
          <cell r="D9" t="str">
            <v>Saharsh</v>
          </cell>
          <cell r="E9" t="str">
            <v>Emp456</v>
          </cell>
          <cell r="J9" t="str">
            <v>Khushi</v>
          </cell>
        </row>
        <row r="10">
          <cell r="J10" t="str">
            <v>Divya</v>
          </cell>
        </row>
        <row r="11">
          <cell r="J11" t="str">
            <v>Rajesh Nair</v>
          </cell>
        </row>
        <row r="12">
          <cell r="J12" t="str">
            <v>Prakash</v>
          </cell>
        </row>
        <row r="13">
          <cell r="J13" t="str">
            <v>Prakash Ramachandran</v>
          </cell>
        </row>
        <row r="14">
          <cell r="J14" t="str">
            <v>Brahma</v>
          </cell>
        </row>
        <row r="15">
          <cell r="J15" t="str">
            <v>Dharani</v>
          </cell>
        </row>
        <row r="16">
          <cell r="J16" t="str">
            <v>Virat</v>
          </cell>
        </row>
      </sheetData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eyboard Shortcuts List"/>
      <sheetName val="History of Spreadsheet"/>
      <sheetName val="Format as Table"/>
      <sheetName val="How big is Excel sheet"/>
      <sheetName val="Data Types "/>
      <sheetName val="Copy_Paste &amp; Others"/>
      <sheetName val="Number Format"/>
      <sheetName val="Excel file Formats"/>
      <sheetName val="Conditional Formatting"/>
      <sheetName val="Conditional Formatting_Prac"/>
      <sheetName val="Fill Data"/>
      <sheetName val="Finding Last Cell"/>
      <sheetName val="Find and Select"/>
      <sheetName val="Editing Group"/>
      <sheetName val="Cells Group"/>
      <sheetName val="Formulas_Introduction"/>
      <sheetName val="Formulas_Text"/>
      <sheetName val="Formulas_Text_Prac"/>
      <sheetName val="Date &amp; Time Functions"/>
      <sheetName val="Logical Functions"/>
      <sheetName val="Formulas_Lookup &amp; Reference"/>
      <sheetName val="Index Formula"/>
      <sheetName val="Index Formula_Prac"/>
      <sheetName val="Index &amp; Vlookup Notes"/>
      <sheetName val="OFFSET &amp; Other Lookup"/>
      <sheetName val="Creating Dynamic Calendar"/>
      <sheetName val="SUMIFS_Countifs_Averageifs"/>
      <sheetName val="Math Formulas"/>
      <sheetName val="Statistical Functions"/>
      <sheetName val="Financial Formulas"/>
      <sheetName val="Information Functions"/>
      <sheetName val="Formula Notes"/>
      <sheetName val="Name Manager"/>
      <sheetName val="Data Ribbon"/>
      <sheetName val="Sales 2015"/>
      <sheetName val="Sales 2016"/>
      <sheetName val="Sales 2017"/>
      <sheetName val="Consolidate"/>
      <sheetName val="Subtotals"/>
      <sheetName val="Copy &amp; Paste Only Visible Data"/>
      <sheetName val="What-If Analysis"/>
      <sheetName val="Filter Data"/>
      <sheetName val="Advanced Filter"/>
      <sheetName val="Sorting Data"/>
      <sheetName val="Inser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>
        <row r="1">
          <cell r="D1" t="str">
            <v>Emp Name</v>
          </cell>
          <cell r="E1" t="str">
            <v>Designation</v>
          </cell>
          <cell r="F1" t="str">
            <v>Basic Salary</v>
          </cell>
          <cell r="G1" t="str">
            <v>HRA</v>
          </cell>
          <cell r="P1" t="str">
            <v>Emp Name</v>
          </cell>
          <cell r="Q1" t="str">
            <v>Designation</v>
          </cell>
          <cell r="R1" t="str">
            <v>Basic Salary</v>
          </cell>
          <cell r="S1" t="str">
            <v>HRA</v>
          </cell>
        </row>
        <row r="2">
          <cell r="D2" t="str">
            <v>Vineesha Matam</v>
          </cell>
          <cell r="E2" t="str">
            <v>Tester</v>
          </cell>
          <cell r="F2">
            <v>50000</v>
          </cell>
          <cell r="G2">
            <v>10000</v>
          </cell>
        </row>
        <row r="3">
          <cell r="D3" t="str">
            <v>Prakash R</v>
          </cell>
          <cell r="E3" t="str">
            <v>Manager</v>
          </cell>
          <cell r="F3">
            <v>10000</v>
          </cell>
          <cell r="G3">
            <v>4000</v>
          </cell>
        </row>
        <row r="4">
          <cell r="D4" t="str">
            <v>Padma Sri</v>
          </cell>
          <cell r="E4" t="str">
            <v>PJM</v>
          </cell>
          <cell r="F4">
            <v>23400</v>
          </cell>
          <cell r="G4">
            <v>20330</v>
          </cell>
        </row>
        <row r="5">
          <cell r="D5" t="str">
            <v>Patlolla Sathish</v>
          </cell>
          <cell r="E5" t="str">
            <v>Lead</v>
          </cell>
          <cell r="F5">
            <v>220800</v>
          </cell>
          <cell r="G5">
            <v>149217</v>
          </cell>
        </row>
        <row r="6">
          <cell r="D6" t="str">
            <v>Pranathi Adem</v>
          </cell>
          <cell r="E6" t="str">
            <v>DB</v>
          </cell>
          <cell r="F6">
            <v>55200</v>
          </cell>
          <cell r="G6">
            <v>17868</v>
          </cell>
        </row>
        <row r="7">
          <cell r="D7" t="str">
            <v>Kaushik Kumar</v>
          </cell>
          <cell r="E7" t="str">
            <v>Tester</v>
          </cell>
          <cell r="F7">
            <v>116100</v>
          </cell>
          <cell r="G7">
            <v>20868</v>
          </cell>
        </row>
        <row r="8">
          <cell r="D8" t="str">
            <v>Manish Tadepalli</v>
          </cell>
          <cell r="E8" t="str">
            <v>Manager</v>
          </cell>
          <cell r="F8">
            <v>140700</v>
          </cell>
          <cell r="G8">
            <v>16595</v>
          </cell>
        </row>
        <row r="9">
          <cell r="D9" t="str">
            <v>Rajesh Nair</v>
          </cell>
          <cell r="E9" t="str">
            <v>Architech</v>
          </cell>
          <cell r="F9">
            <v>159789</v>
          </cell>
          <cell r="G9">
            <v>2586</v>
          </cell>
        </row>
        <row r="10">
          <cell r="D10" t="str">
            <v>Rachna Bhagat</v>
          </cell>
          <cell r="E10" t="str">
            <v>Manager</v>
          </cell>
          <cell r="F10">
            <v>250000</v>
          </cell>
          <cell r="G10">
            <v>3698</v>
          </cell>
        </row>
        <row r="11">
          <cell r="D11" t="str">
            <v>Naveen</v>
          </cell>
          <cell r="E11" t="str">
            <v>Lead</v>
          </cell>
          <cell r="F11">
            <v>55000</v>
          </cell>
          <cell r="G11">
            <v>9999</v>
          </cell>
        </row>
        <row r="12">
          <cell r="D12" t="str">
            <v>Virat Kohli</v>
          </cell>
          <cell r="E12" t="str">
            <v>Captain</v>
          </cell>
          <cell r="F12">
            <v>99999</v>
          </cell>
          <cell r="G12">
            <v>36987</v>
          </cell>
        </row>
        <row r="13">
          <cell r="D13" t="str">
            <v>Rishabh Pant</v>
          </cell>
          <cell r="E13" t="str">
            <v>Batsman</v>
          </cell>
          <cell r="F13">
            <v>15000</v>
          </cell>
          <cell r="G13">
            <v>2500</v>
          </cell>
        </row>
      </sheetData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art"/>
      <sheetName val="Data Types "/>
      <sheetName val="Flash Fill"/>
      <sheetName val="Copy &amp; Paste Special"/>
      <sheetName val="PS - Transpose"/>
      <sheetName val="PS - Paste &amp; Linked Picture"/>
      <sheetName val="Shortcuts"/>
      <sheetName val="File Formats"/>
      <sheetName val="Conditional Formatting"/>
      <sheetName val="Format as Table"/>
      <sheetName val="Number Format"/>
      <sheetName val="Fill Series "/>
      <sheetName val="Goto Special"/>
      <sheetName val="Last Cell Ex"/>
      <sheetName val="Misl"/>
      <sheetName val="The 3 Freezing Techniques"/>
      <sheetName val="Formulas_Text"/>
      <sheetName val="Formulas_Text_Prac"/>
      <sheetName val="Date &amp; Time Functions"/>
      <sheetName val="Logical Functions"/>
      <sheetName val="SUMIFS_Countifs_Averageifs"/>
      <sheetName val="The Most Popular Formula"/>
      <sheetName val="Destination Sheet"/>
      <sheetName val="Index Formula"/>
      <sheetName val="Math Formulas"/>
      <sheetName val="Aggregate Func"/>
      <sheetName val="Statistical Functions"/>
      <sheetName val="Information Functions"/>
      <sheetName val="Formula Notes"/>
      <sheetName val="Name Manager"/>
      <sheetName val="Data Ribbon 1"/>
      <sheetName val="Filter Formula"/>
      <sheetName val="Data Ribbon 2"/>
      <sheetName val="Text to Columns"/>
      <sheetName val="Remove Duplicates"/>
      <sheetName val="Group UnGroup Data"/>
      <sheetName val="Insert Ribbon"/>
      <sheetName val="Encrypt the Wrbk"/>
      <sheetName val="Wrbk Structure Protection"/>
      <sheetName val="Sheet Protection"/>
      <sheetName val="Sheet1"/>
      <sheetName val="Unique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>
        <row r="1">
          <cell r="D1" t="str">
            <v>Employee Name</v>
          </cell>
          <cell r="E1" t="str">
            <v>Emp ID</v>
          </cell>
          <cell r="J1" t="str">
            <v>Employee Name</v>
          </cell>
        </row>
        <row r="2">
          <cell r="D2" t="str">
            <v>Divya Naidu</v>
          </cell>
          <cell r="E2" t="str">
            <v>Emp0345</v>
          </cell>
          <cell r="J2" t="str">
            <v>Divya Naidu</v>
          </cell>
        </row>
        <row r="3">
          <cell r="D3" t="str">
            <v>Alexander Muthunoori</v>
          </cell>
          <cell r="E3" t="str">
            <v>Emp0030</v>
          </cell>
          <cell r="J3" t="str">
            <v>Alexander Muthunoori</v>
          </cell>
        </row>
        <row r="4">
          <cell r="D4" t="str">
            <v>Anand Kumar Pandikonda</v>
          </cell>
          <cell r="E4" t="str">
            <v>Emp0476</v>
          </cell>
          <cell r="J4" t="str">
            <v>Anand Kumar Pandikonda</v>
          </cell>
        </row>
        <row r="5">
          <cell r="D5" t="str">
            <v>Anil Biradar</v>
          </cell>
          <cell r="E5" t="str">
            <v>Emp0189</v>
          </cell>
          <cell r="J5" t="str">
            <v>Anil Biradar</v>
          </cell>
        </row>
        <row r="6">
          <cell r="D6" t="str">
            <v>Swathi Matam</v>
          </cell>
          <cell r="E6" t="str">
            <v>Emp0553</v>
          </cell>
          <cell r="J6" t="str">
            <v>Swathi Matam</v>
          </cell>
        </row>
        <row r="7">
          <cell r="D7" t="str">
            <v>Arun KashaBoina</v>
          </cell>
          <cell r="E7" t="str">
            <v>Emp0584</v>
          </cell>
          <cell r="J7" t="str">
            <v>Arun KashaBoina</v>
          </cell>
        </row>
        <row r="8">
          <cell r="D8" t="str">
            <v>Khushi</v>
          </cell>
          <cell r="E8" t="str">
            <v>Emp123</v>
          </cell>
          <cell r="J8" t="str">
            <v>Saharsh</v>
          </cell>
        </row>
        <row r="9">
          <cell r="D9" t="str">
            <v>Saharsh</v>
          </cell>
          <cell r="E9" t="str">
            <v>Emp456</v>
          </cell>
          <cell r="J9" t="str">
            <v>Khushi</v>
          </cell>
        </row>
        <row r="10">
          <cell r="D10" t="str">
            <v>Priya</v>
          </cell>
          <cell r="E10" t="str">
            <v>Emp457</v>
          </cell>
          <cell r="J10" t="str">
            <v>Divya</v>
          </cell>
        </row>
        <row r="11">
          <cell r="D11" t="str">
            <v>Jyothi</v>
          </cell>
          <cell r="E11" t="str">
            <v>Emp458</v>
          </cell>
          <cell r="J11" t="str">
            <v>Karthik</v>
          </cell>
        </row>
        <row r="12">
          <cell r="J12" t="str">
            <v>Ramesh Y</v>
          </cell>
        </row>
        <row r="13">
          <cell r="J13" t="str">
            <v>Shravan</v>
          </cell>
        </row>
        <row r="14">
          <cell r="J14" t="str">
            <v>Sahasra</v>
          </cell>
        </row>
        <row r="24">
          <cell r="J24" t="str">
            <v>product name</v>
          </cell>
        </row>
        <row r="25">
          <cell r="J25" t="str">
            <v>hi</v>
          </cell>
        </row>
        <row r="26">
          <cell r="J26" t="str">
            <v>bye</v>
          </cell>
        </row>
      </sheetData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le Formats"/>
      <sheetName val="Data Types "/>
      <sheetName val="Copy &amp; Paste Special"/>
      <sheetName val="PS - Transpose"/>
      <sheetName val="PS - Paste &amp; Linked Picture"/>
      <sheetName val="Shortcuts"/>
      <sheetName val="Flash Fill"/>
      <sheetName val="Fill Series "/>
      <sheetName val="Goto Special"/>
      <sheetName val="GtS - More"/>
      <sheetName val="Format as Table"/>
      <sheetName val="Conditional Formatting"/>
      <sheetName val="Logical Operators"/>
      <sheetName val="Number Format"/>
      <sheetName val="Attendance"/>
      <sheetName val="Referencing &amp; Freeze Technique"/>
      <sheetName val="Formulas_Text"/>
      <sheetName val="Date &amp; Time Functions"/>
      <sheetName val="Order Info"/>
      <sheetName val="Logical Functions"/>
      <sheetName val="SUMIFS_Countifs_Averageifs"/>
      <sheetName val="Financial Functions"/>
      <sheetName val="The Most Popular Formula"/>
      <sheetName val="Destination Sheet"/>
      <sheetName val="Index Formula"/>
      <sheetName val="Math Formulas"/>
      <sheetName val="Aggregate Func"/>
      <sheetName val="Statistical Functions"/>
      <sheetName val="Information Functions"/>
      <sheetName val="Q &amp; A of Participants"/>
      <sheetName val="Formula Notes"/>
      <sheetName val="Name Manager"/>
      <sheetName val="Insert Ribbon"/>
      <sheetName val="Filters &amp; Adv Filters"/>
      <sheetName val="Sort &amp; Custom Sort"/>
      <sheetName val="Remove Duplicates"/>
      <sheetName val="Text to Columns"/>
      <sheetName val="Data Validatio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>
        <row r="1">
          <cell r="D1" t="str">
            <v>Employee Name</v>
          </cell>
          <cell r="J1" t="str">
            <v>Employee Name</v>
          </cell>
        </row>
        <row r="2">
          <cell r="J2" t="str">
            <v>Divya Naidu</v>
          </cell>
        </row>
        <row r="3">
          <cell r="J3" t="str">
            <v>Alexander Muthunoori</v>
          </cell>
        </row>
        <row r="4">
          <cell r="J4" t="str">
            <v>Anand Kumar Pandikonda</v>
          </cell>
        </row>
        <row r="5">
          <cell r="J5" t="str">
            <v>Anil Biradar</v>
          </cell>
        </row>
        <row r="6">
          <cell r="J6" t="str">
            <v>Swathi Matam</v>
          </cell>
        </row>
        <row r="7">
          <cell r="J7" t="str">
            <v>Arun KashaBoina</v>
          </cell>
        </row>
        <row r="8">
          <cell r="J8" t="str">
            <v>Saharsh</v>
          </cell>
        </row>
        <row r="9">
          <cell r="J9" t="str">
            <v>Khushi</v>
          </cell>
        </row>
        <row r="10">
          <cell r="J10" t="str">
            <v>Divya</v>
          </cell>
        </row>
        <row r="11">
          <cell r="J11" t="str">
            <v>Rajesh Nair</v>
          </cell>
        </row>
        <row r="12">
          <cell r="J12" t="str">
            <v>Prakash</v>
          </cell>
        </row>
        <row r="13">
          <cell r="J13" t="str">
            <v>Prakash Ramachandran</v>
          </cell>
        </row>
        <row r="14">
          <cell r="J14" t="str">
            <v>Brahma</v>
          </cell>
        </row>
      </sheetData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art"/>
      <sheetName val="Data Types "/>
      <sheetName val="Flash Fill"/>
      <sheetName val="Copy &amp; Paste Special"/>
      <sheetName val="PS - Transpose"/>
      <sheetName val="PS - Paste &amp; Linked Picture"/>
      <sheetName val="Shortcuts"/>
      <sheetName val="File Formats"/>
      <sheetName val="Conditional Formatting"/>
      <sheetName val="Format as Table"/>
      <sheetName val="Number Format"/>
      <sheetName val="Fill Series "/>
      <sheetName val="Goto Special"/>
      <sheetName val="Last Cell Ex"/>
      <sheetName val="Misl"/>
      <sheetName val="The 3 Freezing Techniques"/>
      <sheetName val="Formulas_Text"/>
      <sheetName val="Formulas_Text_Prac"/>
      <sheetName val="Date &amp; Time Functions"/>
      <sheetName val="Logical Functions"/>
      <sheetName val="SUMIFS_Countifs_Averageifs"/>
      <sheetName val="The Most Popular Formula"/>
      <sheetName val="Destination Sheet"/>
      <sheetName val="Index Formula"/>
      <sheetName val="Math Formulas"/>
      <sheetName val="Aggregate Func"/>
      <sheetName val="Statistical Functions"/>
      <sheetName val="Information Functions"/>
      <sheetName val="Formula Notes"/>
      <sheetName val="Name Manager"/>
      <sheetName val="Data Ribbon 1"/>
      <sheetName val="Data Ribbon 2"/>
      <sheetName val="Text to Columns"/>
      <sheetName val="Remove Duplicates"/>
      <sheetName val="Group UnGroup Data"/>
      <sheetName val="Insert Ribbon"/>
      <sheetName val="Encrypt the Wrbk"/>
      <sheetName val="Wrbk Structure Protection"/>
      <sheetName val="Sheet Protectio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>
        <row r="7">
          <cell r="AD7" t="str">
            <v>Sales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>
        <row r="1">
          <cell r="D1" t="str">
            <v>Employee Name</v>
          </cell>
          <cell r="E1" t="str">
            <v>Emp ID</v>
          </cell>
          <cell r="J1" t="str">
            <v>Employee Name</v>
          </cell>
        </row>
        <row r="2">
          <cell r="D2" t="str">
            <v>Divya Naidu</v>
          </cell>
          <cell r="E2" t="str">
            <v>Emp0345</v>
          </cell>
          <cell r="J2" t="str">
            <v>Divya Naidu</v>
          </cell>
        </row>
        <row r="3">
          <cell r="D3" t="str">
            <v>Alexander Muthunoori</v>
          </cell>
          <cell r="E3" t="str">
            <v>Emp0030</v>
          </cell>
          <cell r="J3" t="str">
            <v>Alexander Muthunoori</v>
          </cell>
        </row>
        <row r="4">
          <cell r="D4" t="str">
            <v>Anand Kumar Pandikonda</v>
          </cell>
          <cell r="E4" t="str">
            <v>Emp0476</v>
          </cell>
          <cell r="J4" t="str">
            <v>Anand Kumar Pandikonda</v>
          </cell>
        </row>
        <row r="5">
          <cell r="D5" t="str">
            <v>Anil Biradar</v>
          </cell>
          <cell r="E5" t="str">
            <v>Emp0189</v>
          </cell>
          <cell r="J5" t="str">
            <v>Anil Biradar</v>
          </cell>
        </row>
        <row r="6">
          <cell r="D6" t="str">
            <v>Swathi Matam</v>
          </cell>
          <cell r="E6" t="str">
            <v>Emp0553</v>
          </cell>
          <cell r="J6" t="str">
            <v>Swathi Matam</v>
          </cell>
        </row>
        <row r="7">
          <cell r="D7" t="str">
            <v>Arun KashaBoina</v>
          </cell>
          <cell r="E7" t="str">
            <v>Emp0584</v>
          </cell>
          <cell r="J7" t="str">
            <v>Arun KashaBoina</v>
          </cell>
        </row>
        <row r="8">
          <cell r="D8" t="str">
            <v>Khushi</v>
          </cell>
          <cell r="E8" t="str">
            <v>Emp123</v>
          </cell>
          <cell r="J8" t="str">
            <v>Saharsh</v>
          </cell>
        </row>
        <row r="9">
          <cell r="D9" t="str">
            <v>Saharsh</v>
          </cell>
          <cell r="E9" t="str">
            <v>Emp456</v>
          </cell>
          <cell r="J9" t="str">
            <v>Khushi</v>
          </cell>
        </row>
        <row r="10">
          <cell r="D10" t="str">
            <v>Priya</v>
          </cell>
          <cell r="E10" t="str">
            <v>Emp457</v>
          </cell>
          <cell r="J10" t="str">
            <v>Divya</v>
          </cell>
        </row>
        <row r="11">
          <cell r="D11" t="str">
            <v>Jyothi</v>
          </cell>
          <cell r="E11" t="str">
            <v>Emp458</v>
          </cell>
          <cell r="J11" t="str">
            <v>Karthik</v>
          </cell>
        </row>
        <row r="12">
          <cell r="D12" t="str">
            <v>Karthik</v>
          </cell>
          <cell r="E12" t="str">
            <v>Emp4569</v>
          </cell>
          <cell r="J12" t="str">
            <v>Ramesh Y</v>
          </cell>
        </row>
        <row r="13">
          <cell r="J13" t="str">
            <v>Sachin</v>
          </cell>
        </row>
        <row r="14">
          <cell r="J14" t="str">
            <v>Virat</v>
          </cell>
        </row>
      </sheetData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tart"/>
      <sheetName val="Data Types "/>
      <sheetName val="Flash Fill"/>
      <sheetName val="Fill Series"/>
      <sheetName val="Number Format"/>
      <sheetName val="Conditional Formatting"/>
      <sheetName val="Copy &amp; Paste Special"/>
      <sheetName val="PS - Transpose"/>
      <sheetName val="PS - Paste &amp; Linked Picture"/>
      <sheetName val="Shortcuts"/>
      <sheetName val="Format as Table"/>
      <sheetName val="Excel file Formats"/>
      <sheetName val="Goto Special"/>
      <sheetName val="The 3 Freezing Techniques"/>
      <sheetName val="Formulas_Text"/>
      <sheetName val="Formulas_Text Prac"/>
      <sheetName val="Date &amp; Time Functions"/>
      <sheetName val="Logical Functions"/>
      <sheetName val="SUMIFS_Countifs_Averageifs"/>
      <sheetName val="The Most Popular Formula"/>
      <sheetName val="Destination Sheet"/>
      <sheetName val="Index Formula"/>
      <sheetName val="Math Formulas"/>
      <sheetName val="Aggregate"/>
      <sheetName val="EMI Calculator"/>
      <sheetName val="Statistical Functions"/>
      <sheetName val="Information Functions"/>
      <sheetName val="Excel New Formulas"/>
      <sheetName val="Named Range"/>
      <sheetName val="Data Ribbon 1"/>
      <sheetName val="Data Ribbon 2"/>
      <sheetName val="Text to Columns"/>
      <sheetName val="Remove Duplicates"/>
      <sheetName val="Grouping &amp; Subtotals"/>
      <sheetName val="Insert Ribbon"/>
      <sheetName val="Review Ribbon"/>
      <sheetName val="Table1"/>
      <sheetName val="Power Query"/>
      <sheetName val="Query_SalesData"/>
      <sheetName val="PQ DataSe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>
        <row r="1">
          <cell r="C1" t="str">
            <v>Product List</v>
          </cell>
        </row>
        <row r="2">
          <cell r="C2" t="str">
            <v>Product 1</v>
          </cell>
          <cell r="E2" t="str">
            <v>Product 1</v>
          </cell>
        </row>
        <row r="3">
          <cell r="C3" t="str">
            <v>Product 2</v>
          </cell>
          <cell r="E3" t="str">
            <v>Product 2</v>
          </cell>
        </row>
        <row r="4">
          <cell r="C4" t="str">
            <v>Apple</v>
          </cell>
          <cell r="E4" t="str">
            <v>Product 3</v>
          </cell>
        </row>
        <row r="5">
          <cell r="C5" t="str">
            <v>Product 4</v>
          </cell>
          <cell r="E5" t="str">
            <v>Product 4</v>
          </cell>
        </row>
        <row r="6">
          <cell r="C6" t="str">
            <v>Product 5</v>
          </cell>
          <cell r="E6" t="str">
            <v>Product 5</v>
          </cell>
        </row>
        <row r="7">
          <cell r="C7" t="str">
            <v>Product 6</v>
          </cell>
          <cell r="E7" t="str">
            <v>Product 6</v>
          </cell>
        </row>
        <row r="8">
          <cell r="C8" t="str">
            <v>Product 7</v>
          </cell>
          <cell r="E8" t="str">
            <v>Product 7</v>
          </cell>
        </row>
        <row r="9">
          <cell r="C9" t="str">
            <v>Product 8</v>
          </cell>
          <cell r="E9" t="str">
            <v>Product 8</v>
          </cell>
        </row>
        <row r="10">
          <cell r="C10" t="str">
            <v>Product 9</v>
          </cell>
          <cell r="E10" t="str">
            <v>Product 9</v>
          </cell>
        </row>
        <row r="11">
          <cell r="E11" t="str">
            <v>Product 10</v>
          </cell>
        </row>
        <row r="12">
          <cell r="E12" t="str">
            <v>Product 11</v>
          </cell>
        </row>
      </sheetData>
      <sheetData sheetId="29"/>
      <sheetData sheetId="30" refreshError="1"/>
      <sheetData sheetId="31" refreshError="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E1F5C92-8CF3-46FE-82F5-F02514D55833}" name="Table1" displayName="Table1" ref="A123:D133" headerRowCount="0" totalsRowShown="0" headerRowDxfId="9" dataDxfId="8" headerRowCellStyle="Normal 6 4 2 2 2" dataCellStyle="Normal 6 4 2 2 2">
  <tableColumns count="4">
    <tableColumn id="1" xr3:uid="{FCC9796C-BECF-45BC-9A28-31FBCC601E9F}" name="Column1" headerRowDxfId="7" dataDxfId="6" headerRowCellStyle="Normal 6 4 2 2 2" dataCellStyle="Normal 6 4 2 2 2"/>
    <tableColumn id="2" xr3:uid="{82356EF5-0AE3-413B-B7BB-8E07F1418DE2}" name="Column2" headerRowDxfId="5" dataDxfId="4" headerRowCellStyle="Normal 6 4 2 2 2" dataCellStyle="Normal 6 4 2 2 2"/>
    <tableColumn id="3" xr3:uid="{A8EF98E0-FA80-42B5-96BF-4D94507AC56D}" name="Column3" headerRowDxfId="3" dataDxfId="2" headerRowCellStyle="Normal 6 4 2 2 2" dataCellStyle="Normal 6 4 2 2 2"/>
    <tableColumn id="4" xr3:uid="{090E5DF2-D9E9-4598-8ACB-81904AEF2707}" name="Column4" headerRowDxfId="1" dataDxfId="0" headerRowCellStyle="Normal 6 4 2 2 2" dataCellStyle="Normal 6 4 2 2 2">
      <calculatedColumnFormula>_xlfn.TEXTJOIN(" ",TRUE,Table1[[#This Row],[Column1]:[Column2]])</calculatedColumn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comments" Target="../comments1.xm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3BD3DD-83D9-4297-9AD2-ED5CF79FB279}">
  <dimension ref="A1:EM460"/>
  <sheetViews>
    <sheetView tabSelected="1" zoomScale="56" zoomScaleNormal="38" workbookViewId="0">
      <selection activeCell="E17" sqref="E17"/>
    </sheetView>
  </sheetViews>
  <sheetFormatPr defaultColWidth="8.77734375" defaultRowHeight="19.8" x14ac:dyDescent="0.4"/>
  <cols>
    <col min="1" max="1" width="58.88671875" style="1" customWidth="1"/>
    <col min="2" max="2" width="52.21875" style="1" customWidth="1"/>
    <col min="3" max="3" width="55.109375" style="1" customWidth="1"/>
    <col min="4" max="4" width="71.21875" style="1" customWidth="1"/>
    <col min="5" max="5" width="70.77734375" style="1" customWidth="1"/>
    <col min="6" max="6" width="55.109375" style="1" customWidth="1"/>
    <col min="7" max="7" width="63.88671875" style="1" customWidth="1"/>
    <col min="8" max="8" width="70.6640625" style="1" customWidth="1"/>
    <col min="9" max="9" width="38.33203125" style="1" customWidth="1"/>
    <col min="10" max="10" width="56.33203125" style="1" customWidth="1"/>
    <col min="11" max="11" width="54" style="1" customWidth="1"/>
    <col min="12" max="12" width="35.6640625" style="1" customWidth="1"/>
    <col min="13" max="13" width="67.109375" style="1" customWidth="1"/>
    <col min="14" max="14" width="65.5546875" style="1" customWidth="1"/>
    <col min="15" max="15" width="35.33203125" style="1" bestFit="1" customWidth="1"/>
    <col min="16" max="16" width="60" style="1" customWidth="1"/>
    <col min="17" max="17" width="17" style="1" bestFit="1" customWidth="1"/>
    <col min="18" max="18" width="55" style="1" customWidth="1"/>
    <col min="19" max="19" width="30.5546875" style="1" customWidth="1"/>
    <col min="20" max="20" width="11.109375" style="1" bestFit="1" customWidth="1"/>
    <col min="21" max="21" width="33.88671875" style="1" customWidth="1"/>
    <col min="22" max="22" width="28.44140625" style="1" customWidth="1"/>
    <col min="23" max="23" width="27.44140625" style="1" customWidth="1"/>
    <col min="24" max="24" width="23.44140625" style="1" customWidth="1"/>
    <col min="25" max="32" width="8.77734375" style="1"/>
    <col min="33" max="33" width="19" style="1" customWidth="1"/>
    <col min="34" max="34" width="31.77734375" style="1" customWidth="1"/>
    <col min="35" max="35" width="35" style="1" customWidth="1"/>
    <col min="36" max="16384" width="8.77734375" style="1"/>
  </cols>
  <sheetData>
    <row r="1" spans="1:59" ht="45" customHeight="1" x14ac:dyDescent="1">
      <c r="A1" s="37" t="s">
        <v>197</v>
      </c>
      <c r="B1" s="37"/>
      <c r="C1" s="37"/>
      <c r="D1" s="37"/>
      <c r="E1" s="37"/>
      <c r="F1" s="37"/>
      <c r="G1" s="37"/>
      <c r="H1" s="37"/>
      <c r="I1" s="37"/>
      <c r="J1" s="37"/>
      <c r="K1" s="21"/>
      <c r="L1" s="21"/>
      <c r="M1" s="21"/>
      <c r="N1" s="21"/>
      <c r="O1" s="21"/>
      <c r="P1" s="20"/>
      <c r="Q1" s="20"/>
      <c r="R1" s="20"/>
      <c r="S1" s="19"/>
      <c r="T1" s="19"/>
      <c r="U1" s="19"/>
      <c r="V1" s="19"/>
      <c r="W1" s="19"/>
    </row>
    <row r="2" spans="1:59" x14ac:dyDescent="0.4"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7"/>
      <c r="AX2" s="17"/>
      <c r="AY2" s="17"/>
      <c r="AZ2" s="17"/>
      <c r="BA2" s="17"/>
      <c r="BB2" s="17"/>
      <c r="BC2" s="17"/>
      <c r="BD2" s="17"/>
      <c r="BE2" s="17"/>
      <c r="BF2" s="17"/>
      <c r="BG2" s="17"/>
    </row>
    <row r="3" spans="1:59" hidden="1" x14ac:dyDescent="0.4"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</row>
    <row r="4" spans="1:59" hidden="1" x14ac:dyDescent="0.4"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/>
      <c r="BA4" s="17"/>
      <c r="BB4" s="17"/>
      <c r="BC4" s="17"/>
      <c r="BD4" s="17"/>
      <c r="BE4" s="17"/>
      <c r="BF4" s="17"/>
      <c r="BG4" s="17"/>
    </row>
    <row r="5" spans="1:59" hidden="1" x14ac:dyDescent="0.4"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17"/>
      <c r="BF5" s="17"/>
      <c r="BG5" s="17"/>
    </row>
    <row r="6" spans="1:59" hidden="1" x14ac:dyDescent="0.4"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7"/>
      <c r="AL6" s="17"/>
      <c r="AM6" s="17"/>
      <c r="AN6" s="17"/>
      <c r="AO6" s="17"/>
      <c r="AP6" s="17"/>
      <c r="AQ6" s="17"/>
      <c r="AR6" s="17"/>
      <c r="AS6" s="17"/>
      <c r="AT6" s="17"/>
      <c r="AU6" s="17"/>
      <c r="AV6" s="17"/>
      <c r="AW6" s="17"/>
      <c r="AX6" s="17"/>
      <c r="AY6" s="17"/>
      <c r="AZ6" s="17"/>
      <c r="BA6" s="17"/>
      <c r="BB6" s="17"/>
      <c r="BC6" s="17"/>
      <c r="BD6" s="17"/>
      <c r="BE6" s="17"/>
      <c r="BF6" s="17"/>
      <c r="BG6" s="17"/>
    </row>
    <row r="7" spans="1:59" hidden="1" x14ac:dyDescent="0.4"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7"/>
      <c r="AJ7" s="17"/>
      <c r="AK7" s="17"/>
      <c r="AL7" s="17"/>
      <c r="AM7" s="17"/>
      <c r="AN7" s="17"/>
      <c r="AO7" s="17"/>
      <c r="AP7" s="17"/>
      <c r="AQ7" s="17"/>
      <c r="AR7" s="17"/>
      <c r="AS7" s="17"/>
      <c r="AT7" s="17"/>
      <c r="AU7" s="17"/>
      <c r="AV7" s="17"/>
      <c r="AW7" s="17"/>
      <c r="AX7" s="17"/>
      <c r="AY7" s="17"/>
      <c r="AZ7" s="17"/>
      <c r="BA7" s="17"/>
      <c r="BB7" s="17"/>
      <c r="BC7" s="17"/>
      <c r="BD7" s="17"/>
      <c r="BE7" s="17"/>
      <c r="BF7" s="17"/>
      <c r="BG7" s="17"/>
    </row>
    <row r="8" spans="1:59" hidden="1" x14ac:dyDescent="0.4"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7"/>
      <c r="AJ8" s="17"/>
      <c r="AK8" s="17"/>
      <c r="AL8" s="17"/>
      <c r="AM8" s="17"/>
      <c r="AN8" s="17"/>
      <c r="AO8" s="17"/>
      <c r="AP8" s="17"/>
      <c r="AQ8" s="17"/>
      <c r="AR8" s="17"/>
      <c r="AS8" s="17"/>
      <c r="AT8" s="17"/>
      <c r="AU8" s="17"/>
      <c r="AV8" s="17"/>
      <c r="AW8" s="17"/>
      <c r="AX8" s="17"/>
      <c r="AY8" s="17"/>
      <c r="AZ8" s="17"/>
      <c r="BA8" s="17"/>
      <c r="BB8" s="17"/>
      <c r="BC8" s="17"/>
      <c r="BD8" s="17"/>
      <c r="BE8" s="17"/>
      <c r="BF8" s="17"/>
      <c r="BG8" s="17"/>
    </row>
    <row r="9" spans="1:59" x14ac:dyDescent="0.4">
      <c r="A9" s="8" t="s">
        <v>121</v>
      </c>
      <c r="B9" s="22" t="s">
        <v>196</v>
      </c>
      <c r="C9" s="22" t="s">
        <v>195</v>
      </c>
      <c r="D9" s="22" t="s">
        <v>194</v>
      </c>
      <c r="E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 s="17"/>
      <c r="Z9" s="17"/>
      <c r="AA9" s="17"/>
      <c r="AB9" s="17"/>
      <c r="AC9" s="17"/>
      <c r="AD9" s="17"/>
      <c r="AE9" s="17"/>
      <c r="AF9" s="17"/>
      <c r="AG9" s="17"/>
      <c r="AH9" s="17"/>
      <c r="AI9" s="17"/>
      <c r="AJ9" s="17"/>
      <c r="AK9" s="17"/>
      <c r="AL9" s="17"/>
      <c r="AM9" s="17"/>
      <c r="AN9" s="17"/>
      <c r="AO9" s="17"/>
      <c r="AP9" s="17"/>
      <c r="AQ9" s="17"/>
      <c r="AR9" s="17"/>
      <c r="AS9" s="17"/>
      <c r="AT9" s="17"/>
      <c r="AU9" s="17"/>
      <c r="AV9" s="17"/>
      <c r="AW9" s="17"/>
      <c r="AX9" s="17"/>
      <c r="AY9" s="17"/>
      <c r="AZ9" s="17"/>
      <c r="BA9" s="17"/>
      <c r="BB9" s="17"/>
      <c r="BC9" s="17"/>
      <c r="BD9" s="17"/>
      <c r="BE9" s="17"/>
      <c r="BF9" s="17"/>
      <c r="BG9" s="17"/>
    </row>
    <row r="10" spans="1:59" x14ac:dyDescent="0.4">
      <c r="A10" s="3" t="s">
        <v>193</v>
      </c>
      <c r="B10" s="2">
        <f>FIND(" ",A10)</f>
        <v>7</v>
      </c>
      <c r="C10" s="2">
        <f>FIND(" ",A10,B10+1)</f>
        <v>14</v>
      </c>
      <c r="D10" s="2">
        <f>FIND(" ",A10,C10+1)</f>
        <v>24</v>
      </c>
      <c r="E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7"/>
      <c r="AJ10" s="17"/>
      <c r="AK10" s="17"/>
      <c r="AL10" s="17"/>
      <c r="AM10" s="17"/>
      <c r="AN10" s="17"/>
      <c r="AO10" s="17"/>
      <c r="AP10" s="17"/>
      <c r="AQ10" s="17"/>
      <c r="AR10" s="17"/>
      <c r="AS10" s="17"/>
      <c r="AT10" s="17"/>
      <c r="AU10" s="17"/>
      <c r="AV10" s="17"/>
      <c r="AW10" s="17"/>
      <c r="AX10" s="17"/>
      <c r="AY10" s="17"/>
      <c r="AZ10" s="17"/>
      <c r="BA10" s="17"/>
      <c r="BB10" s="17"/>
      <c r="BC10" s="17"/>
      <c r="BD10" s="17"/>
      <c r="BE10" s="17"/>
      <c r="BF10" s="17"/>
      <c r="BG10" s="17"/>
    </row>
    <row r="11" spans="1:59" x14ac:dyDescent="0.4">
      <c r="A11" s="3" t="s">
        <v>192</v>
      </c>
      <c r="B11" s="2">
        <f t="shared" ref="B11:B31" si="0">FIND(" ",A11)</f>
        <v>9</v>
      </c>
      <c r="C11" s="2">
        <f t="shared" ref="C11:D31" si="1">FIND(" ",A11,B11+1)</f>
        <v>15</v>
      </c>
      <c r="D11" s="2" t="e">
        <f>FIND(" ",A11,C11+1)</f>
        <v>#VALUE!</v>
      </c>
      <c r="E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/>
      <c r="AT11" s="17"/>
      <c r="AU11" s="17"/>
      <c r="AV11" s="17"/>
      <c r="AW11" s="17"/>
      <c r="AX11" s="17"/>
      <c r="AY11" s="17"/>
      <c r="AZ11" s="17"/>
      <c r="BA11" s="17"/>
      <c r="BB11" s="17"/>
      <c r="BC11" s="17"/>
      <c r="BD11" s="17"/>
      <c r="BE11" s="17"/>
      <c r="BF11" s="17"/>
      <c r="BG11" s="17"/>
    </row>
    <row r="12" spans="1:59" x14ac:dyDescent="0.4">
      <c r="A12" s="3" t="s">
        <v>184</v>
      </c>
      <c r="B12" s="2">
        <f t="shared" si="0"/>
        <v>4</v>
      </c>
      <c r="C12" s="2">
        <f t="shared" si="1"/>
        <v>8</v>
      </c>
      <c r="D12" s="2" t="e">
        <f t="shared" ref="D11:D31" si="2">FIND(" ",A12,C12+1)</f>
        <v>#VALUE!</v>
      </c>
      <c r="E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7"/>
      <c r="AR12" s="17"/>
      <c r="AS12" s="17"/>
      <c r="AT12" s="17"/>
      <c r="AU12" s="17"/>
      <c r="AV12" s="17"/>
      <c r="AW12" s="17"/>
      <c r="AX12" s="17"/>
      <c r="AY12" s="17"/>
      <c r="AZ12" s="17"/>
      <c r="BA12" s="17"/>
      <c r="BB12" s="17"/>
      <c r="BC12" s="17"/>
      <c r="BD12" s="17"/>
      <c r="BE12" s="17"/>
      <c r="BF12" s="17"/>
      <c r="BG12" s="17"/>
    </row>
    <row r="13" spans="1:59" x14ac:dyDescent="0.4">
      <c r="A13" s="3" t="s">
        <v>189</v>
      </c>
      <c r="B13" s="2">
        <f t="shared" si="0"/>
        <v>7</v>
      </c>
      <c r="C13" s="2">
        <f t="shared" si="1"/>
        <v>12</v>
      </c>
      <c r="D13" s="2" t="e">
        <f t="shared" si="2"/>
        <v>#VALUE!</v>
      </c>
      <c r="E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/>
      <c r="AU13" s="17"/>
      <c r="AV13" s="17"/>
      <c r="AW13" s="17"/>
      <c r="AX13" s="17"/>
      <c r="AY13" s="17"/>
      <c r="AZ13" s="17"/>
      <c r="BA13" s="17"/>
      <c r="BB13" s="17"/>
      <c r="BC13" s="17"/>
      <c r="BD13" s="17"/>
      <c r="BE13" s="17"/>
      <c r="BF13" s="17"/>
      <c r="BG13" s="17"/>
    </row>
    <row r="14" spans="1:59" x14ac:dyDescent="0.4">
      <c r="A14" s="3" t="s">
        <v>191</v>
      </c>
      <c r="B14" s="2">
        <f t="shared" si="0"/>
        <v>6</v>
      </c>
      <c r="C14" s="2">
        <f t="shared" si="1"/>
        <v>13</v>
      </c>
      <c r="D14" s="2" t="e">
        <f t="shared" si="2"/>
        <v>#VALUE!</v>
      </c>
      <c r="E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7"/>
      <c r="AU14" s="17"/>
      <c r="AV14" s="17"/>
      <c r="AW14" s="17"/>
      <c r="AX14" s="17"/>
      <c r="AY14" s="17"/>
      <c r="AZ14" s="17"/>
      <c r="BA14" s="17"/>
      <c r="BB14" s="17"/>
      <c r="BC14" s="17"/>
      <c r="BD14" s="17"/>
      <c r="BE14" s="17"/>
      <c r="BF14" s="17"/>
      <c r="BG14" s="17"/>
    </row>
    <row r="15" spans="1:59" x14ac:dyDescent="0.4">
      <c r="A15" s="3" t="s">
        <v>187</v>
      </c>
      <c r="B15" s="2">
        <f t="shared" si="0"/>
        <v>7</v>
      </c>
      <c r="C15" s="2">
        <f t="shared" si="1"/>
        <v>13</v>
      </c>
      <c r="D15" s="2" t="e">
        <f t="shared" si="2"/>
        <v>#VALUE!</v>
      </c>
      <c r="E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17"/>
      <c r="BA15" s="17"/>
      <c r="BB15" s="17"/>
      <c r="BC15" s="17"/>
      <c r="BD15" s="17"/>
      <c r="BE15" s="17"/>
      <c r="BF15" s="17"/>
      <c r="BG15" s="17"/>
    </row>
    <row r="16" spans="1:59" x14ac:dyDescent="0.4">
      <c r="A16" s="3" t="s">
        <v>186</v>
      </c>
      <c r="B16" s="2">
        <f t="shared" si="0"/>
        <v>7</v>
      </c>
      <c r="C16" s="2">
        <f t="shared" si="1"/>
        <v>10</v>
      </c>
      <c r="D16" s="2" t="e">
        <f t="shared" si="2"/>
        <v>#VALUE!</v>
      </c>
      <c r="E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7"/>
      <c r="AU16" s="17"/>
      <c r="AV16" s="17"/>
      <c r="AW16" s="17"/>
      <c r="AX16" s="17"/>
      <c r="AY16" s="17"/>
      <c r="AZ16" s="17"/>
      <c r="BA16" s="17"/>
      <c r="BB16" s="17"/>
      <c r="BC16" s="17"/>
      <c r="BD16" s="17"/>
      <c r="BE16" s="17"/>
      <c r="BF16" s="17"/>
      <c r="BG16" s="17"/>
    </row>
    <row r="17" spans="1:59" x14ac:dyDescent="0.4">
      <c r="A17" s="3" t="s">
        <v>184</v>
      </c>
      <c r="B17" s="2">
        <f t="shared" si="0"/>
        <v>4</v>
      </c>
      <c r="C17" s="2">
        <f t="shared" si="1"/>
        <v>8</v>
      </c>
      <c r="D17" s="2" t="e">
        <f t="shared" si="2"/>
        <v>#VALUE!</v>
      </c>
      <c r="E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  <c r="AT17" s="17"/>
      <c r="AU17" s="17"/>
      <c r="AV17" s="17"/>
      <c r="AW17" s="17"/>
      <c r="AX17" s="17"/>
      <c r="AY17" s="17"/>
      <c r="AZ17" s="17"/>
      <c r="BA17" s="17"/>
      <c r="BB17" s="17"/>
      <c r="BC17" s="17"/>
      <c r="BD17" s="17"/>
      <c r="BE17" s="17"/>
      <c r="BF17" s="17"/>
      <c r="BG17" s="17"/>
    </row>
    <row r="18" spans="1:59" x14ac:dyDescent="0.4">
      <c r="A18" s="3" t="s">
        <v>189</v>
      </c>
      <c r="B18" s="2">
        <f t="shared" si="0"/>
        <v>7</v>
      </c>
      <c r="C18" s="2">
        <f t="shared" si="1"/>
        <v>12</v>
      </c>
      <c r="D18" s="2" t="e">
        <f t="shared" si="2"/>
        <v>#VALUE!</v>
      </c>
      <c r="E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/>
      <c r="AT18" s="17"/>
      <c r="AU18" s="17"/>
      <c r="AV18" s="17"/>
      <c r="AW18" s="17"/>
      <c r="AX18" s="17"/>
      <c r="AY18" s="17"/>
      <c r="AZ18" s="17"/>
      <c r="BA18" s="17"/>
      <c r="BB18" s="17"/>
      <c r="BC18" s="17"/>
      <c r="BD18" s="17"/>
      <c r="BE18" s="17"/>
      <c r="BF18" s="17"/>
      <c r="BG18" s="17"/>
    </row>
    <row r="19" spans="1:59" x14ac:dyDescent="0.4">
      <c r="A19" s="3" t="s">
        <v>188</v>
      </c>
      <c r="B19" s="2">
        <f t="shared" si="0"/>
        <v>6</v>
      </c>
      <c r="C19" s="2">
        <f t="shared" si="1"/>
        <v>12</v>
      </c>
      <c r="D19" s="2" t="e">
        <f t="shared" si="2"/>
        <v>#VALUE!</v>
      </c>
      <c r="E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  <c r="AL19" s="17"/>
      <c r="AM19" s="17"/>
      <c r="AN19" s="17"/>
      <c r="AO19" s="17"/>
      <c r="AP19" s="17"/>
      <c r="AQ19" s="17"/>
      <c r="AR19" s="17"/>
      <c r="AS19" s="17"/>
      <c r="AT19" s="17"/>
      <c r="AU19" s="17"/>
      <c r="AV19" s="17"/>
      <c r="AW19" s="17"/>
      <c r="AX19" s="17"/>
      <c r="AY19" s="17"/>
      <c r="AZ19" s="17"/>
      <c r="BA19" s="17"/>
      <c r="BB19" s="17"/>
      <c r="BC19" s="17"/>
      <c r="BD19" s="17"/>
      <c r="BE19" s="17"/>
      <c r="BF19" s="17"/>
      <c r="BG19" s="17"/>
    </row>
    <row r="20" spans="1:59" x14ac:dyDescent="0.4">
      <c r="A20" s="3" t="s">
        <v>187</v>
      </c>
      <c r="B20" s="2">
        <f t="shared" si="0"/>
        <v>7</v>
      </c>
      <c r="C20" s="2">
        <f t="shared" si="1"/>
        <v>13</v>
      </c>
      <c r="D20" s="2" t="e">
        <f t="shared" si="2"/>
        <v>#VALUE!</v>
      </c>
      <c r="E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  <c r="AL20" s="17"/>
      <c r="AM20" s="17"/>
      <c r="AN20" s="17"/>
      <c r="AO20" s="17"/>
      <c r="AP20" s="17"/>
      <c r="AQ20" s="17"/>
      <c r="AR20" s="17"/>
      <c r="AS20" s="17"/>
      <c r="AT20" s="17"/>
      <c r="AU20" s="17"/>
      <c r="AV20" s="17"/>
      <c r="AW20" s="17"/>
      <c r="AX20" s="17"/>
      <c r="AY20" s="17"/>
      <c r="AZ20" s="17"/>
      <c r="BA20" s="17"/>
      <c r="BB20" s="17"/>
      <c r="BC20" s="17"/>
      <c r="BD20" s="17"/>
      <c r="BE20" s="17"/>
      <c r="BF20" s="17"/>
      <c r="BG20" s="17"/>
    </row>
    <row r="21" spans="1:59" x14ac:dyDescent="0.4">
      <c r="A21" s="3" t="s">
        <v>186</v>
      </c>
      <c r="B21" s="2">
        <f t="shared" si="0"/>
        <v>7</v>
      </c>
      <c r="C21" s="2">
        <f t="shared" si="1"/>
        <v>10</v>
      </c>
      <c r="D21" s="2" t="e">
        <f t="shared" si="2"/>
        <v>#VALUE!</v>
      </c>
      <c r="E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 s="17"/>
      <c r="Z21" s="17"/>
      <c r="AA21" s="17"/>
      <c r="AB21" s="17"/>
      <c r="AC21" s="17"/>
      <c r="AD21" s="17"/>
      <c r="AE21" s="17"/>
      <c r="AF21" s="17"/>
      <c r="AG21" s="17"/>
      <c r="AH21" s="17"/>
      <c r="AI21" s="17"/>
      <c r="AJ21" s="17"/>
      <c r="AK21" s="17"/>
      <c r="AL21" s="17"/>
      <c r="AM21" s="17"/>
      <c r="AN21" s="17"/>
      <c r="AO21" s="17"/>
      <c r="AP21" s="17"/>
      <c r="AQ21" s="17"/>
      <c r="AR21" s="17"/>
      <c r="AS21" s="17"/>
      <c r="AT21" s="17"/>
      <c r="AU21" s="17"/>
      <c r="AV21" s="17"/>
      <c r="AW21" s="17"/>
      <c r="AX21" s="17"/>
      <c r="AY21" s="17"/>
      <c r="AZ21" s="17"/>
      <c r="BA21" s="17"/>
      <c r="BB21" s="17"/>
      <c r="BC21" s="17"/>
      <c r="BD21" s="17"/>
      <c r="BE21" s="17"/>
      <c r="BF21" s="17"/>
      <c r="BG21" s="17"/>
    </row>
    <row r="22" spans="1:59" x14ac:dyDescent="0.4">
      <c r="A22" s="3" t="s">
        <v>190</v>
      </c>
      <c r="B22" s="2">
        <f t="shared" si="0"/>
        <v>10</v>
      </c>
      <c r="C22" s="2">
        <f t="shared" si="1"/>
        <v>15</v>
      </c>
      <c r="D22" s="2">
        <f t="shared" si="2"/>
        <v>22</v>
      </c>
      <c r="E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  <c r="AL22" s="17"/>
      <c r="AM22" s="17"/>
      <c r="AN22" s="17"/>
      <c r="AO22" s="17"/>
      <c r="AP22" s="17"/>
      <c r="AQ22" s="17"/>
      <c r="AR22" s="17"/>
      <c r="AS22" s="17"/>
      <c r="AT22" s="17"/>
      <c r="AU22" s="17"/>
      <c r="AV22" s="17"/>
      <c r="AW22" s="17"/>
      <c r="AX22" s="17"/>
      <c r="AY22" s="17"/>
      <c r="AZ22" s="17"/>
      <c r="BA22" s="17"/>
      <c r="BB22" s="17"/>
      <c r="BC22" s="17"/>
      <c r="BD22" s="17"/>
      <c r="BE22" s="17"/>
      <c r="BF22" s="17"/>
      <c r="BG22" s="17"/>
    </row>
    <row r="23" spans="1:59" x14ac:dyDescent="0.4">
      <c r="A23" s="3" t="s">
        <v>184</v>
      </c>
      <c r="B23" s="2">
        <f t="shared" si="0"/>
        <v>4</v>
      </c>
      <c r="C23" s="2">
        <f t="shared" si="1"/>
        <v>8</v>
      </c>
      <c r="D23" s="2" t="e">
        <f t="shared" si="2"/>
        <v>#VALUE!</v>
      </c>
      <c r="E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  <c r="AL23" s="17"/>
      <c r="AM23" s="17"/>
      <c r="AN23" s="17"/>
      <c r="AO23" s="17"/>
      <c r="AP23" s="17"/>
      <c r="AQ23" s="17"/>
      <c r="AR23" s="17"/>
      <c r="AS23" s="17"/>
      <c r="AT23" s="17"/>
      <c r="AU23" s="17"/>
      <c r="AV23" s="17"/>
      <c r="AW23" s="17"/>
      <c r="AX23" s="17"/>
      <c r="AY23" s="17"/>
      <c r="AZ23" s="17"/>
      <c r="BA23" s="17"/>
      <c r="BB23" s="17"/>
      <c r="BC23" s="17"/>
      <c r="BD23" s="17"/>
      <c r="BE23" s="17"/>
      <c r="BF23" s="17"/>
      <c r="BG23" s="17"/>
    </row>
    <row r="24" spans="1:59" x14ac:dyDescent="0.4">
      <c r="A24" s="3" t="s">
        <v>184</v>
      </c>
      <c r="B24" s="2">
        <f t="shared" si="0"/>
        <v>4</v>
      </c>
      <c r="C24" s="2">
        <f t="shared" si="1"/>
        <v>8</v>
      </c>
      <c r="D24" s="2" t="e">
        <f t="shared" si="2"/>
        <v>#VALUE!</v>
      </c>
      <c r="E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  <c r="AL24" s="17"/>
      <c r="AM24" s="17"/>
      <c r="AN24" s="17"/>
      <c r="AO24" s="17"/>
      <c r="AP24" s="17"/>
      <c r="AQ24" s="17"/>
      <c r="AR24" s="17"/>
      <c r="AS24" s="17"/>
      <c r="AT24" s="17"/>
      <c r="AU24" s="17"/>
      <c r="AV24" s="17"/>
      <c r="AW24" s="17"/>
      <c r="AX24" s="17"/>
      <c r="AY24" s="17"/>
      <c r="AZ24" s="17"/>
      <c r="BA24" s="17"/>
      <c r="BB24" s="17"/>
      <c r="BC24" s="17"/>
      <c r="BD24" s="17"/>
      <c r="BE24" s="17"/>
      <c r="BF24" s="17"/>
      <c r="BG24" s="17"/>
    </row>
    <row r="25" spans="1:59" x14ac:dyDescent="0.4">
      <c r="A25" s="3" t="s">
        <v>189</v>
      </c>
      <c r="B25" s="2">
        <f t="shared" si="0"/>
        <v>7</v>
      </c>
      <c r="C25" s="2">
        <f t="shared" si="1"/>
        <v>12</v>
      </c>
      <c r="D25" s="2" t="e">
        <f t="shared" si="2"/>
        <v>#VALUE!</v>
      </c>
      <c r="E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17"/>
      <c r="AR25" s="17"/>
      <c r="AS25" s="17"/>
      <c r="AT25" s="17"/>
      <c r="AU25" s="17"/>
      <c r="AV25" s="17"/>
      <c r="AW25" s="17"/>
      <c r="AX25" s="17"/>
      <c r="AY25" s="17"/>
      <c r="AZ25" s="17"/>
      <c r="BA25" s="17"/>
      <c r="BB25" s="17"/>
      <c r="BC25" s="17"/>
      <c r="BD25" s="17"/>
      <c r="BE25" s="17"/>
      <c r="BF25" s="17"/>
      <c r="BG25" s="17"/>
    </row>
    <row r="26" spans="1:59" x14ac:dyDescent="0.4">
      <c r="A26" s="3" t="s">
        <v>188</v>
      </c>
      <c r="B26" s="2">
        <f t="shared" si="0"/>
        <v>6</v>
      </c>
      <c r="C26" s="2">
        <f t="shared" si="1"/>
        <v>12</v>
      </c>
      <c r="D26" s="2" t="e">
        <f t="shared" si="2"/>
        <v>#VALUE!</v>
      </c>
      <c r="E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 s="17"/>
      <c r="Z26" s="17"/>
      <c r="AA26" s="17"/>
      <c r="AB26" s="17"/>
      <c r="AC26" s="17"/>
      <c r="AD26" s="17"/>
      <c r="AE26" s="17"/>
      <c r="AF26" s="17"/>
      <c r="AG26" s="17"/>
      <c r="AH26" s="17"/>
      <c r="AI26" s="17"/>
      <c r="AJ26" s="17"/>
      <c r="AK26" s="17"/>
      <c r="AL26" s="17"/>
      <c r="AM26" s="17"/>
      <c r="AN26" s="17"/>
      <c r="AO26" s="17"/>
      <c r="AP26" s="17"/>
      <c r="AQ26" s="17"/>
      <c r="AR26" s="17"/>
      <c r="AS26" s="17"/>
      <c r="AT26" s="17"/>
      <c r="AU26" s="17"/>
      <c r="AV26" s="17"/>
      <c r="AW26" s="17"/>
      <c r="AX26" s="17"/>
      <c r="AY26" s="17"/>
      <c r="AZ26" s="17"/>
      <c r="BA26" s="17"/>
      <c r="BB26" s="17"/>
      <c r="BC26" s="17"/>
      <c r="BD26" s="17"/>
      <c r="BE26" s="17"/>
      <c r="BF26" s="17"/>
      <c r="BG26" s="17"/>
    </row>
    <row r="27" spans="1:59" x14ac:dyDescent="0.4">
      <c r="A27" s="3" t="s">
        <v>187</v>
      </c>
      <c r="B27" s="2">
        <f t="shared" si="0"/>
        <v>7</v>
      </c>
      <c r="C27" s="2">
        <f t="shared" si="1"/>
        <v>13</v>
      </c>
      <c r="D27" s="2" t="e">
        <f t="shared" si="2"/>
        <v>#VALUE!</v>
      </c>
      <c r="E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 s="17"/>
      <c r="Z27" s="17"/>
      <c r="AA27" s="17"/>
      <c r="AB27" s="17"/>
      <c r="AC27" s="17"/>
      <c r="AD27" s="17"/>
      <c r="AE27" s="17"/>
      <c r="AF27" s="17"/>
      <c r="AG27" s="17"/>
      <c r="AH27" s="17"/>
      <c r="AI27" s="17"/>
      <c r="AJ27" s="17"/>
      <c r="AK27" s="17"/>
      <c r="AL27" s="17"/>
      <c r="AM27" s="17"/>
      <c r="AN27" s="17"/>
      <c r="AO27" s="17"/>
      <c r="AP27" s="17"/>
      <c r="AQ27" s="17"/>
      <c r="AR27" s="17"/>
      <c r="AS27" s="17"/>
      <c r="AT27" s="17"/>
      <c r="AU27" s="17"/>
      <c r="AV27" s="17"/>
      <c r="AW27" s="17"/>
      <c r="AX27" s="17"/>
      <c r="AY27" s="17"/>
      <c r="AZ27" s="17"/>
      <c r="BA27" s="17"/>
      <c r="BB27" s="17"/>
      <c r="BC27" s="17"/>
      <c r="BD27" s="17"/>
      <c r="BE27" s="17"/>
      <c r="BF27" s="17"/>
      <c r="BG27" s="17"/>
    </row>
    <row r="28" spans="1:59" x14ac:dyDescent="0.4">
      <c r="A28" s="3" t="s">
        <v>186</v>
      </c>
      <c r="B28" s="2">
        <f t="shared" si="0"/>
        <v>7</v>
      </c>
      <c r="C28" s="2">
        <f t="shared" si="1"/>
        <v>10</v>
      </c>
      <c r="D28" s="2" t="e">
        <f t="shared" si="2"/>
        <v>#VALUE!</v>
      </c>
      <c r="E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7"/>
      <c r="BB28" s="17"/>
      <c r="BC28" s="17"/>
      <c r="BD28" s="17"/>
      <c r="BE28" s="17"/>
      <c r="BF28" s="17"/>
      <c r="BG28" s="17"/>
    </row>
    <row r="29" spans="1:59" x14ac:dyDescent="0.4">
      <c r="A29" s="3" t="s">
        <v>185</v>
      </c>
      <c r="B29" s="2">
        <f t="shared" si="0"/>
        <v>10</v>
      </c>
      <c r="C29" s="2">
        <f t="shared" si="1"/>
        <v>15</v>
      </c>
      <c r="D29" s="2" t="e">
        <f t="shared" si="2"/>
        <v>#VALUE!</v>
      </c>
      <c r="E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N29" s="17"/>
      <c r="AO29" s="17"/>
      <c r="AP29" s="17"/>
      <c r="AQ29" s="17"/>
      <c r="AR29" s="17"/>
      <c r="AS29" s="17"/>
      <c r="AT29" s="17"/>
      <c r="AU29" s="17"/>
      <c r="AV29" s="17"/>
      <c r="AW29" s="17"/>
      <c r="AX29" s="17"/>
      <c r="AY29" s="17"/>
      <c r="AZ29" s="17"/>
      <c r="BA29" s="17"/>
      <c r="BB29" s="17"/>
      <c r="BC29" s="17"/>
      <c r="BD29" s="17"/>
      <c r="BE29" s="17"/>
      <c r="BF29" s="17"/>
      <c r="BG29" s="17"/>
    </row>
    <row r="30" spans="1:59" x14ac:dyDescent="0.4">
      <c r="A30" s="3" t="s">
        <v>184</v>
      </c>
      <c r="B30" s="2">
        <f t="shared" si="0"/>
        <v>4</v>
      </c>
      <c r="C30" s="2">
        <f t="shared" si="1"/>
        <v>8</v>
      </c>
      <c r="D30" s="2" t="e">
        <f t="shared" si="2"/>
        <v>#VALUE!</v>
      </c>
      <c r="E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  <c r="AL30" s="17"/>
      <c r="AM30" s="17"/>
      <c r="AN30" s="17"/>
      <c r="AO30" s="17"/>
      <c r="AP30" s="17"/>
      <c r="AQ30" s="17"/>
      <c r="AR30" s="17"/>
      <c r="AS30" s="17"/>
      <c r="AT30" s="17"/>
      <c r="AU30" s="17"/>
      <c r="AV30" s="17"/>
      <c r="AW30" s="17"/>
      <c r="AX30" s="17"/>
      <c r="AY30" s="17"/>
      <c r="AZ30" s="17"/>
      <c r="BA30" s="17"/>
      <c r="BB30" s="17"/>
      <c r="BC30" s="17"/>
      <c r="BD30" s="17"/>
      <c r="BE30" s="17"/>
      <c r="BF30" s="17"/>
      <c r="BG30" s="17"/>
    </row>
    <row r="31" spans="1:59" x14ac:dyDescent="0.4">
      <c r="A31" s="3" t="s">
        <v>184</v>
      </c>
      <c r="B31" s="2">
        <f t="shared" si="0"/>
        <v>4</v>
      </c>
      <c r="C31" s="2">
        <f t="shared" si="1"/>
        <v>8</v>
      </c>
      <c r="D31" s="2" t="e">
        <f t="shared" si="2"/>
        <v>#VALUE!</v>
      </c>
      <c r="E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17"/>
      <c r="AU31" s="17"/>
      <c r="AV31" s="17"/>
      <c r="AW31" s="17"/>
      <c r="AX31" s="17"/>
      <c r="AY31" s="17"/>
      <c r="AZ31" s="17"/>
      <c r="BA31" s="17"/>
      <c r="BB31" s="17"/>
      <c r="BC31" s="17"/>
      <c r="BD31" s="17"/>
      <c r="BE31" s="17"/>
      <c r="BF31" s="17"/>
      <c r="BG31" s="17"/>
    </row>
    <row r="32" spans="1:59" x14ac:dyDescent="0.4">
      <c r="E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17"/>
      <c r="AN32" s="17"/>
      <c r="AO32" s="17"/>
      <c r="AP32" s="17"/>
      <c r="AQ32" s="17"/>
      <c r="AR32" s="17"/>
      <c r="AS32" s="17"/>
      <c r="AT32" s="17"/>
      <c r="AU32" s="17"/>
      <c r="AV32" s="17"/>
      <c r="AW32" s="17"/>
      <c r="AX32" s="17"/>
      <c r="AY32" s="17"/>
      <c r="AZ32" s="17"/>
      <c r="BA32" s="17"/>
      <c r="BB32" s="17"/>
      <c r="BC32" s="17"/>
      <c r="BD32" s="17"/>
      <c r="BE32" s="17"/>
      <c r="BF32" s="17"/>
      <c r="BG32" s="17"/>
    </row>
    <row r="33" spans="1:59" x14ac:dyDescent="0.4"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  <c r="AL33" s="17"/>
      <c r="AM33" s="17"/>
      <c r="AN33" s="17"/>
      <c r="AO33" s="17"/>
      <c r="AP33" s="17"/>
      <c r="AQ33" s="17"/>
      <c r="AR33" s="17"/>
      <c r="AS33" s="17"/>
      <c r="AT33" s="17"/>
      <c r="AU33" s="17"/>
      <c r="AV33" s="17"/>
      <c r="AW33" s="17"/>
      <c r="AX33" s="17"/>
      <c r="AY33" s="17"/>
      <c r="AZ33" s="17"/>
      <c r="BA33" s="17"/>
      <c r="BB33" s="17"/>
      <c r="BC33" s="17"/>
      <c r="BD33" s="17"/>
      <c r="BE33" s="17"/>
      <c r="BF33" s="17"/>
      <c r="BG33" s="17"/>
    </row>
    <row r="34" spans="1:59" x14ac:dyDescent="0.4">
      <c r="A34" s="8" t="s">
        <v>182</v>
      </c>
      <c r="B34" s="8" t="s">
        <v>181</v>
      </c>
      <c r="C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  <c r="AL34" s="17"/>
      <c r="AM34" s="17"/>
      <c r="AN34" s="17"/>
      <c r="AO34" s="17"/>
      <c r="AP34" s="17"/>
      <c r="AQ34" s="17"/>
      <c r="AR34" s="17"/>
      <c r="AS34" s="17"/>
      <c r="AT34" s="17"/>
      <c r="AU34" s="17"/>
      <c r="AV34" s="17"/>
      <c r="AW34" s="17"/>
      <c r="AX34" s="17"/>
      <c r="AY34" s="17"/>
      <c r="AZ34" s="17"/>
      <c r="BA34" s="17"/>
      <c r="BB34" s="17"/>
      <c r="BC34" s="17"/>
      <c r="BD34" s="17"/>
      <c r="BE34" s="17"/>
      <c r="BF34" s="17"/>
      <c r="BG34" s="17"/>
    </row>
    <row r="35" spans="1:59" x14ac:dyDescent="0.4">
      <c r="A35" s="3" t="s">
        <v>177</v>
      </c>
      <c r="B35" s="2" t="str">
        <f>SUBSTITUTE(A35, " "," @")</f>
        <v>Sachin @Ramesh @Tendulkar @Great @Cricket @Player</v>
      </c>
      <c r="C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 s="17"/>
      <c r="Z35" s="17"/>
      <c r="AA35" s="17"/>
      <c r="AB35" s="17"/>
      <c r="AC35" s="17"/>
      <c r="AD35" s="17"/>
      <c r="AE35" s="17"/>
      <c r="AF35" s="17"/>
      <c r="AG35" s="17"/>
      <c r="AH35" s="17"/>
      <c r="AI35" s="17"/>
      <c r="AJ35" s="17"/>
      <c r="AK35" s="17"/>
      <c r="AL35" s="17"/>
      <c r="AM35" s="17"/>
      <c r="AN35" s="17"/>
      <c r="AO35" s="17"/>
      <c r="AP35" s="17"/>
      <c r="AQ35" s="17"/>
      <c r="AR35" s="17"/>
      <c r="AS35" s="17"/>
      <c r="AT35" s="17"/>
      <c r="AU35" s="17"/>
      <c r="AV35" s="17"/>
      <c r="AW35" s="17"/>
      <c r="AX35" s="17"/>
      <c r="AY35" s="17"/>
      <c r="AZ35" s="17"/>
      <c r="BA35" s="17"/>
      <c r="BB35" s="17"/>
      <c r="BC35" s="17"/>
      <c r="BD35" s="17"/>
      <c r="BE35" s="17"/>
      <c r="BF35" s="17"/>
      <c r="BG35" s="17"/>
    </row>
    <row r="36" spans="1:59" x14ac:dyDescent="0.4">
      <c r="A36" s="3" t="s">
        <v>175</v>
      </c>
      <c r="B36" s="2" t="str">
        <f t="shared" ref="B36:B40" si="3">SUBSTITUTE(A36, " "," @")</f>
        <v>a @b @c @d</v>
      </c>
      <c r="C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  <c r="AL36" s="17"/>
      <c r="AM36" s="17"/>
      <c r="AN36" s="17"/>
      <c r="AO36" s="17"/>
      <c r="AP36" s="17"/>
      <c r="AQ36" s="17"/>
      <c r="AR36" s="17"/>
      <c r="AS36" s="17"/>
      <c r="AT36" s="17"/>
      <c r="AU36" s="17"/>
      <c r="AV36" s="17"/>
      <c r="AW36" s="17"/>
      <c r="AX36" s="17"/>
      <c r="AY36" s="17"/>
      <c r="AZ36" s="17"/>
      <c r="BA36" s="17"/>
      <c r="BB36" s="17"/>
      <c r="BC36" s="17"/>
      <c r="BD36" s="17"/>
      <c r="BE36" s="17"/>
      <c r="BF36" s="17"/>
      <c r="BG36" s="17"/>
    </row>
    <row r="37" spans="1:59" x14ac:dyDescent="0.4">
      <c r="A37" s="3" t="s">
        <v>173</v>
      </c>
      <c r="B37" s="2" t="str">
        <f t="shared" si="3"/>
        <v>SWATHI @MATAM @K</v>
      </c>
      <c r="C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17"/>
      <c r="AY37" s="17"/>
      <c r="AZ37" s="17"/>
      <c r="BA37" s="17"/>
      <c r="BB37" s="17"/>
      <c r="BC37" s="17"/>
      <c r="BD37" s="17"/>
      <c r="BE37" s="17"/>
      <c r="BF37" s="17"/>
      <c r="BG37" s="17"/>
    </row>
    <row r="38" spans="1:59" x14ac:dyDescent="0.4">
      <c r="A38" s="3" t="s">
        <v>118</v>
      </c>
      <c r="B38" s="2" t="str">
        <f t="shared" si="3"/>
        <v>abhimanyu @pulugurtha @TL</v>
      </c>
      <c r="C38"/>
      <c r="J38"/>
      <c r="S38" s="17"/>
      <c r="T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  <c r="BE38" s="17"/>
      <c r="BF38" s="17"/>
      <c r="BG38" s="17"/>
    </row>
    <row r="39" spans="1:59" x14ac:dyDescent="0.4">
      <c r="A39" s="3" t="s">
        <v>116</v>
      </c>
      <c r="B39" s="2" t="str">
        <f t="shared" si="3"/>
        <v>V @V @S @Laxman</v>
      </c>
      <c r="C39"/>
      <c r="J39"/>
      <c r="L39" s="16"/>
      <c r="S39" s="17"/>
      <c r="T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  <c r="AY39" s="17"/>
      <c r="AZ39" s="17"/>
      <c r="BA39" s="17"/>
      <c r="BB39" s="17"/>
      <c r="BC39" s="17"/>
      <c r="BD39" s="17"/>
      <c r="BE39" s="17"/>
      <c r="BF39" s="17"/>
      <c r="BG39" s="17"/>
    </row>
    <row r="40" spans="1:59" x14ac:dyDescent="0.4">
      <c r="A40" s="3" t="s">
        <v>159</v>
      </c>
      <c r="B40" s="2" t="str">
        <f t="shared" si="3"/>
        <v>Suresh @KARNE</v>
      </c>
      <c r="C40"/>
      <c r="J40"/>
      <c r="L40" s="16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  <c r="AY40" s="17"/>
      <c r="AZ40" s="17"/>
      <c r="BA40" s="17"/>
      <c r="BB40" s="17"/>
      <c r="BC40" s="17"/>
      <c r="BD40" s="17"/>
      <c r="BE40" s="17"/>
      <c r="BF40" s="17"/>
      <c r="BG40" s="17"/>
    </row>
    <row r="41" spans="1:59" x14ac:dyDescent="0.4">
      <c r="J41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  <c r="AY41" s="17"/>
      <c r="AZ41" s="17"/>
      <c r="BA41" s="17"/>
      <c r="BB41" s="17"/>
      <c r="BC41" s="17"/>
      <c r="BD41" s="17"/>
      <c r="BE41" s="17"/>
      <c r="BF41" s="17"/>
      <c r="BG41" s="17"/>
    </row>
    <row r="42" spans="1:59" x14ac:dyDescent="0.4">
      <c r="J42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  <c r="AY42" s="17"/>
      <c r="AZ42" s="17"/>
      <c r="BA42" s="17"/>
      <c r="BB42" s="17"/>
      <c r="BC42" s="17"/>
      <c r="BD42" s="17"/>
      <c r="BE42" s="17"/>
      <c r="BF42" s="17"/>
      <c r="BG42" s="17"/>
    </row>
    <row r="43" spans="1:59" x14ac:dyDescent="0.4">
      <c r="I43"/>
      <c r="J43"/>
      <c r="K43"/>
      <c r="L43"/>
      <c r="M43"/>
      <c r="N43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/>
      <c r="AU43" s="17"/>
      <c r="AV43" s="17"/>
      <c r="AW43" s="17"/>
      <c r="AX43" s="17"/>
      <c r="AY43" s="17"/>
      <c r="AZ43" s="17"/>
      <c r="BA43" s="17"/>
      <c r="BB43" s="17"/>
      <c r="BC43" s="17"/>
      <c r="BD43" s="17"/>
      <c r="BE43" s="17"/>
      <c r="BF43" s="17"/>
      <c r="BG43" s="17"/>
    </row>
    <row r="44" spans="1:59" x14ac:dyDescent="0.4">
      <c r="I44"/>
      <c r="J44"/>
      <c r="K44"/>
      <c r="L44"/>
      <c r="M44"/>
      <c r="N44"/>
      <c r="P44" s="14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  <c r="AY44" s="17"/>
      <c r="AZ44" s="17"/>
      <c r="BA44" s="17"/>
      <c r="BB44" s="17"/>
      <c r="BC44" s="17"/>
      <c r="BD44" s="17"/>
      <c r="BE44" s="17"/>
      <c r="BF44" s="17"/>
      <c r="BG44" s="17"/>
    </row>
    <row r="45" spans="1:59" x14ac:dyDescent="0.4">
      <c r="I45"/>
      <c r="J45"/>
      <c r="K45"/>
      <c r="L45"/>
      <c r="M45"/>
      <c r="N45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  <c r="AY45" s="17"/>
      <c r="AZ45" s="17"/>
      <c r="BA45" s="17"/>
      <c r="BB45" s="17"/>
      <c r="BC45" s="17"/>
      <c r="BD45" s="17"/>
      <c r="BE45" s="17"/>
      <c r="BF45" s="17"/>
      <c r="BG45" s="17"/>
    </row>
    <row r="46" spans="1:59" x14ac:dyDescent="0.4">
      <c r="I46"/>
      <c r="J46"/>
      <c r="K46"/>
      <c r="L46"/>
      <c r="M46"/>
      <c r="N46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  <c r="AY46" s="17"/>
      <c r="AZ46" s="17"/>
      <c r="BA46" s="17"/>
      <c r="BB46" s="17"/>
      <c r="BC46" s="17"/>
      <c r="BD46" s="17"/>
      <c r="BE46" s="17"/>
      <c r="BF46" s="17"/>
      <c r="BG46" s="17"/>
    </row>
    <row r="47" spans="1:59" x14ac:dyDescent="0.4">
      <c r="I47"/>
      <c r="J47"/>
      <c r="K47"/>
      <c r="L47"/>
      <c r="M47"/>
      <c r="N47"/>
      <c r="T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7"/>
      <c r="AU47" s="17"/>
      <c r="AV47" s="17"/>
      <c r="AW47" s="17"/>
      <c r="AX47" s="17"/>
      <c r="AY47" s="17"/>
      <c r="AZ47" s="17"/>
      <c r="BA47" s="17"/>
      <c r="BB47" s="17"/>
      <c r="BC47" s="17"/>
      <c r="BD47" s="17"/>
      <c r="BE47" s="17"/>
      <c r="BF47" s="17"/>
      <c r="BG47" s="17"/>
    </row>
    <row r="48" spans="1:59" x14ac:dyDescent="0.4">
      <c r="I48"/>
      <c r="J48"/>
      <c r="K48"/>
      <c r="L48"/>
      <c r="M48"/>
      <c r="N48"/>
      <c r="T48" s="17"/>
      <c r="Y48" s="17"/>
      <c r="Z48" s="17"/>
      <c r="AA48" s="17"/>
      <c r="AB48" s="17"/>
      <c r="AC48" s="17"/>
      <c r="AD48" s="17"/>
      <c r="AE48" s="17"/>
      <c r="AF48" s="17"/>
      <c r="AG48" s="17"/>
      <c r="AH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17"/>
      <c r="AU48" s="17"/>
      <c r="AV48" s="17"/>
      <c r="AW48" s="17"/>
      <c r="AX48" s="17"/>
      <c r="AY48" s="17"/>
      <c r="AZ48" s="17"/>
      <c r="BA48" s="17"/>
      <c r="BB48" s="17"/>
      <c r="BC48" s="17"/>
      <c r="BD48" s="17"/>
      <c r="BE48" s="17"/>
      <c r="BF48" s="17"/>
      <c r="BG48" s="17"/>
    </row>
    <row r="49" spans="2:59" x14ac:dyDescent="0.4">
      <c r="I49"/>
      <c r="J49"/>
      <c r="K49"/>
      <c r="L49"/>
      <c r="M49"/>
      <c r="N49"/>
      <c r="T49" s="17"/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  <c r="AY49" s="17"/>
      <c r="AZ49" s="17"/>
      <c r="BA49" s="17"/>
      <c r="BB49" s="17"/>
      <c r="BC49" s="17"/>
      <c r="BD49" s="17"/>
      <c r="BE49" s="17"/>
      <c r="BF49" s="17"/>
      <c r="BG49" s="17"/>
    </row>
    <row r="50" spans="2:59" x14ac:dyDescent="0.4">
      <c r="I50"/>
      <c r="J50"/>
      <c r="K50"/>
      <c r="L50"/>
      <c r="M50"/>
      <c r="N50"/>
      <c r="T50" s="17"/>
      <c r="Y50" s="17"/>
      <c r="Z50" s="17"/>
      <c r="AA50" s="17"/>
      <c r="AB50" s="17"/>
      <c r="AC50" s="17"/>
      <c r="AD50" s="17"/>
      <c r="AE50" s="17"/>
      <c r="AF50" s="17"/>
      <c r="AG50" s="17"/>
      <c r="AH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  <c r="AX50" s="17"/>
      <c r="AY50" s="17"/>
      <c r="AZ50" s="17"/>
      <c r="BA50" s="17"/>
      <c r="BB50" s="17"/>
      <c r="BC50" s="17"/>
      <c r="BD50" s="17"/>
      <c r="BE50" s="17"/>
      <c r="BF50" s="17"/>
      <c r="BG50" s="17"/>
    </row>
    <row r="51" spans="2:59" x14ac:dyDescent="0.4">
      <c r="I51"/>
      <c r="J51"/>
      <c r="K51"/>
      <c r="L51"/>
      <c r="M51"/>
      <c r="N51"/>
      <c r="T51" s="17"/>
      <c r="Y51" s="17"/>
      <c r="Z51" s="17"/>
      <c r="AA51" s="17"/>
      <c r="AB51" s="17"/>
      <c r="AC51" s="17"/>
      <c r="AD51" s="17"/>
      <c r="AE51" s="17"/>
      <c r="AF51" s="17"/>
      <c r="AG51" s="17"/>
      <c r="AH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  <c r="AY51" s="17"/>
      <c r="AZ51" s="17"/>
      <c r="BA51" s="17"/>
      <c r="BB51" s="17"/>
      <c r="BC51" s="17"/>
      <c r="BD51" s="17"/>
      <c r="BE51" s="17"/>
      <c r="BF51" s="17"/>
      <c r="BG51" s="17"/>
    </row>
    <row r="52" spans="2:59" ht="20.399999999999999" thickBot="1" x14ac:dyDescent="0.45">
      <c r="C52" s="27"/>
      <c r="E52" s="1" t="s">
        <v>6</v>
      </c>
      <c r="M52" s="14"/>
      <c r="T52" s="17"/>
      <c r="Y52" s="17"/>
      <c r="Z52" s="17"/>
      <c r="AA52" s="17"/>
      <c r="AB52" s="17"/>
      <c r="AC52" s="17"/>
      <c r="AD52" s="17"/>
      <c r="AE52" s="17"/>
      <c r="AF52" s="17"/>
      <c r="AG52" s="17"/>
      <c r="AH52" s="17"/>
      <c r="AI52" s="17"/>
      <c r="AJ52" s="17"/>
      <c r="AK52" s="17"/>
      <c r="AL52" s="17"/>
      <c r="AM52" s="17"/>
      <c r="AN52" s="17"/>
      <c r="AO52" s="17"/>
      <c r="AP52" s="17"/>
      <c r="AQ52" s="17"/>
      <c r="AR52" s="17"/>
      <c r="AS52" s="17"/>
      <c r="AT52" s="17"/>
      <c r="AU52" s="17"/>
      <c r="AV52" s="17"/>
      <c r="AW52" s="17"/>
      <c r="AX52" s="17"/>
      <c r="AY52" s="17"/>
      <c r="AZ52" s="17"/>
      <c r="BA52" s="17"/>
      <c r="BB52" s="17"/>
      <c r="BC52" s="17"/>
      <c r="BD52" s="17"/>
      <c r="BE52" s="17"/>
      <c r="BF52" s="17"/>
      <c r="BG52" s="17"/>
    </row>
    <row r="53" spans="2:59" x14ac:dyDescent="0.4">
      <c r="B53" s="28" t="s">
        <v>121</v>
      </c>
      <c r="C53" s="29" t="s">
        <v>170</v>
      </c>
      <c r="D53" s="29" t="s">
        <v>169</v>
      </c>
      <c r="E53" s="30" t="s">
        <v>168</v>
      </c>
      <c r="M53" s="14"/>
      <c r="T53" s="17"/>
      <c r="Y53" s="17"/>
      <c r="Z53" s="17"/>
      <c r="AA53" s="17"/>
      <c r="AB53" s="17"/>
      <c r="AC53" s="17"/>
      <c r="AD53" s="17"/>
      <c r="AE53" s="17"/>
      <c r="AF53" s="17"/>
      <c r="AG53" s="17"/>
      <c r="AH53" s="17"/>
      <c r="AI53" s="17"/>
      <c r="AJ53" s="17"/>
      <c r="AK53" s="17"/>
      <c r="AL53" s="17"/>
      <c r="AM53" s="17"/>
      <c r="AN53" s="17"/>
      <c r="AO53" s="17"/>
      <c r="AP53" s="17"/>
      <c r="AQ53" s="17"/>
      <c r="AR53" s="17"/>
      <c r="AS53" s="17"/>
      <c r="AT53" s="17"/>
      <c r="AU53" s="17"/>
      <c r="AV53" s="17"/>
      <c r="AW53" s="17"/>
      <c r="AX53" s="17"/>
      <c r="AY53" s="17"/>
      <c r="AZ53" s="17"/>
      <c r="BA53" s="17"/>
      <c r="BB53" s="17"/>
      <c r="BC53" s="17"/>
      <c r="BD53" s="17"/>
      <c r="BE53" s="17"/>
      <c r="BF53" s="17"/>
      <c r="BG53" s="17"/>
    </row>
    <row r="54" spans="2:59" x14ac:dyDescent="0.4">
      <c r="B54" s="31" t="s">
        <v>166</v>
      </c>
      <c r="C54" s="15" t="str">
        <f>SUBSTITUTE(B54, " ","-")</f>
        <v>SWATHI-MATAM-Kumari</v>
      </c>
      <c r="D54" s="2" t="str">
        <f>SUBSTITUTE(B54, " ","@",1)</f>
        <v>SWATHI@MATAM Kumari</v>
      </c>
      <c r="E54" s="32" t="str">
        <f>SUBSTITUTE(SUBSTITUTE(B54," ","@",1)," ","@",1)</f>
        <v>SWATHI@MATAM@Kumari</v>
      </c>
      <c r="M54" s="14"/>
      <c r="T54" s="17"/>
      <c r="Y54" s="17"/>
      <c r="Z54" s="17"/>
      <c r="AA54" s="17"/>
      <c r="AB54" s="17"/>
      <c r="AC54" s="17"/>
      <c r="AD54" s="17"/>
      <c r="AE54" s="17"/>
      <c r="AF54" s="17"/>
      <c r="AG54" s="17"/>
      <c r="AH54" s="17"/>
      <c r="AI54" s="17"/>
      <c r="AJ54" s="17"/>
      <c r="AK54" s="17"/>
      <c r="AL54" s="17"/>
      <c r="AM54" s="17"/>
      <c r="AN54" s="17"/>
      <c r="AO54" s="17"/>
      <c r="AP54" s="17"/>
      <c r="AQ54" s="17"/>
      <c r="AR54" s="17"/>
      <c r="AS54" s="17"/>
      <c r="AT54" s="17"/>
      <c r="AU54" s="17"/>
      <c r="AV54" s="17"/>
      <c r="AW54" s="17"/>
      <c r="AX54" s="17"/>
      <c r="AY54" s="17"/>
      <c r="AZ54" s="17"/>
      <c r="BA54" s="17"/>
      <c r="BB54" s="17"/>
      <c r="BC54" s="17"/>
      <c r="BD54" s="17"/>
      <c r="BE54" s="17"/>
      <c r="BF54" s="17"/>
      <c r="BG54" s="17"/>
    </row>
    <row r="55" spans="2:59" x14ac:dyDescent="0.4">
      <c r="B55" s="31" t="s">
        <v>118</v>
      </c>
      <c r="C55" s="15" t="str">
        <f t="shared" ref="C55:C76" si="4">SUBSTITUTE(B55, " ","-")</f>
        <v>abhimanyu-pulugurtha-TL</v>
      </c>
      <c r="D55" s="2" t="str">
        <f t="shared" ref="D55:D76" si="5">SUBSTITUTE(B55, " ","@",1)</f>
        <v>abhimanyu@pulugurtha TL</v>
      </c>
      <c r="E55" s="32" t="str">
        <f t="shared" ref="E55:E76" si="6">SUBSTITUTE(SUBSTITUTE(B55," ","@",1)," ","@",1)</f>
        <v>abhimanyu@pulugurtha@TL</v>
      </c>
      <c r="T55" s="17"/>
      <c r="Y55" s="17"/>
      <c r="Z55" s="17"/>
      <c r="AA55" s="17"/>
      <c r="AB55" s="17"/>
      <c r="AC55" s="17"/>
      <c r="AD55" s="17"/>
      <c r="AE55" s="17"/>
      <c r="AF55" s="17"/>
      <c r="AG55" s="17"/>
      <c r="AH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  <c r="AY55" s="17"/>
      <c r="AZ55" s="17"/>
      <c r="BA55" s="17"/>
      <c r="BB55" s="17"/>
      <c r="BC55" s="17"/>
      <c r="BD55" s="17"/>
      <c r="BE55" s="17"/>
      <c r="BF55" s="17"/>
      <c r="BG55" s="17"/>
    </row>
    <row r="56" spans="2:59" x14ac:dyDescent="0.4">
      <c r="B56" s="31" t="s">
        <v>116</v>
      </c>
      <c r="C56" s="15" t="str">
        <f t="shared" si="4"/>
        <v>V-V-S-Laxman</v>
      </c>
      <c r="D56" s="2" t="str">
        <f t="shared" si="5"/>
        <v>V@V S Laxman</v>
      </c>
      <c r="E56" s="32" t="str">
        <f t="shared" si="6"/>
        <v>V@V@S Laxman</v>
      </c>
      <c r="T56" s="17"/>
      <c r="Y56" s="17"/>
      <c r="Z56" s="17"/>
      <c r="AA56" s="17"/>
      <c r="AB56" s="17"/>
      <c r="AC56" s="17"/>
      <c r="AD56" s="17"/>
      <c r="AE56" s="17"/>
      <c r="AF56" s="17"/>
      <c r="AG56" s="17"/>
      <c r="AH56" s="17"/>
      <c r="AI56" s="17"/>
      <c r="AJ56" s="17"/>
      <c r="AK56" s="17"/>
      <c r="AL56" s="17"/>
      <c r="AM56" s="17"/>
      <c r="AN56" s="17"/>
      <c r="AO56" s="17"/>
      <c r="AP56" s="17"/>
      <c r="AQ56" s="17"/>
      <c r="AR56" s="17"/>
      <c r="AS56" s="17"/>
      <c r="AT56" s="17"/>
      <c r="AU56" s="17"/>
      <c r="AV56" s="17"/>
      <c r="AW56" s="17"/>
      <c r="AX56" s="17"/>
      <c r="AY56" s="17"/>
      <c r="AZ56" s="17"/>
      <c r="BA56" s="17"/>
      <c r="BB56" s="17"/>
      <c r="BC56" s="17"/>
      <c r="BD56" s="17"/>
      <c r="BE56" s="17"/>
      <c r="BF56" s="17"/>
      <c r="BG56" s="17"/>
    </row>
    <row r="57" spans="2:59" x14ac:dyDescent="0.4">
      <c r="B57" s="31" t="s">
        <v>114</v>
      </c>
      <c r="C57" s="15" t="str">
        <f t="shared" si="4"/>
        <v>RAJESH-UPPALA</v>
      </c>
      <c r="D57" s="2" t="str">
        <f t="shared" si="5"/>
        <v>RAJESH@UPPALA</v>
      </c>
      <c r="E57" s="32" t="str">
        <f t="shared" si="6"/>
        <v>RAJESH@UPPALA</v>
      </c>
      <c r="L57"/>
      <c r="T57" s="17"/>
      <c r="Y57" s="17"/>
      <c r="Z57" s="17"/>
      <c r="AA57" s="17"/>
      <c r="AB57" s="17"/>
      <c r="AC57" s="17"/>
      <c r="AD57" s="17"/>
      <c r="AE57" s="17"/>
      <c r="AF57" s="17"/>
      <c r="AG57" s="17"/>
      <c r="AH57" s="17"/>
      <c r="AI57" s="17"/>
      <c r="AJ57" s="17"/>
      <c r="AK57" s="17"/>
      <c r="AL57" s="17"/>
      <c r="AM57" s="17"/>
      <c r="AN57" s="17"/>
      <c r="AO57" s="17"/>
      <c r="AP57" s="17"/>
      <c r="AQ57" s="17"/>
      <c r="AR57" s="17"/>
      <c r="AS57" s="17"/>
      <c r="AT57" s="17"/>
      <c r="AU57" s="17"/>
      <c r="AV57" s="17"/>
      <c r="AW57" s="17"/>
      <c r="AX57" s="17"/>
      <c r="AY57" s="17"/>
      <c r="AZ57" s="17"/>
      <c r="BA57" s="17"/>
      <c r="BB57" s="17"/>
      <c r="BC57" s="17"/>
      <c r="BD57" s="17"/>
      <c r="BE57" s="17"/>
      <c r="BF57" s="17"/>
      <c r="BG57" s="17"/>
    </row>
    <row r="58" spans="2:59" x14ac:dyDescent="0.4">
      <c r="B58" s="31" t="s">
        <v>161</v>
      </c>
      <c r="C58" s="15" t="str">
        <f t="shared" si="4"/>
        <v>Kamal----------Chalamalasetti</v>
      </c>
      <c r="D58" s="2" t="str">
        <f t="shared" si="5"/>
        <v>Kamal@         Chalamalasetti</v>
      </c>
      <c r="E58" s="32" t="str">
        <f t="shared" si="6"/>
        <v>Kamal@@        Chalamalasetti</v>
      </c>
      <c r="L58"/>
      <c r="T58" s="17"/>
      <c r="Y58" s="17"/>
      <c r="Z58" s="17"/>
      <c r="AA58" s="17"/>
      <c r="AB58" s="17"/>
      <c r="AC58" s="17"/>
      <c r="AD58" s="17"/>
      <c r="AE58" s="17"/>
      <c r="AF58" s="17"/>
      <c r="AG58" s="17"/>
      <c r="AH58" s="17"/>
      <c r="AI58" s="17"/>
      <c r="AJ58" s="17"/>
      <c r="AK58" s="17"/>
      <c r="AL58" s="17"/>
      <c r="AM58" s="17"/>
      <c r="AN58" s="17"/>
      <c r="AO58" s="17"/>
      <c r="AP58" s="17"/>
      <c r="AQ58" s="17"/>
      <c r="AR58" s="17"/>
      <c r="AS58" s="17"/>
      <c r="AT58" s="17"/>
      <c r="AU58" s="17"/>
      <c r="AV58" s="17"/>
      <c r="AW58" s="17"/>
      <c r="AX58" s="17"/>
      <c r="AY58" s="17"/>
      <c r="AZ58" s="17"/>
      <c r="BA58" s="17"/>
      <c r="BB58" s="17"/>
      <c r="BC58" s="17"/>
      <c r="BD58" s="17"/>
      <c r="BE58" s="17"/>
      <c r="BF58" s="17"/>
      <c r="BG58" s="17"/>
    </row>
    <row r="59" spans="2:59" x14ac:dyDescent="0.4">
      <c r="B59" s="31" t="s">
        <v>159</v>
      </c>
      <c r="C59" s="15" t="str">
        <f t="shared" si="4"/>
        <v>Suresh-KARNE</v>
      </c>
      <c r="D59" s="2" t="str">
        <f t="shared" si="5"/>
        <v>Suresh@KARNE</v>
      </c>
      <c r="E59" s="32" t="str">
        <f t="shared" si="6"/>
        <v>Suresh@KARNE</v>
      </c>
      <c r="L59"/>
      <c r="T59" s="17"/>
      <c r="Y59" s="17"/>
      <c r="Z59" s="17"/>
      <c r="AA59" s="17"/>
      <c r="AB59" s="17"/>
      <c r="AC59" s="17"/>
      <c r="AD59" s="17"/>
      <c r="AE59" s="17"/>
      <c r="AF59" s="17"/>
      <c r="AG59" s="17"/>
      <c r="AH59" s="17"/>
      <c r="AI59" s="17"/>
      <c r="AJ59" s="17"/>
      <c r="AK59" s="17"/>
      <c r="AL59" s="17"/>
      <c r="AM59" s="17"/>
      <c r="AN59" s="17"/>
      <c r="AO59" s="17"/>
      <c r="AP59" s="17"/>
      <c r="AQ59" s="17"/>
      <c r="AR59" s="17"/>
      <c r="AS59" s="17"/>
      <c r="AT59" s="17"/>
      <c r="AU59" s="17"/>
      <c r="AV59" s="17"/>
      <c r="AW59" s="17"/>
      <c r="AX59" s="17"/>
      <c r="AY59" s="17"/>
      <c r="AZ59" s="17"/>
      <c r="BA59" s="17"/>
      <c r="BB59" s="17"/>
      <c r="BC59" s="17"/>
      <c r="BD59" s="17"/>
      <c r="BE59" s="17"/>
      <c r="BF59" s="17"/>
      <c r="BG59" s="17"/>
    </row>
    <row r="60" spans="2:59" x14ac:dyDescent="0.4">
      <c r="B60" s="31" t="s">
        <v>116</v>
      </c>
      <c r="C60" s="15" t="str">
        <f t="shared" si="4"/>
        <v>V-V-S-Laxman</v>
      </c>
      <c r="D60" s="2" t="str">
        <f t="shared" si="5"/>
        <v>V@V S Laxman</v>
      </c>
      <c r="E60" s="32" t="str">
        <f t="shared" si="6"/>
        <v>V@V@S Laxman</v>
      </c>
      <c r="L60"/>
      <c r="T60" s="17"/>
      <c r="Y60" s="17"/>
      <c r="Z60" s="17"/>
      <c r="AA60" s="17"/>
      <c r="AB60" s="17"/>
      <c r="AC60" s="17"/>
      <c r="AD60" s="17"/>
      <c r="AE60" s="17"/>
      <c r="AF60" s="17"/>
      <c r="AG60" s="17"/>
      <c r="AH60" s="17"/>
      <c r="AI60" s="17"/>
      <c r="AJ60" s="17"/>
      <c r="AK60" s="17"/>
      <c r="AL60" s="17"/>
      <c r="AM60" s="17"/>
      <c r="AN60" s="17"/>
      <c r="AO60" s="17"/>
      <c r="AP60" s="17"/>
      <c r="AQ60" s="17"/>
      <c r="AR60" s="17"/>
      <c r="AS60" s="17"/>
      <c r="AT60" s="17"/>
      <c r="AU60" s="17"/>
      <c r="AV60" s="17"/>
      <c r="AW60" s="17"/>
      <c r="AX60" s="17"/>
      <c r="AY60" s="17"/>
      <c r="AZ60" s="17"/>
      <c r="BA60" s="17"/>
      <c r="BB60" s="17"/>
      <c r="BC60" s="17"/>
      <c r="BD60" s="17"/>
      <c r="BE60" s="17"/>
      <c r="BF60" s="17"/>
      <c r="BG60" s="17"/>
    </row>
    <row r="61" spans="2:59" x14ac:dyDescent="0.4">
      <c r="B61" s="31" t="s">
        <v>156</v>
      </c>
      <c r="C61" s="15" t="str">
        <f t="shared" si="4"/>
        <v>ALFRED-JOSEPH</v>
      </c>
      <c r="D61" s="2" t="str">
        <f t="shared" si="5"/>
        <v>ALFRED@JOSEPH</v>
      </c>
      <c r="E61" s="32" t="str">
        <f t="shared" si="6"/>
        <v>ALFRED@JOSEPH</v>
      </c>
      <c r="L61"/>
      <c r="T61" s="17"/>
      <c r="Y61" s="17"/>
      <c r="Z61" s="17"/>
      <c r="AA61" s="17"/>
      <c r="AB61" s="17"/>
      <c r="AC61" s="17"/>
      <c r="AD61" s="17"/>
      <c r="AE61" s="17"/>
      <c r="AF61" s="17"/>
      <c r="AG61" s="17"/>
      <c r="AH61" s="17"/>
      <c r="AI61" s="17"/>
      <c r="AJ61" s="17"/>
      <c r="AK61" s="17"/>
      <c r="AL61" s="17"/>
      <c r="AM61" s="17"/>
      <c r="AN61" s="17"/>
      <c r="AO61" s="17"/>
      <c r="AP61" s="17"/>
      <c r="AQ61" s="17"/>
      <c r="AR61" s="17"/>
      <c r="AS61" s="17"/>
      <c r="AT61" s="17"/>
      <c r="AU61" s="17"/>
      <c r="AV61" s="17"/>
      <c r="AW61" s="17"/>
      <c r="AX61" s="17"/>
      <c r="AY61" s="17"/>
      <c r="AZ61" s="17"/>
      <c r="BA61" s="17"/>
      <c r="BB61" s="17"/>
      <c r="BC61" s="17"/>
      <c r="BD61" s="17"/>
      <c r="BE61" s="17"/>
      <c r="BF61" s="17"/>
      <c r="BG61" s="17"/>
    </row>
    <row r="62" spans="2:59" x14ac:dyDescent="0.4">
      <c r="B62" s="31" t="s">
        <v>154</v>
      </c>
      <c r="C62" s="15" t="str">
        <f t="shared" si="4"/>
        <v>Kaushik-Kumar</v>
      </c>
      <c r="D62" s="2" t="str">
        <f t="shared" si="5"/>
        <v>Kaushik@Kumar</v>
      </c>
      <c r="E62" s="32" t="str">
        <f t="shared" si="6"/>
        <v>Kaushik@Kumar</v>
      </c>
      <c r="F62"/>
      <c r="G62"/>
      <c r="H62"/>
      <c r="I62"/>
    </row>
    <row r="63" spans="2:59" x14ac:dyDescent="0.4">
      <c r="B63" s="31" t="s">
        <v>152</v>
      </c>
      <c r="C63" s="15" t="str">
        <f t="shared" si="4"/>
        <v>malay-mandal</v>
      </c>
      <c r="D63" s="2" t="str">
        <f t="shared" si="5"/>
        <v>malay@mandal</v>
      </c>
      <c r="E63" s="32" t="str">
        <f t="shared" si="6"/>
        <v>malay@mandal</v>
      </c>
      <c r="F63"/>
      <c r="G63"/>
      <c r="H63"/>
      <c r="I63"/>
    </row>
    <row r="64" spans="2:59" x14ac:dyDescent="0.4">
      <c r="B64" s="31" t="s">
        <v>150</v>
      </c>
      <c r="C64" s="15" t="str">
        <f t="shared" si="4"/>
        <v>Kiran-Kunaparaju</v>
      </c>
      <c r="D64" s="2" t="str">
        <f t="shared" si="5"/>
        <v>Kiran@Kunaparaju</v>
      </c>
      <c r="E64" s="32" t="str">
        <f t="shared" si="6"/>
        <v>Kiran@Kunaparaju</v>
      </c>
      <c r="F64"/>
      <c r="G64"/>
      <c r="H64"/>
      <c r="I64"/>
    </row>
    <row r="65" spans="2:16" x14ac:dyDescent="0.4">
      <c r="B65" s="31" t="s">
        <v>148</v>
      </c>
      <c r="C65" s="15" t="str">
        <f t="shared" si="4"/>
        <v>Saharsh-Dale</v>
      </c>
      <c r="D65" s="2" t="str">
        <f t="shared" si="5"/>
        <v>Saharsh@Dale</v>
      </c>
      <c r="E65" s="32" t="str">
        <f t="shared" si="6"/>
        <v>Saharsh@Dale</v>
      </c>
      <c r="F65"/>
      <c r="G65"/>
      <c r="H65"/>
      <c r="I65"/>
    </row>
    <row r="66" spans="2:16" x14ac:dyDescent="0.4">
      <c r="B66" s="31" t="s">
        <v>146</v>
      </c>
      <c r="C66" s="15" t="str">
        <f t="shared" si="4"/>
        <v>sujana-kasturi</v>
      </c>
      <c r="D66" s="2" t="str">
        <f t="shared" si="5"/>
        <v>sujana@kasturi</v>
      </c>
      <c r="E66" s="32" t="str">
        <f t="shared" si="6"/>
        <v>sujana@kasturi</v>
      </c>
      <c r="F66" s="18"/>
      <c r="G66" s="18"/>
      <c r="H66" s="18"/>
      <c r="K66"/>
      <c r="L66"/>
      <c r="M66"/>
      <c r="N66"/>
      <c r="O66"/>
      <c r="P66"/>
    </row>
    <row r="67" spans="2:16" x14ac:dyDescent="0.4">
      <c r="B67" s="31" t="s">
        <v>144</v>
      </c>
      <c r="C67" s="15" t="str">
        <f t="shared" si="4"/>
        <v>RAJENDRA-S</v>
      </c>
      <c r="D67" s="2" t="str">
        <f t="shared" si="5"/>
        <v>RAJENDRA@S</v>
      </c>
      <c r="E67" s="32" t="str">
        <f t="shared" si="6"/>
        <v>RAJENDRA@S</v>
      </c>
      <c r="K67"/>
      <c r="L67"/>
      <c r="M67"/>
      <c r="N67"/>
      <c r="O67"/>
      <c r="P67"/>
    </row>
    <row r="68" spans="2:16" x14ac:dyDescent="0.4">
      <c r="B68" s="31" t="s">
        <v>141</v>
      </c>
      <c r="C68" s="15" t="str">
        <f t="shared" si="4"/>
        <v>LAKSHMI-VENNELA</v>
      </c>
      <c r="D68" s="2" t="str">
        <f t="shared" si="5"/>
        <v>LAKSHMI@VENNELA</v>
      </c>
      <c r="E68" s="32" t="str">
        <f t="shared" si="6"/>
        <v>LAKSHMI@VENNELA</v>
      </c>
      <c r="K68"/>
      <c r="L68"/>
      <c r="M68"/>
      <c r="N68"/>
      <c r="O68"/>
      <c r="P68"/>
    </row>
    <row r="69" spans="2:16" x14ac:dyDescent="0.4">
      <c r="B69" s="31" t="s">
        <v>139</v>
      </c>
      <c r="C69" s="15" t="str">
        <f t="shared" si="4"/>
        <v>rijoy-kapoor</v>
      </c>
      <c r="D69" s="2" t="str">
        <f t="shared" si="5"/>
        <v>rijoy@kapoor</v>
      </c>
      <c r="E69" s="32" t="str">
        <f t="shared" si="6"/>
        <v>rijoy@kapoor</v>
      </c>
      <c r="K69"/>
      <c r="L69"/>
      <c r="M69"/>
      <c r="N69"/>
      <c r="O69"/>
      <c r="P69"/>
    </row>
    <row r="70" spans="2:16" x14ac:dyDescent="0.4">
      <c r="B70" s="31" t="s">
        <v>137</v>
      </c>
      <c r="C70" s="15" t="str">
        <f t="shared" si="4"/>
        <v>V-GOWTHAMI</v>
      </c>
      <c r="D70" s="2" t="str">
        <f t="shared" si="5"/>
        <v>V@GOWTHAMI</v>
      </c>
      <c r="E70" s="32" t="str">
        <f t="shared" si="6"/>
        <v>V@GOWTHAMI</v>
      </c>
      <c r="K70"/>
      <c r="L70"/>
      <c r="M70"/>
      <c r="N70"/>
      <c r="O70"/>
      <c r="P70"/>
    </row>
    <row r="71" spans="2:16" x14ac:dyDescent="0.4">
      <c r="B71" s="31" t="s">
        <v>135</v>
      </c>
      <c r="C71" s="15" t="str">
        <f t="shared" si="4"/>
        <v>Gundu-Kumar</v>
      </c>
      <c r="D71" s="2" t="str">
        <f t="shared" si="5"/>
        <v>Gundu@Kumar</v>
      </c>
      <c r="E71" s="32" t="str">
        <f t="shared" si="6"/>
        <v>Gundu@Kumar</v>
      </c>
      <c r="K71"/>
      <c r="L71"/>
      <c r="M71"/>
      <c r="N71"/>
      <c r="O71"/>
      <c r="P71"/>
    </row>
    <row r="72" spans="2:16" x14ac:dyDescent="0.4">
      <c r="B72" s="31" t="s">
        <v>133</v>
      </c>
      <c r="C72" s="15" t="str">
        <f t="shared" si="4"/>
        <v>prakash-ramachandran</v>
      </c>
      <c r="D72" s="2" t="str">
        <f t="shared" si="5"/>
        <v>prakash@ramachandran</v>
      </c>
      <c r="E72" s="32" t="str">
        <f t="shared" si="6"/>
        <v>prakash@ramachandran</v>
      </c>
      <c r="F72" s="17"/>
      <c r="G72" s="17"/>
      <c r="H72" s="17"/>
      <c r="I72" s="17"/>
      <c r="K72"/>
      <c r="L72"/>
      <c r="M72"/>
      <c r="N72"/>
      <c r="O72"/>
      <c r="P72"/>
    </row>
    <row r="73" spans="2:16" x14ac:dyDescent="0.4">
      <c r="B73" s="31" t="s">
        <v>131</v>
      </c>
      <c r="C73" s="15" t="str">
        <f t="shared" si="4"/>
        <v>ravi-kishore</v>
      </c>
      <c r="D73" s="2" t="str">
        <f t="shared" si="5"/>
        <v>ravi@kishore</v>
      </c>
      <c r="E73" s="32" t="str">
        <f t="shared" si="6"/>
        <v>ravi@kishore</v>
      </c>
      <c r="F73" s="17"/>
      <c r="G73" s="17"/>
      <c r="H73" s="17"/>
      <c r="I73" s="17"/>
    </row>
    <row r="74" spans="2:16" x14ac:dyDescent="0.4">
      <c r="B74" s="31" t="s">
        <v>129</v>
      </c>
      <c r="C74" s="15" t="str">
        <f t="shared" si="4"/>
        <v>RAJESH-CHIGURUPATI</v>
      </c>
      <c r="D74" s="2" t="str">
        <f t="shared" si="5"/>
        <v>RAJESH@CHIGURUPATI</v>
      </c>
      <c r="E74" s="32" t="str">
        <f t="shared" si="6"/>
        <v>RAJESH@CHIGURUPATI</v>
      </c>
      <c r="F74" s="17"/>
      <c r="G74" s="17"/>
      <c r="H74" s="17"/>
      <c r="I74" s="17"/>
    </row>
    <row r="75" spans="2:16" x14ac:dyDescent="0.4">
      <c r="B75" s="31" t="s">
        <v>127</v>
      </c>
      <c r="C75" s="15" t="str">
        <f t="shared" si="4"/>
        <v>SHRAVAN-KUMAR</v>
      </c>
      <c r="D75" s="2" t="str">
        <f t="shared" si="5"/>
        <v>SHRAVAN@KUMAR</v>
      </c>
      <c r="E75" s="32" t="str">
        <f t="shared" si="6"/>
        <v>SHRAVAN@KUMAR</v>
      </c>
      <c r="F75" s="17"/>
      <c r="G75" s="17"/>
      <c r="H75" s="17"/>
      <c r="I75" s="17"/>
    </row>
    <row r="76" spans="2:16" ht="20.399999999999999" thickBot="1" x14ac:dyDescent="0.45">
      <c r="B76" s="33" t="s">
        <v>125</v>
      </c>
      <c r="C76" s="15" t="str">
        <f t="shared" si="4"/>
        <v>ABDUL-RAZZAK</v>
      </c>
      <c r="D76" s="2" t="str">
        <f t="shared" si="5"/>
        <v>ABDUL@RAZZAK</v>
      </c>
      <c r="E76" s="32" t="str">
        <f t="shared" si="6"/>
        <v>ABDUL@RAZZAK</v>
      </c>
    </row>
    <row r="78" spans="2:16" x14ac:dyDescent="0.4">
      <c r="B78"/>
      <c r="C78"/>
      <c r="D78"/>
      <c r="E78"/>
      <c r="F78"/>
      <c r="G78"/>
    </row>
    <row r="79" spans="2:16" x14ac:dyDescent="0.4">
      <c r="B79"/>
      <c r="C79"/>
      <c r="D79"/>
      <c r="E79"/>
      <c r="F79"/>
      <c r="G79"/>
    </row>
    <row r="80" spans="2:16" x14ac:dyDescent="0.4">
      <c r="B80"/>
      <c r="C80"/>
      <c r="D80"/>
      <c r="E80"/>
      <c r="F80"/>
      <c r="G80"/>
    </row>
    <row r="81" spans="2:143" x14ac:dyDescent="0.4">
      <c r="B81"/>
      <c r="C81"/>
      <c r="D81"/>
      <c r="E81"/>
      <c r="F81"/>
      <c r="G81"/>
    </row>
    <row r="82" spans="2:143" x14ac:dyDescent="0.4">
      <c r="B82"/>
      <c r="C82"/>
      <c r="D82"/>
      <c r="E82"/>
      <c r="F82"/>
      <c r="G82"/>
    </row>
    <row r="83" spans="2:143" x14ac:dyDescent="0.4">
      <c r="B83"/>
      <c r="C83"/>
      <c r="D83"/>
      <c r="E83"/>
      <c r="F83"/>
      <c r="G83"/>
    </row>
    <row r="84" spans="2:143" x14ac:dyDescent="0.4">
      <c r="B84"/>
      <c r="C84"/>
      <c r="D84"/>
      <c r="E84"/>
      <c r="F84"/>
      <c r="G84"/>
    </row>
    <row r="85" spans="2:143" x14ac:dyDescent="0.4">
      <c r="B85"/>
      <c r="C85"/>
      <c r="D85"/>
      <c r="E85"/>
      <c r="F85"/>
      <c r="G85"/>
    </row>
    <row r="86" spans="2:143" ht="20.399999999999999" thickBot="1" x14ac:dyDescent="0.45">
      <c r="F86" s="1" t="s">
        <v>218</v>
      </c>
    </row>
    <row r="87" spans="2:143" ht="20.399999999999999" thickBot="1" x14ac:dyDescent="0.45">
      <c r="D87" s="23" t="s">
        <v>109</v>
      </c>
      <c r="E87" s="24" t="s">
        <v>108</v>
      </c>
      <c r="F87" s="25" t="str">
        <f>_xlfn.TEXTJOIN(" ", TRUE,D87:E87)</f>
        <v>virat kohli</v>
      </c>
    </row>
    <row r="88" spans="2:143" ht="20.399999999999999" thickBot="1" x14ac:dyDescent="0.45"/>
    <row r="89" spans="2:143" x14ac:dyDescent="0.4">
      <c r="B89" s="34" t="s">
        <v>8</v>
      </c>
      <c r="D89" s="8" t="s">
        <v>105</v>
      </c>
    </row>
    <row r="90" spans="2:143" x14ac:dyDescent="0.4">
      <c r="B90" s="35" t="s">
        <v>103</v>
      </c>
      <c r="F90"/>
    </row>
    <row r="91" spans="2:143" x14ac:dyDescent="0.4">
      <c r="B91" s="35" t="s">
        <v>101</v>
      </c>
      <c r="D91" s="1" t="s">
        <v>100</v>
      </c>
      <c r="F91"/>
      <c r="G91"/>
      <c r="H91"/>
      <c r="I91"/>
      <c r="J91"/>
    </row>
    <row r="92" spans="2:143" x14ac:dyDescent="0.4">
      <c r="B92" s="35" t="s">
        <v>98</v>
      </c>
      <c r="D92" s="1" t="s">
        <v>97</v>
      </c>
      <c r="F92"/>
      <c r="G92"/>
      <c r="H92"/>
      <c r="I92"/>
      <c r="J92"/>
    </row>
    <row r="93" spans="2:143" x14ac:dyDescent="0.4">
      <c r="B93" s="35" t="s">
        <v>95</v>
      </c>
      <c r="D93"/>
      <c r="F93" s="1">
        <v>20</v>
      </c>
    </row>
    <row r="94" spans="2:143" x14ac:dyDescent="0.4">
      <c r="B94" s="35"/>
      <c r="D94" s="1" t="str">
        <f>_xlfn.TEXTJOIN("_",TRUE,B90:B95)</f>
        <v>ram_ramesh_Khushi_Saharsh_pramod</v>
      </c>
    </row>
    <row r="95" spans="2:143" ht="20.399999999999999" thickBot="1" x14ac:dyDescent="0.45">
      <c r="B95" s="36" t="s">
        <v>92</v>
      </c>
      <c r="D95"/>
      <c r="E95" s="14"/>
    </row>
    <row r="96" spans="2:143" x14ac:dyDescent="0.4">
      <c r="D96"/>
      <c r="E96" s="14"/>
      <c r="EM96" s="1" t="s">
        <v>89</v>
      </c>
    </row>
    <row r="98" spans="2:15" x14ac:dyDescent="0.4">
      <c r="B98" s="13" t="s">
        <v>87</v>
      </c>
      <c r="C98" s="13" t="s">
        <v>86</v>
      </c>
      <c r="D98"/>
    </row>
    <row r="99" spans="2:15" x14ac:dyDescent="0.4">
      <c r="B99" s="12" t="s">
        <v>84</v>
      </c>
      <c r="C99" s="11" t="str">
        <f>REPT(B99,7)</f>
        <v xml:space="preserve">sorry sorry sorry sorry sorry sorry sorry </v>
      </c>
      <c r="D99"/>
    </row>
    <row r="100" spans="2:15" x14ac:dyDescent="0.4">
      <c r="B100" s="12" t="s">
        <v>82</v>
      </c>
      <c r="C100" s="11" t="str">
        <f>REPT(B100, 7)</f>
        <v>hellohellohellohellohellohellohello</v>
      </c>
      <c r="D100"/>
    </row>
    <row r="101" spans="2:15" x14ac:dyDescent="0.4">
      <c r="B101" s="10" t="s">
        <v>80</v>
      </c>
    </row>
    <row r="103" spans="2:15" x14ac:dyDescent="0.4">
      <c r="K103" s="1" t="s">
        <v>6</v>
      </c>
      <c r="L103" s="9">
        <v>43313</v>
      </c>
      <c r="M103" s="1" t="s">
        <v>77</v>
      </c>
      <c r="N103" s="1" t="s">
        <v>76</v>
      </c>
      <c r="O103" s="1">
        <v>2018</v>
      </c>
    </row>
    <row r="104" spans="2:15" x14ac:dyDescent="0.4">
      <c r="B104" s="8" t="s">
        <v>74</v>
      </c>
      <c r="C104" s="39" t="s">
        <v>73</v>
      </c>
      <c r="E104" s="8" t="s">
        <v>72</v>
      </c>
      <c r="F104" s="8" t="s">
        <v>71</v>
      </c>
      <c r="H104" s="8" t="s">
        <v>70</v>
      </c>
      <c r="I104" s="8" t="s">
        <v>69</v>
      </c>
      <c r="K104" s="8" t="s">
        <v>68</v>
      </c>
      <c r="L104" s="8" t="s">
        <v>67</v>
      </c>
      <c r="M104" s="8" t="s">
        <v>66</v>
      </c>
      <c r="N104" s="8" t="s">
        <v>65</v>
      </c>
      <c r="O104" s="8" t="s">
        <v>64</v>
      </c>
    </row>
    <row r="105" spans="2:15" x14ac:dyDescent="0.4">
      <c r="B105" s="3">
        <v>4902</v>
      </c>
      <c r="C105" s="6" t="str">
        <f>TEXT(B105, "$####0.00")</f>
        <v>$4902.00</v>
      </c>
      <c r="E105" s="7" t="s">
        <v>62</v>
      </c>
      <c r="F105" s="40">
        <f>VALUE(E105)</f>
        <v>1000</v>
      </c>
      <c r="H105" s="3">
        <v>8886878945</v>
      </c>
      <c r="I105" s="41">
        <f>H105</f>
        <v>8886878945</v>
      </c>
      <c r="K105" s="5">
        <v>43314</v>
      </c>
      <c r="L105" s="4" t="str">
        <f>TEXT(K105, "MMm-yyy")</f>
        <v>Aug-2018</v>
      </c>
      <c r="M105" s="4" t="str">
        <f>TEXT(K105, "mmmm")</f>
        <v>August</v>
      </c>
      <c r="N105" s="4" t="str">
        <f>TEXT(K105, "dddd")</f>
        <v>Thursday</v>
      </c>
      <c r="O105" s="4" t="str">
        <f>TEXT(K105, "yyyy")</f>
        <v>2018</v>
      </c>
    </row>
    <row r="106" spans="2:15" x14ac:dyDescent="0.4">
      <c r="B106" s="3">
        <v>1924</v>
      </c>
      <c r="C106" s="6" t="str">
        <f t="shared" ref="C106:C119" si="7">TEXT(B106, "$####0.00")</f>
        <v>$1924.00</v>
      </c>
      <c r="E106" s="7" t="s">
        <v>60</v>
      </c>
      <c r="F106" s="40" t="str">
        <f t="shared" ref="F106:F119" si="8">E106</f>
        <v>2000</v>
      </c>
      <c r="H106" s="3">
        <v>9966332211</v>
      </c>
      <c r="I106" s="41">
        <f t="shared" ref="I106:I119" si="9">H106</f>
        <v>9966332211</v>
      </c>
      <c r="K106" s="5">
        <v>43189</v>
      </c>
      <c r="L106" s="4" t="str">
        <f t="shared" ref="L106:L119" si="10">TEXT(K106, "MMm-yyy")</f>
        <v>Mar-2018</v>
      </c>
      <c r="M106" s="4" t="str">
        <f t="shared" ref="M106:M119" si="11">TEXT(K106, "mmmm")</f>
        <v>March</v>
      </c>
      <c r="N106" s="4" t="str">
        <f t="shared" ref="N106:N119" si="12">TEXT(K106, "dddd")</f>
        <v>Friday</v>
      </c>
      <c r="O106" s="4" t="str">
        <f t="shared" ref="O106:O119" si="13">TEXT(K106, "yyyy")</f>
        <v>2018</v>
      </c>
    </row>
    <row r="107" spans="2:15" x14ac:dyDescent="0.4">
      <c r="B107" s="3">
        <v>2712</v>
      </c>
      <c r="C107" s="6" t="str">
        <f t="shared" si="7"/>
        <v>$2712.00</v>
      </c>
      <c r="E107" s="7" t="s">
        <v>58</v>
      </c>
      <c r="F107" s="40" t="str">
        <f t="shared" si="8"/>
        <v>3000</v>
      </c>
      <c r="H107" s="3">
        <v>7506634455</v>
      </c>
      <c r="I107" s="41">
        <f t="shared" si="9"/>
        <v>7506634455</v>
      </c>
      <c r="K107" s="5">
        <v>43325</v>
      </c>
      <c r="L107" s="4" t="str">
        <f t="shared" si="10"/>
        <v>Aug-2018</v>
      </c>
      <c r="M107" s="4" t="str">
        <f t="shared" si="11"/>
        <v>August</v>
      </c>
      <c r="N107" s="4" t="str">
        <f t="shared" si="12"/>
        <v>Monday</v>
      </c>
      <c r="O107" s="4" t="str">
        <f t="shared" si="13"/>
        <v>2018</v>
      </c>
    </row>
    <row r="108" spans="2:15" x14ac:dyDescent="0.4">
      <c r="B108" s="3">
        <v>4201</v>
      </c>
      <c r="C108" s="6" t="str">
        <f t="shared" si="7"/>
        <v>$4201.00</v>
      </c>
      <c r="E108" s="3" t="s">
        <v>56</v>
      </c>
      <c r="F108" s="40" t="str">
        <f t="shared" si="8"/>
        <v>4201</v>
      </c>
      <c r="H108" s="3">
        <v>7916637924</v>
      </c>
      <c r="I108" s="41">
        <f t="shared" si="9"/>
        <v>7916637924</v>
      </c>
      <c r="K108" s="5">
        <v>43313</v>
      </c>
      <c r="L108" s="4" t="str">
        <f t="shared" si="10"/>
        <v>Aug-2018</v>
      </c>
      <c r="M108" s="4" t="str">
        <f t="shared" si="11"/>
        <v>August</v>
      </c>
      <c r="N108" s="4" t="str">
        <f t="shared" si="12"/>
        <v>Wednesday</v>
      </c>
      <c r="O108" s="4" t="str">
        <f t="shared" si="13"/>
        <v>2018</v>
      </c>
    </row>
    <row r="109" spans="2:15" x14ac:dyDescent="0.4">
      <c r="B109" s="3">
        <v>3939</v>
      </c>
      <c r="C109" s="6" t="str">
        <f t="shared" si="7"/>
        <v>$3939.00</v>
      </c>
      <c r="E109" s="3" t="s">
        <v>54</v>
      </c>
      <c r="F109" s="40" t="str">
        <f t="shared" si="8"/>
        <v>3939</v>
      </c>
      <c r="H109" s="3">
        <v>9109049137</v>
      </c>
      <c r="I109" s="41">
        <f t="shared" si="9"/>
        <v>9109049137</v>
      </c>
      <c r="K109" s="5">
        <v>44355</v>
      </c>
      <c r="L109" s="4" t="str">
        <f t="shared" si="10"/>
        <v>Jun-2021</v>
      </c>
      <c r="M109" s="4" t="str">
        <f t="shared" si="11"/>
        <v>June</v>
      </c>
      <c r="N109" s="4" t="str">
        <f t="shared" si="12"/>
        <v>Tuesday</v>
      </c>
      <c r="O109" s="4" t="str">
        <f t="shared" si="13"/>
        <v>2021</v>
      </c>
    </row>
    <row r="110" spans="2:15" x14ac:dyDescent="0.4">
      <c r="B110" s="3">
        <v>3743</v>
      </c>
      <c r="C110" s="6" t="str">
        <f t="shared" si="7"/>
        <v>$3743.00</v>
      </c>
      <c r="E110" s="3" t="s">
        <v>52</v>
      </c>
      <c r="F110" s="40" t="str">
        <f t="shared" si="8"/>
        <v>3743</v>
      </c>
      <c r="H110" s="3">
        <v>9685243982</v>
      </c>
      <c r="I110" s="41">
        <f t="shared" si="9"/>
        <v>9685243982</v>
      </c>
      <c r="K110" s="5">
        <v>42989</v>
      </c>
      <c r="L110" s="4" t="str">
        <f t="shared" si="10"/>
        <v>Sep-2017</v>
      </c>
      <c r="M110" s="4" t="str">
        <f t="shared" si="11"/>
        <v>September</v>
      </c>
      <c r="N110" s="4" t="str">
        <f t="shared" si="12"/>
        <v>Monday</v>
      </c>
      <c r="O110" s="4" t="str">
        <f t="shared" si="13"/>
        <v>2017</v>
      </c>
    </row>
    <row r="111" spans="2:15" x14ac:dyDescent="0.4">
      <c r="B111" s="3">
        <v>2429</v>
      </c>
      <c r="C111" s="6" t="str">
        <f t="shared" si="7"/>
        <v>$2429.00</v>
      </c>
      <c r="E111" s="3" t="s">
        <v>50</v>
      </c>
      <c r="F111" s="40" t="str">
        <f t="shared" si="8"/>
        <v>2429</v>
      </c>
      <c r="H111" s="3">
        <v>8445590894</v>
      </c>
      <c r="I111" s="41">
        <f t="shared" si="9"/>
        <v>8445590894</v>
      </c>
      <c r="K111" s="5">
        <v>43050</v>
      </c>
      <c r="L111" s="4" t="str">
        <f t="shared" si="10"/>
        <v>Nov-2017</v>
      </c>
      <c r="M111" s="4" t="str">
        <f t="shared" si="11"/>
        <v>November</v>
      </c>
      <c r="N111" s="4" t="str">
        <f t="shared" si="12"/>
        <v>Saturday</v>
      </c>
      <c r="O111" s="4" t="str">
        <f t="shared" si="13"/>
        <v>2017</v>
      </c>
    </row>
    <row r="112" spans="2:15" x14ac:dyDescent="0.4">
      <c r="B112" s="3">
        <v>1946</v>
      </c>
      <c r="C112" s="6" t="str">
        <f t="shared" si="7"/>
        <v>$1946.00</v>
      </c>
      <c r="E112" s="3" t="s">
        <v>48</v>
      </c>
      <c r="F112" s="40" t="str">
        <f t="shared" si="8"/>
        <v>1946</v>
      </c>
      <c r="H112" s="3">
        <v>8044246247</v>
      </c>
      <c r="I112" s="41">
        <f t="shared" si="9"/>
        <v>8044246247</v>
      </c>
      <c r="K112" s="5">
        <v>43237</v>
      </c>
      <c r="L112" s="4" t="str">
        <f t="shared" si="10"/>
        <v>May-2018</v>
      </c>
      <c r="M112" s="4" t="str">
        <f t="shared" si="11"/>
        <v>May</v>
      </c>
      <c r="N112" s="4" t="str">
        <f t="shared" si="12"/>
        <v>Thursday</v>
      </c>
      <c r="O112" s="4" t="str">
        <f t="shared" si="13"/>
        <v>2018</v>
      </c>
    </row>
    <row r="113" spans="1:15" x14ac:dyDescent="0.4">
      <c r="B113" s="3">
        <v>1355</v>
      </c>
      <c r="C113" s="6" t="str">
        <f t="shared" si="7"/>
        <v>$1355.00</v>
      </c>
      <c r="E113" s="3" t="s">
        <v>46</v>
      </c>
      <c r="F113" s="40" t="str">
        <f t="shared" si="8"/>
        <v>1355</v>
      </c>
      <c r="H113" s="3">
        <v>8068407711</v>
      </c>
      <c r="I113" s="41">
        <f t="shared" si="9"/>
        <v>8068407711</v>
      </c>
      <c r="K113" s="5">
        <v>44355</v>
      </c>
      <c r="L113" s="4" t="str">
        <f t="shared" si="10"/>
        <v>Jun-2021</v>
      </c>
      <c r="M113" s="4" t="str">
        <f t="shared" si="11"/>
        <v>June</v>
      </c>
      <c r="N113" s="4" t="str">
        <f t="shared" si="12"/>
        <v>Tuesday</v>
      </c>
      <c r="O113" s="4" t="str">
        <f t="shared" si="13"/>
        <v>2021</v>
      </c>
    </row>
    <row r="114" spans="1:15" x14ac:dyDescent="0.4">
      <c r="B114" s="3">
        <v>1371</v>
      </c>
      <c r="C114" s="6" t="str">
        <f t="shared" si="7"/>
        <v>$1371.00</v>
      </c>
      <c r="E114" s="3" t="s">
        <v>44</v>
      </c>
      <c r="F114" s="40" t="str">
        <f t="shared" si="8"/>
        <v>1371</v>
      </c>
      <c r="H114" s="3">
        <v>7130722198</v>
      </c>
      <c r="I114" s="41">
        <f t="shared" si="9"/>
        <v>7130722198</v>
      </c>
      <c r="K114" s="5">
        <v>43300</v>
      </c>
      <c r="L114" s="4" t="str">
        <f t="shared" si="10"/>
        <v>Jul-2018</v>
      </c>
      <c r="M114" s="4" t="str">
        <f t="shared" si="11"/>
        <v>July</v>
      </c>
      <c r="N114" s="4" t="str">
        <f t="shared" si="12"/>
        <v>Thursday</v>
      </c>
      <c r="O114" s="4" t="str">
        <f t="shared" si="13"/>
        <v>2018</v>
      </c>
    </row>
    <row r="115" spans="1:15" x14ac:dyDescent="0.4">
      <c r="B115" s="3">
        <v>4807</v>
      </c>
      <c r="C115" s="6" t="str">
        <f t="shared" si="7"/>
        <v>$4807.00</v>
      </c>
      <c r="E115" s="3" t="s">
        <v>42</v>
      </c>
      <c r="F115" s="40" t="str">
        <f t="shared" si="8"/>
        <v>4807</v>
      </c>
      <c r="H115" s="3">
        <v>7274801383</v>
      </c>
      <c r="I115" s="41">
        <f t="shared" si="9"/>
        <v>7274801383</v>
      </c>
      <c r="K115" s="5">
        <v>43369</v>
      </c>
      <c r="L115" s="4" t="str">
        <f t="shared" si="10"/>
        <v>Sep-2018</v>
      </c>
      <c r="M115" s="4" t="str">
        <f t="shared" si="11"/>
        <v>September</v>
      </c>
      <c r="N115" s="4" t="str">
        <f t="shared" si="12"/>
        <v>Wednesday</v>
      </c>
      <c r="O115" s="4" t="str">
        <f t="shared" si="13"/>
        <v>2018</v>
      </c>
    </row>
    <row r="116" spans="1:15" x14ac:dyDescent="0.4">
      <c r="B116" s="3">
        <v>1910</v>
      </c>
      <c r="C116" s="6" t="str">
        <f t="shared" si="7"/>
        <v>$1910.00</v>
      </c>
      <c r="E116" s="3" t="s">
        <v>40</v>
      </c>
      <c r="F116" s="40" t="str">
        <f t="shared" si="8"/>
        <v>1910</v>
      </c>
      <c r="H116" s="3">
        <v>8539665692</v>
      </c>
      <c r="I116" s="41">
        <f t="shared" si="9"/>
        <v>8539665692</v>
      </c>
      <c r="K116" s="5">
        <v>43370</v>
      </c>
      <c r="L116" s="4" t="str">
        <f t="shared" si="10"/>
        <v>Sep-2018</v>
      </c>
      <c r="M116" s="4" t="str">
        <f t="shared" si="11"/>
        <v>September</v>
      </c>
      <c r="N116" s="4" t="str">
        <f t="shared" si="12"/>
        <v>Thursday</v>
      </c>
      <c r="O116" s="4" t="str">
        <f t="shared" si="13"/>
        <v>2018</v>
      </c>
    </row>
    <row r="117" spans="1:15" x14ac:dyDescent="0.4">
      <c r="B117" s="3">
        <v>4219</v>
      </c>
      <c r="C117" s="6" t="str">
        <f t="shared" si="7"/>
        <v>$4219.00</v>
      </c>
      <c r="E117" s="3" t="s">
        <v>38</v>
      </c>
      <c r="F117" s="40" t="str">
        <f t="shared" si="8"/>
        <v>4219</v>
      </c>
      <c r="H117" s="3">
        <v>8002551711</v>
      </c>
      <c r="I117" s="41">
        <f t="shared" si="9"/>
        <v>8002551711</v>
      </c>
      <c r="K117" s="5">
        <v>43206</v>
      </c>
      <c r="L117" s="4" t="str">
        <f t="shared" si="10"/>
        <v>Apr-2018</v>
      </c>
      <c r="M117" s="4" t="str">
        <f t="shared" si="11"/>
        <v>April</v>
      </c>
      <c r="N117" s="4" t="str">
        <f t="shared" si="12"/>
        <v>Monday</v>
      </c>
      <c r="O117" s="4" t="str">
        <f t="shared" si="13"/>
        <v>2018</v>
      </c>
    </row>
    <row r="118" spans="1:15" x14ac:dyDescent="0.4">
      <c r="B118" s="3">
        <v>1836</v>
      </c>
      <c r="C118" s="6" t="str">
        <f t="shared" si="7"/>
        <v>$1836.00</v>
      </c>
      <c r="E118" s="3" t="s">
        <v>36</v>
      </c>
      <c r="F118" s="40" t="str">
        <f t="shared" si="8"/>
        <v>1836</v>
      </c>
      <c r="H118" s="3">
        <v>9268830807</v>
      </c>
      <c r="I118" s="41">
        <f t="shared" si="9"/>
        <v>9268830807</v>
      </c>
      <c r="K118" s="5">
        <v>43319</v>
      </c>
      <c r="L118" s="4" t="str">
        <f t="shared" si="10"/>
        <v>Aug-2018</v>
      </c>
      <c r="M118" s="4" t="str">
        <f t="shared" si="11"/>
        <v>August</v>
      </c>
      <c r="N118" s="4" t="str">
        <f t="shared" si="12"/>
        <v>Tuesday</v>
      </c>
      <c r="O118" s="4" t="str">
        <f t="shared" si="13"/>
        <v>2018</v>
      </c>
    </row>
    <row r="119" spans="1:15" x14ac:dyDescent="0.4">
      <c r="B119" s="3">
        <v>3451</v>
      </c>
      <c r="C119" s="6" t="str">
        <f t="shared" si="7"/>
        <v>$3451.00</v>
      </c>
      <c r="E119" s="3" t="s">
        <v>34</v>
      </c>
      <c r="F119" s="40" t="str">
        <f t="shared" si="8"/>
        <v>3451</v>
      </c>
      <c r="H119" s="3">
        <v>8893046867</v>
      </c>
      <c r="I119" s="41">
        <f t="shared" si="9"/>
        <v>8893046867</v>
      </c>
      <c r="K119" s="5">
        <v>43358</v>
      </c>
      <c r="L119" s="4" t="str">
        <f t="shared" si="10"/>
        <v>Sep-2018</v>
      </c>
      <c r="M119" s="4" t="str">
        <f t="shared" si="11"/>
        <v>September</v>
      </c>
      <c r="N119" s="4" t="str">
        <f t="shared" si="12"/>
        <v>Saturday</v>
      </c>
      <c r="O119" s="4" t="str">
        <f t="shared" si="13"/>
        <v>2018</v>
      </c>
    </row>
    <row r="120" spans="1:15" customFormat="1" ht="14.4" x14ac:dyDescent="0.3"/>
    <row r="121" spans="1:15" customFormat="1" ht="14.4" x14ac:dyDescent="0.3"/>
    <row r="122" spans="1:15" customFormat="1" ht="14.4" x14ac:dyDescent="0.3">
      <c r="C122" s="26" t="s">
        <v>220</v>
      </c>
      <c r="D122" s="26" t="s">
        <v>219</v>
      </c>
    </row>
    <row r="123" spans="1:15" x14ac:dyDescent="0.4">
      <c r="A123" s="1" t="s">
        <v>198</v>
      </c>
      <c r="B123" s="1" t="s">
        <v>199</v>
      </c>
      <c r="D123" s="1" t="str">
        <f>_xlfn.TEXTJOIN(" ",TRUE,Table1[[#This Row],[Column1]:[Column2]])</f>
        <v>shahid  kapoor</v>
      </c>
    </row>
    <row r="124" spans="1:15" x14ac:dyDescent="0.4">
      <c r="A124" s="1" t="s">
        <v>200</v>
      </c>
      <c r="B124" s="1" t="s">
        <v>201</v>
      </c>
      <c r="D124" s="1" t="str">
        <f>_xlfn.TEXTJOIN(" ",TRUE,Table1[[#This Row],[Column1]:[Column2]])</f>
        <v>subh shree</v>
      </c>
    </row>
    <row r="125" spans="1:15" x14ac:dyDescent="0.4">
      <c r="A125" s="1" t="s">
        <v>202</v>
      </c>
      <c r="B125" s="1" t="s">
        <v>203</v>
      </c>
      <c r="D125" s="1" t="str">
        <f>_xlfn.TEXTJOIN(" ",TRUE,Table1[[#This Row],[Column1]:[Column2]])</f>
        <v>varsha badal</v>
      </c>
    </row>
    <row r="126" spans="1:15" x14ac:dyDescent="0.4">
      <c r="A126" s="1" t="s">
        <v>204</v>
      </c>
      <c r="B126" s="1" t="s">
        <v>205</v>
      </c>
      <c r="D126" s="1" t="str">
        <f>_xlfn.TEXTJOIN(" ",TRUE,Table1[[#This Row],[Column1]:[Column2]])</f>
        <v>prabhat suraj</v>
      </c>
    </row>
    <row r="127" spans="1:15" x14ac:dyDescent="0.4">
      <c r="A127" s="1" t="s">
        <v>206</v>
      </c>
      <c r="B127" s="1" t="s">
        <v>207</v>
      </c>
      <c r="D127" s="1" t="str">
        <f>_xlfn.TEXTJOIN(" ",TRUE,Table1[[#This Row],[Column1]:[Column2]])</f>
        <v>gagan patal</v>
      </c>
    </row>
    <row r="128" spans="1:15" x14ac:dyDescent="0.4">
      <c r="A128" s="1" t="s">
        <v>208</v>
      </c>
      <c r="B128" s="1" t="s">
        <v>209</v>
      </c>
      <c r="D128" s="1" t="str">
        <f>_xlfn.TEXTJOIN(" ",TRUE,Table1[[#This Row],[Column1]:[Column2]])</f>
        <v>a lok</v>
      </c>
    </row>
    <row r="129" spans="1:4" x14ac:dyDescent="0.4">
      <c r="A129" s="1" t="s">
        <v>210</v>
      </c>
      <c r="B129" s="1" t="s">
        <v>211</v>
      </c>
      <c r="D129" s="1" t="str">
        <f>_xlfn.TEXTJOIN(" ",TRUE,Table1[[#This Row],[Column1]:[Column2]])</f>
        <v>him ansh</v>
      </c>
    </row>
    <row r="130" spans="1:4" x14ac:dyDescent="0.4">
      <c r="A130" s="1">
        <v>100</v>
      </c>
      <c r="B130" s="1" t="s">
        <v>212</v>
      </c>
      <c r="D130" s="1" t="str">
        <f>_xlfn.TEXTJOIN(" ",TRUE,Table1[[#This Row],[Column1]:[Column2]])</f>
        <v>100 maya</v>
      </c>
    </row>
    <row r="131" spans="1:4" x14ac:dyDescent="0.4">
      <c r="A131" s="1" t="s">
        <v>213</v>
      </c>
      <c r="B131" s="1" t="s">
        <v>214</v>
      </c>
      <c r="D131" s="1" t="str">
        <f>_xlfn.TEXTJOIN(" ",TRUE,Table1[[#This Row],[Column1]:[Column2]])</f>
        <v>aashu tosh</v>
      </c>
    </row>
    <row r="132" spans="1:4" x14ac:dyDescent="0.4">
      <c r="A132" s="1" t="s">
        <v>215</v>
      </c>
      <c r="B132" s="1" t="s">
        <v>211</v>
      </c>
      <c r="D132" s="1" t="str">
        <f>_xlfn.TEXTJOIN(" ",TRUE,Table1[[#This Row],[Column1]:[Column2]])</f>
        <v>priya ansh</v>
      </c>
    </row>
    <row r="133" spans="1:4" x14ac:dyDescent="0.4">
      <c r="A133" s="1" t="s">
        <v>200</v>
      </c>
      <c r="B133" s="1" t="s">
        <v>216</v>
      </c>
      <c r="D133" s="1" t="str">
        <f>_xlfn.TEXTJOIN(" ",TRUE,Table1[[#This Row],[Column1]:[Column2]])</f>
        <v>subh ashish</v>
      </c>
    </row>
    <row r="138" spans="1:4" x14ac:dyDescent="0.4">
      <c r="B138" s="2" t="s">
        <v>28</v>
      </c>
      <c r="C138" s="2" t="s">
        <v>27</v>
      </c>
    </row>
    <row r="139" spans="1:4" x14ac:dyDescent="0.4">
      <c r="B139" s="3">
        <v>70000</v>
      </c>
      <c r="C139" s="42">
        <f>B139</f>
        <v>70000</v>
      </c>
      <c r="D139" s="43"/>
    </row>
    <row r="140" spans="1:4" x14ac:dyDescent="0.4">
      <c r="B140" s="3">
        <v>45000</v>
      </c>
      <c r="C140" s="42">
        <f t="shared" ref="C140:C153" si="14">B140</f>
        <v>45000</v>
      </c>
    </row>
    <row r="141" spans="1:4" x14ac:dyDescent="0.4">
      <c r="B141" s="3">
        <v>90000</v>
      </c>
      <c r="C141" s="42">
        <f t="shared" si="14"/>
        <v>90000</v>
      </c>
    </row>
    <row r="142" spans="1:4" x14ac:dyDescent="0.4">
      <c r="B142" s="3">
        <v>100000</v>
      </c>
      <c r="C142" s="42">
        <f t="shared" si="14"/>
        <v>100000</v>
      </c>
    </row>
    <row r="143" spans="1:4" x14ac:dyDescent="0.4">
      <c r="B143" s="3">
        <v>83000</v>
      </c>
      <c r="C143" s="42">
        <f t="shared" si="14"/>
        <v>83000</v>
      </c>
    </row>
    <row r="144" spans="1:4" x14ac:dyDescent="0.4">
      <c r="B144" s="3">
        <v>95000</v>
      </c>
      <c r="C144" s="42">
        <f t="shared" si="14"/>
        <v>95000</v>
      </c>
    </row>
    <row r="145" spans="1:6" x14ac:dyDescent="0.4">
      <c r="B145" s="3">
        <v>33000</v>
      </c>
      <c r="C145" s="42">
        <f t="shared" si="14"/>
        <v>33000</v>
      </c>
    </row>
    <row r="146" spans="1:6" x14ac:dyDescent="0.4">
      <c r="B146" s="3">
        <v>47000</v>
      </c>
      <c r="C146" s="42">
        <f t="shared" si="14"/>
        <v>47000</v>
      </c>
    </row>
    <row r="147" spans="1:6" x14ac:dyDescent="0.4">
      <c r="B147" s="3">
        <v>12000</v>
      </c>
      <c r="C147" s="42">
        <f t="shared" si="14"/>
        <v>12000</v>
      </c>
    </row>
    <row r="148" spans="1:6" x14ac:dyDescent="0.4">
      <c r="B148" s="3">
        <v>100000</v>
      </c>
      <c r="C148" s="42">
        <f t="shared" si="14"/>
        <v>100000</v>
      </c>
    </row>
    <row r="149" spans="1:6" x14ac:dyDescent="0.4">
      <c r="B149" s="3">
        <v>49000</v>
      </c>
      <c r="C149" s="42">
        <f t="shared" si="14"/>
        <v>49000</v>
      </c>
    </row>
    <row r="150" spans="1:6" x14ac:dyDescent="0.4">
      <c r="B150" s="3">
        <v>54000</v>
      </c>
      <c r="C150" s="42">
        <f t="shared" si="14"/>
        <v>54000</v>
      </c>
    </row>
    <row r="151" spans="1:6" x14ac:dyDescent="0.4">
      <c r="B151" s="3">
        <v>66000</v>
      </c>
      <c r="C151" s="42">
        <f t="shared" si="14"/>
        <v>66000</v>
      </c>
    </row>
    <row r="152" spans="1:6" x14ac:dyDescent="0.4">
      <c r="B152" s="3">
        <v>56000</v>
      </c>
      <c r="C152" s="42">
        <f t="shared" si="14"/>
        <v>56000</v>
      </c>
    </row>
    <row r="153" spans="1:6" x14ac:dyDescent="0.4">
      <c r="B153" s="3">
        <v>25000</v>
      </c>
      <c r="C153" s="42">
        <f t="shared" si="14"/>
        <v>25000</v>
      </c>
    </row>
    <row r="156" spans="1:6" x14ac:dyDescent="0.4">
      <c r="A156" s="16" t="s">
        <v>6</v>
      </c>
      <c r="B156" s="38" t="s">
        <v>183</v>
      </c>
      <c r="C156" s="38"/>
      <c r="D156" s="38"/>
    </row>
    <row r="157" spans="1:6" ht="21" x14ac:dyDescent="0.4">
      <c r="A157" s="44" t="s">
        <v>143</v>
      </c>
      <c r="B157" s="44" t="s">
        <v>180</v>
      </c>
      <c r="C157" s="44" t="s">
        <v>217</v>
      </c>
      <c r="D157" s="44" t="s">
        <v>179</v>
      </c>
      <c r="E157" s="44" t="s">
        <v>178</v>
      </c>
    </row>
    <row r="158" spans="1:6" ht="21" x14ac:dyDescent="0.4">
      <c r="A158" s="45" t="s">
        <v>176</v>
      </c>
      <c r="B158" s="46" t="s">
        <v>221</v>
      </c>
      <c r="C158" s="46">
        <v>999</v>
      </c>
      <c r="D158" s="45">
        <v>294733</v>
      </c>
      <c r="E158" s="46">
        <v>225000</v>
      </c>
    </row>
    <row r="159" spans="1:6" ht="21" x14ac:dyDescent="0.4">
      <c r="A159" s="45" t="s">
        <v>174</v>
      </c>
      <c r="B159" s="46" t="s">
        <v>221</v>
      </c>
      <c r="C159" s="46">
        <v>944</v>
      </c>
      <c r="D159" s="45">
        <v>331399</v>
      </c>
      <c r="E159" s="47">
        <v>39000</v>
      </c>
    </row>
    <row r="160" spans="1:6" ht="31.2" x14ac:dyDescent="0.6">
      <c r="A160" s="45" t="s">
        <v>172</v>
      </c>
      <c r="B160" s="46" t="s">
        <v>221</v>
      </c>
      <c r="C160" s="46">
        <v>98</v>
      </c>
      <c r="D160" s="45">
        <v>997526</v>
      </c>
      <c r="E160" s="47">
        <v>22000</v>
      </c>
      <c r="F160" s="1" t="s">
        <v>222</v>
      </c>
    </row>
    <row r="161" spans="1:5" ht="21" x14ac:dyDescent="0.4">
      <c r="A161" s="45" t="s">
        <v>171</v>
      </c>
      <c r="B161" s="46" t="s">
        <v>221</v>
      </c>
      <c r="C161" s="46">
        <v>227</v>
      </c>
      <c r="D161" s="45">
        <v>655682</v>
      </c>
      <c r="E161" s="47">
        <v>199000</v>
      </c>
    </row>
    <row r="162" spans="1:5" ht="21" x14ac:dyDescent="0.4">
      <c r="A162" s="45" t="s">
        <v>167</v>
      </c>
      <c r="B162" s="46" t="s">
        <v>221</v>
      </c>
      <c r="C162" s="46">
        <v>170</v>
      </c>
      <c r="D162" s="45">
        <v>450417</v>
      </c>
      <c r="E162" s="47">
        <v>124000</v>
      </c>
    </row>
    <row r="163" spans="1:5" ht="21" x14ac:dyDescent="0.4">
      <c r="A163" s="45" t="s">
        <v>165</v>
      </c>
      <c r="B163" s="46" t="s">
        <v>221</v>
      </c>
      <c r="C163" s="46">
        <v>952</v>
      </c>
      <c r="D163" s="45">
        <v>219748</v>
      </c>
      <c r="E163" s="47">
        <v>40000</v>
      </c>
    </row>
    <row r="164" spans="1:5" ht="21" x14ac:dyDescent="0.4">
      <c r="A164" s="45" t="s">
        <v>164</v>
      </c>
      <c r="B164" s="46" t="s">
        <v>221</v>
      </c>
      <c r="C164" s="46">
        <v>342</v>
      </c>
      <c r="D164" s="45">
        <v>679450</v>
      </c>
      <c r="E164" s="47">
        <v>231000</v>
      </c>
    </row>
    <row r="165" spans="1:5" ht="21" x14ac:dyDescent="0.4">
      <c r="A165" s="45" t="s">
        <v>163</v>
      </c>
      <c r="B165" s="46" t="s">
        <v>221</v>
      </c>
      <c r="C165" s="46">
        <v>594</v>
      </c>
      <c r="D165" s="45">
        <v>712174</v>
      </c>
      <c r="E165" s="47">
        <v>123000</v>
      </c>
    </row>
    <row r="166" spans="1:5" ht="21" x14ac:dyDescent="0.4">
      <c r="A166" s="45" t="s">
        <v>162</v>
      </c>
      <c r="B166" s="46" t="s">
        <v>221</v>
      </c>
      <c r="C166" s="46">
        <v>390</v>
      </c>
      <c r="D166" s="45">
        <v>384501</v>
      </c>
      <c r="E166" s="47">
        <v>57000</v>
      </c>
    </row>
    <row r="167" spans="1:5" ht="21" x14ac:dyDescent="0.4">
      <c r="A167" s="45" t="s">
        <v>160</v>
      </c>
      <c r="B167" s="46" t="s">
        <v>221</v>
      </c>
      <c r="C167" s="46">
        <v>355</v>
      </c>
      <c r="D167" s="45">
        <v>123972</v>
      </c>
      <c r="E167" s="47">
        <v>173000</v>
      </c>
    </row>
    <row r="168" spans="1:5" ht="21" x14ac:dyDescent="0.4">
      <c r="A168" s="45" t="s">
        <v>158</v>
      </c>
      <c r="B168" s="46" t="s">
        <v>221</v>
      </c>
      <c r="C168" s="46">
        <v>871</v>
      </c>
      <c r="D168" s="45">
        <v>176916</v>
      </c>
      <c r="E168" s="47">
        <v>136000</v>
      </c>
    </row>
    <row r="169" spans="1:5" ht="21" x14ac:dyDescent="0.4">
      <c r="A169" s="45" t="s">
        <v>157</v>
      </c>
      <c r="B169" s="46" t="s">
        <v>221</v>
      </c>
      <c r="C169" s="46">
        <v>10</v>
      </c>
      <c r="D169" s="45">
        <v>378956</v>
      </c>
      <c r="E169" s="47">
        <v>215000</v>
      </c>
    </row>
    <row r="170" spans="1:5" ht="21" x14ac:dyDescent="0.4">
      <c r="A170" s="45" t="s">
        <v>155</v>
      </c>
      <c r="B170" s="46" t="s">
        <v>221</v>
      </c>
      <c r="C170" s="46">
        <v>175</v>
      </c>
      <c r="D170" s="45">
        <v>543799</v>
      </c>
      <c r="E170" s="47">
        <v>67000</v>
      </c>
    </row>
    <row r="171" spans="1:5" ht="21" x14ac:dyDescent="0.4">
      <c r="A171" s="45" t="s">
        <v>153</v>
      </c>
      <c r="B171" s="46" t="s">
        <v>221</v>
      </c>
      <c r="C171" s="46">
        <v>387</v>
      </c>
      <c r="D171" s="45">
        <v>906917</v>
      </c>
      <c r="E171" s="47">
        <v>208000</v>
      </c>
    </row>
    <row r="172" spans="1:5" ht="21" x14ac:dyDescent="0.4">
      <c r="A172" s="45" t="s">
        <v>151</v>
      </c>
      <c r="B172" s="46" t="s">
        <v>221</v>
      </c>
      <c r="C172" s="46">
        <v>385</v>
      </c>
      <c r="D172" s="45">
        <v>857081</v>
      </c>
      <c r="E172" s="46">
        <v>112000</v>
      </c>
    </row>
    <row r="173" spans="1:5" ht="21" x14ac:dyDescent="0.4">
      <c r="A173" s="45" t="s">
        <v>149</v>
      </c>
      <c r="B173" s="46" t="s">
        <v>221</v>
      </c>
      <c r="C173" s="46">
        <v>252</v>
      </c>
      <c r="D173" s="45">
        <v>228001</v>
      </c>
      <c r="E173" s="46">
        <v>65000</v>
      </c>
    </row>
    <row r="174" spans="1:5" ht="21" x14ac:dyDescent="0.4">
      <c r="A174" s="45" t="s">
        <v>147</v>
      </c>
      <c r="B174" s="46" t="s">
        <v>221</v>
      </c>
      <c r="C174" s="46">
        <v>371</v>
      </c>
      <c r="D174" s="45">
        <v>766007</v>
      </c>
      <c r="E174" s="46">
        <v>198000</v>
      </c>
    </row>
    <row r="175" spans="1:5" ht="21" x14ac:dyDescent="0.4">
      <c r="A175" s="45" t="s">
        <v>145</v>
      </c>
      <c r="B175" s="46" t="s">
        <v>221</v>
      </c>
      <c r="C175" s="46">
        <v>323</v>
      </c>
      <c r="D175" s="45">
        <v>381939</v>
      </c>
      <c r="E175" s="46">
        <v>111000</v>
      </c>
    </row>
    <row r="176" spans="1:5" ht="21" x14ac:dyDescent="0.4">
      <c r="A176" s="45" t="s">
        <v>142</v>
      </c>
      <c r="B176" s="46" t="s">
        <v>221</v>
      </c>
      <c r="C176" s="46">
        <v>337</v>
      </c>
      <c r="D176" s="45">
        <v>882820</v>
      </c>
      <c r="E176" s="46">
        <v>244000</v>
      </c>
    </row>
    <row r="177" spans="1:5" ht="21" x14ac:dyDescent="0.4">
      <c r="A177" s="45" t="s">
        <v>140</v>
      </c>
      <c r="B177" s="46" t="s">
        <v>221</v>
      </c>
      <c r="C177" s="46">
        <v>939</v>
      </c>
      <c r="D177" s="45">
        <v>557876</v>
      </c>
      <c r="E177" s="46">
        <v>230000</v>
      </c>
    </row>
    <row r="178" spans="1:5" ht="21" x14ac:dyDescent="0.4">
      <c r="A178" s="45" t="s">
        <v>138</v>
      </c>
      <c r="B178" s="46" t="s">
        <v>221</v>
      </c>
      <c r="C178" s="46">
        <v>58</v>
      </c>
      <c r="D178" s="45">
        <v>687315</v>
      </c>
      <c r="E178" s="46">
        <v>221000</v>
      </c>
    </row>
    <row r="179" spans="1:5" ht="21" x14ac:dyDescent="0.4">
      <c r="A179" s="45" t="s">
        <v>136</v>
      </c>
      <c r="B179" s="46" t="s">
        <v>221</v>
      </c>
      <c r="C179" s="46">
        <v>166</v>
      </c>
      <c r="D179" s="45">
        <v>783228</v>
      </c>
      <c r="E179" s="46">
        <v>232000</v>
      </c>
    </row>
    <row r="180" spans="1:5" ht="21" x14ac:dyDescent="0.4">
      <c r="A180" s="45" t="s">
        <v>134</v>
      </c>
      <c r="B180" s="46" t="s">
        <v>221</v>
      </c>
      <c r="C180" s="46">
        <v>988</v>
      </c>
      <c r="D180" s="45">
        <v>834710</v>
      </c>
      <c r="E180" s="46">
        <v>157000</v>
      </c>
    </row>
    <row r="181" spans="1:5" ht="21" x14ac:dyDescent="0.4">
      <c r="A181" s="45" t="s">
        <v>132</v>
      </c>
      <c r="B181" s="46" t="s">
        <v>221</v>
      </c>
      <c r="C181" s="46">
        <v>814</v>
      </c>
      <c r="D181" s="45">
        <v>177516</v>
      </c>
      <c r="E181" s="46">
        <v>181000</v>
      </c>
    </row>
    <row r="182" spans="1:5" ht="21" x14ac:dyDescent="0.4">
      <c r="A182" s="45" t="s">
        <v>130</v>
      </c>
      <c r="B182" s="46" t="s">
        <v>221</v>
      </c>
      <c r="C182" s="46">
        <v>861</v>
      </c>
      <c r="D182" s="45">
        <v>202189</v>
      </c>
      <c r="E182" s="46">
        <v>78000</v>
      </c>
    </row>
    <row r="183" spans="1:5" ht="21" x14ac:dyDescent="0.4">
      <c r="A183" s="45" t="s">
        <v>128</v>
      </c>
      <c r="B183" s="46" t="s">
        <v>221</v>
      </c>
      <c r="C183" s="46">
        <v>753</v>
      </c>
      <c r="D183" s="45">
        <v>780130</v>
      </c>
      <c r="E183" s="46">
        <v>39000</v>
      </c>
    </row>
    <row r="184" spans="1:5" ht="21" x14ac:dyDescent="0.4">
      <c r="A184" s="45" t="s">
        <v>126</v>
      </c>
      <c r="B184" s="46" t="s">
        <v>221</v>
      </c>
      <c r="C184" s="46">
        <v>200</v>
      </c>
      <c r="D184" s="45">
        <v>950269</v>
      </c>
      <c r="E184" s="46">
        <v>143000</v>
      </c>
    </row>
    <row r="185" spans="1:5" ht="21" x14ac:dyDescent="0.4">
      <c r="A185" s="45" t="s">
        <v>124</v>
      </c>
      <c r="B185" s="46" t="s">
        <v>221</v>
      </c>
      <c r="C185" s="46">
        <v>661</v>
      </c>
      <c r="D185" s="45">
        <v>944973</v>
      </c>
      <c r="E185" s="46">
        <v>195000</v>
      </c>
    </row>
    <row r="186" spans="1:5" ht="21" x14ac:dyDescent="0.4">
      <c r="A186" s="45" t="s">
        <v>123</v>
      </c>
      <c r="B186" s="46" t="s">
        <v>221</v>
      </c>
      <c r="C186" s="46">
        <v>119</v>
      </c>
      <c r="D186" s="45">
        <v>449878</v>
      </c>
      <c r="E186" s="46">
        <v>15000</v>
      </c>
    </row>
    <row r="187" spans="1:5" ht="21" x14ac:dyDescent="0.4">
      <c r="A187" s="45" t="s">
        <v>122</v>
      </c>
      <c r="B187" s="46" t="s">
        <v>221</v>
      </c>
      <c r="C187" s="46">
        <v>931</v>
      </c>
      <c r="D187" s="45">
        <v>888326</v>
      </c>
      <c r="E187" s="46">
        <v>173000</v>
      </c>
    </row>
    <row r="188" spans="1:5" ht="21" x14ac:dyDescent="0.4">
      <c r="A188" s="45" t="s">
        <v>120</v>
      </c>
      <c r="B188" s="46" t="s">
        <v>221</v>
      </c>
      <c r="C188" s="46">
        <v>803</v>
      </c>
      <c r="D188" s="45">
        <v>993757</v>
      </c>
      <c r="E188" s="46">
        <v>51000</v>
      </c>
    </row>
    <row r="189" spans="1:5" ht="21" x14ac:dyDescent="0.4">
      <c r="A189" s="45" t="s">
        <v>119</v>
      </c>
      <c r="B189" s="46" t="s">
        <v>221</v>
      </c>
      <c r="C189" s="46">
        <v>150</v>
      </c>
      <c r="D189" s="45">
        <v>765297</v>
      </c>
      <c r="E189" s="46">
        <v>248000</v>
      </c>
    </row>
    <row r="190" spans="1:5" ht="21" x14ac:dyDescent="0.4">
      <c r="A190" s="45" t="s">
        <v>117</v>
      </c>
      <c r="B190" s="46" t="s">
        <v>221</v>
      </c>
      <c r="C190" s="46">
        <v>682</v>
      </c>
      <c r="D190" s="45">
        <v>687866</v>
      </c>
      <c r="E190" s="46">
        <v>162000</v>
      </c>
    </row>
    <row r="191" spans="1:5" ht="21" x14ac:dyDescent="0.4">
      <c r="A191" s="45" t="s">
        <v>115</v>
      </c>
      <c r="B191" s="46" t="s">
        <v>221</v>
      </c>
      <c r="C191" s="46">
        <v>121</v>
      </c>
      <c r="D191" s="45">
        <v>288624</v>
      </c>
      <c r="E191" s="46">
        <v>15000</v>
      </c>
    </row>
    <row r="192" spans="1:5" ht="21" x14ac:dyDescent="0.4">
      <c r="A192" s="45" t="s">
        <v>113</v>
      </c>
      <c r="B192" s="46" t="s">
        <v>221</v>
      </c>
      <c r="C192" s="46">
        <v>273</v>
      </c>
      <c r="D192" s="45">
        <v>204375</v>
      </c>
      <c r="E192" s="46">
        <v>115000</v>
      </c>
    </row>
    <row r="193" spans="1:5" ht="21" x14ac:dyDescent="0.4">
      <c r="A193" s="45" t="s">
        <v>112</v>
      </c>
      <c r="B193" s="46" t="s">
        <v>221</v>
      </c>
      <c r="C193" s="46">
        <v>415</v>
      </c>
      <c r="D193" s="45">
        <v>195575</v>
      </c>
      <c r="E193" s="46">
        <v>123000</v>
      </c>
    </row>
    <row r="194" spans="1:5" ht="21" x14ac:dyDescent="0.4">
      <c r="A194" s="45" t="s">
        <v>111</v>
      </c>
      <c r="B194" s="46" t="s">
        <v>221</v>
      </c>
      <c r="C194" s="46">
        <v>749</v>
      </c>
      <c r="D194" s="45">
        <v>258519</v>
      </c>
      <c r="E194" s="46">
        <v>139000</v>
      </c>
    </row>
    <row r="195" spans="1:5" ht="21" x14ac:dyDescent="0.4">
      <c r="A195" s="45" t="s">
        <v>110</v>
      </c>
      <c r="B195" s="46" t="s">
        <v>221</v>
      </c>
      <c r="C195" s="46">
        <v>784</v>
      </c>
      <c r="D195" s="45">
        <v>341976</v>
      </c>
      <c r="E195" s="46">
        <v>210000</v>
      </c>
    </row>
    <row r="196" spans="1:5" ht="21" x14ac:dyDescent="0.4">
      <c r="A196" s="45" t="s">
        <v>107</v>
      </c>
      <c r="B196" s="46" t="s">
        <v>221</v>
      </c>
      <c r="C196" s="46">
        <v>171</v>
      </c>
      <c r="D196" s="45">
        <v>752667</v>
      </c>
      <c r="E196" s="46">
        <v>14000</v>
      </c>
    </row>
    <row r="197" spans="1:5" ht="21" x14ac:dyDescent="0.4">
      <c r="A197" s="45" t="s">
        <v>106</v>
      </c>
      <c r="B197" s="46" t="s">
        <v>221</v>
      </c>
      <c r="C197" s="46">
        <v>23</v>
      </c>
      <c r="D197" s="45">
        <v>122052</v>
      </c>
      <c r="E197" s="46">
        <v>87000</v>
      </c>
    </row>
    <row r="198" spans="1:5" ht="21" x14ac:dyDescent="0.4">
      <c r="A198" s="45" t="s">
        <v>104</v>
      </c>
      <c r="B198" s="46" t="s">
        <v>221</v>
      </c>
      <c r="C198" s="46">
        <v>990</v>
      </c>
      <c r="D198" s="45">
        <v>267763</v>
      </c>
      <c r="E198" s="46">
        <v>159000</v>
      </c>
    </row>
    <row r="199" spans="1:5" ht="21" x14ac:dyDescent="0.4">
      <c r="A199" s="45" t="s">
        <v>102</v>
      </c>
      <c r="B199" s="46" t="s">
        <v>221</v>
      </c>
      <c r="C199" s="46">
        <v>597</v>
      </c>
      <c r="D199" s="45">
        <v>658877</v>
      </c>
      <c r="E199" s="46">
        <v>175000</v>
      </c>
    </row>
    <row r="200" spans="1:5" ht="21" x14ac:dyDescent="0.4">
      <c r="A200" s="45" t="s">
        <v>99</v>
      </c>
      <c r="B200" s="46" t="s">
        <v>221</v>
      </c>
      <c r="C200" s="46">
        <v>472</v>
      </c>
      <c r="D200" s="45">
        <v>308229</v>
      </c>
      <c r="E200" s="46">
        <v>191000</v>
      </c>
    </row>
    <row r="201" spans="1:5" ht="21" x14ac:dyDescent="0.4">
      <c r="A201" s="45" t="s">
        <v>96</v>
      </c>
      <c r="B201" s="46" t="s">
        <v>221</v>
      </c>
      <c r="C201" s="46">
        <v>958</v>
      </c>
      <c r="D201" s="45">
        <v>569179</v>
      </c>
      <c r="E201" s="46">
        <v>82000</v>
      </c>
    </row>
    <row r="202" spans="1:5" ht="21" x14ac:dyDescent="0.4">
      <c r="A202" s="45" t="s">
        <v>94</v>
      </c>
      <c r="B202" s="46" t="s">
        <v>221</v>
      </c>
      <c r="C202" s="46">
        <v>446</v>
      </c>
      <c r="D202" s="45">
        <v>174968</v>
      </c>
      <c r="E202" s="46">
        <v>89000</v>
      </c>
    </row>
    <row r="203" spans="1:5" ht="21" x14ac:dyDescent="0.4">
      <c r="A203" s="45" t="s">
        <v>93</v>
      </c>
      <c r="B203" s="46" t="s">
        <v>221</v>
      </c>
      <c r="C203" s="46">
        <v>818</v>
      </c>
      <c r="D203" s="45">
        <v>905376</v>
      </c>
      <c r="E203" s="46">
        <v>74000</v>
      </c>
    </row>
    <row r="204" spans="1:5" ht="21" x14ac:dyDescent="0.4">
      <c r="A204" s="45" t="s">
        <v>91</v>
      </c>
      <c r="B204" s="46" t="s">
        <v>221</v>
      </c>
      <c r="C204" s="46">
        <v>278</v>
      </c>
      <c r="D204" s="45">
        <v>509694</v>
      </c>
      <c r="E204" s="46">
        <v>182000</v>
      </c>
    </row>
    <row r="205" spans="1:5" ht="21" x14ac:dyDescent="0.4">
      <c r="A205" s="45" t="s">
        <v>90</v>
      </c>
      <c r="B205" s="46" t="s">
        <v>221</v>
      </c>
      <c r="C205" s="46">
        <v>345</v>
      </c>
      <c r="D205" s="45">
        <v>982421</v>
      </c>
      <c r="E205" s="46">
        <v>220000</v>
      </c>
    </row>
    <row r="206" spans="1:5" ht="21" x14ac:dyDescent="0.4">
      <c r="A206" s="45" t="s">
        <v>88</v>
      </c>
      <c r="B206" s="46" t="s">
        <v>221</v>
      </c>
      <c r="C206" s="46">
        <v>971</v>
      </c>
      <c r="D206" s="45">
        <v>776592</v>
      </c>
      <c r="E206" s="46">
        <v>141000</v>
      </c>
    </row>
    <row r="207" spans="1:5" ht="21" x14ac:dyDescent="0.4">
      <c r="A207" s="45" t="s">
        <v>85</v>
      </c>
      <c r="B207" s="46" t="s">
        <v>221</v>
      </c>
      <c r="C207" s="46">
        <v>599</v>
      </c>
      <c r="D207" s="45">
        <v>617766</v>
      </c>
      <c r="E207" s="46">
        <v>123000</v>
      </c>
    </row>
    <row r="208" spans="1:5" ht="21" x14ac:dyDescent="0.4">
      <c r="A208" s="45" t="s">
        <v>83</v>
      </c>
      <c r="B208" s="46" t="s">
        <v>221</v>
      </c>
      <c r="C208" s="46">
        <v>978</v>
      </c>
      <c r="D208" s="45">
        <v>422473</v>
      </c>
      <c r="E208" s="46">
        <v>81000</v>
      </c>
    </row>
    <row r="209" spans="1:5" ht="21" x14ac:dyDescent="0.4">
      <c r="A209" s="45" t="s">
        <v>81</v>
      </c>
      <c r="B209" s="46" t="s">
        <v>221</v>
      </c>
      <c r="C209" s="46">
        <v>369</v>
      </c>
      <c r="D209" s="45">
        <v>982146</v>
      </c>
      <c r="E209" s="46">
        <v>142000</v>
      </c>
    </row>
    <row r="210" spans="1:5" ht="21" x14ac:dyDescent="0.4">
      <c r="A210" s="45" t="s">
        <v>79</v>
      </c>
      <c r="B210" s="46" t="s">
        <v>221</v>
      </c>
      <c r="C210" s="46">
        <v>898</v>
      </c>
      <c r="D210" s="45">
        <v>960318</v>
      </c>
      <c r="E210" s="46">
        <v>206000</v>
      </c>
    </row>
    <row r="211" spans="1:5" ht="21" x14ac:dyDescent="0.4">
      <c r="A211" s="45" t="s">
        <v>78</v>
      </c>
      <c r="B211" s="46" t="s">
        <v>221</v>
      </c>
      <c r="C211" s="46">
        <v>109</v>
      </c>
      <c r="D211" s="45">
        <v>778401</v>
      </c>
      <c r="E211" s="46">
        <v>44000</v>
      </c>
    </row>
    <row r="212" spans="1:5" ht="21" x14ac:dyDescent="0.4">
      <c r="A212" s="45" t="s">
        <v>75</v>
      </c>
      <c r="B212" s="46" t="s">
        <v>221</v>
      </c>
      <c r="C212" s="46">
        <v>256</v>
      </c>
      <c r="D212" s="45">
        <v>131242</v>
      </c>
      <c r="E212" s="46">
        <v>148000</v>
      </c>
    </row>
    <row r="213" spans="1:5" ht="21" x14ac:dyDescent="0.4">
      <c r="A213" s="45" t="s">
        <v>63</v>
      </c>
      <c r="B213" s="46" t="s">
        <v>221</v>
      </c>
      <c r="C213" s="46">
        <v>130</v>
      </c>
      <c r="D213" s="45">
        <v>740544</v>
      </c>
      <c r="E213" s="46">
        <v>212000</v>
      </c>
    </row>
    <row r="214" spans="1:5" ht="21" x14ac:dyDescent="0.4">
      <c r="A214" s="45" t="s">
        <v>61</v>
      </c>
      <c r="B214" s="46" t="s">
        <v>221</v>
      </c>
      <c r="C214" s="46">
        <v>455</v>
      </c>
      <c r="D214" s="45">
        <v>621631</v>
      </c>
      <c r="E214" s="46">
        <v>187000</v>
      </c>
    </row>
    <row r="215" spans="1:5" ht="21" x14ac:dyDescent="0.4">
      <c r="A215" s="45" t="s">
        <v>59</v>
      </c>
      <c r="B215" s="46" t="s">
        <v>221</v>
      </c>
      <c r="C215" s="46">
        <v>165</v>
      </c>
      <c r="D215" s="45">
        <v>714572</v>
      </c>
      <c r="E215" s="46">
        <v>120000</v>
      </c>
    </row>
    <row r="216" spans="1:5" ht="21" x14ac:dyDescent="0.4">
      <c r="A216" s="45" t="s">
        <v>57</v>
      </c>
      <c r="B216" s="46" t="s">
        <v>221</v>
      </c>
      <c r="C216" s="46">
        <v>988</v>
      </c>
      <c r="D216" s="45">
        <v>979440</v>
      </c>
      <c r="E216" s="46">
        <v>108000</v>
      </c>
    </row>
    <row r="217" spans="1:5" ht="21" x14ac:dyDescent="0.4">
      <c r="A217" s="45" t="s">
        <v>55</v>
      </c>
      <c r="B217" s="46" t="s">
        <v>221</v>
      </c>
      <c r="C217" s="46">
        <v>689</v>
      </c>
      <c r="D217" s="45">
        <v>451216</v>
      </c>
      <c r="E217" s="46">
        <v>192000</v>
      </c>
    </row>
    <row r="218" spans="1:5" ht="21" x14ac:dyDescent="0.4">
      <c r="A218" s="45" t="s">
        <v>53</v>
      </c>
      <c r="B218" s="46" t="s">
        <v>221</v>
      </c>
      <c r="C218" s="46">
        <v>174</v>
      </c>
      <c r="D218" s="45">
        <v>393570</v>
      </c>
      <c r="E218" s="46">
        <v>162000</v>
      </c>
    </row>
    <row r="219" spans="1:5" ht="21" x14ac:dyDescent="0.4">
      <c r="A219" s="45" t="s">
        <v>51</v>
      </c>
      <c r="B219" s="46" t="s">
        <v>221</v>
      </c>
      <c r="C219" s="46">
        <v>543</v>
      </c>
      <c r="D219" s="45">
        <v>925048</v>
      </c>
      <c r="E219" s="46">
        <v>131000</v>
      </c>
    </row>
    <row r="220" spans="1:5" ht="21" x14ac:dyDescent="0.4">
      <c r="A220" s="45" t="s">
        <v>49</v>
      </c>
      <c r="B220" s="46" t="s">
        <v>221</v>
      </c>
      <c r="C220" s="46">
        <v>540</v>
      </c>
      <c r="D220" s="45">
        <v>251227</v>
      </c>
      <c r="E220" s="46">
        <v>164000</v>
      </c>
    </row>
    <row r="221" spans="1:5" ht="21" x14ac:dyDescent="0.4">
      <c r="A221" s="45" t="s">
        <v>47</v>
      </c>
      <c r="B221" s="46" t="s">
        <v>221</v>
      </c>
      <c r="C221" s="46">
        <v>18</v>
      </c>
      <c r="D221" s="45">
        <v>211710</v>
      </c>
      <c r="E221" s="46">
        <v>148000</v>
      </c>
    </row>
    <row r="222" spans="1:5" ht="21" x14ac:dyDescent="0.4">
      <c r="A222" s="45" t="s">
        <v>45</v>
      </c>
      <c r="B222" s="46" t="s">
        <v>221</v>
      </c>
      <c r="C222" s="46">
        <v>638</v>
      </c>
      <c r="D222" s="45">
        <v>140909</v>
      </c>
      <c r="E222" s="46">
        <v>82000</v>
      </c>
    </row>
    <row r="223" spans="1:5" ht="21" x14ac:dyDescent="0.4">
      <c r="A223" s="45" t="s">
        <v>43</v>
      </c>
      <c r="B223" s="46" t="s">
        <v>221</v>
      </c>
      <c r="C223" s="46">
        <v>27</v>
      </c>
      <c r="D223" s="45">
        <v>382109</v>
      </c>
      <c r="E223" s="46">
        <v>249000</v>
      </c>
    </row>
    <row r="224" spans="1:5" ht="21" x14ac:dyDescent="0.4">
      <c r="A224" s="45" t="s">
        <v>41</v>
      </c>
      <c r="B224" s="46" t="s">
        <v>221</v>
      </c>
      <c r="C224" s="46">
        <v>638</v>
      </c>
      <c r="D224" s="45">
        <v>149109</v>
      </c>
      <c r="E224" s="46">
        <v>16000</v>
      </c>
    </row>
    <row r="225" spans="1:5" ht="21" x14ac:dyDescent="0.4">
      <c r="A225" s="45" t="s">
        <v>39</v>
      </c>
      <c r="B225" s="46" t="s">
        <v>221</v>
      </c>
      <c r="C225" s="46">
        <v>899</v>
      </c>
      <c r="D225" s="45">
        <v>978202</v>
      </c>
      <c r="E225" s="46">
        <v>215000</v>
      </c>
    </row>
    <row r="226" spans="1:5" ht="21" x14ac:dyDescent="0.4">
      <c r="A226" s="45" t="s">
        <v>37</v>
      </c>
      <c r="B226" s="46" t="s">
        <v>221</v>
      </c>
      <c r="C226" s="46">
        <v>571</v>
      </c>
      <c r="D226" s="45">
        <v>713703</v>
      </c>
      <c r="E226" s="46">
        <v>221000</v>
      </c>
    </row>
    <row r="227" spans="1:5" ht="21" x14ac:dyDescent="0.4">
      <c r="A227" s="45" t="s">
        <v>35</v>
      </c>
      <c r="B227" s="46" t="s">
        <v>221</v>
      </c>
      <c r="C227" s="46">
        <v>854</v>
      </c>
      <c r="D227" s="45">
        <v>936026</v>
      </c>
      <c r="E227" s="46">
        <v>122000</v>
      </c>
    </row>
    <row r="228" spans="1:5" ht="21" x14ac:dyDescent="0.4">
      <c r="A228" s="45" t="s">
        <v>33</v>
      </c>
      <c r="B228" s="46" t="s">
        <v>221</v>
      </c>
      <c r="C228" s="46">
        <v>577</v>
      </c>
      <c r="D228" s="45">
        <v>732881</v>
      </c>
      <c r="E228" s="46">
        <v>34000</v>
      </c>
    </row>
    <row r="229" spans="1:5" ht="21" x14ac:dyDescent="0.4">
      <c r="A229" s="45" t="s">
        <v>32</v>
      </c>
      <c r="B229" s="46" t="s">
        <v>221</v>
      </c>
      <c r="C229" s="46">
        <v>350</v>
      </c>
      <c r="D229" s="45">
        <v>343705</v>
      </c>
      <c r="E229" s="46">
        <v>229000</v>
      </c>
    </row>
    <row r="230" spans="1:5" ht="21" x14ac:dyDescent="0.4">
      <c r="A230" s="45" t="s">
        <v>31</v>
      </c>
      <c r="B230" s="46" t="s">
        <v>221</v>
      </c>
      <c r="C230" s="46">
        <v>9</v>
      </c>
      <c r="D230" s="45">
        <v>207605</v>
      </c>
      <c r="E230" s="46">
        <v>150000</v>
      </c>
    </row>
    <row r="231" spans="1:5" ht="21" x14ac:dyDescent="0.4">
      <c r="A231" s="45" t="s">
        <v>30</v>
      </c>
      <c r="B231" s="46" t="s">
        <v>221</v>
      </c>
      <c r="C231" s="46">
        <v>764</v>
      </c>
      <c r="D231" s="45">
        <v>714085</v>
      </c>
      <c r="E231" s="46">
        <v>51000</v>
      </c>
    </row>
    <row r="232" spans="1:5" ht="21" x14ac:dyDescent="0.4">
      <c r="A232" s="45" t="s">
        <v>29</v>
      </c>
      <c r="B232" s="46" t="s">
        <v>221</v>
      </c>
      <c r="C232" s="46">
        <v>412</v>
      </c>
      <c r="D232" s="45">
        <v>712927</v>
      </c>
      <c r="E232" s="46">
        <v>106000</v>
      </c>
    </row>
    <row r="233" spans="1:5" ht="21" x14ac:dyDescent="0.4">
      <c r="A233" s="45" t="s">
        <v>26</v>
      </c>
      <c r="B233" s="46" t="s">
        <v>221</v>
      </c>
      <c r="C233" s="46">
        <v>825</v>
      </c>
      <c r="D233" s="45">
        <v>245605</v>
      </c>
      <c r="E233" s="46">
        <v>217000</v>
      </c>
    </row>
    <row r="234" spans="1:5" ht="21" x14ac:dyDescent="0.4">
      <c r="A234" s="45" t="s">
        <v>25</v>
      </c>
      <c r="B234" s="46" t="s">
        <v>221</v>
      </c>
      <c r="C234" s="46">
        <v>437</v>
      </c>
      <c r="D234" s="45">
        <v>924680</v>
      </c>
      <c r="E234" s="46">
        <v>92000</v>
      </c>
    </row>
    <row r="235" spans="1:5" ht="21" x14ac:dyDescent="0.4">
      <c r="A235" s="45" t="s">
        <v>24</v>
      </c>
      <c r="B235" s="46" t="s">
        <v>221</v>
      </c>
      <c r="C235" s="46">
        <v>48</v>
      </c>
      <c r="D235" s="45">
        <v>850570</v>
      </c>
      <c r="E235" s="46">
        <v>197000</v>
      </c>
    </row>
    <row r="236" spans="1:5" ht="21" x14ac:dyDescent="0.4">
      <c r="A236" s="45" t="s">
        <v>23</v>
      </c>
      <c r="B236" s="46" t="s">
        <v>221</v>
      </c>
      <c r="C236" s="46">
        <v>129</v>
      </c>
      <c r="D236" s="45">
        <v>355535</v>
      </c>
      <c r="E236" s="46">
        <v>170000</v>
      </c>
    </row>
    <row r="237" spans="1:5" ht="21" x14ac:dyDescent="0.4">
      <c r="A237" s="45" t="s">
        <v>22</v>
      </c>
      <c r="B237" s="46" t="s">
        <v>221</v>
      </c>
      <c r="C237" s="46">
        <v>338</v>
      </c>
      <c r="D237" s="45">
        <v>486078</v>
      </c>
      <c r="E237" s="46">
        <v>157000</v>
      </c>
    </row>
    <row r="238" spans="1:5" ht="21" x14ac:dyDescent="0.4">
      <c r="A238" s="45" t="s">
        <v>21</v>
      </c>
      <c r="B238" s="46" t="s">
        <v>221</v>
      </c>
      <c r="C238" s="46">
        <v>563</v>
      </c>
      <c r="D238" s="45">
        <v>712117</v>
      </c>
      <c r="E238" s="46">
        <v>51000</v>
      </c>
    </row>
    <row r="239" spans="1:5" ht="21" x14ac:dyDescent="0.4">
      <c r="A239" s="45" t="s">
        <v>20</v>
      </c>
      <c r="B239" s="46" t="s">
        <v>221</v>
      </c>
      <c r="C239" s="46">
        <v>531</v>
      </c>
      <c r="D239" s="45">
        <v>971946</v>
      </c>
      <c r="E239" s="46">
        <v>161000</v>
      </c>
    </row>
    <row r="240" spans="1:5" ht="21" x14ac:dyDescent="0.4">
      <c r="A240" s="45" t="s">
        <v>19</v>
      </c>
      <c r="B240" s="46" t="s">
        <v>221</v>
      </c>
      <c r="C240" s="46">
        <v>122</v>
      </c>
      <c r="D240" s="45">
        <v>621417</v>
      </c>
      <c r="E240" s="46">
        <v>68000</v>
      </c>
    </row>
    <row r="241" spans="1:5" ht="21" x14ac:dyDescent="0.4">
      <c r="A241" s="45" t="s">
        <v>18</v>
      </c>
      <c r="B241" s="46" t="s">
        <v>221</v>
      </c>
      <c r="C241" s="46">
        <v>578</v>
      </c>
      <c r="D241" s="45">
        <v>923154</v>
      </c>
      <c r="E241" s="46">
        <v>168000</v>
      </c>
    </row>
    <row r="242" spans="1:5" ht="21" x14ac:dyDescent="0.4">
      <c r="A242" s="45" t="s">
        <v>17</v>
      </c>
      <c r="B242" s="46" t="s">
        <v>221</v>
      </c>
      <c r="C242" s="46">
        <v>31</v>
      </c>
      <c r="D242" s="45">
        <v>648441</v>
      </c>
      <c r="E242" s="46">
        <v>182000</v>
      </c>
    </row>
    <row r="243" spans="1:5" ht="21" x14ac:dyDescent="0.4">
      <c r="A243" s="45" t="s">
        <v>16</v>
      </c>
      <c r="B243" s="46" t="s">
        <v>221</v>
      </c>
      <c r="C243" s="46">
        <v>70</v>
      </c>
      <c r="D243" s="45">
        <v>696010</v>
      </c>
      <c r="E243" s="46">
        <v>221000</v>
      </c>
    </row>
    <row r="244" spans="1:5" ht="21" x14ac:dyDescent="0.4">
      <c r="A244" s="45" t="s">
        <v>15</v>
      </c>
      <c r="B244" s="46" t="s">
        <v>221</v>
      </c>
      <c r="C244" s="46">
        <v>563</v>
      </c>
      <c r="D244" s="45">
        <v>619510</v>
      </c>
      <c r="E244" s="46">
        <v>236000</v>
      </c>
    </row>
    <row r="245" spans="1:5" ht="21" x14ac:dyDescent="0.4">
      <c r="A245" s="45" t="s">
        <v>14</v>
      </c>
      <c r="B245" s="46" t="s">
        <v>221</v>
      </c>
      <c r="C245" s="46">
        <v>802</v>
      </c>
      <c r="D245" s="45">
        <v>806896</v>
      </c>
      <c r="E245" s="46">
        <v>44000</v>
      </c>
    </row>
    <row r="246" spans="1:5" ht="21" x14ac:dyDescent="0.4">
      <c r="A246" s="45" t="s">
        <v>13</v>
      </c>
      <c r="B246" s="46" t="s">
        <v>221</v>
      </c>
      <c r="C246" s="46">
        <v>866</v>
      </c>
      <c r="D246" s="45">
        <v>333823</v>
      </c>
      <c r="E246" s="46">
        <v>213000</v>
      </c>
    </row>
    <row r="247" spans="1:5" ht="21" x14ac:dyDescent="0.4">
      <c r="A247" s="45" t="s">
        <v>12</v>
      </c>
      <c r="B247" s="46" t="s">
        <v>221</v>
      </c>
      <c r="C247" s="46">
        <v>832</v>
      </c>
      <c r="D247" s="45">
        <v>711467</v>
      </c>
      <c r="E247" s="46">
        <v>170000</v>
      </c>
    </row>
    <row r="248" spans="1:5" ht="21" x14ac:dyDescent="0.4">
      <c r="A248" s="45" t="s">
        <v>11</v>
      </c>
      <c r="B248" s="46" t="s">
        <v>221</v>
      </c>
      <c r="C248" s="46">
        <v>15</v>
      </c>
      <c r="D248" s="45">
        <v>544333</v>
      </c>
      <c r="E248" s="46">
        <v>61000</v>
      </c>
    </row>
    <row r="249" spans="1:5" ht="21" x14ac:dyDescent="0.4">
      <c r="A249" s="45" t="s">
        <v>10</v>
      </c>
      <c r="B249" s="46" t="s">
        <v>221</v>
      </c>
      <c r="C249" s="46">
        <v>734</v>
      </c>
      <c r="D249" s="45">
        <v>727943</v>
      </c>
      <c r="E249" s="46">
        <v>17000</v>
      </c>
    </row>
    <row r="250" spans="1:5" ht="21" x14ac:dyDescent="0.4">
      <c r="A250" s="45" t="s">
        <v>9</v>
      </c>
      <c r="B250" s="46" t="s">
        <v>221</v>
      </c>
      <c r="C250" s="46">
        <v>217</v>
      </c>
      <c r="D250" s="45">
        <v>539585</v>
      </c>
      <c r="E250" s="46">
        <v>112000</v>
      </c>
    </row>
    <row r="251" spans="1:5" x14ac:dyDescent="0.4">
      <c r="B251"/>
      <c r="C251"/>
      <c r="D251"/>
    </row>
    <row r="252" spans="1:5" x14ac:dyDescent="0.4">
      <c r="B252"/>
      <c r="C252"/>
      <c r="D252"/>
    </row>
    <row r="253" spans="1:5" x14ac:dyDescent="0.4">
      <c r="B253"/>
      <c r="C253"/>
      <c r="D253"/>
    </row>
    <row r="254" spans="1:5" x14ac:dyDescent="0.4">
      <c r="B254"/>
      <c r="C254"/>
      <c r="D254"/>
    </row>
    <row r="255" spans="1:5" x14ac:dyDescent="0.4">
      <c r="B255"/>
      <c r="C255"/>
      <c r="D255"/>
    </row>
    <row r="256" spans="1:5" x14ac:dyDescent="0.4">
      <c r="B256"/>
      <c r="C256"/>
      <c r="D256"/>
    </row>
    <row r="257" spans="2:4" x14ac:dyDescent="0.4">
      <c r="B257"/>
      <c r="C257"/>
      <c r="D257"/>
    </row>
    <row r="258" spans="2:4" x14ac:dyDescent="0.4">
      <c r="B258"/>
      <c r="C258"/>
      <c r="D258"/>
    </row>
    <row r="259" spans="2:4" x14ac:dyDescent="0.4">
      <c r="B259"/>
      <c r="C259"/>
      <c r="D259"/>
    </row>
    <row r="260" spans="2:4" x14ac:dyDescent="0.4">
      <c r="B260"/>
      <c r="C260"/>
      <c r="D260"/>
    </row>
    <row r="261" spans="2:4" x14ac:dyDescent="0.4">
      <c r="B261"/>
      <c r="C261"/>
      <c r="D261"/>
    </row>
    <row r="262" spans="2:4" x14ac:dyDescent="0.4">
      <c r="B262"/>
      <c r="C262"/>
      <c r="D262"/>
    </row>
    <row r="263" spans="2:4" x14ac:dyDescent="0.4">
      <c r="B263"/>
      <c r="C263"/>
      <c r="D263"/>
    </row>
    <row r="264" spans="2:4" x14ac:dyDescent="0.4">
      <c r="B264"/>
      <c r="C264"/>
      <c r="D264"/>
    </row>
    <row r="265" spans="2:4" x14ac:dyDescent="0.4">
      <c r="B265"/>
      <c r="C265"/>
      <c r="D265"/>
    </row>
    <row r="266" spans="2:4" x14ac:dyDescent="0.4">
      <c r="B266"/>
      <c r="C266"/>
      <c r="D266"/>
    </row>
    <row r="267" spans="2:4" x14ac:dyDescent="0.4">
      <c r="B267"/>
      <c r="C267"/>
      <c r="D267"/>
    </row>
    <row r="268" spans="2:4" x14ac:dyDescent="0.4">
      <c r="B268"/>
      <c r="C268"/>
      <c r="D268"/>
    </row>
    <row r="269" spans="2:4" x14ac:dyDescent="0.4">
      <c r="B269"/>
      <c r="C269"/>
      <c r="D269"/>
    </row>
    <row r="270" spans="2:4" x14ac:dyDescent="0.4">
      <c r="B270"/>
      <c r="C270"/>
      <c r="D270"/>
    </row>
    <row r="271" spans="2:4" x14ac:dyDescent="0.4">
      <c r="B271"/>
      <c r="C271"/>
      <c r="D271"/>
    </row>
    <row r="272" spans="2:4" x14ac:dyDescent="0.4">
      <c r="B272"/>
      <c r="C272"/>
      <c r="D272"/>
    </row>
    <row r="273" spans="2:4" x14ac:dyDescent="0.4">
      <c r="B273"/>
      <c r="C273"/>
      <c r="D273"/>
    </row>
    <row r="274" spans="2:4" x14ac:dyDescent="0.4">
      <c r="B274"/>
      <c r="C274"/>
      <c r="D274"/>
    </row>
    <row r="275" spans="2:4" x14ac:dyDescent="0.4">
      <c r="B275"/>
      <c r="C275"/>
      <c r="D275"/>
    </row>
    <row r="276" spans="2:4" x14ac:dyDescent="0.4">
      <c r="B276"/>
      <c r="C276"/>
      <c r="D276"/>
    </row>
    <row r="277" spans="2:4" x14ac:dyDescent="0.4">
      <c r="B277"/>
      <c r="C277"/>
      <c r="D277"/>
    </row>
    <row r="278" spans="2:4" x14ac:dyDescent="0.4">
      <c r="B278"/>
      <c r="C278"/>
      <c r="D278"/>
    </row>
    <row r="279" spans="2:4" x14ac:dyDescent="0.4">
      <c r="B279"/>
      <c r="C279"/>
      <c r="D279"/>
    </row>
    <row r="280" spans="2:4" x14ac:dyDescent="0.4">
      <c r="B280"/>
      <c r="C280"/>
      <c r="D280"/>
    </row>
    <row r="281" spans="2:4" x14ac:dyDescent="0.4">
      <c r="B281"/>
      <c r="C281"/>
      <c r="D281"/>
    </row>
    <row r="282" spans="2:4" x14ac:dyDescent="0.4">
      <c r="B282"/>
      <c r="C282"/>
      <c r="D282"/>
    </row>
    <row r="283" spans="2:4" x14ac:dyDescent="0.4">
      <c r="B283"/>
      <c r="C283"/>
      <c r="D283"/>
    </row>
    <row r="284" spans="2:4" x14ac:dyDescent="0.4">
      <c r="B284"/>
      <c r="C284"/>
      <c r="D284"/>
    </row>
    <row r="285" spans="2:4" x14ac:dyDescent="0.4">
      <c r="B285"/>
      <c r="C285"/>
      <c r="D285"/>
    </row>
    <row r="286" spans="2:4" x14ac:dyDescent="0.4">
      <c r="B286"/>
      <c r="C286"/>
      <c r="D286"/>
    </row>
    <row r="287" spans="2:4" x14ac:dyDescent="0.4">
      <c r="B287"/>
      <c r="C287"/>
      <c r="D287"/>
    </row>
    <row r="288" spans="2:4" x14ac:dyDescent="0.4">
      <c r="B288"/>
      <c r="C288"/>
      <c r="D288"/>
    </row>
    <row r="289" spans="2:4" x14ac:dyDescent="0.4">
      <c r="B289"/>
      <c r="C289"/>
      <c r="D289"/>
    </row>
    <row r="290" spans="2:4" x14ac:dyDescent="0.4">
      <c r="B290"/>
      <c r="C290"/>
      <c r="D290"/>
    </row>
    <row r="291" spans="2:4" x14ac:dyDescent="0.4">
      <c r="B291"/>
      <c r="C291"/>
      <c r="D291"/>
    </row>
    <row r="292" spans="2:4" x14ac:dyDescent="0.4">
      <c r="B292"/>
      <c r="C292"/>
      <c r="D292"/>
    </row>
    <row r="293" spans="2:4" x14ac:dyDescent="0.4">
      <c r="B293"/>
      <c r="C293"/>
      <c r="D293"/>
    </row>
    <row r="294" spans="2:4" x14ac:dyDescent="0.4">
      <c r="B294"/>
      <c r="C294"/>
      <c r="D294"/>
    </row>
    <row r="295" spans="2:4" x14ac:dyDescent="0.4">
      <c r="B295"/>
      <c r="C295"/>
      <c r="D295"/>
    </row>
    <row r="296" spans="2:4" x14ac:dyDescent="0.4">
      <c r="B296"/>
      <c r="C296"/>
      <c r="D296"/>
    </row>
    <row r="297" spans="2:4" x14ac:dyDescent="0.4">
      <c r="B297"/>
      <c r="C297"/>
      <c r="D297"/>
    </row>
    <row r="298" spans="2:4" x14ac:dyDescent="0.4">
      <c r="B298"/>
      <c r="C298"/>
      <c r="D298"/>
    </row>
    <row r="299" spans="2:4" x14ac:dyDescent="0.4">
      <c r="B299"/>
      <c r="C299"/>
      <c r="D299"/>
    </row>
    <row r="300" spans="2:4" x14ac:dyDescent="0.4">
      <c r="B300"/>
      <c r="C300"/>
      <c r="D300"/>
    </row>
    <row r="301" spans="2:4" x14ac:dyDescent="0.4">
      <c r="B301"/>
      <c r="C301"/>
      <c r="D301"/>
    </row>
    <row r="302" spans="2:4" x14ac:dyDescent="0.4">
      <c r="B302"/>
      <c r="C302"/>
      <c r="D302"/>
    </row>
    <row r="303" spans="2:4" x14ac:dyDescent="0.4">
      <c r="B303"/>
      <c r="C303"/>
      <c r="D303"/>
    </row>
    <row r="304" spans="2:4" x14ac:dyDescent="0.4">
      <c r="B304"/>
      <c r="C304"/>
      <c r="D304"/>
    </row>
    <row r="305" spans="2:4" x14ac:dyDescent="0.4">
      <c r="B305"/>
      <c r="C305"/>
      <c r="D305"/>
    </row>
    <row r="306" spans="2:4" x14ac:dyDescent="0.4">
      <c r="B306"/>
      <c r="C306"/>
      <c r="D306"/>
    </row>
    <row r="307" spans="2:4" x14ac:dyDescent="0.4">
      <c r="B307"/>
      <c r="C307"/>
      <c r="D307"/>
    </row>
    <row r="308" spans="2:4" x14ac:dyDescent="0.4">
      <c r="B308"/>
      <c r="C308"/>
      <c r="D308"/>
    </row>
    <row r="309" spans="2:4" x14ac:dyDescent="0.4">
      <c r="B309"/>
      <c r="C309"/>
      <c r="D309"/>
    </row>
    <row r="310" spans="2:4" x14ac:dyDescent="0.4">
      <c r="B310"/>
      <c r="C310"/>
      <c r="D310"/>
    </row>
    <row r="311" spans="2:4" x14ac:dyDescent="0.4">
      <c r="B311"/>
      <c r="C311"/>
      <c r="D311"/>
    </row>
    <row r="312" spans="2:4" x14ac:dyDescent="0.4">
      <c r="B312"/>
      <c r="C312"/>
      <c r="D312"/>
    </row>
    <row r="313" spans="2:4" x14ac:dyDescent="0.4">
      <c r="B313"/>
      <c r="C313"/>
      <c r="D313"/>
    </row>
    <row r="314" spans="2:4" x14ac:dyDescent="0.4">
      <c r="B314"/>
      <c r="C314"/>
      <c r="D314"/>
    </row>
    <row r="315" spans="2:4" x14ac:dyDescent="0.4">
      <c r="B315"/>
      <c r="C315"/>
      <c r="D315"/>
    </row>
    <row r="316" spans="2:4" x14ac:dyDescent="0.4">
      <c r="B316"/>
      <c r="C316"/>
      <c r="D316"/>
    </row>
    <row r="317" spans="2:4" x14ac:dyDescent="0.4">
      <c r="B317"/>
      <c r="C317"/>
      <c r="D317"/>
    </row>
    <row r="318" spans="2:4" x14ac:dyDescent="0.4">
      <c r="B318"/>
      <c r="C318"/>
      <c r="D318"/>
    </row>
    <row r="319" spans="2:4" x14ac:dyDescent="0.4">
      <c r="B319"/>
      <c r="C319"/>
      <c r="D319"/>
    </row>
    <row r="320" spans="2:4" x14ac:dyDescent="0.4">
      <c r="B320"/>
      <c r="C320"/>
      <c r="D320"/>
    </row>
    <row r="321" spans="2:4" x14ac:dyDescent="0.4">
      <c r="B321"/>
      <c r="C321"/>
      <c r="D321"/>
    </row>
    <row r="322" spans="2:4" x14ac:dyDescent="0.4">
      <c r="B322"/>
      <c r="C322"/>
      <c r="D322"/>
    </row>
    <row r="323" spans="2:4" x14ac:dyDescent="0.4">
      <c r="B323"/>
      <c r="C323"/>
      <c r="D323"/>
    </row>
    <row r="324" spans="2:4" x14ac:dyDescent="0.4">
      <c r="B324"/>
      <c r="C324"/>
      <c r="D324"/>
    </row>
    <row r="325" spans="2:4" x14ac:dyDescent="0.4">
      <c r="B325"/>
      <c r="C325"/>
      <c r="D325"/>
    </row>
    <row r="326" spans="2:4" x14ac:dyDescent="0.4">
      <c r="B326"/>
      <c r="C326"/>
      <c r="D326"/>
    </row>
    <row r="327" spans="2:4" x14ac:dyDescent="0.4">
      <c r="B327"/>
      <c r="C327"/>
      <c r="D327"/>
    </row>
    <row r="328" spans="2:4" x14ac:dyDescent="0.4">
      <c r="B328"/>
      <c r="C328"/>
      <c r="D328"/>
    </row>
    <row r="329" spans="2:4" x14ac:dyDescent="0.4">
      <c r="B329"/>
      <c r="C329"/>
      <c r="D329"/>
    </row>
    <row r="330" spans="2:4" x14ac:dyDescent="0.4">
      <c r="B330"/>
      <c r="C330"/>
      <c r="D330"/>
    </row>
    <row r="331" spans="2:4" x14ac:dyDescent="0.4">
      <c r="B331"/>
      <c r="C331"/>
      <c r="D331"/>
    </row>
    <row r="332" spans="2:4" x14ac:dyDescent="0.4">
      <c r="B332"/>
      <c r="C332"/>
      <c r="D332"/>
    </row>
    <row r="333" spans="2:4" x14ac:dyDescent="0.4">
      <c r="B333"/>
      <c r="C333"/>
      <c r="D333"/>
    </row>
    <row r="334" spans="2:4" x14ac:dyDescent="0.4">
      <c r="B334"/>
      <c r="C334"/>
      <c r="D334"/>
    </row>
    <row r="335" spans="2:4" x14ac:dyDescent="0.4">
      <c r="B335"/>
      <c r="C335"/>
      <c r="D335"/>
    </row>
    <row r="336" spans="2:4" x14ac:dyDescent="0.4">
      <c r="B336"/>
      <c r="C336"/>
      <c r="D336"/>
    </row>
    <row r="337" spans="2:4" x14ac:dyDescent="0.4">
      <c r="B337"/>
      <c r="C337"/>
      <c r="D337"/>
    </row>
    <row r="338" spans="2:4" x14ac:dyDescent="0.4">
      <c r="B338"/>
      <c r="C338"/>
      <c r="D338"/>
    </row>
    <row r="339" spans="2:4" x14ac:dyDescent="0.4">
      <c r="B339"/>
      <c r="C339"/>
      <c r="D339"/>
    </row>
    <row r="340" spans="2:4" x14ac:dyDescent="0.4">
      <c r="B340"/>
      <c r="C340"/>
      <c r="D340"/>
    </row>
    <row r="341" spans="2:4" x14ac:dyDescent="0.4">
      <c r="B341"/>
      <c r="C341"/>
      <c r="D341"/>
    </row>
    <row r="342" spans="2:4" x14ac:dyDescent="0.4">
      <c r="B342"/>
      <c r="C342"/>
      <c r="D342"/>
    </row>
    <row r="343" spans="2:4" x14ac:dyDescent="0.4">
      <c r="B343"/>
      <c r="C343"/>
      <c r="D343"/>
    </row>
    <row r="344" spans="2:4" x14ac:dyDescent="0.4">
      <c r="B344"/>
      <c r="C344"/>
      <c r="D344"/>
    </row>
    <row r="345" spans="2:4" x14ac:dyDescent="0.4">
      <c r="B345"/>
      <c r="C345"/>
      <c r="D345"/>
    </row>
    <row r="346" spans="2:4" x14ac:dyDescent="0.4">
      <c r="B346"/>
      <c r="C346"/>
      <c r="D346"/>
    </row>
    <row r="347" spans="2:4" x14ac:dyDescent="0.4">
      <c r="B347"/>
      <c r="C347"/>
      <c r="D347"/>
    </row>
    <row r="348" spans="2:4" x14ac:dyDescent="0.4">
      <c r="B348"/>
      <c r="C348"/>
      <c r="D348"/>
    </row>
    <row r="349" spans="2:4" x14ac:dyDescent="0.4">
      <c r="B349"/>
      <c r="C349"/>
      <c r="D349"/>
    </row>
    <row r="350" spans="2:4" x14ac:dyDescent="0.4">
      <c r="B350"/>
      <c r="C350"/>
      <c r="D350"/>
    </row>
    <row r="351" spans="2:4" x14ac:dyDescent="0.4">
      <c r="B351"/>
      <c r="C351"/>
      <c r="D351"/>
    </row>
    <row r="352" spans="2:4" x14ac:dyDescent="0.4">
      <c r="B352"/>
      <c r="C352"/>
      <c r="D352"/>
    </row>
    <row r="353" spans="2:4" x14ac:dyDescent="0.4">
      <c r="B353"/>
      <c r="C353"/>
      <c r="D353"/>
    </row>
    <row r="354" spans="2:4" x14ac:dyDescent="0.4">
      <c r="B354"/>
      <c r="C354"/>
      <c r="D354"/>
    </row>
    <row r="355" spans="2:4" x14ac:dyDescent="0.4">
      <c r="B355"/>
      <c r="C355"/>
      <c r="D355"/>
    </row>
    <row r="356" spans="2:4" x14ac:dyDescent="0.4">
      <c r="B356"/>
      <c r="C356"/>
      <c r="D356"/>
    </row>
    <row r="357" spans="2:4" x14ac:dyDescent="0.4">
      <c r="B357"/>
      <c r="C357"/>
      <c r="D357"/>
    </row>
    <row r="358" spans="2:4" x14ac:dyDescent="0.4">
      <c r="B358"/>
      <c r="C358"/>
      <c r="D358"/>
    </row>
    <row r="359" spans="2:4" x14ac:dyDescent="0.4">
      <c r="B359"/>
      <c r="C359"/>
      <c r="D359"/>
    </row>
    <row r="360" spans="2:4" x14ac:dyDescent="0.4">
      <c r="B360"/>
      <c r="C360"/>
      <c r="D360"/>
    </row>
    <row r="361" spans="2:4" x14ac:dyDescent="0.4">
      <c r="B361"/>
      <c r="C361"/>
      <c r="D361"/>
    </row>
    <row r="362" spans="2:4" x14ac:dyDescent="0.4">
      <c r="B362"/>
      <c r="C362"/>
      <c r="D362"/>
    </row>
    <row r="363" spans="2:4" x14ac:dyDescent="0.4">
      <c r="B363"/>
      <c r="C363"/>
      <c r="D363"/>
    </row>
    <row r="364" spans="2:4" x14ac:dyDescent="0.4">
      <c r="B364"/>
      <c r="C364"/>
      <c r="D364"/>
    </row>
    <row r="365" spans="2:4" x14ac:dyDescent="0.4">
      <c r="B365"/>
      <c r="C365"/>
      <c r="D365"/>
    </row>
    <row r="366" spans="2:4" x14ac:dyDescent="0.4">
      <c r="B366"/>
      <c r="C366"/>
      <c r="D366"/>
    </row>
    <row r="367" spans="2:4" x14ac:dyDescent="0.4">
      <c r="B367"/>
      <c r="C367"/>
      <c r="D367"/>
    </row>
    <row r="368" spans="2:4" x14ac:dyDescent="0.4">
      <c r="B368"/>
      <c r="C368"/>
      <c r="D368"/>
    </row>
    <row r="369" spans="2:4" x14ac:dyDescent="0.4">
      <c r="B369"/>
      <c r="C369"/>
      <c r="D369"/>
    </row>
    <row r="370" spans="2:4" x14ac:dyDescent="0.4">
      <c r="B370"/>
      <c r="C370"/>
      <c r="D370"/>
    </row>
    <row r="371" spans="2:4" x14ac:dyDescent="0.4">
      <c r="B371"/>
      <c r="C371"/>
      <c r="D371"/>
    </row>
    <row r="372" spans="2:4" x14ac:dyDescent="0.4">
      <c r="B372"/>
      <c r="C372"/>
      <c r="D372"/>
    </row>
    <row r="373" spans="2:4" x14ac:dyDescent="0.4">
      <c r="B373"/>
      <c r="C373"/>
      <c r="D373"/>
    </row>
    <row r="374" spans="2:4" x14ac:dyDescent="0.4">
      <c r="B374"/>
      <c r="C374"/>
      <c r="D374"/>
    </row>
    <row r="375" spans="2:4" x14ac:dyDescent="0.4">
      <c r="B375"/>
      <c r="C375"/>
      <c r="D375"/>
    </row>
    <row r="376" spans="2:4" x14ac:dyDescent="0.4">
      <c r="B376"/>
      <c r="C376"/>
      <c r="D376"/>
    </row>
    <row r="377" spans="2:4" x14ac:dyDescent="0.4">
      <c r="B377"/>
      <c r="C377"/>
      <c r="D377"/>
    </row>
    <row r="378" spans="2:4" x14ac:dyDescent="0.4">
      <c r="B378"/>
      <c r="C378"/>
      <c r="D378"/>
    </row>
    <row r="379" spans="2:4" x14ac:dyDescent="0.4">
      <c r="B379"/>
      <c r="C379"/>
      <c r="D379"/>
    </row>
    <row r="380" spans="2:4" x14ac:dyDescent="0.4">
      <c r="B380"/>
      <c r="C380"/>
      <c r="D380"/>
    </row>
    <row r="381" spans="2:4" x14ac:dyDescent="0.4">
      <c r="B381"/>
      <c r="C381"/>
      <c r="D381"/>
    </row>
    <row r="382" spans="2:4" x14ac:dyDescent="0.4">
      <c r="B382"/>
      <c r="C382"/>
      <c r="D382"/>
    </row>
    <row r="383" spans="2:4" x14ac:dyDescent="0.4">
      <c r="B383"/>
      <c r="C383"/>
      <c r="D383"/>
    </row>
    <row r="384" spans="2:4" x14ac:dyDescent="0.4">
      <c r="B384"/>
      <c r="C384"/>
      <c r="D384"/>
    </row>
    <row r="385" spans="2:47" x14ac:dyDescent="0.4">
      <c r="B385"/>
      <c r="C385"/>
      <c r="D385"/>
    </row>
    <row r="386" spans="2:47" x14ac:dyDescent="0.4">
      <c r="B386"/>
      <c r="C386"/>
      <c r="D386"/>
    </row>
    <row r="387" spans="2:47" x14ac:dyDescent="0.4">
      <c r="B387"/>
      <c r="C387"/>
      <c r="D387"/>
    </row>
    <row r="388" spans="2:47" x14ac:dyDescent="0.4">
      <c r="B388"/>
      <c r="C388"/>
      <c r="D388"/>
    </row>
    <row r="389" spans="2:47" x14ac:dyDescent="0.4">
      <c r="B389"/>
      <c r="C389"/>
      <c r="D389"/>
    </row>
    <row r="390" spans="2:47" x14ac:dyDescent="0.4">
      <c r="B390"/>
      <c r="C390"/>
      <c r="D390"/>
    </row>
    <row r="391" spans="2:47" x14ac:dyDescent="0.4">
      <c r="B391"/>
      <c r="C391"/>
      <c r="D391"/>
    </row>
    <row r="392" spans="2:47" x14ac:dyDescent="0.4">
      <c r="B392"/>
      <c r="C392"/>
      <c r="D392"/>
    </row>
    <row r="393" spans="2:47" x14ac:dyDescent="0.4">
      <c r="B393"/>
      <c r="C393"/>
      <c r="D393"/>
    </row>
    <row r="394" spans="2:47" x14ac:dyDescent="0.4">
      <c r="B394"/>
      <c r="C394"/>
      <c r="D394"/>
    </row>
    <row r="395" spans="2:47" x14ac:dyDescent="0.4">
      <c r="B395"/>
      <c r="C395"/>
      <c r="D395"/>
    </row>
    <row r="396" spans="2:47" x14ac:dyDescent="0.4">
      <c r="B396"/>
      <c r="C396"/>
      <c r="D396"/>
    </row>
    <row r="397" spans="2:47" x14ac:dyDescent="0.4">
      <c r="B397"/>
      <c r="C397"/>
      <c r="D397"/>
    </row>
    <row r="398" spans="2:47" x14ac:dyDescent="0.4">
      <c r="B398"/>
      <c r="C398"/>
      <c r="D398"/>
    </row>
    <row r="399" spans="2:47" x14ac:dyDescent="0.4">
      <c r="B399"/>
      <c r="C399"/>
      <c r="D399"/>
    </row>
    <row r="400" spans="2:47" x14ac:dyDescent="0.4">
      <c r="B400"/>
      <c r="C400"/>
      <c r="D400"/>
      <c r="E400"/>
      <c r="F400"/>
      <c r="G400"/>
      <c r="H400"/>
      <c r="I400"/>
      <c r="J400"/>
      <c r="K400"/>
      <c r="L400"/>
      <c r="M400"/>
      <c r="N400"/>
      <c r="O400"/>
      <c r="P400"/>
      <c r="Q400"/>
      <c r="R400"/>
      <c r="S400"/>
      <c r="T400"/>
      <c r="U400"/>
      <c r="V400"/>
      <c r="W400"/>
      <c r="X400"/>
      <c r="Y400"/>
      <c r="Z400"/>
      <c r="AA400"/>
      <c r="AB400"/>
      <c r="AC400"/>
      <c r="AD400"/>
      <c r="AE400"/>
      <c r="AF400"/>
      <c r="AG400"/>
      <c r="AH400"/>
      <c r="AI400"/>
      <c r="AJ400"/>
      <c r="AK400"/>
      <c r="AL400"/>
      <c r="AM400"/>
      <c r="AN400"/>
      <c r="AO400"/>
      <c r="AP400"/>
      <c r="AQ400"/>
      <c r="AR400"/>
      <c r="AS400"/>
      <c r="AT400"/>
      <c r="AU400"/>
    </row>
    <row r="401" spans="1:47" x14ac:dyDescent="0.4">
      <c r="B401"/>
      <c r="C401"/>
      <c r="D401"/>
      <c r="E401"/>
      <c r="F401"/>
      <c r="G401"/>
      <c r="H401"/>
      <c r="I401"/>
      <c r="J401"/>
      <c r="K401"/>
      <c r="L401"/>
      <c r="M401"/>
      <c r="N401"/>
      <c r="O401"/>
      <c r="P401"/>
      <c r="Q401"/>
      <c r="R401"/>
      <c r="S401"/>
      <c r="T401"/>
      <c r="U401"/>
      <c r="V401"/>
      <c r="W401"/>
      <c r="X401"/>
      <c r="Y401"/>
      <c r="Z401"/>
      <c r="AA401"/>
      <c r="AB401"/>
      <c r="AC401"/>
      <c r="AD401"/>
      <c r="AE401"/>
      <c r="AF401"/>
      <c r="AG401"/>
      <c r="AH401"/>
      <c r="AI401"/>
      <c r="AJ401"/>
      <c r="AK401"/>
      <c r="AL401"/>
      <c r="AM401"/>
      <c r="AN401"/>
      <c r="AO401"/>
      <c r="AP401"/>
      <c r="AQ401"/>
      <c r="AR401"/>
      <c r="AS401"/>
      <c r="AT401"/>
      <c r="AU401"/>
    </row>
    <row r="402" spans="1:47" x14ac:dyDescent="0.4">
      <c r="B402"/>
      <c r="C402"/>
      <c r="D402"/>
      <c r="E402"/>
      <c r="F402"/>
      <c r="G402"/>
      <c r="H402"/>
      <c r="I402"/>
      <c r="J402"/>
      <c r="K402"/>
      <c r="L402"/>
      <c r="M402"/>
      <c r="N402"/>
      <c r="O402"/>
      <c r="P402"/>
      <c r="Q402"/>
      <c r="R402"/>
      <c r="S402"/>
      <c r="T402"/>
      <c r="U402"/>
      <c r="V402"/>
      <c r="W402"/>
      <c r="X402"/>
      <c r="Y402"/>
      <c r="Z402"/>
      <c r="AA402"/>
      <c r="AB402"/>
      <c r="AC402"/>
      <c r="AD402"/>
      <c r="AE402"/>
      <c r="AF402"/>
      <c r="AG402"/>
      <c r="AH402"/>
      <c r="AI402"/>
      <c r="AJ402"/>
      <c r="AK402"/>
      <c r="AL402"/>
      <c r="AM402"/>
      <c r="AN402"/>
      <c r="AO402"/>
      <c r="AP402"/>
      <c r="AQ402"/>
      <c r="AR402"/>
      <c r="AS402"/>
      <c r="AT402"/>
      <c r="AU402"/>
    </row>
    <row r="403" spans="1:47" x14ac:dyDescent="0.4">
      <c r="B403"/>
      <c r="C403"/>
      <c r="D403"/>
      <c r="E403"/>
      <c r="F403"/>
      <c r="G403"/>
      <c r="H403"/>
      <c r="I403"/>
      <c r="J403"/>
      <c r="K403"/>
      <c r="L403"/>
      <c r="M403"/>
      <c r="N403"/>
      <c r="O403"/>
      <c r="P403"/>
      <c r="Q403"/>
      <c r="R403"/>
      <c r="S403"/>
      <c r="T403"/>
      <c r="U403"/>
      <c r="V403"/>
      <c r="W403"/>
      <c r="X403"/>
      <c r="Y403"/>
      <c r="Z403"/>
      <c r="AA403"/>
      <c r="AB403"/>
      <c r="AC403"/>
      <c r="AD403"/>
      <c r="AE403"/>
      <c r="AF403"/>
      <c r="AG403"/>
      <c r="AH403"/>
      <c r="AI403"/>
      <c r="AJ403"/>
      <c r="AK403"/>
      <c r="AL403"/>
      <c r="AM403"/>
      <c r="AN403"/>
      <c r="AO403"/>
      <c r="AP403"/>
      <c r="AQ403"/>
      <c r="AR403"/>
      <c r="AS403"/>
      <c r="AT403"/>
      <c r="AU403"/>
    </row>
    <row r="404" spans="1:47" x14ac:dyDescent="0.4">
      <c r="B404"/>
      <c r="C404"/>
      <c r="D404"/>
      <c r="E404"/>
      <c r="F404"/>
      <c r="G404"/>
      <c r="H404"/>
      <c r="I404"/>
      <c r="J404"/>
      <c r="K404"/>
      <c r="L404"/>
      <c r="M404"/>
      <c r="N404"/>
      <c r="O404"/>
      <c r="P404"/>
      <c r="Q404"/>
      <c r="R404"/>
      <c r="S404"/>
      <c r="T404"/>
      <c r="U404"/>
      <c r="V404"/>
      <c r="W404"/>
      <c r="X404"/>
      <c r="Y404"/>
      <c r="Z404"/>
      <c r="AA404"/>
      <c r="AB404"/>
      <c r="AC404"/>
      <c r="AD404"/>
      <c r="AE404"/>
      <c r="AF404"/>
      <c r="AG404"/>
      <c r="AH404"/>
      <c r="AI404"/>
      <c r="AJ404"/>
      <c r="AK404"/>
      <c r="AL404"/>
      <c r="AM404"/>
      <c r="AN404"/>
      <c r="AO404"/>
      <c r="AP404"/>
      <c r="AQ404"/>
      <c r="AR404"/>
      <c r="AS404"/>
      <c r="AT404"/>
      <c r="AU404"/>
    </row>
    <row r="405" spans="1:47" x14ac:dyDescent="0.4">
      <c r="B405"/>
      <c r="C405"/>
      <c r="D405"/>
      <c r="E405"/>
      <c r="F405"/>
      <c r="G405"/>
      <c r="H405"/>
      <c r="I405"/>
      <c r="J405"/>
      <c r="K405"/>
      <c r="L405"/>
      <c r="M405"/>
      <c r="N405"/>
      <c r="O405"/>
      <c r="P405"/>
      <c r="Q405"/>
      <c r="R405"/>
      <c r="S405"/>
      <c r="T405"/>
      <c r="U405"/>
      <c r="V405"/>
      <c r="W405"/>
      <c r="X405"/>
      <c r="Y405"/>
      <c r="Z405"/>
      <c r="AA405"/>
      <c r="AB405"/>
      <c r="AC405"/>
      <c r="AD405"/>
      <c r="AE405"/>
      <c r="AF405"/>
      <c r="AG405"/>
      <c r="AH405"/>
      <c r="AI405"/>
      <c r="AJ405"/>
      <c r="AK405"/>
      <c r="AL405"/>
      <c r="AM405"/>
      <c r="AN405"/>
      <c r="AO405"/>
      <c r="AP405"/>
      <c r="AQ405"/>
      <c r="AR405"/>
      <c r="AS405"/>
      <c r="AT405"/>
      <c r="AU405"/>
    </row>
    <row r="406" spans="1:47" x14ac:dyDescent="0.4">
      <c r="B406"/>
      <c r="C406"/>
      <c r="D406"/>
      <c r="E406"/>
      <c r="F406"/>
      <c r="G406"/>
      <c r="H406"/>
      <c r="I406"/>
      <c r="J406"/>
      <c r="K406"/>
      <c r="L406"/>
      <c r="M406"/>
      <c r="N406"/>
      <c r="O406"/>
      <c r="P406"/>
      <c r="Q406"/>
      <c r="R406"/>
      <c r="S406"/>
      <c r="T406"/>
      <c r="U406"/>
      <c r="V406"/>
      <c r="W406"/>
      <c r="X406"/>
      <c r="Y406"/>
      <c r="Z406"/>
      <c r="AA406"/>
      <c r="AB406"/>
      <c r="AC406"/>
      <c r="AD406"/>
      <c r="AE406"/>
      <c r="AF406"/>
      <c r="AG406"/>
      <c r="AH406"/>
      <c r="AI406"/>
      <c r="AJ406"/>
      <c r="AK406"/>
      <c r="AL406"/>
      <c r="AM406"/>
      <c r="AN406"/>
      <c r="AO406"/>
      <c r="AP406"/>
      <c r="AQ406"/>
      <c r="AR406"/>
      <c r="AS406"/>
      <c r="AT406"/>
      <c r="AU406"/>
    </row>
    <row r="407" spans="1:47" x14ac:dyDescent="0.4">
      <c r="B407"/>
      <c r="C407"/>
      <c r="D407"/>
      <c r="E407"/>
      <c r="F407"/>
      <c r="G407"/>
      <c r="H407"/>
      <c r="I407"/>
      <c r="J407"/>
      <c r="K407"/>
      <c r="L407"/>
      <c r="M407"/>
      <c r="N407"/>
      <c r="O407"/>
      <c r="P407"/>
      <c r="Q407"/>
      <c r="R407"/>
      <c r="S407"/>
      <c r="T407"/>
      <c r="U407"/>
      <c r="V407"/>
      <c r="W407"/>
      <c r="X407"/>
      <c r="Y407"/>
      <c r="Z407"/>
      <c r="AA407"/>
      <c r="AB407"/>
      <c r="AC407"/>
      <c r="AD407"/>
      <c r="AE407"/>
      <c r="AF407"/>
      <c r="AG407"/>
      <c r="AH407"/>
      <c r="AI407"/>
      <c r="AJ407"/>
      <c r="AK407"/>
      <c r="AL407"/>
      <c r="AM407"/>
      <c r="AN407"/>
      <c r="AO407"/>
      <c r="AP407"/>
      <c r="AQ407"/>
      <c r="AR407"/>
      <c r="AS407"/>
      <c r="AT407"/>
      <c r="AU407"/>
    </row>
    <row r="408" spans="1:47" x14ac:dyDescent="0.4">
      <c r="B408"/>
      <c r="C408"/>
      <c r="D408"/>
      <c r="E408"/>
      <c r="F408"/>
      <c r="G408"/>
      <c r="H408"/>
      <c r="I408"/>
      <c r="J408"/>
      <c r="K408"/>
      <c r="L408"/>
      <c r="M408"/>
      <c r="N408"/>
      <c r="O408"/>
      <c r="P408"/>
      <c r="Q408"/>
      <c r="R408"/>
      <c r="S408"/>
      <c r="T408"/>
      <c r="U408"/>
      <c r="V408"/>
      <c r="W408"/>
      <c r="X408"/>
      <c r="Y408"/>
      <c r="Z408"/>
      <c r="AA408"/>
      <c r="AB408"/>
      <c r="AC408"/>
      <c r="AD408"/>
      <c r="AE408"/>
      <c r="AF408"/>
      <c r="AG408"/>
      <c r="AH408"/>
      <c r="AI408"/>
      <c r="AJ408"/>
      <c r="AK408"/>
      <c r="AL408"/>
      <c r="AM408"/>
      <c r="AN408"/>
      <c r="AO408"/>
      <c r="AP408"/>
      <c r="AQ408"/>
      <c r="AR408"/>
      <c r="AS408"/>
      <c r="AT408"/>
      <c r="AU408"/>
    </row>
    <row r="409" spans="1:47" x14ac:dyDescent="0.4">
      <c r="B409"/>
      <c r="C409"/>
      <c r="D409"/>
      <c r="E409"/>
      <c r="F409"/>
      <c r="G409"/>
      <c r="H409"/>
      <c r="I409"/>
      <c r="J409"/>
      <c r="K409"/>
      <c r="L409"/>
      <c r="M409"/>
      <c r="N409"/>
      <c r="O409"/>
      <c r="P409"/>
      <c r="Q409"/>
      <c r="R409"/>
      <c r="S409"/>
      <c r="T409"/>
      <c r="U409"/>
      <c r="V409"/>
      <c r="W409"/>
      <c r="X409"/>
      <c r="Y409"/>
      <c r="Z409"/>
      <c r="AA409"/>
      <c r="AB409"/>
      <c r="AC409"/>
      <c r="AD409"/>
      <c r="AE409"/>
      <c r="AF409"/>
      <c r="AG409"/>
      <c r="AH409"/>
      <c r="AI409"/>
      <c r="AJ409"/>
      <c r="AK409"/>
      <c r="AL409"/>
      <c r="AM409"/>
      <c r="AN409"/>
      <c r="AO409"/>
      <c r="AP409"/>
      <c r="AQ409"/>
      <c r="AR409"/>
      <c r="AS409"/>
      <c r="AT409"/>
      <c r="AU409"/>
    </row>
    <row r="410" spans="1:47" x14ac:dyDescent="0.4">
      <c r="B410"/>
      <c r="C410"/>
      <c r="D410"/>
      <c r="E410"/>
      <c r="F410"/>
      <c r="G410"/>
      <c r="H410"/>
      <c r="I410"/>
      <c r="J410"/>
      <c r="K410"/>
      <c r="L410"/>
      <c r="M410"/>
      <c r="N410"/>
      <c r="O410"/>
      <c r="P410"/>
      <c r="Q410"/>
      <c r="R410"/>
      <c r="S410"/>
      <c r="T410"/>
      <c r="U410"/>
      <c r="V410"/>
      <c r="W410"/>
      <c r="X410"/>
      <c r="Y410"/>
      <c r="Z410"/>
      <c r="AA410"/>
      <c r="AB410"/>
      <c r="AC410"/>
      <c r="AD410"/>
      <c r="AE410"/>
      <c r="AF410"/>
      <c r="AG410"/>
      <c r="AH410"/>
      <c r="AI410"/>
      <c r="AJ410"/>
      <c r="AK410"/>
      <c r="AL410"/>
      <c r="AM410"/>
      <c r="AN410"/>
      <c r="AO410"/>
      <c r="AP410"/>
      <c r="AQ410"/>
      <c r="AR410"/>
      <c r="AS410"/>
      <c r="AT410"/>
      <c r="AU410"/>
    </row>
    <row r="411" spans="1:47" x14ac:dyDescent="0.4">
      <c r="A411"/>
      <c r="B411"/>
      <c r="C411"/>
      <c r="D411"/>
      <c r="E411"/>
      <c r="F411"/>
      <c r="G411"/>
      <c r="H411"/>
      <c r="I411"/>
      <c r="J411"/>
      <c r="K411"/>
      <c r="L411"/>
      <c r="M411"/>
      <c r="N411"/>
      <c r="O411"/>
      <c r="P411"/>
      <c r="Q411"/>
      <c r="R411"/>
      <c r="S411"/>
      <c r="T411"/>
      <c r="U411"/>
      <c r="V411"/>
      <c r="W411"/>
      <c r="X411"/>
      <c r="Y411"/>
      <c r="Z411"/>
      <c r="AA411"/>
      <c r="AB411"/>
      <c r="AC411"/>
      <c r="AD411"/>
      <c r="AE411"/>
      <c r="AF411"/>
      <c r="AG411"/>
      <c r="AH411"/>
      <c r="AI411"/>
      <c r="AJ411"/>
      <c r="AK411"/>
      <c r="AL411"/>
      <c r="AM411"/>
      <c r="AN411"/>
      <c r="AO411"/>
      <c r="AP411"/>
      <c r="AQ411"/>
      <c r="AR411"/>
      <c r="AS411"/>
      <c r="AT411"/>
      <c r="AU411"/>
    </row>
    <row r="412" spans="1:47" x14ac:dyDescent="0.4">
      <c r="A412"/>
      <c r="B412"/>
      <c r="C412"/>
      <c r="D412"/>
      <c r="E412"/>
      <c r="F412"/>
      <c r="G412"/>
      <c r="H412"/>
      <c r="I412"/>
      <c r="J412"/>
      <c r="K412"/>
      <c r="L412"/>
      <c r="M412"/>
      <c r="N412"/>
      <c r="O412"/>
      <c r="P412"/>
      <c r="Q412"/>
      <c r="R412"/>
      <c r="S412"/>
      <c r="T412"/>
      <c r="U412"/>
      <c r="V412"/>
      <c r="W412"/>
      <c r="X412"/>
      <c r="Y412"/>
      <c r="Z412"/>
      <c r="AA412"/>
      <c r="AB412"/>
      <c r="AC412"/>
      <c r="AD412"/>
      <c r="AE412"/>
      <c r="AF412"/>
      <c r="AG412"/>
      <c r="AH412"/>
      <c r="AI412"/>
      <c r="AJ412"/>
      <c r="AK412"/>
      <c r="AL412"/>
      <c r="AM412"/>
      <c r="AN412"/>
      <c r="AO412"/>
      <c r="AP412"/>
      <c r="AQ412"/>
      <c r="AR412"/>
      <c r="AS412"/>
      <c r="AT412"/>
      <c r="AU412"/>
    </row>
    <row r="413" spans="1:47" x14ac:dyDescent="0.4">
      <c r="A413"/>
      <c r="B413"/>
      <c r="C413"/>
      <c r="D413"/>
      <c r="E413"/>
      <c r="F413"/>
      <c r="G413"/>
      <c r="H413"/>
      <c r="I413"/>
      <c r="J413"/>
      <c r="K413"/>
      <c r="L413"/>
      <c r="M413"/>
      <c r="N413"/>
      <c r="O413"/>
      <c r="P413"/>
      <c r="Q413"/>
      <c r="R413"/>
      <c r="S413"/>
      <c r="T413"/>
      <c r="U413"/>
      <c r="V413"/>
      <c r="W413"/>
      <c r="X413"/>
      <c r="Y413"/>
      <c r="Z413"/>
      <c r="AA413"/>
      <c r="AB413"/>
      <c r="AC413"/>
      <c r="AD413"/>
      <c r="AE413"/>
      <c r="AF413"/>
      <c r="AG413"/>
      <c r="AH413"/>
      <c r="AI413"/>
      <c r="AJ413"/>
      <c r="AK413"/>
      <c r="AL413"/>
      <c r="AM413"/>
      <c r="AN413"/>
      <c r="AO413"/>
      <c r="AP413"/>
      <c r="AQ413"/>
      <c r="AR413"/>
      <c r="AS413"/>
      <c r="AT413"/>
      <c r="AU413"/>
    </row>
    <row r="414" spans="1:47" x14ac:dyDescent="0.4">
      <c r="A414"/>
      <c r="B414"/>
      <c r="C414"/>
      <c r="D414"/>
      <c r="E414"/>
      <c r="F414"/>
      <c r="G414"/>
      <c r="H414"/>
      <c r="I414"/>
      <c r="J414"/>
      <c r="K414"/>
      <c r="L414"/>
      <c r="M414"/>
      <c r="N414"/>
      <c r="O414"/>
      <c r="P414"/>
      <c r="Q414"/>
      <c r="R414"/>
      <c r="S414"/>
      <c r="T414"/>
      <c r="U414"/>
      <c r="V414"/>
      <c r="W414"/>
      <c r="X414"/>
      <c r="Y414"/>
      <c r="Z414"/>
      <c r="AA414"/>
      <c r="AB414"/>
      <c r="AC414"/>
      <c r="AD414"/>
      <c r="AE414"/>
      <c r="AF414"/>
      <c r="AG414"/>
      <c r="AH414"/>
      <c r="AI414"/>
      <c r="AJ414"/>
      <c r="AK414"/>
      <c r="AL414"/>
      <c r="AM414"/>
      <c r="AN414"/>
      <c r="AO414"/>
      <c r="AP414"/>
      <c r="AQ414"/>
      <c r="AR414"/>
      <c r="AS414"/>
      <c r="AT414"/>
      <c r="AU414"/>
    </row>
    <row r="415" spans="1:47" x14ac:dyDescent="0.4">
      <c r="A415"/>
      <c r="B415"/>
      <c r="C415"/>
      <c r="D415"/>
      <c r="E415"/>
      <c r="F415"/>
      <c r="G415"/>
      <c r="H415"/>
      <c r="I415"/>
      <c r="J415"/>
      <c r="K415"/>
      <c r="L415"/>
      <c r="M415"/>
      <c r="N415"/>
      <c r="O415"/>
      <c r="P415"/>
      <c r="Q415"/>
      <c r="R415"/>
      <c r="S415"/>
      <c r="T415"/>
      <c r="U415"/>
      <c r="V415"/>
      <c r="W415"/>
      <c r="X415"/>
      <c r="Y415"/>
      <c r="Z415"/>
      <c r="AA415"/>
      <c r="AB415"/>
      <c r="AC415"/>
      <c r="AD415"/>
      <c r="AE415"/>
      <c r="AF415"/>
      <c r="AG415"/>
      <c r="AH415"/>
      <c r="AI415"/>
      <c r="AJ415"/>
      <c r="AK415"/>
      <c r="AL415"/>
      <c r="AM415"/>
      <c r="AN415"/>
      <c r="AO415"/>
      <c r="AP415"/>
      <c r="AQ415"/>
      <c r="AR415"/>
      <c r="AS415"/>
      <c r="AT415"/>
      <c r="AU415"/>
    </row>
    <row r="416" spans="1:47" x14ac:dyDescent="0.4">
      <c r="A416"/>
      <c r="B416"/>
      <c r="C416"/>
      <c r="D416"/>
      <c r="E416"/>
      <c r="F416"/>
      <c r="G416"/>
      <c r="H416"/>
      <c r="I416"/>
      <c r="J416"/>
      <c r="K416"/>
      <c r="L416"/>
      <c r="M416"/>
      <c r="N416"/>
      <c r="O416"/>
      <c r="P416"/>
      <c r="Q416"/>
      <c r="R416"/>
      <c r="S416"/>
      <c r="T416"/>
      <c r="U416"/>
      <c r="V416"/>
      <c r="W416"/>
      <c r="X416"/>
      <c r="Y416"/>
      <c r="Z416"/>
      <c r="AA416"/>
      <c r="AB416"/>
      <c r="AC416"/>
      <c r="AD416"/>
      <c r="AE416"/>
      <c r="AF416"/>
      <c r="AG416"/>
      <c r="AH416"/>
      <c r="AI416"/>
      <c r="AJ416"/>
      <c r="AK416"/>
      <c r="AL416"/>
      <c r="AM416"/>
      <c r="AN416"/>
      <c r="AO416"/>
      <c r="AP416"/>
      <c r="AQ416"/>
      <c r="AR416"/>
      <c r="AS416"/>
      <c r="AT416"/>
      <c r="AU416"/>
    </row>
    <row r="417" spans="1:47" x14ac:dyDescent="0.4">
      <c r="A417"/>
      <c r="B417"/>
      <c r="C417"/>
      <c r="D417"/>
      <c r="E417"/>
      <c r="F417"/>
      <c r="G417"/>
      <c r="H417"/>
      <c r="I417"/>
      <c r="J417"/>
      <c r="K417"/>
      <c r="L417"/>
      <c r="M417"/>
      <c r="N417"/>
      <c r="O417"/>
      <c r="P417"/>
      <c r="Q417"/>
      <c r="R417"/>
      <c r="S417"/>
      <c r="T417"/>
      <c r="U417"/>
      <c r="V417"/>
      <c r="W417"/>
      <c r="X417"/>
      <c r="Y417"/>
      <c r="Z417"/>
      <c r="AA417"/>
      <c r="AB417"/>
      <c r="AC417"/>
      <c r="AD417"/>
      <c r="AE417"/>
      <c r="AF417"/>
      <c r="AG417"/>
      <c r="AH417"/>
      <c r="AI417"/>
      <c r="AJ417"/>
      <c r="AK417"/>
      <c r="AL417"/>
      <c r="AM417"/>
      <c r="AN417"/>
      <c r="AO417"/>
      <c r="AP417"/>
      <c r="AQ417"/>
      <c r="AR417"/>
      <c r="AS417"/>
      <c r="AT417"/>
      <c r="AU417"/>
    </row>
    <row r="418" spans="1:47" x14ac:dyDescent="0.4">
      <c r="A418"/>
      <c r="B418"/>
      <c r="C418"/>
      <c r="D418"/>
      <c r="E418"/>
      <c r="F418"/>
      <c r="G418"/>
      <c r="H418"/>
      <c r="I418"/>
      <c r="J418"/>
      <c r="K418"/>
      <c r="L418"/>
      <c r="M418"/>
      <c r="N418"/>
      <c r="O418"/>
      <c r="P418"/>
      <c r="Q418"/>
      <c r="R418"/>
      <c r="S418"/>
      <c r="T418"/>
      <c r="U418"/>
      <c r="V418"/>
      <c r="W418"/>
      <c r="X418"/>
      <c r="Y418"/>
      <c r="Z418"/>
      <c r="AA418"/>
      <c r="AB418"/>
      <c r="AC418"/>
      <c r="AD418"/>
      <c r="AE418"/>
      <c r="AF418"/>
      <c r="AG418"/>
      <c r="AH418"/>
      <c r="AI418"/>
      <c r="AJ418"/>
      <c r="AK418"/>
      <c r="AL418"/>
      <c r="AM418"/>
      <c r="AN418"/>
      <c r="AO418"/>
      <c r="AP418"/>
      <c r="AQ418"/>
      <c r="AR418"/>
      <c r="AS418"/>
      <c r="AT418"/>
      <c r="AU418"/>
    </row>
    <row r="419" spans="1:47" x14ac:dyDescent="0.4">
      <c r="A419"/>
      <c r="B419"/>
      <c r="C419"/>
      <c r="D419"/>
      <c r="E419"/>
      <c r="F419"/>
      <c r="G419"/>
      <c r="H419"/>
      <c r="I419"/>
      <c r="J419"/>
      <c r="K419"/>
      <c r="L419"/>
      <c r="M419"/>
      <c r="N419"/>
      <c r="O419"/>
      <c r="P419"/>
      <c r="Q419"/>
      <c r="R419"/>
      <c r="S419"/>
      <c r="T419"/>
      <c r="U419"/>
      <c r="V419"/>
      <c r="W419"/>
      <c r="X419"/>
      <c r="Y419"/>
      <c r="Z419"/>
      <c r="AA419"/>
      <c r="AB419"/>
      <c r="AC419"/>
      <c r="AD419"/>
      <c r="AE419"/>
      <c r="AF419"/>
      <c r="AG419"/>
      <c r="AH419"/>
      <c r="AI419"/>
      <c r="AJ419"/>
      <c r="AK419"/>
      <c r="AL419"/>
      <c r="AM419"/>
      <c r="AN419"/>
      <c r="AO419"/>
      <c r="AP419"/>
      <c r="AQ419"/>
      <c r="AR419"/>
      <c r="AS419"/>
      <c r="AT419"/>
      <c r="AU419"/>
    </row>
    <row r="420" spans="1:47" x14ac:dyDescent="0.4">
      <c r="A420"/>
      <c r="B420"/>
      <c r="C420"/>
      <c r="D420"/>
      <c r="E420"/>
      <c r="F420"/>
      <c r="G420"/>
      <c r="H420"/>
      <c r="I420"/>
      <c r="J420"/>
      <c r="K420"/>
      <c r="L420"/>
      <c r="M420"/>
      <c r="N420"/>
      <c r="O420"/>
      <c r="P420"/>
      <c r="Q420"/>
      <c r="R420"/>
      <c r="S420"/>
      <c r="T420"/>
      <c r="U420"/>
      <c r="V420"/>
      <c r="W420"/>
      <c r="X420"/>
      <c r="Y420"/>
      <c r="Z420"/>
      <c r="AA420"/>
      <c r="AB420"/>
      <c r="AC420"/>
      <c r="AD420"/>
      <c r="AE420"/>
      <c r="AF420"/>
      <c r="AG420"/>
      <c r="AH420"/>
      <c r="AI420"/>
      <c r="AJ420"/>
      <c r="AK420"/>
      <c r="AL420"/>
      <c r="AM420"/>
      <c r="AN420"/>
      <c r="AO420"/>
      <c r="AP420"/>
      <c r="AQ420"/>
      <c r="AR420"/>
      <c r="AS420"/>
      <c r="AT420"/>
      <c r="AU420"/>
    </row>
    <row r="421" spans="1:47" x14ac:dyDescent="0.4">
      <c r="A421"/>
      <c r="B421"/>
      <c r="C421"/>
      <c r="D421"/>
      <c r="E421"/>
      <c r="F421"/>
      <c r="G421"/>
      <c r="H421"/>
      <c r="I421"/>
      <c r="J421"/>
      <c r="K421"/>
      <c r="L421"/>
      <c r="M421"/>
      <c r="N421"/>
      <c r="O421"/>
      <c r="P421"/>
      <c r="Q421"/>
      <c r="R421"/>
      <c r="S421"/>
      <c r="T421"/>
      <c r="U421"/>
      <c r="V421"/>
      <c r="W421"/>
      <c r="X421"/>
      <c r="Y421"/>
      <c r="Z421"/>
      <c r="AA421"/>
      <c r="AB421"/>
      <c r="AC421"/>
      <c r="AD421"/>
      <c r="AE421"/>
      <c r="AF421"/>
      <c r="AG421"/>
      <c r="AH421"/>
      <c r="AI421"/>
      <c r="AJ421"/>
      <c r="AK421"/>
      <c r="AL421"/>
      <c r="AM421"/>
      <c r="AN421"/>
      <c r="AO421"/>
      <c r="AP421"/>
      <c r="AQ421"/>
      <c r="AR421"/>
      <c r="AS421"/>
      <c r="AT421"/>
      <c r="AU421"/>
    </row>
    <row r="422" spans="1:47" x14ac:dyDescent="0.4">
      <c r="A422"/>
      <c r="B422"/>
      <c r="C422"/>
      <c r="D422"/>
      <c r="E422"/>
      <c r="F422"/>
      <c r="G422"/>
      <c r="H422"/>
      <c r="I422"/>
      <c r="J422"/>
      <c r="K422"/>
      <c r="L422"/>
      <c r="M422"/>
      <c r="N422"/>
      <c r="O422"/>
      <c r="P422"/>
      <c r="Q422"/>
      <c r="R422"/>
      <c r="S422"/>
      <c r="T422"/>
      <c r="U422"/>
      <c r="V422"/>
      <c r="W422"/>
      <c r="X422"/>
      <c r="Y422"/>
      <c r="Z422"/>
      <c r="AA422"/>
      <c r="AB422"/>
      <c r="AC422"/>
      <c r="AD422"/>
      <c r="AE422"/>
      <c r="AF422"/>
      <c r="AG422"/>
      <c r="AH422"/>
      <c r="AI422"/>
      <c r="AJ422"/>
      <c r="AK422"/>
      <c r="AL422"/>
      <c r="AM422"/>
      <c r="AN422"/>
      <c r="AO422"/>
      <c r="AP422"/>
      <c r="AQ422"/>
      <c r="AR422"/>
      <c r="AS422"/>
      <c r="AT422"/>
      <c r="AU422"/>
    </row>
    <row r="423" spans="1:47" x14ac:dyDescent="0.4">
      <c r="A423"/>
      <c r="B423"/>
      <c r="C423"/>
      <c r="D423"/>
      <c r="E423"/>
      <c r="F423"/>
      <c r="G423"/>
      <c r="H423"/>
      <c r="I423"/>
      <c r="J423"/>
      <c r="K423"/>
      <c r="L423"/>
      <c r="M423"/>
      <c r="N423"/>
      <c r="O423"/>
      <c r="P423"/>
      <c r="Q423"/>
      <c r="R423"/>
      <c r="S423"/>
      <c r="T423"/>
      <c r="U423"/>
      <c r="V423"/>
      <c r="W423"/>
      <c r="X423"/>
      <c r="Y423"/>
      <c r="Z423"/>
      <c r="AA423"/>
      <c r="AB423"/>
      <c r="AC423"/>
      <c r="AD423"/>
      <c r="AE423"/>
      <c r="AF423"/>
      <c r="AG423"/>
      <c r="AH423"/>
      <c r="AI423"/>
      <c r="AJ423"/>
      <c r="AK423"/>
      <c r="AL423"/>
      <c r="AM423"/>
      <c r="AN423"/>
      <c r="AO423"/>
      <c r="AP423"/>
      <c r="AQ423"/>
      <c r="AR423"/>
      <c r="AS423"/>
      <c r="AT423"/>
      <c r="AU423"/>
    </row>
    <row r="424" spans="1:47" x14ac:dyDescent="0.4">
      <c r="A424"/>
      <c r="B424"/>
      <c r="C424"/>
      <c r="D424"/>
      <c r="E424"/>
      <c r="F424"/>
      <c r="G424"/>
      <c r="H424"/>
      <c r="I424"/>
      <c r="J424"/>
      <c r="K424"/>
      <c r="L424"/>
      <c r="M424"/>
      <c r="N424"/>
      <c r="O424"/>
      <c r="P424"/>
      <c r="Q424"/>
      <c r="R424"/>
      <c r="S424"/>
      <c r="T424"/>
      <c r="U424"/>
      <c r="V424"/>
      <c r="W424"/>
      <c r="X424"/>
      <c r="Y424"/>
      <c r="Z424"/>
      <c r="AA424"/>
      <c r="AB424"/>
      <c r="AC424"/>
      <c r="AD424"/>
      <c r="AE424"/>
      <c r="AF424"/>
      <c r="AG424"/>
      <c r="AH424"/>
      <c r="AI424"/>
      <c r="AJ424"/>
      <c r="AK424"/>
      <c r="AL424"/>
      <c r="AM424"/>
      <c r="AN424"/>
      <c r="AO424"/>
      <c r="AP424"/>
      <c r="AQ424"/>
      <c r="AR424"/>
      <c r="AS424"/>
      <c r="AT424"/>
      <c r="AU424"/>
    </row>
    <row r="425" spans="1:47" x14ac:dyDescent="0.4">
      <c r="A425"/>
      <c r="B425"/>
      <c r="C425"/>
      <c r="D425"/>
      <c r="E425"/>
      <c r="F425"/>
      <c r="G425"/>
      <c r="H425"/>
      <c r="I425"/>
      <c r="J425"/>
      <c r="K425"/>
      <c r="L425"/>
      <c r="M425"/>
      <c r="N425"/>
      <c r="O425"/>
      <c r="P425"/>
      <c r="Q425"/>
      <c r="R425"/>
      <c r="S425"/>
      <c r="T425"/>
      <c r="U425"/>
      <c r="V425"/>
      <c r="W425"/>
      <c r="X425"/>
      <c r="Y425"/>
      <c r="Z425"/>
      <c r="AA425"/>
      <c r="AB425"/>
      <c r="AC425"/>
      <c r="AD425"/>
      <c r="AE425"/>
      <c r="AF425"/>
      <c r="AG425"/>
      <c r="AH425"/>
      <c r="AI425"/>
      <c r="AJ425"/>
      <c r="AK425"/>
      <c r="AL425"/>
      <c r="AM425"/>
      <c r="AN425"/>
      <c r="AO425"/>
      <c r="AP425"/>
      <c r="AQ425"/>
      <c r="AR425"/>
      <c r="AS425"/>
      <c r="AT425"/>
      <c r="AU425"/>
    </row>
    <row r="426" spans="1:47" x14ac:dyDescent="0.4">
      <c r="A426"/>
      <c r="B426"/>
      <c r="C426"/>
      <c r="D426"/>
      <c r="E426"/>
      <c r="F426"/>
      <c r="G426"/>
      <c r="H426"/>
      <c r="I426"/>
      <c r="J426"/>
      <c r="K426"/>
      <c r="L426"/>
      <c r="M426"/>
      <c r="N426"/>
      <c r="O426"/>
      <c r="P426"/>
      <c r="Q426"/>
      <c r="R426"/>
      <c r="S426"/>
      <c r="T426"/>
      <c r="U426"/>
      <c r="V426"/>
      <c r="W426"/>
      <c r="X426"/>
      <c r="Y426"/>
      <c r="Z426"/>
      <c r="AA426"/>
      <c r="AB426"/>
      <c r="AC426"/>
      <c r="AD426"/>
      <c r="AE426"/>
      <c r="AF426"/>
      <c r="AG426"/>
      <c r="AH426"/>
      <c r="AI426"/>
      <c r="AJ426"/>
      <c r="AK426"/>
      <c r="AL426"/>
      <c r="AM426"/>
      <c r="AN426"/>
      <c r="AO426"/>
      <c r="AP426"/>
      <c r="AQ426"/>
      <c r="AR426"/>
      <c r="AS426"/>
      <c r="AT426"/>
      <c r="AU426"/>
    </row>
    <row r="427" spans="1:47" x14ac:dyDescent="0.4">
      <c r="A427"/>
      <c r="B427"/>
      <c r="C427"/>
      <c r="D427"/>
      <c r="E427"/>
      <c r="F427"/>
      <c r="G427"/>
      <c r="H427"/>
      <c r="I427"/>
      <c r="J427"/>
      <c r="K427"/>
      <c r="L427"/>
      <c r="M427"/>
      <c r="N427"/>
      <c r="O427"/>
      <c r="P427"/>
      <c r="Q427"/>
      <c r="R427"/>
      <c r="S427"/>
      <c r="T427"/>
      <c r="U427"/>
      <c r="V427"/>
      <c r="W427"/>
      <c r="X427"/>
      <c r="Y427"/>
      <c r="Z427"/>
      <c r="AA427"/>
      <c r="AB427"/>
      <c r="AC427"/>
      <c r="AD427"/>
      <c r="AE427"/>
      <c r="AF427"/>
      <c r="AG427"/>
      <c r="AH427"/>
      <c r="AI427"/>
      <c r="AJ427"/>
      <c r="AK427"/>
      <c r="AL427"/>
      <c r="AM427"/>
      <c r="AN427"/>
      <c r="AO427"/>
      <c r="AP427"/>
      <c r="AQ427"/>
      <c r="AR427"/>
      <c r="AS427"/>
      <c r="AT427"/>
      <c r="AU427"/>
    </row>
    <row r="428" spans="1:47" x14ac:dyDescent="0.4">
      <c r="A428"/>
      <c r="B428"/>
      <c r="C428"/>
      <c r="D428"/>
      <c r="E428"/>
      <c r="F428"/>
      <c r="G428"/>
      <c r="H428"/>
      <c r="I428"/>
      <c r="J428"/>
      <c r="K428"/>
      <c r="L428"/>
      <c r="M428"/>
      <c r="N428"/>
      <c r="O428"/>
      <c r="P428"/>
      <c r="Q428"/>
      <c r="R428"/>
      <c r="S428"/>
      <c r="T428"/>
      <c r="U428"/>
      <c r="V428"/>
      <c r="W428"/>
      <c r="X428"/>
      <c r="Y428"/>
      <c r="Z428"/>
      <c r="AA428"/>
      <c r="AB428"/>
      <c r="AC428"/>
      <c r="AD428"/>
      <c r="AE428"/>
      <c r="AF428"/>
      <c r="AG428"/>
      <c r="AH428"/>
      <c r="AI428"/>
      <c r="AJ428"/>
      <c r="AK428"/>
      <c r="AL428"/>
      <c r="AM428"/>
      <c r="AN428"/>
      <c r="AO428"/>
      <c r="AP428"/>
      <c r="AQ428"/>
      <c r="AR428"/>
      <c r="AS428"/>
      <c r="AT428"/>
      <c r="AU428"/>
    </row>
    <row r="429" spans="1:47" x14ac:dyDescent="0.4">
      <c r="A429"/>
      <c r="B429"/>
      <c r="C429"/>
      <c r="D429"/>
      <c r="E429"/>
      <c r="F429"/>
      <c r="G429"/>
      <c r="H429"/>
      <c r="I429"/>
      <c r="J429"/>
      <c r="K429"/>
      <c r="L429"/>
      <c r="M429"/>
      <c r="N429"/>
      <c r="O429"/>
      <c r="P429"/>
      <c r="Q429"/>
      <c r="R429"/>
      <c r="S429"/>
      <c r="T429"/>
      <c r="U429"/>
      <c r="V429"/>
      <c r="W429"/>
      <c r="X429"/>
      <c r="Y429"/>
      <c r="Z429"/>
      <c r="AA429"/>
      <c r="AB429"/>
      <c r="AC429"/>
      <c r="AD429"/>
      <c r="AE429"/>
      <c r="AF429"/>
      <c r="AG429"/>
      <c r="AH429"/>
      <c r="AI429"/>
      <c r="AJ429"/>
      <c r="AK429"/>
      <c r="AL429"/>
      <c r="AM429"/>
      <c r="AN429"/>
      <c r="AO429"/>
      <c r="AP429"/>
      <c r="AQ429"/>
      <c r="AR429"/>
      <c r="AS429"/>
      <c r="AT429"/>
      <c r="AU429"/>
    </row>
    <row r="430" spans="1:47" x14ac:dyDescent="0.4">
      <c r="A430"/>
      <c r="B430"/>
      <c r="C430"/>
      <c r="D430"/>
      <c r="E430"/>
      <c r="F430"/>
      <c r="G430"/>
      <c r="H430"/>
      <c r="I430"/>
      <c r="J430"/>
      <c r="K430"/>
      <c r="L430"/>
      <c r="M430"/>
      <c r="N430"/>
      <c r="O430"/>
      <c r="P430"/>
      <c r="Q430"/>
      <c r="R430"/>
      <c r="S430"/>
      <c r="T430"/>
      <c r="U430"/>
      <c r="V430"/>
      <c r="W430"/>
      <c r="X430"/>
      <c r="Y430"/>
      <c r="Z430"/>
      <c r="AA430"/>
      <c r="AB430"/>
      <c r="AC430"/>
      <c r="AD430"/>
      <c r="AE430"/>
      <c r="AF430"/>
      <c r="AG430"/>
      <c r="AH430"/>
      <c r="AI430"/>
      <c r="AJ430"/>
      <c r="AK430"/>
      <c r="AL430"/>
      <c r="AM430"/>
      <c r="AN430"/>
      <c r="AO430"/>
      <c r="AP430"/>
      <c r="AQ430"/>
      <c r="AR430"/>
      <c r="AS430"/>
      <c r="AT430"/>
      <c r="AU430"/>
    </row>
    <row r="431" spans="1:47" x14ac:dyDescent="0.4">
      <c r="A431"/>
      <c r="B431"/>
      <c r="C431"/>
      <c r="D431"/>
      <c r="E431"/>
      <c r="F431"/>
      <c r="G431"/>
      <c r="H431"/>
      <c r="I431"/>
      <c r="J431"/>
      <c r="K431"/>
      <c r="L431"/>
      <c r="M431"/>
      <c r="N431"/>
      <c r="O431"/>
      <c r="P431"/>
      <c r="Q431"/>
      <c r="R431"/>
      <c r="S431"/>
      <c r="T431"/>
      <c r="U431"/>
      <c r="V431"/>
      <c r="W431"/>
      <c r="X431"/>
      <c r="Y431"/>
      <c r="Z431"/>
      <c r="AA431"/>
      <c r="AB431"/>
      <c r="AC431"/>
      <c r="AD431"/>
      <c r="AE431"/>
      <c r="AF431"/>
      <c r="AG431"/>
      <c r="AH431"/>
      <c r="AI431"/>
      <c r="AJ431"/>
      <c r="AK431"/>
      <c r="AL431"/>
      <c r="AM431"/>
      <c r="AN431"/>
      <c r="AO431"/>
      <c r="AP431"/>
      <c r="AQ431"/>
      <c r="AR431"/>
      <c r="AS431"/>
      <c r="AT431"/>
      <c r="AU431"/>
    </row>
    <row r="432" spans="1:47" x14ac:dyDescent="0.4">
      <c r="A432"/>
      <c r="B432"/>
      <c r="C432"/>
      <c r="D432"/>
      <c r="E432"/>
      <c r="F432"/>
      <c r="G432"/>
      <c r="H432"/>
      <c r="I432"/>
      <c r="J432"/>
      <c r="K432"/>
      <c r="L432"/>
      <c r="M432"/>
      <c r="N432"/>
      <c r="O432"/>
      <c r="P432"/>
      <c r="Q432"/>
      <c r="R432"/>
      <c r="S432"/>
      <c r="T432"/>
      <c r="U432"/>
      <c r="V432"/>
      <c r="W432"/>
      <c r="X432"/>
      <c r="Y432"/>
      <c r="Z432"/>
      <c r="AA432"/>
      <c r="AB432"/>
      <c r="AC432"/>
      <c r="AD432"/>
      <c r="AE432"/>
      <c r="AF432"/>
      <c r="AG432"/>
      <c r="AH432"/>
      <c r="AI432"/>
      <c r="AJ432"/>
      <c r="AK432"/>
      <c r="AL432"/>
      <c r="AM432"/>
      <c r="AN432"/>
      <c r="AO432"/>
      <c r="AP432"/>
      <c r="AQ432"/>
      <c r="AR432"/>
      <c r="AS432"/>
      <c r="AT432"/>
      <c r="AU432"/>
    </row>
    <row r="433" spans="1:47" x14ac:dyDescent="0.4">
      <c r="A433"/>
      <c r="B433"/>
      <c r="C433"/>
      <c r="D433"/>
      <c r="E433"/>
      <c r="F433"/>
      <c r="G433"/>
      <c r="H433"/>
      <c r="I433"/>
      <c r="J433"/>
      <c r="K433"/>
      <c r="L433"/>
      <c r="M433"/>
      <c r="N433"/>
      <c r="O433"/>
      <c r="P433"/>
      <c r="Q433"/>
      <c r="R433"/>
      <c r="S433"/>
      <c r="T433"/>
      <c r="U433"/>
      <c r="V433"/>
      <c r="W433"/>
      <c r="X433"/>
      <c r="Y433"/>
      <c r="Z433"/>
      <c r="AA433"/>
      <c r="AB433"/>
      <c r="AC433"/>
      <c r="AD433"/>
      <c r="AE433"/>
      <c r="AF433"/>
      <c r="AG433"/>
      <c r="AH433"/>
      <c r="AI433"/>
      <c r="AJ433"/>
      <c r="AK433"/>
      <c r="AL433"/>
      <c r="AM433"/>
      <c r="AN433"/>
      <c r="AO433"/>
      <c r="AP433"/>
      <c r="AQ433"/>
      <c r="AR433"/>
      <c r="AS433"/>
      <c r="AT433"/>
      <c r="AU433"/>
    </row>
    <row r="434" spans="1:47" x14ac:dyDescent="0.4">
      <c r="A434"/>
      <c r="B434"/>
      <c r="C434"/>
      <c r="D434"/>
      <c r="E434"/>
      <c r="F434"/>
      <c r="G434"/>
      <c r="H434"/>
      <c r="I434"/>
      <c r="J434"/>
      <c r="K434"/>
      <c r="L434"/>
      <c r="M434"/>
      <c r="N434"/>
      <c r="O434"/>
      <c r="P434"/>
      <c r="Q434"/>
      <c r="R434"/>
      <c r="S434"/>
      <c r="T434"/>
      <c r="U434"/>
      <c r="V434"/>
      <c r="W434"/>
      <c r="X434"/>
      <c r="Y434"/>
      <c r="Z434"/>
      <c r="AA434"/>
      <c r="AB434"/>
      <c r="AC434"/>
      <c r="AD434"/>
      <c r="AE434"/>
      <c r="AF434"/>
      <c r="AG434"/>
      <c r="AH434"/>
      <c r="AI434"/>
      <c r="AJ434"/>
      <c r="AK434"/>
      <c r="AL434"/>
      <c r="AM434"/>
      <c r="AN434"/>
      <c r="AO434"/>
      <c r="AP434"/>
      <c r="AQ434"/>
      <c r="AR434"/>
      <c r="AS434"/>
      <c r="AT434"/>
      <c r="AU434"/>
    </row>
    <row r="435" spans="1:47" x14ac:dyDescent="0.4">
      <c r="A435"/>
      <c r="B435"/>
      <c r="C435"/>
      <c r="D435"/>
      <c r="E435"/>
      <c r="F435"/>
      <c r="G435"/>
      <c r="H435"/>
      <c r="I435"/>
      <c r="J435"/>
      <c r="K435"/>
      <c r="L435"/>
      <c r="M435"/>
      <c r="N435"/>
      <c r="O435"/>
      <c r="P435"/>
      <c r="Q435"/>
      <c r="R435"/>
      <c r="S435"/>
      <c r="T435"/>
      <c r="U435"/>
      <c r="V435"/>
      <c r="W435"/>
      <c r="X435"/>
      <c r="Y435"/>
      <c r="Z435"/>
      <c r="AA435"/>
      <c r="AB435"/>
      <c r="AC435"/>
      <c r="AD435"/>
      <c r="AE435"/>
      <c r="AF435"/>
      <c r="AG435"/>
      <c r="AH435"/>
      <c r="AI435"/>
      <c r="AJ435"/>
      <c r="AK435"/>
      <c r="AL435"/>
      <c r="AM435"/>
      <c r="AN435"/>
      <c r="AO435"/>
      <c r="AP435"/>
      <c r="AQ435"/>
      <c r="AR435"/>
      <c r="AS435"/>
      <c r="AT435"/>
      <c r="AU435"/>
    </row>
    <row r="436" spans="1:47" x14ac:dyDescent="0.4">
      <c r="A436"/>
      <c r="B436"/>
      <c r="C436"/>
      <c r="D436"/>
      <c r="E436"/>
      <c r="F436"/>
      <c r="G436"/>
      <c r="H436"/>
      <c r="I436"/>
      <c r="J436"/>
      <c r="K436"/>
      <c r="L436"/>
      <c r="M436"/>
      <c r="N436"/>
      <c r="O436"/>
      <c r="P436"/>
      <c r="Q436"/>
      <c r="R436"/>
      <c r="S436"/>
      <c r="T436"/>
      <c r="U436"/>
      <c r="V436"/>
      <c r="W436"/>
      <c r="X436"/>
      <c r="Y436"/>
      <c r="Z436"/>
      <c r="AA436"/>
      <c r="AB436"/>
      <c r="AC436"/>
      <c r="AD436"/>
      <c r="AE436"/>
      <c r="AF436"/>
      <c r="AG436"/>
      <c r="AH436"/>
      <c r="AI436"/>
      <c r="AJ436"/>
      <c r="AK436"/>
      <c r="AL436"/>
      <c r="AM436"/>
      <c r="AN436"/>
      <c r="AO436"/>
      <c r="AP436"/>
      <c r="AQ436"/>
      <c r="AR436"/>
      <c r="AS436"/>
      <c r="AT436"/>
      <c r="AU436"/>
    </row>
    <row r="437" spans="1:47" x14ac:dyDescent="0.4">
      <c r="A437"/>
      <c r="B437"/>
      <c r="C437"/>
      <c r="D437"/>
    </row>
    <row r="438" spans="1:47" x14ac:dyDescent="0.4">
      <c r="A438"/>
      <c r="B438"/>
      <c r="C438"/>
      <c r="D438"/>
    </row>
    <row r="439" spans="1:47" x14ac:dyDescent="0.4">
      <c r="A439"/>
      <c r="B439"/>
      <c r="C439"/>
      <c r="D439"/>
    </row>
    <row r="440" spans="1:47" x14ac:dyDescent="0.4">
      <c r="A440"/>
      <c r="B440"/>
      <c r="C440"/>
      <c r="D440"/>
    </row>
    <row r="441" spans="1:47" x14ac:dyDescent="0.4">
      <c r="A441"/>
      <c r="B441"/>
      <c r="C441"/>
      <c r="D441"/>
    </row>
    <row r="442" spans="1:47" x14ac:dyDescent="0.4">
      <c r="A442"/>
      <c r="B442"/>
      <c r="C442"/>
      <c r="D442"/>
    </row>
    <row r="443" spans="1:47" x14ac:dyDescent="0.4">
      <c r="A443"/>
      <c r="B443"/>
      <c r="C443"/>
      <c r="D443"/>
    </row>
    <row r="444" spans="1:47" x14ac:dyDescent="0.4">
      <c r="A444"/>
      <c r="B444"/>
      <c r="C444"/>
      <c r="D444"/>
    </row>
    <row r="445" spans="1:47" x14ac:dyDescent="0.4">
      <c r="A445"/>
      <c r="B445"/>
      <c r="C445"/>
      <c r="D445"/>
    </row>
    <row r="446" spans="1:47" x14ac:dyDescent="0.4">
      <c r="A446"/>
      <c r="B446"/>
      <c r="C446"/>
      <c r="D446"/>
    </row>
    <row r="447" spans="1:47" x14ac:dyDescent="0.4">
      <c r="A447"/>
      <c r="B447"/>
      <c r="C447"/>
      <c r="D447"/>
    </row>
    <row r="449" spans="1:4" x14ac:dyDescent="0.4">
      <c r="A449" s="1" t="s">
        <v>7</v>
      </c>
    </row>
    <row r="454" spans="1:4" x14ac:dyDescent="0.4">
      <c r="B454" s="1" t="s">
        <v>6</v>
      </c>
      <c r="D454" s="1" t="s">
        <v>6</v>
      </c>
    </row>
    <row r="455" spans="1:4" x14ac:dyDescent="0.4">
      <c r="B455" s="1" t="s">
        <v>5</v>
      </c>
      <c r="D455" s="1" t="s">
        <v>4</v>
      </c>
    </row>
    <row r="457" spans="1:4" x14ac:dyDescent="0.4">
      <c r="D457" s="1" t="s">
        <v>3</v>
      </c>
    </row>
    <row r="458" spans="1:4" x14ac:dyDescent="0.4">
      <c r="D458" s="1" t="s">
        <v>2</v>
      </c>
    </row>
    <row r="459" spans="1:4" x14ac:dyDescent="0.4">
      <c r="D459" s="1" t="s">
        <v>1</v>
      </c>
    </row>
    <row r="460" spans="1:4" x14ac:dyDescent="0.4">
      <c r="D460" s="1" t="s">
        <v>0</v>
      </c>
    </row>
  </sheetData>
  <mergeCells count="2">
    <mergeCell ref="A1:J1"/>
    <mergeCell ref="B156:D156"/>
  </mergeCells>
  <pageMargins left="0.7" right="0.7" top="0.75" bottom="0.75" header="0.3" footer="0.3"/>
  <pageSetup orientation="portrait" r:id="rId1"/>
  <drawing r:id="rId2"/>
  <legacyDrawing r:id="rId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Text Functions_2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Devashish Das</dc:creator>
  <cp:lastModifiedBy>siddhant mishra</cp:lastModifiedBy>
  <dcterms:created xsi:type="dcterms:W3CDTF">2025-07-03T07:36:45Z</dcterms:created>
  <dcterms:modified xsi:type="dcterms:W3CDTF">2026-07-22T11:13:54Z</dcterms:modified>
</cp:coreProperties>
</file>