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81dd3015d316c7/Documents/Upgrad classes/class 18/"/>
    </mc:Choice>
  </mc:AlternateContent>
  <xr:revisionPtr revIDLastSave="202" documentId="8_{EE4F4DC4-46F3-42FE-AE9C-1470393C65BF}" xr6:coauthVersionLast="47" xr6:coauthVersionMax="47" xr10:uidLastSave="{BD675B48-884A-49D1-8D2A-1DDE90C8AD3E}"/>
  <bookViews>
    <workbookView xWindow="-108" yWindow="-108" windowWidth="23256" windowHeight="13176" xr2:uid="{12083B0B-A944-45EB-B111-F9A383FC2996}"/>
  </bookViews>
  <sheets>
    <sheet name="social_media_viral_content_data" sheetId="1" r:id="rId1"/>
  </sheets>
  <calcPr calcId="0"/>
  <pivotCaches>
    <pivotCache cacheId="54" r:id="rId2"/>
  </pivotCaches>
</workbook>
</file>

<file path=xl/calcChain.xml><?xml version="1.0" encoding="utf-8"?>
<calcChain xmlns="http://schemas.openxmlformats.org/spreadsheetml/2006/main">
  <c r="Q2001" i="1" l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" i="1"/>
  <c r="AH54" i="1"/>
  <c r="AH47" i="1"/>
  <c r="AH48" i="1"/>
  <c r="AH49" i="1"/>
  <c r="AH50" i="1"/>
  <c r="AH53" i="1"/>
  <c r="AH55" i="1"/>
  <c r="AH56" i="1"/>
  <c r="AH57" i="1"/>
  <c r="AH46" i="1"/>
  <c r="AH51" i="1"/>
  <c r="AH52" i="1"/>
  <c r="AH45" i="1"/>
</calcChain>
</file>

<file path=xl/sharedStrings.xml><?xml version="1.0" encoding="utf-8"?>
<sst xmlns="http://schemas.openxmlformats.org/spreadsheetml/2006/main" count="14058" uniqueCount="3285">
  <si>
    <t>post_id</t>
  </si>
  <si>
    <t>platform</t>
  </si>
  <si>
    <t>content_type</t>
  </si>
  <si>
    <t>topic</t>
  </si>
  <si>
    <t>language</t>
  </si>
  <si>
    <t>region</t>
  </si>
  <si>
    <t>post_datetime</t>
  </si>
  <si>
    <t>hashtags</t>
  </si>
  <si>
    <t>views</t>
  </si>
  <si>
    <t>likes</t>
  </si>
  <si>
    <t>comments</t>
  </si>
  <si>
    <t>shares</t>
  </si>
  <si>
    <t>engagement_rate</t>
  </si>
  <si>
    <t>sentiment_score</t>
  </si>
  <si>
    <t>is_viral</t>
  </si>
  <si>
    <t>SM_100000</t>
  </si>
  <si>
    <t>Instagram</t>
  </si>
  <si>
    <t>text</t>
  </si>
  <si>
    <t>Sports</t>
  </si>
  <si>
    <t>ur</t>
  </si>
  <si>
    <t>UK</t>
  </si>
  <si>
    <t>#tech #funny #music</t>
  </si>
  <si>
    <t>SM_100001</t>
  </si>
  <si>
    <t>carousel</t>
  </si>
  <si>
    <t>Brazil</t>
  </si>
  <si>
    <t>#news #fyp #funny #ai #trending</t>
  </si>
  <si>
    <t>SM_100002</t>
  </si>
  <si>
    <t>YouTube Shorts</t>
  </si>
  <si>
    <t>video</t>
  </si>
  <si>
    <t>Technology</t>
  </si>
  <si>
    <t>#ai #news</t>
  </si>
  <si>
    <t>SM_100003</t>
  </si>
  <si>
    <t>X</t>
  </si>
  <si>
    <t>Politics</t>
  </si>
  <si>
    <t>US</t>
  </si>
  <si>
    <t>#ai #funny</t>
  </si>
  <si>
    <t>SM_100004</t>
  </si>
  <si>
    <t>Education</t>
  </si>
  <si>
    <t>es</t>
  </si>
  <si>
    <t>#news #ai #viral #funny #fyp</t>
  </si>
  <si>
    <t>SM_100005</t>
  </si>
  <si>
    <t>hi</t>
  </si>
  <si>
    <t>#tech #music</t>
  </si>
  <si>
    <t>SM_100006</t>
  </si>
  <si>
    <t>#tech #ai</t>
  </si>
  <si>
    <t>SM_100007</t>
  </si>
  <si>
    <t>Pakistan</t>
  </si>
  <si>
    <t>#trending #tech #news</t>
  </si>
  <si>
    <t>SM_100008</t>
  </si>
  <si>
    <t>#music #tech #news #trending</t>
  </si>
  <si>
    <t>SM_100009</t>
  </si>
  <si>
    <t>en</t>
  </si>
  <si>
    <t>#music #trending #ai #viral #news</t>
  </si>
  <si>
    <t>SM_100010</t>
  </si>
  <si>
    <t>Entertainment</t>
  </si>
  <si>
    <t>India</t>
  </si>
  <si>
    <t>#trending #fyp #news</t>
  </si>
  <si>
    <t>SM_100011</t>
  </si>
  <si>
    <t>fr</t>
  </si>
  <si>
    <t>#news #trending #viral</t>
  </si>
  <si>
    <t>SM_100012</t>
  </si>
  <si>
    <t>image</t>
  </si>
  <si>
    <t>#ai #fyp #viral #trending #tech</t>
  </si>
  <si>
    <t>SM_100013</t>
  </si>
  <si>
    <t>#viral #trending #music #tech</t>
  </si>
  <si>
    <t>SM_100014</t>
  </si>
  <si>
    <t>TikTok</t>
  </si>
  <si>
    <t>#trending #funny #fyp #news</t>
  </si>
  <si>
    <t>SM_100015</t>
  </si>
  <si>
    <t>#tech #trending #funny #music</t>
  </si>
  <si>
    <t>SM_100016</t>
  </si>
  <si>
    <t>#news #ai #viral</t>
  </si>
  <si>
    <t>SM_100017</t>
  </si>
  <si>
    <t>Lifestyle</t>
  </si>
  <si>
    <t>#ai #viral #funny #trending</t>
  </si>
  <si>
    <t>SM_100018</t>
  </si>
  <si>
    <t>#ai #tech</t>
  </si>
  <si>
    <t>SM_100019</t>
  </si>
  <si>
    <t>#trending #news</t>
  </si>
  <si>
    <t>SM_100020</t>
  </si>
  <si>
    <t>#music #trending</t>
  </si>
  <si>
    <t>SM_100021</t>
  </si>
  <si>
    <t>#viral #trending</t>
  </si>
  <si>
    <t>SM_100022</t>
  </si>
  <si>
    <t>SM_100023</t>
  </si>
  <si>
    <t>#tech #news #music</t>
  </si>
  <si>
    <t>SM_100024</t>
  </si>
  <si>
    <t>#tech #fyp</t>
  </si>
  <si>
    <t>SM_100025</t>
  </si>
  <si>
    <t>#tech #funny #ai #music</t>
  </si>
  <si>
    <t>SM_100026</t>
  </si>
  <si>
    <t>#ai #trending #funny #fyp</t>
  </si>
  <si>
    <t>SM_100027</t>
  </si>
  <si>
    <t>#news #viral</t>
  </si>
  <si>
    <t>SM_100028</t>
  </si>
  <si>
    <t>#news #funny #music</t>
  </si>
  <si>
    <t>SM_100029</t>
  </si>
  <si>
    <t>#ai #funny #viral</t>
  </si>
  <si>
    <t>SM_100030</t>
  </si>
  <si>
    <t>#music #funny #tech #trending #fyp</t>
  </si>
  <si>
    <t>SM_100031</t>
  </si>
  <si>
    <t>#trending #viral #tech #ai</t>
  </si>
  <si>
    <t>SM_100032</t>
  </si>
  <si>
    <t>SM_100033</t>
  </si>
  <si>
    <t>#fyp #trending</t>
  </si>
  <si>
    <t>SM_100034</t>
  </si>
  <si>
    <t>#tech #ai #music</t>
  </si>
  <si>
    <t>SM_100035</t>
  </si>
  <si>
    <t>#viral #fyp #funny #music</t>
  </si>
  <si>
    <t>SM_100036</t>
  </si>
  <si>
    <t>#ai #trending #music #viral #news</t>
  </si>
  <si>
    <t>SM_100037</t>
  </si>
  <si>
    <t>#news #ai</t>
  </si>
  <si>
    <t>SM_100038</t>
  </si>
  <si>
    <t>#viral #trending #fyp</t>
  </si>
  <si>
    <t>SM_100039</t>
  </si>
  <si>
    <t>#news #funny</t>
  </si>
  <si>
    <t>SM_100040</t>
  </si>
  <si>
    <t>#funny #tech #fyp #music #ai</t>
  </si>
  <si>
    <t>SM_100041</t>
  </si>
  <si>
    <t>#ai #trending #funny #music</t>
  </si>
  <si>
    <t>SM_100042</t>
  </si>
  <si>
    <t>#tech #news</t>
  </si>
  <si>
    <t>SM_100043</t>
  </si>
  <si>
    <t>#ai #trending #news #viral</t>
  </si>
  <si>
    <t>SM_100044</t>
  </si>
  <si>
    <t>#news #funny #music #ai #viral</t>
  </si>
  <si>
    <t>SM_100045</t>
  </si>
  <si>
    <t>#news #music #ai</t>
  </si>
  <si>
    <t>SM_100046</t>
  </si>
  <si>
    <t>#tech #funny #ai</t>
  </si>
  <si>
    <t>SM_100047</t>
  </si>
  <si>
    <t>#tech #music #news #ai</t>
  </si>
  <si>
    <t>SM_100048</t>
  </si>
  <si>
    <t>#funny #news</t>
  </si>
  <si>
    <t>SM_100049</t>
  </si>
  <si>
    <t>#funny #viral #trending #ai #tech</t>
  </si>
  <si>
    <t>SM_100050</t>
  </si>
  <si>
    <t>#fyp #news #tech #ai</t>
  </si>
  <si>
    <t>SM_100051</t>
  </si>
  <si>
    <t>#funny #ai #tech #news</t>
  </si>
  <si>
    <t>SM_100052</t>
  </si>
  <si>
    <t>#news #funny #fyp</t>
  </si>
  <si>
    <t>SM_100053</t>
  </si>
  <si>
    <t>#trending #viral</t>
  </si>
  <si>
    <t>SM_100054</t>
  </si>
  <si>
    <t>#trending #fyp #tech</t>
  </si>
  <si>
    <t>SM_100055</t>
  </si>
  <si>
    <t>#trending #news #fyp #tech #ai</t>
  </si>
  <si>
    <t>SM_100056</t>
  </si>
  <si>
    <t>#trending #ai #fyp</t>
  </si>
  <si>
    <t>SM_100057</t>
  </si>
  <si>
    <t>#news #ai #fyp #viral</t>
  </si>
  <si>
    <t>SM_100058</t>
  </si>
  <si>
    <t>#music #news</t>
  </si>
  <si>
    <t>SM_100059</t>
  </si>
  <si>
    <t>#funny #trending</t>
  </si>
  <si>
    <t>SM_100060</t>
  </si>
  <si>
    <t>#news #funny #tech #ai</t>
  </si>
  <si>
    <t>SM_100061</t>
  </si>
  <si>
    <t>#music #tech #trending</t>
  </si>
  <si>
    <t>SM_100062</t>
  </si>
  <si>
    <t>SM_100063</t>
  </si>
  <si>
    <t>#funny #ai #news #music</t>
  </si>
  <si>
    <t>SM_100064</t>
  </si>
  <si>
    <t>#tech #fyp #viral</t>
  </si>
  <si>
    <t>SM_100065</t>
  </si>
  <si>
    <t>#funny #viral #trending #tech #news</t>
  </si>
  <si>
    <t>SM_100066</t>
  </si>
  <si>
    <t>#funny #ai</t>
  </si>
  <si>
    <t>SM_100067</t>
  </si>
  <si>
    <t>#music #funny</t>
  </si>
  <si>
    <t>SM_100068</t>
  </si>
  <si>
    <t>#viral #trending #music #funny</t>
  </si>
  <si>
    <t>SM_100069</t>
  </si>
  <si>
    <t>#fyp #ai #viral #tech #trending</t>
  </si>
  <si>
    <t>SM_100070</t>
  </si>
  <si>
    <t>#trending #music #viral #tech</t>
  </si>
  <si>
    <t>SM_100071</t>
  </si>
  <si>
    <t>#viral #fyp #news #music</t>
  </si>
  <si>
    <t>SM_100072</t>
  </si>
  <si>
    <t>#viral #funny #news #music #fyp</t>
  </si>
  <si>
    <t>SM_100073</t>
  </si>
  <si>
    <t>#tech #viral #ai #news</t>
  </si>
  <si>
    <t>SM_100074</t>
  </si>
  <si>
    <t>#trending #funny</t>
  </si>
  <si>
    <t>SM_100075</t>
  </si>
  <si>
    <t>#ai #fyp</t>
  </si>
  <si>
    <t>SM_100076</t>
  </si>
  <si>
    <t>#music #news #fyp</t>
  </si>
  <si>
    <t>SM_100077</t>
  </si>
  <si>
    <t>#ai #music #trending #tech</t>
  </si>
  <si>
    <t>SM_100078</t>
  </si>
  <si>
    <t>SM_100079</t>
  </si>
  <si>
    <t>SM_100080</t>
  </si>
  <si>
    <t>#music #ai #trending #fyp #viral</t>
  </si>
  <si>
    <t>SM_100081</t>
  </si>
  <si>
    <t>#viral #music #ai #trending</t>
  </si>
  <si>
    <t>SM_100082</t>
  </si>
  <si>
    <t>#music #ai</t>
  </si>
  <si>
    <t>SM_100083</t>
  </si>
  <si>
    <t>#news #tech</t>
  </si>
  <si>
    <t>SM_100084</t>
  </si>
  <si>
    <t>#ai #funny #trending</t>
  </si>
  <si>
    <t>SM_100085</t>
  </si>
  <si>
    <t>#funny #trending #news #ai #fyp</t>
  </si>
  <si>
    <t>SM_100086</t>
  </si>
  <si>
    <t>#funny #tech</t>
  </si>
  <si>
    <t>SM_100087</t>
  </si>
  <si>
    <t>#tech #music #ai</t>
  </si>
  <si>
    <t>SM_100088</t>
  </si>
  <si>
    <t>#viral #fyp #trending #music #tech</t>
  </si>
  <si>
    <t>SM_100089</t>
  </si>
  <si>
    <t>#music #ai #tech #funny</t>
  </si>
  <si>
    <t>SM_100090</t>
  </si>
  <si>
    <t>#fyp #funny #ai #music</t>
  </si>
  <si>
    <t>SM_100091</t>
  </si>
  <si>
    <t>#fyp #ai #viral #trending #funny</t>
  </si>
  <si>
    <t>SM_100092</t>
  </si>
  <si>
    <t>#ai #funny #trending #tech #viral</t>
  </si>
  <si>
    <t>SM_100093</t>
  </si>
  <si>
    <t>#ai #music #fyp #news</t>
  </si>
  <si>
    <t>SM_100094</t>
  </si>
  <si>
    <t>#tech #news #music #fyp</t>
  </si>
  <si>
    <t>SM_100095</t>
  </si>
  <si>
    <t>#news #fyp #music</t>
  </si>
  <si>
    <t>SM_100096</t>
  </si>
  <si>
    <t>#fyp #music #funny</t>
  </si>
  <si>
    <t>SM_100097</t>
  </si>
  <si>
    <t>#ai #viral #news</t>
  </si>
  <si>
    <t>SM_100098</t>
  </si>
  <si>
    <t>#news #tech #fyp #funny #music</t>
  </si>
  <si>
    <t>SM_100099</t>
  </si>
  <si>
    <t>#viral #trending #ai #music</t>
  </si>
  <si>
    <t>SM_100100</t>
  </si>
  <si>
    <t>SM_100101</t>
  </si>
  <si>
    <t>#ai #news #tech #music #fyp</t>
  </si>
  <si>
    <t>SM_100102</t>
  </si>
  <si>
    <t>#music #funny #trending #fyp</t>
  </si>
  <si>
    <t>SM_100103</t>
  </si>
  <si>
    <t>#viral #trending #news</t>
  </si>
  <si>
    <t>SM_100104</t>
  </si>
  <si>
    <t>#ai #viral #trending #tech</t>
  </si>
  <si>
    <t>SM_100105</t>
  </si>
  <si>
    <t>#fyp #funny</t>
  </si>
  <si>
    <t>SM_100106</t>
  </si>
  <si>
    <t>#trending #viral #fyp #ai #music</t>
  </si>
  <si>
    <t>SM_100107</t>
  </si>
  <si>
    <t>#tech #fyp #trending #ai</t>
  </si>
  <si>
    <t>SM_100108</t>
  </si>
  <si>
    <t>#ai #news #tech</t>
  </si>
  <si>
    <t>SM_100109</t>
  </si>
  <si>
    <t>#music #fyp #tech</t>
  </si>
  <si>
    <t>SM_100110</t>
  </si>
  <si>
    <t>#viral #trending #funny #news</t>
  </si>
  <si>
    <t>SM_100111</t>
  </si>
  <si>
    <t>#news #viral #fyp</t>
  </si>
  <si>
    <t>SM_100112</t>
  </si>
  <si>
    <t>#music #news #funny</t>
  </si>
  <si>
    <t>SM_100113</t>
  </si>
  <si>
    <t>SM_100114</t>
  </si>
  <si>
    <t>#fyp #trending #viral #tech</t>
  </si>
  <si>
    <t>SM_100115</t>
  </si>
  <si>
    <t>#music #viral #funny</t>
  </si>
  <si>
    <t>SM_100116</t>
  </si>
  <si>
    <t>#tech #viral</t>
  </si>
  <si>
    <t>SM_100117</t>
  </si>
  <si>
    <t>#trending #viral #funny #ai</t>
  </si>
  <si>
    <t>SM_100118</t>
  </si>
  <si>
    <t>#viral #ai #tech</t>
  </si>
  <si>
    <t>SM_100119</t>
  </si>
  <si>
    <t>SM_100120</t>
  </si>
  <si>
    <t>#funny #music #viral #fyp</t>
  </si>
  <si>
    <t>SM_100121</t>
  </si>
  <si>
    <t>SM_100122</t>
  </si>
  <si>
    <t>#music #fyp #tech #ai</t>
  </si>
  <si>
    <t>SM_100123</t>
  </si>
  <si>
    <t>#viral #news #funny</t>
  </si>
  <si>
    <t>SM_100124</t>
  </si>
  <si>
    <t>#viral #music #trending #funny #ai</t>
  </si>
  <si>
    <t>SM_100125</t>
  </si>
  <si>
    <t>#trending #viral #ai #music #tech</t>
  </si>
  <si>
    <t>SM_100126</t>
  </si>
  <si>
    <t>SM_100127</t>
  </si>
  <si>
    <t>#music #fyp #viral #ai</t>
  </si>
  <si>
    <t>SM_100128</t>
  </si>
  <si>
    <t>#ai #viral #tech</t>
  </si>
  <si>
    <t>SM_100129</t>
  </si>
  <si>
    <t>#ai #news #fyp #viral</t>
  </si>
  <si>
    <t>SM_100130</t>
  </si>
  <si>
    <t>#ai #trending</t>
  </si>
  <si>
    <t>SM_100131</t>
  </si>
  <si>
    <t>#viral #tech #funny #music #trending</t>
  </si>
  <si>
    <t>SM_100132</t>
  </si>
  <si>
    <t>#trending #fyp #tech #music #funny</t>
  </si>
  <si>
    <t>SM_100133</t>
  </si>
  <si>
    <t>#viral #trending #fyp #news</t>
  </si>
  <si>
    <t>SM_100134</t>
  </si>
  <si>
    <t>#fyp #music</t>
  </si>
  <si>
    <t>SM_100135</t>
  </si>
  <si>
    <t>#fyp #funny #trending #viral</t>
  </si>
  <si>
    <t>SM_100136</t>
  </si>
  <si>
    <t>SM_100137</t>
  </si>
  <si>
    <t>#funny #viral #tech #music #fyp</t>
  </si>
  <si>
    <t>SM_100138</t>
  </si>
  <si>
    <t>#fyp #music #ai #tech</t>
  </si>
  <si>
    <t>SM_100139</t>
  </si>
  <si>
    <t>#music #news #viral #ai #funny</t>
  </si>
  <si>
    <t>SM_100140</t>
  </si>
  <si>
    <t>#viral #trending #funny #fyp #music</t>
  </si>
  <si>
    <t>SM_100141</t>
  </si>
  <si>
    <t>#tech #music #ai #news</t>
  </si>
  <si>
    <t>SM_100142</t>
  </si>
  <si>
    <t>#music #fyp #funny #ai</t>
  </si>
  <si>
    <t>SM_100143</t>
  </si>
  <si>
    <t>#music #funny #news</t>
  </si>
  <si>
    <t>SM_100144</t>
  </si>
  <si>
    <t>#music #fyp #viral #news #tech</t>
  </si>
  <si>
    <t>SM_100145</t>
  </si>
  <si>
    <t>#tech #trending</t>
  </si>
  <si>
    <t>SM_100146</t>
  </si>
  <si>
    <t>SM_100147</t>
  </si>
  <si>
    <t>#tech #fyp #music #trending #funny</t>
  </si>
  <si>
    <t>SM_100148</t>
  </si>
  <si>
    <t>#fyp #trending #viral</t>
  </si>
  <si>
    <t>SM_100149</t>
  </si>
  <si>
    <t>#funny #tech #fyp</t>
  </si>
  <si>
    <t>SM_100150</t>
  </si>
  <si>
    <t>#news #fyp #music #trending #tech</t>
  </si>
  <si>
    <t>SM_100151</t>
  </si>
  <si>
    <t>SM_100152</t>
  </si>
  <si>
    <t>#viral #funny #music</t>
  </si>
  <si>
    <t>SM_100153</t>
  </si>
  <si>
    <t>SM_100154</t>
  </si>
  <si>
    <t>#trending #tech</t>
  </si>
  <si>
    <t>SM_100155</t>
  </si>
  <si>
    <t>SM_100156</t>
  </si>
  <si>
    <t>#funny #fyp #news #viral #music</t>
  </si>
  <si>
    <t>SM_100157</t>
  </si>
  <si>
    <t>SM_100158</t>
  </si>
  <si>
    <t>#news #trending</t>
  </si>
  <si>
    <t>SM_100159</t>
  </si>
  <si>
    <t>#trending #viral #tech #music #funny</t>
  </si>
  <si>
    <t>SM_100160</t>
  </si>
  <si>
    <t>#news #viral #fyp #tech</t>
  </si>
  <si>
    <t>SM_100161</t>
  </si>
  <si>
    <t>#trending #ai #fyp #tech #viral</t>
  </si>
  <si>
    <t>SM_100162</t>
  </si>
  <si>
    <t>#funny #ai #news #music #viral</t>
  </si>
  <si>
    <t>SM_100163</t>
  </si>
  <si>
    <t>#viral #ai #tech #fyp #funny</t>
  </si>
  <si>
    <t>SM_100164</t>
  </si>
  <si>
    <t>SM_100165</t>
  </si>
  <si>
    <t>SM_100166</t>
  </si>
  <si>
    <t>#viral #news</t>
  </si>
  <si>
    <t>SM_100167</t>
  </si>
  <si>
    <t>#trending #news #fyp</t>
  </si>
  <si>
    <t>SM_100168</t>
  </si>
  <si>
    <t>#ai #music</t>
  </si>
  <si>
    <t>SM_100169</t>
  </si>
  <si>
    <t>#trending #ai #music</t>
  </si>
  <si>
    <t>SM_100170</t>
  </si>
  <si>
    <t>#ai #news #fyp #trending #funny</t>
  </si>
  <si>
    <t>SM_100171</t>
  </si>
  <si>
    <t>#ai #fyp #funny #trending</t>
  </si>
  <si>
    <t>SM_100172</t>
  </si>
  <si>
    <t>#ai #viral #music</t>
  </si>
  <si>
    <t>SM_100173</t>
  </si>
  <si>
    <t>#music #tech #trending #news #viral</t>
  </si>
  <si>
    <t>SM_100174</t>
  </si>
  <si>
    <t>SM_100175</t>
  </si>
  <si>
    <t>#trending #viral #funny</t>
  </si>
  <si>
    <t>SM_100176</t>
  </si>
  <si>
    <t>#fyp #viral #music</t>
  </si>
  <si>
    <t>SM_100177</t>
  </si>
  <si>
    <t>SM_100178</t>
  </si>
  <si>
    <t>#fyp #ai #funny #music #news</t>
  </si>
  <si>
    <t>SM_100179</t>
  </si>
  <si>
    <t>#fyp #news #ai #funny #tech</t>
  </si>
  <si>
    <t>SM_100180</t>
  </si>
  <si>
    <t>#tech #viral #funny #fyp #news</t>
  </si>
  <si>
    <t>SM_100181</t>
  </si>
  <si>
    <t>#viral #fyp #trending #ai #music</t>
  </si>
  <si>
    <t>SM_100182</t>
  </si>
  <si>
    <t>#ai #news #fyp #trending</t>
  </si>
  <si>
    <t>SM_100183</t>
  </si>
  <si>
    <t>#fyp #ai #viral</t>
  </si>
  <si>
    <t>SM_100184</t>
  </si>
  <si>
    <t>#funny #trending #fyp</t>
  </si>
  <si>
    <t>SM_100185</t>
  </si>
  <si>
    <t>#tech #trending #music #viral</t>
  </si>
  <si>
    <t>SM_100186</t>
  </si>
  <si>
    <t>#fyp #tech</t>
  </si>
  <si>
    <t>SM_100187</t>
  </si>
  <si>
    <t>#trending #ai #music #funny</t>
  </si>
  <si>
    <t>SM_100188</t>
  </si>
  <si>
    <t>SM_100189</t>
  </si>
  <si>
    <t>#news #music #funny #tech #fyp</t>
  </si>
  <si>
    <t>SM_100190</t>
  </si>
  <si>
    <t>#news #music #viral</t>
  </si>
  <si>
    <t>SM_100191</t>
  </si>
  <si>
    <t>#tech #news #viral</t>
  </si>
  <si>
    <t>SM_100192</t>
  </si>
  <si>
    <t>#ai #viral #trending #news</t>
  </si>
  <si>
    <t>SM_100193</t>
  </si>
  <si>
    <t>#tech #funny #viral</t>
  </si>
  <si>
    <t>SM_100194</t>
  </si>
  <si>
    <t>#funny #trending #news #fyp</t>
  </si>
  <si>
    <t>SM_100195</t>
  </si>
  <si>
    <t>#music #funny #ai #news #tech</t>
  </si>
  <si>
    <t>SM_100196</t>
  </si>
  <si>
    <t>SM_100197</t>
  </si>
  <si>
    <t>#ai #tech #fyp #music #trending</t>
  </si>
  <si>
    <t>SM_100198</t>
  </si>
  <si>
    <t>#news #music #tech #viral #fyp</t>
  </si>
  <si>
    <t>SM_100199</t>
  </si>
  <si>
    <t>SM_100200</t>
  </si>
  <si>
    <t>#funny #news #viral #music</t>
  </si>
  <si>
    <t>SM_100201</t>
  </si>
  <si>
    <t>#viral #ai #news</t>
  </si>
  <si>
    <t>SM_100202</t>
  </si>
  <si>
    <t>SM_100203</t>
  </si>
  <si>
    <t>#news #viral #trending #ai</t>
  </si>
  <si>
    <t>SM_100204</t>
  </si>
  <si>
    <t>#music #trending #fyp #news</t>
  </si>
  <si>
    <t>SM_100205</t>
  </si>
  <si>
    <t>#trending #ai #tech #music #news</t>
  </si>
  <si>
    <t>SM_100206</t>
  </si>
  <si>
    <t>#viral #news #ai #funny #trending</t>
  </si>
  <si>
    <t>SM_100207</t>
  </si>
  <si>
    <t>#funny #trending #viral</t>
  </si>
  <si>
    <t>SM_100208</t>
  </si>
  <si>
    <t>#fyp #ai #viral #news #music</t>
  </si>
  <si>
    <t>SM_100209</t>
  </si>
  <si>
    <t>#music #fyp</t>
  </si>
  <si>
    <t>SM_100210</t>
  </si>
  <si>
    <t>#trending #viral #news #tech</t>
  </si>
  <si>
    <t>SM_100211</t>
  </si>
  <si>
    <t>#music #funny #ai</t>
  </si>
  <si>
    <t>SM_100212</t>
  </si>
  <si>
    <t>#viral #tech #music #fyp #ai</t>
  </si>
  <si>
    <t>SM_100213</t>
  </si>
  <si>
    <t>#tech #ai #music #news #trending</t>
  </si>
  <si>
    <t>SM_100214</t>
  </si>
  <si>
    <t>#news #funny #fyp #ai #music</t>
  </si>
  <si>
    <t>SM_100215</t>
  </si>
  <si>
    <t>SM_100216</t>
  </si>
  <si>
    <t>#ai #viral</t>
  </si>
  <si>
    <t>SM_100217</t>
  </si>
  <si>
    <t>#funny #music #viral</t>
  </si>
  <si>
    <t>SM_100218</t>
  </si>
  <si>
    <t>#viral #tech #news #trending</t>
  </si>
  <si>
    <t>SM_100219</t>
  </si>
  <si>
    <t>#funny #ai #news</t>
  </si>
  <si>
    <t>SM_100220</t>
  </si>
  <si>
    <t>SM_100221</t>
  </si>
  <si>
    <t>#trending #news #ai #funny #fyp</t>
  </si>
  <si>
    <t>SM_100222</t>
  </si>
  <si>
    <t>#music #ai #trending</t>
  </si>
  <si>
    <t>SM_100223</t>
  </si>
  <si>
    <t>#ai #news #fyp</t>
  </si>
  <si>
    <t>SM_100224</t>
  </si>
  <si>
    <t>#trending #ai #viral</t>
  </si>
  <si>
    <t>SM_100225</t>
  </si>
  <si>
    <t>#viral #news #music</t>
  </si>
  <si>
    <t>SM_100226</t>
  </si>
  <si>
    <t>#music #trending #news #ai</t>
  </si>
  <si>
    <t>SM_100227</t>
  </si>
  <si>
    <t>#news #trending #tech</t>
  </si>
  <si>
    <t>SM_100228</t>
  </si>
  <si>
    <t>#viral #music #funny</t>
  </si>
  <si>
    <t>SM_100229</t>
  </si>
  <si>
    <t>#ai #fyp #funny #trending #tech</t>
  </si>
  <si>
    <t>SM_100230</t>
  </si>
  <si>
    <t>#news #tech #fyp #trending #music</t>
  </si>
  <si>
    <t>SM_100231</t>
  </si>
  <si>
    <t>#news #trending #viral #music</t>
  </si>
  <si>
    <t>SM_100232</t>
  </si>
  <si>
    <t>#music #trending #funny</t>
  </si>
  <si>
    <t>SM_100233</t>
  </si>
  <si>
    <t>SM_100234</t>
  </si>
  <si>
    <t>SM_100235</t>
  </si>
  <si>
    <t>#tech #trending #ai</t>
  </si>
  <si>
    <t>SM_100236</t>
  </si>
  <si>
    <t>#tech #funny #news #ai #trending</t>
  </si>
  <si>
    <t>SM_100237</t>
  </si>
  <si>
    <t>#fyp #music #funny #ai</t>
  </si>
  <si>
    <t>SM_100238</t>
  </si>
  <si>
    <t>#funny #trending #fyp #viral</t>
  </si>
  <si>
    <t>SM_100239</t>
  </si>
  <si>
    <t>#funny #trending #fyp #tech</t>
  </si>
  <si>
    <t>SM_100240</t>
  </si>
  <si>
    <t>#ai #fyp #news #music #tech</t>
  </si>
  <si>
    <t>SM_100241</t>
  </si>
  <si>
    <t>#funny #music #fyp</t>
  </si>
  <si>
    <t>SM_100242</t>
  </si>
  <si>
    <t>SM_100243</t>
  </si>
  <si>
    <t>#viral #ai #music</t>
  </si>
  <si>
    <t>SM_100244</t>
  </si>
  <si>
    <t>#music #viral #funny #fyp</t>
  </si>
  <si>
    <t>SM_100245</t>
  </si>
  <si>
    <t>#viral #trending #tech</t>
  </si>
  <si>
    <t>SM_100246</t>
  </si>
  <si>
    <t>#fyp #news #tech #ai #funny</t>
  </si>
  <si>
    <t>SM_100247</t>
  </si>
  <si>
    <t>SM_100248</t>
  </si>
  <si>
    <t>SM_100249</t>
  </si>
  <si>
    <t>#news #fyp #ai #trending #funny</t>
  </si>
  <si>
    <t>SM_100250</t>
  </si>
  <si>
    <t>#ai #viral #fyp #tech #trending</t>
  </si>
  <si>
    <t>SM_100251</t>
  </si>
  <si>
    <t>#fyp #ai #funny #news</t>
  </si>
  <si>
    <t>SM_100252</t>
  </si>
  <si>
    <t>#ai #viral #trending</t>
  </si>
  <si>
    <t>SM_100253</t>
  </si>
  <si>
    <t>SM_100254</t>
  </si>
  <si>
    <t>#tech #trending #fyp #news</t>
  </si>
  <si>
    <t>SM_100255</t>
  </si>
  <si>
    <t>#news #music #fyp #tech</t>
  </si>
  <si>
    <t>SM_100256</t>
  </si>
  <si>
    <t>SM_100257</t>
  </si>
  <si>
    <t>#music #news #trending #fyp</t>
  </si>
  <si>
    <t>SM_100258</t>
  </si>
  <si>
    <t>#fyp #news #viral</t>
  </si>
  <si>
    <t>SM_100259</t>
  </si>
  <si>
    <t>#trending #funny #viral #fyp</t>
  </si>
  <si>
    <t>SM_100260</t>
  </si>
  <si>
    <t>#fyp #ai #news</t>
  </si>
  <si>
    <t>SM_100261</t>
  </si>
  <si>
    <t>SM_100262</t>
  </si>
  <si>
    <t>SM_100263</t>
  </si>
  <si>
    <t>#tech #ai #trending</t>
  </si>
  <si>
    <t>SM_100264</t>
  </si>
  <si>
    <t>#viral #music #tech</t>
  </si>
  <si>
    <t>SM_100265</t>
  </si>
  <si>
    <t>SM_100266</t>
  </si>
  <si>
    <t>#viral #trending #funny</t>
  </si>
  <si>
    <t>SM_100267</t>
  </si>
  <si>
    <t>#fyp #tech #funny #viral</t>
  </si>
  <si>
    <t>SM_100268</t>
  </si>
  <si>
    <t>#fyp #music #trending</t>
  </si>
  <si>
    <t>SM_100269</t>
  </si>
  <si>
    <t>SM_100270</t>
  </si>
  <si>
    <t>#fyp #trending #news</t>
  </si>
  <si>
    <t>SM_100271</t>
  </si>
  <si>
    <t>SM_100272</t>
  </si>
  <si>
    <t>#trending #fyp #viral #music</t>
  </si>
  <si>
    <t>SM_100273</t>
  </si>
  <si>
    <t>#fyp #music #tech</t>
  </si>
  <si>
    <t>SM_100274</t>
  </si>
  <si>
    <t>#music #fyp #viral #news</t>
  </si>
  <si>
    <t>SM_100275</t>
  </si>
  <si>
    <t>#fyp #tech #music #news</t>
  </si>
  <si>
    <t>SM_100276</t>
  </si>
  <si>
    <t>#tech #funny</t>
  </si>
  <si>
    <t>SM_100277</t>
  </si>
  <si>
    <t>#trending #fyp #viral #tech #funny</t>
  </si>
  <si>
    <t>SM_100278</t>
  </si>
  <si>
    <t>#trending #fyp #ai #funny</t>
  </si>
  <si>
    <t>SM_100279</t>
  </si>
  <si>
    <t>SM_100280</t>
  </si>
  <si>
    <t>#tech #news #trending #viral</t>
  </si>
  <si>
    <t>SM_100281</t>
  </si>
  <si>
    <t>#trending #news #viral</t>
  </si>
  <si>
    <t>SM_100282</t>
  </si>
  <si>
    <t>SM_100283</t>
  </si>
  <si>
    <t>SM_100284</t>
  </si>
  <si>
    <t>#tech #ai #viral</t>
  </si>
  <si>
    <t>SM_100285</t>
  </si>
  <si>
    <t>#tech #news #music #trending #funny</t>
  </si>
  <si>
    <t>SM_100286</t>
  </si>
  <si>
    <t>#trending #tech #fyp #ai</t>
  </si>
  <si>
    <t>SM_100287</t>
  </si>
  <si>
    <t>#ai #funny #viral #news</t>
  </si>
  <si>
    <t>SM_100288</t>
  </si>
  <si>
    <t>#fyp #news</t>
  </si>
  <si>
    <t>SM_100289</t>
  </si>
  <si>
    <t>#news #fyp #trending #viral</t>
  </si>
  <si>
    <t>SM_100290</t>
  </si>
  <si>
    <t>#trending #music #viral #fyp #news</t>
  </si>
  <si>
    <t>SM_100291</t>
  </si>
  <si>
    <t>#tech #viral #fyp #funny #news</t>
  </si>
  <si>
    <t>SM_100292</t>
  </si>
  <si>
    <t>#music #fyp #funny</t>
  </si>
  <si>
    <t>SM_100293</t>
  </si>
  <si>
    <t>SM_100294</t>
  </si>
  <si>
    <t>#music #tech #ai</t>
  </si>
  <si>
    <t>SM_100295</t>
  </si>
  <si>
    <t>SM_100296</t>
  </si>
  <si>
    <t>#trending #fyp #news #music</t>
  </si>
  <si>
    <t>SM_100297</t>
  </si>
  <si>
    <t>#music #viral #ai</t>
  </si>
  <si>
    <t>SM_100298</t>
  </si>
  <si>
    <t>#viral #news #trending</t>
  </si>
  <si>
    <t>SM_100299</t>
  </si>
  <si>
    <t>#viral #tech #ai #trending #news</t>
  </si>
  <si>
    <t>SM_100300</t>
  </si>
  <si>
    <t>#viral #music</t>
  </si>
  <si>
    <t>SM_100301</t>
  </si>
  <si>
    <t>#music #trending #tech</t>
  </si>
  <si>
    <t>SM_100302</t>
  </si>
  <si>
    <t>#ai #fyp #music #news #funny</t>
  </si>
  <si>
    <t>SM_100303</t>
  </si>
  <si>
    <t>#viral #news #ai #tech #funny</t>
  </si>
  <si>
    <t>SM_100304</t>
  </si>
  <si>
    <t>#fyp #ai #funny #music #trending</t>
  </si>
  <si>
    <t>SM_100305</t>
  </si>
  <si>
    <t>#viral #ai</t>
  </si>
  <si>
    <t>SM_100306</t>
  </si>
  <si>
    <t>SM_100307</t>
  </si>
  <si>
    <t>#funny #fyp</t>
  </si>
  <si>
    <t>SM_100308</t>
  </si>
  <si>
    <t>#viral #funny #trending</t>
  </si>
  <si>
    <t>SM_100309</t>
  </si>
  <si>
    <t>#trending #ai #viral #funny #tech</t>
  </si>
  <si>
    <t>SM_100310</t>
  </si>
  <si>
    <t>#news #trending #funny</t>
  </si>
  <si>
    <t>SM_100311</t>
  </si>
  <si>
    <t>#ai #music #trending</t>
  </si>
  <si>
    <t>SM_100312</t>
  </si>
  <si>
    <t>#music #trending #ai</t>
  </si>
  <si>
    <t>SM_100313</t>
  </si>
  <si>
    <t>#trending #fyp #music #viral #ai</t>
  </si>
  <si>
    <t>SM_100314</t>
  </si>
  <si>
    <t>#music #trending #fyp #funny</t>
  </si>
  <si>
    <t>SM_100315</t>
  </si>
  <si>
    <t>#ai #trending #viral #music #funny</t>
  </si>
  <si>
    <t>SM_100316</t>
  </si>
  <si>
    <t>#fyp #funny #ai #tech</t>
  </si>
  <si>
    <t>SM_100317</t>
  </si>
  <si>
    <t>#music #tech</t>
  </si>
  <si>
    <t>SM_100318</t>
  </si>
  <si>
    <t>#music #viral #funny #tech #news</t>
  </si>
  <si>
    <t>SM_100319</t>
  </si>
  <si>
    <t>SM_100320</t>
  </si>
  <si>
    <t>#funny #viral #ai</t>
  </si>
  <si>
    <t>SM_100321</t>
  </si>
  <si>
    <t>#news #viral #tech #music #trending</t>
  </si>
  <si>
    <t>SM_100322</t>
  </si>
  <si>
    <t>#tech #trending #fyp</t>
  </si>
  <si>
    <t>SM_100323</t>
  </si>
  <si>
    <t>#viral #tech #news #music</t>
  </si>
  <si>
    <t>SM_100324</t>
  </si>
  <si>
    <t>#ai #viral #music #fyp #funny</t>
  </si>
  <si>
    <t>SM_100325</t>
  </si>
  <si>
    <t>#news #viral #tech</t>
  </si>
  <si>
    <t>SM_100326</t>
  </si>
  <si>
    <t>SM_100327</t>
  </si>
  <si>
    <t>#viral #fyp #music #ai</t>
  </si>
  <si>
    <t>SM_100328</t>
  </si>
  <si>
    <t>#news #music #fyp #viral #funny</t>
  </si>
  <si>
    <t>SM_100329</t>
  </si>
  <si>
    <t>#news #ai #fyp</t>
  </si>
  <si>
    <t>SM_100330</t>
  </si>
  <si>
    <t>#tech #trending #funny #viral</t>
  </si>
  <si>
    <t>SM_100331</t>
  </si>
  <si>
    <t>SM_100332</t>
  </si>
  <si>
    <t>#trending #fyp #news #viral #ai</t>
  </si>
  <si>
    <t>SM_100333</t>
  </si>
  <si>
    <t>#funny #trending #news</t>
  </si>
  <si>
    <t>SM_100334</t>
  </si>
  <si>
    <t>#ai #fyp #funny #viral</t>
  </si>
  <si>
    <t>SM_100335</t>
  </si>
  <si>
    <t>#tech #funny #news</t>
  </si>
  <si>
    <t>SM_100336</t>
  </si>
  <si>
    <t>#tech #news #ai #music</t>
  </si>
  <si>
    <t>SM_100337</t>
  </si>
  <si>
    <t>#music #tech #trending #viral #news</t>
  </si>
  <si>
    <t>SM_100338</t>
  </si>
  <si>
    <t>#trending #fyp</t>
  </si>
  <si>
    <t>SM_100339</t>
  </si>
  <si>
    <t>#ai #trending #music #fyp #news</t>
  </si>
  <si>
    <t>SM_100340</t>
  </si>
  <si>
    <t>#trending #tech #funny #news</t>
  </si>
  <si>
    <t>SM_100341</t>
  </si>
  <si>
    <t>#funny #viral #news #trending</t>
  </si>
  <si>
    <t>SM_100342</t>
  </si>
  <si>
    <t>#viral #tech #fyp</t>
  </si>
  <si>
    <t>SM_100343</t>
  </si>
  <si>
    <t>#ai #music #tech</t>
  </si>
  <si>
    <t>SM_100344</t>
  </si>
  <si>
    <t>#tech #news #fyp #trending #viral</t>
  </si>
  <si>
    <t>SM_100345</t>
  </si>
  <si>
    <t>#funny #trending #tech #news #viral</t>
  </si>
  <si>
    <t>SM_100346</t>
  </si>
  <si>
    <t>SM_100347</t>
  </si>
  <si>
    <t>#trending #ai</t>
  </si>
  <si>
    <t>SM_100348</t>
  </si>
  <si>
    <t>#ai #fyp #funny #music</t>
  </si>
  <si>
    <t>SM_100349</t>
  </si>
  <si>
    <t>#news #music #funny #trending #viral</t>
  </si>
  <si>
    <t>SM_100350</t>
  </si>
  <si>
    <t>#trending #music</t>
  </si>
  <si>
    <t>SM_100351</t>
  </si>
  <si>
    <t>SM_100352</t>
  </si>
  <si>
    <t>#ai #tech #news #trending</t>
  </si>
  <si>
    <t>SM_100353</t>
  </si>
  <si>
    <t>#tech #fyp #funny #viral</t>
  </si>
  <si>
    <t>SM_100354</t>
  </si>
  <si>
    <t>#news #viral #ai #tech #funny</t>
  </si>
  <si>
    <t>SM_100355</t>
  </si>
  <si>
    <t>SM_100356</t>
  </si>
  <si>
    <t>#viral #fyp #funny #trending #news</t>
  </si>
  <si>
    <t>SM_100357</t>
  </si>
  <si>
    <t>SM_100358</t>
  </si>
  <si>
    <t>#news #viral #funny #ai</t>
  </si>
  <si>
    <t>SM_100359</t>
  </si>
  <si>
    <t>SM_100360</t>
  </si>
  <si>
    <t>#ai #viral #trending #music</t>
  </si>
  <si>
    <t>SM_100361</t>
  </si>
  <si>
    <t>SM_100362</t>
  </si>
  <si>
    <t>#ai #funny #tech</t>
  </si>
  <si>
    <t>SM_100363</t>
  </si>
  <si>
    <t>SM_100364</t>
  </si>
  <si>
    <t>#ai #fyp #music #viral #trending</t>
  </si>
  <si>
    <t>SM_100365</t>
  </si>
  <si>
    <t>SM_100366</t>
  </si>
  <si>
    <t>SM_100367</t>
  </si>
  <si>
    <t>#trending #funny #music</t>
  </si>
  <si>
    <t>SM_100368</t>
  </si>
  <si>
    <t>SM_100369</t>
  </si>
  <si>
    <t>#fyp #trending #news #ai</t>
  </si>
  <si>
    <t>SM_100370</t>
  </si>
  <si>
    <t>#tech #trending #ai #viral</t>
  </si>
  <si>
    <t>SM_100371</t>
  </si>
  <si>
    <t>#tech #funny #fyp</t>
  </si>
  <si>
    <t>SM_100372</t>
  </si>
  <si>
    <t>#viral #ai #news #fyp #trending</t>
  </si>
  <si>
    <t>SM_100373</t>
  </si>
  <si>
    <t>#ai #trending #fyp</t>
  </si>
  <si>
    <t>SM_100374</t>
  </si>
  <si>
    <t>#tech #funny #news #viral #ai</t>
  </si>
  <si>
    <t>SM_100375</t>
  </si>
  <si>
    <t>#viral #funny #fyp #tech</t>
  </si>
  <si>
    <t>SM_100376</t>
  </si>
  <si>
    <t>#funny #trending #music #ai</t>
  </si>
  <si>
    <t>SM_100377</t>
  </si>
  <si>
    <t>#funny #music #tech #trending</t>
  </si>
  <si>
    <t>SM_100378</t>
  </si>
  <si>
    <t>SM_100379</t>
  </si>
  <si>
    <t>#music #funny #ai #tech</t>
  </si>
  <si>
    <t>SM_100380</t>
  </si>
  <si>
    <t>SM_100381</t>
  </si>
  <si>
    <t>#funny #trending #music</t>
  </si>
  <si>
    <t>SM_100382</t>
  </si>
  <si>
    <t>#fyp #viral #ai #funny #news</t>
  </si>
  <si>
    <t>SM_100383</t>
  </si>
  <si>
    <t>#music #funny #news #ai #fyp</t>
  </si>
  <si>
    <t>SM_100384</t>
  </si>
  <si>
    <t>#funny #fyp #news</t>
  </si>
  <si>
    <t>SM_100385</t>
  </si>
  <si>
    <t>SM_100386</t>
  </si>
  <si>
    <t>#viral #news #fyp #funny</t>
  </si>
  <si>
    <t>SM_100387</t>
  </si>
  <si>
    <t>#news #ai #music #viral #fyp</t>
  </si>
  <si>
    <t>SM_100388</t>
  </si>
  <si>
    <t>SM_100389</t>
  </si>
  <si>
    <t>#news #music</t>
  </si>
  <si>
    <t>SM_100390</t>
  </si>
  <si>
    <t>SM_100391</t>
  </si>
  <si>
    <t>#tech #trending #news #music #fyp</t>
  </si>
  <si>
    <t>SM_100392</t>
  </si>
  <si>
    <t>#funny #news #ai #music</t>
  </si>
  <si>
    <t>SM_100393</t>
  </si>
  <si>
    <t>#viral #ai #fyp #tech #trending</t>
  </si>
  <si>
    <t>SM_100394</t>
  </si>
  <si>
    <t>#music #tech #viral #ai</t>
  </si>
  <si>
    <t>SM_100395</t>
  </si>
  <si>
    <t>#trending #viral #news #funny #fyp</t>
  </si>
  <si>
    <t>SM_100396</t>
  </si>
  <si>
    <t>SM_100397</t>
  </si>
  <si>
    <t>#ai #trending #music #tech #funny</t>
  </si>
  <si>
    <t>SM_100398</t>
  </si>
  <si>
    <t>#tech #trending #ai #news</t>
  </si>
  <si>
    <t>SM_100399</t>
  </si>
  <si>
    <t>#tech #trending #viral #news</t>
  </si>
  <si>
    <t>SM_100400</t>
  </si>
  <si>
    <t>#trending #viral #ai #news</t>
  </si>
  <si>
    <t>SM_100401</t>
  </si>
  <si>
    <t>#viral #music #funny #trending #news</t>
  </si>
  <si>
    <t>SM_100402</t>
  </si>
  <si>
    <t>#tech #ai #fyp #funny #viral</t>
  </si>
  <si>
    <t>SM_100403</t>
  </si>
  <si>
    <t>#viral #news #fyp #tech #music</t>
  </si>
  <si>
    <t>SM_100404</t>
  </si>
  <si>
    <t>#viral #funny #news #trending</t>
  </si>
  <si>
    <t>SM_100405</t>
  </si>
  <si>
    <t>#tech #fyp #funny</t>
  </si>
  <si>
    <t>SM_100406</t>
  </si>
  <si>
    <t>#ai #news #trending #tech</t>
  </si>
  <si>
    <t>SM_100407</t>
  </si>
  <si>
    <t>#tech #ai #news #trending #viral</t>
  </si>
  <si>
    <t>SM_100408</t>
  </si>
  <si>
    <t>SM_100409</t>
  </si>
  <si>
    <t>SM_100410</t>
  </si>
  <si>
    <t>SM_100411</t>
  </si>
  <si>
    <t>SM_100412</t>
  </si>
  <si>
    <t>#fyp #ai #trending #tech</t>
  </si>
  <si>
    <t>SM_100413</t>
  </si>
  <si>
    <t>SM_100414</t>
  </si>
  <si>
    <t>#ai #fyp #trending #viral #news</t>
  </si>
  <si>
    <t>SM_100415</t>
  </si>
  <si>
    <t>#viral #ai #trending #news #funny</t>
  </si>
  <si>
    <t>SM_100416</t>
  </si>
  <si>
    <t>#fyp #music #news</t>
  </si>
  <si>
    <t>SM_100417</t>
  </si>
  <si>
    <t>SM_100418</t>
  </si>
  <si>
    <t>#funny #fyp #trending #ai #tech</t>
  </si>
  <si>
    <t>SM_100419</t>
  </si>
  <si>
    <t>#tech #viral #trending</t>
  </si>
  <si>
    <t>SM_100420</t>
  </si>
  <si>
    <t>#fyp #music #tech #funny</t>
  </si>
  <si>
    <t>SM_100421</t>
  </si>
  <si>
    <t>#fyp #ai #tech #music #viral</t>
  </si>
  <si>
    <t>SM_100422</t>
  </si>
  <si>
    <t>#news #funny #trending #fyp #music</t>
  </si>
  <si>
    <t>SM_100423</t>
  </si>
  <si>
    <t>SM_100424</t>
  </si>
  <si>
    <t>#viral #music #tech #funny #ai</t>
  </si>
  <si>
    <t>SM_100425</t>
  </si>
  <si>
    <t>#news #tech #trending #fyp</t>
  </si>
  <si>
    <t>SM_100426</t>
  </si>
  <si>
    <t>#music #fyp #trending</t>
  </si>
  <si>
    <t>SM_100427</t>
  </si>
  <si>
    <t>#trending #funny #viral #news #ai</t>
  </si>
  <si>
    <t>SM_100428</t>
  </si>
  <si>
    <t>SM_100429</t>
  </si>
  <si>
    <t>#tech #music #ai #trending</t>
  </si>
  <si>
    <t>SM_100430</t>
  </si>
  <si>
    <t>#viral #fyp #music</t>
  </si>
  <si>
    <t>SM_100431</t>
  </si>
  <si>
    <t>#viral #funny #news #ai #music</t>
  </si>
  <si>
    <t>SM_100432</t>
  </si>
  <si>
    <t>#tech #viral #news</t>
  </si>
  <si>
    <t>SM_100433</t>
  </si>
  <si>
    <t>#fyp #music #viral #trending #tech</t>
  </si>
  <si>
    <t>SM_100434</t>
  </si>
  <si>
    <t>#music #news #trending</t>
  </si>
  <si>
    <t>SM_100435</t>
  </si>
  <si>
    <t>SM_100436</t>
  </si>
  <si>
    <t>#viral #ai #news #trending #fyp</t>
  </si>
  <si>
    <t>SM_100437</t>
  </si>
  <si>
    <t>#tech #viral #ai #funny</t>
  </si>
  <si>
    <t>SM_100438</t>
  </si>
  <si>
    <t>SM_100439</t>
  </si>
  <si>
    <t>#funny #trending #music #fyp #viral</t>
  </si>
  <si>
    <t>SM_100440</t>
  </si>
  <si>
    <t>SM_100441</t>
  </si>
  <si>
    <t>#fyp #music #ai #news</t>
  </si>
  <si>
    <t>SM_100442</t>
  </si>
  <si>
    <t>#ai #funny #tech #viral</t>
  </si>
  <si>
    <t>SM_100443</t>
  </si>
  <si>
    <t>#ai #fyp #tech</t>
  </si>
  <si>
    <t>SM_100444</t>
  </si>
  <si>
    <t>SM_100445</t>
  </si>
  <si>
    <t>#ai #funny #news</t>
  </si>
  <si>
    <t>SM_100446</t>
  </si>
  <si>
    <t>#news #fyp #music #viral</t>
  </si>
  <si>
    <t>SM_100447</t>
  </si>
  <si>
    <t>#funny #tech #fyp #music</t>
  </si>
  <si>
    <t>SM_100448</t>
  </si>
  <si>
    <t>SM_100449</t>
  </si>
  <si>
    <t>#viral #music #funny #trending</t>
  </si>
  <si>
    <t>SM_100450</t>
  </si>
  <si>
    <t>SM_100451</t>
  </si>
  <si>
    <t>SM_100452</t>
  </si>
  <si>
    <t>#fyp #trending #tech #news</t>
  </si>
  <si>
    <t>SM_100453</t>
  </si>
  <si>
    <t>SM_100454</t>
  </si>
  <si>
    <t>#music #funny #viral</t>
  </si>
  <si>
    <t>SM_100455</t>
  </si>
  <si>
    <t>#news #trending #ai</t>
  </si>
  <si>
    <t>SM_100456</t>
  </si>
  <si>
    <t>SM_100457</t>
  </si>
  <si>
    <t>#music #viral #fyp</t>
  </si>
  <si>
    <t>SM_100458</t>
  </si>
  <si>
    <t>#trending #news #funny #ai</t>
  </si>
  <si>
    <t>SM_100459</t>
  </si>
  <si>
    <t>#funny #viral #news</t>
  </si>
  <si>
    <t>SM_100460</t>
  </si>
  <si>
    <t>#tech #news #ai #funny</t>
  </si>
  <si>
    <t>SM_100461</t>
  </si>
  <si>
    <t>#fyp #viral</t>
  </si>
  <si>
    <t>SM_100462</t>
  </si>
  <si>
    <t>SM_100463</t>
  </si>
  <si>
    <t>#fyp #news #funny</t>
  </si>
  <si>
    <t>SM_100464</t>
  </si>
  <si>
    <t>#fyp #tech #music #trending #ai</t>
  </si>
  <si>
    <t>SM_100465</t>
  </si>
  <si>
    <t>#funny #tech #music</t>
  </si>
  <si>
    <t>SM_100466</t>
  </si>
  <si>
    <t>SM_100467</t>
  </si>
  <si>
    <t>#viral #ai #fyp</t>
  </si>
  <si>
    <t>SM_100468</t>
  </si>
  <si>
    <t>#trending #viral #ai #funny</t>
  </si>
  <si>
    <t>SM_100469</t>
  </si>
  <si>
    <t>#funny #viral #news #fyp</t>
  </si>
  <si>
    <t>SM_100470</t>
  </si>
  <si>
    <t>#trending #music #news #ai</t>
  </si>
  <si>
    <t>SM_100471</t>
  </si>
  <si>
    <t>SM_100472</t>
  </si>
  <si>
    <t>SM_100473</t>
  </si>
  <si>
    <t>#funny #tech #news #ai #trending</t>
  </si>
  <si>
    <t>SM_100474</t>
  </si>
  <si>
    <t>SM_100475</t>
  </si>
  <si>
    <t>SM_100476</t>
  </si>
  <si>
    <t>#trending #funny #tech #news</t>
  </si>
  <si>
    <t>SM_100477</t>
  </si>
  <si>
    <t>#news #ai #trending #tech</t>
  </si>
  <si>
    <t>SM_100478</t>
  </si>
  <si>
    <t>#news #music #funny</t>
  </si>
  <si>
    <t>SM_100479</t>
  </si>
  <si>
    <t>#trending #viral #fyp #ai</t>
  </si>
  <si>
    <t>SM_100480</t>
  </si>
  <si>
    <t>#ai #tech #news</t>
  </si>
  <si>
    <t>SM_100481</t>
  </si>
  <si>
    <t>#music #ai #tech #news #fyp</t>
  </si>
  <si>
    <t>SM_100482</t>
  </si>
  <si>
    <t>SM_100483</t>
  </si>
  <si>
    <t>#news #fyp #funny</t>
  </si>
  <si>
    <t>SM_100484</t>
  </si>
  <si>
    <t>#ai #tech #trending #viral #funny</t>
  </si>
  <si>
    <t>SM_100485</t>
  </si>
  <si>
    <t>SM_100486</t>
  </si>
  <si>
    <t>#viral #funny #tech</t>
  </si>
  <si>
    <t>SM_100487</t>
  </si>
  <si>
    <t>SM_100488</t>
  </si>
  <si>
    <t>#news #fyp</t>
  </si>
  <si>
    <t>SM_100489</t>
  </si>
  <si>
    <t>SM_100490</t>
  </si>
  <si>
    <t>#music #trending #viral</t>
  </si>
  <si>
    <t>SM_100491</t>
  </si>
  <si>
    <t>#music #viral #fyp #ai #trending</t>
  </si>
  <si>
    <t>SM_100492</t>
  </si>
  <si>
    <t>#fyp #tech #ai #trending #news</t>
  </si>
  <si>
    <t>SM_100493</t>
  </si>
  <si>
    <t>#ai #fyp #funny</t>
  </si>
  <si>
    <t>SM_100494</t>
  </si>
  <si>
    <t>#fyp #tech #funny</t>
  </si>
  <si>
    <t>SM_100495</t>
  </si>
  <si>
    <t>SM_100496</t>
  </si>
  <si>
    <t>#viral #music #tech #ai</t>
  </si>
  <si>
    <t>SM_100497</t>
  </si>
  <si>
    <t>#news #music #fyp</t>
  </si>
  <si>
    <t>SM_100498</t>
  </si>
  <si>
    <t>#trending #viral #news #music</t>
  </si>
  <si>
    <t>SM_100499</t>
  </si>
  <si>
    <t>#fyp #news #ai #viral</t>
  </si>
  <si>
    <t>SM_100500</t>
  </si>
  <si>
    <t>#viral #tech #ai #news #fyp</t>
  </si>
  <si>
    <t>SM_100501</t>
  </si>
  <si>
    <t>SM_100502</t>
  </si>
  <si>
    <t>#funny #fyp #ai #music #viral</t>
  </si>
  <si>
    <t>SM_100503</t>
  </si>
  <si>
    <t>SM_100504</t>
  </si>
  <si>
    <t>#music #tech #viral #news #trending</t>
  </si>
  <si>
    <t>SM_100505</t>
  </si>
  <si>
    <t>SM_100506</t>
  </si>
  <si>
    <t>#music #news #viral</t>
  </si>
  <si>
    <t>SM_100507</t>
  </si>
  <si>
    <t>SM_100508</t>
  </si>
  <si>
    <t>SM_100509</t>
  </si>
  <si>
    <t>#ai #viral #tech #news #music</t>
  </si>
  <si>
    <t>SM_100510</t>
  </si>
  <si>
    <t>SM_100511</t>
  </si>
  <si>
    <t>SM_100512</t>
  </si>
  <si>
    <t>#fyp #news #viral #tech</t>
  </si>
  <si>
    <t>SM_100513</t>
  </si>
  <si>
    <t>#viral #trending #news #ai</t>
  </si>
  <si>
    <t>SM_100514</t>
  </si>
  <si>
    <t>#news #funny #trending #fyp #viral</t>
  </si>
  <si>
    <t>SM_100515</t>
  </si>
  <si>
    <t>SM_100516</t>
  </si>
  <si>
    <t>#fyp #trending #music #tech</t>
  </si>
  <si>
    <t>SM_100517</t>
  </si>
  <si>
    <t>SM_100518</t>
  </si>
  <si>
    <t>SM_100519</t>
  </si>
  <si>
    <t>#ai #trending #fyp #viral #funny</t>
  </si>
  <si>
    <t>SM_100520</t>
  </si>
  <si>
    <t>#tech #music #news #trending #viral</t>
  </si>
  <si>
    <t>SM_100521</t>
  </si>
  <si>
    <t>#trending #tech #funny</t>
  </si>
  <si>
    <t>SM_100522</t>
  </si>
  <si>
    <t>SM_100523</t>
  </si>
  <si>
    <t>#viral #fyp #ai</t>
  </si>
  <si>
    <t>SM_100524</t>
  </si>
  <si>
    <t>#news #fyp #ai</t>
  </si>
  <si>
    <t>SM_100525</t>
  </si>
  <si>
    <t>#funny #news #ai</t>
  </si>
  <si>
    <t>SM_100526</t>
  </si>
  <si>
    <t>SM_100527</t>
  </si>
  <si>
    <t>SM_100528</t>
  </si>
  <si>
    <t>#ai #trending #funny #news</t>
  </si>
  <si>
    <t>SM_100529</t>
  </si>
  <si>
    <t>#viral #music #news</t>
  </si>
  <si>
    <t>SM_100530</t>
  </si>
  <si>
    <t>#trending #music #fyp</t>
  </si>
  <si>
    <t>SM_100531</t>
  </si>
  <si>
    <t>#fyp #music #news #funny #tech</t>
  </si>
  <si>
    <t>SM_100532</t>
  </si>
  <si>
    <t>#fyp #ai #funny #music #tech</t>
  </si>
  <si>
    <t>SM_100533</t>
  </si>
  <si>
    <t>#tech #viral #news #trending</t>
  </si>
  <si>
    <t>SM_100534</t>
  </si>
  <si>
    <t>#ai #funny #tech #fyp #news</t>
  </si>
  <si>
    <t>SM_100535</t>
  </si>
  <si>
    <t>SM_100536</t>
  </si>
  <si>
    <t>SM_100537</t>
  </si>
  <si>
    <t>#viral #funny #music #news</t>
  </si>
  <si>
    <t>SM_100538</t>
  </si>
  <si>
    <t>#news #ai #funny #viral</t>
  </si>
  <si>
    <t>SM_100539</t>
  </si>
  <si>
    <t>#fyp #funny #ai #viral</t>
  </si>
  <si>
    <t>SM_100540</t>
  </si>
  <si>
    <t>#ai #funny #music #viral #news</t>
  </si>
  <si>
    <t>SM_100541</t>
  </si>
  <si>
    <t>#trending #viral #tech #music</t>
  </si>
  <si>
    <t>SM_100542</t>
  </si>
  <si>
    <t>#viral #funny #ai #fyp #news</t>
  </si>
  <si>
    <t>SM_100543</t>
  </si>
  <si>
    <t>SM_100544</t>
  </si>
  <si>
    <t>#trending #fyp #music</t>
  </si>
  <si>
    <t>SM_100545</t>
  </si>
  <si>
    <t>SM_100546</t>
  </si>
  <si>
    <t>#viral #music #funny #news</t>
  </si>
  <si>
    <t>SM_100547</t>
  </si>
  <si>
    <t>#music #fyp #trending #viral</t>
  </si>
  <si>
    <t>SM_100548</t>
  </si>
  <si>
    <t>SM_100549</t>
  </si>
  <si>
    <t>#viral #news #trending #funny</t>
  </si>
  <si>
    <t>SM_100550</t>
  </si>
  <si>
    <t>#viral #fyp #funny #news #music</t>
  </si>
  <si>
    <t>SM_100551</t>
  </si>
  <si>
    <t>SM_100552</t>
  </si>
  <si>
    <t>SM_100553</t>
  </si>
  <si>
    <t>#viral #news #music #fyp #funny</t>
  </si>
  <si>
    <t>SM_100554</t>
  </si>
  <si>
    <t>#fyp #viral #ai #trending</t>
  </si>
  <si>
    <t>SM_100555</t>
  </si>
  <si>
    <t>SM_100556</t>
  </si>
  <si>
    <t>SM_100557</t>
  </si>
  <si>
    <t>SM_100558</t>
  </si>
  <si>
    <t>#viral #fyp #trending #music #ai</t>
  </si>
  <si>
    <t>SM_100559</t>
  </si>
  <si>
    <t>#music #funny #viral #tech</t>
  </si>
  <si>
    <t>SM_100560</t>
  </si>
  <si>
    <t>#funny #music</t>
  </si>
  <si>
    <t>SM_100561</t>
  </si>
  <si>
    <t>#trending #tech #music #viral #funny</t>
  </si>
  <si>
    <t>SM_100562</t>
  </si>
  <si>
    <t>#news #fyp #music #ai</t>
  </si>
  <si>
    <t>SM_100563</t>
  </si>
  <si>
    <t>SM_100564</t>
  </si>
  <si>
    <t>#viral #fyp</t>
  </si>
  <si>
    <t>SM_100565</t>
  </si>
  <si>
    <t>#trending #funny #fyp #ai #news</t>
  </si>
  <si>
    <t>SM_100566</t>
  </si>
  <si>
    <t>#trending #ai #tech</t>
  </si>
  <si>
    <t>SM_100567</t>
  </si>
  <si>
    <t>#trending #music #viral</t>
  </si>
  <si>
    <t>SM_100568</t>
  </si>
  <si>
    <t>#fyp #trending #music #viral #ai</t>
  </si>
  <si>
    <t>SM_100569</t>
  </si>
  <si>
    <t>SM_100570</t>
  </si>
  <si>
    <t>SM_100571</t>
  </si>
  <si>
    <t>#tech #trending #fyp #ai</t>
  </si>
  <si>
    <t>SM_100572</t>
  </si>
  <si>
    <t>#viral #funny</t>
  </si>
  <si>
    <t>SM_100573</t>
  </si>
  <si>
    <t>SM_100574</t>
  </si>
  <si>
    <t>#music #fyp #news</t>
  </si>
  <si>
    <t>SM_100575</t>
  </si>
  <si>
    <t>#fyp #viral #trending</t>
  </si>
  <si>
    <t>SM_100576</t>
  </si>
  <si>
    <t>SM_100577</t>
  </si>
  <si>
    <t>SM_100578</t>
  </si>
  <si>
    <t>#trending #viral #fyp #ai #tech</t>
  </si>
  <si>
    <t>SM_100579</t>
  </si>
  <si>
    <t>SM_100580</t>
  </si>
  <si>
    <t>SM_100581</t>
  </si>
  <si>
    <t>SM_100582</t>
  </si>
  <si>
    <t>SM_100583</t>
  </si>
  <si>
    <t>SM_100584</t>
  </si>
  <si>
    <t>#trending #music #ai</t>
  </si>
  <si>
    <t>SM_100585</t>
  </si>
  <si>
    <t>SM_100586</t>
  </si>
  <si>
    <t>#funny #viral #trending #tech</t>
  </si>
  <si>
    <t>SM_100587</t>
  </si>
  <si>
    <t>#fyp #ai</t>
  </si>
  <si>
    <t>SM_100588</t>
  </si>
  <si>
    <t>#trending #ai #news</t>
  </si>
  <si>
    <t>SM_100589</t>
  </si>
  <si>
    <t>SM_100590</t>
  </si>
  <si>
    <t>SM_100591</t>
  </si>
  <si>
    <t>SM_100592</t>
  </si>
  <si>
    <t>#tech #fyp #news #ai #music</t>
  </si>
  <si>
    <t>SM_100593</t>
  </si>
  <si>
    <t>#fyp #ai #viral #tech #music</t>
  </si>
  <si>
    <t>SM_100594</t>
  </si>
  <si>
    <t>#fyp #ai #trending</t>
  </si>
  <si>
    <t>SM_100595</t>
  </si>
  <si>
    <t>SM_100596</t>
  </si>
  <si>
    <t>#music #ai #news #fyp #tech</t>
  </si>
  <si>
    <t>SM_100597</t>
  </si>
  <si>
    <t>#trending #music #funny #news #fyp</t>
  </si>
  <si>
    <t>SM_100598</t>
  </si>
  <si>
    <t>#news #viral #tech #ai #music</t>
  </si>
  <si>
    <t>SM_100599</t>
  </si>
  <si>
    <t>#funny #viral</t>
  </si>
  <si>
    <t>SM_100600</t>
  </si>
  <si>
    <t>SM_100601</t>
  </si>
  <si>
    <t>SM_100602</t>
  </si>
  <si>
    <t>#music #news #tech</t>
  </si>
  <si>
    <t>SM_100603</t>
  </si>
  <si>
    <t>#news #ai #trending</t>
  </si>
  <si>
    <t>SM_100604</t>
  </si>
  <si>
    <t>#tech #funny #trending #ai #viral</t>
  </si>
  <si>
    <t>SM_100605</t>
  </si>
  <si>
    <t>SM_100606</t>
  </si>
  <si>
    <t>#funny #fyp #trending</t>
  </si>
  <si>
    <t>SM_100607</t>
  </si>
  <si>
    <t>#tech #fyp #viral #music</t>
  </si>
  <si>
    <t>SM_100608</t>
  </si>
  <si>
    <t>SM_100609</t>
  </si>
  <si>
    <t>#news #ai #funny</t>
  </si>
  <si>
    <t>SM_100610</t>
  </si>
  <si>
    <t>#viral #trending #music #fyp #funny</t>
  </si>
  <si>
    <t>SM_100611</t>
  </si>
  <si>
    <t>#funny #viral #tech</t>
  </si>
  <si>
    <t>SM_100612</t>
  </si>
  <si>
    <t>#fyp #funny #news #trending</t>
  </si>
  <si>
    <t>SM_100613</t>
  </si>
  <si>
    <t>#news #ai #funny #music #fyp</t>
  </si>
  <si>
    <t>SM_100614</t>
  </si>
  <si>
    <t>#news #funny #trending</t>
  </si>
  <si>
    <t>SM_100615</t>
  </si>
  <si>
    <t>#news #music #trending</t>
  </si>
  <si>
    <t>SM_100616</t>
  </si>
  <si>
    <t>#tech #trending #viral #news #funny</t>
  </si>
  <si>
    <t>SM_100617</t>
  </si>
  <si>
    <t>#news #fyp #tech #funny</t>
  </si>
  <si>
    <t>SM_100618</t>
  </si>
  <si>
    <t>#trending #fyp #ai #viral #funny</t>
  </si>
  <si>
    <t>SM_100619</t>
  </si>
  <si>
    <t>SM_100620</t>
  </si>
  <si>
    <t>#fyp #funny #ai</t>
  </si>
  <si>
    <t>SM_100621</t>
  </si>
  <si>
    <t>#ai #news #tech #trending</t>
  </si>
  <si>
    <t>SM_100622</t>
  </si>
  <si>
    <t>SM_100623</t>
  </si>
  <si>
    <t>#tech #funny #news #trending #viral</t>
  </si>
  <si>
    <t>SM_100624</t>
  </si>
  <si>
    <t>#tech #ai #news #viral</t>
  </si>
  <si>
    <t>SM_100625</t>
  </si>
  <si>
    <t>#ai #funny #fyp #music</t>
  </si>
  <si>
    <t>SM_100626</t>
  </si>
  <si>
    <t>#music #viral #tech</t>
  </si>
  <si>
    <t>SM_100627</t>
  </si>
  <si>
    <t>#trending #tech #viral #music #funny</t>
  </si>
  <si>
    <t>SM_100628</t>
  </si>
  <si>
    <t>#trending #funny #news #tech</t>
  </si>
  <si>
    <t>SM_100629</t>
  </si>
  <si>
    <t>SM_100630</t>
  </si>
  <si>
    <t>#viral #news #trending #music</t>
  </si>
  <si>
    <t>SM_100631</t>
  </si>
  <si>
    <t>#viral #tech #music #fyp</t>
  </si>
  <si>
    <t>SM_100632</t>
  </si>
  <si>
    <t>#tech #fyp #music #news #viral</t>
  </si>
  <si>
    <t>SM_100633</t>
  </si>
  <si>
    <t>SM_100634</t>
  </si>
  <si>
    <t>#fyp #trending #ai #funny</t>
  </si>
  <si>
    <t>SM_100635</t>
  </si>
  <si>
    <t>SM_100636</t>
  </si>
  <si>
    <t>SM_100637</t>
  </si>
  <si>
    <t>#news #tech #ai #music</t>
  </si>
  <si>
    <t>SM_100638</t>
  </si>
  <si>
    <t>SM_100639</t>
  </si>
  <si>
    <t>#funny #ai #music #news</t>
  </si>
  <si>
    <t>SM_100640</t>
  </si>
  <si>
    <t>SM_100641</t>
  </si>
  <si>
    <t>#news #music #ai #funny</t>
  </si>
  <si>
    <t>SM_100642</t>
  </si>
  <si>
    <t>#tech #music #trending</t>
  </si>
  <si>
    <t>SM_100643</t>
  </si>
  <si>
    <t>#funny #trending #tech #music #viral</t>
  </si>
  <si>
    <t>SM_100644</t>
  </si>
  <si>
    <t>#viral #news #fyp #music</t>
  </si>
  <si>
    <t>SM_100645</t>
  </si>
  <si>
    <t>#funny #music #ai</t>
  </si>
  <si>
    <t>SM_100646</t>
  </si>
  <si>
    <t>#music #ai #funny #fyp</t>
  </si>
  <si>
    <t>SM_100647</t>
  </si>
  <si>
    <t>SM_100648</t>
  </si>
  <si>
    <t>#fyp #tech #ai #funny</t>
  </si>
  <si>
    <t>SM_100649</t>
  </si>
  <si>
    <t>#tech #viral #trending #news</t>
  </si>
  <si>
    <t>SM_100650</t>
  </si>
  <si>
    <t>SM_100651</t>
  </si>
  <si>
    <t>#viral #ai #music #news</t>
  </si>
  <si>
    <t>SM_100652</t>
  </si>
  <si>
    <t>#music #ai #trending #tech</t>
  </si>
  <si>
    <t>SM_100653</t>
  </si>
  <si>
    <t>#news #ai #fyp #music #viral</t>
  </si>
  <si>
    <t>SM_100654</t>
  </si>
  <si>
    <t>#funny #trending #ai #viral</t>
  </si>
  <si>
    <t>SM_100655</t>
  </si>
  <si>
    <t>#fyp #funny #viral #music</t>
  </si>
  <si>
    <t>SM_100656</t>
  </si>
  <si>
    <t>SM_100657</t>
  </si>
  <si>
    <t>#tech #trending #viral #news #ai</t>
  </si>
  <si>
    <t>SM_100658</t>
  </si>
  <si>
    <t>#trending #viral #fyp</t>
  </si>
  <si>
    <t>SM_100659</t>
  </si>
  <si>
    <t>#ai #music #tech #trending</t>
  </si>
  <si>
    <t>SM_100660</t>
  </si>
  <si>
    <t>SM_100661</t>
  </si>
  <si>
    <t>SM_100662</t>
  </si>
  <si>
    <t>SM_100663</t>
  </si>
  <si>
    <t>SM_100664</t>
  </si>
  <si>
    <t>SM_100665</t>
  </si>
  <si>
    <t>#fyp #funny #music #news #tech</t>
  </si>
  <si>
    <t>SM_100666</t>
  </si>
  <si>
    <t>#trending #ai #viral #tech #fyp</t>
  </si>
  <si>
    <t>SM_100667</t>
  </si>
  <si>
    <t>#trending #music #ai #viral #fyp</t>
  </si>
  <si>
    <t>SM_100668</t>
  </si>
  <si>
    <t>#trending #music #news</t>
  </si>
  <si>
    <t>SM_100669</t>
  </si>
  <si>
    <t>#fyp #trending #funny</t>
  </si>
  <si>
    <t>SM_100670</t>
  </si>
  <si>
    <t>#fyp #trending #music</t>
  </si>
  <si>
    <t>SM_100671</t>
  </si>
  <si>
    <t>SM_100672</t>
  </si>
  <si>
    <t>#fyp #tech #music #viral</t>
  </si>
  <si>
    <t>SM_100673</t>
  </si>
  <si>
    <t>SM_100674</t>
  </si>
  <si>
    <t>#funny #news #trending #ai</t>
  </si>
  <si>
    <t>SM_100675</t>
  </si>
  <si>
    <t>SM_100676</t>
  </si>
  <si>
    <t>SM_100677</t>
  </si>
  <si>
    <t>SM_100678</t>
  </si>
  <si>
    <t>SM_100679</t>
  </si>
  <si>
    <t>#ai #music #news #funny #fyp</t>
  </si>
  <si>
    <t>SM_100680</t>
  </si>
  <si>
    <t>#tech #trending #viral</t>
  </si>
  <si>
    <t>SM_100681</t>
  </si>
  <si>
    <t>#ai #music #viral #funny #fyp</t>
  </si>
  <si>
    <t>SM_100682</t>
  </si>
  <si>
    <t>#ai #tech #viral</t>
  </si>
  <si>
    <t>SM_100683</t>
  </si>
  <si>
    <t>SM_100684</t>
  </si>
  <si>
    <t>SM_100685</t>
  </si>
  <si>
    <t>#ai #music #trending #news #viral</t>
  </si>
  <si>
    <t>SM_100686</t>
  </si>
  <si>
    <t>#funny #tech #fyp #music #viral</t>
  </si>
  <si>
    <t>SM_100687</t>
  </si>
  <si>
    <t>#tech #fyp #music #news #trending</t>
  </si>
  <si>
    <t>SM_100688</t>
  </si>
  <si>
    <t>SM_100689</t>
  </si>
  <si>
    <t>SM_100690</t>
  </si>
  <si>
    <t>SM_100691</t>
  </si>
  <si>
    <t>#ai #tech #music #fyp #viral</t>
  </si>
  <si>
    <t>SM_100692</t>
  </si>
  <si>
    <t>#tech #viral #ai #fyp #music</t>
  </si>
  <si>
    <t>SM_100693</t>
  </si>
  <si>
    <t>#ai #music #viral #funny</t>
  </si>
  <si>
    <t>SM_100694</t>
  </si>
  <si>
    <t>SM_100695</t>
  </si>
  <si>
    <t>#fyp #music #viral #funny</t>
  </si>
  <si>
    <t>SM_100696</t>
  </si>
  <si>
    <t>SM_100697</t>
  </si>
  <si>
    <t>SM_100698</t>
  </si>
  <si>
    <t>SM_100699</t>
  </si>
  <si>
    <t>SM_100700</t>
  </si>
  <si>
    <t>#music #trending #funny #fyp #tech</t>
  </si>
  <si>
    <t>SM_100701</t>
  </si>
  <si>
    <t>#funny #music #ai #tech #trending</t>
  </si>
  <si>
    <t>SM_100702</t>
  </si>
  <si>
    <t>#tech #news #viral #ai</t>
  </si>
  <si>
    <t>SM_100703</t>
  </si>
  <si>
    <t>SM_100704</t>
  </si>
  <si>
    <t>SM_100705</t>
  </si>
  <si>
    <t>SM_100706</t>
  </si>
  <si>
    <t>#funny #fyp #viral</t>
  </si>
  <si>
    <t>SM_100707</t>
  </si>
  <si>
    <t>#fyp #music #tech #viral #funny</t>
  </si>
  <si>
    <t>SM_100708</t>
  </si>
  <si>
    <t>#music #news #ai #tech #trending</t>
  </si>
  <si>
    <t>SM_100709</t>
  </si>
  <si>
    <t>#trending #music #funny</t>
  </si>
  <si>
    <t>SM_100710</t>
  </si>
  <si>
    <t>SM_100711</t>
  </si>
  <si>
    <t>#funny #trending #ai</t>
  </si>
  <si>
    <t>SM_100712</t>
  </si>
  <si>
    <t>SM_100713</t>
  </si>
  <si>
    <t>#ai #viral #news #fyp #trending</t>
  </si>
  <si>
    <t>SM_100714</t>
  </si>
  <si>
    <t>SM_100715</t>
  </si>
  <si>
    <t>#funny #ai #music</t>
  </si>
  <si>
    <t>SM_100716</t>
  </si>
  <si>
    <t>#trending #viral #music #funny #news</t>
  </si>
  <si>
    <t>SM_100717</t>
  </si>
  <si>
    <t>#music #ai #trending #viral #tech</t>
  </si>
  <si>
    <t>SM_100718</t>
  </si>
  <si>
    <t>SM_100719</t>
  </si>
  <si>
    <t>SM_100720</t>
  </si>
  <si>
    <t>#tech #news #music #trending #viral</t>
  </si>
  <si>
    <t>SM_100721</t>
  </si>
  <si>
    <t>#ai #music #tech #viral #trending</t>
  </si>
  <si>
    <t>SM_100722</t>
  </si>
  <si>
    <t>#fyp #news #music</t>
  </si>
  <si>
    <t>SM_100723</t>
  </si>
  <si>
    <t>#music #funny #tech #trending</t>
  </si>
  <si>
    <t>SM_100724</t>
  </si>
  <si>
    <t>SM_100725</t>
  </si>
  <si>
    <t>#funny #viral #music</t>
  </si>
  <si>
    <t>SM_100726</t>
  </si>
  <si>
    <t>SM_100727</t>
  </si>
  <si>
    <t>#viral #trending #tech #news</t>
  </si>
  <si>
    <t>SM_100728</t>
  </si>
  <si>
    <t>#fyp #ai #music</t>
  </si>
  <si>
    <t>SM_100729</t>
  </si>
  <si>
    <t>#news #music #fyp #viral</t>
  </si>
  <si>
    <t>SM_100730</t>
  </si>
  <si>
    <t>#funny #tech #trending</t>
  </si>
  <si>
    <t>SM_100731</t>
  </si>
  <si>
    <t>#trending #tech #funny #ai #fyp</t>
  </si>
  <si>
    <t>SM_100732</t>
  </si>
  <si>
    <t>SM_100733</t>
  </si>
  <si>
    <t>#viral #music #ai</t>
  </si>
  <si>
    <t>SM_100734</t>
  </si>
  <si>
    <t>#ai #funny #music</t>
  </si>
  <si>
    <t>SM_100735</t>
  </si>
  <si>
    <t>SM_100736</t>
  </si>
  <si>
    <t>#funny #news #viral</t>
  </si>
  <si>
    <t>SM_100737</t>
  </si>
  <si>
    <t>#tech #music #trending #news</t>
  </si>
  <si>
    <t>SM_100738</t>
  </si>
  <si>
    <t>SM_100739</t>
  </si>
  <si>
    <t>#viral #funny #ai</t>
  </si>
  <si>
    <t>SM_100740</t>
  </si>
  <si>
    <t>#news #trending #tech #music #fyp</t>
  </si>
  <si>
    <t>SM_100741</t>
  </si>
  <si>
    <t>#funny #ai #tech</t>
  </si>
  <si>
    <t>SM_100742</t>
  </si>
  <si>
    <t>SM_100743</t>
  </si>
  <si>
    <t>#funny #music #viral #news</t>
  </si>
  <si>
    <t>SM_100744</t>
  </si>
  <si>
    <t>#news #ai #fyp #music</t>
  </si>
  <si>
    <t>SM_100745</t>
  </si>
  <si>
    <t>SM_100746</t>
  </si>
  <si>
    <t>#tech #ai #music #trending</t>
  </si>
  <si>
    <t>SM_100747</t>
  </si>
  <si>
    <t>SM_100748</t>
  </si>
  <si>
    <t>SM_100749</t>
  </si>
  <si>
    <t>SM_100750</t>
  </si>
  <si>
    <t>#funny #tech #ai</t>
  </si>
  <si>
    <t>SM_100751</t>
  </si>
  <si>
    <t>SM_100752</t>
  </si>
  <si>
    <t>SM_100753</t>
  </si>
  <si>
    <t>#trending #tech #viral #ai #news</t>
  </si>
  <si>
    <t>SM_100754</t>
  </si>
  <si>
    <t>#fyp #viral #news #trending #tech</t>
  </si>
  <si>
    <t>SM_100755</t>
  </si>
  <si>
    <t>#funny #trending #fyp #tech #viral</t>
  </si>
  <si>
    <t>SM_100756</t>
  </si>
  <si>
    <t>#tech #music #trending #fyp</t>
  </si>
  <si>
    <t>SM_100757</t>
  </si>
  <si>
    <t>#music #ai #viral #news #tech</t>
  </si>
  <si>
    <t>SM_100758</t>
  </si>
  <si>
    <t>#funny #tech #music #news</t>
  </si>
  <si>
    <t>SM_100759</t>
  </si>
  <si>
    <t>#music #funny #ai #tech #news</t>
  </si>
  <si>
    <t>SM_100760</t>
  </si>
  <si>
    <t>#fyp #tech #funny #music #ai</t>
  </si>
  <si>
    <t>SM_100761</t>
  </si>
  <si>
    <t>#trending #viral #funny #fyp #news</t>
  </si>
  <si>
    <t>SM_100762</t>
  </si>
  <si>
    <t>SM_100763</t>
  </si>
  <si>
    <t>SM_100764</t>
  </si>
  <si>
    <t>SM_100765</t>
  </si>
  <si>
    <t>SM_100766</t>
  </si>
  <si>
    <t>SM_100767</t>
  </si>
  <si>
    <t>#ai #trending #tech #funny #music</t>
  </si>
  <si>
    <t>SM_100768</t>
  </si>
  <si>
    <t>#music #trending #fyp #viral</t>
  </si>
  <si>
    <t>SM_100769</t>
  </si>
  <si>
    <t>SM_100770</t>
  </si>
  <si>
    <t>#viral #funny #fyp</t>
  </si>
  <si>
    <t>SM_100771</t>
  </si>
  <si>
    <t>#trending #funny #tech</t>
  </si>
  <si>
    <t>SM_100772</t>
  </si>
  <si>
    <t>SM_100773</t>
  </si>
  <si>
    <t>#tech #music #fyp #funny</t>
  </si>
  <si>
    <t>SM_100774</t>
  </si>
  <si>
    <t>SM_100775</t>
  </si>
  <si>
    <t>#viral #music #trending</t>
  </si>
  <si>
    <t>SM_100776</t>
  </si>
  <si>
    <t>#trending #viral #music #ai</t>
  </si>
  <si>
    <t>SM_100777</t>
  </si>
  <si>
    <t>SM_100778</t>
  </si>
  <si>
    <t>#viral #fyp #news</t>
  </si>
  <si>
    <t>SM_100779</t>
  </si>
  <si>
    <t>#viral #funny #music #fyp #trending</t>
  </si>
  <si>
    <t>SM_100780</t>
  </si>
  <si>
    <t>#trending #tech #music #fyp</t>
  </si>
  <si>
    <t>SM_100781</t>
  </si>
  <si>
    <t>#tech #news #ai #trending #funny</t>
  </si>
  <si>
    <t>SM_100782</t>
  </si>
  <si>
    <t>#viral #tech #trending #fyp #ai</t>
  </si>
  <si>
    <t>SM_100783</t>
  </si>
  <si>
    <t>SM_100784</t>
  </si>
  <si>
    <t>#viral #music #tech #trending #news</t>
  </si>
  <si>
    <t>SM_100785</t>
  </si>
  <si>
    <t>#news #funny #fyp #music #tech</t>
  </si>
  <si>
    <t>SM_100786</t>
  </si>
  <si>
    <t>#ai #trending #news</t>
  </si>
  <si>
    <t>SM_100787</t>
  </si>
  <si>
    <t>#fyp #news #viral #music #ai</t>
  </si>
  <si>
    <t>SM_100788</t>
  </si>
  <si>
    <t>#news #funny #tech</t>
  </si>
  <si>
    <t>SM_100789</t>
  </si>
  <si>
    <t>#ai #tech #music</t>
  </si>
  <si>
    <t>SM_100790</t>
  </si>
  <si>
    <t>#music #viral #tech #funny #news</t>
  </si>
  <si>
    <t>SM_100791</t>
  </si>
  <si>
    <t>SM_100792</t>
  </si>
  <si>
    <t>#news #tech #ai</t>
  </si>
  <si>
    <t>SM_100793</t>
  </si>
  <si>
    <t>#funny #fyp #tech</t>
  </si>
  <si>
    <t>SM_100794</t>
  </si>
  <si>
    <t>SM_100795</t>
  </si>
  <si>
    <t>#tech #viral #music #news</t>
  </si>
  <si>
    <t>SM_100796</t>
  </si>
  <si>
    <t>SM_100797</t>
  </si>
  <si>
    <t>#tech #viral #news #trending #music</t>
  </si>
  <si>
    <t>SM_100798</t>
  </si>
  <si>
    <t>#trending #funny #viral #music</t>
  </si>
  <si>
    <t>SM_100799</t>
  </si>
  <si>
    <t>#trending #news #fyp #ai</t>
  </si>
  <si>
    <t>SM_100800</t>
  </si>
  <si>
    <t>#viral #fyp #funny #tech #ai</t>
  </si>
  <si>
    <t>SM_100801</t>
  </si>
  <si>
    <t>#trending #viral #funny #fyp</t>
  </si>
  <si>
    <t>SM_100802</t>
  </si>
  <si>
    <t>#ai #viral #trending #tech #news</t>
  </si>
  <si>
    <t>SM_100803</t>
  </si>
  <si>
    <t>#music #news #viral #tech #ai</t>
  </si>
  <si>
    <t>SM_100804</t>
  </si>
  <si>
    <t>SM_100805</t>
  </si>
  <si>
    <t>#news #ai #fyp #tech #funny</t>
  </si>
  <si>
    <t>SM_100806</t>
  </si>
  <si>
    <t>SM_100807</t>
  </si>
  <si>
    <t>#funny #fyp #viral #tech #ai</t>
  </si>
  <si>
    <t>SM_100808</t>
  </si>
  <si>
    <t>#tech #music #funny</t>
  </si>
  <si>
    <t>SM_100809</t>
  </si>
  <si>
    <t>SM_100810</t>
  </si>
  <si>
    <t>SM_100811</t>
  </si>
  <si>
    <t>#viral #news #ai</t>
  </si>
  <si>
    <t>SM_100812</t>
  </si>
  <si>
    <t>SM_100813</t>
  </si>
  <si>
    <t>#trending #music #funny #news</t>
  </si>
  <si>
    <t>SM_100814</t>
  </si>
  <si>
    <t>#funny #fyp #news #trending #music</t>
  </si>
  <si>
    <t>SM_100815</t>
  </si>
  <si>
    <t>SM_100816</t>
  </si>
  <si>
    <t>SM_100817</t>
  </si>
  <si>
    <t>SM_100818</t>
  </si>
  <si>
    <t>SM_100819</t>
  </si>
  <si>
    <t>SM_100820</t>
  </si>
  <si>
    <t>SM_100821</t>
  </si>
  <si>
    <t>#trending #tech #music</t>
  </si>
  <si>
    <t>SM_100822</t>
  </si>
  <si>
    <t>#news #viral #trending #music</t>
  </si>
  <si>
    <t>SM_100823</t>
  </si>
  <si>
    <t>#ai #music #trending #news</t>
  </si>
  <si>
    <t>SM_100824</t>
  </si>
  <si>
    <t>#ai #news #tech #trending #funny</t>
  </si>
  <si>
    <t>SM_100825</t>
  </si>
  <si>
    <t>#trending #tech #viral #music</t>
  </si>
  <si>
    <t>SM_100826</t>
  </si>
  <si>
    <t>#fyp #news #viral #ai #music</t>
  </si>
  <si>
    <t>SM_100827</t>
  </si>
  <si>
    <t>#tech #news #fyp</t>
  </si>
  <si>
    <t>SM_100828</t>
  </si>
  <si>
    <t>SM_100829</t>
  </si>
  <si>
    <t>#tech #music #fyp</t>
  </si>
  <si>
    <t>SM_100830</t>
  </si>
  <si>
    <t>#fyp #funny #trending #tech #news</t>
  </si>
  <si>
    <t>SM_100831</t>
  </si>
  <si>
    <t>SM_100832</t>
  </si>
  <si>
    <t>SM_100833</t>
  </si>
  <si>
    <t>SM_100834</t>
  </si>
  <si>
    <t>#ai #fyp #viral</t>
  </si>
  <si>
    <t>SM_100835</t>
  </si>
  <si>
    <t>SM_100836</t>
  </si>
  <si>
    <t>SM_100837</t>
  </si>
  <si>
    <t>#trending #tech #ai</t>
  </si>
  <si>
    <t>SM_100838</t>
  </si>
  <si>
    <t>#trending #funny #viral #fyp #ai</t>
  </si>
  <si>
    <t>SM_100839</t>
  </si>
  <si>
    <t>#tech #news #ai #trending #music</t>
  </si>
  <si>
    <t>SM_100840</t>
  </si>
  <si>
    <t>SM_100841</t>
  </si>
  <si>
    <t>SM_100842</t>
  </si>
  <si>
    <t>#tech #ai #trending #funny #news</t>
  </si>
  <si>
    <t>SM_100843</t>
  </si>
  <si>
    <t>#ai #funny #fyp #trending</t>
  </si>
  <si>
    <t>SM_100844</t>
  </si>
  <si>
    <t>#music #tech #fyp #trending #viral</t>
  </si>
  <si>
    <t>SM_100845</t>
  </si>
  <si>
    <t>SM_100846</t>
  </si>
  <si>
    <t>SM_100847</t>
  </si>
  <si>
    <t>#trending #news #ai #fyp</t>
  </si>
  <si>
    <t>SM_100848</t>
  </si>
  <si>
    <t>#viral #trending #ai</t>
  </si>
  <si>
    <t>SM_100849</t>
  </si>
  <si>
    <t>#music #ai #fyp</t>
  </si>
  <si>
    <t>SM_100850</t>
  </si>
  <si>
    <t>SM_100851</t>
  </si>
  <si>
    <t>SM_100852</t>
  </si>
  <si>
    <t>SM_100853</t>
  </si>
  <si>
    <t>SM_100854</t>
  </si>
  <si>
    <t>#viral #news #music #funny #tech</t>
  </si>
  <si>
    <t>SM_100855</t>
  </si>
  <si>
    <t>#news #trending #fyp #ai #tech</t>
  </si>
  <si>
    <t>SM_100856</t>
  </si>
  <si>
    <t>#music #fyp #ai #news #funny</t>
  </si>
  <si>
    <t>SM_100857</t>
  </si>
  <si>
    <t>#trending #viral #ai #tech</t>
  </si>
  <si>
    <t>SM_100858</t>
  </si>
  <si>
    <t>SM_100859</t>
  </si>
  <si>
    <t>#viral #fyp #trending</t>
  </si>
  <si>
    <t>SM_100860</t>
  </si>
  <si>
    <t>SM_100861</t>
  </si>
  <si>
    <t>#viral #ai #music #tech</t>
  </si>
  <si>
    <t>SM_100862</t>
  </si>
  <si>
    <t>#news #ai #trending #viral #funny</t>
  </si>
  <si>
    <t>SM_100863</t>
  </si>
  <si>
    <t>#trending #news #ai #viral #fyp</t>
  </si>
  <si>
    <t>SM_100864</t>
  </si>
  <si>
    <t>#tech #music #fyp #funny #news</t>
  </si>
  <si>
    <t>SM_100865</t>
  </si>
  <si>
    <t>SM_100866</t>
  </si>
  <si>
    <t>SM_100867</t>
  </si>
  <si>
    <t>#fyp #music #ai #funny #tech</t>
  </si>
  <si>
    <t>SM_100868</t>
  </si>
  <si>
    <t>#funny #viral #fyp #news #trending</t>
  </si>
  <si>
    <t>SM_100869</t>
  </si>
  <si>
    <t>#music #viral</t>
  </si>
  <si>
    <t>SM_100870</t>
  </si>
  <si>
    <t>#funny #viral #tech #trending #news</t>
  </si>
  <si>
    <t>SM_100871</t>
  </si>
  <si>
    <t>SM_100872</t>
  </si>
  <si>
    <t>SM_100873</t>
  </si>
  <si>
    <t>#news #viral #funny</t>
  </si>
  <si>
    <t>SM_100874</t>
  </si>
  <si>
    <t>SM_100875</t>
  </si>
  <si>
    <t>#music #viral #trending #ai #funny</t>
  </si>
  <si>
    <t>SM_100876</t>
  </si>
  <si>
    <t>SM_100877</t>
  </si>
  <si>
    <t>#viral #funny #tech #ai #music</t>
  </si>
  <si>
    <t>SM_100878</t>
  </si>
  <si>
    <t>#news #fyp #music #tech</t>
  </si>
  <si>
    <t>SM_100879</t>
  </si>
  <si>
    <t>#ai #tech #music #viral #trending</t>
  </si>
  <si>
    <t>SM_100880</t>
  </si>
  <si>
    <t>#viral #funny #news #ai #tech</t>
  </si>
  <si>
    <t>SM_100881</t>
  </si>
  <si>
    <t>#funny #music #news</t>
  </si>
  <si>
    <t>SM_100882</t>
  </si>
  <si>
    <t>SM_100883</t>
  </si>
  <si>
    <t>SM_100884</t>
  </si>
  <si>
    <t>#trending #fyp #tech #funny #news</t>
  </si>
  <si>
    <t>SM_100885</t>
  </si>
  <si>
    <t>#viral #tech</t>
  </si>
  <si>
    <t>SM_100886</t>
  </si>
  <si>
    <t>#music #funny #fyp #news #ai</t>
  </si>
  <si>
    <t>SM_100887</t>
  </si>
  <si>
    <t>#trending #tech #viral</t>
  </si>
  <si>
    <t>SM_100888</t>
  </si>
  <si>
    <t>#tech #ai #news</t>
  </si>
  <si>
    <t>SM_100889</t>
  </si>
  <si>
    <t>SM_100890</t>
  </si>
  <si>
    <t>#trending #ai #fyp #funny #news</t>
  </si>
  <si>
    <t>SM_100891</t>
  </si>
  <si>
    <t>#tech #trending #viral #ai</t>
  </si>
  <si>
    <t>SM_100892</t>
  </si>
  <si>
    <t>#tech #trending #fyp #news #viral</t>
  </si>
  <si>
    <t>SM_100893</t>
  </si>
  <si>
    <t>#music #viral #ai #tech #fyp</t>
  </si>
  <si>
    <t>SM_100894</t>
  </si>
  <si>
    <t>SM_100895</t>
  </si>
  <si>
    <t>#tech #ai #funny</t>
  </si>
  <si>
    <t>SM_100896</t>
  </si>
  <si>
    <t>SM_100897</t>
  </si>
  <si>
    <t>SM_100898</t>
  </si>
  <si>
    <t>#funny #trending #ai #news</t>
  </si>
  <si>
    <t>SM_100899</t>
  </si>
  <si>
    <t>SM_100900</t>
  </si>
  <si>
    <t>#music #viral #tech #fyp #news</t>
  </si>
  <si>
    <t>SM_100901</t>
  </si>
  <si>
    <t>#tech #music #news</t>
  </si>
  <si>
    <t>SM_100902</t>
  </si>
  <si>
    <t>SM_100903</t>
  </si>
  <si>
    <t>#trending #tech #viral #ai</t>
  </si>
  <si>
    <t>SM_100904</t>
  </si>
  <si>
    <t>SM_100905</t>
  </si>
  <si>
    <t>SM_100906</t>
  </si>
  <si>
    <t>#viral #tech #music</t>
  </si>
  <si>
    <t>SM_100907</t>
  </si>
  <si>
    <t>SM_100908</t>
  </si>
  <si>
    <t>#music #news #ai #fyp #viral</t>
  </si>
  <si>
    <t>SM_100909</t>
  </si>
  <si>
    <t>#tech #viral #ai #fyp #news</t>
  </si>
  <si>
    <t>SM_100910</t>
  </si>
  <si>
    <t>#fyp #music #tech #viral</t>
  </si>
  <si>
    <t>SM_100911</t>
  </si>
  <si>
    <t>#trending #tech #funny #fyp</t>
  </si>
  <si>
    <t>SM_100912</t>
  </si>
  <si>
    <t>SM_100913</t>
  </si>
  <si>
    <t>#music #trending #fyp #ai #funny</t>
  </si>
  <si>
    <t>SM_100914</t>
  </si>
  <si>
    <t>SM_100915</t>
  </si>
  <si>
    <t>SM_100916</t>
  </si>
  <si>
    <t>SM_100917</t>
  </si>
  <si>
    <t>SM_100918</t>
  </si>
  <si>
    <t>#viral #news #music #fyp</t>
  </si>
  <si>
    <t>SM_100919</t>
  </si>
  <si>
    <t>SM_100920</t>
  </si>
  <si>
    <t>SM_100921</t>
  </si>
  <si>
    <t>#fyp #tech #music #news #trending</t>
  </si>
  <si>
    <t>SM_100922</t>
  </si>
  <si>
    <t>#music #funny #viral #ai</t>
  </si>
  <si>
    <t>SM_100923</t>
  </si>
  <si>
    <t>SM_100924</t>
  </si>
  <si>
    <t>#funny #trending #tech</t>
  </si>
  <si>
    <t>SM_100925</t>
  </si>
  <si>
    <t>#fyp #trending #news #funny #ai</t>
  </si>
  <si>
    <t>SM_100926</t>
  </si>
  <si>
    <t>#music #fyp #trending #ai</t>
  </si>
  <si>
    <t>SM_100927</t>
  </si>
  <si>
    <t>#viral #funny #news #music #tech</t>
  </si>
  <si>
    <t>SM_100928</t>
  </si>
  <si>
    <t>SM_100929</t>
  </si>
  <si>
    <t>#funny #music #fyp #ai #tech</t>
  </si>
  <si>
    <t>SM_100930</t>
  </si>
  <si>
    <t>SM_100931</t>
  </si>
  <si>
    <t>SM_100932</t>
  </si>
  <si>
    <t>SM_100933</t>
  </si>
  <si>
    <t>#funny #fyp #viral #ai #music</t>
  </si>
  <si>
    <t>SM_100934</t>
  </si>
  <si>
    <t>#viral #trending #fyp #tech #news</t>
  </si>
  <si>
    <t>SM_100935</t>
  </si>
  <si>
    <t>SM_100936</t>
  </si>
  <si>
    <t>#funny #ai #trending</t>
  </si>
  <si>
    <t>SM_100937</t>
  </si>
  <si>
    <t>SM_100938</t>
  </si>
  <si>
    <t>SM_100939</t>
  </si>
  <si>
    <t>SM_100940</t>
  </si>
  <si>
    <t>SM_100941</t>
  </si>
  <si>
    <t>#funny #tech #news</t>
  </si>
  <si>
    <t>SM_100942</t>
  </si>
  <si>
    <t>SM_100943</t>
  </si>
  <si>
    <t>#funny #viral #tech #trending</t>
  </si>
  <si>
    <t>SM_100944</t>
  </si>
  <si>
    <t>SM_100945</t>
  </si>
  <si>
    <t>SM_100946</t>
  </si>
  <si>
    <t>SM_100947</t>
  </si>
  <si>
    <t>#viral #fyp #news #ai</t>
  </si>
  <si>
    <t>SM_100948</t>
  </si>
  <si>
    <t>SM_100949</t>
  </si>
  <si>
    <t>SM_100950</t>
  </si>
  <si>
    <t>SM_100951</t>
  </si>
  <si>
    <t>#trending #viral #ai</t>
  </si>
  <si>
    <t>SM_100952</t>
  </si>
  <si>
    <t>#trending #fyp #viral</t>
  </si>
  <si>
    <t>SM_100953</t>
  </si>
  <si>
    <t>SM_100954</t>
  </si>
  <si>
    <t>#funny #viral #music #news #ai</t>
  </si>
  <si>
    <t>SM_100955</t>
  </si>
  <si>
    <t>SM_100956</t>
  </si>
  <si>
    <t>SM_100957</t>
  </si>
  <si>
    <t>#news #trending #music</t>
  </si>
  <si>
    <t>SM_100958</t>
  </si>
  <si>
    <t>#tech #viral #trending #fyp</t>
  </si>
  <si>
    <t>SM_100959</t>
  </si>
  <si>
    <t>#trending #fyp #ai #funny #music</t>
  </si>
  <si>
    <t>SM_100960</t>
  </si>
  <si>
    <t>#fyp #music #ai #tech #viral</t>
  </si>
  <si>
    <t>SM_100961</t>
  </si>
  <si>
    <t>SM_100962</t>
  </si>
  <si>
    <t>#music #ai #funny #news</t>
  </si>
  <si>
    <t>SM_100963</t>
  </si>
  <si>
    <t>SM_100964</t>
  </si>
  <si>
    <t>#music #trending #tech #funny</t>
  </si>
  <si>
    <t>SM_100965</t>
  </si>
  <si>
    <t>#ai #tech #viral #news</t>
  </si>
  <si>
    <t>SM_100966</t>
  </si>
  <si>
    <t>SM_100967</t>
  </si>
  <si>
    <t>#music #ai #news</t>
  </si>
  <si>
    <t>SM_100968</t>
  </si>
  <si>
    <t>SM_100969</t>
  </si>
  <si>
    <t>#news #viral #tech #funny</t>
  </si>
  <si>
    <t>SM_100970</t>
  </si>
  <si>
    <t>SM_100971</t>
  </si>
  <si>
    <t>#music #trending #tech #ai</t>
  </si>
  <si>
    <t>SM_100972</t>
  </si>
  <si>
    <t>SM_100973</t>
  </si>
  <si>
    <t>#trending #news #tech</t>
  </si>
  <si>
    <t>SM_100974</t>
  </si>
  <si>
    <t>#music #funny #trending #fyp #viral</t>
  </si>
  <si>
    <t>SM_100975</t>
  </si>
  <si>
    <t>#music #ai #fyp #funny</t>
  </si>
  <si>
    <t>SM_100976</t>
  </si>
  <si>
    <t>SM_100977</t>
  </si>
  <si>
    <t>#ai #news #viral #trending #music</t>
  </si>
  <si>
    <t>SM_100978</t>
  </si>
  <si>
    <t>#tech #trending #music</t>
  </si>
  <si>
    <t>SM_100979</t>
  </si>
  <si>
    <t>#trending #fyp #viral #tech</t>
  </si>
  <si>
    <t>SM_100980</t>
  </si>
  <si>
    <t>#viral #funny #trending #ai</t>
  </si>
  <si>
    <t>SM_100981</t>
  </si>
  <si>
    <t>#viral #tech #trending</t>
  </si>
  <si>
    <t>SM_100982</t>
  </si>
  <si>
    <t>SM_100983</t>
  </si>
  <si>
    <t>SM_100984</t>
  </si>
  <si>
    <t>#tech #trending #news #music</t>
  </si>
  <si>
    <t>SM_100985</t>
  </si>
  <si>
    <t>#trending #tech #funny #ai #music</t>
  </si>
  <si>
    <t>SM_100986</t>
  </si>
  <si>
    <t>#funny #tech #news #viral #trending</t>
  </si>
  <si>
    <t>SM_100987</t>
  </si>
  <si>
    <t>SM_100988</t>
  </si>
  <si>
    <t>SM_100989</t>
  </si>
  <si>
    <t>SM_100990</t>
  </si>
  <si>
    <t>#music #trending #news</t>
  </si>
  <si>
    <t>SM_100991</t>
  </si>
  <si>
    <t>#funny #fyp #trending #music #tech</t>
  </si>
  <si>
    <t>SM_100992</t>
  </si>
  <si>
    <t>#funny #news #ai #tech</t>
  </si>
  <si>
    <t>SM_100993</t>
  </si>
  <si>
    <t>#viral #funny #fyp #news #tech</t>
  </si>
  <si>
    <t>SM_100994</t>
  </si>
  <si>
    <t>#funny #music #tech #news</t>
  </si>
  <si>
    <t>SM_100995</t>
  </si>
  <si>
    <t>SM_100996</t>
  </si>
  <si>
    <t>SM_100997</t>
  </si>
  <si>
    <t>#funny #viral #tech #news #ai</t>
  </si>
  <si>
    <t>SM_100998</t>
  </si>
  <si>
    <t>SM_100999</t>
  </si>
  <si>
    <t>#viral #ai #fyp #funny</t>
  </si>
  <si>
    <t>SM_101000</t>
  </si>
  <si>
    <t>#news #viral #music #tech</t>
  </si>
  <si>
    <t>SM_101001</t>
  </si>
  <si>
    <t>SM_101002</t>
  </si>
  <si>
    <t>SM_101003</t>
  </si>
  <si>
    <t>#music #news #ai</t>
  </si>
  <si>
    <t>SM_101004</t>
  </si>
  <si>
    <t>#trending #viral #music #news</t>
  </si>
  <si>
    <t>SM_101005</t>
  </si>
  <si>
    <t>#trending #fyp #viral #news #music</t>
  </si>
  <si>
    <t>SM_101006</t>
  </si>
  <si>
    <t>SM_101007</t>
  </si>
  <si>
    <t>#tech #viral #news #ai</t>
  </si>
  <si>
    <t>SM_101008</t>
  </si>
  <si>
    <t>#funny #tech #ai #music</t>
  </si>
  <si>
    <t>SM_101009</t>
  </si>
  <si>
    <t>#funny #fyp #ai #viral #news</t>
  </si>
  <si>
    <t>SM_101010</t>
  </si>
  <si>
    <t>SM_101011</t>
  </si>
  <si>
    <t>#news #ai #funny #music</t>
  </si>
  <si>
    <t>SM_101012</t>
  </si>
  <si>
    <t>#viral #fyp #funny</t>
  </si>
  <si>
    <t>SM_101013</t>
  </si>
  <si>
    <t>#tech #fyp #music #ai</t>
  </si>
  <si>
    <t>SM_101014</t>
  </si>
  <si>
    <t>#music #ai #news #funny #tech</t>
  </si>
  <si>
    <t>SM_101015</t>
  </si>
  <si>
    <t>SM_101016</t>
  </si>
  <si>
    <t>#news #music #fyp #trending #ai</t>
  </si>
  <si>
    <t>SM_101017</t>
  </si>
  <si>
    <t>#news #viral #music</t>
  </si>
  <si>
    <t>SM_101018</t>
  </si>
  <si>
    <t>SM_101019</t>
  </si>
  <si>
    <t>SM_101020</t>
  </si>
  <si>
    <t>#funny #music #tech #fyp #trending</t>
  </si>
  <si>
    <t>SM_101021</t>
  </si>
  <si>
    <t>SM_101022</t>
  </si>
  <si>
    <t>SM_101023</t>
  </si>
  <si>
    <t>#funny #fyp #ai</t>
  </si>
  <si>
    <t>SM_101024</t>
  </si>
  <si>
    <t>#fyp #news #tech</t>
  </si>
  <si>
    <t>SM_101025</t>
  </si>
  <si>
    <t>#funny #fyp #ai #trending</t>
  </si>
  <si>
    <t>SM_101026</t>
  </si>
  <si>
    <t>#tech #funny #viral #news #fyp</t>
  </si>
  <si>
    <t>SM_101027</t>
  </si>
  <si>
    <t>#news #music #funny #ai #trending</t>
  </si>
  <si>
    <t>SM_101028</t>
  </si>
  <si>
    <t>SM_101029</t>
  </si>
  <si>
    <t>SM_101030</t>
  </si>
  <si>
    <t>#tech #fyp #ai</t>
  </si>
  <si>
    <t>SM_101031</t>
  </si>
  <si>
    <t>#ai #tech #funny</t>
  </si>
  <si>
    <t>SM_101032</t>
  </si>
  <si>
    <t>SM_101033</t>
  </si>
  <si>
    <t>SM_101034</t>
  </si>
  <si>
    <t>SM_101035</t>
  </si>
  <si>
    <t>#funny #trending #fyp #news</t>
  </si>
  <si>
    <t>SM_101036</t>
  </si>
  <si>
    <t>SM_101037</t>
  </si>
  <si>
    <t>SM_101038</t>
  </si>
  <si>
    <t>#news #tech #music #ai #fyp</t>
  </si>
  <si>
    <t>SM_101039</t>
  </si>
  <si>
    <t>#trending #tech #ai #fyp #music</t>
  </si>
  <si>
    <t>SM_101040</t>
  </si>
  <si>
    <t>#viral #news #tech #trending #ai</t>
  </si>
  <si>
    <t>SM_101041</t>
  </si>
  <si>
    <t>#music #viral #ai #funny #news</t>
  </si>
  <si>
    <t>SM_101042</t>
  </si>
  <si>
    <t>#fyp #trending #funny #viral #tech</t>
  </si>
  <si>
    <t>SM_101043</t>
  </si>
  <si>
    <t>SM_101044</t>
  </si>
  <si>
    <t>#funny #music #fyp #viral #ai</t>
  </si>
  <si>
    <t>SM_101045</t>
  </si>
  <si>
    <t>SM_101046</t>
  </si>
  <si>
    <t>SM_101047</t>
  </si>
  <si>
    <t>SM_101048</t>
  </si>
  <si>
    <t>#fyp #viral #news #tech #trending</t>
  </si>
  <si>
    <t>SM_101049</t>
  </si>
  <si>
    <t>SM_101050</t>
  </si>
  <si>
    <t>SM_101051</t>
  </si>
  <si>
    <t>#fyp #trending #tech</t>
  </si>
  <si>
    <t>SM_101052</t>
  </si>
  <si>
    <t>SM_101053</t>
  </si>
  <si>
    <t>#tech #music #ai #funny</t>
  </si>
  <si>
    <t>SM_101054</t>
  </si>
  <si>
    <t>#music #trending #tech #funny #viral</t>
  </si>
  <si>
    <t>SM_101055</t>
  </si>
  <si>
    <t>#viral #ai #funny #trending #news</t>
  </si>
  <si>
    <t>SM_101056</t>
  </si>
  <si>
    <t>#ai #viral #fyp #funny</t>
  </si>
  <si>
    <t>SM_101057</t>
  </si>
  <si>
    <t>SM_101058</t>
  </si>
  <si>
    <t>#funny #trending #ai #music</t>
  </si>
  <si>
    <t>SM_101059</t>
  </si>
  <si>
    <t>#fyp #music #viral #news #funny</t>
  </si>
  <si>
    <t>SM_101060</t>
  </si>
  <si>
    <t>#funny #music #tech #viral</t>
  </si>
  <si>
    <t>SM_101061</t>
  </si>
  <si>
    <t>#ai #fyp #tech #funny #trending</t>
  </si>
  <si>
    <t>SM_101062</t>
  </si>
  <si>
    <t>SM_101063</t>
  </si>
  <si>
    <t>#funny #news #fyp</t>
  </si>
  <si>
    <t>SM_101064</t>
  </si>
  <si>
    <t>#viral #funny #trending #music</t>
  </si>
  <si>
    <t>SM_101065</t>
  </si>
  <si>
    <t>#funny #music #news #fyp #viral</t>
  </si>
  <si>
    <t>SM_101066</t>
  </si>
  <si>
    <t>SM_101067</t>
  </si>
  <si>
    <t>#news #trending #fyp #viral #music</t>
  </si>
  <si>
    <t>SM_101068</t>
  </si>
  <si>
    <t>#fyp #trending #ai</t>
  </si>
  <si>
    <t>SM_101069</t>
  </si>
  <si>
    <t>#funny #tech #trending #music #news</t>
  </si>
  <si>
    <t>SM_101070</t>
  </si>
  <si>
    <t>#tech #fyp #viral #funny</t>
  </si>
  <si>
    <t>SM_101071</t>
  </si>
  <si>
    <t>#funny #music #news #ai</t>
  </si>
  <si>
    <t>SM_101072</t>
  </si>
  <si>
    <t>SM_101073</t>
  </si>
  <si>
    <t>SM_101074</t>
  </si>
  <si>
    <t>SM_101075</t>
  </si>
  <si>
    <t>SM_101076</t>
  </si>
  <si>
    <t>#fyp #funny #news #music #trending</t>
  </si>
  <si>
    <t>SM_101077</t>
  </si>
  <si>
    <t>#trending #funny #ai</t>
  </si>
  <si>
    <t>SM_101078</t>
  </si>
  <si>
    <t>#fyp #viral #ai #trending #funny</t>
  </si>
  <si>
    <t>SM_101079</t>
  </si>
  <si>
    <t>#trending #music #funny #tech #fyp</t>
  </si>
  <si>
    <t>SM_101080</t>
  </si>
  <si>
    <t>SM_101081</t>
  </si>
  <si>
    <t>SM_101082</t>
  </si>
  <si>
    <t>#news #viral #fyp #funny</t>
  </si>
  <si>
    <t>SM_101083</t>
  </si>
  <si>
    <t>SM_101084</t>
  </si>
  <si>
    <t>SM_101085</t>
  </si>
  <si>
    <t>#tech #viral #fyp #trending</t>
  </si>
  <si>
    <t>SM_101086</t>
  </si>
  <si>
    <t>SM_101087</t>
  </si>
  <si>
    <t>SM_101088</t>
  </si>
  <si>
    <t>SM_101089</t>
  </si>
  <si>
    <t>#fyp #tech #music #news #funny</t>
  </si>
  <si>
    <t>SM_101090</t>
  </si>
  <si>
    <t>SM_101091</t>
  </si>
  <si>
    <t>#music #funny #news #ai #viral</t>
  </si>
  <si>
    <t>SM_101092</t>
  </si>
  <si>
    <t>SM_101093</t>
  </si>
  <si>
    <t>#funny #ai #music #viral #trending</t>
  </si>
  <si>
    <t>SM_101094</t>
  </si>
  <si>
    <t>SM_101095</t>
  </si>
  <si>
    <t>#fyp #funny #news #tech</t>
  </si>
  <si>
    <t>SM_101096</t>
  </si>
  <si>
    <t>SM_101097</t>
  </si>
  <si>
    <t>SM_101098</t>
  </si>
  <si>
    <t>#tech #funny #music #viral #ai</t>
  </si>
  <si>
    <t>SM_101099</t>
  </si>
  <si>
    <t>#fyp #news #music #viral</t>
  </si>
  <si>
    <t>SM_101100</t>
  </si>
  <si>
    <t>#news #funny #ai #trending</t>
  </si>
  <si>
    <t>SM_101101</t>
  </si>
  <si>
    <t>#fyp #ai #tech #trending</t>
  </si>
  <si>
    <t>SM_101102</t>
  </si>
  <si>
    <t>#trending #fyp #news #ai</t>
  </si>
  <si>
    <t>SM_101103</t>
  </si>
  <si>
    <t>SM_101104</t>
  </si>
  <si>
    <t>SM_101105</t>
  </si>
  <si>
    <t>#funny #music #news #viral #ai</t>
  </si>
  <si>
    <t>SM_101106</t>
  </si>
  <si>
    <t>#tech #fyp #music #ai #trending</t>
  </si>
  <si>
    <t>SM_101107</t>
  </si>
  <si>
    <t>SM_101108</t>
  </si>
  <si>
    <t>SM_101109</t>
  </si>
  <si>
    <t>SM_101110</t>
  </si>
  <si>
    <t>#tech #music #viral #funny #news</t>
  </si>
  <si>
    <t>SM_101111</t>
  </si>
  <si>
    <t>SM_101112</t>
  </si>
  <si>
    <t>SM_101113</t>
  </si>
  <si>
    <t>SM_101114</t>
  </si>
  <si>
    <t>#viral #funny #trending #fyp</t>
  </si>
  <si>
    <t>SM_101115</t>
  </si>
  <si>
    <t>SM_101116</t>
  </si>
  <si>
    <t>SM_101117</t>
  </si>
  <si>
    <t>#trending #music #news #tech #funny</t>
  </si>
  <si>
    <t>SM_101118</t>
  </si>
  <si>
    <t>SM_101119</t>
  </si>
  <si>
    <t>SM_101120</t>
  </si>
  <si>
    <t>#funny #music #trending #ai</t>
  </si>
  <si>
    <t>SM_101121</t>
  </si>
  <si>
    <t>#funny #fyp #tech #viral #trending</t>
  </si>
  <si>
    <t>SM_101122</t>
  </si>
  <si>
    <t>#trending #viral #music #tech</t>
  </si>
  <si>
    <t>SM_101123</t>
  </si>
  <si>
    <t>#music #funny #viral #fyp</t>
  </si>
  <si>
    <t>SM_101124</t>
  </si>
  <si>
    <t>#ai #viral #news #music #tech</t>
  </si>
  <si>
    <t>SM_101125</t>
  </si>
  <si>
    <t>SM_101126</t>
  </si>
  <si>
    <t>#trending #viral #music #funny</t>
  </si>
  <si>
    <t>SM_101127</t>
  </si>
  <si>
    <t>#news #funny #viral #fyp</t>
  </si>
  <si>
    <t>SM_101128</t>
  </si>
  <si>
    <t>#trending #news #fyp #tech #funny</t>
  </si>
  <si>
    <t>SM_101129</t>
  </si>
  <si>
    <t>#viral #news #trending #tech #funny</t>
  </si>
  <si>
    <t>SM_101130</t>
  </si>
  <si>
    <t>#viral #fyp #funny #news #trending</t>
  </si>
  <si>
    <t>SM_101131</t>
  </si>
  <si>
    <t>SM_101132</t>
  </si>
  <si>
    <t>#tech #funny #viral #ai</t>
  </si>
  <si>
    <t>SM_101133</t>
  </si>
  <si>
    <t>#ai #news #funny #fyp</t>
  </si>
  <si>
    <t>SM_101134</t>
  </si>
  <si>
    <t>#news #tech #viral</t>
  </si>
  <si>
    <t>SM_101135</t>
  </si>
  <si>
    <t>SM_101136</t>
  </si>
  <si>
    <t>SM_101137</t>
  </si>
  <si>
    <t>SM_101138</t>
  </si>
  <si>
    <t>SM_101139</t>
  </si>
  <si>
    <t>#news #fyp #music #viral #trending</t>
  </si>
  <si>
    <t>SM_101140</t>
  </si>
  <si>
    <t>SM_101141</t>
  </si>
  <si>
    <t>#fyp #trending #tech #music #viral</t>
  </si>
  <si>
    <t>SM_101142</t>
  </si>
  <si>
    <t>#fyp #music #trending #ai</t>
  </si>
  <si>
    <t>SM_101143</t>
  </si>
  <si>
    <t>#trending #tech #funny #ai #viral</t>
  </si>
  <si>
    <t>SM_101144</t>
  </si>
  <si>
    <t>SM_101145</t>
  </si>
  <si>
    <t>SM_101146</t>
  </si>
  <si>
    <t>SM_101147</t>
  </si>
  <si>
    <t>SM_101148</t>
  </si>
  <si>
    <t>#funny #viral #tech #news</t>
  </si>
  <si>
    <t>SM_101149</t>
  </si>
  <si>
    <t>#funny #tech #news #ai #fyp</t>
  </si>
  <si>
    <t>SM_101150</t>
  </si>
  <si>
    <t>#funny #music #ai #trending #tech</t>
  </si>
  <si>
    <t>SM_101151</t>
  </si>
  <si>
    <t>#news #funny #viral</t>
  </si>
  <si>
    <t>SM_101152</t>
  </si>
  <si>
    <t>SM_101153</t>
  </si>
  <si>
    <t>#trending #ai #fyp #viral #funny</t>
  </si>
  <si>
    <t>SM_101154</t>
  </si>
  <si>
    <t>#trending #viral #tech #news</t>
  </si>
  <si>
    <t>SM_101155</t>
  </si>
  <si>
    <t>#fyp #ai #news #funny #viral</t>
  </si>
  <si>
    <t>SM_101156</t>
  </si>
  <si>
    <t>SM_101157</t>
  </si>
  <si>
    <t>#music #viral #trending #ai #fyp</t>
  </si>
  <si>
    <t>SM_101158</t>
  </si>
  <si>
    <t>#trending #viral #fyp #funny</t>
  </si>
  <si>
    <t>SM_101159</t>
  </si>
  <si>
    <t>SM_101160</t>
  </si>
  <si>
    <t>SM_101161</t>
  </si>
  <si>
    <t>SM_101162</t>
  </si>
  <si>
    <t>#trending #news #music #fyp</t>
  </si>
  <si>
    <t>SM_101163</t>
  </si>
  <si>
    <t>#news #music #trending #viral</t>
  </si>
  <si>
    <t>SM_101164</t>
  </si>
  <si>
    <t>#fyp #news #funny #ai #music</t>
  </si>
  <si>
    <t>SM_101165</t>
  </si>
  <si>
    <t>#tech #viral #ai #music #funny</t>
  </si>
  <si>
    <t>SM_101166</t>
  </si>
  <si>
    <t>#funny #ai #viral #fyp #music</t>
  </si>
  <si>
    <t>SM_101167</t>
  </si>
  <si>
    <t>SM_101168</t>
  </si>
  <si>
    <t>#tech #ai #trending #funny #music</t>
  </si>
  <si>
    <t>SM_101169</t>
  </si>
  <si>
    <t>#viral #music #funny #ai</t>
  </si>
  <si>
    <t>SM_101170</t>
  </si>
  <si>
    <t>#viral #ai #funny #fyp</t>
  </si>
  <si>
    <t>SM_101171</t>
  </si>
  <si>
    <t>SM_101172</t>
  </si>
  <si>
    <t>SM_101173</t>
  </si>
  <si>
    <t>#ai #funny #fyp</t>
  </si>
  <si>
    <t>SM_101174</t>
  </si>
  <si>
    <t>#trending #viral #tech #funny</t>
  </si>
  <si>
    <t>SM_101175</t>
  </si>
  <si>
    <t>SM_101176</t>
  </si>
  <si>
    <t>SM_101177</t>
  </si>
  <si>
    <t>#viral #music #ai #funny</t>
  </si>
  <si>
    <t>SM_101178</t>
  </si>
  <si>
    <t>#news #ai #tech #music #viral</t>
  </si>
  <si>
    <t>SM_101179</t>
  </si>
  <si>
    <t>#viral #ai #trending</t>
  </si>
  <si>
    <t>SM_101180</t>
  </si>
  <si>
    <t>SM_101181</t>
  </si>
  <si>
    <t>SM_101182</t>
  </si>
  <si>
    <t>#tech #news #music #viral</t>
  </si>
  <si>
    <t>SM_101183</t>
  </si>
  <si>
    <t>#viral #trending #funny #news #fyp</t>
  </si>
  <si>
    <t>SM_101184</t>
  </si>
  <si>
    <t>#music #fyp #viral #trending #ai</t>
  </si>
  <si>
    <t>SM_101185</t>
  </si>
  <si>
    <t>SM_101186</t>
  </si>
  <si>
    <t>#trending #ai #fyp #viral #news</t>
  </si>
  <si>
    <t>SM_101187</t>
  </si>
  <si>
    <t>#news #tech #trending #funny</t>
  </si>
  <si>
    <t>SM_101188</t>
  </si>
  <si>
    <t>#tech #music #trending #ai</t>
  </si>
  <si>
    <t>SM_101189</t>
  </si>
  <si>
    <t>SM_101190</t>
  </si>
  <si>
    <t>#news #viral #music #trending</t>
  </si>
  <si>
    <t>SM_101191</t>
  </si>
  <si>
    <t>#tech #funny #ai #fyp</t>
  </si>
  <si>
    <t>SM_101192</t>
  </si>
  <si>
    <t>#tech #news #music #ai</t>
  </si>
  <si>
    <t>SM_101193</t>
  </si>
  <si>
    <t>SM_101194</t>
  </si>
  <si>
    <t>#ai #viral #funny #fyp #news</t>
  </si>
  <si>
    <t>SM_101195</t>
  </si>
  <si>
    <t>#trending #ai #viral #fyp</t>
  </si>
  <si>
    <t>SM_101196</t>
  </si>
  <si>
    <t>SM_101197</t>
  </si>
  <si>
    <t>#ai #news #fyp #tech #music</t>
  </si>
  <si>
    <t>SM_101198</t>
  </si>
  <si>
    <t>SM_101199</t>
  </si>
  <si>
    <t>#ai #tech #fyp #trending #news</t>
  </si>
  <si>
    <t>SM_101200</t>
  </si>
  <si>
    <t>SM_101201</t>
  </si>
  <si>
    <t>#viral #trending #music</t>
  </si>
  <si>
    <t>SM_101202</t>
  </si>
  <si>
    <t>#trending #viral #music</t>
  </si>
  <si>
    <t>SM_101203</t>
  </si>
  <si>
    <t>#music #viral #news #tech #ai</t>
  </si>
  <si>
    <t>SM_101204</t>
  </si>
  <si>
    <t>SM_101205</t>
  </si>
  <si>
    <t>SM_101206</t>
  </si>
  <si>
    <t>#viral #tech #news</t>
  </si>
  <si>
    <t>SM_101207</t>
  </si>
  <si>
    <t>#tech #fyp #music</t>
  </si>
  <si>
    <t>SM_101208</t>
  </si>
  <si>
    <t>#ai #music #tech #fyp #viral</t>
  </si>
  <si>
    <t>SM_101209</t>
  </si>
  <si>
    <t>SM_101210</t>
  </si>
  <si>
    <t>SM_101211</t>
  </si>
  <si>
    <t>#fyp #news #music #ai</t>
  </si>
  <si>
    <t>SM_101212</t>
  </si>
  <si>
    <t>#trending #news #funny #fyp #viral</t>
  </si>
  <si>
    <t>SM_101213</t>
  </si>
  <si>
    <t>SM_101214</t>
  </si>
  <si>
    <t>SM_101215</t>
  </si>
  <si>
    <t>#news #trending #ai #viral</t>
  </si>
  <si>
    <t>SM_101216</t>
  </si>
  <si>
    <t>SM_101217</t>
  </si>
  <si>
    <t>#tech #viral #fyp</t>
  </si>
  <si>
    <t>SM_101218</t>
  </si>
  <si>
    <t>#music #news #ai #funny #trending</t>
  </si>
  <si>
    <t>SM_101219</t>
  </si>
  <si>
    <t>#ai #trending #tech #funny</t>
  </si>
  <si>
    <t>SM_101220</t>
  </si>
  <si>
    <t>SM_101221</t>
  </si>
  <si>
    <t>#fyp #music #tech #news</t>
  </si>
  <si>
    <t>SM_101222</t>
  </si>
  <si>
    <t>SM_101223</t>
  </si>
  <si>
    <t>#viral #news #funny #trending #tech</t>
  </si>
  <si>
    <t>SM_101224</t>
  </si>
  <si>
    <t>SM_101225</t>
  </si>
  <si>
    <t>#fyp #music #ai #news #tech</t>
  </si>
  <si>
    <t>SM_101226</t>
  </si>
  <si>
    <t>#fyp #music #trending #news #viral</t>
  </si>
  <si>
    <t>SM_101227</t>
  </si>
  <si>
    <t>#news #viral #ai #trending #fyp</t>
  </si>
  <si>
    <t>SM_101228</t>
  </si>
  <si>
    <t>#tech #funny #news #music</t>
  </si>
  <si>
    <t>SM_101229</t>
  </si>
  <si>
    <t>#viral #music #ai #tech #fyp</t>
  </si>
  <si>
    <t>SM_101230</t>
  </si>
  <si>
    <t>#music #fyp #trending #news #viral</t>
  </si>
  <si>
    <t>SM_101231</t>
  </si>
  <si>
    <t>SM_101232</t>
  </si>
  <si>
    <t>SM_101233</t>
  </si>
  <si>
    <t>SM_101234</t>
  </si>
  <si>
    <t>#music #trending #tech #fyp #news</t>
  </si>
  <si>
    <t>SM_101235</t>
  </si>
  <si>
    <t>SM_101236</t>
  </si>
  <si>
    <t>#viral #tech #trending #fyp</t>
  </si>
  <si>
    <t>SM_101237</t>
  </si>
  <si>
    <t>SM_101238</t>
  </si>
  <si>
    <t>SM_101239</t>
  </si>
  <si>
    <t>#ai #trending #viral #funny #tech</t>
  </si>
  <si>
    <t>SM_101240</t>
  </si>
  <si>
    <t>#funny #viral #trending #news #music</t>
  </si>
  <si>
    <t>SM_101241</t>
  </si>
  <si>
    <t>#fyp #music #funny #trending</t>
  </si>
  <si>
    <t>SM_101242</t>
  </si>
  <si>
    <t>SM_101243</t>
  </si>
  <si>
    <t>#viral #tech #funny</t>
  </si>
  <si>
    <t>SM_101244</t>
  </si>
  <si>
    <t>#funny #news #fyp #tech #trending</t>
  </si>
  <si>
    <t>SM_101245</t>
  </si>
  <si>
    <t>#trending #viral #tech #fyp #ai</t>
  </si>
  <si>
    <t>SM_101246</t>
  </si>
  <si>
    <t>SM_101247</t>
  </si>
  <si>
    <t>#fyp #tech #viral</t>
  </si>
  <si>
    <t>SM_101248</t>
  </si>
  <si>
    <t>#music #fyp #viral</t>
  </si>
  <si>
    <t>SM_101249</t>
  </si>
  <si>
    <t>#fyp #tech #music #funny</t>
  </si>
  <si>
    <t>SM_101250</t>
  </si>
  <si>
    <t>#viral #tech #trending #news #funny</t>
  </si>
  <si>
    <t>SM_101251</t>
  </si>
  <si>
    <t>#news #trending #ai #tech #funny</t>
  </si>
  <si>
    <t>SM_101252</t>
  </si>
  <si>
    <t>SM_101253</t>
  </si>
  <si>
    <t>SM_101254</t>
  </si>
  <si>
    <t>SM_101255</t>
  </si>
  <si>
    <t>SM_101256</t>
  </si>
  <si>
    <t>SM_101257</t>
  </si>
  <si>
    <t>SM_101258</t>
  </si>
  <si>
    <t>SM_101259</t>
  </si>
  <si>
    <t>#funny #news #trending</t>
  </si>
  <si>
    <t>SM_101260</t>
  </si>
  <si>
    <t>SM_101261</t>
  </si>
  <si>
    <t>#news #funny #ai #trending #fyp</t>
  </si>
  <si>
    <t>SM_101262</t>
  </si>
  <si>
    <t>SM_101263</t>
  </si>
  <si>
    <t>#news #fyp #trending</t>
  </si>
  <si>
    <t>SM_101264</t>
  </si>
  <si>
    <t>#viral #music #fyp #funny</t>
  </si>
  <si>
    <t>SM_101265</t>
  </si>
  <si>
    <t>SM_101266</t>
  </si>
  <si>
    <t>SM_101267</t>
  </si>
  <si>
    <t>#tech #music #news #funny #viral</t>
  </si>
  <si>
    <t>SM_101268</t>
  </si>
  <si>
    <t>#viral #funny #tech #news</t>
  </si>
  <si>
    <t>SM_101269</t>
  </si>
  <si>
    <t>#trending #tech #viral #ai #funny</t>
  </si>
  <si>
    <t>SM_101270</t>
  </si>
  <si>
    <t>#funny #tech #music #trending #fyp</t>
  </si>
  <si>
    <t>SM_101271</t>
  </si>
  <si>
    <t>#music #tech #ai #trending #fyp</t>
  </si>
  <si>
    <t>SM_101272</t>
  </si>
  <si>
    <t>#music #trending #fyp #tech #news</t>
  </si>
  <si>
    <t>SM_101273</t>
  </si>
  <si>
    <t>SM_101274</t>
  </si>
  <si>
    <t>#ai #tech #trending #news</t>
  </si>
  <si>
    <t>SM_101275</t>
  </si>
  <si>
    <t>SM_101276</t>
  </si>
  <si>
    <t>#tech #funny #ai #viral #fyp</t>
  </si>
  <si>
    <t>SM_101277</t>
  </si>
  <si>
    <t>#news #music #trending #viral #funny</t>
  </si>
  <si>
    <t>SM_101278</t>
  </si>
  <si>
    <t>SM_101279</t>
  </si>
  <si>
    <t>#viral #ai #news #funny</t>
  </si>
  <si>
    <t>SM_101280</t>
  </si>
  <si>
    <t>SM_101281</t>
  </si>
  <si>
    <t>#trending #music #funny #fyp</t>
  </si>
  <si>
    <t>SM_101282</t>
  </si>
  <si>
    <t>SM_101283</t>
  </si>
  <si>
    <t>#ai #trending #fyp #tech #funny</t>
  </si>
  <si>
    <t>SM_101284</t>
  </si>
  <si>
    <t>#fyp #funny #tech</t>
  </si>
  <si>
    <t>SM_101285</t>
  </si>
  <si>
    <t>#ai #fyp #viral #funny #trending</t>
  </si>
  <si>
    <t>SM_101286</t>
  </si>
  <si>
    <t>SM_101287</t>
  </si>
  <si>
    <t>SM_101288</t>
  </si>
  <si>
    <t>#fyp #music #ai</t>
  </si>
  <si>
    <t>SM_101289</t>
  </si>
  <si>
    <t>#tech #ai #music #viral</t>
  </si>
  <si>
    <t>SM_101290</t>
  </si>
  <si>
    <t>#tech #viral #trending #ai</t>
  </si>
  <si>
    <t>SM_101291</t>
  </si>
  <si>
    <t>SM_101292</t>
  </si>
  <si>
    <t>#funny #fyp #music #tech #ai</t>
  </si>
  <si>
    <t>SM_101293</t>
  </si>
  <si>
    <t>SM_101294</t>
  </si>
  <si>
    <t>SM_101295</t>
  </si>
  <si>
    <t>SM_101296</t>
  </si>
  <si>
    <t>#funny #music #news #fyp #trending</t>
  </si>
  <si>
    <t>SM_101297</t>
  </si>
  <si>
    <t>SM_101298</t>
  </si>
  <si>
    <t>SM_101299</t>
  </si>
  <si>
    <t>#viral #ai #fyp #tech</t>
  </si>
  <si>
    <t>SM_101300</t>
  </si>
  <si>
    <t>SM_101301</t>
  </si>
  <si>
    <t>SM_101302</t>
  </si>
  <si>
    <t>#viral #ai #tech #news #fyp</t>
  </si>
  <si>
    <t>SM_101303</t>
  </si>
  <si>
    <t>SM_101304</t>
  </si>
  <si>
    <t>SM_101305</t>
  </si>
  <si>
    <t>SM_101306</t>
  </si>
  <si>
    <t>#funny #tech #music #news #fyp</t>
  </si>
  <si>
    <t>SM_101307</t>
  </si>
  <si>
    <t>SM_101308</t>
  </si>
  <si>
    <t>SM_101309</t>
  </si>
  <si>
    <t>SM_101310</t>
  </si>
  <si>
    <t>SM_101311</t>
  </si>
  <si>
    <t>SM_101312</t>
  </si>
  <si>
    <t>#music #fyp #ai</t>
  </si>
  <si>
    <t>SM_101313</t>
  </si>
  <si>
    <t>SM_101314</t>
  </si>
  <si>
    <t>SM_101315</t>
  </si>
  <si>
    <t>#fyp #tech #music #trending</t>
  </si>
  <si>
    <t>SM_101316</t>
  </si>
  <si>
    <t>#trending #funny #viral #tech</t>
  </si>
  <si>
    <t>SM_101317</t>
  </si>
  <si>
    <t>SM_101318</t>
  </si>
  <si>
    <t>#fyp #ai #tech</t>
  </si>
  <si>
    <t>SM_101319</t>
  </si>
  <si>
    <t>SM_101320</t>
  </si>
  <si>
    <t>SM_101321</t>
  </si>
  <si>
    <t>#news #trending #funny #tech</t>
  </si>
  <si>
    <t>SM_101322</t>
  </si>
  <si>
    <t>SM_101323</t>
  </si>
  <si>
    <t>SM_101324</t>
  </si>
  <si>
    <t>#music #viral #news</t>
  </si>
  <si>
    <t>SM_101325</t>
  </si>
  <si>
    <t>SM_101326</t>
  </si>
  <si>
    <t>#viral #trending #ai #tech #music</t>
  </si>
  <si>
    <t>SM_101327</t>
  </si>
  <si>
    <t>SM_101328</t>
  </si>
  <si>
    <t>#tech #fyp #music #trending</t>
  </si>
  <si>
    <t>SM_101329</t>
  </si>
  <si>
    <t>#fyp #viral #tech #trending</t>
  </si>
  <si>
    <t>SM_101330</t>
  </si>
  <si>
    <t>#tech #viral #music #trending</t>
  </si>
  <si>
    <t>SM_101331</t>
  </si>
  <si>
    <t>#funny #trending #music #viral</t>
  </si>
  <si>
    <t>SM_101332</t>
  </si>
  <si>
    <t>#music #tech #funny #viral</t>
  </si>
  <si>
    <t>SM_101333</t>
  </si>
  <si>
    <t>SM_101334</t>
  </si>
  <si>
    <t>SM_101335</t>
  </si>
  <si>
    <t>SM_101336</t>
  </si>
  <si>
    <t>SM_101337</t>
  </si>
  <si>
    <t>#news #tech #viral #music</t>
  </si>
  <si>
    <t>SM_101338</t>
  </si>
  <si>
    <t>#news #viral #tech #funny #music</t>
  </si>
  <si>
    <t>SM_101339</t>
  </si>
  <si>
    <t>SM_101340</t>
  </si>
  <si>
    <t>#ai #tech #fyp</t>
  </si>
  <si>
    <t>SM_101341</t>
  </si>
  <si>
    <t>#tech #viral #fyp #news #music</t>
  </si>
  <si>
    <t>SM_101342</t>
  </si>
  <si>
    <t>#music #tech #funny #trending</t>
  </si>
  <si>
    <t>SM_101343</t>
  </si>
  <si>
    <t>#viral #music #tech #ai #news</t>
  </si>
  <si>
    <t>SM_101344</t>
  </si>
  <si>
    <t>#music #fyp #ai #funny #trending</t>
  </si>
  <si>
    <t>SM_101345</t>
  </si>
  <si>
    <t>#trending #ai #funny</t>
  </si>
  <si>
    <t>SM_101346</t>
  </si>
  <si>
    <t>#tech #funny #trending</t>
  </si>
  <si>
    <t>SM_101347</t>
  </si>
  <si>
    <t>#trending #music #viral #funny</t>
  </si>
  <si>
    <t>SM_101348</t>
  </si>
  <si>
    <t>SM_101349</t>
  </si>
  <si>
    <t>#viral #music #trending #fyp #funny</t>
  </si>
  <si>
    <t>SM_101350</t>
  </si>
  <si>
    <t>SM_101351</t>
  </si>
  <si>
    <t>#ai #funny #trending #tech</t>
  </si>
  <si>
    <t>SM_101352</t>
  </si>
  <si>
    <t>#fyp #funny #music</t>
  </si>
  <si>
    <t>SM_101353</t>
  </si>
  <si>
    <t>#viral #ai #music #fyp</t>
  </si>
  <si>
    <t>SM_101354</t>
  </si>
  <si>
    <t>#news #trending #viral #funny</t>
  </si>
  <si>
    <t>SM_101355</t>
  </si>
  <si>
    <t>SM_101356</t>
  </si>
  <si>
    <t>#ai #viral #tech #trending #music</t>
  </si>
  <si>
    <t>SM_101357</t>
  </si>
  <si>
    <t>#ai #funny #tech #news #viral</t>
  </si>
  <si>
    <t>SM_101358</t>
  </si>
  <si>
    <t>#music #fyp #ai #news</t>
  </si>
  <si>
    <t>SM_101359</t>
  </si>
  <si>
    <t>#fyp #ai #tech #funny</t>
  </si>
  <si>
    <t>SM_101360</t>
  </si>
  <si>
    <t>SM_101361</t>
  </si>
  <si>
    <t>#viral #funny #news #trending #ai</t>
  </si>
  <si>
    <t>SM_101362</t>
  </si>
  <si>
    <t>SM_101363</t>
  </si>
  <si>
    <t>#funny #music #trending</t>
  </si>
  <si>
    <t>SM_101364</t>
  </si>
  <si>
    <t>#tech #funny #viral #music</t>
  </si>
  <si>
    <t>SM_101365</t>
  </si>
  <si>
    <t>SM_101366</t>
  </si>
  <si>
    <t>SM_101367</t>
  </si>
  <si>
    <t>#music #news #tech #ai #fyp</t>
  </si>
  <si>
    <t>SM_101368</t>
  </si>
  <si>
    <t>SM_101369</t>
  </si>
  <si>
    <t>#viral #tech #news #trending #fyp</t>
  </si>
  <si>
    <t>SM_101370</t>
  </si>
  <si>
    <t>#news #music #ai #funny #viral</t>
  </si>
  <si>
    <t>SM_101371</t>
  </si>
  <si>
    <t>#trending #music #ai #fyp #funny</t>
  </si>
  <si>
    <t>SM_101372</t>
  </si>
  <si>
    <t>SM_101373</t>
  </si>
  <si>
    <t>#fyp #music #viral</t>
  </si>
  <si>
    <t>SM_101374</t>
  </si>
  <si>
    <t>#music #funny #fyp</t>
  </si>
  <si>
    <t>SM_101375</t>
  </si>
  <si>
    <t>SM_101376</t>
  </si>
  <si>
    <t>SM_101377</t>
  </si>
  <si>
    <t>SM_101378</t>
  </si>
  <si>
    <t>SM_101379</t>
  </si>
  <si>
    <t>#ai #news #music #trending</t>
  </si>
  <si>
    <t>SM_101380</t>
  </si>
  <si>
    <t>#funny #trending #news #tech</t>
  </si>
  <si>
    <t>SM_101381</t>
  </si>
  <si>
    <t>SM_101382</t>
  </si>
  <si>
    <t>SM_101383</t>
  </si>
  <si>
    <t>SM_101384</t>
  </si>
  <si>
    <t>#ai #tech #news #fyp</t>
  </si>
  <si>
    <t>SM_101385</t>
  </si>
  <si>
    <t>#music #ai #news #viral</t>
  </si>
  <si>
    <t>SM_101386</t>
  </si>
  <si>
    <t>SM_101387</t>
  </si>
  <si>
    <t>#trending #music #ai #funny</t>
  </si>
  <si>
    <t>SM_101388</t>
  </si>
  <si>
    <t>#news #tech #fyp #funny</t>
  </si>
  <si>
    <t>SM_101389</t>
  </si>
  <si>
    <t>#music #news #funny #ai</t>
  </si>
  <si>
    <t>SM_101390</t>
  </si>
  <si>
    <t>#tech #music #ai #fyp #news</t>
  </si>
  <si>
    <t>SM_101391</t>
  </si>
  <si>
    <t>SM_101392</t>
  </si>
  <si>
    <t>SM_101393</t>
  </si>
  <si>
    <t>SM_101394</t>
  </si>
  <si>
    <t>#viral #ai #funny #tech</t>
  </si>
  <si>
    <t>SM_101395</t>
  </si>
  <si>
    <t>SM_101396</t>
  </si>
  <si>
    <t>SM_101397</t>
  </si>
  <si>
    <t>#trending #music #news #tech</t>
  </si>
  <si>
    <t>SM_101398</t>
  </si>
  <si>
    <t>#trending #tech #fyp</t>
  </si>
  <si>
    <t>SM_101399</t>
  </si>
  <si>
    <t>SM_101400</t>
  </si>
  <si>
    <t>SM_101401</t>
  </si>
  <si>
    <t>SM_101402</t>
  </si>
  <si>
    <t>SM_101403</t>
  </si>
  <si>
    <t>#funny #news #tech</t>
  </si>
  <si>
    <t>SM_101404</t>
  </si>
  <si>
    <t>SM_101405</t>
  </si>
  <si>
    <t>SM_101406</t>
  </si>
  <si>
    <t>SM_101407</t>
  </si>
  <si>
    <t>SM_101408</t>
  </si>
  <si>
    <t>SM_101409</t>
  </si>
  <si>
    <t>#trending #ai #news #tech</t>
  </si>
  <si>
    <t>SM_101410</t>
  </si>
  <si>
    <t>#ai #trending #viral #fyp #news</t>
  </si>
  <si>
    <t>SM_101411</t>
  </si>
  <si>
    <t>#trending #tech #music #news</t>
  </si>
  <si>
    <t>SM_101412</t>
  </si>
  <si>
    <t>#tech #news #music #fyp #ai</t>
  </si>
  <si>
    <t>SM_101413</t>
  </si>
  <si>
    <t>SM_101414</t>
  </si>
  <si>
    <t>#fyp #music #trending #tech #ai</t>
  </si>
  <si>
    <t>SM_101415</t>
  </si>
  <si>
    <t>SM_101416</t>
  </si>
  <si>
    <t>#fyp #trending #viral #tech #ai</t>
  </si>
  <si>
    <t>SM_101417</t>
  </si>
  <si>
    <t>#trending #tech #news #funny #viral</t>
  </si>
  <si>
    <t>SM_101418</t>
  </si>
  <si>
    <t>SM_101419</t>
  </si>
  <si>
    <t>SM_101420</t>
  </si>
  <si>
    <t>#fyp #news #ai #tech</t>
  </si>
  <si>
    <t>SM_101421</t>
  </si>
  <si>
    <t>SM_101422</t>
  </si>
  <si>
    <t>SM_101423</t>
  </si>
  <si>
    <t>SM_101424</t>
  </si>
  <si>
    <t>#trending #news #funny #viral</t>
  </si>
  <si>
    <t>SM_101425</t>
  </si>
  <si>
    <t>#music #trending #viral #ai</t>
  </si>
  <si>
    <t>SM_101426</t>
  </si>
  <si>
    <t>SM_101427</t>
  </si>
  <si>
    <t>SM_101428</t>
  </si>
  <si>
    <t>#trending #music #fyp #funny #ai</t>
  </si>
  <si>
    <t>SM_101429</t>
  </si>
  <si>
    <t>#tech #news #funny #fyp</t>
  </si>
  <si>
    <t>SM_101430</t>
  </si>
  <si>
    <t>SM_101431</t>
  </si>
  <si>
    <t>SM_101432</t>
  </si>
  <si>
    <t>SM_101433</t>
  </si>
  <si>
    <t>#ai #music #news #tech #funny</t>
  </si>
  <si>
    <t>SM_101434</t>
  </si>
  <si>
    <t>#trending #fyp #news #funny #tech</t>
  </si>
  <si>
    <t>SM_101435</t>
  </si>
  <si>
    <t>SM_101436</t>
  </si>
  <si>
    <t>SM_101437</t>
  </si>
  <si>
    <t>#music #news #funny #trending</t>
  </si>
  <si>
    <t>SM_101438</t>
  </si>
  <si>
    <t>SM_101439</t>
  </si>
  <si>
    <t>SM_101440</t>
  </si>
  <si>
    <t>#trending #fyp #funny</t>
  </si>
  <si>
    <t>SM_101441</t>
  </si>
  <si>
    <t>#music #tech #ai #funny #news</t>
  </si>
  <si>
    <t>SM_101442</t>
  </si>
  <si>
    <t>#ai #funny #news #fyp</t>
  </si>
  <si>
    <t>SM_101443</t>
  </si>
  <si>
    <t>SM_101444</t>
  </si>
  <si>
    <t>SM_101445</t>
  </si>
  <si>
    <t>#funny #music #news #viral</t>
  </si>
  <si>
    <t>SM_101446</t>
  </si>
  <si>
    <t>SM_101447</t>
  </si>
  <si>
    <t>SM_101448</t>
  </si>
  <si>
    <t>SM_101449</t>
  </si>
  <si>
    <t>#ai #music #viral #trending #tech</t>
  </si>
  <si>
    <t>SM_101450</t>
  </si>
  <si>
    <t>#funny #news #ai #viral</t>
  </si>
  <si>
    <t>SM_101451</t>
  </si>
  <si>
    <t>#ai #music #trending #tech #news</t>
  </si>
  <si>
    <t>SM_101452</t>
  </si>
  <si>
    <t>#trending #tech #funny #news #fyp</t>
  </si>
  <si>
    <t>SM_101453</t>
  </si>
  <si>
    <t>SM_101454</t>
  </si>
  <si>
    <t>#music #trending #funny #news #viral</t>
  </si>
  <si>
    <t>SM_101455</t>
  </si>
  <si>
    <t>SM_101456</t>
  </si>
  <si>
    <t>SM_101457</t>
  </si>
  <si>
    <t>#tech #fyp #news</t>
  </si>
  <si>
    <t>SM_101458</t>
  </si>
  <si>
    <t>#fyp #ai #news #viral</t>
  </si>
  <si>
    <t>SM_101459</t>
  </si>
  <si>
    <t>SM_101460</t>
  </si>
  <si>
    <t>#trending #tech #viral #fyp #news</t>
  </si>
  <si>
    <t>SM_101461</t>
  </si>
  <si>
    <t>#tech #news #fyp #funny #trending</t>
  </si>
  <si>
    <t>SM_101462</t>
  </si>
  <si>
    <t>SM_101463</t>
  </si>
  <si>
    <t>#music #funny #trending</t>
  </si>
  <si>
    <t>SM_101464</t>
  </si>
  <si>
    <t>#ai #trending #funny #viral</t>
  </si>
  <si>
    <t>SM_101465</t>
  </si>
  <si>
    <t>#viral #fyp #tech</t>
  </si>
  <si>
    <t>SM_101466</t>
  </si>
  <si>
    <t>SM_101467</t>
  </si>
  <si>
    <t>SM_101468</t>
  </si>
  <si>
    <t>SM_101469</t>
  </si>
  <si>
    <t>#news #music #funny #fyp #tech</t>
  </si>
  <si>
    <t>SM_101470</t>
  </si>
  <si>
    <t>SM_101471</t>
  </si>
  <si>
    <t>#ai #news #trending</t>
  </si>
  <si>
    <t>SM_101472</t>
  </si>
  <si>
    <t>SM_101473</t>
  </si>
  <si>
    <t>#viral #music #news #funny #fyp</t>
  </si>
  <si>
    <t>SM_101474</t>
  </si>
  <si>
    <t>SM_101475</t>
  </si>
  <si>
    <t>SM_101476</t>
  </si>
  <si>
    <t>SM_101477</t>
  </si>
  <si>
    <t>#trending #news #funny #tech</t>
  </si>
  <si>
    <t>SM_101478</t>
  </si>
  <si>
    <t>SM_101479</t>
  </si>
  <si>
    <t>SM_101480</t>
  </si>
  <si>
    <t>SM_101481</t>
  </si>
  <si>
    <t>SM_101482</t>
  </si>
  <si>
    <t>SM_101483</t>
  </si>
  <si>
    <t>SM_101484</t>
  </si>
  <si>
    <t>#music #fyp #ai #viral #news</t>
  </si>
  <si>
    <t>SM_101485</t>
  </si>
  <si>
    <t>SM_101486</t>
  </si>
  <si>
    <t>#ai #news #funny</t>
  </si>
  <si>
    <t>SM_101487</t>
  </si>
  <si>
    <t>#news #tech #trending #ai</t>
  </si>
  <si>
    <t>SM_101488</t>
  </si>
  <si>
    <t>SM_101489</t>
  </si>
  <si>
    <t>SM_101490</t>
  </si>
  <si>
    <t>#tech #music #fyp #news #funny</t>
  </si>
  <si>
    <t>SM_101491</t>
  </si>
  <si>
    <t>SM_101492</t>
  </si>
  <si>
    <t>SM_101493</t>
  </si>
  <si>
    <t>SM_101494</t>
  </si>
  <si>
    <t>#ai #tech #fyp #funny #trending</t>
  </si>
  <si>
    <t>SM_101495</t>
  </si>
  <si>
    <t>SM_101496</t>
  </si>
  <si>
    <t>#music #viral #funny #news #trending</t>
  </si>
  <si>
    <t>SM_101497</t>
  </si>
  <si>
    <t>SM_101498</t>
  </si>
  <si>
    <t>SM_101499</t>
  </si>
  <si>
    <t>SM_101500</t>
  </si>
  <si>
    <t>#music #fyp #news #trending</t>
  </si>
  <si>
    <t>SM_101501</t>
  </si>
  <si>
    <t>#fyp #trending #news #music #funny</t>
  </si>
  <si>
    <t>SM_101502</t>
  </si>
  <si>
    <t>#tech #music #funny #ai</t>
  </si>
  <si>
    <t>SM_101503</t>
  </si>
  <si>
    <t>#trending #tech #ai #music #news</t>
  </si>
  <si>
    <t>SM_101504</t>
  </si>
  <si>
    <t>SM_101505</t>
  </si>
  <si>
    <t>SM_101506</t>
  </si>
  <si>
    <t>SM_101507</t>
  </si>
  <si>
    <t>SM_101508</t>
  </si>
  <si>
    <t>SM_101509</t>
  </si>
  <si>
    <t>SM_101510</t>
  </si>
  <si>
    <t>SM_101511</t>
  </si>
  <si>
    <t>#music #funny #fyp #ai #viral</t>
  </si>
  <si>
    <t>SM_101512</t>
  </si>
  <si>
    <t>#ai #fyp #music</t>
  </si>
  <si>
    <t>SM_101513</t>
  </si>
  <si>
    <t>SM_101514</t>
  </si>
  <si>
    <t>SM_101515</t>
  </si>
  <si>
    <t>#trending #news #tech #funny #viral</t>
  </si>
  <si>
    <t>SM_101516</t>
  </si>
  <si>
    <t>SM_101517</t>
  </si>
  <si>
    <t>#trending #fyp #news #viral</t>
  </si>
  <si>
    <t>SM_101518</t>
  </si>
  <si>
    <t>SM_101519</t>
  </si>
  <si>
    <t>SM_101520</t>
  </si>
  <si>
    <t>SM_101521</t>
  </si>
  <si>
    <t>#tech #viral #ai #fyp #trending</t>
  </si>
  <si>
    <t>SM_101522</t>
  </si>
  <si>
    <t>#viral #ai #fyp #funny #trending</t>
  </si>
  <si>
    <t>SM_101523</t>
  </si>
  <si>
    <t>SM_101524</t>
  </si>
  <si>
    <t>#funny #fyp #music</t>
  </si>
  <si>
    <t>SM_101525</t>
  </si>
  <si>
    <t>#tech #viral #music #ai</t>
  </si>
  <si>
    <t>SM_101526</t>
  </si>
  <si>
    <t>#news #trending #fyp #music</t>
  </si>
  <si>
    <t>SM_101527</t>
  </si>
  <si>
    <t>SM_101528</t>
  </si>
  <si>
    <t>SM_101529</t>
  </si>
  <si>
    <t>SM_101530</t>
  </si>
  <si>
    <t>SM_101531</t>
  </si>
  <si>
    <t>#music #ai #funny</t>
  </si>
  <si>
    <t>SM_101532</t>
  </si>
  <si>
    <t>#tech #music #viral #trending</t>
  </si>
  <si>
    <t>SM_101533</t>
  </si>
  <si>
    <t>#fyp #viral #tech #music #funny</t>
  </si>
  <si>
    <t>SM_101534</t>
  </si>
  <si>
    <t>#music #viral #trending #funny</t>
  </si>
  <si>
    <t>SM_101535</t>
  </si>
  <si>
    <t>SM_101536</t>
  </si>
  <si>
    <t>SM_101537</t>
  </si>
  <si>
    <t>SM_101538</t>
  </si>
  <si>
    <t>SM_101539</t>
  </si>
  <si>
    <t>#tech #viral #news #music</t>
  </si>
  <si>
    <t>SM_101540</t>
  </si>
  <si>
    <t>SM_101541</t>
  </si>
  <si>
    <t>#fyp #music #trending #news</t>
  </si>
  <si>
    <t>SM_101542</t>
  </si>
  <si>
    <t>SM_101543</t>
  </si>
  <si>
    <t>SM_101544</t>
  </si>
  <si>
    <t>#viral #ai #funny #trending #fyp</t>
  </si>
  <si>
    <t>SM_101545</t>
  </si>
  <si>
    <t>#trending #viral #music #fyp</t>
  </si>
  <si>
    <t>SM_101546</t>
  </si>
  <si>
    <t>#funny #ai #fyp #trending</t>
  </si>
  <si>
    <t>SM_101547</t>
  </si>
  <si>
    <t>SM_101548</t>
  </si>
  <si>
    <t>SM_101549</t>
  </si>
  <si>
    <t>SM_101550</t>
  </si>
  <si>
    <t>SM_101551</t>
  </si>
  <si>
    <t>SM_101552</t>
  </si>
  <si>
    <t>#funny #fyp #tech #news #trending</t>
  </si>
  <si>
    <t>SM_101553</t>
  </si>
  <si>
    <t>SM_101554</t>
  </si>
  <si>
    <t>#viral #tech #ai #funny</t>
  </si>
  <si>
    <t>SM_101555</t>
  </si>
  <si>
    <t>#trending #music #fyp #news #ai</t>
  </si>
  <si>
    <t>SM_101556</t>
  </si>
  <si>
    <t>SM_101557</t>
  </si>
  <si>
    <t>#tech #viral #funny</t>
  </si>
  <si>
    <t>SM_101558</t>
  </si>
  <si>
    <t>#tech #funny #fyp #trending</t>
  </si>
  <si>
    <t>SM_101559</t>
  </si>
  <si>
    <t>SM_101560</t>
  </si>
  <si>
    <t>#news #trending #fyp</t>
  </si>
  <si>
    <t>SM_101561</t>
  </si>
  <si>
    <t>SM_101562</t>
  </si>
  <si>
    <t>SM_101563</t>
  </si>
  <si>
    <t>#tech #news #fyp #music #viral</t>
  </si>
  <si>
    <t>SM_101564</t>
  </si>
  <si>
    <t>#music #trending #tech #viral</t>
  </si>
  <si>
    <t>SM_101565</t>
  </si>
  <si>
    <t>#viral #music #ai #tech</t>
  </si>
  <si>
    <t>SM_101566</t>
  </si>
  <si>
    <t>SM_101567</t>
  </si>
  <si>
    <t>#fyp #viral #tech #trending #music</t>
  </si>
  <si>
    <t>SM_101568</t>
  </si>
  <si>
    <t>SM_101569</t>
  </si>
  <si>
    <t>SM_101570</t>
  </si>
  <si>
    <t>#news #fyp #viral #funny #trending</t>
  </si>
  <si>
    <t>SM_101571</t>
  </si>
  <si>
    <t>#viral #funny #fyp #trending #news</t>
  </si>
  <si>
    <t>SM_101572</t>
  </si>
  <si>
    <t>SM_101573</t>
  </si>
  <si>
    <t>#funny #trending #music #news</t>
  </si>
  <si>
    <t>SM_101574</t>
  </si>
  <si>
    <t>SM_101575</t>
  </si>
  <si>
    <t>SM_101576</t>
  </si>
  <si>
    <t>SM_101577</t>
  </si>
  <si>
    <t>#trending #viral #music #tech #news</t>
  </si>
  <si>
    <t>SM_101578</t>
  </si>
  <si>
    <t>SM_101579</t>
  </si>
  <si>
    <t>SM_101580</t>
  </si>
  <si>
    <t>#trending #fyp #viral #ai #funny</t>
  </si>
  <si>
    <t>SM_101581</t>
  </si>
  <si>
    <t>#funny #tech #viral #trending</t>
  </si>
  <si>
    <t>SM_101582</t>
  </si>
  <si>
    <t>SM_101583</t>
  </si>
  <si>
    <t>SM_101584</t>
  </si>
  <si>
    <t>SM_101585</t>
  </si>
  <si>
    <t>#viral #music #trending #tech</t>
  </si>
  <si>
    <t>SM_101586</t>
  </si>
  <si>
    <t>SM_101587</t>
  </si>
  <si>
    <t>#ai #tech #trending</t>
  </si>
  <si>
    <t>SM_101588</t>
  </si>
  <si>
    <t>#trending #ai #fyp #music</t>
  </si>
  <si>
    <t>SM_101589</t>
  </si>
  <si>
    <t>#music #tech #viral #trending #funny</t>
  </si>
  <si>
    <t>SM_101590</t>
  </si>
  <si>
    <t>#tech #news #trending #funny #ai</t>
  </si>
  <si>
    <t>SM_101591</t>
  </si>
  <si>
    <t>#ai #tech #viral #fyp #trending</t>
  </si>
  <si>
    <t>SM_101592</t>
  </si>
  <si>
    <t>SM_101593</t>
  </si>
  <si>
    <t>SM_101594</t>
  </si>
  <si>
    <t>SM_101595</t>
  </si>
  <si>
    <t>SM_101596</t>
  </si>
  <si>
    <t>#ai #viral #funny</t>
  </si>
  <si>
    <t>SM_101597</t>
  </si>
  <si>
    <t>SM_101598</t>
  </si>
  <si>
    <t>SM_101599</t>
  </si>
  <si>
    <t>SM_101600</t>
  </si>
  <si>
    <t>SM_101601</t>
  </si>
  <si>
    <t>SM_101602</t>
  </si>
  <si>
    <t>#fyp #tech #music #ai</t>
  </si>
  <si>
    <t>SM_101603</t>
  </si>
  <si>
    <t>#ai #music #trending #news #tech</t>
  </si>
  <si>
    <t>SM_101604</t>
  </si>
  <si>
    <t>#fyp #music #funny #viral #trending</t>
  </si>
  <si>
    <t>SM_101605</t>
  </si>
  <si>
    <t>SM_101606</t>
  </si>
  <si>
    <t>#music #tech #trending #ai</t>
  </si>
  <si>
    <t>SM_101607</t>
  </si>
  <si>
    <t>#ai #music #trending #funny</t>
  </si>
  <si>
    <t>SM_101608</t>
  </si>
  <si>
    <t>SM_101609</t>
  </si>
  <si>
    <t>SM_101610</t>
  </si>
  <si>
    <t>SM_101611</t>
  </si>
  <si>
    <t>#ai #trending #viral #news</t>
  </si>
  <si>
    <t>SM_101612</t>
  </si>
  <si>
    <t>SM_101613</t>
  </si>
  <si>
    <t>SM_101614</t>
  </si>
  <si>
    <t>SM_101615</t>
  </si>
  <si>
    <t>SM_101616</t>
  </si>
  <si>
    <t>#news #tech #fyp</t>
  </si>
  <si>
    <t>SM_101617</t>
  </si>
  <si>
    <t>#news #trending #viral #ai</t>
  </si>
  <si>
    <t>SM_101618</t>
  </si>
  <si>
    <t>SM_101619</t>
  </si>
  <si>
    <t>SM_101620</t>
  </si>
  <si>
    <t>SM_101621</t>
  </si>
  <si>
    <t>#fyp #news #music #viral #ai</t>
  </si>
  <si>
    <t>SM_101622</t>
  </si>
  <si>
    <t>#viral #funny #fyp #trending</t>
  </si>
  <si>
    <t>SM_101623</t>
  </si>
  <si>
    <t>SM_101624</t>
  </si>
  <si>
    <t>#funny #viral #fyp #music</t>
  </si>
  <si>
    <t>SM_101625</t>
  </si>
  <si>
    <t>#news #funny #ai #music #tech</t>
  </si>
  <si>
    <t>SM_101626</t>
  </si>
  <si>
    <t>#viral #tech #music #trending #news</t>
  </si>
  <si>
    <t>SM_101627</t>
  </si>
  <si>
    <t>#viral #fyp #news #tech</t>
  </si>
  <si>
    <t>SM_101628</t>
  </si>
  <si>
    <t>SM_101629</t>
  </si>
  <si>
    <t>#music #viral #ai #news</t>
  </si>
  <si>
    <t>SM_101630</t>
  </si>
  <si>
    <t>SM_101631</t>
  </si>
  <si>
    <t>SM_101632</t>
  </si>
  <si>
    <t>#funny #news #viral #fyp</t>
  </si>
  <si>
    <t>SM_101633</t>
  </si>
  <si>
    <t>SM_101634</t>
  </si>
  <si>
    <t>#fyp #ai #funny #music</t>
  </si>
  <si>
    <t>SM_101635</t>
  </si>
  <si>
    <t>#news #fyp #tech</t>
  </si>
  <si>
    <t>SM_101636</t>
  </si>
  <si>
    <t>#tech #music #viral #news #funny</t>
  </si>
  <si>
    <t>SM_101637</t>
  </si>
  <si>
    <t>SM_101638</t>
  </si>
  <si>
    <t>SM_101639</t>
  </si>
  <si>
    <t>#viral #fyp #funny #trending #music</t>
  </si>
  <si>
    <t>SM_101640</t>
  </si>
  <si>
    <t>#music #viral #trending #fyp</t>
  </si>
  <si>
    <t>SM_101641</t>
  </si>
  <si>
    <t>#music #ai #tech</t>
  </si>
  <si>
    <t>SM_101642</t>
  </si>
  <si>
    <t>SM_101643</t>
  </si>
  <si>
    <t>#news #viral #trending</t>
  </si>
  <si>
    <t>SM_101644</t>
  </si>
  <si>
    <t>SM_101645</t>
  </si>
  <si>
    <t>#funny #viral #news #trending #ai</t>
  </si>
  <si>
    <t>SM_101646</t>
  </si>
  <si>
    <t>SM_101647</t>
  </si>
  <si>
    <t>SM_101648</t>
  </si>
  <si>
    <t>SM_101649</t>
  </si>
  <si>
    <t>SM_101650</t>
  </si>
  <si>
    <t>#ai #trending #music #tech</t>
  </si>
  <si>
    <t>SM_101651</t>
  </si>
  <si>
    <t>SM_101652</t>
  </si>
  <si>
    <t>#news #tech #funny #ai</t>
  </si>
  <si>
    <t>SM_101653</t>
  </si>
  <si>
    <t>SM_101654</t>
  </si>
  <si>
    <t>SM_101655</t>
  </si>
  <si>
    <t>#funny #ai #trending #news</t>
  </si>
  <si>
    <t>SM_101656</t>
  </si>
  <si>
    <t>#funny #ai #tech #music</t>
  </si>
  <si>
    <t>SM_101657</t>
  </si>
  <si>
    <t>SM_101658</t>
  </si>
  <si>
    <t>#trending #music #tech #viral #funny</t>
  </si>
  <si>
    <t>SM_101659</t>
  </si>
  <si>
    <t>SM_101660</t>
  </si>
  <si>
    <t>SM_101661</t>
  </si>
  <si>
    <t>#fyp #ai #music #trending #funny</t>
  </si>
  <si>
    <t>SM_101662</t>
  </si>
  <si>
    <t>SM_101663</t>
  </si>
  <si>
    <t>SM_101664</t>
  </si>
  <si>
    <t>SM_101665</t>
  </si>
  <si>
    <t>#news #trending #funny #ai #music</t>
  </si>
  <si>
    <t>SM_101666</t>
  </si>
  <si>
    <t>#fyp #ai #tech #viral #music</t>
  </si>
  <si>
    <t>SM_101667</t>
  </si>
  <si>
    <t>#music #news #ai #tech #funny</t>
  </si>
  <si>
    <t>SM_101668</t>
  </si>
  <si>
    <t>#news #music #tech</t>
  </si>
  <si>
    <t>SM_101669</t>
  </si>
  <si>
    <t>SM_101670</t>
  </si>
  <si>
    <t>#music #fyp #ai #tech #funny</t>
  </si>
  <si>
    <t>SM_101671</t>
  </si>
  <si>
    <t>#viral #fyp #music #news</t>
  </si>
  <si>
    <t>SM_101672</t>
  </si>
  <si>
    <t>#music #ai #viral #fyp #funny</t>
  </si>
  <si>
    <t>SM_101673</t>
  </si>
  <si>
    <t>#viral #music #fyp</t>
  </si>
  <si>
    <t>SM_101674</t>
  </si>
  <si>
    <t>SM_101675</t>
  </si>
  <si>
    <t>#trending #funny #music #news</t>
  </si>
  <si>
    <t>SM_101676</t>
  </si>
  <si>
    <t>#funny #news #music #tech #ai</t>
  </si>
  <si>
    <t>SM_101677</t>
  </si>
  <si>
    <t>SM_101678</t>
  </si>
  <si>
    <t>#news #tech #fyp #ai</t>
  </si>
  <si>
    <t>SM_101679</t>
  </si>
  <si>
    <t>#viral #fyp #ai #funny</t>
  </si>
  <si>
    <t>SM_101680</t>
  </si>
  <si>
    <t>#fyp #ai #trending #news #funny</t>
  </si>
  <si>
    <t>SM_101681</t>
  </si>
  <si>
    <t>SM_101682</t>
  </si>
  <si>
    <t>#news #tech #ai #viral #music</t>
  </si>
  <si>
    <t>SM_101683</t>
  </si>
  <si>
    <t>SM_101684</t>
  </si>
  <si>
    <t>#tech #ai #fyp #funny</t>
  </si>
  <si>
    <t>SM_101685</t>
  </si>
  <si>
    <t>#music #trending #fyp</t>
  </si>
  <si>
    <t>SM_101686</t>
  </si>
  <si>
    <t>#fyp #viral #tech</t>
  </si>
  <si>
    <t>SM_101687</t>
  </si>
  <si>
    <t>#trending #tech #music #ai #viral</t>
  </si>
  <si>
    <t>SM_101688</t>
  </si>
  <si>
    <t>#news #music #ai #trending #funny</t>
  </si>
  <si>
    <t>SM_101689</t>
  </si>
  <si>
    <t>SM_101690</t>
  </si>
  <si>
    <t>SM_101691</t>
  </si>
  <si>
    <t>#tech #news #trending</t>
  </si>
  <si>
    <t>SM_101692</t>
  </si>
  <si>
    <t>#news #trending #viral #funny #tech</t>
  </si>
  <si>
    <t>SM_101693</t>
  </si>
  <si>
    <t>SM_101694</t>
  </si>
  <si>
    <t>SM_101695</t>
  </si>
  <si>
    <t>SM_101696</t>
  </si>
  <si>
    <t>SM_101697</t>
  </si>
  <si>
    <t>SM_101698</t>
  </si>
  <si>
    <t>#music #trending #news #fyp</t>
  </si>
  <si>
    <t>SM_101699</t>
  </si>
  <si>
    <t>SM_101700</t>
  </si>
  <si>
    <t>#tech #trending #music #fyp</t>
  </si>
  <si>
    <t>SM_101701</t>
  </si>
  <si>
    <t>#tech #trending #viral #funny #news</t>
  </si>
  <si>
    <t>SM_101702</t>
  </si>
  <si>
    <t>SM_101703</t>
  </si>
  <si>
    <t>SM_101704</t>
  </si>
  <si>
    <t>SM_101705</t>
  </si>
  <si>
    <t>SM_101706</t>
  </si>
  <si>
    <t>#tech #news #funny</t>
  </si>
  <si>
    <t>SM_101707</t>
  </si>
  <si>
    <t>#funny #ai #news #trending #viral</t>
  </si>
  <si>
    <t>SM_101708</t>
  </si>
  <si>
    <t>#ai #viral #music #funny #fyp</t>
  </si>
  <si>
    <t>SM_101709</t>
  </si>
  <si>
    <t>SM_101710</t>
  </si>
  <si>
    <t>SM_101711</t>
  </si>
  <si>
    <t>#ai #viral #funny #tech #music</t>
  </si>
  <si>
    <t>SM_101712</t>
  </si>
  <si>
    <t>#viral #fyp #music #ai #funny</t>
  </si>
  <si>
    <t>SM_101713</t>
  </si>
  <si>
    <t>SM_101714</t>
  </si>
  <si>
    <t>SM_101715</t>
  </si>
  <si>
    <t>SM_101716</t>
  </si>
  <si>
    <t>#fyp #funny #news #music #tech</t>
  </si>
  <si>
    <t>SM_101717</t>
  </si>
  <si>
    <t>SM_101718</t>
  </si>
  <si>
    <t>SM_101719</t>
  </si>
  <si>
    <t>#viral #trending #tech #fyp</t>
  </si>
  <si>
    <t>SM_101720</t>
  </si>
  <si>
    <t>SM_101721</t>
  </si>
  <si>
    <t>SM_101722</t>
  </si>
  <si>
    <t>SM_101723</t>
  </si>
  <si>
    <t>#fyp #trending #news #funny</t>
  </si>
  <si>
    <t>SM_101724</t>
  </si>
  <si>
    <t>#news #trending #tech #music</t>
  </si>
  <si>
    <t>SM_101725</t>
  </si>
  <si>
    <t>#fyp #viral #music #tech</t>
  </si>
  <si>
    <t>SM_101726</t>
  </si>
  <si>
    <t>SM_101727</t>
  </si>
  <si>
    <t>SM_101728</t>
  </si>
  <si>
    <t>SM_101729</t>
  </si>
  <si>
    <t>#news #tech #trending</t>
  </si>
  <si>
    <t>SM_101730</t>
  </si>
  <si>
    <t>SM_101731</t>
  </si>
  <si>
    <t>#music #viral #news #trending</t>
  </si>
  <si>
    <t>SM_101732</t>
  </si>
  <si>
    <t>SM_101733</t>
  </si>
  <si>
    <t>SM_101734</t>
  </si>
  <si>
    <t>#viral #ai #news #fyp #funny</t>
  </si>
  <si>
    <t>SM_101735</t>
  </si>
  <si>
    <t>SM_101736</t>
  </si>
  <si>
    <t>SM_101737</t>
  </si>
  <si>
    <t>#fyp #funny #tech #ai</t>
  </si>
  <si>
    <t>SM_101738</t>
  </si>
  <si>
    <t>SM_101739</t>
  </si>
  <si>
    <t>#ai #viral #trending #fyp</t>
  </si>
  <si>
    <t>SM_101740</t>
  </si>
  <si>
    <t>#fyp #tech #trending #music</t>
  </si>
  <si>
    <t>SM_101741</t>
  </si>
  <si>
    <t>SM_101742</t>
  </si>
  <si>
    <t>#fyp #viral #trending #funny</t>
  </si>
  <si>
    <t>SM_101743</t>
  </si>
  <si>
    <t>#viral #music #funny #ai #trending</t>
  </si>
  <si>
    <t>SM_101744</t>
  </si>
  <si>
    <t>#ai #fyp #funny #trending #music</t>
  </si>
  <si>
    <t>SM_101745</t>
  </si>
  <si>
    <t>SM_101746</t>
  </si>
  <si>
    <t>#viral #trending #music #fyp</t>
  </si>
  <si>
    <t>SM_101747</t>
  </si>
  <si>
    <t>SM_101748</t>
  </si>
  <si>
    <t>#music #trending #funny #news #tech</t>
  </si>
  <si>
    <t>SM_101749</t>
  </si>
  <si>
    <t>SM_101750</t>
  </si>
  <si>
    <t>#ai #trending #fyp #tech #music</t>
  </si>
  <si>
    <t>SM_101751</t>
  </si>
  <si>
    <t>#trending #funny #music #fyp</t>
  </si>
  <si>
    <t>SM_101752</t>
  </si>
  <si>
    <t>#tech #ai #funny #music #news</t>
  </si>
  <si>
    <t>SM_101753</t>
  </si>
  <si>
    <t>#trending #ai #news #funny</t>
  </si>
  <si>
    <t>SM_101754</t>
  </si>
  <si>
    <t>#music #funny #tech #fyp #news</t>
  </si>
  <si>
    <t>SM_101755</t>
  </si>
  <si>
    <t>SM_101756</t>
  </si>
  <si>
    <t>#ai #music #trending #viral</t>
  </si>
  <si>
    <t>SM_101757</t>
  </si>
  <si>
    <t>SM_101758</t>
  </si>
  <si>
    <t>#tech #trending #news</t>
  </si>
  <si>
    <t>SM_101759</t>
  </si>
  <si>
    <t>#tech #music #ai #viral</t>
  </si>
  <si>
    <t>SM_101760</t>
  </si>
  <si>
    <t>#ai #funny #viral #news #fyp</t>
  </si>
  <si>
    <t>SM_101761</t>
  </si>
  <si>
    <t>SM_101762</t>
  </si>
  <si>
    <t>#viral #trending #fyp #music #news</t>
  </si>
  <si>
    <t>SM_101763</t>
  </si>
  <si>
    <t>SM_101764</t>
  </si>
  <si>
    <t>SM_101765</t>
  </si>
  <si>
    <t>#music #trending #ai #tech #viral</t>
  </si>
  <si>
    <t>SM_101766</t>
  </si>
  <si>
    <t>SM_101767</t>
  </si>
  <si>
    <t>SM_101768</t>
  </si>
  <si>
    <t>#music #fyp #news #funny</t>
  </si>
  <si>
    <t>SM_101769</t>
  </si>
  <si>
    <t>#funny #tech #fyp #viral #ai</t>
  </si>
  <si>
    <t>SM_101770</t>
  </si>
  <si>
    <t>#viral #fyp #tech #funny #music</t>
  </si>
  <si>
    <t>SM_101771</t>
  </si>
  <si>
    <t>SM_101772</t>
  </si>
  <si>
    <t>SM_101773</t>
  </si>
  <si>
    <t>#news #funny #tech #fyp</t>
  </si>
  <si>
    <t>SM_101774</t>
  </si>
  <si>
    <t>#ai #funny #tech #fyp</t>
  </si>
  <si>
    <t>SM_101775</t>
  </si>
  <si>
    <t>#ai #trending #fyp #news #music</t>
  </si>
  <si>
    <t>SM_101776</t>
  </si>
  <si>
    <t>#news #funny #ai</t>
  </si>
  <si>
    <t>SM_101777</t>
  </si>
  <si>
    <t>#trending #music #ai #viral</t>
  </si>
  <si>
    <t>SM_101778</t>
  </si>
  <si>
    <t>#funny #music #tech #fyp #news</t>
  </si>
  <si>
    <t>SM_101779</t>
  </si>
  <si>
    <t>SM_101780</t>
  </si>
  <si>
    <t>#ai #trending #music #tech #fyp</t>
  </si>
  <si>
    <t>SM_101781</t>
  </si>
  <si>
    <t>SM_101782</t>
  </si>
  <si>
    <t>#music #tech #viral</t>
  </si>
  <si>
    <t>SM_101783</t>
  </si>
  <si>
    <t>SM_101784</t>
  </si>
  <si>
    <t>SM_101785</t>
  </si>
  <si>
    <t>SM_101786</t>
  </si>
  <si>
    <t>#tech #news #funny #trending</t>
  </si>
  <si>
    <t>SM_101787</t>
  </si>
  <si>
    <t>SM_101788</t>
  </si>
  <si>
    <t>SM_101789</t>
  </si>
  <si>
    <t>SM_101790</t>
  </si>
  <si>
    <t>#ai #news #viral #trending</t>
  </si>
  <si>
    <t>SM_101791</t>
  </si>
  <si>
    <t>SM_101792</t>
  </si>
  <si>
    <t>SM_101793</t>
  </si>
  <si>
    <t>SM_101794</t>
  </si>
  <si>
    <t>#news #music #viral #funny #ai</t>
  </si>
  <si>
    <t>SM_101795</t>
  </si>
  <si>
    <t>SM_101796</t>
  </si>
  <si>
    <t>#news #viral #tech #ai</t>
  </si>
  <si>
    <t>SM_101797</t>
  </si>
  <si>
    <t>#music #funny #fyp #news</t>
  </si>
  <si>
    <t>SM_101798</t>
  </si>
  <si>
    <t>#tech #ai #funny #news</t>
  </si>
  <si>
    <t>SM_101799</t>
  </si>
  <si>
    <t>#viral #funny #trending #tech #fyp</t>
  </si>
  <si>
    <t>SM_101800</t>
  </si>
  <si>
    <t>#trending #fyp #funny #tech #viral</t>
  </si>
  <si>
    <t>SM_101801</t>
  </si>
  <si>
    <t>SM_101802</t>
  </si>
  <si>
    <t>#ai #news #fyp #music #trending</t>
  </si>
  <si>
    <t>SM_101803</t>
  </si>
  <si>
    <t>SM_101804</t>
  </si>
  <si>
    <t>SM_101805</t>
  </si>
  <si>
    <t>#news #funny #ai #music</t>
  </si>
  <si>
    <t>SM_101806</t>
  </si>
  <si>
    <t>#funny #fyp #news #tech #ai</t>
  </si>
  <si>
    <t>SM_101807</t>
  </si>
  <si>
    <t>#fyp #music #trending #viral</t>
  </si>
  <si>
    <t>SM_101808</t>
  </si>
  <si>
    <t>#fyp #tech #music</t>
  </si>
  <si>
    <t>SM_101809</t>
  </si>
  <si>
    <t>SM_101810</t>
  </si>
  <si>
    <t>#music #viral #trending</t>
  </si>
  <si>
    <t>SM_101811</t>
  </si>
  <si>
    <t>SM_101812</t>
  </si>
  <si>
    <t>SM_101813</t>
  </si>
  <si>
    <t>#music #trending #fyp #tech</t>
  </si>
  <si>
    <t>SM_101814</t>
  </si>
  <si>
    <t>SM_101815</t>
  </si>
  <si>
    <t>SM_101816</t>
  </si>
  <si>
    <t>SM_101817</t>
  </si>
  <si>
    <t>SM_101818</t>
  </si>
  <si>
    <t>#fyp #viral #funny #news #trending</t>
  </si>
  <si>
    <t>SM_101819</t>
  </si>
  <si>
    <t>#funny #viral #tech #music #trending</t>
  </si>
  <si>
    <t>SM_101820</t>
  </si>
  <si>
    <t>SM_101821</t>
  </si>
  <si>
    <t>SM_101822</t>
  </si>
  <si>
    <t>#viral #trending #ai #funny</t>
  </si>
  <si>
    <t>SM_101823</t>
  </si>
  <si>
    <t>#news #funny #music #viral</t>
  </si>
  <si>
    <t>SM_101824</t>
  </si>
  <si>
    <t>SM_101825</t>
  </si>
  <si>
    <t>SM_101826</t>
  </si>
  <si>
    <t>#trending #fyp #news #tech #ai</t>
  </si>
  <si>
    <t>SM_101827</t>
  </si>
  <si>
    <t>#music #ai #fyp #tech</t>
  </si>
  <si>
    <t>SM_101828</t>
  </si>
  <si>
    <t>#viral #funny #news #fyp</t>
  </si>
  <si>
    <t>SM_101829</t>
  </si>
  <si>
    <t>#funny #trending #viral #music #ai</t>
  </si>
  <si>
    <t>SM_101830</t>
  </si>
  <si>
    <t>#ai #music #viral #fyp #trending</t>
  </si>
  <si>
    <t>SM_101831</t>
  </si>
  <si>
    <t>SM_101832</t>
  </si>
  <si>
    <t>#fyp #news #trending #funny #ai</t>
  </si>
  <si>
    <t>SM_101833</t>
  </si>
  <si>
    <t>#ai #news #funny #music #trending</t>
  </si>
  <si>
    <t>SM_101834</t>
  </si>
  <si>
    <t>SM_101835</t>
  </si>
  <si>
    <t>SM_101836</t>
  </si>
  <si>
    <t>SM_101837</t>
  </si>
  <si>
    <t>#ai #fyp #news #music #funny</t>
  </si>
  <si>
    <t>SM_101838</t>
  </si>
  <si>
    <t>SM_101839</t>
  </si>
  <si>
    <t>SM_101840</t>
  </si>
  <si>
    <t>SM_101841</t>
  </si>
  <si>
    <t>SM_101842</t>
  </si>
  <si>
    <t>SM_101843</t>
  </si>
  <si>
    <t>SM_101844</t>
  </si>
  <si>
    <t>SM_101845</t>
  </si>
  <si>
    <t>SM_101846</t>
  </si>
  <si>
    <t>SM_101847</t>
  </si>
  <si>
    <t>#viral #trending #fyp #music #funny</t>
  </si>
  <si>
    <t>SM_101848</t>
  </si>
  <si>
    <t>SM_101849</t>
  </si>
  <si>
    <t>#ai #funny #trending #music</t>
  </si>
  <si>
    <t>SM_101850</t>
  </si>
  <si>
    <t>#news #fyp #ai #tech #funny</t>
  </si>
  <si>
    <t>SM_101851</t>
  </si>
  <si>
    <t>SM_101852</t>
  </si>
  <si>
    <t>#funny #fyp #trending #ai #news</t>
  </si>
  <si>
    <t>SM_101853</t>
  </si>
  <si>
    <t>SM_101854</t>
  </si>
  <si>
    <t>#tech #viral #trending #news #funny</t>
  </si>
  <si>
    <t>SM_101855</t>
  </si>
  <si>
    <t>#tech #fyp #viral #news</t>
  </si>
  <si>
    <t>SM_101856</t>
  </si>
  <si>
    <t>#music #viral #funny #ai #tech</t>
  </si>
  <si>
    <t>SM_101857</t>
  </si>
  <si>
    <t>#fyp #ai #tech #funny #music</t>
  </si>
  <si>
    <t>SM_101858</t>
  </si>
  <si>
    <t>#funny #fyp #trending #music #viral</t>
  </si>
  <si>
    <t>SM_101859</t>
  </si>
  <si>
    <t>SM_101860</t>
  </si>
  <si>
    <t>SM_101861</t>
  </si>
  <si>
    <t>#funny #fyp #tech #viral</t>
  </si>
  <si>
    <t>SM_101862</t>
  </si>
  <si>
    <t>#news #funny #tech #music #viral</t>
  </si>
  <si>
    <t>SM_101863</t>
  </si>
  <si>
    <t>SM_101864</t>
  </si>
  <si>
    <t>SM_101865</t>
  </si>
  <si>
    <t>#news #viral #trending #funny</t>
  </si>
  <si>
    <t>SM_101866</t>
  </si>
  <si>
    <t>SM_101867</t>
  </si>
  <si>
    <t>SM_101868</t>
  </si>
  <si>
    <t>#viral #tech #ai #news</t>
  </si>
  <si>
    <t>SM_101869</t>
  </si>
  <si>
    <t>#ai #music #fyp</t>
  </si>
  <si>
    <t>SM_101870</t>
  </si>
  <si>
    <t>SM_101871</t>
  </si>
  <si>
    <t>#fyp #tech #funny #viral #music</t>
  </si>
  <si>
    <t>SM_101872</t>
  </si>
  <si>
    <t>#music #tech #viral #trending</t>
  </si>
  <si>
    <t>SM_101873</t>
  </si>
  <si>
    <t>SM_101874</t>
  </si>
  <si>
    <t>#viral #funny #fyp #news #music</t>
  </si>
  <si>
    <t>SM_101875</t>
  </si>
  <si>
    <t>SM_101876</t>
  </si>
  <si>
    <t>#funny #music #news #ai #viral</t>
  </si>
  <si>
    <t>SM_101877</t>
  </si>
  <si>
    <t>#fyp #ai #trending #funny</t>
  </si>
  <si>
    <t>SM_101878</t>
  </si>
  <si>
    <t>#fyp #trending #news #tech</t>
  </si>
  <si>
    <t>SM_101879</t>
  </si>
  <si>
    <t>#viral #tech #funny #fyp</t>
  </si>
  <si>
    <t>SM_101880</t>
  </si>
  <si>
    <t>SM_101881</t>
  </si>
  <si>
    <t>SM_101882</t>
  </si>
  <si>
    <t>SM_101883</t>
  </si>
  <si>
    <t>#news #funny #trending #tech #viral</t>
  </si>
  <si>
    <t>SM_101884</t>
  </si>
  <si>
    <t>SM_101885</t>
  </si>
  <si>
    <t>SM_101886</t>
  </si>
  <si>
    <t>SM_101887</t>
  </si>
  <si>
    <t>SM_101888</t>
  </si>
  <si>
    <t>#trending #ai #fyp #music #news</t>
  </si>
  <si>
    <t>SM_101889</t>
  </si>
  <si>
    <t>#viral #tech #ai</t>
  </si>
  <si>
    <t>SM_101890</t>
  </si>
  <si>
    <t>SM_101891</t>
  </si>
  <si>
    <t>#ai #news #tech #trending #music</t>
  </si>
  <si>
    <t>SM_101892</t>
  </si>
  <si>
    <t>#fyp #tech #trending</t>
  </si>
  <si>
    <t>SM_101893</t>
  </si>
  <si>
    <t>#ai #fyp #trending #music</t>
  </si>
  <si>
    <t>SM_101894</t>
  </si>
  <si>
    <t>SM_101895</t>
  </si>
  <si>
    <t>#fyp #music #funny #tech #trending</t>
  </si>
  <si>
    <t>SM_101896</t>
  </si>
  <si>
    <t>#funny #tech #viral #news</t>
  </si>
  <si>
    <t>SM_101897</t>
  </si>
  <si>
    <t>#music #tech #fyp</t>
  </si>
  <si>
    <t>SM_101898</t>
  </si>
  <si>
    <t>#music #fyp #ai #trending</t>
  </si>
  <si>
    <t>SM_101899</t>
  </si>
  <si>
    <t>SM_101900</t>
  </si>
  <si>
    <t>SM_101901</t>
  </si>
  <si>
    <t>SM_101902</t>
  </si>
  <si>
    <t>#tech #trending #news #viral</t>
  </si>
  <si>
    <t>SM_101903</t>
  </si>
  <si>
    <t>#news #fyp #trending #ai</t>
  </si>
  <si>
    <t>SM_101904</t>
  </si>
  <si>
    <t>SM_101905</t>
  </si>
  <si>
    <t>SM_101906</t>
  </si>
  <si>
    <t>#news #music #tech #viral #funny</t>
  </si>
  <si>
    <t>SM_101907</t>
  </si>
  <si>
    <t>#news #funny #trending #ai #tech</t>
  </si>
  <si>
    <t>SM_101908</t>
  </si>
  <si>
    <t>SM_101909</t>
  </si>
  <si>
    <t>#news #music #trending #ai</t>
  </si>
  <si>
    <t>SM_101910</t>
  </si>
  <si>
    <t>#fyp #tech #news #ai #music</t>
  </si>
  <si>
    <t>SM_101911</t>
  </si>
  <si>
    <t>SM_101912</t>
  </si>
  <si>
    <t>SM_101913</t>
  </si>
  <si>
    <t>#music #ai #fyp #tech #trending</t>
  </si>
  <si>
    <t>SM_101914</t>
  </si>
  <si>
    <t>SM_101915</t>
  </si>
  <si>
    <t>#ai #tech #funny #viral</t>
  </si>
  <si>
    <t>SM_101916</t>
  </si>
  <si>
    <t>#viral #ai #funny</t>
  </si>
  <si>
    <t>SM_101917</t>
  </si>
  <si>
    <t>#news #funny #trending #music</t>
  </si>
  <si>
    <t>SM_101918</t>
  </si>
  <si>
    <t>SM_101919</t>
  </si>
  <si>
    <t>SM_101920</t>
  </si>
  <si>
    <t>SM_101921</t>
  </si>
  <si>
    <t>#funny #ai #music #trending</t>
  </si>
  <si>
    <t>SM_101922</t>
  </si>
  <si>
    <t>SM_101923</t>
  </si>
  <si>
    <t>SM_101924</t>
  </si>
  <si>
    <t>#funny #fyp #viral #music</t>
  </si>
  <si>
    <t>SM_101925</t>
  </si>
  <si>
    <t>SM_101926</t>
  </si>
  <si>
    <t>#ai #tech #viral #fyp</t>
  </si>
  <si>
    <t>SM_101927</t>
  </si>
  <si>
    <t>SM_101928</t>
  </si>
  <si>
    <t>#fyp #tech #news #viral #funny</t>
  </si>
  <si>
    <t>SM_101929</t>
  </si>
  <si>
    <t>#ai #viral #fyp #tech</t>
  </si>
  <si>
    <t>SM_101930</t>
  </si>
  <si>
    <t>#fyp #tech #viral #funny</t>
  </si>
  <si>
    <t>SM_101931</t>
  </si>
  <si>
    <t>#ai #music #funny #tech</t>
  </si>
  <si>
    <t>SM_101932</t>
  </si>
  <si>
    <t>SM_101933</t>
  </si>
  <si>
    <t>#tech #funny #music #trending</t>
  </si>
  <si>
    <t>SM_101934</t>
  </si>
  <si>
    <t>SM_101935</t>
  </si>
  <si>
    <t>SM_101936</t>
  </si>
  <si>
    <t>SM_101937</t>
  </si>
  <si>
    <t>#trending #news #ai #music</t>
  </si>
  <si>
    <t>SM_101938</t>
  </si>
  <si>
    <t>#trending #fyp #news #ai #music</t>
  </si>
  <si>
    <t>SM_101939</t>
  </si>
  <si>
    <t>SM_101940</t>
  </si>
  <si>
    <t>#ai #music #fyp #funny</t>
  </si>
  <si>
    <t>SM_101941</t>
  </si>
  <si>
    <t>#funny #trending #news #ai</t>
  </si>
  <si>
    <t>SM_101942</t>
  </si>
  <si>
    <t>#tech #news #ai</t>
  </si>
  <si>
    <t>SM_101943</t>
  </si>
  <si>
    <t>SM_101944</t>
  </si>
  <si>
    <t>SM_101945</t>
  </si>
  <si>
    <t>SM_101946</t>
  </si>
  <si>
    <t>SM_101947</t>
  </si>
  <si>
    <t>#fyp #tech #viral #music #trending</t>
  </si>
  <si>
    <t>SM_101948</t>
  </si>
  <si>
    <t>#trending #news #funny #ai #music</t>
  </si>
  <si>
    <t>SM_101949</t>
  </si>
  <si>
    <t>#funny #viral #news #tech</t>
  </si>
  <si>
    <t>SM_101950</t>
  </si>
  <si>
    <t>#trending #ai #viral #funny</t>
  </si>
  <si>
    <t>SM_101951</t>
  </si>
  <si>
    <t>#tech #funny #music #fyp</t>
  </si>
  <si>
    <t>SM_101952</t>
  </si>
  <si>
    <t>SM_101953</t>
  </si>
  <si>
    <t>#funny #trending #tech #fyp</t>
  </si>
  <si>
    <t>SM_101954</t>
  </si>
  <si>
    <t>#music #ai #viral #trending #news</t>
  </si>
  <si>
    <t>SM_101955</t>
  </si>
  <si>
    <t>SM_101956</t>
  </si>
  <si>
    <t>SM_101957</t>
  </si>
  <si>
    <t>SM_101958</t>
  </si>
  <si>
    <t>SM_101959</t>
  </si>
  <si>
    <t>SM_101960</t>
  </si>
  <si>
    <t>SM_101961</t>
  </si>
  <si>
    <t>#music #tech #trending #news</t>
  </si>
  <si>
    <t>SM_101962</t>
  </si>
  <si>
    <t>SM_101963</t>
  </si>
  <si>
    <t>#fyp #viral #funny</t>
  </si>
  <si>
    <t>SM_101964</t>
  </si>
  <si>
    <t>SM_101965</t>
  </si>
  <si>
    <t>#music #tech #news #fyp #ai</t>
  </si>
  <si>
    <t>SM_101966</t>
  </si>
  <si>
    <t>SM_101967</t>
  </si>
  <si>
    <t>SM_101968</t>
  </si>
  <si>
    <t>SM_101969</t>
  </si>
  <si>
    <t>#trending #funny #fyp</t>
  </si>
  <si>
    <t>SM_101970</t>
  </si>
  <si>
    <t>#tech #viral #fyp #ai #trending</t>
  </si>
  <si>
    <t>SM_101971</t>
  </si>
  <si>
    <t>SM_101972</t>
  </si>
  <si>
    <t>SM_101973</t>
  </si>
  <si>
    <t>SM_101974</t>
  </si>
  <si>
    <t>SM_101975</t>
  </si>
  <si>
    <t>SM_101976</t>
  </si>
  <si>
    <t>#news #funny #tech #viral</t>
  </si>
  <si>
    <t>SM_101977</t>
  </si>
  <si>
    <t>#funny #tech #viral #ai #news</t>
  </si>
  <si>
    <t>SM_101978</t>
  </si>
  <si>
    <t>#news #funny #tech #music</t>
  </si>
  <si>
    <t>SM_101979</t>
  </si>
  <si>
    <t>SM_101980</t>
  </si>
  <si>
    <t>#tech #ai #viral #funny #fyp</t>
  </si>
  <si>
    <t>SM_101981</t>
  </si>
  <si>
    <t>SM_101982</t>
  </si>
  <si>
    <t>#ai #funny #fyp #viral</t>
  </si>
  <si>
    <t>SM_101983</t>
  </si>
  <si>
    <t>#news #ai #music</t>
  </si>
  <si>
    <t>SM_101984</t>
  </si>
  <si>
    <t>SM_101985</t>
  </si>
  <si>
    <t>SM_101986</t>
  </si>
  <si>
    <t>SM_101987</t>
  </si>
  <si>
    <t>SM_101988</t>
  </si>
  <si>
    <t>SM_101989</t>
  </si>
  <si>
    <t>SM_101990</t>
  </si>
  <si>
    <t>SM_101991</t>
  </si>
  <si>
    <t>#music #funny #viral #ai #news</t>
  </si>
  <si>
    <t>SM_101992</t>
  </si>
  <si>
    <t>SM_101993</t>
  </si>
  <si>
    <t>#music #trending #funny #ai #viral</t>
  </si>
  <si>
    <t>SM_101994</t>
  </si>
  <si>
    <t>#ai #trending #fyp #news</t>
  </si>
  <si>
    <t>SM_101995</t>
  </si>
  <si>
    <t>SM_101996</t>
  </si>
  <si>
    <t>SM_101997</t>
  </si>
  <si>
    <t>SM_101998</t>
  </si>
  <si>
    <t>SM_101999</t>
  </si>
  <si>
    <t>Row Labels</t>
  </si>
  <si>
    <t>Grand Total</t>
  </si>
  <si>
    <t>Sum of views</t>
  </si>
  <si>
    <t>is_viral_boolean</t>
  </si>
  <si>
    <t>FALSE</t>
  </si>
  <si>
    <t>TRUE</t>
  </si>
  <si>
    <t>Average of engagement_rate</t>
  </si>
  <si>
    <t>Column Labels</t>
  </si>
  <si>
    <t>Count of views</t>
  </si>
  <si>
    <t>Count of post_id</t>
  </si>
  <si>
    <t xml:space="preserve">No of posts </t>
  </si>
  <si>
    <t>Sentiment_analysis</t>
  </si>
  <si>
    <t>Negative</t>
  </si>
  <si>
    <t>Positive</t>
  </si>
  <si>
    <t>Count of Sentiment_analysis</t>
  </si>
  <si>
    <t>Average of sentiment_score</t>
  </si>
  <si>
    <t>Sentiment_skew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</si>
</sst>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nt mishra" refreshedDate="46247.693876157406" createdVersion="8" refreshedVersion="8" minRefreshableVersion="3" recordCount="2000" xr:uid="{1FBC4A4E-B3D7-4F03-AC27-6C3564B58C57}">
  <cacheSource type="worksheet">
    <worksheetSource name="Table2"/>
  </cacheSource>
  <cacheFields count="17">
    <cacheField name="post_id" numFmtId="0">
      <sharedItems/>
    </cacheField>
    <cacheField name="platform" numFmtId="0">
      <sharedItems count="4">
        <s v="Instagram"/>
        <s v="YouTube Shorts"/>
        <s v="X"/>
        <s v="TikTok"/>
      </sharedItems>
    </cacheField>
    <cacheField name="content_type" numFmtId="0">
      <sharedItems/>
    </cacheField>
    <cacheField name="topic" numFmtId="0">
      <sharedItems/>
    </cacheField>
    <cacheField name="language" numFmtId="0">
      <sharedItems/>
    </cacheField>
    <cacheField name="region" numFmtId="0">
      <sharedItems/>
    </cacheField>
    <cacheField name="post_datetime" numFmtId="22">
      <sharedItems containsSemiMixedTypes="0" containsNonDate="0" containsDate="1" containsString="0" minDate="2024-01-01T00:00:00" maxDate="2025-01-01T00:00:00"/>
    </cacheField>
    <cacheField name="hashtags" numFmtId="0">
      <sharedItems/>
    </cacheField>
    <cacheField name="views" numFmtId="0">
      <sharedItems containsSemiMixedTypes="0" containsString="0" containsNumber="1" containsInteger="1" minValue="4380" maxValue="14371791"/>
    </cacheField>
    <cacheField name="likes" numFmtId="0">
      <sharedItems containsSemiMixedTypes="0" containsString="0" containsNumber="1" containsInteger="1" minValue="292" maxValue="499983"/>
    </cacheField>
    <cacheField name="comments" numFmtId="0">
      <sharedItems containsSemiMixedTypes="0" containsString="0" containsNumber="1" containsInteger="1" minValue="14" maxValue="49989"/>
    </cacheField>
    <cacheField name="shares" numFmtId="0">
      <sharedItems containsSemiMixedTypes="0" containsString="0" containsNumber="1" containsInteger="1" minValue="127" maxValue="99977"/>
    </cacheField>
    <cacheField name="engagement_rate" numFmtId="0">
      <sharedItems containsSemiMixedTypes="0" containsString="0" containsNumber="1" minValue="3.5700000000000003E-2" maxValue="12.5732"/>
    </cacheField>
    <cacheField name="sentiment_score" numFmtId="0">
      <sharedItems containsSemiMixedTypes="0" containsString="0" containsNumber="1" minValue="-1" maxValue="0.999"/>
    </cacheField>
    <cacheField name="is_viral" numFmtId="0">
      <sharedItems containsSemiMixedTypes="0" containsString="0" containsNumber="1" containsInteger="1" minValue="0" maxValue="1"/>
    </cacheField>
    <cacheField name="is_viral_boolean" numFmtId="0">
      <sharedItems count="2">
        <b v="1"/>
        <b v="0"/>
      </sharedItems>
    </cacheField>
    <cacheField name="Sentiment_analysis" numFmtId="0">
      <sharedItems count="2">
        <s v="Positive"/>
        <s v="Nega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M_100000"/>
    <x v="0"/>
    <s v="text"/>
    <s v="Sports"/>
    <s v="ur"/>
    <s v="UK"/>
    <d v="2024-12-10T00:00:00"/>
    <s v="#tech #funny #music"/>
    <n v="2319102"/>
    <n v="122058"/>
    <n v="15800"/>
    <n v="861"/>
    <n v="5.9799999999999999E-2"/>
    <n v="0.46400000000000002"/>
    <n v="1"/>
    <x v="0"/>
    <x v="0"/>
  </r>
  <r>
    <s v="SM_100001"/>
    <x v="0"/>
    <s v="carousel"/>
    <s v="Sports"/>
    <s v="ur"/>
    <s v="Brazil"/>
    <d v="2024-10-13T00:00:00"/>
    <s v="#news #fyp #funny #ai #trending"/>
    <n v="2538464"/>
    <n v="110368"/>
    <n v="11289"/>
    <n v="54887"/>
    <n v="6.9500000000000006E-2"/>
    <n v="-0.8"/>
    <n v="1"/>
    <x v="0"/>
    <x v="1"/>
  </r>
  <r>
    <s v="SM_100002"/>
    <x v="1"/>
    <s v="video"/>
    <s v="Technology"/>
    <s v="ur"/>
    <s v="UK"/>
    <d v="2024-05-03T00:00:00"/>
    <s v="#ai #news"/>
    <n v="1051176"/>
    <n v="87598"/>
    <n v="47196"/>
    <n v="44132"/>
    <n v="0.17019999999999999"/>
    <n v="0.41599999999999998"/>
    <n v="0"/>
    <x v="1"/>
    <x v="0"/>
  </r>
  <r>
    <s v="SM_100003"/>
    <x v="2"/>
    <s v="text"/>
    <s v="Politics"/>
    <s v="ur"/>
    <s v="US"/>
    <d v="2024-08-04T00:00:00"/>
    <s v="#ai #funny"/>
    <n v="5271440"/>
    <n v="329465"/>
    <n v="774"/>
    <n v="59736"/>
    <n v="7.3999999999999996E-2"/>
    <n v="0.877"/>
    <n v="1"/>
    <x v="0"/>
    <x v="0"/>
  </r>
  <r>
    <s v="SM_100004"/>
    <x v="1"/>
    <s v="text"/>
    <s v="Education"/>
    <s v="es"/>
    <s v="US"/>
    <d v="2024-03-28T00:00:00"/>
    <s v="#news #ai #viral #funny #fyp"/>
    <n v="3186256"/>
    <n v="199141"/>
    <n v="5316"/>
    <n v="83105"/>
    <n v="9.0300000000000005E-2"/>
    <n v="0.223"/>
    <n v="1"/>
    <x v="0"/>
    <x v="0"/>
  </r>
  <r>
    <s v="SM_100005"/>
    <x v="0"/>
    <s v="carousel"/>
    <s v="Sports"/>
    <s v="hi"/>
    <s v="Brazil"/>
    <d v="2024-11-01T00:00:00"/>
    <s v="#tech #music"/>
    <n v="6513472"/>
    <n v="465248"/>
    <n v="27485"/>
    <n v="25659"/>
    <n v="7.9600000000000004E-2"/>
    <n v="-0.90700000000000003"/>
    <n v="1"/>
    <x v="0"/>
    <x v="1"/>
  </r>
  <r>
    <s v="SM_100006"/>
    <x v="2"/>
    <s v="text"/>
    <s v="Education"/>
    <s v="hi"/>
    <s v="UK"/>
    <d v="2024-06-09T00:00:00"/>
    <s v="#tech #ai"/>
    <n v="65481"/>
    <n v="2847"/>
    <n v="194"/>
    <n v="84655"/>
    <n v="1.3392999999999999"/>
    <n v="-0.23499999999999999"/>
    <n v="0"/>
    <x v="1"/>
    <x v="1"/>
  </r>
  <r>
    <s v="SM_100007"/>
    <x v="2"/>
    <s v="text"/>
    <s v="Technology"/>
    <s v="es"/>
    <s v="Pakistan"/>
    <d v="2024-07-26T00:00:00"/>
    <s v="#trending #tech #news"/>
    <n v="2961423"/>
    <n v="329047"/>
    <n v="31556"/>
    <n v="11395"/>
    <n v="0.12559999999999999"/>
    <n v="0.215"/>
    <n v="1"/>
    <x v="0"/>
    <x v="0"/>
  </r>
  <r>
    <s v="SM_100008"/>
    <x v="1"/>
    <s v="text"/>
    <s v="Sports"/>
    <s v="es"/>
    <s v="Pakistan"/>
    <d v="2024-03-03T00:00:00"/>
    <s v="#music #tech #news #trending"/>
    <n v="3916736"/>
    <n v="489592"/>
    <n v="14507"/>
    <n v="87314"/>
    <n v="0.151"/>
    <n v="0.88400000000000001"/>
    <n v="1"/>
    <x v="0"/>
    <x v="0"/>
  </r>
  <r>
    <s v="SM_100009"/>
    <x v="1"/>
    <s v="video"/>
    <s v="Politics"/>
    <s v="en"/>
    <s v="US"/>
    <d v="2024-10-05T00:00:00"/>
    <s v="#music #trending #ai #viral #news"/>
    <n v="3116477"/>
    <n v="239729"/>
    <n v="8438"/>
    <n v="43002"/>
    <n v="9.3399999999999997E-2"/>
    <n v="-0.96799999999999997"/>
    <n v="1"/>
    <x v="0"/>
    <x v="1"/>
  </r>
  <r>
    <s v="SM_100010"/>
    <x v="2"/>
    <s v="text"/>
    <s v="Entertainment"/>
    <s v="hi"/>
    <s v="India"/>
    <d v="2024-11-12T00:00:00"/>
    <s v="#trending #fyp #news"/>
    <n v="3034812"/>
    <n v="252901"/>
    <n v="23488"/>
    <n v="48556"/>
    <n v="0.1071"/>
    <n v="-0.93100000000000005"/>
    <n v="1"/>
    <x v="0"/>
    <x v="1"/>
  </r>
  <r>
    <s v="SM_100011"/>
    <x v="0"/>
    <s v="text"/>
    <s v="Technology"/>
    <s v="fr"/>
    <s v="US"/>
    <d v="2024-01-17T00:00:00"/>
    <s v="#news #trending #viral"/>
    <n v="1763894"/>
    <n v="80177"/>
    <n v="35925"/>
    <n v="92068"/>
    <n v="0.11799999999999999"/>
    <n v="0.32500000000000001"/>
    <n v="0"/>
    <x v="1"/>
    <x v="0"/>
  </r>
  <r>
    <s v="SM_100012"/>
    <x v="1"/>
    <s v="image"/>
    <s v="Technology"/>
    <s v="fr"/>
    <s v="Brazil"/>
    <d v="2024-01-01T00:00:00"/>
    <s v="#ai #fyp #viral #trending #tech"/>
    <n v="7324226"/>
    <n v="281701"/>
    <n v="1026"/>
    <n v="77190"/>
    <n v="4.9099999999999998E-2"/>
    <n v="9.2999999999999999E-2"/>
    <n v="1"/>
    <x v="0"/>
    <x v="0"/>
  </r>
  <r>
    <s v="SM_100013"/>
    <x v="1"/>
    <s v="video"/>
    <s v="Technology"/>
    <s v="ur"/>
    <s v="India"/>
    <d v="2024-05-07T00:00:00"/>
    <s v="#viral #trending #music #tech"/>
    <n v="3782438"/>
    <n v="171929"/>
    <n v="9697"/>
    <n v="45759"/>
    <n v="6.0100000000000001E-2"/>
    <n v="0.55000000000000004"/>
    <n v="1"/>
    <x v="0"/>
    <x v="0"/>
  </r>
  <r>
    <s v="SM_100014"/>
    <x v="3"/>
    <s v="text"/>
    <s v="Politics"/>
    <s v="es"/>
    <s v="Pakistan"/>
    <d v="2024-09-11T00:00:00"/>
    <s v="#trending #funny #fyp #news"/>
    <n v="1574952"/>
    <n v="196869"/>
    <n v="37070"/>
    <n v="92094"/>
    <n v="0.20699999999999999"/>
    <n v="0.19600000000000001"/>
    <n v="0"/>
    <x v="1"/>
    <x v="0"/>
  </r>
  <r>
    <s v="SM_100015"/>
    <x v="3"/>
    <s v="video"/>
    <s v="Technology"/>
    <s v="en"/>
    <s v="Brazil"/>
    <d v="2024-01-29T00:00:00"/>
    <s v="#tech #trending #funny #music"/>
    <n v="314118"/>
    <n v="11634"/>
    <n v="29132"/>
    <n v="40398"/>
    <n v="0.25840000000000002"/>
    <n v="4.2000000000000003E-2"/>
    <n v="0"/>
    <x v="1"/>
    <x v="0"/>
  </r>
  <r>
    <s v="SM_100016"/>
    <x v="1"/>
    <s v="text"/>
    <s v="Politics"/>
    <s v="ur"/>
    <s v="Pakistan"/>
    <d v="2024-09-15T00:00:00"/>
    <s v="#news #ai #viral"/>
    <n v="8212785"/>
    <n v="483105"/>
    <n v="24281"/>
    <n v="23248"/>
    <n v="6.4600000000000005E-2"/>
    <n v="-0.45700000000000002"/>
    <n v="1"/>
    <x v="0"/>
    <x v="1"/>
  </r>
  <r>
    <s v="SM_100017"/>
    <x v="0"/>
    <s v="image"/>
    <s v="Lifestyle"/>
    <s v="hi"/>
    <s v="India"/>
    <d v="2024-03-15T00:00:00"/>
    <s v="#ai #viral #funny #trending"/>
    <n v="271672"/>
    <n v="9368"/>
    <n v="21276"/>
    <n v="12186"/>
    <n v="0.15770000000000001"/>
    <n v="-0.438"/>
    <n v="0"/>
    <x v="1"/>
    <x v="1"/>
  </r>
  <r>
    <s v="SM_100018"/>
    <x v="1"/>
    <s v="video"/>
    <s v="Technology"/>
    <s v="ur"/>
    <s v="Pakistan"/>
    <d v="2024-03-02T00:00:00"/>
    <s v="#ai #tech"/>
    <n v="7635853"/>
    <n v="401887"/>
    <n v="39981"/>
    <n v="38045"/>
    <n v="6.2799999999999995E-2"/>
    <n v="-0.66900000000000004"/>
    <n v="1"/>
    <x v="0"/>
    <x v="1"/>
  </r>
  <r>
    <s v="SM_100019"/>
    <x v="0"/>
    <s v="text"/>
    <s v="Politics"/>
    <s v="es"/>
    <s v="Pakistan"/>
    <d v="2024-09-03T00:00:00"/>
    <s v="#trending #news"/>
    <n v="1374352"/>
    <n v="49084"/>
    <n v="40779"/>
    <n v="2569"/>
    <n v="6.7299999999999999E-2"/>
    <n v="-0.21"/>
    <n v="0"/>
    <x v="1"/>
    <x v="1"/>
  </r>
  <r>
    <s v="SM_100020"/>
    <x v="1"/>
    <s v="carousel"/>
    <s v="Sports"/>
    <s v="hi"/>
    <s v="India"/>
    <d v="2024-12-16T00:00:00"/>
    <s v="#music #trending"/>
    <n v="3078941"/>
    <n v="133867"/>
    <n v="48195"/>
    <n v="5259"/>
    <n v="6.08E-2"/>
    <n v="0.41399999999999998"/>
    <n v="1"/>
    <x v="0"/>
    <x v="0"/>
  </r>
  <r>
    <s v="SM_100021"/>
    <x v="3"/>
    <s v="carousel"/>
    <s v="Lifestyle"/>
    <s v="fr"/>
    <s v="Pakistan"/>
    <d v="2024-01-21T00:00:00"/>
    <s v="#viral #trending"/>
    <n v="197204"/>
    <n v="14086"/>
    <n v="12671"/>
    <n v="38661"/>
    <n v="0.33169999999999999"/>
    <n v="-0.28299999999999997"/>
    <n v="0"/>
    <x v="1"/>
    <x v="1"/>
  </r>
  <r>
    <s v="SM_100022"/>
    <x v="0"/>
    <s v="image"/>
    <s v="Lifestyle"/>
    <s v="fr"/>
    <s v="Brazil"/>
    <d v="2024-05-15T00:00:00"/>
    <s v="#ai #news"/>
    <n v="1255056"/>
    <n v="104588"/>
    <n v="22667"/>
    <n v="8393"/>
    <n v="0.1081"/>
    <n v="-0.10100000000000001"/>
    <n v="0"/>
    <x v="1"/>
    <x v="1"/>
  </r>
  <r>
    <s v="SM_100023"/>
    <x v="3"/>
    <s v="image"/>
    <s v="Education"/>
    <s v="fr"/>
    <s v="UK"/>
    <d v="2024-02-27T00:00:00"/>
    <s v="#tech #news #music"/>
    <n v="8806000"/>
    <n v="314500"/>
    <n v="23604"/>
    <n v="35223"/>
    <n v="4.24E-2"/>
    <n v="0.33200000000000002"/>
    <n v="1"/>
    <x v="0"/>
    <x v="0"/>
  </r>
  <r>
    <s v="SM_100024"/>
    <x v="1"/>
    <s v="carousel"/>
    <s v="Education"/>
    <s v="ur"/>
    <s v="UK"/>
    <d v="2024-08-12T00:00:00"/>
    <s v="#tech #fyp"/>
    <n v="3345769"/>
    <n v="477967"/>
    <n v="10970"/>
    <n v="24539"/>
    <n v="0.1535"/>
    <n v="-5.6000000000000001E-2"/>
    <n v="1"/>
    <x v="0"/>
    <x v="1"/>
  </r>
  <r>
    <s v="SM_100025"/>
    <x v="0"/>
    <s v="text"/>
    <s v="Education"/>
    <s v="en"/>
    <s v="India"/>
    <d v="2024-05-11T00:00:00"/>
    <s v="#tech #funny #ai #music"/>
    <n v="2628472"/>
    <n v="375496"/>
    <n v="8115"/>
    <n v="79310"/>
    <n v="0.17610000000000001"/>
    <n v="0.52200000000000002"/>
    <n v="1"/>
    <x v="0"/>
    <x v="0"/>
  </r>
  <r>
    <s v="SM_100026"/>
    <x v="3"/>
    <s v="text"/>
    <s v="Sports"/>
    <s v="fr"/>
    <s v="US"/>
    <d v="2024-01-08T00:00:00"/>
    <s v="#ai #trending #funny #fyp"/>
    <n v="1285778"/>
    <n v="98906"/>
    <n v="6915"/>
    <n v="90983"/>
    <n v="0.15310000000000001"/>
    <n v="0.42099999999999999"/>
    <n v="0"/>
    <x v="1"/>
    <x v="0"/>
  </r>
  <r>
    <s v="SM_100027"/>
    <x v="1"/>
    <s v="carousel"/>
    <s v="Technology"/>
    <s v="fr"/>
    <s v="India"/>
    <d v="2024-12-10T00:00:00"/>
    <s v="#news #viral"/>
    <n v="5038587"/>
    <n v="219069"/>
    <n v="23424"/>
    <n v="50637"/>
    <n v="5.8200000000000002E-2"/>
    <n v="-0.93700000000000006"/>
    <n v="1"/>
    <x v="0"/>
    <x v="1"/>
  </r>
  <r>
    <s v="SM_100028"/>
    <x v="1"/>
    <s v="image"/>
    <s v="Politics"/>
    <s v="es"/>
    <s v="Pakistan"/>
    <d v="2024-09-03T00:00:00"/>
    <s v="#news #funny #music"/>
    <n v="1989200"/>
    <n v="248650"/>
    <n v="41528"/>
    <n v="54269"/>
    <n v="0.17319999999999999"/>
    <n v="0.81499999999999995"/>
    <n v="0"/>
    <x v="1"/>
    <x v="0"/>
  </r>
  <r>
    <s v="SM_100029"/>
    <x v="0"/>
    <s v="video"/>
    <s v="Lifestyle"/>
    <s v="fr"/>
    <s v="US"/>
    <d v="2024-10-13T00:00:00"/>
    <s v="#ai #funny #viral"/>
    <n v="2013582"/>
    <n v="105978"/>
    <n v="6379"/>
    <n v="56045"/>
    <n v="8.3599999999999994E-2"/>
    <n v="0.51100000000000001"/>
    <n v="1"/>
    <x v="0"/>
    <x v="0"/>
  </r>
  <r>
    <s v="SM_100030"/>
    <x v="1"/>
    <s v="carousel"/>
    <s v="Lifestyle"/>
    <s v="ur"/>
    <s v="Pakistan"/>
    <d v="2024-01-29T00:00:00"/>
    <s v="#music #funny #tech #trending #fyp"/>
    <n v="3794977"/>
    <n v="164999"/>
    <n v="16203"/>
    <n v="75451"/>
    <n v="6.7599999999999993E-2"/>
    <n v="-0.67800000000000005"/>
    <n v="1"/>
    <x v="0"/>
    <x v="1"/>
  </r>
  <r>
    <s v="SM_100031"/>
    <x v="0"/>
    <s v="image"/>
    <s v="Sports"/>
    <s v="en"/>
    <s v="UK"/>
    <d v="2024-06-24T00:00:00"/>
    <s v="#trending #viral #tech #ai"/>
    <n v="1266865"/>
    <n v="43685"/>
    <n v="43694"/>
    <n v="64045"/>
    <n v="0.1195"/>
    <n v="-0.78900000000000003"/>
    <n v="0"/>
    <x v="1"/>
    <x v="1"/>
  </r>
  <r>
    <s v="SM_100032"/>
    <x v="0"/>
    <s v="text"/>
    <s v="Entertainment"/>
    <s v="ur"/>
    <s v="UK"/>
    <d v="2024-10-24T00:00:00"/>
    <s v="#tech #ai"/>
    <n v="11719656"/>
    <n v="488319"/>
    <n v="29728"/>
    <n v="69164"/>
    <n v="5.0099999999999999E-2"/>
    <n v="0.78500000000000003"/>
    <n v="1"/>
    <x v="0"/>
    <x v="0"/>
  </r>
  <r>
    <s v="SM_100033"/>
    <x v="0"/>
    <s v="video"/>
    <s v="Education"/>
    <s v="en"/>
    <s v="US"/>
    <d v="2024-11-21T00:00:00"/>
    <s v="#fyp #trending"/>
    <n v="4131162"/>
    <n v="153006"/>
    <n v="18052"/>
    <n v="26106"/>
    <n v="4.7699999999999999E-2"/>
    <n v="0.79200000000000004"/>
    <n v="1"/>
    <x v="0"/>
    <x v="0"/>
  </r>
  <r>
    <s v="SM_100034"/>
    <x v="0"/>
    <s v="carousel"/>
    <s v="Education"/>
    <s v="en"/>
    <s v="UK"/>
    <d v="2024-05-07T00:00:00"/>
    <s v="#tech #ai #music"/>
    <n v="1286498"/>
    <n v="44362"/>
    <n v="23781"/>
    <n v="30081"/>
    <n v="7.6300000000000007E-2"/>
    <n v="0.29499999999999998"/>
    <n v="0"/>
    <x v="1"/>
    <x v="0"/>
  </r>
  <r>
    <s v="SM_100035"/>
    <x v="3"/>
    <s v="image"/>
    <s v="Entertainment"/>
    <s v="es"/>
    <s v="India"/>
    <d v="2024-01-01T00:00:00"/>
    <s v="#viral #fyp #funny #music"/>
    <n v="965636"/>
    <n v="137948"/>
    <n v="27256"/>
    <n v="55017"/>
    <n v="0.2281"/>
    <n v="-0.98599999999999999"/>
    <n v="0"/>
    <x v="1"/>
    <x v="1"/>
  </r>
  <r>
    <s v="SM_100036"/>
    <x v="0"/>
    <s v="video"/>
    <s v="Entertainment"/>
    <s v="fr"/>
    <s v="UK"/>
    <d v="2024-11-10T00:00:00"/>
    <s v="#ai #trending #music #viral #news"/>
    <n v="198531"/>
    <n v="22059"/>
    <n v="5535"/>
    <n v="94857"/>
    <n v="0.61680000000000001"/>
    <n v="0.38500000000000001"/>
    <n v="0"/>
    <x v="1"/>
    <x v="0"/>
  </r>
  <r>
    <s v="SM_100037"/>
    <x v="1"/>
    <s v="video"/>
    <s v="Lifestyle"/>
    <s v="hi"/>
    <s v="UK"/>
    <d v="2024-09-22T00:00:00"/>
    <s v="#news #ai"/>
    <n v="354770"/>
    <n v="13645"/>
    <n v="668"/>
    <n v="34767"/>
    <n v="0.13830000000000001"/>
    <n v="-0.56200000000000006"/>
    <n v="0"/>
    <x v="1"/>
    <x v="1"/>
  </r>
  <r>
    <s v="SM_100038"/>
    <x v="0"/>
    <s v="video"/>
    <s v="Lifestyle"/>
    <s v="ur"/>
    <s v="Brazil"/>
    <d v="2024-04-25T00:00:00"/>
    <s v="#viral #trending #fyp"/>
    <n v="1654560"/>
    <n v="68940"/>
    <n v="46581"/>
    <n v="39354"/>
    <n v="9.3600000000000003E-2"/>
    <n v="-0.50600000000000001"/>
    <n v="0"/>
    <x v="1"/>
    <x v="1"/>
  </r>
  <r>
    <s v="SM_100039"/>
    <x v="0"/>
    <s v="image"/>
    <s v="Politics"/>
    <s v="en"/>
    <s v="Pakistan"/>
    <d v="2024-03-16T00:00:00"/>
    <s v="#news #funny"/>
    <n v="1373778"/>
    <n v="65418"/>
    <n v="44422"/>
    <n v="89475"/>
    <n v="0.14510000000000001"/>
    <n v="-0.70399999999999996"/>
    <n v="0"/>
    <x v="1"/>
    <x v="1"/>
  </r>
  <r>
    <s v="SM_100040"/>
    <x v="3"/>
    <s v="text"/>
    <s v="Technology"/>
    <s v="fr"/>
    <s v="US"/>
    <d v="2024-03-07T00:00:00"/>
    <s v="#funny #tech #fyp #music #ai"/>
    <n v="1542306"/>
    <n v="257051"/>
    <n v="27733"/>
    <n v="26737"/>
    <n v="0.20200000000000001"/>
    <n v="5.0000000000000001E-3"/>
    <n v="0"/>
    <x v="1"/>
    <x v="0"/>
  </r>
  <r>
    <s v="SM_100041"/>
    <x v="1"/>
    <s v="text"/>
    <s v="Technology"/>
    <s v="fr"/>
    <s v="Brazil"/>
    <d v="2024-09-22T00:00:00"/>
    <s v="#ai #trending #funny #music"/>
    <n v="1872125"/>
    <n v="374425"/>
    <n v="859"/>
    <n v="90085"/>
    <n v="0.24859999999999999"/>
    <n v="0.26900000000000002"/>
    <n v="0"/>
    <x v="1"/>
    <x v="0"/>
  </r>
  <r>
    <s v="SM_100042"/>
    <x v="3"/>
    <s v="video"/>
    <s v="Lifestyle"/>
    <s v="en"/>
    <s v="India"/>
    <d v="2024-03-06T00:00:00"/>
    <s v="#tech #news"/>
    <n v="1778890"/>
    <n v="177889"/>
    <n v="21561"/>
    <n v="50860"/>
    <n v="0.14069999999999999"/>
    <n v="-0.51600000000000001"/>
    <n v="0"/>
    <x v="1"/>
    <x v="1"/>
  </r>
  <r>
    <s v="SM_100043"/>
    <x v="3"/>
    <s v="text"/>
    <s v="Sports"/>
    <s v="fr"/>
    <s v="US"/>
    <d v="2024-06-11T00:00:00"/>
    <s v="#ai #trending #news #viral"/>
    <n v="705670"/>
    <n v="70567"/>
    <n v="32975"/>
    <n v="12689"/>
    <n v="0.16470000000000001"/>
    <n v="-0.26400000000000001"/>
    <n v="0"/>
    <x v="1"/>
    <x v="1"/>
  </r>
  <r>
    <s v="SM_100044"/>
    <x v="2"/>
    <s v="carousel"/>
    <s v="Technology"/>
    <s v="ur"/>
    <s v="UK"/>
    <d v="2024-03-26T00:00:00"/>
    <s v="#news #funny #music #ai #viral"/>
    <n v="11580374"/>
    <n v="445399"/>
    <n v="40550"/>
    <n v="65734"/>
    <n v="4.7600000000000003E-2"/>
    <n v="7.1999999999999995E-2"/>
    <n v="1"/>
    <x v="0"/>
    <x v="0"/>
  </r>
  <r>
    <s v="SM_100045"/>
    <x v="2"/>
    <s v="video"/>
    <s v="Education"/>
    <s v="en"/>
    <s v="UK"/>
    <d v="2024-01-17T00:00:00"/>
    <s v="#news #music #ai"/>
    <n v="4457271"/>
    <n v="342867"/>
    <n v="22676"/>
    <n v="25185"/>
    <n v="8.77E-2"/>
    <n v="-0.35799999999999998"/>
    <n v="1"/>
    <x v="0"/>
    <x v="1"/>
  </r>
  <r>
    <s v="SM_100046"/>
    <x v="3"/>
    <s v="text"/>
    <s v="Technology"/>
    <s v="en"/>
    <s v="UK"/>
    <d v="2024-06-03T00:00:00"/>
    <s v="#tech #funny #ai"/>
    <n v="1242312"/>
    <n v="51763"/>
    <n v="15713"/>
    <n v="91907"/>
    <n v="0.1283"/>
    <n v="-0.34799999999999998"/>
    <n v="0"/>
    <x v="1"/>
    <x v="1"/>
  </r>
  <r>
    <s v="SM_100047"/>
    <x v="1"/>
    <s v="carousel"/>
    <s v="Technology"/>
    <s v="fr"/>
    <s v="India"/>
    <d v="2024-04-05T00:00:00"/>
    <s v="#tech #music #news #ai"/>
    <n v="2590881"/>
    <n v="112647"/>
    <n v="6551"/>
    <n v="34755"/>
    <n v="5.9400000000000001E-2"/>
    <n v="-0.30299999999999999"/>
    <n v="1"/>
    <x v="0"/>
    <x v="1"/>
  </r>
  <r>
    <s v="SM_100048"/>
    <x v="3"/>
    <s v="carousel"/>
    <s v="Politics"/>
    <s v="en"/>
    <s v="US"/>
    <d v="2024-01-20T00:00:00"/>
    <s v="#funny #news"/>
    <n v="2302930"/>
    <n v="460586"/>
    <n v="18232"/>
    <n v="8681"/>
    <n v="0.2117"/>
    <n v="-0.20499999999999999"/>
    <n v="1"/>
    <x v="0"/>
    <x v="1"/>
  </r>
  <r>
    <s v="SM_100049"/>
    <x v="3"/>
    <s v="video"/>
    <s v="Technology"/>
    <s v="ur"/>
    <s v="US"/>
    <d v="2024-02-14T00:00:00"/>
    <s v="#funny #viral #trending #ai #tech"/>
    <n v="1098930"/>
    <n v="219786"/>
    <n v="35158"/>
    <n v="11112"/>
    <n v="0.24210000000000001"/>
    <n v="0.35099999999999998"/>
    <n v="0"/>
    <x v="1"/>
    <x v="0"/>
  </r>
  <r>
    <s v="SM_100050"/>
    <x v="2"/>
    <s v="carousel"/>
    <s v="Entertainment"/>
    <s v="hi"/>
    <s v="Brazil"/>
    <d v="2024-04-20T00:00:00"/>
    <s v="#fyp #news #tech #ai"/>
    <n v="6537608"/>
    <n v="466972"/>
    <n v="39389"/>
    <n v="47255"/>
    <n v="8.4699999999999998E-2"/>
    <n v="-0.48399999999999999"/>
    <n v="1"/>
    <x v="0"/>
    <x v="1"/>
  </r>
  <r>
    <s v="SM_100051"/>
    <x v="1"/>
    <s v="image"/>
    <s v="Education"/>
    <s v="ur"/>
    <s v="US"/>
    <d v="2024-11-12T00:00:00"/>
    <s v="#funny #ai #tech #news"/>
    <n v="8963523"/>
    <n v="309087"/>
    <n v="31070"/>
    <n v="90736"/>
    <n v="4.8099999999999997E-2"/>
    <n v="3.3000000000000002E-2"/>
    <n v="1"/>
    <x v="0"/>
    <x v="0"/>
  </r>
  <r>
    <s v="SM_100052"/>
    <x v="2"/>
    <s v="video"/>
    <s v="Lifestyle"/>
    <s v="fr"/>
    <s v="US"/>
    <d v="2024-04-17T00:00:00"/>
    <s v="#news #funny #fyp"/>
    <n v="7474320"/>
    <n v="373716"/>
    <n v="2054"/>
    <n v="31617"/>
    <n v="5.45E-2"/>
    <n v="0.93100000000000005"/>
    <n v="1"/>
    <x v="0"/>
    <x v="0"/>
  </r>
  <r>
    <s v="SM_100053"/>
    <x v="3"/>
    <s v="image"/>
    <s v="Sports"/>
    <s v="hi"/>
    <s v="Brazil"/>
    <d v="2024-07-03T00:00:00"/>
    <s v="#trending #viral"/>
    <n v="7645752"/>
    <n v="283176"/>
    <n v="29860"/>
    <n v="61435"/>
    <n v="4.9000000000000002E-2"/>
    <n v="-0.32200000000000001"/>
    <n v="1"/>
    <x v="0"/>
    <x v="1"/>
  </r>
  <r>
    <s v="SM_100054"/>
    <x v="3"/>
    <s v="video"/>
    <s v="Politics"/>
    <s v="es"/>
    <s v="Pakistan"/>
    <d v="2024-01-30T00:00:00"/>
    <s v="#trending #fyp #tech"/>
    <n v="7602040"/>
    <n v="380102"/>
    <n v="42647"/>
    <n v="15152"/>
    <n v="5.7599999999999998E-2"/>
    <n v="0.79400000000000004"/>
    <n v="1"/>
    <x v="0"/>
    <x v="0"/>
  </r>
  <r>
    <s v="SM_100055"/>
    <x v="2"/>
    <s v="text"/>
    <s v="Entertainment"/>
    <s v="es"/>
    <s v="India"/>
    <d v="2024-02-27T00:00:00"/>
    <s v="#trending #news #fyp #tech #ai"/>
    <n v="95925"/>
    <n v="6395"/>
    <n v="12188"/>
    <n v="29300"/>
    <n v="0.49919999999999998"/>
    <n v="0.871"/>
    <n v="0"/>
    <x v="1"/>
    <x v="0"/>
  </r>
  <r>
    <s v="SM_100056"/>
    <x v="3"/>
    <s v="image"/>
    <s v="Entertainment"/>
    <s v="ur"/>
    <s v="Brazil"/>
    <d v="2024-01-07T00:00:00"/>
    <s v="#trending #ai #fyp"/>
    <n v="6426792"/>
    <n v="267783"/>
    <n v="42410"/>
    <n v="53352"/>
    <n v="5.6599999999999998E-2"/>
    <n v="0.161"/>
    <n v="1"/>
    <x v="0"/>
    <x v="0"/>
  </r>
  <r>
    <s v="SM_100057"/>
    <x v="2"/>
    <s v="carousel"/>
    <s v="Sports"/>
    <s v="hi"/>
    <s v="UK"/>
    <d v="2024-11-06T00:00:00"/>
    <s v="#news #ai #fyp #viral"/>
    <n v="2718149"/>
    <n v="388307"/>
    <n v="2562"/>
    <n v="38361"/>
    <n v="0.15790000000000001"/>
    <n v="0.94699999999999995"/>
    <n v="1"/>
    <x v="0"/>
    <x v="0"/>
  </r>
  <r>
    <s v="SM_100058"/>
    <x v="1"/>
    <s v="carousel"/>
    <s v="Lifestyle"/>
    <s v="hi"/>
    <s v="UK"/>
    <d v="2024-09-19T00:00:00"/>
    <s v="#music #news"/>
    <n v="10159886"/>
    <n v="461813"/>
    <n v="46980"/>
    <n v="21358"/>
    <n v="5.2200000000000003E-2"/>
    <n v="-2.9000000000000001E-2"/>
    <n v="1"/>
    <x v="0"/>
    <x v="1"/>
  </r>
  <r>
    <s v="SM_100059"/>
    <x v="1"/>
    <s v="video"/>
    <s v="Politics"/>
    <s v="hi"/>
    <s v="UK"/>
    <d v="2024-02-19T00:00:00"/>
    <s v="#funny #trending"/>
    <n v="1286430"/>
    <n v="257286"/>
    <n v="46765"/>
    <n v="94180"/>
    <n v="0.30959999999999999"/>
    <n v="-0.96399999999999997"/>
    <n v="0"/>
    <x v="1"/>
    <x v="1"/>
  </r>
  <r>
    <s v="SM_100060"/>
    <x v="2"/>
    <s v="image"/>
    <s v="Technology"/>
    <s v="ur"/>
    <s v="India"/>
    <d v="2024-09-10T00:00:00"/>
    <s v="#news #funny #tech #ai"/>
    <n v="9902368"/>
    <n v="353656"/>
    <n v="21300"/>
    <n v="3988"/>
    <n v="3.8300000000000001E-2"/>
    <n v="0.29899999999999999"/>
    <n v="1"/>
    <x v="0"/>
    <x v="0"/>
  </r>
  <r>
    <s v="SM_100061"/>
    <x v="2"/>
    <s v="carousel"/>
    <s v="Entertainment"/>
    <s v="ur"/>
    <s v="US"/>
    <d v="2024-09-14T00:00:00"/>
    <s v="#music #tech #trending"/>
    <n v="2197650"/>
    <n v="439530"/>
    <n v="33991"/>
    <n v="86417"/>
    <n v="0.25480000000000003"/>
    <n v="8.5000000000000006E-2"/>
    <n v="1"/>
    <x v="0"/>
    <x v="0"/>
  </r>
  <r>
    <s v="SM_100062"/>
    <x v="3"/>
    <s v="video"/>
    <s v="Education"/>
    <s v="en"/>
    <s v="India"/>
    <d v="2024-09-19T00:00:00"/>
    <s v="#viral #trending"/>
    <n v="2903850"/>
    <n v="107550"/>
    <n v="40823"/>
    <n v="45526"/>
    <n v="6.6799999999999998E-2"/>
    <n v="-0.499"/>
    <n v="1"/>
    <x v="0"/>
    <x v="1"/>
  </r>
  <r>
    <s v="SM_100063"/>
    <x v="0"/>
    <s v="text"/>
    <s v="Technology"/>
    <s v="fr"/>
    <s v="India"/>
    <d v="2024-06-14T00:00:00"/>
    <s v="#funny #ai #news #music"/>
    <n v="1980177"/>
    <n v="116481"/>
    <n v="14378"/>
    <n v="47334"/>
    <n v="0.09"/>
    <n v="-2.7E-2"/>
    <n v="0"/>
    <x v="1"/>
    <x v="1"/>
  </r>
  <r>
    <s v="SM_100064"/>
    <x v="0"/>
    <s v="carousel"/>
    <s v="Entertainment"/>
    <s v="fr"/>
    <s v="India"/>
    <d v="2024-12-13T00:00:00"/>
    <s v="#tech #fyp #viral"/>
    <n v="2395266"/>
    <n v="399211"/>
    <n v="19743"/>
    <n v="30747"/>
    <n v="0.18770000000000001"/>
    <n v="-0.3"/>
    <n v="1"/>
    <x v="0"/>
    <x v="1"/>
  </r>
  <r>
    <s v="SM_100065"/>
    <x v="3"/>
    <s v="carousel"/>
    <s v="Politics"/>
    <s v="fr"/>
    <s v="India"/>
    <d v="2024-10-08T00:00:00"/>
    <s v="#funny #viral #trending #tech #news"/>
    <n v="3241188"/>
    <n v="360132"/>
    <n v="39795"/>
    <n v="5601"/>
    <n v="0.12509999999999999"/>
    <n v="-0.54"/>
    <n v="1"/>
    <x v="0"/>
    <x v="1"/>
  </r>
  <r>
    <s v="SM_100066"/>
    <x v="3"/>
    <s v="video"/>
    <s v="Lifestyle"/>
    <s v="en"/>
    <s v="US"/>
    <d v="2024-07-16T00:00:00"/>
    <s v="#funny #ai"/>
    <n v="1440005"/>
    <n v="205715"/>
    <n v="45719"/>
    <n v="56836"/>
    <n v="0.21410000000000001"/>
    <n v="0.53700000000000003"/>
    <n v="0"/>
    <x v="1"/>
    <x v="0"/>
  </r>
  <r>
    <s v="SM_100067"/>
    <x v="3"/>
    <s v="image"/>
    <s v="Education"/>
    <s v="ur"/>
    <s v="Pakistan"/>
    <d v="2024-07-13T00:00:00"/>
    <s v="#music #funny"/>
    <n v="1909494"/>
    <n v="106083"/>
    <n v="8213"/>
    <n v="56492"/>
    <n v="8.9399999999999993E-2"/>
    <n v="0.83"/>
    <n v="0"/>
    <x v="1"/>
    <x v="0"/>
  </r>
  <r>
    <s v="SM_100068"/>
    <x v="0"/>
    <s v="text"/>
    <s v="Education"/>
    <s v="en"/>
    <s v="Pakistan"/>
    <d v="2024-04-20T00:00:00"/>
    <s v="#viral #trending #music #funny"/>
    <n v="1605366"/>
    <n v="178374"/>
    <n v="32640"/>
    <n v="63209"/>
    <n v="0.17080000000000001"/>
    <n v="0.85699999999999998"/>
    <n v="0"/>
    <x v="1"/>
    <x v="0"/>
  </r>
  <r>
    <s v="SM_100069"/>
    <x v="3"/>
    <s v="image"/>
    <s v="Lifestyle"/>
    <s v="hi"/>
    <s v="India"/>
    <d v="2024-05-01T00:00:00"/>
    <s v="#fyp #ai #viral #tech #trending"/>
    <n v="2512972"/>
    <n v="358996"/>
    <n v="306"/>
    <n v="45237"/>
    <n v="0.161"/>
    <n v="0.96099999999999997"/>
    <n v="1"/>
    <x v="0"/>
    <x v="0"/>
  </r>
  <r>
    <s v="SM_100070"/>
    <x v="0"/>
    <s v="video"/>
    <s v="Education"/>
    <s v="es"/>
    <s v="Brazil"/>
    <d v="2024-10-29T00:00:00"/>
    <s v="#trending #music #viral #tech"/>
    <n v="3102975"/>
    <n v="124119"/>
    <n v="195"/>
    <n v="10493"/>
    <n v="4.3400000000000001E-2"/>
    <n v="-0.61799999999999999"/>
    <n v="1"/>
    <x v="0"/>
    <x v="1"/>
  </r>
  <r>
    <s v="SM_100071"/>
    <x v="0"/>
    <s v="text"/>
    <s v="Politics"/>
    <s v="en"/>
    <s v="Pakistan"/>
    <d v="2024-07-22T00:00:00"/>
    <s v="#viral #fyp #news #music"/>
    <n v="5263732"/>
    <n v="181508"/>
    <n v="19783"/>
    <n v="26642"/>
    <n v="4.3299999999999998E-2"/>
    <n v="-0.21099999999999999"/>
    <n v="1"/>
    <x v="0"/>
    <x v="1"/>
  </r>
  <r>
    <s v="SM_100072"/>
    <x v="1"/>
    <s v="text"/>
    <s v="Politics"/>
    <s v="en"/>
    <s v="Pakistan"/>
    <d v="2024-06-06T00:00:00"/>
    <s v="#viral #funny #news #music #fyp"/>
    <n v="11659452"/>
    <n v="416409"/>
    <n v="574"/>
    <n v="51886"/>
    <n v="4.02E-2"/>
    <n v="-0.58199999999999996"/>
    <n v="1"/>
    <x v="0"/>
    <x v="1"/>
  </r>
  <r>
    <s v="SM_100073"/>
    <x v="2"/>
    <s v="video"/>
    <s v="Entertainment"/>
    <s v="hi"/>
    <s v="US"/>
    <d v="2024-03-04T00:00:00"/>
    <s v="#tech #viral #ai #news"/>
    <n v="24684"/>
    <n v="4114"/>
    <n v="11098"/>
    <n v="18071"/>
    <n v="1.3484"/>
    <n v="-0.49199999999999999"/>
    <n v="0"/>
    <x v="1"/>
    <x v="1"/>
  </r>
  <r>
    <s v="SM_100074"/>
    <x v="0"/>
    <s v="image"/>
    <s v="Technology"/>
    <s v="ur"/>
    <s v="US"/>
    <d v="2024-06-02T00:00:00"/>
    <s v="#trending #funny"/>
    <n v="227409"/>
    <n v="10829"/>
    <n v="34182"/>
    <n v="45018"/>
    <n v="0.39589999999999997"/>
    <n v="0.69699999999999995"/>
    <n v="0"/>
    <x v="1"/>
    <x v="0"/>
  </r>
  <r>
    <s v="SM_100075"/>
    <x v="2"/>
    <s v="video"/>
    <s v="Lifestyle"/>
    <s v="ur"/>
    <s v="Pakistan"/>
    <d v="2024-09-25T00:00:00"/>
    <s v="#ai #fyp"/>
    <n v="1483496"/>
    <n v="105964"/>
    <n v="12538"/>
    <n v="54749"/>
    <n v="0.1168"/>
    <n v="0.61899999999999999"/>
    <n v="0"/>
    <x v="1"/>
    <x v="0"/>
  </r>
  <r>
    <s v="SM_100076"/>
    <x v="1"/>
    <s v="carousel"/>
    <s v="Politics"/>
    <s v="fr"/>
    <s v="US"/>
    <d v="2024-06-21T00:00:00"/>
    <s v="#music #news #fyp"/>
    <n v="4002854"/>
    <n v="235462"/>
    <n v="29597"/>
    <n v="10648"/>
    <n v="6.8900000000000003E-2"/>
    <n v="-0.83699999999999997"/>
    <n v="1"/>
    <x v="0"/>
    <x v="1"/>
  </r>
  <r>
    <s v="SM_100077"/>
    <x v="2"/>
    <s v="video"/>
    <s v="Entertainment"/>
    <s v="es"/>
    <s v="India"/>
    <d v="2024-07-03T00:00:00"/>
    <s v="#ai #music #trending #tech"/>
    <n v="5971440"/>
    <n v="248810"/>
    <n v="24381"/>
    <n v="70317"/>
    <n v="5.7500000000000002E-2"/>
    <n v="0.3"/>
    <n v="1"/>
    <x v="0"/>
    <x v="0"/>
  </r>
  <r>
    <s v="SM_100078"/>
    <x v="3"/>
    <s v="carousel"/>
    <s v="Politics"/>
    <s v="en"/>
    <s v="Pakistan"/>
    <d v="2024-03-15T00:00:00"/>
    <s v="#music #funny"/>
    <n v="4840182"/>
    <n v="268899"/>
    <n v="40946"/>
    <n v="70032"/>
    <n v="7.85E-2"/>
    <n v="0.78"/>
    <n v="1"/>
    <x v="0"/>
    <x v="0"/>
  </r>
  <r>
    <s v="SM_100079"/>
    <x v="0"/>
    <s v="carousel"/>
    <s v="Sports"/>
    <s v="fr"/>
    <s v="Brazil"/>
    <d v="2024-07-27T00:00:00"/>
    <s v="#trending #funny"/>
    <n v="2694492"/>
    <n v="449082"/>
    <n v="13408"/>
    <n v="32098"/>
    <n v="0.18360000000000001"/>
    <n v="-0.123"/>
    <n v="1"/>
    <x v="0"/>
    <x v="1"/>
  </r>
  <r>
    <s v="SM_100080"/>
    <x v="1"/>
    <s v="carousel"/>
    <s v="Technology"/>
    <s v="ur"/>
    <s v="Pakistan"/>
    <d v="2024-09-12T00:00:00"/>
    <s v="#music #ai #trending #fyp #viral"/>
    <n v="3249012"/>
    <n v="124962"/>
    <n v="33626"/>
    <n v="93849"/>
    <n v="7.7700000000000005E-2"/>
    <n v="0.182"/>
    <n v="1"/>
    <x v="0"/>
    <x v="0"/>
  </r>
  <r>
    <s v="SM_100081"/>
    <x v="0"/>
    <s v="carousel"/>
    <s v="Lifestyle"/>
    <s v="ur"/>
    <s v="US"/>
    <d v="2024-08-26T00:00:00"/>
    <s v="#viral #music #ai #trending"/>
    <n v="4499770"/>
    <n v="449977"/>
    <n v="31029"/>
    <n v="70314"/>
    <n v="0.1225"/>
    <n v="-0.39300000000000002"/>
    <n v="1"/>
    <x v="0"/>
    <x v="1"/>
  </r>
  <r>
    <s v="SM_100082"/>
    <x v="0"/>
    <s v="image"/>
    <s v="Education"/>
    <s v="ur"/>
    <s v="Pakistan"/>
    <d v="2024-08-05T00:00:00"/>
    <s v="#music #ai"/>
    <n v="2043270"/>
    <n v="408654"/>
    <n v="2496"/>
    <n v="92773"/>
    <n v="0.24660000000000001"/>
    <n v="0.65600000000000003"/>
    <n v="1"/>
    <x v="0"/>
    <x v="0"/>
  </r>
  <r>
    <s v="SM_100083"/>
    <x v="1"/>
    <s v="video"/>
    <s v="Lifestyle"/>
    <s v="hi"/>
    <s v="UK"/>
    <d v="2024-01-25T00:00:00"/>
    <s v="#news #tech"/>
    <n v="2263959"/>
    <n v="251551"/>
    <n v="3056"/>
    <n v="48748"/>
    <n v="0.13400000000000001"/>
    <n v="-8.5000000000000006E-2"/>
    <n v="1"/>
    <x v="0"/>
    <x v="1"/>
  </r>
  <r>
    <s v="SM_100084"/>
    <x v="2"/>
    <s v="text"/>
    <s v="Lifestyle"/>
    <s v="hi"/>
    <s v="Brazil"/>
    <d v="2024-09-02T00:00:00"/>
    <s v="#ai #funny #trending"/>
    <n v="10736088"/>
    <n v="447337"/>
    <n v="881"/>
    <n v="58336"/>
    <n v="4.7199999999999999E-2"/>
    <n v="-0.17699999999999999"/>
    <n v="1"/>
    <x v="0"/>
    <x v="1"/>
  </r>
  <r>
    <s v="SM_100085"/>
    <x v="2"/>
    <s v="text"/>
    <s v="Lifestyle"/>
    <s v="es"/>
    <s v="Pakistan"/>
    <d v="2024-07-14T00:00:00"/>
    <s v="#funny #trending #news #ai #fyp"/>
    <n v="5085840"/>
    <n v="211910"/>
    <n v="39739"/>
    <n v="72616"/>
    <n v="6.3799999999999996E-2"/>
    <n v="-0.73499999999999999"/>
    <n v="1"/>
    <x v="0"/>
    <x v="1"/>
  </r>
  <r>
    <s v="SM_100086"/>
    <x v="0"/>
    <s v="carousel"/>
    <s v="Entertainment"/>
    <s v="fr"/>
    <s v="Brazil"/>
    <d v="2024-10-01T00:00:00"/>
    <s v="#funny #tech"/>
    <n v="5380643"/>
    <n v="233941"/>
    <n v="17024"/>
    <n v="83614"/>
    <n v="6.2199999999999998E-2"/>
    <n v="0.59"/>
    <n v="1"/>
    <x v="0"/>
    <x v="0"/>
  </r>
  <r>
    <s v="SM_100087"/>
    <x v="0"/>
    <s v="image"/>
    <s v="Entertainment"/>
    <s v="en"/>
    <s v="UK"/>
    <d v="2024-03-24T00:00:00"/>
    <s v="#tech #music #ai"/>
    <n v="9314838"/>
    <n v="344994"/>
    <n v="14103"/>
    <n v="28252"/>
    <n v="4.1599999999999998E-2"/>
    <n v="-0.498"/>
    <n v="1"/>
    <x v="0"/>
    <x v="1"/>
  </r>
  <r>
    <s v="SM_100088"/>
    <x v="1"/>
    <s v="image"/>
    <s v="Sports"/>
    <s v="fr"/>
    <s v="Pakistan"/>
    <d v="2024-09-15T00:00:00"/>
    <s v="#viral #fyp #trending #music #tech"/>
    <n v="872559"/>
    <n v="32317"/>
    <n v="8313"/>
    <n v="5950"/>
    <n v="5.3400000000000003E-2"/>
    <n v="-0.14299999999999999"/>
    <n v="0"/>
    <x v="1"/>
    <x v="1"/>
  </r>
  <r>
    <s v="SM_100089"/>
    <x v="2"/>
    <s v="text"/>
    <s v="Lifestyle"/>
    <s v="fr"/>
    <s v="Pakistan"/>
    <d v="2024-08-14T00:00:00"/>
    <s v="#music #ai #tech #funny"/>
    <n v="501675"/>
    <n v="100335"/>
    <n v="9209"/>
    <n v="66618"/>
    <n v="0.35110000000000002"/>
    <n v="-0.115"/>
    <n v="0"/>
    <x v="1"/>
    <x v="1"/>
  </r>
  <r>
    <s v="SM_100090"/>
    <x v="3"/>
    <s v="image"/>
    <s v="Technology"/>
    <s v="en"/>
    <s v="US"/>
    <d v="2024-04-12T00:00:00"/>
    <s v="#fyp #funny #ai #music"/>
    <n v="3546940"/>
    <n v="177347"/>
    <n v="7810"/>
    <n v="5238"/>
    <n v="5.3699999999999998E-2"/>
    <n v="-0.63400000000000001"/>
    <n v="1"/>
    <x v="0"/>
    <x v="1"/>
  </r>
  <r>
    <s v="SM_100091"/>
    <x v="2"/>
    <s v="video"/>
    <s v="Entertainment"/>
    <s v="hi"/>
    <s v="US"/>
    <d v="2024-07-14T00:00:00"/>
    <s v="#fyp #ai #viral #trending #funny"/>
    <n v="2065008"/>
    <n v="187728"/>
    <n v="49017"/>
    <n v="3344"/>
    <n v="0.1163"/>
    <n v="0.314"/>
    <n v="1"/>
    <x v="0"/>
    <x v="0"/>
  </r>
  <r>
    <s v="SM_100092"/>
    <x v="2"/>
    <s v="video"/>
    <s v="Politics"/>
    <s v="es"/>
    <s v="Pakistan"/>
    <d v="2024-02-11T00:00:00"/>
    <s v="#ai #funny #trending #tech #viral"/>
    <n v="119448"/>
    <n v="17064"/>
    <n v="47898"/>
    <n v="59639"/>
    <n v="1.0430999999999999"/>
    <n v="-0.505"/>
    <n v="0"/>
    <x v="1"/>
    <x v="1"/>
  </r>
  <r>
    <s v="SM_100093"/>
    <x v="2"/>
    <s v="carousel"/>
    <s v="Entertainment"/>
    <s v="en"/>
    <s v="India"/>
    <d v="2024-01-05T00:00:00"/>
    <s v="#ai #music #fyp #news"/>
    <n v="1750190"/>
    <n v="67315"/>
    <n v="3511"/>
    <n v="13285"/>
    <n v="4.8099999999999997E-2"/>
    <n v="-0.97099999999999997"/>
    <n v="0"/>
    <x v="1"/>
    <x v="1"/>
  </r>
  <r>
    <s v="SM_100094"/>
    <x v="3"/>
    <s v="text"/>
    <s v="Education"/>
    <s v="fr"/>
    <s v="US"/>
    <d v="2024-09-30T00:00:00"/>
    <s v="#tech #news #music #fyp"/>
    <n v="8639395"/>
    <n v="454705"/>
    <n v="9440"/>
    <n v="54341"/>
    <n v="0.06"/>
    <n v="-0.91900000000000004"/>
    <n v="1"/>
    <x v="0"/>
    <x v="1"/>
  </r>
  <r>
    <s v="SM_100095"/>
    <x v="0"/>
    <s v="text"/>
    <s v="Entertainment"/>
    <s v="es"/>
    <s v="Brazil"/>
    <d v="2024-06-01T00:00:00"/>
    <s v="#news #fyp #music"/>
    <n v="4403673"/>
    <n v="489297"/>
    <n v="13250"/>
    <n v="60404"/>
    <n v="0.1278"/>
    <n v="-5.1999999999999998E-2"/>
    <n v="1"/>
    <x v="0"/>
    <x v="1"/>
  </r>
  <r>
    <s v="SM_100096"/>
    <x v="1"/>
    <s v="carousel"/>
    <s v="Lifestyle"/>
    <s v="en"/>
    <s v="UK"/>
    <d v="2024-07-05T00:00:00"/>
    <s v="#fyp #music #funny"/>
    <n v="1919464"/>
    <n v="239933"/>
    <n v="35252"/>
    <n v="94759"/>
    <n v="0.19270000000000001"/>
    <n v="-0.65400000000000003"/>
    <n v="0"/>
    <x v="1"/>
    <x v="1"/>
  </r>
  <r>
    <s v="SM_100097"/>
    <x v="3"/>
    <s v="image"/>
    <s v="Technology"/>
    <s v="fr"/>
    <s v="Pakistan"/>
    <d v="2024-03-29T00:00:00"/>
    <s v="#ai #viral #news"/>
    <n v="828814"/>
    <n v="59201"/>
    <n v="37225"/>
    <n v="26647"/>
    <n v="0.14849999999999999"/>
    <n v="0.89800000000000002"/>
    <n v="0"/>
    <x v="1"/>
    <x v="0"/>
  </r>
  <r>
    <s v="SM_100098"/>
    <x v="0"/>
    <s v="carousel"/>
    <s v="Entertainment"/>
    <s v="fr"/>
    <s v="US"/>
    <d v="2024-09-28T00:00:00"/>
    <s v="#news #tech #fyp #funny #music"/>
    <n v="5034722"/>
    <n v="359623"/>
    <n v="2854"/>
    <n v="40159"/>
    <n v="0.08"/>
    <n v="0.252"/>
    <n v="1"/>
    <x v="0"/>
    <x v="0"/>
  </r>
  <r>
    <s v="SM_100099"/>
    <x v="0"/>
    <s v="video"/>
    <s v="Politics"/>
    <s v="fr"/>
    <s v="Pakistan"/>
    <d v="2024-06-19T00:00:00"/>
    <s v="#viral #trending #ai #music"/>
    <n v="10165036"/>
    <n v="363037"/>
    <n v="9828"/>
    <n v="60161"/>
    <n v="4.2599999999999999E-2"/>
    <n v="0.317"/>
    <n v="1"/>
    <x v="0"/>
    <x v="0"/>
  </r>
  <r>
    <s v="SM_100100"/>
    <x v="1"/>
    <s v="carousel"/>
    <s v="Sports"/>
    <s v="fr"/>
    <s v="Pakistan"/>
    <d v="2024-03-02T00:00:00"/>
    <s v="#fyp #trending"/>
    <n v="7958540"/>
    <n v="397927"/>
    <n v="27668"/>
    <n v="51992"/>
    <n v="0.06"/>
    <n v="0.28499999999999998"/>
    <n v="1"/>
    <x v="0"/>
    <x v="0"/>
  </r>
  <r>
    <s v="SM_100101"/>
    <x v="2"/>
    <s v="video"/>
    <s v="Politics"/>
    <s v="en"/>
    <s v="UK"/>
    <d v="2024-06-26T00:00:00"/>
    <s v="#ai #news #tech #music #fyp"/>
    <n v="2275296"/>
    <n v="94804"/>
    <n v="49120"/>
    <n v="91008"/>
    <n v="0.1033"/>
    <n v="0.151"/>
    <n v="1"/>
    <x v="0"/>
    <x v="0"/>
  </r>
  <r>
    <s v="SM_100102"/>
    <x v="1"/>
    <s v="video"/>
    <s v="Lifestyle"/>
    <s v="es"/>
    <s v="India"/>
    <d v="2024-05-02T00:00:00"/>
    <s v="#music #funny #trending #fyp"/>
    <n v="2328425"/>
    <n v="465685"/>
    <n v="11943"/>
    <n v="35196"/>
    <n v="0.22020000000000001"/>
    <n v="-8.3000000000000004E-2"/>
    <n v="1"/>
    <x v="0"/>
    <x v="1"/>
  </r>
  <r>
    <s v="SM_100103"/>
    <x v="0"/>
    <s v="video"/>
    <s v="Technology"/>
    <s v="es"/>
    <s v="Pakistan"/>
    <d v="2024-11-14T00:00:00"/>
    <s v="#viral #trending #news"/>
    <n v="1816430"/>
    <n v="363286"/>
    <n v="28079"/>
    <n v="97857"/>
    <n v="0.26929999999999998"/>
    <n v="0.30299999999999999"/>
    <n v="0"/>
    <x v="1"/>
    <x v="0"/>
  </r>
  <r>
    <s v="SM_100104"/>
    <x v="0"/>
    <s v="text"/>
    <s v="Education"/>
    <s v="fr"/>
    <s v="US"/>
    <d v="2024-06-11T00:00:00"/>
    <s v="#ai #viral #trending #tech"/>
    <n v="1412462"/>
    <n v="83086"/>
    <n v="24112"/>
    <n v="20765"/>
    <n v="9.06E-2"/>
    <n v="-0.57099999999999995"/>
    <n v="0"/>
    <x v="1"/>
    <x v="1"/>
  </r>
  <r>
    <s v="SM_100105"/>
    <x v="3"/>
    <s v="video"/>
    <s v="Entertainment"/>
    <s v="fr"/>
    <s v="UK"/>
    <d v="2024-12-13T00:00:00"/>
    <s v="#fyp #funny"/>
    <n v="6109191"/>
    <n v="265617"/>
    <n v="12166"/>
    <n v="97533"/>
    <n v="6.1400000000000003E-2"/>
    <n v="0.23699999999999999"/>
    <n v="1"/>
    <x v="0"/>
    <x v="0"/>
  </r>
  <r>
    <s v="SM_100106"/>
    <x v="0"/>
    <s v="image"/>
    <s v="Lifestyle"/>
    <s v="es"/>
    <s v="Pakistan"/>
    <d v="2024-06-23T00:00:00"/>
    <s v="#trending #viral #fyp #ai #music"/>
    <n v="329400"/>
    <n v="27450"/>
    <n v="27477"/>
    <n v="94298"/>
    <n v="0.45300000000000001"/>
    <n v="-0.22900000000000001"/>
    <n v="0"/>
    <x v="1"/>
    <x v="1"/>
  </r>
  <r>
    <s v="SM_100107"/>
    <x v="0"/>
    <s v="carousel"/>
    <s v="Lifestyle"/>
    <s v="ur"/>
    <s v="Brazil"/>
    <d v="2024-04-14T00:00:00"/>
    <s v="#tech #fyp #trending #ai"/>
    <n v="2451726"/>
    <n v="408621"/>
    <n v="9822"/>
    <n v="76798"/>
    <n v="0.20200000000000001"/>
    <n v="-0.47899999999999998"/>
    <n v="1"/>
    <x v="0"/>
    <x v="1"/>
  </r>
  <r>
    <s v="SM_100108"/>
    <x v="0"/>
    <s v="image"/>
    <s v="Politics"/>
    <s v="ur"/>
    <s v="India"/>
    <d v="2024-05-03T00:00:00"/>
    <s v="#ai #news #tech"/>
    <n v="7065050"/>
    <n v="282602"/>
    <n v="3272"/>
    <n v="82746"/>
    <n v="5.2200000000000003E-2"/>
    <n v="-0.30299999999999999"/>
    <n v="1"/>
    <x v="0"/>
    <x v="1"/>
  </r>
  <r>
    <s v="SM_100109"/>
    <x v="3"/>
    <s v="text"/>
    <s v="Sports"/>
    <s v="en"/>
    <s v="India"/>
    <d v="2024-11-10T00:00:00"/>
    <s v="#music #fyp #tech"/>
    <n v="91504"/>
    <n v="11438"/>
    <n v="417"/>
    <n v="7544"/>
    <n v="0.21199999999999999"/>
    <n v="-0.16400000000000001"/>
    <n v="0"/>
    <x v="1"/>
    <x v="1"/>
  </r>
  <r>
    <s v="SM_100110"/>
    <x v="1"/>
    <s v="carousel"/>
    <s v="Politics"/>
    <s v="hi"/>
    <s v="UK"/>
    <d v="2024-10-14T00:00:00"/>
    <s v="#viral #trending #funny #news"/>
    <n v="1982304"/>
    <n v="220256"/>
    <n v="27389"/>
    <n v="44426"/>
    <n v="0.14729999999999999"/>
    <n v="0.501"/>
    <n v="0"/>
    <x v="1"/>
    <x v="0"/>
  </r>
  <r>
    <s v="SM_100111"/>
    <x v="1"/>
    <s v="video"/>
    <s v="Sports"/>
    <s v="es"/>
    <s v="India"/>
    <d v="2024-02-29T00:00:00"/>
    <s v="#news #viral #fyp"/>
    <n v="6190780"/>
    <n v="309539"/>
    <n v="48821"/>
    <n v="83043"/>
    <n v="7.1300000000000002E-2"/>
    <n v="-0.745"/>
    <n v="1"/>
    <x v="0"/>
    <x v="1"/>
  </r>
  <r>
    <s v="SM_100112"/>
    <x v="3"/>
    <s v="carousel"/>
    <s v="Sports"/>
    <s v="hi"/>
    <s v="Pakistan"/>
    <d v="2024-11-21T00:00:00"/>
    <s v="#music #news #funny"/>
    <n v="1909980"/>
    <n v="70740"/>
    <n v="34916"/>
    <n v="59032"/>
    <n v="8.6199999999999999E-2"/>
    <n v="0.86199999999999999"/>
    <n v="0"/>
    <x v="1"/>
    <x v="0"/>
  </r>
  <r>
    <s v="SM_100113"/>
    <x v="0"/>
    <s v="video"/>
    <s v="Technology"/>
    <s v="es"/>
    <s v="India"/>
    <d v="2024-08-03T00:00:00"/>
    <s v="#ai #funny"/>
    <n v="1662552"/>
    <n v="61576"/>
    <n v="44816"/>
    <n v="36209"/>
    <n v="8.5800000000000001E-2"/>
    <n v="0.502"/>
    <n v="0"/>
    <x v="1"/>
    <x v="0"/>
  </r>
  <r>
    <s v="SM_100114"/>
    <x v="0"/>
    <s v="video"/>
    <s v="Technology"/>
    <s v="hi"/>
    <s v="US"/>
    <d v="2024-09-11T00:00:00"/>
    <s v="#fyp #trending #viral #tech"/>
    <n v="2372076"/>
    <n v="112956"/>
    <n v="2919"/>
    <n v="21353"/>
    <n v="5.79E-2"/>
    <n v="6.9000000000000006E-2"/>
    <n v="1"/>
    <x v="0"/>
    <x v="0"/>
  </r>
  <r>
    <s v="SM_100115"/>
    <x v="2"/>
    <s v="carousel"/>
    <s v="Lifestyle"/>
    <s v="hi"/>
    <s v="Brazil"/>
    <d v="2024-08-13T00:00:00"/>
    <s v="#music #viral #funny"/>
    <n v="11306646"/>
    <n v="434871"/>
    <n v="46964"/>
    <n v="729"/>
    <n v="4.2700000000000002E-2"/>
    <n v="-0.40500000000000003"/>
    <n v="1"/>
    <x v="0"/>
    <x v="1"/>
  </r>
  <r>
    <s v="SM_100116"/>
    <x v="2"/>
    <s v="carousel"/>
    <s v="Lifestyle"/>
    <s v="fr"/>
    <s v="Brazil"/>
    <d v="2024-11-18T00:00:00"/>
    <s v="#tech #viral"/>
    <n v="640864"/>
    <n v="40054"/>
    <n v="47285"/>
    <n v="79460"/>
    <n v="0.26029999999999998"/>
    <n v="0.91700000000000004"/>
    <n v="0"/>
    <x v="1"/>
    <x v="0"/>
  </r>
  <r>
    <s v="SM_100117"/>
    <x v="3"/>
    <s v="image"/>
    <s v="Entertainment"/>
    <s v="en"/>
    <s v="India"/>
    <d v="2024-02-17T00:00:00"/>
    <s v="#trending #viral #funny #ai"/>
    <n v="4595602"/>
    <n v="417782"/>
    <n v="36944"/>
    <n v="69897"/>
    <n v="0.1142"/>
    <n v="0.91400000000000003"/>
    <n v="1"/>
    <x v="0"/>
    <x v="0"/>
  </r>
  <r>
    <s v="SM_100118"/>
    <x v="2"/>
    <s v="carousel"/>
    <s v="Entertainment"/>
    <s v="ur"/>
    <s v="Brazil"/>
    <d v="2024-02-26T00:00:00"/>
    <s v="#viral #ai #tech"/>
    <n v="988646"/>
    <n v="52034"/>
    <n v="32312"/>
    <n v="54099"/>
    <n v="0.14000000000000001"/>
    <n v="-0.83299999999999996"/>
    <n v="0"/>
    <x v="1"/>
    <x v="1"/>
  </r>
  <r>
    <s v="SM_100119"/>
    <x v="2"/>
    <s v="video"/>
    <s v="Sports"/>
    <s v="es"/>
    <s v="India"/>
    <d v="2024-02-29T00:00:00"/>
    <s v="#ai #news"/>
    <n v="3026880"/>
    <n v="126120"/>
    <n v="37264"/>
    <n v="89113"/>
    <n v="8.3400000000000002E-2"/>
    <n v="0.34499999999999997"/>
    <n v="1"/>
    <x v="0"/>
    <x v="0"/>
  </r>
  <r>
    <s v="SM_100120"/>
    <x v="0"/>
    <s v="image"/>
    <s v="Sports"/>
    <s v="en"/>
    <s v="US"/>
    <d v="2024-03-01T00:00:00"/>
    <s v="#funny #music #viral #fyp"/>
    <n v="2608397"/>
    <n v="237127"/>
    <n v="1172"/>
    <n v="27193"/>
    <n v="0.1018"/>
    <n v="-0.81799999999999995"/>
    <n v="1"/>
    <x v="0"/>
    <x v="1"/>
  </r>
  <r>
    <s v="SM_100121"/>
    <x v="0"/>
    <s v="carousel"/>
    <s v="Lifestyle"/>
    <s v="es"/>
    <s v="US"/>
    <d v="2024-11-03T00:00:00"/>
    <s v="#fyp #funny"/>
    <n v="2748906"/>
    <n v="152717"/>
    <n v="21694"/>
    <n v="11175"/>
    <n v="6.7500000000000004E-2"/>
    <n v="9.9000000000000005E-2"/>
    <n v="1"/>
    <x v="0"/>
    <x v="0"/>
  </r>
  <r>
    <s v="SM_100122"/>
    <x v="0"/>
    <s v="carousel"/>
    <s v="Sports"/>
    <s v="hi"/>
    <s v="India"/>
    <d v="2024-06-11T00:00:00"/>
    <s v="#music #fyp #tech #ai"/>
    <n v="141720"/>
    <n v="9448"/>
    <n v="23719"/>
    <n v="38103"/>
    <n v="0.50290000000000001"/>
    <n v="0.41199999999999998"/>
    <n v="0"/>
    <x v="1"/>
    <x v="0"/>
  </r>
  <r>
    <s v="SM_100123"/>
    <x v="0"/>
    <s v="video"/>
    <s v="Politics"/>
    <s v="fr"/>
    <s v="India"/>
    <d v="2024-12-23T00:00:00"/>
    <s v="#viral #news #funny"/>
    <n v="1445500"/>
    <n v="103250"/>
    <n v="6736"/>
    <n v="48137"/>
    <n v="0.1094"/>
    <n v="0.67400000000000004"/>
    <n v="0"/>
    <x v="1"/>
    <x v="0"/>
  </r>
  <r>
    <s v="SM_100124"/>
    <x v="0"/>
    <s v="carousel"/>
    <s v="Sports"/>
    <s v="ur"/>
    <s v="UK"/>
    <d v="2024-03-25T00:00:00"/>
    <s v="#viral #music #trending #funny #ai"/>
    <n v="2241404"/>
    <n v="203764"/>
    <n v="11521"/>
    <n v="44262"/>
    <n v="0.1158"/>
    <n v="-0.14799999999999999"/>
    <n v="1"/>
    <x v="0"/>
    <x v="1"/>
  </r>
  <r>
    <s v="SM_100125"/>
    <x v="3"/>
    <s v="image"/>
    <s v="Education"/>
    <s v="es"/>
    <s v="Brazil"/>
    <d v="2024-03-28T00:00:00"/>
    <s v="#trending #viral #ai #music #tech"/>
    <n v="3993330"/>
    <n v="181515"/>
    <n v="39086"/>
    <n v="62857"/>
    <n v="7.0999999999999994E-2"/>
    <n v="0.78400000000000003"/>
    <n v="1"/>
    <x v="0"/>
    <x v="0"/>
  </r>
  <r>
    <s v="SM_100126"/>
    <x v="0"/>
    <s v="video"/>
    <s v="Entertainment"/>
    <s v="es"/>
    <s v="US"/>
    <d v="2024-06-29T00:00:00"/>
    <s v="#news #tech"/>
    <n v="4936536"/>
    <n v="214632"/>
    <n v="22561"/>
    <n v="54694"/>
    <n v="5.91E-2"/>
    <n v="0.16300000000000001"/>
    <n v="1"/>
    <x v="0"/>
    <x v="0"/>
  </r>
  <r>
    <s v="SM_100127"/>
    <x v="1"/>
    <s v="image"/>
    <s v="Education"/>
    <s v="en"/>
    <s v="US"/>
    <d v="2024-05-25T00:00:00"/>
    <s v="#music #fyp #viral #ai"/>
    <n v="10455936"/>
    <n v="435664"/>
    <n v="26437"/>
    <n v="83286"/>
    <n v="5.2200000000000003E-2"/>
    <n v="-0.52700000000000002"/>
    <n v="1"/>
    <x v="0"/>
    <x v="1"/>
  </r>
  <r>
    <s v="SM_100128"/>
    <x v="3"/>
    <s v="video"/>
    <s v="Sports"/>
    <s v="es"/>
    <s v="India"/>
    <d v="2024-03-23T00:00:00"/>
    <s v="#ai #viral #tech"/>
    <n v="3468624"/>
    <n v="433578"/>
    <n v="37085"/>
    <n v="1325"/>
    <n v="0.1361"/>
    <n v="-0.3"/>
    <n v="1"/>
    <x v="0"/>
    <x v="1"/>
  </r>
  <r>
    <s v="SM_100129"/>
    <x v="1"/>
    <s v="text"/>
    <s v="Politics"/>
    <s v="en"/>
    <s v="Pakistan"/>
    <d v="2024-10-07T00:00:00"/>
    <s v="#ai #news #fyp #viral"/>
    <n v="3528176"/>
    <n v="220511"/>
    <n v="19875"/>
    <n v="34579"/>
    <n v="7.7899999999999997E-2"/>
    <n v="0.11700000000000001"/>
    <n v="1"/>
    <x v="0"/>
    <x v="0"/>
  </r>
  <r>
    <s v="SM_100130"/>
    <x v="0"/>
    <s v="carousel"/>
    <s v="Technology"/>
    <s v="hi"/>
    <s v="UK"/>
    <d v="2024-08-07T00:00:00"/>
    <s v="#ai #trending"/>
    <n v="2736402"/>
    <n v="118974"/>
    <n v="25294"/>
    <n v="55130"/>
    <n v="7.2900000000000006E-2"/>
    <n v="-0.77800000000000002"/>
    <n v="1"/>
    <x v="0"/>
    <x v="1"/>
  </r>
  <r>
    <s v="SM_100131"/>
    <x v="0"/>
    <s v="carousel"/>
    <s v="Education"/>
    <s v="fr"/>
    <s v="Pakistan"/>
    <d v="2024-01-29T00:00:00"/>
    <s v="#viral #tech #funny #music #trending"/>
    <n v="6747972"/>
    <n v="306726"/>
    <n v="20657"/>
    <n v="4749"/>
    <n v="4.9200000000000001E-2"/>
    <n v="-6.3E-2"/>
    <n v="1"/>
    <x v="0"/>
    <x v="1"/>
  </r>
  <r>
    <s v="SM_100132"/>
    <x v="2"/>
    <s v="image"/>
    <s v="Education"/>
    <s v="en"/>
    <s v="India"/>
    <d v="2024-05-07T00:00:00"/>
    <s v="#trending #fyp #tech #music #funny"/>
    <n v="1488732"/>
    <n v="124061"/>
    <n v="30360"/>
    <n v="55772"/>
    <n v="0.14119999999999999"/>
    <n v="-0.76500000000000001"/>
    <n v="0"/>
    <x v="1"/>
    <x v="1"/>
  </r>
  <r>
    <s v="SM_100133"/>
    <x v="2"/>
    <s v="text"/>
    <s v="Education"/>
    <s v="ur"/>
    <s v="Pakistan"/>
    <d v="2024-04-23T00:00:00"/>
    <s v="#viral #trending #fyp #news"/>
    <n v="1214612"/>
    <n v="173516"/>
    <n v="42923"/>
    <n v="52225"/>
    <n v="0.22120000000000001"/>
    <n v="0.16700000000000001"/>
    <n v="0"/>
    <x v="1"/>
    <x v="0"/>
  </r>
  <r>
    <s v="SM_100134"/>
    <x v="3"/>
    <s v="carousel"/>
    <s v="Technology"/>
    <s v="ur"/>
    <s v="Brazil"/>
    <d v="2024-07-08T00:00:00"/>
    <s v="#fyp #music"/>
    <n v="1296309"/>
    <n v="61729"/>
    <n v="509"/>
    <n v="99519"/>
    <n v="0.12479999999999999"/>
    <n v="-0.83399999999999996"/>
    <n v="0"/>
    <x v="1"/>
    <x v="1"/>
  </r>
  <r>
    <s v="SM_100135"/>
    <x v="3"/>
    <s v="carousel"/>
    <s v="Entertainment"/>
    <s v="fr"/>
    <s v="India"/>
    <d v="2024-01-10T00:00:00"/>
    <s v="#fyp #funny #trending #viral"/>
    <n v="3424320"/>
    <n v="214020"/>
    <n v="37802"/>
    <n v="67642"/>
    <n v="9.3299999999999994E-2"/>
    <n v="0.95599999999999996"/>
    <n v="1"/>
    <x v="0"/>
    <x v="0"/>
  </r>
  <r>
    <s v="SM_100136"/>
    <x v="3"/>
    <s v="carousel"/>
    <s v="Lifestyle"/>
    <s v="ur"/>
    <s v="Brazil"/>
    <d v="2024-12-03T00:00:00"/>
    <s v="#news #tech"/>
    <n v="10816416"/>
    <n v="416016"/>
    <n v="34625"/>
    <n v="20560"/>
    <n v="4.36E-2"/>
    <n v="0.84899999999999998"/>
    <n v="1"/>
    <x v="0"/>
    <x v="0"/>
  </r>
  <r>
    <s v="SM_100137"/>
    <x v="1"/>
    <s v="text"/>
    <s v="Politics"/>
    <s v="hi"/>
    <s v="UK"/>
    <d v="2024-06-30T00:00:00"/>
    <s v="#funny #viral #tech #music #fyp"/>
    <n v="4777353"/>
    <n v="207711"/>
    <n v="21737"/>
    <n v="91363"/>
    <n v="6.7199999999999996E-2"/>
    <n v="0.93899999999999995"/>
    <n v="1"/>
    <x v="0"/>
    <x v="0"/>
  </r>
  <r>
    <s v="SM_100138"/>
    <x v="1"/>
    <s v="text"/>
    <s v="Education"/>
    <s v="fr"/>
    <s v="UK"/>
    <d v="2024-04-10T00:00:00"/>
    <s v="#fyp #music #ai #tech"/>
    <n v="2397465"/>
    <n v="114165"/>
    <n v="6195"/>
    <n v="17641"/>
    <n v="5.7599999999999998E-2"/>
    <n v="0.39100000000000001"/>
    <n v="1"/>
    <x v="0"/>
    <x v="0"/>
  </r>
  <r>
    <s v="SM_100139"/>
    <x v="3"/>
    <s v="image"/>
    <s v="Politics"/>
    <s v="en"/>
    <s v="Brazil"/>
    <d v="2024-04-27T00:00:00"/>
    <s v="#music #news #viral #ai #funny"/>
    <n v="6297640"/>
    <n v="314882"/>
    <n v="42361"/>
    <n v="68867"/>
    <n v="6.7699999999999996E-2"/>
    <n v="0.47399999999999998"/>
    <n v="1"/>
    <x v="0"/>
    <x v="0"/>
  </r>
  <r>
    <s v="SM_100140"/>
    <x v="3"/>
    <s v="carousel"/>
    <s v="Lifestyle"/>
    <s v="ur"/>
    <s v="Pakistan"/>
    <d v="2024-06-14T00:00:00"/>
    <s v="#viral #trending #funny #fyp #music"/>
    <n v="8008600"/>
    <n v="400430"/>
    <n v="13328"/>
    <n v="99658"/>
    <n v="6.4100000000000004E-2"/>
    <n v="0.78100000000000003"/>
    <n v="1"/>
    <x v="0"/>
    <x v="0"/>
  </r>
  <r>
    <s v="SM_100141"/>
    <x v="3"/>
    <s v="image"/>
    <s v="Politics"/>
    <s v="fr"/>
    <s v="US"/>
    <d v="2024-05-18T00:00:00"/>
    <s v="#tech #music #ai #news"/>
    <n v="9703575"/>
    <n v="388143"/>
    <n v="23964"/>
    <n v="66204"/>
    <n v="4.9299999999999997E-2"/>
    <n v="-0.44500000000000001"/>
    <n v="1"/>
    <x v="0"/>
    <x v="1"/>
  </r>
  <r>
    <s v="SM_100142"/>
    <x v="2"/>
    <s v="text"/>
    <s v="Politics"/>
    <s v="es"/>
    <s v="US"/>
    <d v="2024-02-16T00:00:00"/>
    <s v="#music #fyp #funny #ai"/>
    <n v="1023594"/>
    <n v="46527"/>
    <n v="36492"/>
    <n v="84666"/>
    <n v="0.1638"/>
    <n v="-0.46800000000000003"/>
    <n v="0"/>
    <x v="1"/>
    <x v="1"/>
  </r>
  <r>
    <s v="SM_100143"/>
    <x v="1"/>
    <s v="image"/>
    <s v="Technology"/>
    <s v="en"/>
    <s v="Brazil"/>
    <d v="2024-06-29T00:00:00"/>
    <s v="#music #funny #news"/>
    <n v="12911184"/>
    <n v="496584"/>
    <n v="4840"/>
    <n v="20160"/>
    <n v="4.0399999999999998E-2"/>
    <n v="-0.93500000000000005"/>
    <n v="1"/>
    <x v="0"/>
    <x v="1"/>
  </r>
  <r>
    <s v="SM_100144"/>
    <x v="3"/>
    <s v="carousel"/>
    <s v="Lifestyle"/>
    <s v="ur"/>
    <s v="India"/>
    <d v="2024-04-20T00:00:00"/>
    <s v="#music #fyp #viral #news #tech"/>
    <n v="10353696"/>
    <n v="431404"/>
    <n v="13221"/>
    <n v="55285"/>
    <n v="4.8300000000000003E-2"/>
    <n v="0.20599999999999999"/>
    <n v="1"/>
    <x v="0"/>
    <x v="0"/>
  </r>
  <r>
    <s v="SM_100145"/>
    <x v="1"/>
    <s v="text"/>
    <s v="Entertainment"/>
    <s v="ur"/>
    <s v="Pakistan"/>
    <d v="2024-12-14T00:00:00"/>
    <s v="#tech #trending"/>
    <n v="6466518"/>
    <n v="359251"/>
    <n v="17313"/>
    <n v="27533"/>
    <n v="6.25E-2"/>
    <n v="-0.84799999999999998"/>
    <n v="1"/>
    <x v="0"/>
    <x v="1"/>
  </r>
  <r>
    <s v="SM_100146"/>
    <x v="2"/>
    <s v="video"/>
    <s v="Entertainment"/>
    <s v="fr"/>
    <s v="India"/>
    <d v="2024-08-20T00:00:00"/>
    <s v="#fyp #music"/>
    <n v="3948849"/>
    <n v="438761"/>
    <n v="5718"/>
    <n v="56179"/>
    <n v="0.1268"/>
    <n v="0.22700000000000001"/>
    <n v="1"/>
    <x v="0"/>
    <x v="0"/>
  </r>
  <r>
    <s v="SM_100147"/>
    <x v="3"/>
    <s v="image"/>
    <s v="Sports"/>
    <s v="en"/>
    <s v="UK"/>
    <d v="2024-02-18T00:00:00"/>
    <s v="#tech #fyp #music #trending #funny"/>
    <n v="2850606"/>
    <n v="129573"/>
    <n v="14"/>
    <n v="84792"/>
    <n v="7.5200000000000003E-2"/>
    <n v="0.10299999999999999"/>
    <n v="1"/>
    <x v="0"/>
    <x v="0"/>
  </r>
  <r>
    <s v="SM_100148"/>
    <x v="3"/>
    <s v="video"/>
    <s v="Sports"/>
    <s v="en"/>
    <s v="India"/>
    <d v="2024-04-27T00:00:00"/>
    <s v="#fyp #trending #viral"/>
    <n v="845320"/>
    <n v="169064"/>
    <n v="1020"/>
    <n v="61814"/>
    <n v="0.27429999999999999"/>
    <n v="-3.9E-2"/>
    <n v="0"/>
    <x v="1"/>
    <x v="1"/>
  </r>
  <r>
    <s v="SM_100149"/>
    <x v="3"/>
    <s v="image"/>
    <s v="Lifestyle"/>
    <s v="es"/>
    <s v="Brazil"/>
    <d v="2024-06-27T00:00:00"/>
    <s v="#funny #tech #fyp"/>
    <n v="7047754"/>
    <n v="243026"/>
    <n v="47285"/>
    <n v="62293"/>
    <n v="0.05"/>
    <n v="0.94"/>
    <n v="1"/>
    <x v="0"/>
    <x v="0"/>
  </r>
  <r>
    <s v="SM_100150"/>
    <x v="2"/>
    <s v="image"/>
    <s v="Entertainment"/>
    <s v="ur"/>
    <s v="US"/>
    <d v="2024-07-16T00:00:00"/>
    <s v="#news #fyp #music #trending #tech"/>
    <n v="1673590"/>
    <n v="334718"/>
    <n v="21173"/>
    <n v="46541"/>
    <n v="0.24049999999999999"/>
    <n v="-6.3E-2"/>
    <n v="0"/>
    <x v="1"/>
    <x v="1"/>
  </r>
  <r>
    <s v="SM_100151"/>
    <x v="1"/>
    <s v="text"/>
    <s v="Sports"/>
    <s v="fr"/>
    <s v="UK"/>
    <d v="2024-10-20T00:00:00"/>
    <s v="#ai #trending #funny #fyp"/>
    <n v="2641750"/>
    <n v="105670"/>
    <n v="8707"/>
    <n v="385"/>
    <n v="4.3400000000000001E-2"/>
    <n v="-0.88700000000000001"/>
    <n v="1"/>
    <x v="0"/>
    <x v="1"/>
  </r>
  <r>
    <s v="SM_100152"/>
    <x v="0"/>
    <s v="text"/>
    <s v="Education"/>
    <s v="en"/>
    <s v="US"/>
    <d v="2024-03-07T00:00:00"/>
    <s v="#viral #funny #music"/>
    <n v="3802545"/>
    <n v="422505"/>
    <n v="12768"/>
    <n v="18385"/>
    <n v="0.1193"/>
    <n v="0.999"/>
    <n v="1"/>
    <x v="0"/>
    <x v="0"/>
  </r>
  <r>
    <s v="SM_100153"/>
    <x v="3"/>
    <s v="text"/>
    <s v="Politics"/>
    <s v="en"/>
    <s v="UK"/>
    <d v="2024-09-19T00:00:00"/>
    <s v="#music #funny"/>
    <n v="6357555"/>
    <n v="235465"/>
    <n v="15111"/>
    <n v="50613"/>
    <n v="4.7399999999999998E-2"/>
    <n v="0.53800000000000003"/>
    <n v="1"/>
    <x v="0"/>
    <x v="0"/>
  </r>
  <r>
    <s v="SM_100154"/>
    <x v="2"/>
    <s v="image"/>
    <s v="Politics"/>
    <s v="en"/>
    <s v="India"/>
    <d v="2024-09-27T00:00:00"/>
    <s v="#trending #tech"/>
    <n v="6282680"/>
    <n v="273160"/>
    <n v="4814"/>
    <n v="32202"/>
    <n v="4.9399999999999999E-2"/>
    <n v="-0.505"/>
    <n v="1"/>
    <x v="0"/>
    <x v="1"/>
  </r>
  <r>
    <s v="SM_100155"/>
    <x v="0"/>
    <s v="video"/>
    <s v="Entertainment"/>
    <s v="en"/>
    <s v="US"/>
    <d v="2024-01-14T00:00:00"/>
    <s v="#news #viral"/>
    <n v="10343399"/>
    <n v="449713"/>
    <n v="38770"/>
    <n v="34817"/>
    <n v="5.0599999999999999E-2"/>
    <n v="-0.45100000000000001"/>
    <n v="1"/>
    <x v="0"/>
    <x v="1"/>
  </r>
  <r>
    <s v="SM_100156"/>
    <x v="3"/>
    <s v="text"/>
    <s v="Lifestyle"/>
    <s v="fr"/>
    <s v="UK"/>
    <d v="2024-04-23T00:00:00"/>
    <s v="#funny #fyp #news #viral #music"/>
    <n v="6706035"/>
    <n v="319335"/>
    <n v="21954"/>
    <n v="70081"/>
    <n v="6.13E-2"/>
    <n v="0.51400000000000001"/>
    <n v="1"/>
    <x v="0"/>
    <x v="0"/>
  </r>
  <r>
    <s v="SM_100157"/>
    <x v="2"/>
    <s v="text"/>
    <s v="Education"/>
    <s v="ur"/>
    <s v="US"/>
    <d v="2024-06-23T00:00:00"/>
    <s v="#trending #viral"/>
    <n v="1015223"/>
    <n v="92293"/>
    <n v="36192"/>
    <n v="7240"/>
    <n v="0.13370000000000001"/>
    <n v="0.34300000000000003"/>
    <n v="0"/>
    <x v="1"/>
    <x v="0"/>
  </r>
  <r>
    <s v="SM_100158"/>
    <x v="0"/>
    <s v="carousel"/>
    <s v="Technology"/>
    <s v="en"/>
    <s v="Pakistan"/>
    <d v="2024-02-06T00:00:00"/>
    <s v="#news #trending"/>
    <n v="4162158"/>
    <n v="189189"/>
    <n v="43130"/>
    <n v="49923"/>
    <n v="6.7799999999999999E-2"/>
    <n v="0.70399999999999996"/>
    <n v="1"/>
    <x v="0"/>
    <x v="0"/>
  </r>
  <r>
    <s v="SM_100159"/>
    <x v="3"/>
    <s v="carousel"/>
    <s v="Education"/>
    <s v="ur"/>
    <s v="India"/>
    <d v="2024-07-06T00:00:00"/>
    <s v="#trending #viral #tech #music #funny"/>
    <n v="3360085"/>
    <n v="115865"/>
    <n v="8432"/>
    <n v="24286"/>
    <n v="4.4200000000000003E-2"/>
    <n v="0.18"/>
    <n v="1"/>
    <x v="0"/>
    <x v="0"/>
  </r>
  <r>
    <s v="SM_100160"/>
    <x v="1"/>
    <s v="carousel"/>
    <s v="Technology"/>
    <s v="hi"/>
    <s v="UK"/>
    <d v="2024-08-01T00:00:00"/>
    <s v="#news #viral #fyp #tech"/>
    <n v="5347398"/>
    <n v="281442"/>
    <n v="19763"/>
    <n v="15255"/>
    <n v="5.9200000000000003E-2"/>
    <n v="0.56899999999999995"/>
    <n v="1"/>
    <x v="0"/>
    <x v="0"/>
  </r>
  <r>
    <s v="SM_100161"/>
    <x v="2"/>
    <s v="image"/>
    <s v="Education"/>
    <s v="hi"/>
    <s v="India"/>
    <d v="2024-05-05T00:00:00"/>
    <s v="#trending #ai #fyp #tech #viral"/>
    <n v="7818919"/>
    <n v="339953"/>
    <n v="37446"/>
    <n v="92235"/>
    <n v="6.0100000000000001E-2"/>
    <n v="0.80600000000000005"/>
    <n v="1"/>
    <x v="0"/>
    <x v="0"/>
  </r>
  <r>
    <s v="SM_100162"/>
    <x v="3"/>
    <s v="video"/>
    <s v="Technology"/>
    <s v="hi"/>
    <s v="US"/>
    <d v="2024-03-26T00:00:00"/>
    <s v="#funny #ai #news #music #viral"/>
    <n v="7204098"/>
    <n v="327459"/>
    <n v="13056"/>
    <n v="6950"/>
    <n v="4.82E-2"/>
    <n v="0.18"/>
    <n v="1"/>
    <x v="0"/>
    <x v="0"/>
  </r>
  <r>
    <s v="SM_100163"/>
    <x v="0"/>
    <s v="image"/>
    <s v="Entertainment"/>
    <s v="en"/>
    <s v="India"/>
    <d v="2024-07-21T00:00:00"/>
    <s v="#viral #ai #tech #fyp #funny"/>
    <n v="3176599"/>
    <n v="138113"/>
    <n v="25939"/>
    <n v="23387"/>
    <n v="5.8999999999999997E-2"/>
    <n v="0.80800000000000005"/>
    <n v="1"/>
    <x v="0"/>
    <x v="0"/>
  </r>
  <r>
    <s v="SM_100164"/>
    <x v="2"/>
    <s v="text"/>
    <s v="Politics"/>
    <s v="hi"/>
    <s v="Pakistan"/>
    <d v="2024-10-13T00:00:00"/>
    <s v="#news #funny"/>
    <n v="2382835"/>
    <n v="476567"/>
    <n v="28925"/>
    <n v="53414"/>
    <n v="0.2346"/>
    <n v="0.56699999999999995"/>
    <n v="1"/>
    <x v="0"/>
    <x v="0"/>
  </r>
  <r>
    <s v="SM_100165"/>
    <x v="1"/>
    <s v="carousel"/>
    <s v="Sports"/>
    <s v="ur"/>
    <s v="Brazil"/>
    <d v="2024-06-01T00:00:00"/>
    <s v="#funny #news"/>
    <n v="3513650"/>
    <n v="250975"/>
    <n v="4642"/>
    <n v="70391"/>
    <n v="9.2799999999999994E-2"/>
    <n v="0.72499999999999998"/>
    <n v="1"/>
    <x v="0"/>
    <x v="0"/>
  </r>
  <r>
    <s v="SM_100166"/>
    <x v="3"/>
    <s v="image"/>
    <s v="Education"/>
    <s v="ur"/>
    <s v="Brazil"/>
    <d v="2024-09-17T00:00:00"/>
    <s v="#viral #news"/>
    <n v="3472560"/>
    <n v="248040"/>
    <n v="37665"/>
    <n v="39812"/>
    <n v="9.3700000000000006E-2"/>
    <n v="0.85299999999999998"/>
    <n v="1"/>
    <x v="0"/>
    <x v="0"/>
  </r>
  <r>
    <s v="SM_100167"/>
    <x v="1"/>
    <s v="image"/>
    <s v="Entertainment"/>
    <s v="fr"/>
    <s v="India"/>
    <d v="2024-07-27T00:00:00"/>
    <s v="#trending #news #fyp"/>
    <n v="6119148"/>
    <n v="218541"/>
    <n v="19968"/>
    <n v="55124"/>
    <n v="4.8000000000000001E-2"/>
    <n v="-0.90800000000000003"/>
    <n v="1"/>
    <x v="0"/>
    <x v="1"/>
  </r>
  <r>
    <s v="SM_100168"/>
    <x v="0"/>
    <s v="video"/>
    <s v="Sports"/>
    <s v="en"/>
    <s v="Brazil"/>
    <d v="2024-07-19T00:00:00"/>
    <s v="#ai #music"/>
    <n v="5707257"/>
    <n v="335721"/>
    <n v="14393"/>
    <n v="5570"/>
    <n v="6.2300000000000001E-2"/>
    <n v="-0.58199999999999996"/>
    <n v="1"/>
    <x v="0"/>
    <x v="1"/>
  </r>
  <r>
    <s v="SM_100169"/>
    <x v="3"/>
    <s v="image"/>
    <s v="Education"/>
    <s v="es"/>
    <s v="UK"/>
    <d v="2024-01-30T00:00:00"/>
    <s v="#trending #ai #music"/>
    <n v="5938370"/>
    <n v="258190"/>
    <n v="12020"/>
    <n v="45003"/>
    <n v="5.3100000000000001E-2"/>
    <n v="7.4999999999999997E-2"/>
    <n v="1"/>
    <x v="0"/>
    <x v="0"/>
  </r>
  <r>
    <s v="SM_100170"/>
    <x v="1"/>
    <s v="video"/>
    <s v="Technology"/>
    <s v="fr"/>
    <s v="US"/>
    <d v="2024-12-04T00:00:00"/>
    <s v="#ai #news #fyp #trending #funny"/>
    <n v="2330790"/>
    <n v="155386"/>
    <n v="40123"/>
    <n v="80720"/>
    <n v="0.11849999999999999"/>
    <n v="-0.72199999999999998"/>
    <n v="1"/>
    <x v="0"/>
    <x v="1"/>
  </r>
  <r>
    <s v="SM_100171"/>
    <x v="3"/>
    <s v="text"/>
    <s v="Technology"/>
    <s v="hi"/>
    <s v="UK"/>
    <d v="2024-09-25T00:00:00"/>
    <s v="#ai #fyp #funny #trending"/>
    <n v="169197"/>
    <n v="24171"/>
    <n v="45420"/>
    <n v="41241"/>
    <n v="0.65500000000000003"/>
    <n v="0.749"/>
    <n v="0"/>
    <x v="1"/>
    <x v="0"/>
  </r>
  <r>
    <s v="SM_100172"/>
    <x v="0"/>
    <s v="image"/>
    <s v="Politics"/>
    <s v="hi"/>
    <s v="US"/>
    <d v="2024-09-12T00:00:00"/>
    <s v="#ai #viral #music"/>
    <n v="9815250"/>
    <n v="426750"/>
    <n v="4193"/>
    <n v="75698"/>
    <n v="5.16E-2"/>
    <n v="-0.91800000000000004"/>
    <n v="1"/>
    <x v="0"/>
    <x v="1"/>
  </r>
  <r>
    <s v="SM_100173"/>
    <x v="2"/>
    <s v="text"/>
    <s v="Lifestyle"/>
    <s v="es"/>
    <s v="Pakistan"/>
    <d v="2024-06-29T00:00:00"/>
    <s v="#music #tech #trending #news #viral"/>
    <n v="12489360"/>
    <n v="480360"/>
    <n v="21974"/>
    <n v="36669"/>
    <n v="4.3200000000000002E-2"/>
    <n v="-0.82299999999999995"/>
    <n v="1"/>
    <x v="0"/>
    <x v="1"/>
  </r>
  <r>
    <s v="SM_100174"/>
    <x v="0"/>
    <s v="image"/>
    <s v="Sports"/>
    <s v="ur"/>
    <s v="India"/>
    <d v="2024-01-20T00:00:00"/>
    <s v="#tech #music #news #ai"/>
    <n v="2351880"/>
    <n v="130660"/>
    <n v="39149"/>
    <n v="16908"/>
    <n v="7.9399999999999998E-2"/>
    <n v="-0.27100000000000002"/>
    <n v="1"/>
    <x v="0"/>
    <x v="1"/>
  </r>
  <r>
    <s v="SM_100175"/>
    <x v="1"/>
    <s v="carousel"/>
    <s v="Entertainment"/>
    <s v="fr"/>
    <s v="India"/>
    <d v="2024-10-01T00:00:00"/>
    <s v="#trending #viral #funny"/>
    <n v="1195545"/>
    <n v="91965"/>
    <n v="46897"/>
    <n v="81819"/>
    <n v="0.18459999999999999"/>
    <n v="-0.81499999999999995"/>
    <n v="0"/>
    <x v="1"/>
    <x v="1"/>
  </r>
  <r>
    <s v="SM_100176"/>
    <x v="3"/>
    <s v="carousel"/>
    <s v="Education"/>
    <s v="en"/>
    <s v="UK"/>
    <d v="2024-07-29T00:00:00"/>
    <s v="#fyp #viral #music"/>
    <n v="5411542"/>
    <n v="284818"/>
    <n v="5245"/>
    <n v="43222"/>
    <n v="6.1600000000000002E-2"/>
    <n v="2.3E-2"/>
    <n v="1"/>
    <x v="0"/>
    <x v="0"/>
  </r>
  <r>
    <s v="SM_100177"/>
    <x v="2"/>
    <s v="video"/>
    <s v="Entertainment"/>
    <s v="en"/>
    <s v="Brazil"/>
    <d v="2024-08-10T00:00:00"/>
    <s v="#funny #ai"/>
    <n v="3300624"/>
    <n v="412578"/>
    <n v="4437"/>
    <n v="95258"/>
    <n v="0.1552"/>
    <n v="0.61199999999999999"/>
    <n v="1"/>
    <x v="0"/>
    <x v="0"/>
  </r>
  <r>
    <s v="SM_100178"/>
    <x v="3"/>
    <s v="image"/>
    <s v="Education"/>
    <s v="hi"/>
    <s v="Brazil"/>
    <d v="2024-08-14T00:00:00"/>
    <s v="#fyp #ai #funny #music #news"/>
    <n v="9356256"/>
    <n v="389844"/>
    <n v="14183"/>
    <n v="50429"/>
    <n v="4.8599999999999997E-2"/>
    <n v="-0.58099999999999996"/>
    <n v="1"/>
    <x v="0"/>
    <x v="1"/>
  </r>
  <r>
    <s v="SM_100179"/>
    <x v="3"/>
    <s v="text"/>
    <s v="Politics"/>
    <s v="fr"/>
    <s v="India"/>
    <d v="2024-07-25T00:00:00"/>
    <s v="#fyp #news #ai #funny #tech"/>
    <n v="12848598"/>
    <n v="475874"/>
    <n v="60"/>
    <n v="8718"/>
    <n v="3.7699999999999997E-2"/>
    <n v="6.3E-2"/>
    <n v="1"/>
    <x v="0"/>
    <x v="0"/>
  </r>
  <r>
    <s v="SM_100180"/>
    <x v="1"/>
    <s v="text"/>
    <s v="Sports"/>
    <s v="ur"/>
    <s v="India"/>
    <d v="2024-02-29T00:00:00"/>
    <s v="#tech #viral #funny #fyp #news"/>
    <n v="6866188"/>
    <n v="245221"/>
    <n v="16753"/>
    <n v="4622"/>
    <n v="3.8800000000000001E-2"/>
    <n v="-0.73399999999999999"/>
    <n v="1"/>
    <x v="0"/>
    <x v="1"/>
  </r>
  <r>
    <s v="SM_100181"/>
    <x v="3"/>
    <s v="image"/>
    <s v="Technology"/>
    <s v="hi"/>
    <s v="India"/>
    <d v="2024-12-21T00:00:00"/>
    <s v="#viral #fyp #trending #ai #music"/>
    <n v="2453292"/>
    <n v="136294"/>
    <n v="18035"/>
    <n v="82839"/>
    <n v="9.6699999999999994E-2"/>
    <n v="0.499"/>
    <n v="1"/>
    <x v="0"/>
    <x v="0"/>
  </r>
  <r>
    <s v="SM_100182"/>
    <x v="0"/>
    <s v="carousel"/>
    <s v="Technology"/>
    <s v="fr"/>
    <s v="US"/>
    <d v="2024-12-23T00:00:00"/>
    <s v="#ai #news #fyp #trending"/>
    <n v="2305177"/>
    <n v="329311"/>
    <n v="40945"/>
    <n v="88870"/>
    <n v="0.19919999999999999"/>
    <n v="-0.20599999999999999"/>
    <n v="1"/>
    <x v="0"/>
    <x v="1"/>
  </r>
  <r>
    <s v="SM_100183"/>
    <x v="3"/>
    <s v="image"/>
    <s v="Sports"/>
    <s v="es"/>
    <s v="US"/>
    <d v="2024-02-15T00:00:00"/>
    <s v="#fyp #ai #viral"/>
    <n v="417339"/>
    <n v="46371"/>
    <n v="8157"/>
    <n v="38519"/>
    <n v="0.223"/>
    <n v="-0.63500000000000001"/>
    <n v="0"/>
    <x v="1"/>
    <x v="1"/>
  </r>
  <r>
    <s v="SM_100184"/>
    <x v="0"/>
    <s v="text"/>
    <s v="Lifestyle"/>
    <s v="en"/>
    <s v="US"/>
    <d v="2024-08-02T00:00:00"/>
    <s v="#funny #trending #fyp"/>
    <n v="18592"/>
    <n v="1162"/>
    <n v="29931"/>
    <n v="6230"/>
    <n v="2.0074999999999998"/>
    <n v="-0.53400000000000003"/>
    <n v="0"/>
    <x v="1"/>
    <x v="1"/>
  </r>
  <r>
    <s v="SM_100185"/>
    <x v="3"/>
    <s v="carousel"/>
    <s v="Politics"/>
    <s v="hi"/>
    <s v="Pakistan"/>
    <d v="2024-02-29T00:00:00"/>
    <s v="#tech #trending #music #viral"/>
    <n v="1078144"/>
    <n v="134768"/>
    <n v="44248"/>
    <n v="6169"/>
    <n v="0.17180000000000001"/>
    <n v="-0.28999999999999998"/>
    <n v="0"/>
    <x v="1"/>
    <x v="1"/>
  </r>
  <r>
    <s v="SM_100186"/>
    <x v="2"/>
    <s v="carousel"/>
    <s v="Sports"/>
    <s v="en"/>
    <s v="India"/>
    <d v="2024-02-05T00:00:00"/>
    <s v="#fyp #tech"/>
    <n v="1562788"/>
    <n v="82252"/>
    <n v="26739"/>
    <n v="6372"/>
    <n v="7.3800000000000004E-2"/>
    <n v="0.47399999999999998"/>
    <n v="0"/>
    <x v="1"/>
    <x v="0"/>
  </r>
  <r>
    <s v="SM_100187"/>
    <x v="3"/>
    <s v="text"/>
    <s v="Politics"/>
    <s v="en"/>
    <s v="India"/>
    <d v="2024-04-16T00:00:00"/>
    <s v="#trending #ai #music #funny"/>
    <n v="273210"/>
    <n v="13010"/>
    <n v="7948"/>
    <n v="77736"/>
    <n v="0.36120000000000002"/>
    <n v="0.129"/>
    <n v="0"/>
    <x v="1"/>
    <x v="0"/>
  </r>
  <r>
    <s v="SM_100188"/>
    <x v="0"/>
    <s v="image"/>
    <s v="Lifestyle"/>
    <s v="es"/>
    <s v="Pakistan"/>
    <d v="2024-10-12T00:00:00"/>
    <s v="#fyp #music"/>
    <n v="4747650"/>
    <n v="474765"/>
    <n v="35245"/>
    <n v="60005"/>
    <n v="0.1201"/>
    <n v="0.79900000000000004"/>
    <n v="1"/>
    <x v="0"/>
    <x v="0"/>
  </r>
  <r>
    <s v="SM_100189"/>
    <x v="0"/>
    <s v="carousel"/>
    <s v="Entertainment"/>
    <s v="es"/>
    <s v="US"/>
    <d v="2024-03-01T00:00:00"/>
    <s v="#news #music #funny #tech #fyp"/>
    <n v="825299"/>
    <n v="48547"/>
    <n v="34534"/>
    <n v="75704"/>
    <n v="0.19239999999999999"/>
    <n v="-0.33900000000000002"/>
    <n v="0"/>
    <x v="1"/>
    <x v="1"/>
  </r>
  <r>
    <s v="SM_100190"/>
    <x v="2"/>
    <s v="image"/>
    <s v="Education"/>
    <s v="fr"/>
    <s v="India"/>
    <d v="2024-08-09T00:00:00"/>
    <s v="#news #music #viral"/>
    <n v="4213400"/>
    <n v="421340"/>
    <n v="27290"/>
    <n v="92437"/>
    <n v="0.12839999999999999"/>
    <n v="-0.26900000000000002"/>
    <n v="1"/>
    <x v="0"/>
    <x v="1"/>
  </r>
  <r>
    <s v="SM_100191"/>
    <x v="0"/>
    <s v="carousel"/>
    <s v="Technology"/>
    <s v="es"/>
    <s v="Pakistan"/>
    <d v="2024-07-31T00:00:00"/>
    <s v="#tech #news #viral"/>
    <n v="1086045"/>
    <n v="72403"/>
    <n v="27144"/>
    <n v="77150"/>
    <n v="0.16270000000000001"/>
    <n v="-0.82399999999999995"/>
    <n v="0"/>
    <x v="1"/>
    <x v="1"/>
  </r>
  <r>
    <s v="SM_100192"/>
    <x v="2"/>
    <s v="carousel"/>
    <s v="Entertainment"/>
    <s v="hi"/>
    <s v="Pakistan"/>
    <d v="2024-12-09T00:00:00"/>
    <s v="#ai #viral #trending #news"/>
    <n v="9135963"/>
    <n v="338369"/>
    <n v="13923"/>
    <n v="85656"/>
    <n v="4.7899999999999998E-2"/>
    <n v="0.68500000000000005"/>
    <n v="1"/>
    <x v="0"/>
    <x v="0"/>
  </r>
  <r>
    <s v="SM_100193"/>
    <x v="3"/>
    <s v="text"/>
    <s v="Education"/>
    <s v="fr"/>
    <s v="Pakistan"/>
    <d v="2024-11-23T00:00:00"/>
    <s v="#tech #funny #viral"/>
    <n v="3345072"/>
    <n v="418134"/>
    <n v="35363"/>
    <n v="4325"/>
    <n v="0.13689999999999999"/>
    <n v="0.995"/>
    <n v="1"/>
    <x v="0"/>
    <x v="0"/>
  </r>
  <r>
    <s v="SM_100194"/>
    <x v="0"/>
    <s v="carousel"/>
    <s v="Entertainment"/>
    <s v="fr"/>
    <s v="US"/>
    <d v="2024-10-29T00:00:00"/>
    <s v="#funny #trending #news #fyp"/>
    <n v="247335"/>
    <n v="16489"/>
    <n v="41432"/>
    <n v="79580"/>
    <n v="0.55589999999999995"/>
    <n v="0.73099999999999998"/>
    <n v="0"/>
    <x v="1"/>
    <x v="0"/>
  </r>
  <r>
    <s v="SM_100195"/>
    <x v="2"/>
    <s v="video"/>
    <s v="Education"/>
    <s v="ur"/>
    <s v="UK"/>
    <d v="2024-02-01T00:00:00"/>
    <s v="#music #funny #ai #news #tech"/>
    <n v="2383130"/>
    <n v="238313"/>
    <n v="122"/>
    <n v="84472"/>
    <n v="0.13550000000000001"/>
    <n v="0.33700000000000002"/>
    <n v="1"/>
    <x v="0"/>
    <x v="0"/>
  </r>
  <r>
    <s v="SM_100196"/>
    <x v="0"/>
    <s v="carousel"/>
    <s v="Education"/>
    <s v="es"/>
    <s v="US"/>
    <d v="2024-02-20T00:00:00"/>
    <s v="#tech #music"/>
    <n v="2820432"/>
    <n v="235036"/>
    <n v="851"/>
    <n v="10955"/>
    <n v="8.7499999999999994E-2"/>
    <n v="-4.7E-2"/>
    <n v="1"/>
    <x v="0"/>
    <x v="1"/>
  </r>
  <r>
    <s v="SM_100197"/>
    <x v="2"/>
    <s v="text"/>
    <s v="Technology"/>
    <s v="en"/>
    <s v="India"/>
    <d v="2024-12-20T00:00:00"/>
    <s v="#ai #tech #fyp #music #trending"/>
    <n v="9112480"/>
    <n v="350480"/>
    <n v="32048"/>
    <n v="6470"/>
    <n v="4.2700000000000002E-2"/>
    <n v="0.42199999999999999"/>
    <n v="1"/>
    <x v="0"/>
    <x v="0"/>
  </r>
  <r>
    <s v="SM_100198"/>
    <x v="2"/>
    <s v="text"/>
    <s v="Politics"/>
    <s v="en"/>
    <s v="India"/>
    <d v="2024-08-06T00:00:00"/>
    <s v="#news #music #tech #viral #fyp"/>
    <n v="3974019"/>
    <n v="189239"/>
    <n v="49381"/>
    <n v="45588"/>
    <n v="7.1499999999999994E-2"/>
    <n v="0.06"/>
    <n v="1"/>
    <x v="0"/>
    <x v="0"/>
  </r>
  <r>
    <s v="SM_100199"/>
    <x v="1"/>
    <s v="carousel"/>
    <s v="Politics"/>
    <s v="ur"/>
    <s v="UK"/>
    <d v="2024-04-24T00:00:00"/>
    <s v="#news #funny"/>
    <n v="3298280"/>
    <n v="329828"/>
    <n v="39006"/>
    <n v="78478"/>
    <n v="0.1356"/>
    <n v="0.16200000000000001"/>
    <n v="1"/>
    <x v="0"/>
    <x v="0"/>
  </r>
  <r>
    <s v="SM_100200"/>
    <x v="0"/>
    <s v="text"/>
    <s v="Entertainment"/>
    <s v="hi"/>
    <s v="Pakistan"/>
    <d v="2024-10-29T00:00:00"/>
    <s v="#funny #news #viral #music"/>
    <n v="1414310"/>
    <n v="282862"/>
    <n v="32259"/>
    <n v="47363"/>
    <n v="0.25629999999999997"/>
    <n v="-0.26200000000000001"/>
    <n v="0"/>
    <x v="1"/>
    <x v="1"/>
  </r>
  <r>
    <s v="SM_100201"/>
    <x v="0"/>
    <s v="carousel"/>
    <s v="Entertainment"/>
    <s v="fr"/>
    <s v="Brazil"/>
    <d v="2024-12-11T00:00:00"/>
    <s v="#viral #ai #news"/>
    <n v="5144985"/>
    <n v="190555"/>
    <n v="14"/>
    <n v="82181"/>
    <n v="5.2999999999999999E-2"/>
    <n v="9.8000000000000004E-2"/>
    <n v="1"/>
    <x v="0"/>
    <x v="0"/>
  </r>
  <r>
    <s v="SM_100202"/>
    <x v="0"/>
    <s v="carousel"/>
    <s v="Education"/>
    <s v="fr"/>
    <s v="UK"/>
    <d v="2024-04-18T00:00:00"/>
    <s v="#music #viral #funny"/>
    <n v="1510265"/>
    <n v="302053"/>
    <n v="5292"/>
    <n v="34388"/>
    <n v="0.2263"/>
    <n v="-0.72199999999999998"/>
    <n v="0"/>
    <x v="1"/>
    <x v="1"/>
  </r>
  <r>
    <s v="SM_100203"/>
    <x v="0"/>
    <s v="carousel"/>
    <s v="Sports"/>
    <s v="fr"/>
    <s v="US"/>
    <d v="2024-06-05T00:00:00"/>
    <s v="#news #viral #trending #ai"/>
    <n v="3051216"/>
    <n v="108972"/>
    <n v="19221"/>
    <n v="93071"/>
    <n v="7.2499999999999995E-2"/>
    <n v="0.21199999999999999"/>
    <n v="1"/>
    <x v="0"/>
    <x v="0"/>
  </r>
  <r>
    <s v="SM_100204"/>
    <x v="0"/>
    <s v="video"/>
    <s v="Education"/>
    <s v="fr"/>
    <s v="UK"/>
    <d v="2024-09-25T00:00:00"/>
    <s v="#music #trending #fyp #news"/>
    <n v="9021054"/>
    <n v="429574"/>
    <n v="28258"/>
    <n v="42079"/>
    <n v="5.5399999999999998E-2"/>
    <n v="0.70099999999999996"/>
    <n v="1"/>
    <x v="0"/>
    <x v="0"/>
  </r>
  <r>
    <s v="SM_100205"/>
    <x v="1"/>
    <s v="video"/>
    <s v="Technology"/>
    <s v="en"/>
    <s v="US"/>
    <d v="2024-12-03T00:00:00"/>
    <s v="#trending #ai #tech #music #news"/>
    <n v="221742"/>
    <n v="12319"/>
    <n v="240"/>
    <n v="42930"/>
    <n v="0.25019999999999998"/>
    <n v="0.86599999999999999"/>
    <n v="0"/>
    <x v="1"/>
    <x v="0"/>
  </r>
  <r>
    <s v="SM_100206"/>
    <x v="2"/>
    <s v="text"/>
    <s v="Lifestyle"/>
    <s v="es"/>
    <s v="Brazil"/>
    <d v="2024-09-11T00:00:00"/>
    <s v="#viral #news #ai #funny #trending"/>
    <n v="5825248"/>
    <n v="364078"/>
    <n v="5261"/>
    <n v="65442"/>
    <n v="7.46E-2"/>
    <n v="-0.24199999999999999"/>
    <n v="1"/>
    <x v="0"/>
    <x v="1"/>
  </r>
  <r>
    <s v="SM_100207"/>
    <x v="0"/>
    <s v="text"/>
    <s v="Politics"/>
    <s v="fr"/>
    <s v="India"/>
    <d v="2024-10-15T00:00:00"/>
    <s v="#funny #trending #viral"/>
    <n v="6458920"/>
    <n v="248420"/>
    <n v="5420"/>
    <n v="36160"/>
    <n v="4.4900000000000002E-2"/>
    <n v="-0.90400000000000003"/>
    <n v="1"/>
    <x v="0"/>
    <x v="1"/>
  </r>
  <r>
    <s v="SM_100208"/>
    <x v="0"/>
    <s v="carousel"/>
    <s v="Technology"/>
    <s v="hi"/>
    <s v="Pakistan"/>
    <d v="2024-07-04T00:00:00"/>
    <s v="#fyp #ai #viral #news #music"/>
    <n v="787392"/>
    <n v="87488"/>
    <n v="8012"/>
    <n v="41833"/>
    <n v="0.1744"/>
    <n v="-0.59699999999999998"/>
    <n v="0"/>
    <x v="1"/>
    <x v="1"/>
  </r>
  <r>
    <s v="SM_100209"/>
    <x v="3"/>
    <s v="carousel"/>
    <s v="Entertainment"/>
    <s v="ur"/>
    <s v="UK"/>
    <d v="2024-12-26T00:00:00"/>
    <s v="#music #fyp"/>
    <n v="3159945"/>
    <n v="351105"/>
    <n v="21209"/>
    <n v="15525"/>
    <n v="0.1227"/>
    <n v="-0.52900000000000003"/>
    <n v="1"/>
    <x v="0"/>
    <x v="1"/>
  </r>
  <r>
    <s v="SM_100210"/>
    <x v="1"/>
    <s v="video"/>
    <s v="Lifestyle"/>
    <s v="en"/>
    <s v="UK"/>
    <d v="2024-01-23T00:00:00"/>
    <s v="#trending #viral #news #tech"/>
    <n v="11408397"/>
    <n v="393393"/>
    <n v="40350"/>
    <n v="20612"/>
    <n v="3.9800000000000002E-2"/>
    <n v="0.754"/>
    <n v="1"/>
    <x v="0"/>
    <x v="0"/>
  </r>
  <r>
    <s v="SM_100211"/>
    <x v="0"/>
    <s v="carousel"/>
    <s v="Entertainment"/>
    <s v="es"/>
    <s v="UK"/>
    <d v="2024-11-03T00:00:00"/>
    <s v="#music #funny #ai"/>
    <n v="5251092"/>
    <n v="477372"/>
    <n v="43308"/>
    <n v="59208"/>
    <n v="0.1104"/>
    <n v="0.42799999999999999"/>
    <n v="1"/>
    <x v="0"/>
    <x v="0"/>
  </r>
  <r>
    <s v="SM_100212"/>
    <x v="2"/>
    <s v="video"/>
    <s v="Education"/>
    <s v="ur"/>
    <s v="UK"/>
    <d v="2024-11-20T00:00:00"/>
    <s v="#viral #tech #music #fyp #ai"/>
    <n v="398110"/>
    <n v="39811"/>
    <n v="11959"/>
    <n v="73341"/>
    <n v="0.31430000000000002"/>
    <n v="0.08"/>
    <n v="0"/>
    <x v="1"/>
    <x v="0"/>
  </r>
  <r>
    <s v="SM_100213"/>
    <x v="2"/>
    <s v="text"/>
    <s v="Entertainment"/>
    <s v="es"/>
    <s v="India"/>
    <d v="2024-11-22T00:00:00"/>
    <s v="#tech #ai #music #news #trending"/>
    <n v="2989146"/>
    <n v="103074"/>
    <n v="18579"/>
    <n v="9185"/>
    <n v="4.3799999999999999E-2"/>
    <n v="-0.28899999999999998"/>
    <n v="1"/>
    <x v="0"/>
    <x v="1"/>
  </r>
  <r>
    <s v="SM_100214"/>
    <x v="3"/>
    <s v="image"/>
    <s v="Technology"/>
    <s v="fr"/>
    <s v="Brazil"/>
    <d v="2024-06-19T00:00:00"/>
    <s v="#news #funny #fyp #ai #music"/>
    <n v="283650"/>
    <n v="11346"/>
    <n v="45563"/>
    <n v="18382"/>
    <n v="0.26540000000000002"/>
    <n v="0.81299999999999994"/>
    <n v="0"/>
    <x v="1"/>
    <x v="0"/>
  </r>
  <r>
    <s v="SM_100215"/>
    <x v="0"/>
    <s v="text"/>
    <s v="Technology"/>
    <s v="fr"/>
    <s v="India"/>
    <d v="2024-01-18T00:00:00"/>
    <s v="#trending #fyp #tech"/>
    <n v="3973340"/>
    <n v="397334"/>
    <n v="11307"/>
    <n v="67507"/>
    <n v="0.1198"/>
    <n v="0.88"/>
    <n v="1"/>
    <x v="0"/>
    <x v="0"/>
  </r>
  <r>
    <s v="SM_100216"/>
    <x v="1"/>
    <s v="video"/>
    <s v="Technology"/>
    <s v="en"/>
    <s v="Brazil"/>
    <d v="2024-03-14T00:00:00"/>
    <s v="#ai #viral"/>
    <n v="1354444"/>
    <n v="96746"/>
    <n v="17591"/>
    <n v="24520"/>
    <n v="0.10249999999999999"/>
    <n v="-0.72099999999999997"/>
    <n v="0"/>
    <x v="1"/>
    <x v="1"/>
  </r>
  <r>
    <s v="SM_100217"/>
    <x v="0"/>
    <s v="text"/>
    <s v="Lifestyle"/>
    <s v="en"/>
    <s v="Brazil"/>
    <d v="2024-07-28T00:00:00"/>
    <s v="#funny #music #viral"/>
    <n v="8235696"/>
    <n v="343154"/>
    <n v="5793"/>
    <n v="5409"/>
    <n v="4.2999999999999997E-2"/>
    <n v="0.48299999999999998"/>
    <n v="1"/>
    <x v="0"/>
    <x v="0"/>
  </r>
  <r>
    <s v="SM_100218"/>
    <x v="0"/>
    <s v="text"/>
    <s v="Technology"/>
    <s v="ur"/>
    <s v="US"/>
    <d v="2024-08-22T00:00:00"/>
    <s v="#viral #tech #news #trending"/>
    <n v="1320940"/>
    <n v="132094"/>
    <n v="33192"/>
    <n v="51357"/>
    <n v="0.16400000000000001"/>
    <n v="0.505"/>
    <n v="0"/>
    <x v="1"/>
    <x v="0"/>
  </r>
  <r>
    <s v="SM_100219"/>
    <x v="1"/>
    <s v="text"/>
    <s v="Technology"/>
    <s v="en"/>
    <s v="US"/>
    <d v="2024-02-08T00:00:00"/>
    <s v="#funny #ai #news"/>
    <n v="1531360"/>
    <n v="306272"/>
    <n v="32159"/>
    <n v="82871"/>
    <n v="0.27510000000000001"/>
    <n v="-0.93300000000000005"/>
    <n v="0"/>
    <x v="1"/>
    <x v="1"/>
  </r>
  <r>
    <s v="SM_100220"/>
    <x v="1"/>
    <s v="carousel"/>
    <s v="Entertainment"/>
    <s v="es"/>
    <s v="US"/>
    <d v="2024-09-16T00:00:00"/>
    <s v="#tech #news"/>
    <n v="7313098"/>
    <n v="281273"/>
    <n v="32270"/>
    <n v="43873"/>
    <n v="4.8899999999999999E-2"/>
    <n v="0.64300000000000002"/>
    <n v="1"/>
    <x v="0"/>
    <x v="0"/>
  </r>
  <r>
    <s v="SM_100221"/>
    <x v="1"/>
    <s v="image"/>
    <s v="Sports"/>
    <s v="fr"/>
    <s v="India"/>
    <d v="2024-02-08T00:00:00"/>
    <s v="#trending #news #ai #funny #fyp"/>
    <n v="2632994"/>
    <n v="154882"/>
    <n v="29491"/>
    <n v="71908"/>
    <n v="9.7299999999999998E-2"/>
    <n v="-0.745"/>
    <n v="1"/>
    <x v="0"/>
    <x v="1"/>
  </r>
  <r>
    <s v="SM_100222"/>
    <x v="2"/>
    <s v="carousel"/>
    <s v="Technology"/>
    <s v="es"/>
    <s v="Brazil"/>
    <d v="2024-09-07T00:00:00"/>
    <s v="#music #ai #trending"/>
    <n v="2725875"/>
    <n v="302875"/>
    <n v="36001"/>
    <n v="20104"/>
    <n v="0.13170000000000001"/>
    <n v="-2.7E-2"/>
    <n v="1"/>
    <x v="0"/>
    <x v="1"/>
  </r>
  <r>
    <s v="SM_100223"/>
    <x v="0"/>
    <s v="image"/>
    <s v="Lifestyle"/>
    <s v="fr"/>
    <s v="US"/>
    <d v="2024-02-20T00:00:00"/>
    <s v="#ai #news #fyp"/>
    <n v="506346"/>
    <n v="84391"/>
    <n v="35664"/>
    <n v="3757"/>
    <n v="0.2445"/>
    <n v="-0.97599999999999998"/>
    <n v="0"/>
    <x v="1"/>
    <x v="1"/>
  </r>
  <r>
    <s v="SM_100224"/>
    <x v="2"/>
    <s v="text"/>
    <s v="Lifestyle"/>
    <s v="ur"/>
    <s v="India"/>
    <d v="2024-01-07T00:00:00"/>
    <s v="#trending #ai #viral"/>
    <n v="1857200"/>
    <n v="232150"/>
    <n v="39671"/>
    <n v="75684"/>
    <n v="0.18709999999999999"/>
    <n v="0.432"/>
    <n v="0"/>
    <x v="1"/>
    <x v="0"/>
  </r>
  <r>
    <s v="SM_100225"/>
    <x v="0"/>
    <s v="video"/>
    <s v="Politics"/>
    <s v="en"/>
    <s v="Pakistan"/>
    <d v="2024-08-11T00:00:00"/>
    <s v="#viral #news #music"/>
    <n v="1956450"/>
    <n v="130430"/>
    <n v="34889"/>
    <n v="71316"/>
    <n v="0.121"/>
    <n v="0.91800000000000004"/>
    <n v="0"/>
    <x v="1"/>
    <x v="0"/>
  </r>
  <r>
    <s v="SM_100226"/>
    <x v="0"/>
    <s v="text"/>
    <s v="Technology"/>
    <s v="es"/>
    <s v="India"/>
    <d v="2024-08-27T00:00:00"/>
    <s v="#music #trending #news #ai"/>
    <n v="2063475"/>
    <n v="76425"/>
    <n v="44170"/>
    <n v="13000"/>
    <n v="6.4699999999999994E-2"/>
    <n v="-7.5999999999999998E-2"/>
    <n v="1"/>
    <x v="0"/>
    <x v="1"/>
  </r>
  <r>
    <s v="SM_100227"/>
    <x v="3"/>
    <s v="image"/>
    <s v="Sports"/>
    <s v="ur"/>
    <s v="Pakistan"/>
    <d v="2024-11-02T00:00:00"/>
    <s v="#news #trending #tech"/>
    <n v="1295009"/>
    <n v="76177"/>
    <n v="24943"/>
    <n v="2444"/>
    <n v="0.08"/>
    <n v="-0.72199999999999998"/>
    <n v="0"/>
    <x v="1"/>
    <x v="1"/>
  </r>
  <r>
    <s v="SM_100228"/>
    <x v="1"/>
    <s v="text"/>
    <s v="Education"/>
    <s v="en"/>
    <s v="Brazil"/>
    <d v="2024-03-22T00:00:00"/>
    <s v="#viral #music #funny"/>
    <n v="7068399"/>
    <n v="372021"/>
    <n v="17373"/>
    <n v="15329"/>
    <n v="5.7299999999999997E-2"/>
    <n v="0.45200000000000001"/>
    <n v="1"/>
    <x v="0"/>
    <x v="0"/>
  </r>
  <r>
    <s v="SM_100229"/>
    <x v="1"/>
    <s v="text"/>
    <s v="Technology"/>
    <s v="en"/>
    <s v="UK"/>
    <d v="2024-12-31T00:00:00"/>
    <s v="#ai #fyp #funny #trending #tech"/>
    <n v="2316400"/>
    <n v="289550"/>
    <n v="19920"/>
    <n v="39916"/>
    <n v="0.15079999999999999"/>
    <n v="0.83799999999999997"/>
    <n v="1"/>
    <x v="0"/>
    <x v="0"/>
  </r>
  <r>
    <s v="SM_100230"/>
    <x v="3"/>
    <s v="carousel"/>
    <s v="Sports"/>
    <s v="es"/>
    <s v="US"/>
    <d v="2024-03-18T00:00:00"/>
    <s v="#news #tech #fyp #trending #music"/>
    <n v="2741424"/>
    <n v="195816"/>
    <n v="38732"/>
    <n v="127"/>
    <n v="8.5599999999999996E-2"/>
    <n v="0.54200000000000004"/>
    <n v="1"/>
    <x v="0"/>
    <x v="0"/>
  </r>
  <r>
    <s v="SM_100231"/>
    <x v="0"/>
    <s v="text"/>
    <s v="Lifestyle"/>
    <s v="ur"/>
    <s v="Pakistan"/>
    <d v="2024-11-18T00:00:00"/>
    <s v="#news #trending #viral #music"/>
    <n v="5108532"/>
    <n v="196482"/>
    <n v="44414"/>
    <n v="55177"/>
    <n v="5.8000000000000003E-2"/>
    <n v="-0.84499999999999997"/>
    <n v="1"/>
    <x v="0"/>
    <x v="1"/>
  </r>
  <r>
    <s v="SM_100232"/>
    <x v="2"/>
    <s v="carousel"/>
    <s v="Lifestyle"/>
    <s v="hi"/>
    <s v="US"/>
    <d v="2024-05-03T00:00:00"/>
    <s v="#music #trending #funny"/>
    <n v="2632485"/>
    <n v="175499"/>
    <n v="3373"/>
    <n v="3798"/>
    <n v="6.9400000000000003E-2"/>
    <n v="-9.8000000000000004E-2"/>
    <n v="1"/>
    <x v="0"/>
    <x v="1"/>
  </r>
  <r>
    <s v="SM_100233"/>
    <x v="0"/>
    <s v="carousel"/>
    <s v="Politics"/>
    <s v="fr"/>
    <s v="Brazil"/>
    <d v="2024-11-22T00:00:00"/>
    <s v="#ai #viral"/>
    <n v="6098994"/>
    <n v="338833"/>
    <n v="22121"/>
    <n v="36245"/>
    <n v="6.5100000000000005E-2"/>
    <n v="-0.627"/>
    <n v="1"/>
    <x v="0"/>
    <x v="1"/>
  </r>
  <r>
    <s v="SM_100234"/>
    <x v="3"/>
    <s v="image"/>
    <s v="Entertainment"/>
    <s v="fr"/>
    <s v="US"/>
    <d v="2024-09-26T00:00:00"/>
    <s v="#music #fyp"/>
    <n v="10258974"/>
    <n v="379962"/>
    <n v="19261"/>
    <n v="53174"/>
    <n v="4.41E-2"/>
    <n v="-0.54500000000000004"/>
    <n v="1"/>
    <x v="0"/>
    <x v="1"/>
  </r>
  <r>
    <s v="SM_100235"/>
    <x v="1"/>
    <s v="text"/>
    <s v="Education"/>
    <s v="hi"/>
    <s v="UK"/>
    <d v="2024-01-03T00:00:00"/>
    <s v="#tech #trending #ai"/>
    <n v="5936970"/>
    <n v="456690"/>
    <n v="2713"/>
    <n v="11695"/>
    <n v="7.9299999999999995E-2"/>
    <n v="0.48799999999999999"/>
    <n v="1"/>
    <x v="0"/>
    <x v="0"/>
  </r>
  <r>
    <s v="SM_100236"/>
    <x v="1"/>
    <s v="image"/>
    <s v="Technology"/>
    <s v="hi"/>
    <s v="Brazil"/>
    <d v="2024-01-19T00:00:00"/>
    <s v="#tech #funny #news #ai #trending"/>
    <n v="749385"/>
    <n v="57645"/>
    <n v="39229"/>
    <n v="97946"/>
    <n v="0.26"/>
    <n v="-0.77100000000000002"/>
    <n v="0"/>
    <x v="1"/>
    <x v="1"/>
  </r>
  <r>
    <s v="SM_100237"/>
    <x v="0"/>
    <s v="video"/>
    <s v="Entertainment"/>
    <s v="en"/>
    <s v="Brazil"/>
    <d v="2024-02-14T00:00:00"/>
    <s v="#fyp #music #funny #ai"/>
    <n v="4889625"/>
    <n v="325975"/>
    <n v="49693"/>
    <n v="99930"/>
    <n v="9.7299999999999998E-2"/>
    <n v="0.84599999999999997"/>
    <n v="1"/>
    <x v="0"/>
    <x v="0"/>
  </r>
  <r>
    <s v="SM_100238"/>
    <x v="1"/>
    <s v="video"/>
    <s v="Entertainment"/>
    <s v="ur"/>
    <s v="US"/>
    <d v="2024-01-17T00:00:00"/>
    <s v="#funny #trending #fyp #viral"/>
    <n v="171570"/>
    <n v="8170"/>
    <n v="8671"/>
    <n v="57762"/>
    <n v="0.43480000000000002"/>
    <n v="0.17399999999999999"/>
    <n v="0"/>
    <x v="1"/>
    <x v="0"/>
  </r>
  <r>
    <s v="SM_100239"/>
    <x v="0"/>
    <s v="image"/>
    <s v="Entertainment"/>
    <s v="es"/>
    <s v="UK"/>
    <d v="2024-03-22T00:00:00"/>
    <s v="#funny #trending #fyp #tech"/>
    <n v="1092364"/>
    <n v="42014"/>
    <n v="4976"/>
    <n v="79027"/>
    <n v="0.1154"/>
    <n v="-0.64700000000000002"/>
    <n v="0"/>
    <x v="1"/>
    <x v="1"/>
  </r>
  <r>
    <s v="SM_100240"/>
    <x v="1"/>
    <s v="carousel"/>
    <s v="Entertainment"/>
    <s v="ur"/>
    <s v="Pakistan"/>
    <d v="2024-05-31T00:00:00"/>
    <s v="#ai #fyp #news #music #tech"/>
    <n v="8244250"/>
    <n v="329770"/>
    <n v="5304"/>
    <n v="45766"/>
    <n v="4.6199999999999998E-2"/>
    <n v="0.83"/>
    <n v="1"/>
    <x v="0"/>
    <x v="0"/>
  </r>
  <r>
    <s v="SM_100241"/>
    <x v="0"/>
    <s v="image"/>
    <s v="Entertainment"/>
    <s v="ur"/>
    <s v="Brazil"/>
    <d v="2024-01-27T00:00:00"/>
    <s v="#funny #music #fyp"/>
    <n v="5748780"/>
    <n v="383252"/>
    <n v="37153"/>
    <n v="94271"/>
    <n v="8.9499999999999996E-2"/>
    <n v="0.26500000000000001"/>
    <n v="1"/>
    <x v="0"/>
    <x v="0"/>
  </r>
  <r>
    <s v="SM_100242"/>
    <x v="3"/>
    <s v="text"/>
    <s v="Sports"/>
    <s v="en"/>
    <s v="Pakistan"/>
    <d v="2024-03-03T00:00:00"/>
    <s v="#funny #ai #news"/>
    <n v="1557237"/>
    <n v="141567"/>
    <n v="16246"/>
    <n v="27697"/>
    <n v="0.1191"/>
    <n v="0.95099999999999996"/>
    <n v="0"/>
    <x v="1"/>
    <x v="0"/>
  </r>
  <r>
    <s v="SM_100243"/>
    <x v="0"/>
    <s v="video"/>
    <s v="Sports"/>
    <s v="es"/>
    <s v="Pakistan"/>
    <d v="2024-01-21T00:00:00"/>
    <s v="#viral #ai #music"/>
    <n v="517816"/>
    <n v="19916"/>
    <n v="49845"/>
    <n v="52854"/>
    <n v="0.23680000000000001"/>
    <n v="-0.82899999999999996"/>
    <n v="0"/>
    <x v="1"/>
    <x v="1"/>
  </r>
  <r>
    <s v="SM_100244"/>
    <x v="1"/>
    <s v="image"/>
    <s v="Entertainment"/>
    <s v="hi"/>
    <s v="Brazil"/>
    <d v="2024-05-13T00:00:00"/>
    <s v="#music #viral #funny #fyp"/>
    <n v="3512608"/>
    <n v="206624"/>
    <n v="20811"/>
    <n v="75521"/>
    <n v="8.6199999999999999E-2"/>
    <n v="-0.20499999999999999"/>
    <n v="1"/>
    <x v="0"/>
    <x v="1"/>
  </r>
  <r>
    <s v="SM_100245"/>
    <x v="0"/>
    <s v="image"/>
    <s v="Sports"/>
    <s v="es"/>
    <s v="India"/>
    <d v="2024-10-04T00:00:00"/>
    <s v="#viral #trending #tech"/>
    <n v="3074042"/>
    <n v="133654"/>
    <n v="24447"/>
    <n v="33720"/>
    <n v="6.2399999999999997E-2"/>
    <n v="-0.30099999999999999"/>
    <n v="1"/>
    <x v="0"/>
    <x v="1"/>
  </r>
  <r>
    <s v="SM_100246"/>
    <x v="1"/>
    <s v="carousel"/>
    <s v="Entertainment"/>
    <s v="en"/>
    <s v="Brazil"/>
    <d v="2024-10-10T00:00:00"/>
    <s v="#fyp #news #tech #ai #funny"/>
    <n v="7920660"/>
    <n v="396033"/>
    <n v="27957"/>
    <n v="86445"/>
    <n v="6.4399999999999999E-2"/>
    <n v="0.13"/>
    <n v="1"/>
    <x v="0"/>
    <x v="0"/>
  </r>
  <r>
    <s v="SM_100247"/>
    <x v="0"/>
    <s v="image"/>
    <s v="Entertainment"/>
    <s v="hi"/>
    <s v="US"/>
    <d v="2024-03-10T00:00:00"/>
    <s v="#tech #news"/>
    <n v="3441283"/>
    <n v="149621"/>
    <n v="33541"/>
    <n v="64078"/>
    <n v="7.1800000000000003E-2"/>
    <n v="-9.2999999999999999E-2"/>
    <n v="1"/>
    <x v="0"/>
    <x v="1"/>
  </r>
  <r>
    <s v="SM_100248"/>
    <x v="3"/>
    <s v="text"/>
    <s v="Politics"/>
    <s v="hi"/>
    <s v="India"/>
    <d v="2024-03-25T00:00:00"/>
    <s v="#ai #trending"/>
    <n v="9287982"/>
    <n v="422181"/>
    <n v="6650"/>
    <n v="38001"/>
    <n v="5.0299999999999997E-2"/>
    <n v="-6.0000000000000001E-3"/>
    <n v="1"/>
    <x v="0"/>
    <x v="1"/>
  </r>
  <r>
    <s v="SM_100249"/>
    <x v="1"/>
    <s v="carousel"/>
    <s v="Technology"/>
    <s v="en"/>
    <s v="Brazil"/>
    <d v="2024-11-15T00:00:00"/>
    <s v="#news #fyp #ai #trending #funny"/>
    <n v="2931866"/>
    <n v="418838"/>
    <n v="12347"/>
    <n v="40807"/>
    <n v="0.161"/>
    <n v="-0.253"/>
    <n v="1"/>
    <x v="0"/>
    <x v="1"/>
  </r>
  <r>
    <s v="SM_100250"/>
    <x v="1"/>
    <s v="video"/>
    <s v="Sports"/>
    <s v="fr"/>
    <s v="Pakistan"/>
    <d v="2024-09-13T00:00:00"/>
    <s v="#ai #viral #fyp #tech #trending"/>
    <n v="2465505"/>
    <n v="493101"/>
    <n v="10098"/>
    <n v="52604"/>
    <n v="0.22539999999999999"/>
    <n v="-0.94899999999999995"/>
    <n v="1"/>
    <x v="0"/>
    <x v="1"/>
  </r>
  <r>
    <s v="SM_100251"/>
    <x v="0"/>
    <s v="text"/>
    <s v="Sports"/>
    <s v="ur"/>
    <s v="Pakistan"/>
    <d v="2024-11-25T00:00:00"/>
    <s v="#fyp #ai #funny #news"/>
    <n v="1272564"/>
    <n v="106047"/>
    <n v="26404"/>
    <n v="85383"/>
    <n v="0.17119999999999999"/>
    <n v="-0.94599999999999995"/>
    <n v="0"/>
    <x v="1"/>
    <x v="1"/>
  </r>
  <r>
    <s v="SM_100252"/>
    <x v="2"/>
    <s v="carousel"/>
    <s v="Sports"/>
    <s v="hi"/>
    <s v="Pakistan"/>
    <d v="2024-02-18T00:00:00"/>
    <s v="#ai #viral #trending"/>
    <n v="2492472"/>
    <n v="207706"/>
    <n v="47068"/>
    <n v="30679"/>
    <n v="0.1145"/>
    <n v="-0.79200000000000004"/>
    <n v="1"/>
    <x v="0"/>
    <x v="1"/>
  </r>
  <r>
    <s v="SM_100253"/>
    <x v="0"/>
    <s v="carousel"/>
    <s v="Technology"/>
    <s v="en"/>
    <s v="Brazil"/>
    <d v="2024-12-10T00:00:00"/>
    <s v="#trending #fyp #tech #music #funny"/>
    <n v="11006558"/>
    <n v="478546"/>
    <n v="3305"/>
    <n v="72259"/>
    <n v="5.0299999999999997E-2"/>
    <n v="0.30499999999999999"/>
    <n v="1"/>
    <x v="0"/>
    <x v="0"/>
  </r>
  <r>
    <s v="SM_100254"/>
    <x v="2"/>
    <s v="text"/>
    <s v="Entertainment"/>
    <s v="en"/>
    <s v="US"/>
    <d v="2024-12-05T00:00:00"/>
    <s v="#tech #trending #fyp #news"/>
    <n v="710206"/>
    <n v="101458"/>
    <n v="13580"/>
    <n v="64930"/>
    <n v="0.25340000000000001"/>
    <n v="-0.51400000000000001"/>
    <n v="0"/>
    <x v="1"/>
    <x v="1"/>
  </r>
  <r>
    <s v="SM_100255"/>
    <x v="0"/>
    <s v="image"/>
    <s v="Entertainment"/>
    <s v="es"/>
    <s v="Brazil"/>
    <d v="2024-09-12T00:00:00"/>
    <s v="#news #music #fyp #tech"/>
    <n v="7652466"/>
    <n v="425137"/>
    <n v="9508"/>
    <n v="60536"/>
    <n v="6.4699999999999994E-2"/>
    <n v="0.66"/>
    <n v="1"/>
    <x v="0"/>
    <x v="0"/>
  </r>
  <r>
    <s v="SM_100256"/>
    <x v="2"/>
    <s v="video"/>
    <s v="Education"/>
    <s v="fr"/>
    <s v="India"/>
    <d v="2024-02-07T00:00:00"/>
    <s v="#trending #news"/>
    <n v="10299933"/>
    <n v="381479"/>
    <n v="41129"/>
    <n v="86926"/>
    <n v="4.9500000000000002E-2"/>
    <n v="0.79300000000000004"/>
    <n v="1"/>
    <x v="0"/>
    <x v="0"/>
  </r>
  <r>
    <s v="SM_100257"/>
    <x v="2"/>
    <s v="carousel"/>
    <s v="Entertainment"/>
    <s v="es"/>
    <s v="Pakistan"/>
    <d v="2024-07-08T00:00:00"/>
    <s v="#music #news #trending #fyp"/>
    <n v="7246638"/>
    <n v="268394"/>
    <n v="4430"/>
    <n v="16033"/>
    <n v="3.9899999999999998E-2"/>
    <n v="0.69599999999999995"/>
    <n v="1"/>
    <x v="0"/>
    <x v="0"/>
  </r>
  <r>
    <s v="SM_100258"/>
    <x v="2"/>
    <s v="text"/>
    <s v="Sports"/>
    <s v="en"/>
    <s v="Brazil"/>
    <d v="2024-11-07T00:00:00"/>
    <s v="#fyp #news #viral"/>
    <n v="3307160"/>
    <n v="413395"/>
    <n v="36225"/>
    <n v="41875"/>
    <n v="0.14860000000000001"/>
    <n v="0.28599999999999998"/>
    <n v="1"/>
    <x v="0"/>
    <x v="0"/>
  </r>
  <r>
    <s v="SM_100259"/>
    <x v="2"/>
    <s v="carousel"/>
    <s v="Politics"/>
    <s v="hi"/>
    <s v="US"/>
    <d v="2024-05-27T00:00:00"/>
    <s v="#trending #funny #viral #fyp"/>
    <n v="7241071"/>
    <n v="381109"/>
    <n v="8710"/>
    <n v="42881"/>
    <n v="5.9799999999999999E-2"/>
    <n v="0.25"/>
    <n v="1"/>
    <x v="0"/>
    <x v="0"/>
  </r>
  <r>
    <s v="SM_100260"/>
    <x v="0"/>
    <s v="carousel"/>
    <s v="Education"/>
    <s v="hi"/>
    <s v="US"/>
    <d v="2024-07-06T00:00:00"/>
    <s v="#fyp #ai #news"/>
    <n v="1300116"/>
    <n v="216686"/>
    <n v="37614"/>
    <n v="15359"/>
    <n v="0.2074"/>
    <n v="-0.27400000000000002"/>
    <n v="0"/>
    <x v="1"/>
    <x v="1"/>
  </r>
  <r>
    <s v="SM_100261"/>
    <x v="3"/>
    <s v="image"/>
    <s v="Politics"/>
    <s v="ur"/>
    <s v="UK"/>
    <d v="2024-08-14T00:00:00"/>
    <s v="#fyp #music"/>
    <n v="2080900"/>
    <n v="208090"/>
    <n v="14601"/>
    <n v="33573"/>
    <n v="0.1232"/>
    <n v="0.54800000000000004"/>
    <n v="1"/>
    <x v="0"/>
    <x v="0"/>
  </r>
  <r>
    <s v="SM_100262"/>
    <x v="0"/>
    <s v="image"/>
    <s v="Technology"/>
    <s v="es"/>
    <s v="India"/>
    <d v="2024-12-14T00:00:00"/>
    <s v="#news #trending"/>
    <n v="10464720"/>
    <n v="373740"/>
    <n v="7088"/>
    <n v="17772"/>
    <n v="3.8100000000000002E-2"/>
    <n v="-0.77200000000000002"/>
    <n v="1"/>
    <x v="0"/>
    <x v="1"/>
  </r>
  <r>
    <s v="SM_100263"/>
    <x v="3"/>
    <s v="video"/>
    <s v="Lifestyle"/>
    <s v="en"/>
    <s v="US"/>
    <d v="2024-10-30T00:00:00"/>
    <s v="#tech #ai #trending"/>
    <n v="7948818"/>
    <n v="441601"/>
    <n v="19068"/>
    <n v="67643"/>
    <n v="6.6500000000000004E-2"/>
    <n v="-5.8000000000000003E-2"/>
    <n v="1"/>
    <x v="0"/>
    <x v="1"/>
  </r>
  <r>
    <s v="SM_100264"/>
    <x v="1"/>
    <s v="video"/>
    <s v="Technology"/>
    <s v="en"/>
    <s v="US"/>
    <d v="2024-06-07T00:00:00"/>
    <s v="#viral #music #tech"/>
    <n v="9049215"/>
    <n v="430915"/>
    <n v="28534"/>
    <n v="35955"/>
    <n v="5.4699999999999999E-2"/>
    <n v="-0.46300000000000002"/>
    <n v="1"/>
    <x v="0"/>
    <x v="1"/>
  </r>
  <r>
    <s v="SM_100265"/>
    <x v="0"/>
    <s v="text"/>
    <s v="Politics"/>
    <s v="en"/>
    <s v="India"/>
    <d v="2024-05-02T00:00:00"/>
    <s v="#viral #news"/>
    <n v="390137"/>
    <n v="35467"/>
    <n v="36806"/>
    <n v="99609"/>
    <n v="0.44059999999999999"/>
    <n v="-0.56399999999999995"/>
    <n v="0"/>
    <x v="1"/>
    <x v="1"/>
  </r>
  <r>
    <s v="SM_100266"/>
    <x v="2"/>
    <s v="text"/>
    <s v="Technology"/>
    <s v="ur"/>
    <s v="Brazil"/>
    <d v="2024-12-07T00:00:00"/>
    <s v="#viral #trending #funny"/>
    <n v="893142"/>
    <n v="148857"/>
    <n v="41406"/>
    <n v="76909"/>
    <n v="0.29909999999999998"/>
    <n v="-0.45500000000000002"/>
    <n v="0"/>
    <x v="1"/>
    <x v="1"/>
  </r>
  <r>
    <s v="SM_100267"/>
    <x v="2"/>
    <s v="carousel"/>
    <s v="Education"/>
    <s v="hi"/>
    <s v="UK"/>
    <d v="2024-11-27T00:00:00"/>
    <s v="#fyp #tech #funny #viral"/>
    <n v="4819332"/>
    <n v="344238"/>
    <n v="31894"/>
    <n v="61269"/>
    <n v="9.0800000000000006E-2"/>
    <n v="0.153"/>
    <n v="1"/>
    <x v="0"/>
    <x v="0"/>
  </r>
  <r>
    <s v="SM_100268"/>
    <x v="2"/>
    <s v="text"/>
    <s v="Sports"/>
    <s v="hi"/>
    <s v="Pakistan"/>
    <d v="2024-09-06T00:00:00"/>
    <s v="#fyp #music #trending"/>
    <n v="285777"/>
    <n v="31753"/>
    <n v="26662"/>
    <n v="39953"/>
    <n v="0.34420000000000001"/>
    <n v="0.30299999999999999"/>
    <n v="0"/>
    <x v="1"/>
    <x v="0"/>
  </r>
  <r>
    <s v="SM_100269"/>
    <x v="1"/>
    <s v="carousel"/>
    <s v="Politics"/>
    <s v="en"/>
    <s v="India"/>
    <d v="2024-06-14T00:00:00"/>
    <s v="#ai #tech"/>
    <n v="3211925"/>
    <n v="128477"/>
    <n v="12880"/>
    <n v="1623"/>
    <n v="4.4499999999999998E-2"/>
    <n v="-0.97799999999999998"/>
    <n v="1"/>
    <x v="0"/>
    <x v="1"/>
  </r>
  <r>
    <s v="SM_100270"/>
    <x v="2"/>
    <s v="image"/>
    <s v="Politics"/>
    <s v="ur"/>
    <s v="India"/>
    <d v="2024-04-16T00:00:00"/>
    <s v="#fyp #trending #news"/>
    <n v="1925680"/>
    <n v="192568"/>
    <n v="40765"/>
    <n v="81183"/>
    <n v="0.1633"/>
    <n v="0.46400000000000002"/>
    <n v="0"/>
    <x v="1"/>
    <x v="0"/>
  </r>
  <r>
    <s v="SM_100271"/>
    <x v="0"/>
    <s v="image"/>
    <s v="Politics"/>
    <s v="en"/>
    <s v="Brazil"/>
    <d v="2024-08-06T00:00:00"/>
    <s v="#tech #funny #ai"/>
    <n v="2504645"/>
    <n v="227695"/>
    <n v="46833"/>
    <n v="47925"/>
    <n v="0.12870000000000001"/>
    <n v="0.14699999999999999"/>
    <n v="1"/>
    <x v="0"/>
    <x v="0"/>
  </r>
  <r>
    <s v="SM_100272"/>
    <x v="1"/>
    <s v="video"/>
    <s v="Entertainment"/>
    <s v="ur"/>
    <s v="Pakistan"/>
    <d v="2024-11-16T00:00:00"/>
    <s v="#trending #fyp #viral #music"/>
    <n v="7289640"/>
    <n v="404980"/>
    <n v="35742"/>
    <n v="89564"/>
    <n v="7.2700000000000001E-2"/>
    <n v="-0.90600000000000003"/>
    <n v="1"/>
    <x v="0"/>
    <x v="1"/>
  </r>
  <r>
    <s v="SM_100273"/>
    <x v="0"/>
    <s v="carousel"/>
    <s v="Entertainment"/>
    <s v="ur"/>
    <s v="UK"/>
    <d v="2024-05-19T00:00:00"/>
    <s v="#fyp #music #tech"/>
    <n v="2333833"/>
    <n v="101471"/>
    <n v="38714"/>
    <n v="61121"/>
    <n v="8.6300000000000002E-2"/>
    <n v="-0.81899999999999995"/>
    <n v="1"/>
    <x v="0"/>
    <x v="1"/>
  </r>
  <r>
    <s v="SM_100274"/>
    <x v="1"/>
    <s v="text"/>
    <s v="Lifestyle"/>
    <s v="ur"/>
    <s v="India"/>
    <d v="2024-12-04T00:00:00"/>
    <s v="#music #fyp #viral #news"/>
    <n v="12018150"/>
    <n v="480726"/>
    <n v="13086"/>
    <n v="53277"/>
    <n v="4.5499999999999999E-2"/>
    <n v="0.67400000000000004"/>
    <n v="1"/>
    <x v="0"/>
    <x v="0"/>
  </r>
  <r>
    <s v="SM_100275"/>
    <x v="0"/>
    <s v="text"/>
    <s v="Lifestyle"/>
    <s v="es"/>
    <s v="Brazil"/>
    <d v="2024-03-14T00:00:00"/>
    <s v="#fyp #tech #music #news"/>
    <n v="5378310"/>
    <n v="256110"/>
    <n v="24068"/>
    <n v="72356"/>
    <n v="6.5500000000000003E-2"/>
    <n v="0.443"/>
    <n v="1"/>
    <x v="0"/>
    <x v="0"/>
  </r>
  <r>
    <s v="SM_100276"/>
    <x v="2"/>
    <s v="video"/>
    <s v="Entertainment"/>
    <s v="fr"/>
    <s v="UK"/>
    <d v="2024-03-07T00:00:00"/>
    <s v="#tech #funny"/>
    <n v="4335249"/>
    <n v="228171"/>
    <n v="28774"/>
    <n v="53303"/>
    <n v="7.1599999999999997E-2"/>
    <n v="0.90800000000000003"/>
    <n v="1"/>
    <x v="0"/>
    <x v="0"/>
  </r>
  <r>
    <s v="SM_100277"/>
    <x v="3"/>
    <s v="carousel"/>
    <s v="Technology"/>
    <s v="fr"/>
    <s v="Pakistan"/>
    <d v="2024-07-11T00:00:00"/>
    <s v="#trending #fyp #viral #tech #funny"/>
    <n v="3903432"/>
    <n v="487929"/>
    <n v="23868"/>
    <n v="21793"/>
    <n v="0.13669999999999999"/>
    <n v="0.08"/>
    <n v="1"/>
    <x v="0"/>
    <x v="0"/>
  </r>
  <r>
    <s v="SM_100278"/>
    <x v="3"/>
    <s v="text"/>
    <s v="Technology"/>
    <s v="fr"/>
    <s v="Pakistan"/>
    <d v="2024-04-25T00:00:00"/>
    <s v="#trending #fyp #ai #funny"/>
    <n v="1713450"/>
    <n v="114230"/>
    <n v="1767"/>
    <n v="31988"/>
    <n v="8.6400000000000005E-2"/>
    <n v="0.69299999999999995"/>
    <n v="0"/>
    <x v="1"/>
    <x v="0"/>
  </r>
  <r>
    <s v="SM_100279"/>
    <x v="2"/>
    <s v="video"/>
    <s v="Entertainment"/>
    <s v="es"/>
    <s v="India"/>
    <d v="2024-10-15T00:00:00"/>
    <s v="#news #ai"/>
    <n v="931380"/>
    <n v="155230"/>
    <n v="45425"/>
    <n v="38891"/>
    <n v="0.25719999999999998"/>
    <n v="0.247"/>
    <n v="0"/>
    <x v="1"/>
    <x v="0"/>
  </r>
  <r>
    <s v="SM_100280"/>
    <x v="2"/>
    <s v="video"/>
    <s v="Lifestyle"/>
    <s v="fr"/>
    <s v="US"/>
    <d v="2024-11-12T00:00:00"/>
    <s v="#tech #news #trending #viral"/>
    <n v="5990844"/>
    <n v="499237"/>
    <n v="1529"/>
    <n v="15049"/>
    <n v="8.6099999999999996E-2"/>
    <n v="0.45600000000000002"/>
    <n v="1"/>
    <x v="0"/>
    <x v="0"/>
  </r>
  <r>
    <s v="SM_100281"/>
    <x v="2"/>
    <s v="image"/>
    <s v="Lifestyle"/>
    <s v="hi"/>
    <s v="India"/>
    <d v="2024-10-07T00:00:00"/>
    <s v="#trending #news #viral"/>
    <n v="409296"/>
    <n v="34108"/>
    <n v="65"/>
    <n v="74667"/>
    <n v="0.26590000000000003"/>
    <n v="-0.13"/>
    <n v="0"/>
    <x v="1"/>
    <x v="1"/>
  </r>
  <r>
    <s v="SM_100282"/>
    <x v="0"/>
    <s v="image"/>
    <s v="Politics"/>
    <s v="es"/>
    <s v="Brazil"/>
    <d v="2024-08-18T00:00:00"/>
    <s v="#funny #trending"/>
    <n v="6063068"/>
    <n v="275594"/>
    <n v="24359"/>
    <n v="45187"/>
    <n v="5.6899999999999999E-2"/>
    <n v="0.59899999999999998"/>
    <n v="1"/>
    <x v="0"/>
    <x v="0"/>
  </r>
  <r>
    <s v="SM_100283"/>
    <x v="0"/>
    <s v="video"/>
    <s v="Lifestyle"/>
    <s v="ur"/>
    <s v="UK"/>
    <d v="2024-09-10T00:00:00"/>
    <s v="#viral #music #ai #trending"/>
    <n v="4999830"/>
    <n v="499983"/>
    <n v="9655"/>
    <n v="85470"/>
    <n v="0.11899999999999999"/>
    <n v="0.18"/>
    <n v="1"/>
    <x v="0"/>
    <x v="0"/>
  </r>
  <r>
    <s v="SM_100284"/>
    <x v="1"/>
    <s v="image"/>
    <s v="Entertainment"/>
    <s v="en"/>
    <s v="Pakistan"/>
    <d v="2024-07-14T00:00:00"/>
    <s v="#tech #ai #viral"/>
    <n v="1083054"/>
    <n v="51574"/>
    <n v="26217"/>
    <n v="69627"/>
    <n v="0.1361"/>
    <n v="-0.72599999999999998"/>
    <n v="0"/>
    <x v="1"/>
    <x v="1"/>
  </r>
  <r>
    <s v="SM_100285"/>
    <x v="0"/>
    <s v="carousel"/>
    <s v="Politics"/>
    <s v="es"/>
    <s v="Brazil"/>
    <d v="2024-12-12T00:00:00"/>
    <s v="#tech #news #music #trending #funny"/>
    <n v="3793713"/>
    <n v="180653"/>
    <n v="36413"/>
    <n v="94007"/>
    <n v="8.2000000000000003E-2"/>
    <n v="-0.63"/>
    <n v="1"/>
    <x v="0"/>
    <x v="1"/>
  </r>
  <r>
    <s v="SM_100286"/>
    <x v="1"/>
    <s v="text"/>
    <s v="Education"/>
    <s v="hi"/>
    <s v="US"/>
    <d v="2024-02-08T00:00:00"/>
    <s v="#trending #tech #fyp #ai"/>
    <n v="3047799"/>
    <n v="132513"/>
    <n v="44628"/>
    <n v="90328"/>
    <n v="8.7800000000000003E-2"/>
    <n v="0.46400000000000002"/>
    <n v="1"/>
    <x v="0"/>
    <x v="0"/>
  </r>
  <r>
    <s v="SM_100287"/>
    <x v="1"/>
    <s v="image"/>
    <s v="Education"/>
    <s v="en"/>
    <s v="India"/>
    <d v="2024-02-07T00:00:00"/>
    <s v="#ai #funny #viral #news"/>
    <n v="1647288"/>
    <n v="183032"/>
    <n v="11349"/>
    <n v="1751"/>
    <n v="0.1191"/>
    <n v="0.38500000000000001"/>
    <n v="0"/>
    <x v="1"/>
    <x v="0"/>
  </r>
  <r>
    <s v="SM_100288"/>
    <x v="1"/>
    <s v="video"/>
    <s v="Lifestyle"/>
    <s v="es"/>
    <s v="India"/>
    <d v="2024-11-14T00:00:00"/>
    <s v="#fyp #news"/>
    <n v="7046534"/>
    <n v="320297"/>
    <n v="5324"/>
    <n v="15897"/>
    <n v="4.8500000000000001E-2"/>
    <n v="-2.1000000000000001E-2"/>
    <n v="1"/>
    <x v="0"/>
    <x v="1"/>
  </r>
  <r>
    <s v="SM_100289"/>
    <x v="3"/>
    <s v="video"/>
    <s v="Lifestyle"/>
    <s v="fr"/>
    <s v="Pakistan"/>
    <d v="2024-10-14T00:00:00"/>
    <s v="#news #fyp #trending #viral"/>
    <n v="1085756"/>
    <n v="77554"/>
    <n v="25069"/>
    <n v="27936"/>
    <n v="0.1202"/>
    <n v="0.17699999999999999"/>
    <n v="0"/>
    <x v="1"/>
    <x v="0"/>
  </r>
  <r>
    <s v="SM_100290"/>
    <x v="2"/>
    <s v="video"/>
    <s v="Lifestyle"/>
    <s v="es"/>
    <s v="UK"/>
    <d v="2024-01-06T00:00:00"/>
    <s v="#trending #music #viral #fyp #news"/>
    <n v="9228500"/>
    <n v="369140"/>
    <n v="12187"/>
    <n v="87834"/>
    <n v="5.0799999999999998E-2"/>
    <n v="-5.3999999999999999E-2"/>
    <n v="1"/>
    <x v="0"/>
    <x v="1"/>
  </r>
  <r>
    <s v="SM_100291"/>
    <x v="3"/>
    <s v="image"/>
    <s v="Sports"/>
    <s v="fr"/>
    <s v="Pakistan"/>
    <d v="2024-12-29T00:00:00"/>
    <s v="#tech #viral #fyp #funny #news"/>
    <n v="11890650"/>
    <n v="475626"/>
    <n v="44818"/>
    <n v="37199"/>
    <n v="4.6899999999999997E-2"/>
    <n v="0.46200000000000002"/>
    <n v="1"/>
    <x v="0"/>
    <x v="0"/>
  </r>
  <r>
    <s v="SM_100292"/>
    <x v="3"/>
    <s v="text"/>
    <s v="Technology"/>
    <s v="hi"/>
    <s v="US"/>
    <d v="2024-12-16T00:00:00"/>
    <s v="#music #fyp #funny"/>
    <n v="8897636"/>
    <n v="404438"/>
    <n v="15028"/>
    <n v="73544"/>
    <n v="5.5399999999999998E-2"/>
    <n v="-0.156"/>
    <n v="1"/>
    <x v="0"/>
    <x v="1"/>
  </r>
  <r>
    <s v="SM_100293"/>
    <x v="0"/>
    <s v="image"/>
    <s v="Lifestyle"/>
    <s v="es"/>
    <s v="Pakistan"/>
    <d v="2024-09-14T00:00:00"/>
    <s v="#music #ai"/>
    <n v="5543424"/>
    <n v="230976"/>
    <n v="6742"/>
    <n v="36063"/>
    <n v="4.9399999999999999E-2"/>
    <n v="0.68899999999999995"/>
    <n v="1"/>
    <x v="0"/>
    <x v="0"/>
  </r>
  <r>
    <s v="SM_100294"/>
    <x v="0"/>
    <s v="video"/>
    <s v="Sports"/>
    <s v="ur"/>
    <s v="India"/>
    <d v="2024-10-10T00:00:00"/>
    <s v="#music #tech #ai"/>
    <n v="784665"/>
    <n v="37365"/>
    <n v="17855"/>
    <n v="66151"/>
    <n v="0.1547"/>
    <n v="0.3"/>
    <n v="0"/>
    <x v="1"/>
    <x v="0"/>
  </r>
  <r>
    <s v="SM_100295"/>
    <x v="1"/>
    <s v="image"/>
    <s v="Sports"/>
    <s v="hi"/>
    <s v="US"/>
    <d v="2024-03-12T00:00:00"/>
    <s v="#ai #viral #news"/>
    <n v="5348523"/>
    <n v="314619"/>
    <n v="35440"/>
    <n v="96444"/>
    <n v="8.3500000000000005E-2"/>
    <n v="-0.84599999999999997"/>
    <n v="1"/>
    <x v="0"/>
    <x v="1"/>
  </r>
  <r>
    <s v="SM_100296"/>
    <x v="1"/>
    <s v="text"/>
    <s v="Entertainment"/>
    <s v="fr"/>
    <s v="UK"/>
    <d v="2024-02-23T00:00:00"/>
    <s v="#trending #fyp #news #music"/>
    <n v="13195386"/>
    <n v="488718"/>
    <n v="2988"/>
    <n v="97242"/>
    <n v="4.4600000000000001E-2"/>
    <n v="-0.191"/>
    <n v="1"/>
    <x v="0"/>
    <x v="1"/>
  </r>
  <r>
    <s v="SM_100297"/>
    <x v="0"/>
    <s v="image"/>
    <s v="Lifestyle"/>
    <s v="ur"/>
    <s v="US"/>
    <d v="2024-10-15T00:00:00"/>
    <s v="#music #viral #ai"/>
    <n v="1377360"/>
    <n v="172170"/>
    <n v="28540"/>
    <n v="6641"/>
    <n v="0.15049999999999999"/>
    <n v="0.58099999999999996"/>
    <n v="0"/>
    <x v="1"/>
    <x v="0"/>
  </r>
  <r>
    <s v="SM_100298"/>
    <x v="0"/>
    <s v="image"/>
    <s v="Sports"/>
    <s v="en"/>
    <s v="Brazil"/>
    <d v="2024-09-07T00:00:00"/>
    <s v="#viral #news #trending"/>
    <n v="578540"/>
    <n v="115708"/>
    <n v="7569"/>
    <n v="27346"/>
    <n v="0.26040000000000002"/>
    <n v="0.77200000000000002"/>
    <n v="0"/>
    <x v="1"/>
    <x v="0"/>
  </r>
  <r>
    <s v="SM_100299"/>
    <x v="1"/>
    <s v="video"/>
    <s v="Sports"/>
    <s v="es"/>
    <s v="India"/>
    <d v="2024-02-04T00:00:00"/>
    <s v="#viral #tech #ai #trending #news"/>
    <n v="476238"/>
    <n v="79373"/>
    <n v="9328"/>
    <n v="80766"/>
    <n v="0.35580000000000001"/>
    <n v="-0.95099999999999996"/>
    <n v="0"/>
    <x v="1"/>
    <x v="1"/>
  </r>
  <r>
    <s v="SM_100300"/>
    <x v="3"/>
    <s v="image"/>
    <s v="Politics"/>
    <s v="en"/>
    <s v="US"/>
    <d v="2024-04-25T00:00:00"/>
    <s v="#viral #music"/>
    <n v="7577053"/>
    <n v="445709"/>
    <n v="550"/>
    <n v="29431"/>
    <n v="6.2799999999999995E-2"/>
    <n v="5.8000000000000003E-2"/>
    <n v="1"/>
    <x v="0"/>
    <x v="0"/>
  </r>
  <r>
    <s v="SM_100301"/>
    <x v="3"/>
    <s v="text"/>
    <s v="Politics"/>
    <s v="hi"/>
    <s v="Pakistan"/>
    <d v="2024-03-18T00:00:00"/>
    <s v="#music #trending #tech"/>
    <n v="4860449"/>
    <n v="441859"/>
    <n v="13924"/>
    <n v="69347"/>
    <n v="0.108"/>
    <n v="-0.98099999999999998"/>
    <n v="1"/>
    <x v="0"/>
    <x v="1"/>
  </r>
  <r>
    <s v="SM_100302"/>
    <x v="1"/>
    <s v="image"/>
    <s v="Technology"/>
    <s v="hi"/>
    <s v="Pakistan"/>
    <d v="2024-06-07T00:00:00"/>
    <s v="#ai #fyp #music #news #funny"/>
    <n v="7683200"/>
    <n v="307328"/>
    <n v="29634"/>
    <n v="51185"/>
    <n v="5.0500000000000003E-2"/>
    <n v="-0.04"/>
    <n v="1"/>
    <x v="0"/>
    <x v="1"/>
  </r>
  <r>
    <s v="SM_100303"/>
    <x v="3"/>
    <s v="image"/>
    <s v="Entertainment"/>
    <s v="ur"/>
    <s v="Pakistan"/>
    <d v="2024-04-13T00:00:00"/>
    <s v="#viral #news #ai #tech #funny"/>
    <n v="5610377"/>
    <n v="295283"/>
    <n v="19900"/>
    <n v="83692"/>
    <n v="7.1099999999999997E-2"/>
    <n v="-0.20300000000000001"/>
    <n v="1"/>
    <x v="0"/>
    <x v="1"/>
  </r>
  <r>
    <s v="SM_100304"/>
    <x v="2"/>
    <s v="carousel"/>
    <s v="Technology"/>
    <s v="fr"/>
    <s v="Brazil"/>
    <d v="2024-11-09T00:00:00"/>
    <s v="#fyp #ai #funny #music #trending"/>
    <n v="2531352"/>
    <n v="105473"/>
    <n v="24579"/>
    <n v="3431"/>
    <n v="5.2699999999999997E-2"/>
    <n v="0.47499999999999998"/>
    <n v="1"/>
    <x v="0"/>
    <x v="0"/>
  </r>
  <r>
    <s v="SM_100305"/>
    <x v="2"/>
    <s v="carousel"/>
    <s v="Sports"/>
    <s v="hi"/>
    <s v="India"/>
    <d v="2024-08-08T00:00:00"/>
    <s v="#viral #ai"/>
    <n v="558161"/>
    <n v="32833"/>
    <n v="20149"/>
    <n v="2051"/>
    <n v="9.8599999999999993E-2"/>
    <n v="-0.29099999999999998"/>
    <n v="0"/>
    <x v="1"/>
    <x v="1"/>
  </r>
  <r>
    <s v="SM_100306"/>
    <x v="2"/>
    <s v="image"/>
    <s v="Entertainment"/>
    <s v="ur"/>
    <s v="Brazil"/>
    <d v="2024-06-21T00:00:00"/>
    <s v="#ai #trending"/>
    <n v="715286"/>
    <n v="32513"/>
    <n v="34806"/>
    <n v="55620"/>
    <n v="0.1719"/>
    <n v="-0.53300000000000003"/>
    <n v="0"/>
    <x v="1"/>
    <x v="1"/>
  </r>
  <r>
    <s v="SM_100307"/>
    <x v="2"/>
    <s v="carousel"/>
    <s v="Sports"/>
    <s v="ur"/>
    <s v="UK"/>
    <d v="2024-07-24T00:00:00"/>
    <s v="#funny #fyp"/>
    <n v="8244404"/>
    <n v="433916"/>
    <n v="25285"/>
    <n v="90094"/>
    <n v="6.6600000000000006E-2"/>
    <n v="-0.14399999999999999"/>
    <n v="1"/>
    <x v="0"/>
    <x v="1"/>
  </r>
  <r>
    <s v="SM_100308"/>
    <x v="1"/>
    <s v="image"/>
    <s v="Entertainment"/>
    <s v="fr"/>
    <s v="Brazil"/>
    <d v="2024-11-02T00:00:00"/>
    <s v="#viral #funny #trending"/>
    <n v="3389760"/>
    <n v="211860"/>
    <n v="23900"/>
    <n v="74692"/>
    <n v="9.1600000000000001E-2"/>
    <n v="0.91300000000000003"/>
    <n v="1"/>
    <x v="0"/>
    <x v="0"/>
  </r>
  <r>
    <s v="SM_100309"/>
    <x v="0"/>
    <s v="image"/>
    <s v="Politics"/>
    <s v="en"/>
    <s v="US"/>
    <d v="2024-01-02T00:00:00"/>
    <s v="#trending #ai #viral #funny #tech"/>
    <n v="674640"/>
    <n v="67464"/>
    <n v="45033"/>
    <n v="97660"/>
    <n v="0.3115"/>
    <n v="0.96499999999999997"/>
    <n v="0"/>
    <x v="1"/>
    <x v="0"/>
  </r>
  <r>
    <s v="SM_100310"/>
    <x v="3"/>
    <s v="text"/>
    <s v="Lifestyle"/>
    <s v="fr"/>
    <s v="US"/>
    <d v="2024-01-14T00:00:00"/>
    <s v="#news #trending #funny"/>
    <n v="3192770"/>
    <n v="187810"/>
    <n v="40975"/>
    <n v="29758"/>
    <n v="8.1000000000000003E-2"/>
    <n v="0.97799999999999998"/>
    <n v="1"/>
    <x v="0"/>
    <x v="0"/>
  </r>
  <r>
    <s v="SM_100311"/>
    <x v="2"/>
    <s v="image"/>
    <s v="Sports"/>
    <s v="ur"/>
    <s v="Brazil"/>
    <d v="2024-11-04T00:00:00"/>
    <s v="#ai #music #trending"/>
    <n v="3438072"/>
    <n v="286506"/>
    <n v="14904"/>
    <n v="62212"/>
    <n v="0.10580000000000001"/>
    <n v="0.88500000000000001"/>
    <n v="1"/>
    <x v="0"/>
    <x v="0"/>
  </r>
  <r>
    <s v="SM_100312"/>
    <x v="3"/>
    <s v="text"/>
    <s v="Technology"/>
    <s v="en"/>
    <s v="Pakistan"/>
    <d v="2024-07-28T00:00:00"/>
    <s v="#music #trending #ai"/>
    <n v="10920078"/>
    <n v="474786"/>
    <n v="38202"/>
    <n v="41845"/>
    <n v="5.0799999999999998E-2"/>
    <n v="2.5000000000000001E-2"/>
    <n v="1"/>
    <x v="0"/>
    <x v="0"/>
  </r>
  <r>
    <s v="SM_100313"/>
    <x v="3"/>
    <s v="image"/>
    <s v="Sports"/>
    <s v="es"/>
    <s v="India"/>
    <d v="2024-12-03T00:00:00"/>
    <s v="#trending #fyp #music #viral #ai"/>
    <n v="9841817"/>
    <n v="339373"/>
    <n v="40047"/>
    <n v="61666"/>
    <n v="4.48E-2"/>
    <n v="-0.55900000000000005"/>
    <n v="1"/>
    <x v="0"/>
    <x v="1"/>
  </r>
  <r>
    <s v="SM_100314"/>
    <x v="0"/>
    <s v="text"/>
    <s v="Entertainment"/>
    <s v="es"/>
    <s v="India"/>
    <d v="2024-12-27T00:00:00"/>
    <s v="#music #trending #fyp #funny"/>
    <n v="4439344"/>
    <n v="158548"/>
    <n v="43518"/>
    <n v="55555"/>
    <n v="5.8000000000000003E-2"/>
    <n v="-0.3"/>
    <n v="1"/>
    <x v="0"/>
    <x v="1"/>
  </r>
  <r>
    <s v="SM_100315"/>
    <x v="3"/>
    <s v="video"/>
    <s v="Lifestyle"/>
    <s v="ur"/>
    <s v="Brazil"/>
    <d v="2024-04-22T00:00:00"/>
    <s v="#ai #trending #viral #music #funny"/>
    <n v="11995128"/>
    <n v="444264"/>
    <n v="8250"/>
    <n v="72751"/>
    <n v="4.3799999999999999E-2"/>
    <n v="0.76800000000000002"/>
    <n v="1"/>
    <x v="0"/>
    <x v="0"/>
  </r>
  <r>
    <s v="SM_100316"/>
    <x v="2"/>
    <s v="carousel"/>
    <s v="Politics"/>
    <s v="es"/>
    <s v="UK"/>
    <d v="2024-09-10T00:00:00"/>
    <s v="#fyp #funny #ai #tech"/>
    <n v="1077972"/>
    <n v="76998"/>
    <n v="18302"/>
    <n v="30449"/>
    <n v="0.1167"/>
    <n v="0.03"/>
    <n v="0"/>
    <x v="1"/>
    <x v="0"/>
  </r>
  <r>
    <s v="SM_100317"/>
    <x v="0"/>
    <s v="carousel"/>
    <s v="Politics"/>
    <s v="ur"/>
    <s v="India"/>
    <d v="2024-03-14T00:00:00"/>
    <s v="#music #tech"/>
    <n v="2931187"/>
    <n v="418741"/>
    <n v="26690"/>
    <n v="24579"/>
    <n v="0.1603"/>
    <n v="-0.55100000000000005"/>
    <n v="1"/>
    <x v="0"/>
    <x v="1"/>
  </r>
  <r>
    <s v="SM_100318"/>
    <x v="1"/>
    <s v="video"/>
    <s v="Education"/>
    <s v="hi"/>
    <s v="Pakistan"/>
    <d v="2024-03-08T00:00:00"/>
    <s v="#music #viral #funny #tech #news"/>
    <n v="7816399"/>
    <n v="269531"/>
    <n v="33665"/>
    <n v="75759"/>
    <n v="4.8500000000000001E-2"/>
    <n v="0.186"/>
    <n v="1"/>
    <x v="0"/>
    <x v="0"/>
  </r>
  <r>
    <s v="SM_100319"/>
    <x v="0"/>
    <s v="video"/>
    <s v="Lifestyle"/>
    <s v="en"/>
    <s v="Brazil"/>
    <d v="2024-04-06T00:00:00"/>
    <s v="#trending #tech"/>
    <n v="452413"/>
    <n v="34801"/>
    <n v="17769"/>
    <n v="17675"/>
    <n v="0.15529999999999999"/>
    <n v="-0.218"/>
    <n v="0"/>
    <x v="1"/>
    <x v="1"/>
  </r>
  <r>
    <s v="SM_100320"/>
    <x v="2"/>
    <s v="carousel"/>
    <s v="Technology"/>
    <s v="fr"/>
    <s v="US"/>
    <d v="2024-02-14T00:00:00"/>
    <s v="#funny #viral #ai"/>
    <n v="306194"/>
    <n v="43742"/>
    <n v="32289"/>
    <n v="65161"/>
    <n v="0.46110000000000001"/>
    <n v="0.91100000000000003"/>
    <n v="0"/>
    <x v="1"/>
    <x v="0"/>
  </r>
  <r>
    <s v="SM_100321"/>
    <x v="1"/>
    <s v="video"/>
    <s v="Lifestyle"/>
    <s v="en"/>
    <s v="Pakistan"/>
    <d v="2024-04-26T00:00:00"/>
    <s v="#news #viral #tech #music #trending"/>
    <n v="5475325"/>
    <n v="288175"/>
    <n v="28846"/>
    <n v="29193"/>
    <n v="6.3200000000000006E-2"/>
    <n v="0.31"/>
    <n v="1"/>
    <x v="0"/>
    <x v="0"/>
  </r>
  <r>
    <s v="SM_100322"/>
    <x v="0"/>
    <s v="video"/>
    <s v="Sports"/>
    <s v="hi"/>
    <s v="Brazil"/>
    <d v="2024-12-13T00:00:00"/>
    <s v="#tech #trending #fyp"/>
    <n v="6213304"/>
    <n v="327016"/>
    <n v="15590"/>
    <n v="25560"/>
    <n v="5.9299999999999999E-2"/>
    <n v="-0.99"/>
    <n v="1"/>
    <x v="0"/>
    <x v="1"/>
  </r>
  <r>
    <s v="SM_100323"/>
    <x v="3"/>
    <s v="image"/>
    <s v="Education"/>
    <s v="ur"/>
    <s v="India"/>
    <d v="2024-12-14T00:00:00"/>
    <s v="#viral #tech #news #music"/>
    <n v="3364372"/>
    <n v="152926"/>
    <n v="3977"/>
    <n v="70832"/>
    <n v="6.7699999999999996E-2"/>
    <n v="-0.83799999999999997"/>
    <n v="1"/>
    <x v="0"/>
    <x v="1"/>
  </r>
  <r>
    <s v="SM_100324"/>
    <x v="0"/>
    <s v="image"/>
    <s v="Technology"/>
    <s v="ur"/>
    <s v="Pakistan"/>
    <d v="2024-04-17T00:00:00"/>
    <s v="#ai #viral #music #fyp #funny"/>
    <n v="3496599"/>
    <n v="388511"/>
    <n v="9908"/>
    <n v="3021"/>
    <n v="0.1148"/>
    <n v="0.98299999999999998"/>
    <n v="1"/>
    <x v="0"/>
    <x v="0"/>
  </r>
  <r>
    <s v="SM_100325"/>
    <x v="2"/>
    <s v="carousel"/>
    <s v="Politics"/>
    <s v="ur"/>
    <s v="UK"/>
    <d v="2024-02-19T00:00:00"/>
    <s v="#news #viral #tech"/>
    <n v="11427619"/>
    <n v="496853"/>
    <n v="9521"/>
    <n v="2397"/>
    <n v="4.4499999999999998E-2"/>
    <n v="0.64900000000000002"/>
    <n v="1"/>
    <x v="0"/>
    <x v="0"/>
  </r>
  <r>
    <s v="SM_100326"/>
    <x v="2"/>
    <s v="carousel"/>
    <s v="Entertainment"/>
    <s v="hi"/>
    <s v="India"/>
    <d v="2024-10-25T00:00:00"/>
    <s v="#ai #funny"/>
    <n v="1593156"/>
    <n v="132763"/>
    <n v="11308"/>
    <n v="30562"/>
    <n v="0.1096"/>
    <n v="0.13100000000000001"/>
    <n v="0"/>
    <x v="1"/>
    <x v="0"/>
  </r>
  <r>
    <s v="SM_100327"/>
    <x v="1"/>
    <s v="image"/>
    <s v="Lifestyle"/>
    <s v="fr"/>
    <s v="India"/>
    <d v="2024-09-06T00:00:00"/>
    <s v="#viral #fyp #music #ai"/>
    <n v="5978160"/>
    <n v="259920"/>
    <n v="34085"/>
    <n v="86232"/>
    <n v="6.3600000000000004E-2"/>
    <n v="0.73599999999999999"/>
    <n v="1"/>
    <x v="0"/>
    <x v="0"/>
  </r>
  <r>
    <s v="SM_100328"/>
    <x v="3"/>
    <s v="text"/>
    <s v="Education"/>
    <s v="ur"/>
    <s v="Pakistan"/>
    <d v="2024-04-02T00:00:00"/>
    <s v="#news #music #fyp #viral #funny"/>
    <n v="3976940"/>
    <n v="198847"/>
    <n v="47461"/>
    <n v="96827"/>
    <n v="8.6300000000000002E-2"/>
    <n v="0.41699999999999998"/>
    <n v="1"/>
    <x v="0"/>
    <x v="0"/>
  </r>
  <r>
    <s v="SM_100329"/>
    <x v="3"/>
    <s v="carousel"/>
    <s v="Entertainment"/>
    <s v="fr"/>
    <s v="UK"/>
    <d v="2024-07-24T00:00:00"/>
    <s v="#news #ai #fyp"/>
    <n v="5970244"/>
    <n v="426446"/>
    <n v="32093"/>
    <n v="26293"/>
    <n v="8.1199999999999994E-2"/>
    <n v="-0.78800000000000003"/>
    <n v="1"/>
    <x v="0"/>
    <x v="1"/>
  </r>
  <r>
    <s v="SM_100330"/>
    <x v="3"/>
    <s v="image"/>
    <s v="Sports"/>
    <s v="hi"/>
    <s v="UK"/>
    <d v="2024-10-18T00:00:00"/>
    <s v="#tech #trending #funny #viral"/>
    <n v="763114"/>
    <n v="69374"/>
    <n v="2474"/>
    <n v="53948"/>
    <n v="0.1648"/>
    <n v="0.76300000000000001"/>
    <n v="0"/>
    <x v="1"/>
    <x v="0"/>
  </r>
  <r>
    <s v="SM_100331"/>
    <x v="1"/>
    <s v="video"/>
    <s v="Technology"/>
    <s v="es"/>
    <s v="Pakistan"/>
    <d v="2024-03-31T00:00:00"/>
    <s v="#ai #fyp"/>
    <n v="1145584"/>
    <n v="49808"/>
    <n v="9022"/>
    <n v="68345"/>
    <n v="0.111"/>
    <n v="0.75800000000000001"/>
    <n v="0"/>
    <x v="1"/>
    <x v="0"/>
  </r>
  <r>
    <s v="SM_100332"/>
    <x v="3"/>
    <s v="carousel"/>
    <s v="Technology"/>
    <s v="en"/>
    <s v="US"/>
    <d v="2024-02-11T00:00:00"/>
    <s v="#trending #fyp #news #viral #ai"/>
    <n v="1175235"/>
    <n v="78349"/>
    <n v="40334"/>
    <n v="2720"/>
    <n v="0.1033"/>
    <n v="-0.54300000000000004"/>
    <n v="0"/>
    <x v="1"/>
    <x v="1"/>
  </r>
  <r>
    <s v="SM_100333"/>
    <x v="1"/>
    <s v="carousel"/>
    <s v="Sports"/>
    <s v="hi"/>
    <s v="US"/>
    <d v="2024-09-01T00:00:00"/>
    <s v="#funny #trending #news"/>
    <n v="341072"/>
    <n v="42634"/>
    <n v="36771"/>
    <n v="92242"/>
    <n v="0.50329999999999997"/>
    <n v="0.112"/>
    <n v="0"/>
    <x v="1"/>
    <x v="0"/>
  </r>
  <r>
    <s v="SM_100334"/>
    <x v="1"/>
    <s v="carousel"/>
    <s v="Sports"/>
    <s v="es"/>
    <s v="US"/>
    <d v="2024-09-15T00:00:00"/>
    <s v="#ai #fyp #funny #viral"/>
    <n v="2080144"/>
    <n v="189104"/>
    <n v="26593"/>
    <n v="91660"/>
    <n v="0.14779999999999999"/>
    <n v="-0.61399999999999999"/>
    <n v="1"/>
    <x v="0"/>
    <x v="1"/>
  </r>
  <r>
    <s v="SM_100335"/>
    <x v="3"/>
    <s v="text"/>
    <s v="Sports"/>
    <s v="fr"/>
    <s v="India"/>
    <d v="2024-03-29T00:00:00"/>
    <s v="#tech #funny #news"/>
    <n v="6357936"/>
    <n v="489072"/>
    <n v="9887"/>
    <n v="66673"/>
    <n v="8.8999999999999996E-2"/>
    <n v="0.26400000000000001"/>
    <n v="1"/>
    <x v="0"/>
    <x v="0"/>
  </r>
  <r>
    <s v="SM_100336"/>
    <x v="1"/>
    <s v="video"/>
    <s v="Politics"/>
    <s v="fr"/>
    <s v="UK"/>
    <d v="2024-03-20T00:00:00"/>
    <s v="#tech #news #ai #music"/>
    <n v="4567864"/>
    <n v="163138"/>
    <n v="7014"/>
    <n v="12988"/>
    <n v="4.0099999999999997E-2"/>
    <n v="0.63700000000000001"/>
    <n v="1"/>
    <x v="0"/>
    <x v="0"/>
  </r>
  <r>
    <s v="SM_100337"/>
    <x v="1"/>
    <s v="text"/>
    <s v="Education"/>
    <s v="hi"/>
    <s v="UK"/>
    <d v="2024-02-21T00:00:00"/>
    <s v="#music #tech #trending #viral #news"/>
    <n v="1453969"/>
    <n v="132179"/>
    <n v="5450"/>
    <n v="76243"/>
    <n v="0.14710000000000001"/>
    <n v="8.3000000000000004E-2"/>
    <n v="0"/>
    <x v="1"/>
    <x v="0"/>
  </r>
  <r>
    <s v="SM_100338"/>
    <x v="2"/>
    <s v="carousel"/>
    <s v="Technology"/>
    <s v="es"/>
    <s v="Brazil"/>
    <d v="2024-05-02T00:00:00"/>
    <s v="#trending #fyp"/>
    <n v="8274937"/>
    <n v="435523"/>
    <n v="13286"/>
    <n v="61247"/>
    <n v="6.1600000000000002E-2"/>
    <n v="0.86399999999999999"/>
    <n v="1"/>
    <x v="0"/>
    <x v="0"/>
  </r>
  <r>
    <s v="SM_100339"/>
    <x v="1"/>
    <s v="video"/>
    <s v="Education"/>
    <s v="en"/>
    <s v="US"/>
    <d v="2024-03-01T00:00:00"/>
    <s v="#ai #trending #music #fyp #news"/>
    <n v="9561600"/>
    <n v="398400"/>
    <n v="16666"/>
    <n v="13508"/>
    <n v="4.48E-2"/>
    <n v="0.376"/>
    <n v="1"/>
    <x v="0"/>
    <x v="0"/>
  </r>
  <r>
    <s v="SM_100340"/>
    <x v="2"/>
    <s v="image"/>
    <s v="Entertainment"/>
    <s v="en"/>
    <s v="India"/>
    <d v="2024-08-10T00:00:00"/>
    <s v="#trending #tech #funny #news"/>
    <n v="6051152"/>
    <n v="378197"/>
    <n v="7496"/>
    <n v="50193"/>
    <n v="7.1999999999999995E-2"/>
    <n v="-0.86499999999999999"/>
    <n v="1"/>
    <x v="0"/>
    <x v="1"/>
  </r>
  <r>
    <s v="SM_100341"/>
    <x v="3"/>
    <s v="carousel"/>
    <s v="Technology"/>
    <s v="en"/>
    <s v="Pakistan"/>
    <d v="2024-07-06T00:00:00"/>
    <s v="#funny #viral #news #trending"/>
    <n v="2063852"/>
    <n v="73709"/>
    <n v="9082"/>
    <n v="20954"/>
    <n v="5.0299999999999997E-2"/>
    <n v="-0.90900000000000003"/>
    <n v="1"/>
    <x v="0"/>
    <x v="1"/>
  </r>
  <r>
    <s v="SM_100342"/>
    <x v="2"/>
    <s v="video"/>
    <s v="Lifestyle"/>
    <s v="en"/>
    <s v="India"/>
    <d v="2024-12-07T00:00:00"/>
    <s v="#viral #tech #fyp"/>
    <n v="6272527"/>
    <n v="330133"/>
    <n v="23826"/>
    <n v="37568"/>
    <n v="6.2399999999999997E-2"/>
    <n v="0.93799999999999994"/>
    <n v="1"/>
    <x v="0"/>
    <x v="0"/>
  </r>
  <r>
    <s v="SM_100343"/>
    <x v="2"/>
    <s v="image"/>
    <s v="Politics"/>
    <s v="en"/>
    <s v="Brazil"/>
    <d v="2024-08-31T00:00:00"/>
    <s v="#ai #music #tech"/>
    <n v="1861800"/>
    <n v="77575"/>
    <n v="25343"/>
    <n v="87267"/>
    <n v="0.1022"/>
    <n v="0.51700000000000002"/>
    <n v="0"/>
    <x v="1"/>
    <x v="0"/>
  </r>
  <r>
    <s v="SM_100344"/>
    <x v="2"/>
    <s v="carousel"/>
    <s v="Technology"/>
    <s v="fr"/>
    <s v="US"/>
    <d v="2024-04-23T00:00:00"/>
    <s v="#tech #news #fyp #trending #viral"/>
    <n v="4146142"/>
    <n v="218218"/>
    <n v="44069"/>
    <n v="7814"/>
    <n v="6.5100000000000005E-2"/>
    <n v="-2.3E-2"/>
    <n v="1"/>
    <x v="0"/>
    <x v="1"/>
  </r>
  <r>
    <s v="SM_100345"/>
    <x v="0"/>
    <s v="carousel"/>
    <s v="Politics"/>
    <s v="en"/>
    <s v="India"/>
    <d v="2024-06-19T00:00:00"/>
    <s v="#funny #trending #tech #news #viral"/>
    <n v="2516562"/>
    <n v="93206"/>
    <n v="27087"/>
    <n v="29242"/>
    <n v="5.9400000000000001E-2"/>
    <n v="-0.108"/>
    <n v="1"/>
    <x v="0"/>
    <x v="1"/>
  </r>
  <r>
    <s v="SM_100346"/>
    <x v="1"/>
    <s v="text"/>
    <s v="Politics"/>
    <s v="fr"/>
    <s v="Brazil"/>
    <d v="2024-02-04T00:00:00"/>
    <s v="#news #funny #fyp"/>
    <n v="2017911"/>
    <n v="288273"/>
    <n v="13030"/>
    <n v="14289"/>
    <n v="0.15640000000000001"/>
    <n v="-9.7000000000000003E-2"/>
    <n v="1"/>
    <x v="0"/>
    <x v="1"/>
  </r>
  <r>
    <s v="SM_100347"/>
    <x v="2"/>
    <s v="carousel"/>
    <s v="Technology"/>
    <s v="en"/>
    <s v="Pakistan"/>
    <d v="2024-04-25T00:00:00"/>
    <s v="#trending #ai"/>
    <n v="3196950"/>
    <n v="213130"/>
    <n v="3347"/>
    <n v="41847"/>
    <n v="8.0799999999999997E-2"/>
    <n v="-0.55800000000000005"/>
    <n v="1"/>
    <x v="0"/>
    <x v="1"/>
  </r>
  <r>
    <s v="SM_100348"/>
    <x v="0"/>
    <s v="image"/>
    <s v="Entertainment"/>
    <s v="fr"/>
    <s v="Brazil"/>
    <d v="2024-02-26T00:00:00"/>
    <s v="#ai #fyp #funny #music"/>
    <n v="10892664"/>
    <n v="453861"/>
    <n v="46771"/>
    <n v="78798"/>
    <n v="5.3199999999999997E-2"/>
    <n v="0.309"/>
    <n v="1"/>
    <x v="0"/>
    <x v="0"/>
  </r>
  <r>
    <s v="SM_100349"/>
    <x v="3"/>
    <s v="video"/>
    <s v="Politics"/>
    <s v="fr"/>
    <s v="Pakistan"/>
    <d v="2024-04-25T00:00:00"/>
    <s v="#news #music #funny #trending #viral"/>
    <n v="7107150"/>
    <n v="284286"/>
    <n v="44418"/>
    <n v="93624"/>
    <n v="5.9400000000000001E-2"/>
    <n v="0.81899999999999995"/>
    <n v="1"/>
    <x v="0"/>
    <x v="0"/>
  </r>
  <r>
    <s v="SM_100350"/>
    <x v="1"/>
    <s v="video"/>
    <s v="Education"/>
    <s v="en"/>
    <s v="Pakistan"/>
    <d v="2024-09-04T00:00:00"/>
    <s v="#trending #music"/>
    <n v="2590160"/>
    <n v="259016"/>
    <n v="28607"/>
    <n v="53332"/>
    <n v="0.13159999999999999"/>
    <n v="0.52"/>
    <n v="1"/>
    <x v="0"/>
    <x v="0"/>
  </r>
  <r>
    <s v="SM_100351"/>
    <x v="2"/>
    <s v="image"/>
    <s v="Sports"/>
    <s v="fr"/>
    <s v="UK"/>
    <d v="2024-09-21T00:00:00"/>
    <s v="#trending #funny"/>
    <n v="1633680"/>
    <n v="163368"/>
    <n v="5631"/>
    <n v="7425"/>
    <n v="0.108"/>
    <n v="-0.54"/>
    <n v="0"/>
    <x v="1"/>
    <x v="1"/>
  </r>
  <r>
    <s v="SM_100352"/>
    <x v="3"/>
    <s v="text"/>
    <s v="Lifestyle"/>
    <s v="es"/>
    <s v="India"/>
    <d v="2024-11-10T00:00:00"/>
    <s v="#ai #tech #news #trending"/>
    <n v="8301216"/>
    <n v="395296"/>
    <n v="48295"/>
    <n v="26432"/>
    <n v="5.6599999999999998E-2"/>
    <n v="0.30299999999999999"/>
    <n v="1"/>
    <x v="0"/>
    <x v="0"/>
  </r>
  <r>
    <s v="SM_100353"/>
    <x v="1"/>
    <s v="video"/>
    <s v="Sports"/>
    <s v="hi"/>
    <s v="India"/>
    <d v="2024-08-28T00:00:00"/>
    <s v="#tech #fyp #funny #viral"/>
    <n v="529700"/>
    <n v="26485"/>
    <n v="38163"/>
    <n v="23020"/>
    <n v="0.16550000000000001"/>
    <n v="8.5999999999999993E-2"/>
    <n v="0"/>
    <x v="1"/>
    <x v="0"/>
  </r>
  <r>
    <s v="SM_100354"/>
    <x v="3"/>
    <s v="video"/>
    <s v="Education"/>
    <s v="es"/>
    <s v="UK"/>
    <d v="2024-04-14T00:00:00"/>
    <s v="#news #viral #ai #tech #funny"/>
    <n v="7095175"/>
    <n v="283807"/>
    <n v="39346"/>
    <n v="5777"/>
    <n v="4.6399999999999997E-2"/>
    <n v="-0.69299999999999995"/>
    <n v="1"/>
    <x v="0"/>
    <x v="1"/>
  </r>
  <r>
    <s v="SM_100355"/>
    <x v="1"/>
    <s v="carousel"/>
    <s v="Lifestyle"/>
    <s v="en"/>
    <s v="India"/>
    <d v="2024-11-18T00:00:00"/>
    <s v="#news #ai"/>
    <n v="8285136"/>
    <n v="345214"/>
    <n v="46770"/>
    <n v="85554"/>
    <n v="5.7599999999999998E-2"/>
    <n v="-0.96399999999999997"/>
    <n v="1"/>
    <x v="0"/>
    <x v="1"/>
  </r>
  <r>
    <s v="SM_100356"/>
    <x v="0"/>
    <s v="text"/>
    <s v="Politics"/>
    <s v="es"/>
    <s v="Pakistan"/>
    <d v="2024-10-29T00:00:00"/>
    <s v="#viral #fyp #funny #trending #news"/>
    <n v="4824000"/>
    <n v="192960"/>
    <n v="17348"/>
    <n v="38828"/>
    <n v="5.16E-2"/>
    <n v="0.82399999999999995"/>
    <n v="1"/>
    <x v="0"/>
    <x v="0"/>
  </r>
  <r>
    <s v="SM_100357"/>
    <x v="0"/>
    <s v="carousel"/>
    <s v="Education"/>
    <s v="ur"/>
    <s v="UK"/>
    <d v="2024-06-28T00:00:00"/>
    <s v="#fyp #tech"/>
    <n v="12961289"/>
    <n v="446941"/>
    <n v="15256"/>
    <n v="527"/>
    <n v="3.5700000000000003E-2"/>
    <n v="-0.998"/>
    <n v="1"/>
    <x v="0"/>
    <x v="1"/>
  </r>
  <r>
    <s v="SM_100358"/>
    <x v="3"/>
    <s v="image"/>
    <s v="Politics"/>
    <s v="en"/>
    <s v="US"/>
    <d v="2024-02-01T00:00:00"/>
    <s v="#news #viral #funny #ai"/>
    <n v="4170400"/>
    <n v="260650"/>
    <n v="11541"/>
    <n v="28542"/>
    <n v="7.2099999999999997E-2"/>
    <n v="-0.505"/>
    <n v="1"/>
    <x v="0"/>
    <x v="1"/>
  </r>
  <r>
    <s v="SM_100359"/>
    <x v="3"/>
    <s v="carousel"/>
    <s v="Education"/>
    <s v="fr"/>
    <s v="Brazil"/>
    <d v="2024-07-14T00:00:00"/>
    <s v="#ai #viral"/>
    <n v="7857724"/>
    <n v="270956"/>
    <n v="38570"/>
    <n v="65456"/>
    <n v="4.7699999999999999E-2"/>
    <n v="-0.67800000000000005"/>
    <n v="1"/>
    <x v="0"/>
    <x v="1"/>
  </r>
  <r>
    <s v="SM_100360"/>
    <x v="3"/>
    <s v="video"/>
    <s v="Education"/>
    <s v="ur"/>
    <s v="US"/>
    <d v="2024-06-23T00:00:00"/>
    <s v="#ai #viral #trending #music"/>
    <n v="779094"/>
    <n v="129849"/>
    <n v="5114"/>
    <n v="49269"/>
    <n v="0.23649999999999999"/>
    <n v="0.59499999999999997"/>
    <n v="0"/>
    <x v="1"/>
    <x v="0"/>
  </r>
  <r>
    <s v="SM_100361"/>
    <x v="0"/>
    <s v="image"/>
    <s v="Sports"/>
    <s v="ur"/>
    <s v="Brazil"/>
    <d v="2024-01-16T00:00:00"/>
    <s v="#music #funny"/>
    <n v="5343366"/>
    <n v="254446"/>
    <n v="29764"/>
    <n v="85709"/>
    <n v="6.9199999999999998E-2"/>
    <n v="-0.97699999999999998"/>
    <n v="1"/>
    <x v="0"/>
    <x v="1"/>
  </r>
  <r>
    <s v="SM_100362"/>
    <x v="3"/>
    <s v="text"/>
    <s v="Sports"/>
    <s v="hi"/>
    <s v="US"/>
    <d v="2024-07-15T00:00:00"/>
    <s v="#ai #funny #tech"/>
    <n v="5595150"/>
    <n v="254325"/>
    <n v="26594"/>
    <n v="30016"/>
    <n v="5.5599999999999997E-2"/>
    <n v="-0.04"/>
    <n v="1"/>
    <x v="0"/>
    <x v="1"/>
  </r>
  <r>
    <s v="SM_100363"/>
    <x v="3"/>
    <s v="image"/>
    <s v="Entertainment"/>
    <s v="ur"/>
    <s v="Pakistan"/>
    <d v="2024-04-23T00:00:00"/>
    <s v="#tech #fyp"/>
    <n v="2898270"/>
    <n v="193218"/>
    <n v="41130"/>
    <n v="26144"/>
    <n v="8.9899999999999994E-2"/>
    <n v="0.39"/>
    <n v="1"/>
    <x v="0"/>
    <x v="0"/>
  </r>
  <r>
    <s v="SM_100364"/>
    <x v="0"/>
    <s v="image"/>
    <s v="Entertainment"/>
    <s v="en"/>
    <s v="Brazil"/>
    <d v="2024-03-15T00:00:00"/>
    <s v="#ai #fyp #music #viral #trending"/>
    <n v="772656"/>
    <n v="64388"/>
    <n v="20586"/>
    <n v="52649"/>
    <n v="0.17810000000000001"/>
    <n v="0.44900000000000001"/>
    <n v="0"/>
    <x v="1"/>
    <x v="0"/>
  </r>
  <r>
    <s v="SM_100365"/>
    <x v="2"/>
    <s v="image"/>
    <s v="Sports"/>
    <s v="en"/>
    <s v="India"/>
    <d v="2024-01-19T00:00:00"/>
    <s v="#ai #funny"/>
    <n v="1457358"/>
    <n v="69398"/>
    <n v="46172"/>
    <n v="75305"/>
    <n v="0.13100000000000001"/>
    <n v="-0.79400000000000004"/>
    <n v="0"/>
    <x v="1"/>
    <x v="1"/>
  </r>
  <r>
    <s v="SM_100366"/>
    <x v="2"/>
    <s v="carousel"/>
    <s v="Sports"/>
    <s v="en"/>
    <s v="US"/>
    <d v="2024-11-17T00:00:00"/>
    <s v="#tech #ai"/>
    <n v="11585210"/>
    <n v="445585"/>
    <n v="38564"/>
    <n v="74320"/>
    <n v="4.82E-2"/>
    <n v="0.23599999999999999"/>
    <n v="1"/>
    <x v="0"/>
    <x v="0"/>
  </r>
  <r>
    <s v="SM_100367"/>
    <x v="0"/>
    <s v="carousel"/>
    <s v="Politics"/>
    <s v="hi"/>
    <s v="US"/>
    <d v="2024-02-25T00:00:00"/>
    <s v="#trending #funny #music"/>
    <n v="3732372"/>
    <n v="311031"/>
    <n v="35493"/>
    <n v="74442"/>
    <n v="0.1128"/>
    <n v="-0.98"/>
    <n v="1"/>
    <x v="0"/>
    <x v="1"/>
  </r>
  <r>
    <s v="SM_100368"/>
    <x v="1"/>
    <s v="carousel"/>
    <s v="Education"/>
    <s v="hi"/>
    <s v="Brazil"/>
    <d v="2024-01-03T00:00:00"/>
    <s v="#tech #funny #ai"/>
    <n v="973275"/>
    <n v="194655"/>
    <n v="49158"/>
    <n v="6369"/>
    <n v="0.2571"/>
    <n v="0.76500000000000001"/>
    <n v="0"/>
    <x v="1"/>
    <x v="0"/>
  </r>
  <r>
    <s v="SM_100369"/>
    <x v="0"/>
    <s v="text"/>
    <s v="Technology"/>
    <s v="en"/>
    <s v="US"/>
    <d v="2024-07-23T00:00:00"/>
    <s v="#fyp #trending #news #ai"/>
    <n v="12406810"/>
    <n v="477185"/>
    <n v="23121"/>
    <n v="56986"/>
    <n v="4.4900000000000002E-2"/>
    <n v="-0.35599999999999998"/>
    <n v="1"/>
    <x v="0"/>
    <x v="1"/>
  </r>
  <r>
    <s v="SM_100370"/>
    <x v="1"/>
    <s v="video"/>
    <s v="Technology"/>
    <s v="es"/>
    <s v="India"/>
    <d v="2024-07-15T00:00:00"/>
    <s v="#tech #trending #ai #viral"/>
    <n v="3820194"/>
    <n v="212233"/>
    <n v="23403"/>
    <n v="98394"/>
    <n v="8.7400000000000005E-2"/>
    <n v="0.38600000000000001"/>
    <n v="1"/>
    <x v="0"/>
    <x v="0"/>
  </r>
  <r>
    <s v="SM_100371"/>
    <x v="2"/>
    <s v="video"/>
    <s v="Technology"/>
    <s v="fr"/>
    <s v="India"/>
    <d v="2024-06-21T00:00:00"/>
    <s v="#tech #funny #fyp"/>
    <n v="3434886"/>
    <n v="127218"/>
    <n v="3046"/>
    <n v="65642"/>
    <n v="5.7000000000000002E-2"/>
    <n v="0.34100000000000003"/>
    <n v="1"/>
    <x v="0"/>
    <x v="0"/>
  </r>
  <r>
    <s v="SM_100372"/>
    <x v="0"/>
    <s v="carousel"/>
    <s v="Politics"/>
    <s v="ur"/>
    <s v="US"/>
    <d v="2024-12-01T00:00:00"/>
    <s v="#viral #ai #news #fyp #trending"/>
    <n v="358029"/>
    <n v="51147"/>
    <n v="6095"/>
    <n v="57661"/>
    <n v="0.32090000000000002"/>
    <n v="0.79200000000000004"/>
    <n v="0"/>
    <x v="1"/>
    <x v="0"/>
  </r>
  <r>
    <s v="SM_100373"/>
    <x v="0"/>
    <s v="text"/>
    <s v="Sports"/>
    <s v="fr"/>
    <s v="Pakistan"/>
    <d v="2024-09-08T00:00:00"/>
    <s v="#ai #trending #fyp"/>
    <n v="2796924"/>
    <n v="215148"/>
    <n v="39690"/>
    <n v="26016"/>
    <n v="0.1004"/>
    <n v="0.41799999999999998"/>
    <n v="1"/>
    <x v="0"/>
    <x v="0"/>
  </r>
  <r>
    <s v="SM_100374"/>
    <x v="0"/>
    <s v="video"/>
    <s v="Entertainment"/>
    <s v="ur"/>
    <s v="UK"/>
    <d v="2024-10-23T00:00:00"/>
    <s v="#tech #funny #news #viral #ai"/>
    <n v="8747016"/>
    <n v="364459"/>
    <n v="26294"/>
    <n v="3390"/>
    <n v="4.5100000000000001E-2"/>
    <n v="-0.32100000000000001"/>
    <n v="1"/>
    <x v="0"/>
    <x v="1"/>
  </r>
  <r>
    <s v="SM_100375"/>
    <x v="0"/>
    <s v="text"/>
    <s v="Education"/>
    <s v="fr"/>
    <s v="Brazil"/>
    <d v="2024-09-10T00:00:00"/>
    <s v="#viral #funny #fyp #tech"/>
    <n v="373890"/>
    <n v="24926"/>
    <n v="35203"/>
    <n v="26631"/>
    <n v="0.23200000000000001"/>
    <n v="0.79"/>
    <n v="0"/>
    <x v="1"/>
    <x v="0"/>
  </r>
  <r>
    <s v="SM_100376"/>
    <x v="3"/>
    <s v="text"/>
    <s v="Politics"/>
    <s v="en"/>
    <s v="US"/>
    <d v="2024-03-09T00:00:00"/>
    <s v="#funny #trending #music #ai"/>
    <n v="11953526"/>
    <n v="459751"/>
    <n v="11658"/>
    <n v="27962"/>
    <n v="4.1799999999999997E-2"/>
    <n v="-9.5000000000000001E-2"/>
    <n v="1"/>
    <x v="0"/>
    <x v="1"/>
  </r>
  <r>
    <s v="SM_100377"/>
    <x v="1"/>
    <s v="text"/>
    <s v="Education"/>
    <s v="ur"/>
    <s v="UK"/>
    <d v="2024-11-05T00:00:00"/>
    <s v="#funny #music #tech #trending"/>
    <n v="1780524"/>
    <n v="98918"/>
    <n v="21293"/>
    <n v="95082"/>
    <n v="0.12089999999999999"/>
    <n v="-0.83699999999999997"/>
    <n v="0"/>
    <x v="1"/>
    <x v="1"/>
  </r>
  <r>
    <s v="SM_100378"/>
    <x v="3"/>
    <s v="image"/>
    <s v="Technology"/>
    <s v="es"/>
    <s v="Pakistan"/>
    <d v="2024-04-07T00:00:00"/>
    <s v="#news #ai"/>
    <n v="3392912"/>
    <n v="212057"/>
    <n v="7184"/>
    <n v="10327"/>
    <n v="6.7699999999999996E-2"/>
    <n v="-0.68100000000000005"/>
    <n v="1"/>
    <x v="0"/>
    <x v="1"/>
  </r>
  <r>
    <s v="SM_100379"/>
    <x v="1"/>
    <s v="image"/>
    <s v="Lifestyle"/>
    <s v="hi"/>
    <s v="US"/>
    <d v="2024-08-10T00:00:00"/>
    <s v="#music #funny #ai #tech"/>
    <n v="7852016"/>
    <n v="341392"/>
    <n v="17655"/>
    <n v="26746"/>
    <n v="4.9099999999999998E-2"/>
    <n v="0.95199999999999996"/>
    <n v="1"/>
    <x v="0"/>
    <x v="0"/>
  </r>
  <r>
    <s v="SM_100380"/>
    <x v="2"/>
    <s v="image"/>
    <s v="Education"/>
    <s v="ur"/>
    <s v="Brazil"/>
    <d v="2024-01-03T00:00:00"/>
    <s v="#tech #trending"/>
    <n v="12039165"/>
    <n v="445895"/>
    <n v="4785"/>
    <n v="83848"/>
    <n v="4.4400000000000002E-2"/>
    <n v="-0.13300000000000001"/>
    <n v="1"/>
    <x v="0"/>
    <x v="1"/>
  </r>
  <r>
    <s v="SM_100381"/>
    <x v="1"/>
    <s v="image"/>
    <s v="Education"/>
    <s v="fr"/>
    <s v="UK"/>
    <d v="2024-08-05T00:00:00"/>
    <s v="#funny #trending #music"/>
    <n v="7803202"/>
    <n v="354691"/>
    <n v="49463"/>
    <n v="89900"/>
    <n v="6.3299999999999995E-2"/>
    <n v="-0.95799999999999996"/>
    <n v="1"/>
    <x v="0"/>
    <x v="1"/>
  </r>
  <r>
    <s v="SM_100382"/>
    <x v="2"/>
    <s v="video"/>
    <s v="Entertainment"/>
    <s v="es"/>
    <s v="UK"/>
    <d v="2024-02-02T00:00:00"/>
    <s v="#fyp #viral #ai #funny #news"/>
    <n v="7793128"/>
    <n v="278326"/>
    <n v="666"/>
    <n v="37413"/>
    <n v="4.0599999999999997E-2"/>
    <n v="0.95"/>
    <n v="1"/>
    <x v="0"/>
    <x v="0"/>
  </r>
  <r>
    <s v="SM_100383"/>
    <x v="1"/>
    <s v="carousel"/>
    <s v="Education"/>
    <s v="hi"/>
    <s v="UK"/>
    <d v="2024-08-08T00:00:00"/>
    <s v="#music #funny #news #ai #fyp"/>
    <n v="1718346"/>
    <n v="245478"/>
    <n v="14030"/>
    <n v="8947"/>
    <n v="0.15620000000000001"/>
    <n v="-0.55900000000000005"/>
    <n v="0"/>
    <x v="1"/>
    <x v="1"/>
  </r>
  <r>
    <s v="SM_100384"/>
    <x v="0"/>
    <s v="video"/>
    <s v="Lifestyle"/>
    <s v="fr"/>
    <s v="India"/>
    <d v="2024-07-06T00:00:00"/>
    <s v="#funny #fyp #news"/>
    <n v="3064083"/>
    <n v="278553"/>
    <n v="46291"/>
    <n v="98657"/>
    <n v="0.13819999999999999"/>
    <n v="-7.4999999999999997E-2"/>
    <n v="1"/>
    <x v="0"/>
    <x v="1"/>
  </r>
  <r>
    <s v="SM_100385"/>
    <x v="0"/>
    <s v="image"/>
    <s v="Entertainment"/>
    <s v="es"/>
    <s v="India"/>
    <d v="2024-02-11T00:00:00"/>
    <s v="#tech #funny #ai"/>
    <n v="13043996"/>
    <n v="465857"/>
    <n v="46809"/>
    <n v="59322"/>
    <n v="4.3900000000000002E-2"/>
    <n v="-0.14899999999999999"/>
    <n v="1"/>
    <x v="0"/>
    <x v="1"/>
  </r>
  <r>
    <s v="SM_100386"/>
    <x v="2"/>
    <s v="carousel"/>
    <s v="Politics"/>
    <s v="fr"/>
    <s v="India"/>
    <d v="2024-12-24T00:00:00"/>
    <s v="#viral #news #fyp #funny"/>
    <n v="13206340"/>
    <n v="471655"/>
    <n v="25968"/>
    <n v="39444"/>
    <n v="4.07E-2"/>
    <n v="8.6999999999999994E-2"/>
    <n v="1"/>
    <x v="0"/>
    <x v="0"/>
  </r>
  <r>
    <s v="SM_100387"/>
    <x v="0"/>
    <s v="carousel"/>
    <s v="Education"/>
    <s v="en"/>
    <s v="US"/>
    <d v="2024-10-05T00:00:00"/>
    <s v="#news #ai #music #viral #fyp"/>
    <n v="2744496"/>
    <n v="343062"/>
    <n v="4708"/>
    <n v="65129"/>
    <n v="0.15040000000000001"/>
    <n v="-0.94099999999999995"/>
    <n v="1"/>
    <x v="0"/>
    <x v="1"/>
  </r>
  <r>
    <s v="SM_100388"/>
    <x v="1"/>
    <s v="carousel"/>
    <s v="Entertainment"/>
    <s v="ur"/>
    <s v="India"/>
    <d v="2024-04-15T00:00:00"/>
    <s v="#trending #tech #funny #news"/>
    <n v="190110"/>
    <n v="31685"/>
    <n v="22020"/>
    <n v="77540"/>
    <n v="0.69040000000000001"/>
    <n v="0.19500000000000001"/>
    <n v="0"/>
    <x v="1"/>
    <x v="0"/>
  </r>
  <r>
    <s v="SM_100389"/>
    <x v="2"/>
    <s v="text"/>
    <s v="Education"/>
    <s v="en"/>
    <s v="Brazil"/>
    <d v="2024-07-28T00:00:00"/>
    <s v="#news #music"/>
    <n v="10810529"/>
    <n v="470023"/>
    <n v="45355"/>
    <n v="12202"/>
    <n v="4.8800000000000003E-2"/>
    <n v="0.185"/>
    <n v="1"/>
    <x v="0"/>
    <x v="0"/>
  </r>
  <r>
    <s v="SM_100390"/>
    <x v="1"/>
    <s v="carousel"/>
    <s v="Sports"/>
    <s v="ur"/>
    <s v="UK"/>
    <d v="2024-08-21T00:00:00"/>
    <s v="#news #tech"/>
    <n v="931238"/>
    <n v="42329"/>
    <n v="21121"/>
    <n v="48365"/>
    <n v="0.1201"/>
    <n v="0.26300000000000001"/>
    <n v="0"/>
    <x v="1"/>
    <x v="0"/>
  </r>
  <r>
    <s v="SM_100391"/>
    <x v="1"/>
    <s v="image"/>
    <s v="Education"/>
    <s v="fr"/>
    <s v="UK"/>
    <d v="2024-11-09T00:00:00"/>
    <s v="#tech #trending #news #music #fyp"/>
    <n v="2776976"/>
    <n v="347122"/>
    <n v="27495"/>
    <n v="19976"/>
    <n v="0.1421"/>
    <n v="0.81799999999999995"/>
    <n v="1"/>
    <x v="0"/>
    <x v="0"/>
  </r>
  <r>
    <s v="SM_100392"/>
    <x v="1"/>
    <s v="text"/>
    <s v="Entertainment"/>
    <s v="fr"/>
    <s v="Brazil"/>
    <d v="2024-03-18T00:00:00"/>
    <s v="#funny #news #ai #music"/>
    <n v="7287786"/>
    <n v="404877"/>
    <n v="41904"/>
    <n v="66062"/>
    <n v="7.0400000000000004E-2"/>
    <n v="2.5000000000000001E-2"/>
    <n v="1"/>
    <x v="0"/>
    <x v="0"/>
  </r>
  <r>
    <s v="SM_100393"/>
    <x v="2"/>
    <s v="text"/>
    <s v="Entertainment"/>
    <s v="ur"/>
    <s v="India"/>
    <d v="2024-10-15T00:00:00"/>
    <s v="#viral #ai #fyp #tech #trending"/>
    <n v="7518160"/>
    <n v="289160"/>
    <n v="44970"/>
    <n v="4649"/>
    <n v="4.5100000000000001E-2"/>
    <n v="0.74099999999999999"/>
    <n v="1"/>
    <x v="0"/>
    <x v="0"/>
  </r>
  <r>
    <s v="SM_100394"/>
    <x v="2"/>
    <s v="carousel"/>
    <s v="Education"/>
    <s v="es"/>
    <s v="Brazil"/>
    <d v="2024-07-19T00:00:00"/>
    <s v="#music #tech #viral #ai"/>
    <n v="5425926"/>
    <n v="493266"/>
    <n v="32786"/>
    <n v="70136"/>
    <n v="0.1099"/>
    <n v="-0.28199999999999997"/>
    <n v="1"/>
    <x v="0"/>
    <x v="1"/>
  </r>
  <r>
    <s v="SM_100395"/>
    <x v="1"/>
    <s v="text"/>
    <s v="Politics"/>
    <s v="es"/>
    <s v="US"/>
    <d v="2024-12-30T00:00:00"/>
    <s v="#trending #viral #news #funny #fyp"/>
    <n v="4993737"/>
    <n v="237797"/>
    <n v="3819"/>
    <n v="45894"/>
    <n v="5.7599999999999998E-2"/>
    <n v="-0.218"/>
    <n v="1"/>
    <x v="0"/>
    <x v="1"/>
  </r>
  <r>
    <s v="SM_100396"/>
    <x v="2"/>
    <s v="carousel"/>
    <s v="Lifestyle"/>
    <s v="fr"/>
    <s v="UK"/>
    <d v="2024-02-01T00:00:00"/>
    <s v="#viral #news"/>
    <n v="2009916"/>
    <n v="223324"/>
    <n v="2118"/>
    <n v="64675"/>
    <n v="0.14430000000000001"/>
    <n v="-0.98199999999999998"/>
    <n v="1"/>
    <x v="0"/>
    <x v="1"/>
  </r>
  <r>
    <s v="SM_100397"/>
    <x v="1"/>
    <s v="video"/>
    <s v="Sports"/>
    <s v="ur"/>
    <s v="US"/>
    <d v="2024-02-06T00:00:00"/>
    <s v="#ai #trending #music #tech #funny"/>
    <n v="4058096"/>
    <n v="144932"/>
    <n v="21932"/>
    <n v="86476"/>
    <n v="6.2399999999999997E-2"/>
    <n v="-0.20699999999999999"/>
    <n v="1"/>
    <x v="0"/>
    <x v="1"/>
  </r>
  <r>
    <s v="SM_100398"/>
    <x v="0"/>
    <s v="image"/>
    <s v="Politics"/>
    <s v="ur"/>
    <s v="Brazil"/>
    <d v="2024-04-13T00:00:00"/>
    <s v="#tech #trending #ai #news"/>
    <n v="2687958"/>
    <n v="383994"/>
    <n v="36147"/>
    <n v="52234"/>
    <n v="0.1757"/>
    <n v="-0.11600000000000001"/>
    <n v="1"/>
    <x v="0"/>
    <x v="1"/>
  </r>
  <r>
    <s v="SM_100399"/>
    <x v="0"/>
    <s v="carousel"/>
    <s v="Politics"/>
    <s v="hi"/>
    <s v="US"/>
    <d v="2024-01-05T00:00:00"/>
    <s v="#tech #trending #viral #news"/>
    <n v="4401943"/>
    <n v="338611"/>
    <n v="5729"/>
    <n v="76620"/>
    <n v="9.5600000000000004E-2"/>
    <n v="-0.13800000000000001"/>
    <n v="1"/>
    <x v="0"/>
    <x v="1"/>
  </r>
  <r>
    <s v="SM_100400"/>
    <x v="1"/>
    <s v="text"/>
    <s v="Sports"/>
    <s v="hi"/>
    <s v="Pakistan"/>
    <d v="2024-11-25T00:00:00"/>
    <s v="#trending #viral #ai #news"/>
    <n v="3921776"/>
    <n v="245111"/>
    <n v="38668"/>
    <n v="79531"/>
    <n v="9.2600000000000002E-2"/>
    <n v="0.41399999999999998"/>
    <n v="1"/>
    <x v="0"/>
    <x v="0"/>
  </r>
  <r>
    <s v="SM_100401"/>
    <x v="0"/>
    <s v="carousel"/>
    <s v="Technology"/>
    <s v="es"/>
    <s v="India"/>
    <d v="2024-02-21T00:00:00"/>
    <s v="#viral #music #funny #trending #news"/>
    <n v="3205005"/>
    <n v="213667"/>
    <n v="6104"/>
    <n v="85113"/>
    <n v="9.5100000000000004E-2"/>
    <n v="0.47299999999999998"/>
    <n v="1"/>
    <x v="0"/>
    <x v="0"/>
  </r>
  <r>
    <s v="SM_100402"/>
    <x v="1"/>
    <s v="carousel"/>
    <s v="Entertainment"/>
    <s v="hi"/>
    <s v="Pakistan"/>
    <d v="2024-11-05T00:00:00"/>
    <s v="#tech #ai #fyp #funny #viral"/>
    <n v="9764328"/>
    <n v="464968"/>
    <n v="15568"/>
    <n v="92325"/>
    <n v="5.8700000000000002E-2"/>
    <n v="0.68799999999999994"/>
    <n v="1"/>
    <x v="0"/>
    <x v="0"/>
  </r>
  <r>
    <s v="SM_100403"/>
    <x v="0"/>
    <s v="video"/>
    <s v="Politics"/>
    <s v="fr"/>
    <s v="Brazil"/>
    <d v="2024-07-06T00:00:00"/>
    <s v="#viral #news #fyp #tech #music"/>
    <n v="498845"/>
    <n v="26255"/>
    <n v="14140"/>
    <n v="83311"/>
    <n v="0.248"/>
    <n v="0.11600000000000001"/>
    <n v="0"/>
    <x v="1"/>
    <x v="0"/>
  </r>
  <r>
    <s v="SM_100404"/>
    <x v="1"/>
    <s v="carousel"/>
    <s v="Technology"/>
    <s v="ur"/>
    <s v="India"/>
    <d v="2024-04-20T00:00:00"/>
    <s v="#viral #funny #news #trending"/>
    <n v="8577180"/>
    <n v="476510"/>
    <n v="34712"/>
    <n v="20338"/>
    <n v="6.2E-2"/>
    <n v="-0.88600000000000001"/>
    <n v="1"/>
    <x v="0"/>
    <x v="1"/>
  </r>
  <r>
    <s v="SM_100405"/>
    <x v="3"/>
    <s v="carousel"/>
    <s v="Entertainment"/>
    <s v="fr"/>
    <s v="US"/>
    <d v="2024-12-02T00:00:00"/>
    <s v="#tech #fyp #funny"/>
    <n v="893930"/>
    <n v="178786"/>
    <n v="25897"/>
    <n v="91156"/>
    <n v="0.33090000000000003"/>
    <n v="-0.75600000000000001"/>
    <n v="0"/>
    <x v="1"/>
    <x v="1"/>
  </r>
  <r>
    <s v="SM_100406"/>
    <x v="0"/>
    <s v="image"/>
    <s v="Entertainment"/>
    <s v="es"/>
    <s v="India"/>
    <d v="2024-02-10T00:00:00"/>
    <s v="#ai #news #trending #tech"/>
    <n v="1956465"/>
    <n v="217385"/>
    <n v="10729"/>
    <n v="28405"/>
    <n v="0.13109999999999999"/>
    <n v="-0.79300000000000004"/>
    <n v="0"/>
    <x v="1"/>
    <x v="1"/>
  </r>
  <r>
    <s v="SM_100407"/>
    <x v="2"/>
    <s v="image"/>
    <s v="Education"/>
    <s v="fr"/>
    <s v="Pakistan"/>
    <d v="2024-05-06T00:00:00"/>
    <s v="#tech #ai #news #trending #viral"/>
    <n v="4569908"/>
    <n v="326422"/>
    <n v="34002"/>
    <n v="25612"/>
    <n v="8.4500000000000006E-2"/>
    <n v="-0.20499999999999999"/>
    <n v="1"/>
    <x v="0"/>
    <x v="1"/>
  </r>
  <r>
    <s v="SM_100408"/>
    <x v="0"/>
    <s v="text"/>
    <s v="Politics"/>
    <s v="fr"/>
    <s v="Brazil"/>
    <d v="2024-08-09T00:00:00"/>
    <s v="#music #trending"/>
    <n v="997374"/>
    <n v="166229"/>
    <n v="1244"/>
    <n v="65662"/>
    <n v="0.23369999999999999"/>
    <n v="-0.35399999999999998"/>
    <n v="0"/>
    <x v="1"/>
    <x v="1"/>
  </r>
  <r>
    <s v="SM_100409"/>
    <x v="1"/>
    <s v="video"/>
    <s v="Education"/>
    <s v="hi"/>
    <s v="India"/>
    <d v="2024-11-19T00:00:00"/>
    <s v="#funny #ai"/>
    <n v="6145664"/>
    <n v="323456"/>
    <n v="15403"/>
    <n v="56504"/>
    <n v="6.4299999999999996E-2"/>
    <n v="4.2999999999999997E-2"/>
    <n v="1"/>
    <x v="0"/>
    <x v="0"/>
  </r>
  <r>
    <s v="SM_100410"/>
    <x v="0"/>
    <s v="carousel"/>
    <s v="Lifestyle"/>
    <s v="en"/>
    <s v="India"/>
    <d v="2024-10-25T00:00:00"/>
    <s v="#music #funny"/>
    <n v="221040"/>
    <n v="9210"/>
    <n v="40368"/>
    <n v="79142"/>
    <n v="0.58230000000000004"/>
    <n v="-0.749"/>
    <n v="0"/>
    <x v="1"/>
    <x v="1"/>
  </r>
  <r>
    <s v="SM_100411"/>
    <x v="1"/>
    <s v="image"/>
    <s v="Sports"/>
    <s v="en"/>
    <s v="Brazil"/>
    <d v="2024-03-14T00:00:00"/>
    <s v="#ai #funny"/>
    <n v="2083220"/>
    <n v="104161"/>
    <n v="32561"/>
    <n v="78132"/>
    <n v="0.1031"/>
    <n v="0.88"/>
    <n v="1"/>
    <x v="0"/>
    <x v="0"/>
  </r>
  <r>
    <s v="SM_100412"/>
    <x v="1"/>
    <s v="text"/>
    <s v="Lifestyle"/>
    <s v="es"/>
    <s v="UK"/>
    <d v="2024-05-28T00:00:00"/>
    <s v="#fyp #ai #trending #tech"/>
    <n v="11903175"/>
    <n v="476127"/>
    <n v="4475"/>
    <n v="10226"/>
    <n v="4.1200000000000001E-2"/>
    <n v="-0.81200000000000006"/>
    <n v="1"/>
    <x v="0"/>
    <x v="1"/>
  </r>
  <r>
    <s v="SM_100413"/>
    <x v="0"/>
    <s v="image"/>
    <s v="Technology"/>
    <s v="hi"/>
    <s v="US"/>
    <d v="2024-06-03T00:00:00"/>
    <s v="#fyp #tech"/>
    <n v="1389312"/>
    <n v="154368"/>
    <n v="40292"/>
    <n v="13670"/>
    <n v="0.15"/>
    <n v="0.92700000000000005"/>
    <n v="0"/>
    <x v="1"/>
    <x v="0"/>
  </r>
  <r>
    <s v="SM_100414"/>
    <x v="2"/>
    <s v="image"/>
    <s v="Sports"/>
    <s v="fr"/>
    <s v="India"/>
    <d v="2024-10-04T00:00:00"/>
    <s v="#ai #fyp #trending #viral #news"/>
    <n v="6670566"/>
    <n v="247058"/>
    <n v="48325"/>
    <n v="47415"/>
    <n v="5.1400000000000001E-2"/>
    <n v="0.88900000000000001"/>
    <n v="1"/>
    <x v="0"/>
    <x v="0"/>
  </r>
  <r>
    <s v="SM_100415"/>
    <x v="0"/>
    <s v="video"/>
    <s v="Education"/>
    <s v="en"/>
    <s v="Pakistan"/>
    <d v="2024-01-04T00:00:00"/>
    <s v="#viral #ai #trending #news #funny"/>
    <n v="1057308"/>
    <n v="88109"/>
    <n v="28630"/>
    <n v="81041"/>
    <n v="0.18709999999999999"/>
    <n v="0.72899999999999998"/>
    <n v="0"/>
    <x v="1"/>
    <x v="0"/>
  </r>
  <r>
    <s v="SM_100416"/>
    <x v="0"/>
    <s v="text"/>
    <s v="Technology"/>
    <s v="es"/>
    <s v="US"/>
    <d v="2024-10-09T00:00:00"/>
    <s v="#fyp #music #news"/>
    <n v="4472304"/>
    <n v="372692"/>
    <n v="29264"/>
    <n v="50139"/>
    <n v="0.1011"/>
    <n v="0.59099999999999997"/>
    <n v="1"/>
    <x v="0"/>
    <x v="0"/>
  </r>
  <r>
    <s v="SM_100417"/>
    <x v="0"/>
    <s v="carousel"/>
    <s v="Sports"/>
    <s v="en"/>
    <s v="Pakistan"/>
    <d v="2024-07-04T00:00:00"/>
    <s v="#tech #news"/>
    <n v="8479500"/>
    <n v="423975"/>
    <n v="35845"/>
    <n v="31891"/>
    <n v="5.8000000000000003E-2"/>
    <n v="0.65400000000000003"/>
    <n v="1"/>
    <x v="0"/>
    <x v="0"/>
  </r>
  <r>
    <s v="SM_100418"/>
    <x v="2"/>
    <s v="image"/>
    <s v="Entertainment"/>
    <s v="en"/>
    <s v="India"/>
    <d v="2024-03-05T00:00:00"/>
    <s v="#funny #fyp #trending #ai #tech"/>
    <n v="2613618"/>
    <n v="435603"/>
    <n v="13385"/>
    <n v="26985"/>
    <n v="0.18210000000000001"/>
    <n v="0.999"/>
    <n v="1"/>
    <x v="0"/>
    <x v="0"/>
  </r>
  <r>
    <s v="SM_100419"/>
    <x v="2"/>
    <s v="carousel"/>
    <s v="Politics"/>
    <s v="en"/>
    <s v="Pakistan"/>
    <d v="2024-11-28T00:00:00"/>
    <s v="#tech #viral #trending"/>
    <n v="2498765"/>
    <n v="499753"/>
    <n v="49731"/>
    <n v="5705"/>
    <n v="0.22220000000000001"/>
    <n v="-0.186"/>
    <n v="1"/>
    <x v="0"/>
    <x v="1"/>
  </r>
  <r>
    <s v="SM_100420"/>
    <x v="3"/>
    <s v="image"/>
    <s v="Entertainment"/>
    <s v="ur"/>
    <s v="India"/>
    <d v="2024-05-25T00:00:00"/>
    <s v="#fyp #music #tech #funny"/>
    <n v="2784475"/>
    <n v="111379"/>
    <n v="6929"/>
    <n v="27209"/>
    <n v="5.2299999999999999E-2"/>
    <n v="0.13400000000000001"/>
    <n v="1"/>
    <x v="0"/>
    <x v="0"/>
  </r>
  <r>
    <s v="SM_100421"/>
    <x v="1"/>
    <s v="text"/>
    <s v="Entertainment"/>
    <s v="fr"/>
    <s v="UK"/>
    <d v="2024-05-31T00:00:00"/>
    <s v="#fyp #ai #tech #music #viral"/>
    <n v="1183176"/>
    <n v="197196"/>
    <n v="39887"/>
    <n v="25924"/>
    <n v="0.2223"/>
    <n v="-0.192"/>
    <n v="0"/>
    <x v="1"/>
    <x v="1"/>
  </r>
  <r>
    <s v="SM_100422"/>
    <x v="3"/>
    <s v="carousel"/>
    <s v="Lifestyle"/>
    <s v="en"/>
    <s v="India"/>
    <d v="2024-08-10T00:00:00"/>
    <s v="#news #funny #trending #fyp #music"/>
    <n v="673095"/>
    <n v="29265"/>
    <n v="1672"/>
    <n v="91750"/>
    <n v="0.18229999999999999"/>
    <n v="0.61599999999999999"/>
    <n v="0"/>
    <x v="1"/>
    <x v="0"/>
  </r>
  <r>
    <s v="SM_100423"/>
    <x v="3"/>
    <s v="image"/>
    <s v="Lifestyle"/>
    <s v="en"/>
    <s v="Pakistan"/>
    <d v="2024-06-19T00:00:00"/>
    <s v="#music #ai"/>
    <n v="9059607"/>
    <n v="335541"/>
    <n v="31121"/>
    <n v="99305"/>
    <n v="5.1400000000000001E-2"/>
    <n v="-0.129"/>
    <n v="1"/>
    <x v="0"/>
    <x v="1"/>
  </r>
  <r>
    <s v="SM_100424"/>
    <x v="0"/>
    <s v="text"/>
    <s v="Sports"/>
    <s v="es"/>
    <s v="US"/>
    <d v="2024-04-23T00:00:00"/>
    <s v="#viral #music #tech #funny #ai"/>
    <n v="9515948"/>
    <n v="365998"/>
    <n v="3717"/>
    <n v="1368"/>
    <n v="3.9E-2"/>
    <n v="0.29799999999999999"/>
    <n v="1"/>
    <x v="0"/>
    <x v="0"/>
  </r>
  <r>
    <s v="SM_100425"/>
    <x v="1"/>
    <s v="text"/>
    <s v="Lifestyle"/>
    <s v="en"/>
    <s v="US"/>
    <d v="2024-01-19T00:00:00"/>
    <s v="#news #tech #trending #fyp"/>
    <n v="832384"/>
    <n v="52024"/>
    <n v="3731"/>
    <n v="89153"/>
    <n v="0.1741"/>
    <n v="0.22"/>
    <n v="0"/>
    <x v="1"/>
    <x v="0"/>
  </r>
  <r>
    <s v="SM_100426"/>
    <x v="2"/>
    <s v="text"/>
    <s v="Lifestyle"/>
    <s v="fr"/>
    <s v="Brazil"/>
    <d v="2024-12-30T00:00:00"/>
    <s v="#music #fyp #trending"/>
    <n v="10519402"/>
    <n v="362738"/>
    <n v="9113"/>
    <n v="77715"/>
    <n v="4.2700000000000002E-2"/>
    <n v="0.193"/>
    <n v="1"/>
    <x v="0"/>
    <x v="0"/>
  </r>
  <r>
    <s v="SM_100427"/>
    <x v="2"/>
    <s v="video"/>
    <s v="Education"/>
    <s v="fr"/>
    <s v="India"/>
    <d v="2024-05-27T00:00:00"/>
    <s v="#trending #funny #viral #news #ai"/>
    <n v="2241584"/>
    <n v="140099"/>
    <n v="28149"/>
    <n v="96547"/>
    <n v="0.1181"/>
    <n v="-0.97099999999999997"/>
    <n v="1"/>
    <x v="0"/>
    <x v="1"/>
  </r>
  <r>
    <s v="SM_100428"/>
    <x v="3"/>
    <s v="carousel"/>
    <s v="Entertainment"/>
    <s v="es"/>
    <s v="Brazil"/>
    <d v="2024-11-20T00:00:00"/>
    <s v="#viral #tech #news #music"/>
    <n v="1978812"/>
    <n v="109934"/>
    <n v="39783"/>
    <n v="76744"/>
    <n v="0.1144"/>
    <n v="0.28499999999999998"/>
    <n v="0"/>
    <x v="1"/>
    <x v="0"/>
  </r>
  <r>
    <s v="SM_100429"/>
    <x v="1"/>
    <s v="text"/>
    <s v="Technology"/>
    <s v="es"/>
    <s v="UK"/>
    <d v="2024-02-26T00:00:00"/>
    <s v="#tech #music #ai #trending"/>
    <n v="2014467"/>
    <n v="287781"/>
    <n v="35762"/>
    <n v="77577"/>
    <n v="0.1991"/>
    <n v="8.5000000000000006E-2"/>
    <n v="1"/>
    <x v="0"/>
    <x v="0"/>
  </r>
  <r>
    <s v="SM_100430"/>
    <x v="3"/>
    <s v="video"/>
    <s v="Education"/>
    <s v="ur"/>
    <s v="Pakistan"/>
    <d v="2024-07-06T00:00:00"/>
    <s v="#viral #fyp #music"/>
    <n v="6717875"/>
    <n v="268715"/>
    <n v="35636"/>
    <n v="92060"/>
    <n v="5.8999999999999997E-2"/>
    <n v="0.628"/>
    <n v="1"/>
    <x v="0"/>
    <x v="0"/>
  </r>
  <r>
    <s v="SM_100431"/>
    <x v="1"/>
    <s v="text"/>
    <s v="Lifestyle"/>
    <s v="ur"/>
    <s v="Pakistan"/>
    <d v="2024-11-30T00:00:00"/>
    <s v="#viral #funny #news #ai #music"/>
    <n v="815592"/>
    <n v="135932"/>
    <n v="32784"/>
    <n v="21637"/>
    <n v="0.2334"/>
    <n v="5.2999999999999999E-2"/>
    <n v="0"/>
    <x v="1"/>
    <x v="0"/>
  </r>
  <r>
    <s v="SM_100432"/>
    <x v="0"/>
    <s v="text"/>
    <s v="Lifestyle"/>
    <s v="hi"/>
    <s v="US"/>
    <d v="2024-08-28T00:00:00"/>
    <s v="#tech #viral #news"/>
    <n v="7997366"/>
    <n v="420914"/>
    <n v="11568"/>
    <n v="46820"/>
    <n v="5.9900000000000002E-2"/>
    <n v="-0.21099999999999999"/>
    <n v="1"/>
    <x v="0"/>
    <x v="1"/>
  </r>
  <r>
    <s v="SM_100433"/>
    <x v="1"/>
    <s v="image"/>
    <s v="Politics"/>
    <s v="en"/>
    <s v="Brazil"/>
    <d v="2024-01-24T00:00:00"/>
    <s v="#fyp #music #viral #trending #tech"/>
    <n v="6724512"/>
    <n v="420282"/>
    <n v="16178"/>
    <n v="59890"/>
    <n v="7.3800000000000004E-2"/>
    <n v="0.91100000000000003"/>
    <n v="1"/>
    <x v="0"/>
    <x v="0"/>
  </r>
  <r>
    <s v="SM_100434"/>
    <x v="0"/>
    <s v="image"/>
    <s v="Sports"/>
    <s v="fr"/>
    <s v="US"/>
    <d v="2024-07-22T00:00:00"/>
    <s v="#music #news #trending"/>
    <n v="2842800"/>
    <n v="189520"/>
    <n v="24601"/>
    <n v="33175"/>
    <n v="8.6999999999999994E-2"/>
    <n v="-0.98499999999999999"/>
    <n v="1"/>
    <x v="0"/>
    <x v="1"/>
  </r>
  <r>
    <s v="SM_100435"/>
    <x v="1"/>
    <s v="carousel"/>
    <s v="Education"/>
    <s v="ur"/>
    <s v="Pakistan"/>
    <d v="2024-03-20T00:00:00"/>
    <s v="#ai #funny #viral"/>
    <n v="1126358"/>
    <n v="59282"/>
    <n v="27769"/>
    <n v="87164"/>
    <n v="0.1547"/>
    <n v="-0.51300000000000001"/>
    <n v="0"/>
    <x v="1"/>
    <x v="1"/>
  </r>
  <r>
    <s v="SM_100436"/>
    <x v="1"/>
    <s v="text"/>
    <s v="Lifestyle"/>
    <s v="es"/>
    <s v="US"/>
    <d v="2024-05-18T00:00:00"/>
    <s v="#viral #ai #news #trending #fyp"/>
    <n v="3501950"/>
    <n v="140078"/>
    <n v="36919"/>
    <n v="45380"/>
    <n v="6.3500000000000001E-2"/>
    <n v="-4.2000000000000003E-2"/>
    <n v="1"/>
    <x v="0"/>
    <x v="1"/>
  </r>
  <r>
    <s v="SM_100437"/>
    <x v="3"/>
    <s v="carousel"/>
    <s v="Politics"/>
    <s v="en"/>
    <s v="US"/>
    <d v="2024-02-20T00:00:00"/>
    <s v="#tech #viral #ai #funny"/>
    <n v="3447728"/>
    <n v="430966"/>
    <n v="46886"/>
    <n v="46414"/>
    <n v="0.15210000000000001"/>
    <n v="-0.48599999999999999"/>
    <n v="1"/>
    <x v="0"/>
    <x v="1"/>
  </r>
  <r>
    <s v="SM_100438"/>
    <x v="0"/>
    <s v="video"/>
    <s v="Lifestyle"/>
    <s v="hi"/>
    <s v="UK"/>
    <d v="2024-08-27T00:00:00"/>
    <s v="#fyp #news"/>
    <n v="6763829"/>
    <n v="355991"/>
    <n v="27122"/>
    <n v="36379"/>
    <n v="6.2E-2"/>
    <n v="6.5000000000000002E-2"/>
    <n v="1"/>
    <x v="0"/>
    <x v="0"/>
  </r>
  <r>
    <s v="SM_100439"/>
    <x v="1"/>
    <s v="carousel"/>
    <s v="Education"/>
    <s v="fr"/>
    <s v="India"/>
    <d v="2024-09-11T00:00:00"/>
    <s v="#funny #trending #music #fyp #viral"/>
    <n v="2686178"/>
    <n v="122099"/>
    <n v="49262"/>
    <n v="54692"/>
    <n v="8.4199999999999997E-2"/>
    <n v="-0.2"/>
    <n v="1"/>
    <x v="0"/>
    <x v="1"/>
  </r>
  <r>
    <s v="SM_100440"/>
    <x v="3"/>
    <s v="image"/>
    <s v="Lifestyle"/>
    <s v="fr"/>
    <s v="Pakistan"/>
    <d v="2024-04-18T00:00:00"/>
    <s v="#fyp #trending"/>
    <n v="2621520"/>
    <n v="174768"/>
    <n v="23176"/>
    <n v="86366"/>
    <n v="0.1085"/>
    <n v="-0.754"/>
    <n v="1"/>
    <x v="0"/>
    <x v="1"/>
  </r>
  <r>
    <s v="SM_100441"/>
    <x v="1"/>
    <s v="image"/>
    <s v="Sports"/>
    <s v="es"/>
    <s v="Pakistan"/>
    <d v="2024-03-07T00:00:00"/>
    <s v="#fyp #music #ai #news"/>
    <n v="2980287"/>
    <n v="175311"/>
    <n v="48718"/>
    <n v="29735"/>
    <n v="8.5099999999999995E-2"/>
    <n v="-0.63100000000000001"/>
    <n v="1"/>
    <x v="0"/>
    <x v="1"/>
  </r>
  <r>
    <s v="SM_100442"/>
    <x v="2"/>
    <s v="carousel"/>
    <s v="Sports"/>
    <s v="fr"/>
    <s v="Pakistan"/>
    <d v="2024-12-29T00:00:00"/>
    <s v="#ai #funny #tech #viral"/>
    <n v="6752732"/>
    <n v="482338"/>
    <n v="18748"/>
    <n v="48369"/>
    <n v="8.14E-2"/>
    <n v="-0.63"/>
    <n v="1"/>
    <x v="0"/>
    <x v="1"/>
  </r>
  <r>
    <s v="SM_100443"/>
    <x v="3"/>
    <s v="image"/>
    <s v="Sports"/>
    <s v="ur"/>
    <s v="Brazil"/>
    <d v="2024-04-07T00:00:00"/>
    <s v="#ai #fyp #tech"/>
    <n v="1318185"/>
    <n v="119835"/>
    <n v="24616"/>
    <n v="12150"/>
    <n v="0.1188"/>
    <n v="0.63100000000000001"/>
    <n v="0"/>
    <x v="1"/>
    <x v="0"/>
  </r>
  <r>
    <s v="SM_100444"/>
    <x v="0"/>
    <s v="image"/>
    <s v="Education"/>
    <s v="en"/>
    <s v="US"/>
    <d v="2024-01-11T00:00:00"/>
    <s v="#music #funny"/>
    <n v="5809874"/>
    <n v="414991"/>
    <n v="5500"/>
    <n v="42669"/>
    <n v="7.9699999999999993E-2"/>
    <n v="-0.77500000000000002"/>
    <n v="1"/>
    <x v="0"/>
    <x v="1"/>
  </r>
  <r>
    <s v="SM_100445"/>
    <x v="2"/>
    <s v="carousel"/>
    <s v="Lifestyle"/>
    <s v="en"/>
    <s v="Brazil"/>
    <d v="2024-09-07T00:00:00"/>
    <s v="#ai #funny #news"/>
    <n v="2295904"/>
    <n v="88304"/>
    <n v="15227"/>
    <n v="65430"/>
    <n v="7.3599999999999999E-2"/>
    <n v="0.03"/>
    <n v="1"/>
    <x v="0"/>
    <x v="0"/>
  </r>
  <r>
    <s v="SM_100446"/>
    <x v="2"/>
    <s v="image"/>
    <s v="Entertainment"/>
    <s v="fr"/>
    <s v="Pakistan"/>
    <d v="2024-08-15T00:00:00"/>
    <s v="#news #fyp #music #viral"/>
    <n v="1827891"/>
    <n v="140607"/>
    <n v="28557"/>
    <n v="52250"/>
    <n v="0.1211"/>
    <n v="0.29299999999999998"/>
    <n v="0"/>
    <x v="1"/>
    <x v="0"/>
  </r>
  <r>
    <s v="SM_100447"/>
    <x v="1"/>
    <s v="text"/>
    <s v="Entertainment"/>
    <s v="fr"/>
    <s v="India"/>
    <d v="2024-11-03T00:00:00"/>
    <s v="#funny #tech #fyp #music"/>
    <n v="5462842"/>
    <n v="390203"/>
    <n v="10622"/>
    <n v="75389"/>
    <n v="8.72E-2"/>
    <n v="0.8"/>
    <n v="1"/>
    <x v="0"/>
    <x v="0"/>
  </r>
  <r>
    <s v="SM_100448"/>
    <x v="1"/>
    <s v="carousel"/>
    <s v="Education"/>
    <s v="en"/>
    <s v="US"/>
    <d v="2024-02-12T00:00:00"/>
    <s v="#music #news"/>
    <n v="956824"/>
    <n v="119603"/>
    <n v="35998"/>
    <n v="34085"/>
    <n v="0.19819999999999999"/>
    <n v="-0.45"/>
    <n v="0"/>
    <x v="1"/>
    <x v="1"/>
  </r>
  <r>
    <s v="SM_100449"/>
    <x v="3"/>
    <s v="video"/>
    <s v="Education"/>
    <s v="es"/>
    <s v="India"/>
    <d v="2024-04-25T00:00:00"/>
    <s v="#viral #music #funny #trending"/>
    <n v="4940562"/>
    <n v="449142"/>
    <n v="36456"/>
    <n v="7228"/>
    <n v="9.98E-2"/>
    <n v="0.33500000000000002"/>
    <n v="1"/>
    <x v="0"/>
    <x v="0"/>
  </r>
  <r>
    <s v="SM_100450"/>
    <x v="3"/>
    <s v="video"/>
    <s v="Lifestyle"/>
    <s v="hi"/>
    <s v="US"/>
    <d v="2024-06-07T00:00:00"/>
    <s v="#fyp #trending #viral"/>
    <n v="4590950"/>
    <n v="327925"/>
    <n v="37783"/>
    <n v="81572"/>
    <n v="9.74E-2"/>
    <n v="-9.6000000000000002E-2"/>
    <n v="1"/>
    <x v="0"/>
    <x v="1"/>
  </r>
  <r>
    <s v="SM_100451"/>
    <x v="0"/>
    <s v="carousel"/>
    <s v="Politics"/>
    <s v="en"/>
    <s v="Brazil"/>
    <d v="2024-12-13T00:00:00"/>
    <s v="#tech #funny"/>
    <n v="1302185"/>
    <n v="260437"/>
    <n v="26165"/>
    <n v="17634"/>
    <n v="0.2336"/>
    <n v="-0.56699999999999995"/>
    <n v="0"/>
    <x v="1"/>
    <x v="1"/>
  </r>
  <r>
    <s v="SM_100452"/>
    <x v="3"/>
    <s v="text"/>
    <s v="Entertainment"/>
    <s v="fr"/>
    <s v="US"/>
    <d v="2024-05-01T00:00:00"/>
    <s v="#fyp #trending #tech #news"/>
    <n v="442836"/>
    <n v="49204"/>
    <n v="41626"/>
    <n v="77232"/>
    <n v="0.3795"/>
    <n v="0.28399999999999997"/>
    <n v="0"/>
    <x v="1"/>
    <x v="0"/>
  </r>
  <r>
    <s v="SM_100453"/>
    <x v="1"/>
    <s v="text"/>
    <s v="Sports"/>
    <s v="es"/>
    <s v="US"/>
    <d v="2024-07-15T00:00:00"/>
    <s v="#fyp #funny"/>
    <n v="2473905"/>
    <n v="164927"/>
    <n v="40395"/>
    <n v="23712"/>
    <n v="9.2600000000000002E-2"/>
    <n v="-0.53600000000000003"/>
    <n v="1"/>
    <x v="0"/>
    <x v="1"/>
  </r>
  <r>
    <s v="SM_100454"/>
    <x v="2"/>
    <s v="video"/>
    <s v="Politics"/>
    <s v="es"/>
    <s v="Pakistan"/>
    <d v="2024-04-04T00:00:00"/>
    <s v="#music #funny #viral"/>
    <n v="4593165"/>
    <n v="158385"/>
    <n v="39425"/>
    <n v="57785"/>
    <n v="5.5599999999999997E-2"/>
    <n v="0.97599999999999998"/>
    <n v="1"/>
    <x v="0"/>
    <x v="0"/>
  </r>
  <r>
    <s v="SM_100455"/>
    <x v="0"/>
    <s v="video"/>
    <s v="Entertainment"/>
    <s v="en"/>
    <s v="India"/>
    <d v="2024-07-01T00:00:00"/>
    <s v="#news #trending #ai"/>
    <n v="8242564"/>
    <n v="374662"/>
    <n v="4363"/>
    <n v="65109"/>
    <n v="5.3900000000000003E-2"/>
    <n v="-0.191"/>
    <n v="1"/>
    <x v="0"/>
    <x v="1"/>
  </r>
  <r>
    <s v="SM_100456"/>
    <x v="0"/>
    <s v="image"/>
    <s v="Education"/>
    <s v="es"/>
    <s v="UK"/>
    <d v="2024-12-24T00:00:00"/>
    <s v="#fyp #funny"/>
    <n v="5530629"/>
    <n v="425433"/>
    <n v="23169"/>
    <n v="31911"/>
    <n v="8.6900000000000005E-2"/>
    <n v="0.38500000000000001"/>
    <n v="1"/>
    <x v="0"/>
    <x v="0"/>
  </r>
  <r>
    <s v="SM_100457"/>
    <x v="1"/>
    <s v="image"/>
    <s v="Lifestyle"/>
    <s v="hi"/>
    <s v="Pakistan"/>
    <d v="2024-02-29T00:00:00"/>
    <s v="#music #viral #fyp"/>
    <n v="3484980"/>
    <n v="193610"/>
    <n v="44316"/>
    <n v="29372"/>
    <n v="7.6700000000000004E-2"/>
    <n v="-0.79200000000000004"/>
    <n v="1"/>
    <x v="0"/>
    <x v="1"/>
  </r>
  <r>
    <s v="SM_100458"/>
    <x v="1"/>
    <s v="video"/>
    <s v="Education"/>
    <s v="fr"/>
    <s v="UK"/>
    <d v="2024-05-11T00:00:00"/>
    <s v="#trending #news #funny #ai"/>
    <n v="4520351"/>
    <n v="410941"/>
    <n v="33898"/>
    <n v="76330"/>
    <n v="0.1153"/>
    <n v="0.54500000000000004"/>
    <n v="1"/>
    <x v="0"/>
    <x v="0"/>
  </r>
  <r>
    <s v="SM_100459"/>
    <x v="3"/>
    <s v="image"/>
    <s v="Lifestyle"/>
    <s v="ur"/>
    <s v="US"/>
    <d v="2024-08-05T00:00:00"/>
    <s v="#funny #viral #news"/>
    <n v="86961"/>
    <n v="12423"/>
    <n v="45804"/>
    <n v="73380"/>
    <n v="1.5134000000000001"/>
    <n v="-0.19800000000000001"/>
    <n v="0"/>
    <x v="1"/>
    <x v="1"/>
  </r>
  <r>
    <s v="SM_100460"/>
    <x v="3"/>
    <s v="text"/>
    <s v="Sports"/>
    <s v="en"/>
    <s v="US"/>
    <d v="2024-02-01T00:00:00"/>
    <s v="#tech #news #ai #funny"/>
    <n v="601964"/>
    <n v="54724"/>
    <n v="10111"/>
    <n v="68009"/>
    <n v="0.22070000000000001"/>
    <n v="-0.86099999999999999"/>
    <n v="0"/>
    <x v="1"/>
    <x v="1"/>
  </r>
  <r>
    <s v="SM_100461"/>
    <x v="2"/>
    <s v="video"/>
    <s v="Entertainment"/>
    <s v="fr"/>
    <s v="UK"/>
    <d v="2024-04-06T00:00:00"/>
    <s v="#fyp #viral"/>
    <n v="651060"/>
    <n v="72340"/>
    <n v="3718"/>
    <n v="70588"/>
    <n v="0.22520000000000001"/>
    <n v="-0.86"/>
    <n v="0"/>
    <x v="1"/>
    <x v="1"/>
  </r>
  <r>
    <s v="SM_100462"/>
    <x v="3"/>
    <s v="text"/>
    <s v="Politics"/>
    <s v="es"/>
    <s v="Brazil"/>
    <d v="2024-06-27T00:00:00"/>
    <s v="#ai #music"/>
    <n v="1625124"/>
    <n v="135427"/>
    <n v="14489"/>
    <n v="56550"/>
    <n v="0.127"/>
    <n v="0.30199999999999999"/>
    <n v="0"/>
    <x v="1"/>
    <x v="0"/>
  </r>
  <r>
    <s v="SM_100463"/>
    <x v="0"/>
    <s v="text"/>
    <s v="Entertainment"/>
    <s v="hi"/>
    <s v="UK"/>
    <d v="2024-12-09T00:00:00"/>
    <s v="#fyp #news #funny"/>
    <n v="3497193"/>
    <n v="499599"/>
    <n v="35201"/>
    <n v="45114"/>
    <n v="0.1658"/>
    <n v="-0.61899999999999999"/>
    <n v="1"/>
    <x v="0"/>
    <x v="1"/>
  </r>
  <r>
    <s v="SM_100464"/>
    <x v="3"/>
    <s v="video"/>
    <s v="Politics"/>
    <s v="fr"/>
    <s v="UK"/>
    <d v="2024-04-01T00:00:00"/>
    <s v="#fyp #tech #music #trending #ai"/>
    <n v="2789955"/>
    <n v="398565"/>
    <n v="19206"/>
    <n v="58577"/>
    <n v="0.17069999999999999"/>
    <n v="0.46100000000000002"/>
    <n v="1"/>
    <x v="0"/>
    <x v="0"/>
  </r>
  <r>
    <s v="SM_100465"/>
    <x v="2"/>
    <s v="image"/>
    <s v="Politics"/>
    <s v="en"/>
    <s v="Pakistan"/>
    <d v="2024-06-14T00:00:00"/>
    <s v="#funny #tech #music"/>
    <n v="5049712"/>
    <n v="315607"/>
    <n v="32012"/>
    <n v="662"/>
    <n v="6.9000000000000006E-2"/>
    <n v="-0.82199999999999995"/>
    <n v="1"/>
    <x v="0"/>
    <x v="1"/>
  </r>
  <r>
    <s v="SM_100466"/>
    <x v="3"/>
    <s v="text"/>
    <s v="Lifestyle"/>
    <s v="fr"/>
    <s v="Brazil"/>
    <d v="2024-12-22T00:00:00"/>
    <s v="#tech #ai #viral"/>
    <n v="815632"/>
    <n v="42928"/>
    <n v="48609"/>
    <n v="10527"/>
    <n v="0.12509999999999999"/>
    <n v="-0.59799999999999998"/>
    <n v="0"/>
    <x v="1"/>
    <x v="1"/>
  </r>
  <r>
    <s v="SM_100467"/>
    <x v="0"/>
    <s v="text"/>
    <s v="Politics"/>
    <s v="hi"/>
    <s v="US"/>
    <d v="2024-12-10T00:00:00"/>
    <s v="#viral #ai #fyp"/>
    <n v="7611079"/>
    <n v="262451"/>
    <n v="35438"/>
    <n v="88734"/>
    <n v="5.0799999999999998E-2"/>
    <n v="0.64400000000000002"/>
    <n v="1"/>
    <x v="0"/>
    <x v="0"/>
  </r>
  <r>
    <s v="SM_100468"/>
    <x v="2"/>
    <s v="text"/>
    <s v="Politics"/>
    <s v="en"/>
    <s v="UK"/>
    <d v="2024-04-20T00:00:00"/>
    <s v="#trending #viral #ai #funny"/>
    <n v="1099504"/>
    <n v="68719"/>
    <n v="29333"/>
    <n v="46480"/>
    <n v="0.13150000000000001"/>
    <n v="0.96199999999999997"/>
    <n v="0"/>
    <x v="1"/>
    <x v="0"/>
  </r>
  <r>
    <s v="SM_100469"/>
    <x v="1"/>
    <s v="video"/>
    <s v="Sports"/>
    <s v="es"/>
    <s v="US"/>
    <d v="2024-10-11T00:00:00"/>
    <s v="#funny #viral #news #fyp"/>
    <n v="2412742"/>
    <n v="141926"/>
    <n v="34452"/>
    <n v="81438"/>
    <n v="0.1069"/>
    <n v="-0.76"/>
    <n v="1"/>
    <x v="0"/>
    <x v="1"/>
  </r>
  <r>
    <s v="SM_100470"/>
    <x v="1"/>
    <s v="image"/>
    <s v="Technology"/>
    <s v="es"/>
    <s v="India"/>
    <d v="2024-03-19T00:00:00"/>
    <s v="#trending #music #news #ai"/>
    <n v="1683846"/>
    <n v="187094"/>
    <n v="48236"/>
    <n v="29302"/>
    <n v="0.15720000000000001"/>
    <n v="0.47399999999999998"/>
    <n v="0"/>
    <x v="1"/>
    <x v="0"/>
  </r>
  <r>
    <s v="SM_100471"/>
    <x v="1"/>
    <s v="video"/>
    <s v="Lifestyle"/>
    <s v="en"/>
    <s v="UK"/>
    <d v="2024-05-28T00:00:00"/>
    <s v="#fyp #funny"/>
    <n v="5622607"/>
    <n v="193883"/>
    <n v="41328"/>
    <n v="18753"/>
    <n v="4.5199999999999997E-2"/>
    <n v="0.34300000000000003"/>
    <n v="1"/>
    <x v="0"/>
    <x v="0"/>
  </r>
  <r>
    <s v="SM_100472"/>
    <x v="1"/>
    <s v="image"/>
    <s v="Lifestyle"/>
    <s v="ur"/>
    <s v="Brazil"/>
    <d v="2024-03-28T00:00:00"/>
    <s v="#trending #viral"/>
    <n v="1734804"/>
    <n v="144567"/>
    <n v="20426"/>
    <n v="56274"/>
    <n v="0.1275"/>
    <n v="0.51100000000000001"/>
    <n v="0"/>
    <x v="1"/>
    <x v="0"/>
  </r>
  <r>
    <s v="SM_100473"/>
    <x v="2"/>
    <s v="text"/>
    <s v="Entertainment"/>
    <s v="hi"/>
    <s v="Brazil"/>
    <d v="2024-09-02T00:00:00"/>
    <s v="#funny #tech #news #ai #trending"/>
    <n v="1200680"/>
    <n v="120068"/>
    <n v="11028"/>
    <n v="10700"/>
    <n v="0.1181"/>
    <n v="-0.68100000000000005"/>
    <n v="0"/>
    <x v="1"/>
    <x v="1"/>
  </r>
  <r>
    <s v="SM_100474"/>
    <x v="2"/>
    <s v="video"/>
    <s v="Education"/>
    <s v="fr"/>
    <s v="India"/>
    <d v="2024-01-21T00:00:00"/>
    <s v="#fyp #news"/>
    <n v="2607286"/>
    <n v="118513"/>
    <n v="16168"/>
    <n v="5783"/>
    <n v="5.3900000000000003E-2"/>
    <n v="-0.317"/>
    <n v="1"/>
    <x v="0"/>
    <x v="1"/>
  </r>
  <r>
    <s v="SM_100475"/>
    <x v="1"/>
    <s v="video"/>
    <s v="Technology"/>
    <s v="hi"/>
    <s v="US"/>
    <d v="2024-09-21T00:00:00"/>
    <s v="#trending #ai"/>
    <n v="6249500"/>
    <n v="215500"/>
    <n v="49497"/>
    <n v="35586"/>
    <n v="4.8099999999999997E-2"/>
    <n v="0.108"/>
    <n v="1"/>
    <x v="0"/>
    <x v="0"/>
  </r>
  <r>
    <s v="SM_100476"/>
    <x v="0"/>
    <s v="text"/>
    <s v="Entertainment"/>
    <s v="fr"/>
    <s v="UK"/>
    <d v="2024-03-18T00:00:00"/>
    <s v="#trending #funny #tech #news"/>
    <n v="12107610"/>
    <n v="448430"/>
    <n v="38072"/>
    <n v="42686"/>
    <n v="4.3700000000000003E-2"/>
    <n v="0.88500000000000001"/>
    <n v="1"/>
    <x v="0"/>
    <x v="0"/>
  </r>
  <r>
    <s v="SM_100477"/>
    <x v="2"/>
    <s v="image"/>
    <s v="Technology"/>
    <s v="en"/>
    <s v="Brazil"/>
    <d v="2024-02-12T00:00:00"/>
    <s v="#news #ai #trending #tech"/>
    <n v="1373043"/>
    <n v="196149"/>
    <n v="37179"/>
    <n v="90374"/>
    <n v="0.23580000000000001"/>
    <n v="0.57299999999999995"/>
    <n v="0"/>
    <x v="1"/>
    <x v="0"/>
  </r>
  <r>
    <s v="SM_100478"/>
    <x v="0"/>
    <s v="carousel"/>
    <s v="Sports"/>
    <s v="ur"/>
    <s v="Pakistan"/>
    <d v="2024-12-09T00:00:00"/>
    <s v="#news #music #funny"/>
    <n v="94338"/>
    <n v="10482"/>
    <n v="4442"/>
    <n v="70972"/>
    <n v="0.91049999999999998"/>
    <n v="-0.218"/>
    <n v="0"/>
    <x v="1"/>
    <x v="1"/>
  </r>
  <r>
    <s v="SM_100479"/>
    <x v="0"/>
    <s v="text"/>
    <s v="Technology"/>
    <s v="fr"/>
    <s v="UK"/>
    <d v="2024-06-16T00:00:00"/>
    <s v="#trending #viral #fyp #ai"/>
    <n v="3270162"/>
    <n v="233583"/>
    <n v="31987"/>
    <n v="98865"/>
    <n v="0.1114"/>
    <n v="7.9000000000000001E-2"/>
    <n v="1"/>
    <x v="0"/>
    <x v="0"/>
  </r>
  <r>
    <s v="SM_100480"/>
    <x v="3"/>
    <s v="carousel"/>
    <s v="Lifestyle"/>
    <s v="fr"/>
    <s v="US"/>
    <d v="2024-01-28T00:00:00"/>
    <s v="#ai #tech #news"/>
    <n v="2451904"/>
    <n v="87568"/>
    <n v="34599"/>
    <n v="76958"/>
    <n v="8.1199999999999994E-2"/>
    <n v="6.5000000000000002E-2"/>
    <n v="1"/>
    <x v="0"/>
    <x v="0"/>
  </r>
  <r>
    <s v="SM_100481"/>
    <x v="3"/>
    <s v="image"/>
    <s v="Lifestyle"/>
    <s v="hi"/>
    <s v="UK"/>
    <d v="2024-11-13T00:00:00"/>
    <s v="#music #ai #tech #news #fyp"/>
    <n v="9329620"/>
    <n v="466481"/>
    <n v="8330"/>
    <n v="52291"/>
    <n v="5.6500000000000002E-2"/>
    <n v="-0.57599999999999996"/>
    <n v="1"/>
    <x v="0"/>
    <x v="1"/>
  </r>
  <r>
    <s v="SM_100482"/>
    <x v="0"/>
    <s v="text"/>
    <s v="Lifestyle"/>
    <s v="hi"/>
    <s v="US"/>
    <d v="2024-07-21T00:00:00"/>
    <s v="#tech #funny #news"/>
    <n v="1014025"/>
    <n v="40561"/>
    <n v="8269"/>
    <n v="78223"/>
    <n v="0.12529999999999999"/>
    <n v="-0.95399999999999996"/>
    <n v="0"/>
    <x v="1"/>
    <x v="1"/>
  </r>
  <r>
    <s v="SM_100483"/>
    <x v="2"/>
    <s v="video"/>
    <s v="Sports"/>
    <s v="es"/>
    <s v="Pakistan"/>
    <d v="2024-09-13T00:00:00"/>
    <s v="#news #fyp #funny"/>
    <n v="9888340"/>
    <n v="449470"/>
    <n v="20614"/>
    <n v="52131"/>
    <n v="5.28E-2"/>
    <n v="0.91500000000000004"/>
    <n v="1"/>
    <x v="0"/>
    <x v="0"/>
  </r>
  <r>
    <s v="SM_100484"/>
    <x v="1"/>
    <s v="video"/>
    <s v="Technology"/>
    <s v="ur"/>
    <s v="UK"/>
    <d v="2024-11-27T00:00:00"/>
    <s v="#ai #tech #trending #viral #funny"/>
    <n v="5406209"/>
    <n v="186421"/>
    <n v="48900"/>
    <n v="94474"/>
    <n v="6.0999999999999999E-2"/>
    <n v="0.15"/>
    <n v="1"/>
    <x v="0"/>
    <x v="0"/>
  </r>
  <r>
    <s v="SM_100485"/>
    <x v="2"/>
    <s v="image"/>
    <s v="Sports"/>
    <s v="hi"/>
    <s v="Brazil"/>
    <d v="2024-09-21T00:00:00"/>
    <s v="#ai #tech"/>
    <n v="8227008"/>
    <n v="457056"/>
    <n v="29989"/>
    <n v="73823"/>
    <n v="6.8199999999999997E-2"/>
    <n v="-0.72199999999999998"/>
    <n v="1"/>
    <x v="0"/>
    <x v="1"/>
  </r>
  <r>
    <s v="SM_100486"/>
    <x v="2"/>
    <s v="video"/>
    <s v="Sports"/>
    <s v="en"/>
    <s v="India"/>
    <d v="2024-01-11T00:00:00"/>
    <s v="#viral #funny #tech"/>
    <n v="7039176"/>
    <n v="293299"/>
    <n v="37690"/>
    <n v="73966"/>
    <n v="5.7500000000000002E-2"/>
    <n v="5.0000000000000001E-3"/>
    <n v="1"/>
    <x v="0"/>
    <x v="0"/>
  </r>
  <r>
    <s v="SM_100487"/>
    <x v="1"/>
    <s v="carousel"/>
    <s v="Politics"/>
    <s v="es"/>
    <s v="UK"/>
    <d v="2024-05-26T00:00:00"/>
    <s v="#tech #funny #fyp"/>
    <n v="7555276"/>
    <n v="444428"/>
    <n v="23434"/>
    <n v="50201"/>
    <n v="6.8599999999999994E-2"/>
    <n v="-0.26500000000000001"/>
    <n v="1"/>
    <x v="0"/>
    <x v="1"/>
  </r>
  <r>
    <s v="SM_100488"/>
    <x v="0"/>
    <s v="carousel"/>
    <s v="Education"/>
    <s v="ur"/>
    <s v="UK"/>
    <d v="2024-02-05T00:00:00"/>
    <s v="#news #fyp"/>
    <n v="7111583"/>
    <n v="245227"/>
    <n v="35737"/>
    <n v="17348"/>
    <n v="4.19E-2"/>
    <n v="-0.53500000000000003"/>
    <n v="1"/>
    <x v="0"/>
    <x v="1"/>
  </r>
  <r>
    <s v="SM_100489"/>
    <x v="2"/>
    <s v="carousel"/>
    <s v="Education"/>
    <s v="es"/>
    <s v="Pakistan"/>
    <d v="2024-08-07T00:00:00"/>
    <s v="#funny #tech #fyp"/>
    <n v="683536"/>
    <n v="40208"/>
    <n v="23568"/>
    <n v="7968"/>
    <n v="0.105"/>
    <n v="0.873"/>
    <n v="0"/>
    <x v="1"/>
    <x v="0"/>
  </r>
  <r>
    <s v="SM_100490"/>
    <x v="1"/>
    <s v="image"/>
    <s v="Education"/>
    <s v="hi"/>
    <s v="US"/>
    <d v="2024-06-30T00:00:00"/>
    <s v="#music #trending #viral"/>
    <n v="424185"/>
    <n v="28279"/>
    <n v="35267"/>
    <n v="78214"/>
    <n v="0.3342"/>
    <n v="0.23899999999999999"/>
    <n v="0"/>
    <x v="1"/>
    <x v="0"/>
  </r>
  <r>
    <s v="SM_100491"/>
    <x v="2"/>
    <s v="carousel"/>
    <s v="Politics"/>
    <s v="es"/>
    <s v="Pakistan"/>
    <d v="2024-05-15T00:00:00"/>
    <s v="#music #viral #fyp #ai #trending"/>
    <n v="5397065"/>
    <n v="234655"/>
    <n v="27291"/>
    <n v="72147"/>
    <n v="6.1899999999999997E-2"/>
    <n v="0.129"/>
    <n v="1"/>
    <x v="0"/>
    <x v="0"/>
  </r>
  <r>
    <s v="SM_100492"/>
    <x v="0"/>
    <s v="text"/>
    <s v="Sports"/>
    <s v="es"/>
    <s v="Brazil"/>
    <d v="2024-12-19T00:00:00"/>
    <s v="#fyp #tech #ai #trending #news"/>
    <n v="645195"/>
    <n v="43013"/>
    <n v="31502"/>
    <n v="55678"/>
    <n v="0.20180000000000001"/>
    <n v="0.50900000000000001"/>
    <n v="0"/>
    <x v="1"/>
    <x v="0"/>
  </r>
  <r>
    <s v="SM_100493"/>
    <x v="0"/>
    <s v="image"/>
    <s v="Education"/>
    <s v="en"/>
    <s v="UK"/>
    <d v="2024-05-11T00:00:00"/>
    <s v="#ai #fyp #funny"/>
    <n v="13105206"/>
    <n v="485378"/>
    <n v="30163"/>
    <n v="25033"/>
    <n v="4.1200000000000001E-2"/>
    <n v="-0.52200000000000002"/>
    <n v="1"/>
    <x v="0"/>
    <x v="1"/>
  </r>
  <r>
    <s v="SM_100494"/>
    <x v="2"/>
    <s v="carousel"/>
    <s v="Education"/>
    <s v="hi"/>
    <s v="UK"/>
    <d v="2024-03-28T00:00:00"/>
    <s v="#fyp #tech #funny"/>
    <n v="2897388"/>
    <n v="160966"/>
    <n v="5453"/>
    <n v="50332"/>
    <n v="7.4800000000000005E-2"/>
    <n v="-0.79800000000000004"/>
    <n v="1"/>
    <x v="0"/>
    <x v="1"/>
  </r>
  <r>
    <s v="SM_100495"/>
    <x v="1"/>
    <s v="carousel"/>
    <s v="Politics"/>
    <s v="ur"/>
    <s v="Pakistan"/>
    <d v="2024-07-22T00:00:00"/>
    <s v="#viral #music #funny"/>
    <n v="779672"/>
    <n v="97459"/>
    <n v="23296"/>
    <n v="41569"/>
    <n v="0.2082"/>
    <n v="0.26600000000000001"/>
    <n v="0"/>
    <x v="1"/>
    <x v="0"/>
  </r>
  <r>
    <s v="SM_100496"/>
    <x v="3"/>
    <s v="video"/>
    <s v="Politics"/>
    <s v="en"/>
    <s v="India"/>
    <d v="2024-07-02T00:00:00"/>
    <s v="#viral #music #tech #ai"/>
    <n v="604153"/>
    <n v="54923"/>
    <n v="23317"/>
    <n v="43109"/>
    <n v="0.2009"/>
    <n v="-0.55800000000000005"/>
    <n v="0"/>
    <x v="1"/>
    <x v="1"/>
  </r>
  <r>
    <s v="SM_100497"/>
    <x v="0"/>
    <s v="video"/>
    <s v="Entertainment"/>
    <s v="fr"/>
    <s v="India"/>
    <d v="2024-12-28T00:00:00"/>
    <s v="#news #music #fyp"/>
    <n v="2000000"/>
    <n v="200000"/>
    <n v="41784"/>
    <n v="98724"/>
    <n v="0.17030000000000001"/>
    <n v="-0.14799999999999999"/>
    <n v="0"/>
    <x v="1"/>
    <x v="1"/>
  </r>
  <r>
    <s v="SM_100498"/>
    <x v="2"/>
    <s v="image"/>
    <s v="Politics"/>
    <s v="es"/>
    <s v="India"/>
    <d v="2024-03-29T00:00:00"/>
    <s v="#trending #viral #news #music"/>
    <n v="2861166"/>
    <n v="408738"/>
    <n v="42473"/>
    <n v="32372"/>
    <n v="0.16900000000000001"/>
    <n v="-0.26400000000000001"/>
    <n v="1"/>
    <x v="0"/>
    <x v="1"/>
  </r>
  <r>
    <s v="SM_100499"/>
    <x v="0"/>
    <s v="text"/>
    <s v="Technology"/>
    <s v="hi"/>
    <s v="US"/>
    <d v="2024-01-13T00:00:00"/>
    <s v="#fyp #news #ai #viral"/>
    <n v="3178549"/>
    <n v="288959"/>
    <n v="27610"/>
    <n v="99854"/>
    <n v="0.13100000000000001"/>
    <n v="0.46700000000000003"/>
    <n v="1"/>
    <x v="0"/>
    <x v="0"/>
  </r>
  <r>
    <s v="SM_100500"/>
    <x v="3"/>
    <s v="image"/>
    <s v="Entertainment"/>
    <s v="hi"/>
    <s v="Pakistan"/>
    <d v="2024-10-13T00:00:00"/>
    <s v="#viral #tech #ai #news #fyp"/>
    <n v="2064771"/>
    <n v="76473"/>
    <n v="3721"/>
    <n v="61950"/>
    <n v="6.88E-2"/>
    <n v="-0.16800000000000001"/>
    <n v="1"/>
    <x v="0"/>
    <x v="1"/>
  </r>
  <r>
    <s v="SM_100501"/>
    <x v="3"/>
    <s v="image"/>
    <s v="Entertainment"/>
    <s v="en"/>
    <s v="UK"/>
    <d v="2024-12-19T00:00:00"/>
    <s v="#ai #news"/>
    <n v="2247950"/>
    <n v="89918"/>
    <n v="6553"/>
    <n v="73295"/>
    <n v="7.5499999999999998E-2"/>
    <n v="0.52100000000000002"/>
    <n v="1"/>
    <x v="0"/>
    <x v="0"/>
  </r>
  <r>
    <s v="SM_100502"/>
    <x v="0"/>
    <s v="carousel"/>
    <s v="Sports"/>
    <s v="es"/>
    <s v="US"/>
    <d v="2024-01-05T00:00:00"/>
    <s v="#funny #fyp #ai #music #viral"/>
    <n v="531985"/>
    <n v="106397"/>
    <n v="5547"/>
    <n v="91013"/>
    <n v="0.38150000000000001"/>
    <n v="-0.35299999999999998"/>
    <n v="0"/>
    <x v="1"/>
    <x v="1"/>
  </r>
  <r>
    <s v="SM_100503"/>
    <x v="3"/>
    <s v="video"/>
    <s v="Education"/>
    <s v="fr"/>
    <s v="US"/>
    <d v="2024-09-18T00:00:00"/>
    <s v="#viral #trending #tech"/>
    <n v="8039925"/>
    <n v="321597"/>
    <n v="24822"/>
    <n v="56533"/>
    <n v="5.0099999999999999E-2"/>
    <n v="0.60299999999999998"/>
    <n v="1"/>
    <x v="0"/>
    <x v="0"/>
  </r>
  <r>
    <s v="SM_100504"/>
    <x v="3"/>
    <s v="carousel"/>
    <s v="Sports"/>
    <s v="hi"/>
    <s v="Pakistan"/>
    <d v="2024-02-12T00:00:00"/>
    <s v="#music #tech #viral #news #trending"/>
    <n v="9381456"/>
    <n v="446736"/>
    <n v="676"/>
    <n v="164"/>
    <n v="4.7699999999999999E-2"/>
    <n v="-0.78100000000000003"/>
    <n v="1"/>
    <x v="0"/>
    <x v="1"/>
  </r>
  <r>
    <s v="SM_100505"/>
    <x v="3"/>
    <s v="image"/>
    <s v="Politics"/>
    <s v="es"/>
    <s v="Pakistan"/>
    <d v="2024-07-07T00:00:00"/>
    <s v="#ai #viral"/>
    <n v="11591175"/>
    <n v="463647"/>
    <n v="10639"/>
    <n v="4799"/>
    <n v="4.1300000000000003E-2"/>
    <n v="0.68899999999999995"/>
    <n v="1"/>
    <x v="0"/>
    <x v="0"/>
  </r>
  <r>
    <s v="SM_100506"/>
    <x v="1"/>
    <s v="image"/>
    <s v="Education"/>
    <s v="es"/>
    <s v="India"/>
    <d v="2024-10-27T00:00:00"/>
    <s v="#music #news #viral"/>
    <n v="2066640"/>
    <n v="258330"/>
    <n v="29305"/>
    <n v="89882"/>
    <n v="0.1827"/>
    <n v="0.72899999999999998"/>
    <n v="1"/>
    <x v="0"/>
    <x v="0"/>
  </r>
  <r>
    <s v="SM_100507"/>
    <x v="2"/>
    <s v="text"/>
    <s v="Technology"/>
    <s v="en"/>
    <s v="India"/>
    <d v="2024-10-23T00:00:00"/>
    <s v="#news #viral"/>
    <n v="3596772"/>
    <n v="299731"/>
    <n v="28416"/>
    <n v="33362"/>
    <n v="0.10050000000000001"/>
    <n v="0.621"/>
    <n v="1"/>
    <x v="0"/>
    <x v="0"/>
  </r>
  <r>
    <s v="SM_100508"/>
    <x v="1"/>
    <s v="video"/>
    <s v="Entertainment"/>
    <s v="es"/>
    <s v="US"/>
    <d v="2024-11-24T00:00:00"/>
    <s v="#ai #funny"/>
    <n v="2906240"/>
    <n v="290624"/>
    <n v="26040"/>
    <n v="30621"/>
    <n v="0.1195"/>
    <n v="-0.215"/>
    <n v="1"/>
    <x v="0"/>
    <x v="1"/>
  </r>
  <r>
    <s v="SM_100509"/>
    <x v="1"/>
    <s v="carousel"/>
    <s v="Lifestyle"/>
    <s v="fr"/>
    <s v="UK"/>
    <d v="2024-04-06T00:00:00"/>
    <s v="#ai #viral #tech #news #music"/>
    <n v="4099473"/>
    <n v="195213"/>
    <n v="43409"/>
    <n v="53353"/>
    <n v="7.1199999999999999E-2"/>
    <n v="0.317"/>
    <n v="1"/>
    <x v="0"/>
    <x v="0"/>
  </r>
  <r>
    <s v="SM_100510"/>
    <x v="3"/>
    <s v="video"/>
    <s v="Politics"/>
    <s v="fr"/>
    <s v="Pakistan"/>
    <d v="2024-01-05T00:00:00"/>
    <s v="#funny #tech"/>
    <n v="7055600"/>
    <n v="352780"/>
    <n v="39045"/>
    <n v="64642"/>
    <n v="6.4699999999999994E-2"/>
    <n v="-0.49099999999999999"/>
    <n v="1"/>
    <x v="0"/>
    <x v="1"/>
  </r>
  <r>
    <s v="SM_100511"/>
    <x v="0"/>
    <s v="video"/>
    <s v="Technology"/>
    <s v="ur"/>
    <s v="UK"/>
    <d v="2024-02-22T00:00:00"/>
    <s v="#fyp #trending"/>
    <n v="2643228"/>
    <n v="220269"/>
    <n v="24822"/>
    <n v="20282"/>
    <n v="0.1004"/>
    <n v="-7.6999999999999999E-2"/>
    <n v="1"/>
    <x v="0"/>
    <x v="1"/>
  </r>
  <r>
    <s v="SM_100512"/>
    <x v="1"/>
    <s v="text"/>
    <s v="Education"/>
    <s v="es"/>
    <s v="UK"/>
    <d v="2024-01-22T00:00:00"/>
    <s v="#fyp #news #viral #tech"/>
    <n v="10139428"/>
    <n v="389978"/>
    <n v="27430"/>
    <n v="28603"/>
    <n v="4.3999999999999997E-2"/>
    <n v="0.27300000000000002"/>
    <n v="1"/>
    <x v="0"/>
    <x v="0"/>
  </r>
  <r>
    <s v="SM_100513"/>
    <x v="0"/>
    <s v="video"/>
    <s v="Entertainment"/>
    <s v="fr"/>
    <s v="US"/>
    <d v="2024-06-15T00:00:00"/>
    <s v="#viral #trending #news #ai"/>
    <n v="4870854"/>
    <n v="180402"/>
    <n v="8085"/>
    <n v="7100"/>
    <n v="4.02E-2"/>
    <n v="3.6999999999999998E-2"/>
    <n v="1"/>
    <x v="0"/>
    <x v="0"/>
  </r>
  <r>
    <s v="SM_100514"/>
    <x v="3"/>
    <s v="video"/>
    <s v="Entertainment"/>
    <s v="en"/>
    <s v="Brazil"/>
    <d v="2024-05-24T00:00:00"/>
    <s v="#news #funny #trending #fyp #viral"/>
    <n v="1549152"/>
    <n v="96822"/>
    <n v="47689"/>
    <n v="30112"/>
    <n v="0.11269999999999999"/>
    <n v="2.4E-2"/>
    <n v="0"/>
    <x v="1"/>
    <x v="0"/>
  </r>
  <r>
    <s v="SM_100515"/>
    <x v="2"/>
    <s v="video"/>
    <s v="Education"/>
    <s v="fr"/>
    <s v="US"/>
    <d v="2024-03-27T00:00:00"/>
    <s v="#music #news"/>
    <n v="2681184"/>
    <n v="223432"/>
    <n v="41996"/>
    <n v="70477"/>
    <n v="0.12529999999999999"/>
    <n v="-0.83"/>
    <n v="1"/>
    <x v="0"/>
    <x v="1"/>
  </r>
  <r>
    <s v="SM_100516"/>
    <x v="2"/>
    <s v="video"/>
    <s v="Entertainment"/>
    <s v="ur"/>
    <s v="Brazil"/>
    <d v="2024-07-31T00:00:00"/>
    <s v="#fyp #trending #music #tech"/>
    <n v="1463490"/>
    <n v="63630"/>
    <n v="36229"/>
    <n v="7789"/>
    <n v="7.3599999999999999E-2"/>
    <n v="-0.85699999999999998"/>
    <n v="0"/>
    <x v="1"/>
    <x v="1"/>
  </r>
  <r>
    <s v="SM_100517"/>
    <x v="2"/>
    <s v="image"/>
    <s v="Technology"/>
    <s v="hi"/>
    <s v="UK"/>
    <d v="2024-02-02T00:00:00"/>
    <s v="#ai #fyp"/>
    <n v="2426760"/>
    <n v="101115"/>
    <n v="11285"/>
    <n v="83589"/>
    <n v="8.0799999999999997E-2"/>
    <n v="0.47499999999999998"/>
    <n v="1"/>
    <x v="0"/>
    <x v="0"/>
  </r>
  <r>
    <s v="SM_100518"/>
    <x v="1"/>
    <s v="text"/>
    <s v="Education"/>
    <s v="es"/>
    <s v="Brazil"/>
    <d v="2024-09-15T00:00:00"/>
    <s v="#viral #ai"/>
    <n v="6572595"/>
    <n v="438173"/>
    <n v="10147"/>
    <n v="48356"/>
    <n v="7.5600000000000001E-2"/>
    <n v="0.94099999999999995"/>
    <n v="1"/>
    <x v="0"/>
    <x v="0"/>
  </r>
  <r>
    <s v="SM_100519"/>
    <x v="1"/>
    <s v="image"/>
    <s v="Lifestyle"/>
    <s v="ur"/>
    <s v="US"/>
    <d v="2024-04-20T00:00:00"/>
    <s v="#ai #trending #fyp #viral #funny"/>
    <n v="5400538"/>
    <n v="234806"/>
    <n v="38283"/>
    <n v="64028"/>
    <n v="6.2399999999999997E-2"/>
    <n v="-0.65200000000000002"/>
    <n v="1"/>
    <x v="0"/>
    <x v="1"/>
  </r>
  <r>
    <s v="SM_100520"/>
    <x v="2"/>
    <s v="video"/>
    <s v="Education"/>
    <s v="es"/>
    <s v="UK"/>
    <d v="2024-08-23T00:00:00"/>
    <s v="#tech #music #news #trending #viral"/>
    <n v="420784"/>
    <n v="30056"/>
    <n v="41737"/>
    <n v="76296"/>
    <n v="0.35189999999999999"/>
    <n v="-0.95799999999999996"/>
    <n v="0"/>
    <x v="1"/>
    <x v="1"/>
  </r>
  <r>
    <s v="SM_100521"/>
    <x v="3"/>
    <s v="image"/>
    <s v="Sports"/>
    <s v="en"/>
    <s v="Brazil"/>
    <d v="2024-12-30T00:00:00"/>
    <s v="#trending #tech #funny"/>
    <n v="946980"/>
    <n v="78915"/>
    <n v="39284"/>
    <n v="23889"/>
    <n v="0.15"/>
    <n v="0.53800000000000003"/>
    <n v="0"/>
    <x v="1"/>
    <x v="0"/>
  </r>
  <r>
    <s v="SM_100522"/>
    <x v="2"/>
    <s v="carousel"/>
    <s v="Lifestyle"/>
    <s v="hi"/>
    <s v="US"/>
    <d v="2024-09-07T00:00:00"/>
    <s v="#fyp #trending"/>
    <n v="2431924"/>
    <n v="127996"/>
    <n v="35149"/>
    <n v="52162"/>
    <n v="8.8499999999999995E-2"/>
    <n v="-0.58899999999999997"/>
    <n v="1"/>
    <x v="0"/>
    <x v="1"/>
  </r>
  <r>
    <s v="SM_100523"/>
    <x v="0"/>
    <s v="image"/>
    <s v="Lifestyle"/>
    <s v="es"/>
    <s v="US"/>
    <d v="2024-01-31T00:00:00"/>
    <s v="#viral #fyp #ai"/>
    <n v="3753576"/>
    <n v="208532"/>
    <n v="32130"/>
    <n v="6980"/>
    <n v="6.6000000000000003E-2"/>
    <n v="-0.86099999999999999"/>
    <n v="1"/>
    <x v="0"/>
    <x v="1"/>
  </r>
  <r>
    <s v="SM_100524"/>
    <x v="1"/>
    <s v="text"/>
    <s v="Technology"/>
    <s v="es"/>
    <s v="Brazil"/>
    <d v="2024-09-03T00:00:00"/>
    <s v="#news #fyp #ai"/>
    <n v="10369832"/>
    <n v="471356"/>
    <n v="20674"/>
    <n v="6911"/>
    <n v="4.8099999999999997E-2"/>
    <n v="-0.35599999999999998"/>
    <n v="1"/>
    <x v="0"/>
    <x v="1"/>
  </r>
  <r>
    <s v="SM_100525"/>
    <x v="0"/>
    <s v="carousel"/>
    <s v="Sports"/>
    <s v="hi"/>
    <s v="US"/>
    <d v="2024-03-12T00:00:00"/>
    <s v="#funny #news #ai"/>
    <n v="5747796"/>
    <n v="478983"/>
    <n v="25232"/>
    <n v="5979"/>
    <n v="8.8800000000000004E-2"/>
    <n v="-0.77200000000000002"/>
    <n v="1"/>
    <x v="0"/>
    <x v="1"/>
  </r>
  <r>
    <s v="SM_100526"/>
    <x v="1"/>
    <s v="image"/>
    <s v="Sports"/>
    <s v="en"/>
    <s v="India"/>
    <d v="2024-01-13T00:00:00"/>
    <s v="#ai #tech"/>
    <n v="4605120"/>
    <n v="230256"/>
    <n v="42681"/>
    <n v="39072"/>
    <n v="6.7799999999999999E-2"/>
    <n v="0.624"/>
    <n v="1"/>
    <x v="0"/>
    <x v="0"/>
  </r>
  <r>
    <s v="SM_100527"/>
    <x v="2"/>
    <s v="carousel"/>
    <s v="Politics"/>
    <s v="es"/>
    <s v="Pakistan"/>
    <d v="2024-07-14T00:00:00"/>
    <s v="#ai #funny"/>
    <n v="6407730"/>
    <n v="457695"/>
    <n v="29926"/>
    <n v="57867"/>
    <n v="8.5099999999999995E-2"/>
    <n v="-0.32300000000000001"/>
    <n v="1"/>
    <x v="0"/>
    <x v="1"/>
  </r>
  <r>
    <s v="SM_100528"/>
    <x v="3"/>
    <s v="text"/>
    <s v="Lifestyle"/>
    <s v="ur"/>
    <s v="US"/>
    <d v="2024-01-21T00:00:00"/>
    <s v="#ai #trending #funny #news"/>
    <n v="5870735"/>
    <n v="451595"/>
    <n v="23958"/>
    <n v="26807"/>
    <n v="8.5599999999999996E-2"/>
    <n v="-0.25600000000000001"/>
    <n v="1"/>
    <x v="0"/>
    <x v="1"/>
  </r>
  <r>
    <s v="SM_100529"/>
    <x v="1"/>
    <s v="video"/>
    <s v="Politics"/>
    <s v="en"/>
    <s v="US"/>
    <d v="2024-08-30T00:00:00"/>
    <s v="#viral #music #news"/>
    <n v="7824908"/>
    <n v="300958"/>
    <n v="49150"/>
    <n v="77426"/>
    <n v="5.4600000000000003E-2"/>
    <n v="-0.45200000000000001"/>
    <n v="1"/>
    <x v="0"/>
    <x v="1"/>
  </r>
  <r>
    <s v="SM_100530"/>
    <x v="1"/>
    <s v="text"/>
    <s v="Technology"/>
    <s v="hi"/>
    <s v="US"/>
    <d v="2024-03-08T00:00:00"/>
    <s v="#trending #music #fyp"/>
    <n v="9374961"/>
    <n v="407607"/>
    <n v="46809"/>
    <n v="76972"/>
    <n v="5.67E-2"/>
    <n v="0.77400000000000002"/>
    <n v="1"/>
    <x v="0"/>
    <x v="0"/>
  </r>
  <r>
    <s v="SM_100531"/>
    <x v="2"/>
    <s v="video"/>
    <s v="Entertainment"/>
    <s v="hi"/>
    <s v="India"/>
    <d v="2024-12-23T00:00:00"/>
    <s v="#fyp #music #news #funny #tech"/>
    <n v="6828057"/>
    <n v="252891"/>
    <n v="12263"/>
    <n v="30842"/>
    <n v="4.3299999999999998E-2"/>
    <n v="0.75900000000000001"/>
    <n v="1"/>
    <x v="0"/>
    <x v="0"/>
  </r>
  <r>
    <s v="SM_100532"/>
    <x v="2"/>
    <s v="video"/>
    <s v="Politics"/>
    <s v="hi"/>
    <s v="Brazil"/>
    <d v="2024-11-10T00:00:00"/>
    <s v="#fyp #ai #funny #music #tech"/>
    <n v="943575"/>
    <n v="37743"/>
    <n v="43955"/>
    <n v="56850"/>
    <n v="0.14680000000000001"/>
    <n v="0.51"/>
    <n v="0"/>
    <x v="1"/>
    <x v="0"/>
  </r>
  <r>
    <s v="SM_100533"/>
    <x v="3"/>
    <s v="text"/>
    <s v="Lifestyle"/>
    <s v="ur"/>
    <s v="Brazil"/>
    <d v="2024-12-01T00:00:00"/>
    <s v="#tech #viral #news #trending"/>
    <n v="6980976"/>
    <n v="387832"/>
    <n v="16002"/>
    <n v="79752"/>
    <n v="6.93E-2"/>
    <n v="0.45700000000000002"/>
    <n v="1"/>
    <x v="0"/>
    <x v="0"/>
  </r>
  <r>
    <s v="SM_100534"/>
    <x v="3"/>
    <s v="video"/>
    <s v="Entertainment"/>
    <s v="es"/>
    <s v="India"/>
    <d v="2024-04-24T00:00:00"/>
    <s v="#ai #funny #tech #fyp #news"/>
    <n v="5172150"/>
    <n v="344810"/>
    <n v="29339"/>
    <n v="14572"/>
    <n v="7.5200000000000003E-2"/>
    <n v="-0.36"/>
    <n v="1"/>
    <x v="0"/>
    <x v="1"/>
  </r>
  <r>
    <s v="SM_100535"/>
    <x v="2"/>
    <s v="video"/>
    <s v="Lifestyle"/>
    <s v="hi"/>
    <s v="US"/>
    <d v="2024-03-14T00:00:00"/>
    <s v="#ai #fyp"/>
    <n v="1510730"/>
    <n v="58105"/>
    <n v="20719"/>
    <n v="58713"/>
    <n v="9.0999999999999998E-2"/>
    <n v="7.9000000000000001E-2"/>
    <n v="0"/>
    <x v="1"/>
    <x v="0"/>
  </r>
  <r>
    <s v="SM_100536"/>
    <x v="2"/>
    <s v="video"/>
    <s v="Education"/>
    <s v="es"/>
    <s v="Pakistan"/>
    <d v="2024-03-18T00:00:00"/>
    <s v="#funny #ai"/>
    <n v="4502000"/>
    <n v="180080"/>
    <n v="19926"/>
    <n v="13058"/>
    <n v="4.7300000000000002E-2"/>
    <n v="0.45200000000000001"/>
    <n v="1"/>
    <x v="0"/>
    <x v="0"/>
  </r>
  <r>
    <s v="SM_100537"/>
    <x v="2"/>
    <s v="text"/>
    <s v="Technology"/>
    <s v="en"/>
    <s v="UK"/>
    <d v="2024-10-02T00:00:00"/>
    <s v="#viral #funny #music #news"/>
    <n v="2964570"/>
    <n v="156030"/>
    <n v="48694"/>
    <n v="44639"/>
    <n v="8.4099999999999994E-2"/>
    <n v="1.2E-2"/>
    <n v="1"/>
    <x v="0"/>
    <x v="0"/>
  </r>
  <r>
    <s v="SM_100538"/>
    <x v="1"/>
    <s v="text"/>
    <s v="Politics"/>
    <s v="fr"/>
    <s v="India"/>
    <d v="2024-06-06T00:00:00"/>
    <s v="#news #ai #funny #viral"/>
    <n v="537342"/>
    <n v="20667"/>
    <n v="29744"/>
    <n v="57805"/>
    <n v="0.2014"/>
    <n v="8.4000000000000005E-2"/>
    <n v="0"/>
    <x v="1"/>
    <x v="0"/>
  </r>
  <r>
    <s v="SM_100539"/>
    <x v="3"/>
    <s v="image"/>
    <s v="Entertainment"/>
    <s v="en"/>
    <s v="US"/>
    <d v="2024-10-25T00:00:00"/>
    <s v="#fyp #funny #ai #viral"/>
    <n v="1751360"/>
    <n v="67360"/>
    <n v="1381"/>
    <n v="8707"/>
    <n v="4.4200000000000003E-2"/>
    <n v="0.13"/>
    <n v="0"/>
    <x v="1"/>
    <x v="0"/>
  </r>
  <r>
    <s v="SM_100540"/>
    <x v="0"/>
    <s v="image"/>
    <s v="Lifestyle"/>
    <s v="en"/>
    <s v="US"/>
    <d v="2024-11-15T00:00:00"/>
    <s v="#ai #funny #music #viral #news"/>
    <n v="2924544"/>
    <n v="182784"/>
    <n v="29730"/>
    <n v="5927"/>
    <n v="7.4700000000000003E-2"/>
    <n v="0.27300000000000002"/>
    <n v="1"/>
    <x v="0"/>
    <x v="0"/>
  </r>
  <r>
    <s v="SM_100541"/>
    <x v="1"/>
    <s v="carousel"/>
    <s v="Sports"/>
    <s v="es"/>
    <s v="Brazil"/>
    <d v="2024-06-26T00:00:00"/>
    <s v="#trending #viral #tech #music"/>
    <n v="678564"/>
    <n v="56547"/>
    <n v="36073"/>
    <n v="29807"/>
    <n v="0.1804"/>
    <n v="-7.6999999999999999E-2"/>
    <n v="0"/>
    <x v="1"/>
    <x v="1"/>
  </r>
  <r>
    <s v="SM_100542"/>
    <x v="3"/>
    <s v="video"/>
    <s v="Sports"/>
    <s v="hi"/>
    <s v="UK"/>
    <d v="2024-04-30T00:00:00"/>
    <s v="#viral #funny #ai #fyp #news"/>
    <n v="2098827"/>
    <n v="233203"/>
    <n v="22661"/>
    <n v="55148"/>
    <n v="0.1482"/>
    <n v="0.76300000000000001"/>
    <n v="1"/>
    <x v="0"/>
    <x v="0"/>
  </r>
  <r>
    <s v="SM_100543"/>
    <x v="3"/>
    <s v="carousel"/>
    <s v="Technology"/>
    <s v="hi"/>
    <s v="Brazil"/>
    <d v="2024-09-27T00:00:00"/>
    <s v="#ai #news #tech"/>
    <n v="4214434"/>
    <n v="301031"/>
    <n v="48236"/>
    <n v="62947"/>
    <n v="9.7799999999999998E-2"/>
    <n v="0.315"/>
    <n v="1"/>
    <x v="0"/>
    <x v="0"/>
  </r>
  <r>
    <s v="SM_100544"/>
    <x v="0"/>
    <s v="carousel"/>
    <s v="Technology"/>
    <s v="hi"/>
    <s v="US"/>
    <d v="2024-11-13T00:00:00"/>
    <s v="#trending #fyp #music"/>
    <n v="1226808"/>
    <n v="68156"/>
    <n v="3086"/>
    <n v="34197"/>
    <n v="8.5900000000000004E-2"/>
    <n v="0.23200000000000001"/>
    <n v="0"/>
    <x v="1"/>
    <x v="0"/>
  </r>
  <r>
    <s v="SM_100545"/>
    <x v="2"/>
    <s v="image"/>
    <s v="Lifestyle"/>
    <s v="ur"/>
    <s v="UK"/>
    <d v="2024-04-27T00:00:00"/>
    <s v="#ai #viral"/>
    <n v="3133400"/>
    <n v="156670"/>
    <n v="11334"/>
    <n v="31657"/>
    <n v="6.3700000000000007E-2"/>
    <n v="0.56799999999999995"/>
    <n v="1"/>
    <x v="0"/>
    <x v="0"/>
  </r>
  <r>
    <s v="SM_100546"/>
    <x v="3"/>
    <s v="text"/>
    <s v="Technology"/>
    <s v="ur"/>
    <s v="Pakistan"/>
    <d v="2024-03-10T00:00:00"/>
    <s v="#viral #music #funny #news"/>
    <n v="1642690"/>
    <n v="117335"/>
    <n v="19368"/>
    <n v="47702"/>
    <n v="0.1123"/>
    <n v="0.52200000000000002"/>
    <n v="0"/>
    <x v="1"/>
    <x v="0"/>
  </r>
  <r>
    <s v="SM_100547"/>
    <x v="3"/>
    <s v="carousel"/>
    <s v="Technology"/>
    <s v="hi"/>
    <s v="UK"/>
    <d v="2024-01-24T00:00:00"/>
    <s v="#music #fyp #trending #viral"/>
    <n v="2555586"/>
    <n v="141977"/>
    <n v="35856"/>
    <n v="26833"/>
    <n v="8.0100000000000005E-2"/>
    <n v="-0.59499999999999997"/>
    <n v="1"/>
    <x v="0"/>
    <x v="1"/>
  </r>
  <r>
    <s v="SM_100548"/>
    <x v="3"/>
    <s v="video"/>
    <s v="Sports"/>
    <s v="fr"/>
    <s v="India"/>
    <d v="2024-07-23T00:00:00"/>
    <s v="#news #music"/>
    <n v="6770808"/>
    <n v="282117"/>
    <n v="40377"/>
    <n v="89465"/>
    <n v="6.08E-2"/>
    <n v="-0.34599999999999997"/>
    <n v="1"/>
    <x v="0"/>
    <x v="1"/>
  </r>
  <r>
    <s v="SM_100549"/>
    <x v="2"/>
    <s v="carousel"/>
    <s v="Sports"/>
    <s v="hi"/>
    <s v="UK"/>
    <d v="2024-12-09T00:00:00"/>
    <s v="#viral #news #trending #funny"/>
    <n v="3623260"/>
    <n v="362326"/>
    <n v="24291"/>
    <n v="5111"/>
    <n v="0.1081"/>
    <n v="0.753"/>
    <n v="1"/>
    <x v="0"/>
    <x v="0"/>
  </r>
  <r>
    <s v="SM_100550"/>
    <x v="0"/>
    <s v="image"/>
    <s v="Technology"/>
    <s v="hi"/>
    <s v="India"/>
    <d v="2024-08-01T00:00:00"/>
    <s v="#viral #fyp #funny #news #music"/>
    <n v="2758888"/>
    <n v="344861"/>
    <n v="34952"/>
    <n v="9597"/>
    <n v="0.1411"/>
    <n v="0.44400000000000001"/>
    <n v="1"/>
    <x v="0"/>
    <x v="0"/>
  </r>
  <r>
    <s v="SM_100551"/>
    <x v="0"/>
    <s v="image"/>
    <s v="Entertainment"/>
    <s v="en"/>
    <s v="Brazil"/>
    <d v="2024-07-18T00:00:00"/>
    <s v="#music #fyp"/>
    <n v="3378771"/>
    <n v="375419"/>
    <n v="1018"/>
    <n v="23706"/>
    <n v="0.11840000000000001"/>
    <n v="0.32600000000000001"/>
    <n v="1"/>
    <x v="0"/>
    <x v="0"/>
  </r>
  <r>
    <s v="SM_100552"/>
    <x v="0"/>
    <s v="video"/>
    <s v="Sports"/>
    <s v="hi"/>
    <s v="US"/>
    <d v="2024-12-19T00:00:00"/>
    <s v="#viral #tech #news #music"/>
    <n v="2937438"/>
    <n v="209817"/>
    <n v="2028"/>
    <n v="59797"/>
    <n v="9.2499999999999999E-2"/>
    <n v="0.23899999999999999"/>
    <n v="1"/>
    <x v="0"/>
    <x v="0"/>
  </r>
  <r>
    <s v="SM_100553"/>
    <x v="1"/>
    <s v="text"/>
    <s v="Politics"/>
    <s v="ur"/>
    <s v="UK"/>
    <d v="2024-02-26T00:00:00"/>
    <s v="#viral #news #music #fyp #funny"/>
    <n v="2503080"/>
    <n v="104295"/>
    <n v="33853"/>
    <n v="37805"/>
    <n v="7.0300000000000001E-2"/>
    <n v="-0.19500000000000001"/>
    <n v="1"/>
    <x v="0"/>
    <x v="1"/>
  </r>
  <r>
    <s v="SM_100554"/>
    <x v="2"/>
    <s v="image"/>
    <s v="Technology"/>
    <s v="es"/>
    <s v="UK"/>
    <d v="2024-09-02T00:00:00"/>
    <s v="#fyp #viral #ai #trending"/>
    <n v="477393"/>
    <n v="68199"/>
    <n v="36065"/>
    <n v="94734"/>
    <n v="0.4168"/>
    <n v="-0.87"/>
    <n v="0"/>
    <x v="1"/>
    <x v="1"/>
  </r>
  <r>
    <s v="SM_100555"/>
    <x v="3"/>
    <s v="carousel"/>
    <s v="Entertainment"/>
    <s v="en"/>
    <s v="US"/>
    <d v="2024-10-13T00:00:00"/>
    <s v="#tech #fyp"/>
    <n v="2861256"/>
    <n v="119219"/>
    <n v="23230"/>
    <n v="95287"/>
    <n v="8.3099999999999993E-2"/>
    <n v="0.121"/>
    <n v="1"/>
    <x v="0"/>
    <x v="0"/>
  </r>
  <r>
    <s v="SM_100556"/>
    <x v="1"/>
    <s v="text"/>
    <s v="Entertainment"/>
    <s v="en"/>
    <s v="UK"/>
    <d v="2024-05-13T00:00:00"/>
    <s v="#funny #tech #music"/>
    <n v="8895062"/>
    <n v="404321"/>
    <n v="43548"/>
    <n v="65698"/>
    <n v="5.7700000000000001E-2"/>
    <n v="0.20399999999999999"/>
    <n v="1"/>
    <x v="0"/>
    <x v="0"/>
  </r>
  <r>
    <s v="SM_100557"/>
    <x v="3"/>
    <s v="image"/>
    <s v="Politics"/>
    <s v="fr"/>
    <s v="Brazil"/>
    <d v="2024-11-28T00:00:00"/>
    <s v="#viral #news #music"/>
    <n v="8170542"/>
    <n v="453919"/>
    <n v="28736"/>
    <n v="68927"/>
    <n v="6.7500000000000004E-2"/>
    <n v="-0.70199999999999996"/>
    <n v="1"/>
    <x v="0"/>
    <x v="1"/>
  </r>
  <r>
    <s v="SM_100558"/>
    <x v="1"/>
    <s v="video"/>
    <s v="Lifestyle"/>
    <s v="fr"/>
    <s v="US"/>
    <d v="2024-12-11T00:00:00"/>
    <s v="#viral #fyp #trending #music #ai"/>
    <n v="4431310"/>
    <n v="443131"/>
    <n v="42097"/>
    <n v="62540"/>
    <n v="0.1236"/>
    <n v="-0.57999999999999996"/>
    <n v="1"/>
    <x v="0"/>
    <x v="1"/>
  </r>
  <r>
    <s v="SM_100559"/>
    <x v="3"/>
    <s v="video"/>
    <s v="Entertainment"/>
    <s v="fr"/>
    <s v="UK"/>
    <d v="2024-06-29T00:00:00"/>
    <s v="#music #funny #viral #tech"/>
    <n v="4934540"/>
    <n v="246727"/>
    <n v="48836"/>
    <n v="10259"/>
    <n v="6.2E-2"/>
    <n v="-0.253"/>
    <n v="1"/>
    <x v="0"/>
    <x v="1"/>
  </r>
  <r>
    <s v="SM_100560"/>
    <x v="0"/>
    <s v="video"/>
    <s v="Politics"/>
    <s v="fr"/>
    <s v="US"/>
    <d v="2024-04-15T00:00:00"/>
    <s v="#funny #music"/>
    <n v="7228251"/>
    <n v="267713"/>
    <n v="28859"/>
    <n v="6257"/>
    <n v="4.19E-2"/>
    <n v="-0.52800000000000002"/>
    <n v="1"/>
    <x v="0"/>
    <x v="1"/>
  </r>
  <r>
    <s v="SM_100561"/>
    <x v="2"/>
    <s v="image"/>
    <s v="Sports"/>
    <s v="es"/>
    <s v="Brazil"/>
    <d v="2024-06-29T00:00:00"/>
    <s v="#trending #tech #music #viral #funny"/>
    <n v="6866182"/>
    <n v="361378"/>
    <n v="1656"/>
    <n v="50289"/>
    <n v="6.0199999999999997E-2"/>
    <n v="0.997"/>
    <n v="1"/>
    <x v="0"/>
    <x v="0"/>
  </r>
  <r>
    <s v="SM_100562"/>
    <x v="1"/>
    <s v="text"/>
    <s v="Politics"/>
    <s v="fr"/>
    <s v="UK"/>
    <d v="2024-01-13T00:00:00"/>
    <s v="#news #fyp #music #ai"/>
    <n v="169435"/>
    <n v="33887"/>
    <n v="21626"/>
    <n v="75565"/>
    <n v="0.77359999999999995"/>
    <n v="-0.158"/>
    <n v="0"/>
    <x v="1"/>
    <x v="1"/>
  </r>
  <r>
    <s v="SM_100563"/>
    <x v="1"/>
    <s v="text"/>
    <s v="Sports"/>
    <s v="fr"/>
    <s v="India"/>
    <d v="2024-05-11T00:00:00"/>
    <s v="#trending #fyp #music"/>
    <n v="5629605"/>
    <n v="296295"/>
    <n v="49816"/>
    <n v="30448"/>
    <n v="6.6900000000000001E-2"/>
    <n v="-0.76300000000000001"/>
    <n v="1"/>
    <x v="0"/>
    <x v="1"/>
  </r>
  <r>
    <s v="SM_100564"/>
    <x v="1"/>
    <s v="text"/>
    <s v="Lifestyle"/>
    <s v="hi"/>
    <s v="Pakistan"/>
    <d v="2024-12-10T00:00:00"/>
    <s v="#viral #fyp"/>
    <n v="7400295"/>
    <n v="493353"/>
    <n v="30259"/>
    <n v="84046"/>
    <n v="8.2100000000000006E-2"/>
    <n v="0.48"/>
    <n v="1"/>
    <x v="0"/>
    <x v="0"/>
  </r>
  <r>
    <s v="SM_100565"/>
    <x v="2"/>
    <s v="carousel"/>
    <s v="Entertainment"/>
    <s v="ur"/>
    <s v="US"/>
    <d v="2024-04-09T00:00:00"/>
    <s v="#trending #funny #fyp #ai #news"/>
    <n v="49994"/>
    <n v="3571"/>
    <n v="41801"/>
    <n v="95805"/>
    <n v="2.8239000000000001"/>
    <n v="-0.33100000000000002"/>
    <n v="0"/>
    <x v="1"/>
    <x v="1"/>
  </r>
  <r>
    <s v="SM_100566"/>
    <x v="2"/>
    <s v="image"/>
    <s v="Education"/>
    <s v="es"/>
    <s v="India"/>
    <d v="2024-08-25T00:00:00"/>
    <s v="#trending #ai #tech"/>
    <n v="8228064"/>
    <n v="316464"/>
    <n v="46703"/>
    <n v="93809"/>
    <n v="5.5500000000000001E-2"/>
    <n v="-0.45400000000000001"/>
    <n v="1"/>
    <x v="0"/>
    <x v="1"/>
  </r>
  <r>
    <s v="SM_100567"/>
    <x v="0"/>
    <s v="image"/>
    <s v="Entertainment"/>
    <s v="ur"/>
    <s v="India"/>
    <d v="2024-02-23T00:00:00"/>
    <s v="#trending #music #viral"/>
    <n v="1222956"/>
    <n v="53172"/>
    <n v="24575"/>
    <n v="83821"/>
    <n v="0.1321"/>
    <n v="0.88100000000000001"/>
    <n v="0"/>
    <x v="1"/>
    <x v="0"/>
  </r>
  <r>
    <s v="SM_100568"/>
    <x v="1"/>
    <s v="text"/>
    <s v="Entertainment"/>
    <s v="es"/>
    <s v="UK"/>
    <d v="2024-05-31T00:00:00"/>
    <s v="#fyp #trending #music #viral #ai"/>
    <n v="1919787"/>
    <n v="83469"/>
    <n v="25127"/>
    <n v="70554"/>
    <n v="9.3299999999999994E-2"/>
    <n v="-0.246"/>
    <n v="0"/>
    <x v="1"/>
    <x v="1"/>
  </r>
  <r>
    <s v="SM_100569"/>
    <x v="2"/>
    <s v="video"/>
    <s v="Technology"/>
    <s v="es"/>
    <s v="UK"/>
    <d v="2024-01-04T00:00:00"/>
    <s v="#trending #tech #funny"/>
    <n v="5675103"/>
    <n v="270243"/>
    <n v="22441"/>
    <n v="42964"/>
    <n v="5.91E-2"/>
    <n v="-0.13"/>
    <n v="1"/>
    <x v="0"/>
    <x v="1"/>
  </r>
  <r>
    <s v="SM_100570"/>
    <x v="2"/>
    <s v="video"/>
    <s v="Politics"/>
    <s v="es"/>
    <s v="India"/>
    <d v="2024-12-24T00:00:00"/>
    <s v="#ai #fyp"/>
    <n v="3348760"/>
    <n v="418595"/>
    <n v="43368"/>
    <n v="26202"/>
    <n v="0.14580000000000001"/>
    <n v="-0.9"/>
    <n v="1"/>
    <x v="0"/>
    <x v="1"/>
  </r>
  <r>
    <s v="SM_100571"/>
    <x v="0"/>
    <s v="text"/>
    <s v="Sports"/>
    <s v="ur"/>
    <s v="UK"/>
    <d v="2024-03-10T00:00:00"/>
    <s v="#tech #trending #fyp #ai"/>
    <n v="12598040"/>
    <n v="449930"/>
    <n v="5110"/>
    <n v="94849"/>
    <n v="4.36E-2"/>
    <n v="0.45900000000000002"/>
    <n v="1"/>
    <x v="0"/>
    <x v="0"/>
  </r>
  <r>
    <s v="SM_100572"/>
    <x v="0"/>
    <s v="carousel"/>
    <s v="Education"/>
    <s v="ur"/>
    <s v="Brazil"/>
    <d v="2024-06-22T00:00:00"/>
    <s v="#viral #funny"/>
    <n v="686736"/>
    <n v="42921"/>
    <n v="13498"/>
    <n v="17070"/>
    <n v="0.107"/>
    <n v="-0.72899999999999998"/>
    <n v="0"/>
    <x v="1"/>
    <x v="1"/>
  </r>
  <r>
    <s v="SM_100573"/>
    <x v="1"/>
    <s v="video"/>
    <s v="Entertainment"/>
    <s v="fr"/>
    <s v="India"/>
    <d v="2024-07-19T00:00:00"/>
    <s v="#trending #tech"/>
    <n v="4027578"/>
    <n v="138882"/>
    <n v="1624"/>
    <n v="13976"/>
    <n v="3.8399999999999997E-2"/>
    <n v="0.91300000000000003"/>
    <n v="1"/>
    <x v="0"/>
    <x v="0"/>
  </r>
  <r>
    <s v="SM_100574"/>
    <x v="0"/>
    <s v="image"/>
    <s v="Technology"/>
    <s v="ur"/>
    <s v="Pakistan"/>
    <d v="2024-12-30T00:00:00"/>
    <s v="#music #fyp #news"/>
    <n v="6637582"/>
    <n v="474113"/>
    <n v="1436"/>
    <n v="74604"/>
    <n v="8.2900000000000001E-2"/>
    <n v="-0.436"/>
    <n v="1"/>
    <x v="0"/>
    <x v="1"/>
  </r>
  <r>
    <s v="SM_100575"/>
    <x v="1"/>
    <s v="video"/>
    <s v="Entertainment"/>
    <s v="fr"/>
    <s v="India"/>
    <d v="2024-11-24T00:00:00"/>
    <s v="#fyp #viral #trending"/>
    <n v="12643749"/>
    <n v="468287"/>
    <n v="37771"/>
    <n v="163"/>
    <n v="0.04"/>
    <n v="0.81299999999999994"/>
    <n v="1"/>
    <x v="0"/>
    <x v="0"/>
  </r>
  <r>
    <s v="SM_100576"/>
    <x v="3"/>
    <s v="text"/>
    <s v="Lifestyle"/>
    <s v="fr"/>
    <s v="Pakistan"/>
    <d v="2024-05-11T00:00:00"/>
    <s v="#trending #viral"/>
    <n v="3852862"/>
    <n v="148187"/>
    <n v="32596"/>
    <n v="93584"/>
    <n v="7.1199999999999999E-2"/>
    <n v="-0.14199999999999999"/>
    <n v="1"/>
    <x v="0"/>
    <x v="1"/>
  </r>
  <r>
    <s v="SM_100577"/>
    <x v="0"/>
    <s v="carousel"/>
    <s v="Politics"/>
    <s v="en"/>
    <s v="Brazil"/>
    <d v="2024-05-10T00:00:00"/>
    <s v="#trending #ai #tech"/>
    <n v="4322240"/>
    <n v="270140"/>
    <n v="32977"/>
    <n v="49734"/>
    <n v="8.1600000000000006E-2"/>
    <n v="-0.68700000000000006"/>
    <n v="1"/>
    <x v="0"/>
    <x v="1"/>
  </r>
  <r>
    <s v="SM_100578"/>
    <x v="3"/>
    <s v="image"/>
    <s v="Lifestyle"/>
    <s v="es"/>
    <s v="US"/>
    <d v="2024-06-15T00:00:00"/>
    <s v="#trending #viral #fyp #ai #tech"/>
    <n v="5887002"/>
    <n v="267591"/>
    <n v="30319"/>
    <n v="2644"/>
    <n v="5.11E-2"/>
    <n v="0.81299999999999994"/>
    <n v="1"/>
    <x v="0"/>
    <x v="0"/>
  </r>
  <r>
    <s v="SM_100579"/>
    <x v="3"/>
    <s v="text"/>
    <s v="Technology"/>
    <s v="ur"/>
    <s v="India"/>
    <d v="2024-09-15T00:00:00"/>
    <s v="#news #music"/>
    <n v="8054376"/>
    <n v="366108"/>
    <n v="15897"/>
    <n v="47300"/>
    <n v="5.33E-2"/>
    <n v="-0.17799999999999999"/>
    <n v="1"/>
    <x v="0"/>
    <x v="1"/>
  </r>
  <r>
    <s v="SM_100580"/>
    <x v="3"/>
    <s v="image"/>
    <s v="Politics"/>
    <s v="ur"/>
    <s v="US"/>
    <d v="2024-07-31T00:00:00"/>
    <s v="#funny #fyp"/>
    <n v="6411160"/>
    <n v="228970"/>
    <n v="31363"/>
    <n v="14290"/>
    <n v="4.2799999999999998E-2"/>
    <n v="9.7000000000000003E-2"/>
    <n v="1"/>
    <x v="0"/>
    <x v="0"/>
  </r>
  <r>
    <s v="SM_100581"/>
    <x v="1"/>
    <s v="carousel"/>
    <s v="Sports"/>
    <s v="hi"/>
    <s v="US"/>
    <d v="2024-11-02T00:00:00"/>
    <s v="#ai #music"/>
    <n v="3520314"/>
    <n v="251451"/>
    <n v="11923"/>
    <n v="65429"/>
    <n v="9.3399999999999997E-2"/>
    <n v="0.65600000000000003"/>
    <n v="1"/>
    <x v="0"/>
    <x v="0"/>
  </r>
  <r>
    <s v="SM_100582"/>
    <x v="0"/>
    <s v="text"/>
    <s v="Sports"/>
    <s v="fr"/>
    <s v="Pakistan"/>
    <d v="2024-10-18T00:00:00"/>
    <s v="#trending #viral"/>
    <n v="14371791"/>
    <n v="495579"/>
    <n v="45956"/>
    <n v="22670"/>
    <n v="3.9300000000000002E-2"/>
    <n v="-1.0999999999999999E-2"/>
    <n v="1"/>
    <x v="0"/>
    <x v="1"/>
  </r>
  <r>
    <s v="SM_100583"/>
    <x v="0"/>
    <s v="image"/>
    <s v="Education"/>
    <s v="en"/>
    <s v="UK"/>
    <d v="2024-05-15T00:00:00"/>
    <s v="#viral #music"/>
    <n v="2268216"/>
    <n v="252024"/>
    <n v="28233"/>
    <n v="34522"/>
    <n v="0.13880000000000001"/>
    <n v="0.13100000000000001"/>
    <n v="1"/>
    <x v="0"/>
    <x v="0"/>
  </r>
  <r>
    <s v="SM_100584"/>
    <x v="3"/>
    <s v="carousel"/>
    <s v="Technology"/>
    <s v="fr"/>
    <s v="Brazil"/>
    <d v="2024-07-20T00:00:00"/>
    <s v="#trending #music #ai"/>
    <n v="4489056"/>
    <n v="280566"/>
    <n v="22365"/>
    <n v="62293"/>
    <n v="8.14E-2"/>
    <n v="-0.30099999999999999"/>
    <n v="1"/>
    <x v="0"/>
    <x v="1"/>
  </r>
  <r>
    <s v="SM_100585"/>
    <x v="3"/>
    <s v="video"/>
    <s v="Technology"/>
    <s v="fr"/>
    <s v="Pakistan"/>
    <d v="2024-08-16T00:00:00"/>
    <s v="#trending #music #viral"/>
    <n v="8819500"/>
    <n v="352780"/>
    <n v="6309"/>
    <n v="7346"/>
    <n v="4.1500000000000002E-2"/>
    <n v="-0.54900000000000004"/>
    <n v="1"/>
    <x v="0"/>
    <x v="1"/>
  </r>
  <r>
    <s v="SM_100586"/>
    <x v="3"/>
    <s v="carousel"/>
    <s v="Entertainment"/>
    <s v="es"/>
    <s v="UK"/>
    <d v="2024-07-24T00:00:00"/>
    <s v="#funny #viral #trending #tech"/>
    <n v="13010463"/>
    <n v="481869"/>
    <n v="15357"/>
    <n v="33366"/>
    <n v="4.0800000000000003E-2"/>
    <n v="0.09"/>
    <n v="1"/>
    <x v="0"/>
    <x v="0"/>
  </r>
  <r>
    <s v="SM_100587"/>
    <x v="0"/>
    <s v="image"/>
    <s v="Technology"/>
    <s v="fr"/>
    <s v="US"/>
    <d v="2024-02-01T00:00:00"/>
    <s v="#fyp #ai"/>
    <n v="1239522"/>
    <n v="206587"/>
    <n v="32321"/>
    <n v="98877"/>
    <n v="0.27250000000000002"/>
    <n v="-0.192"/>
    <n v="0"/>
    <x v="1"/>
    <x v="1"/>
  </r>
  <r>
    <s v="SM_100588"/>
    <x v="2"/>
    <s v="text"/>
    <s v="Politics"/>
    <s v="fr"/>
    <s v="India"/>
    <d v="2024-01-12T00:00:00"/>
    <s v="#trending #ai #news"/>
    <n v="7298668"/>
    <n v="280718"/>
    <n v="46765"/>
    <n v="55719"/>
    <n v="5.2499999999999998E-2"/>
    <n v="9.8000000000000004E-2"/>
    <n v="1"/>
    <x v="0"/>
    <x v="0"/>
  </r>
  <r>
    <s v="SM_100589"/>
    <x v="1"/>
    <s v="text"/>
    <s v="Politics"/>
    <s v="ur"/>
    <s v="Pakistan"/>
    <d v="2024-06-01T00:00:00"/>
    <s v="#news #trending"/>
    <n v="6446790"/>
    <n v="460485"/>
    <n v="12490"/>
    <n v="69185"/>
    <n v="8.4099999999999994E-2"/>
    <n v="-0.66800000000000004"/>
    <n v="1"/>
    <x v="0"/>
    <x v="1"/>
  </r>
  <r>
    <s v="SM_100590"/>
    <x v="0"/>
    <s v="video"/>
    <s v="Entertainment"/>
    <s v="ur"/>
    <s v="Brazil"/>
    <d v="2024-02-14T00:00:00"/>
    <s v="#music #trending"/>
    <n v="1169798"/>
    <n v="83557"/>
    <n v="14362"/>
    <n v="68674"/>
    <n v="0.1424"/>
    <n v="-7.4999999999999997E-2"/>
    <n v="0"/>
    <x v="1"/>
    <x v="1"/>
  </r>
  <r>
    <s v="SM_100591"/>
    <x v="1"/>
    <s v="video"/>
    <s v="Politics"/>
    <s v="fr"/>
    <s v="Brazil"/>
    <d v="2024-11-18T00:00:00"/>
    <s v="#ai #tech"/>
    <n v="1058321"/>
    <n v="96211"/>
    <n v="12727"/>
    <n v="12925"/>
    <n v="0.11509999999999999"/>
    <n v="9.0999999999999998E-2"/>
    <n v="0"/>
    <x v="1"/>
    <x v="0"/>
  </r>
  <r>
    <s v="SM_100592"/>
    <x v="1"/>
    <s v="text"/>
    <s v="Education"/>
    <s v="hi"/>
    <s v="Pakistan"/>
    <d v="2024-05-07T00:00:00"/>
    <s v="#tech #fyp #news #ai #music"/>
    <n v="1038394"/>
    <n v="74171"/>
    <n v="24492"/>
    <n v="30652"/>
    <n v="0.1245"/>
    <n v="0.95599999999999996"/>
    <n v="0"/>
    <x v="1"/>
    <x v="0"/>
  </r>
  <r>
    <s v="SM_100593"/>
    <x v="1"/>
    <s v="carousel"/>
    <s v="Entertainment"/>
    <s v="en"/>
    <s v="Brazil"/>
    <d v="2024-01-31T00:00:00"/>
    <s v="#fyp #ai #viral #tech #music"/>
    <n v="2098866"/>
    <n v="190806"/>
    <n v="34627"/>
    <n v="10801"/>
    <n v="0.11260000000000001"/>
    <n v="0.74399999999999999"/>
    <n v="1"/>
    <x v="0"/>
    <x v="0"/>
  </r>
  <r>
    <s v="SM_100594"/>
    <x v="1"/>
    <s v="carousel"/>
    <s v="Technology"/>
    <s v="ur"/>
    <s v="Pakistan"/>
    <d v="2024-04-22T00:00:00"/>
    <s v="#fyp #ai #trending"/>
    <n v="4945848"/>
    <n v="206077"/>
    <n v="9288"/>
    <n v="30574"/>
    <n v="4.9700000000000001E-2"/>
    <n v="3.9E-2"/>
    <n v="1"/>
    <x v="0"/>
    <x v="0"/>
  </r>
  <r>
    <s v="SM_100595"/>
    <x v="0"/>
    <s v="text"/>
    <s v="Entertainment"/>
    <s v="ur"/>
    <s v="US"/>
    <d v="2024-02-10T00:00:00"/>
    <s v="#music #ai"/>
    <n v="3861313"/>
    <n v="203227"/>
    <n v="10988"/>
    <n v="96469"/>
    <n v="8.0500000000000002E-2"/>
    <n v="0.75900000000000001"/>
    <n v="1"/>
    <x v="0"/>
    <x v="0"/>
  </r>
  <r>
    <s v="SM_100596"/>
    <x v="2"/>
    <s v="image"/>
    <s v="Politics"/>
    <s v="en"/>
    <s v="India"/>
    <d v="2024-05-30T00:00:00"/>
    <s v="#music #ai #news #fyp #tech"/>
    <n v="5307315"/>
    <n v="408255"/>
    <n v="786"/>
    <n v="56701"/>
    <n v="8.7800000000000003E-2"/>
    <n v="0.12"/>
    <n v="1"/>
    <x v="0"/>
    <x v="0"/>
  </r>
  <r>
    <s v="SM_100597"/>
    <x v="1"/>
    <s v="text"/>
    <s v="Politics"/>
    <s v="en"/>
    <s v="UK"/>
    <d v="2024-07-29T00:00:00"/>
    <s v="#trending #music #funny #news #fyp"/>
    <n v="4791724"/>
    <n v="171133"/>
    <n v="29123"/>
    <n v="81817"/>
    <n v="5.8900000000000001E-2"/>
    <n v="-7.1999999999999995E-2"/>
    <n v="1"/>
    <x v="0"/>
    <x v="1"/>
  </r>
  <r>
    <s v="SM_100598"/>
    <x v="1"/>
    <s v="text"/>
    <s v="Lifestyle"/>
    <s v="en"/>
    <s v="Brazil"/>
    <d v="2024-03-13T00:00:00"/>
    <s v="#news #viral #tech #ai #music"/>
    <n v="2437722"/>
    <n v="174123"/>
    <n v="25648"/>
    <n v="23649"/>
    <n v="9.1700000000000004E-2"/>
    <n v="-4.0000000000000001E-3"/>
    <n v="1"/>
    <x v="0"/>
    <x v="1"/>
  </r>
  <r>
    <s v="SM_100599"/>
    <x v="2"/>
    <s v="text"/>
    <s v="Sports"/>
    <s v="en"/>
    <s v="Pakistan"/>
    <d v="2024-04-05T00:00:00"/>
    <s v="#funny #viral"/>
    <n v="619237"/>
    <n v="21353"/>
    <n v="48568"/>
    <n v="26391"/>
    <n v="0.1555"/>
    <n v="-0.20499999999999999"/>
    <n v="0"/>
    <x v="1"/>
    <x v="1"/>
  </r>
  <r>
    <s v="SM_100600"/>
    <x v="1"/>
    <s v="carousel"/>
    <s v="Education"/>
    <s v="en"/>
    <s v="UK"/>
    <d v="2024-12-29T00:00:00"/>
    <s v="#music #trending"/>
    <n v="2390850"/>
    <n v="103950"/>
    <n v="32663"/>
    <n v="6853"/>
    <n v="0.06"/>
    <n v="-0.60899999999999999"/>
    <n v="1"/>
    <x v="0"/>
    <x v="1"/>
  </r>
  <r>
    <s v="SM_100601"/>
    <x v="0"/>
    <s v="image"/>
    <s v="Technology"/>
    <s v="en"/>
    <s v="India"/>
    <d v="2024-01-30T00:00:00"/>
    <s v="#ai #news #fyp"/>
    <n v="4344483"/>
    <n v="334191"/>
    <n v="49164"/>
    <n v="51708"/>
    <n v="0.10009999999999999"/>
    <n v="0.155"/>
    <n v="1"/>
    <x v="0"/>
    <x v="0"/>
  </r>
  <r>
    <s v="SM_100602"/>
    <x v="1"/>
    <s v="text"/>
    <s v="Education"/>
    <s v="es"/>
    <s v="UK"/>
    <d v="2024-09-28T00:00:00"/>
    <s v="#music #news #tech"/>
    <n v="3403608"/>
    <n v="261816"/>
    <n v="7244"/>
    <n v="6711"/>
    <n v="8.1000000000000003E-2"/>
    <n v="-0.20799999999999999"/>
    <n v="1"/>
    <x v="0"/>
    <x v="1"/>
  </r>
  <r>
    <s v="SM_100603"/>
    <x v="0"/>
    <s v="video"/>
    <s v="Education"/>
    <s v="fr"/>
    <s v="US"/>
    <d v="2024-03-02T00:00:00"/>
    <s v="#news #ai #trending"/>
    <n v="4821410"/>
    <n v="219155"/>
    <n v="2290"/>
    <n v="37992"/>
    <n v="5.3800000000000001E-2"/>
    <n v="-0.68400000000000005"/>
    <n v="1"/>
    <x v="0"/>
    <x v="1"/>
  </r>
  <r>
    <s v="SM_100604"/>
    <x v="0"/>
    <s v="carousel"/>
    <s v="Entertainment"/>
    <s v="ur"/>
    <s v="UK"/>
    <d v="2024-04-04T00:00:00"/>
    <s v="#tech #funny #trending #ai #viral"/>
    <n v="2534730"/>
    <n v="422455"/>
    <n v="19914"/>
    <n v="77068"/>
    <n v="0.2049"/>
    <n v="-0.36599999999999999"/>
    <n v="1"/>
    <x v="0"/>
    <x v="1"/>
  </r>
  <r>
    <s v="SM_100605"/>
    <x v="0"/>
    <s v="carousel"/>
    <s v="Sports"/>
    <s v="es"/>
    <s v="UK"/>
    <d v="2024-01-19T00:00:00"/>
    <s v="#tech #music"/>
    <n v="145860"/>
    <n v="6630"/>
    <n v="11121"/>
    <n v="65795"/>
    <n v="0.57279999999999998"/>
    <n v="-0.66200000000000003"/>
    <n v="0"/>
    <x v="1"/>
    <x v="1"/>
  </r>
  <r>
    <s v="SM_100606"/>
    <x v="2"/>
    <s v="image"/>
    <s v="Entertainment"/>
    <s v="ur"/>
    <s v="Pakistan"/>
    <d v="2024-05-04T00:00:00"/>
    <s v="#funny #fyp #trending"/>
    <n v="10798515"/>
    <n v="399945"/>
    <n v="43941"/>
    <n v="85121"/>
    <n v="4.9000000000000002E-2"/>
    <n v="-0.63200000000000001"/>
    <n v="1"/>
    <x v="0"/>
    <x v="1"/>
  </r>
  <r>
    <s v="SM_100607"/>
    <x v="2"/>
    <s v="carousel"/>
    <s v="Technology"/>
    <s v="en"/>
    <s v="US"/>
    <d v="2024-02-04T00:00:00"/>
    <s v="#tech #fyp #viral #music"/>
    <n v="4434360"/>
    <n v="295624"/>
    <n v="46976"/>
    <n v="17072"/>
    <n v="8.1100000000000005E-2"/>
    <n v="-0.374"/>
    <n v="1"/>
    <x v="0"/>
    <x v="1"/>
  </r>
  <r>
    <s v="SM_100608"/>
    <x v="2"/>
    <s v="carousel"/>
    <s v="Lifestyle"/>
    <s v="es"/>
    <s v="Brazil"/>
    <d v="2024-11-30T00:00:00"/>
    <s v="#fyp #music #news"/>
    <n v="1040026"/>
    <n v="40001"/>
    <n v="11210"/>
    <n v="55662"/>
    <n v="0.1028"/>
    <n v="0.71399999999999997"/>
    <n v="0"/>
    <x v="1"/>
    <x v="0"/>
  </r>
  <r>
    <s v="SM_100609"/>
    <x v="2"/>
    <s v="carousel"/>
    <s v="Lifestyle"/>
    <s v="fr"/>
    <s v="India"/>
    <d v="2024-05-02T00:00:00"/>
    <s v="#news #ai #funny"/>
    <n v="6592940"/>
    <n v="387820"/>
    <n v="15154"/>
    <n v="54401"/>
    <n v="6.9400000000000003E-2"/>
    <n v="0.96799999999999997"/>
    <n v="1"/>
    <x v="0"/>
    <x v="0"/>
  </r>
  <r>
    <s v="SM_100610"/>
    <x v="0"/>
    <s v="video"/>
    <s v="Entertainment"/>
    <s v="es"/>
    <s v="Pakistan"/>
    <d v="2024-04-24T00:00:00"/>
    <s v="#viral #trending #music #fyp #funny"/>
    <n v="2520000"/>
    <n v="315000"/>
    <n v="49826"/>
    <n v="56482"/>
    <n v="0.16719999999999999"/>
    <n v="0.99399999999999999"/>
    <n v="1"/>
    <x v="0"/>
    <x v="0"/>
  </r>
  <r>
    <s v="SM_100611"/>
    <x v="2"/>
    <s v="carousel"/>
    <s v="Lifestyle"/>
    <s v="en"/>
    <s v="Brazil"/>
    <d v="2024-02-22T00:00:00"/>
    <s v="#funny #viral #tech"/>
    <n v="1784133"/>
    <n v="198237"/>
    <n v="26175"/>
    <n v="8439"/>
    <n v="0.1305"/>
    <n v="0.12"/>
    <n v="0"/>
    <x v="1"/>
    <x v="0"/>
  </r>
  <r>
    <s v="SM_100612"/>
    <x v="3"/>
    <s v="carousel"/>
    <s v="Lifestyle"/>
    <s v="en"/>
    <s v="UK"/>
    <d v="2024-05-07T00:00:00"/>
    <s v="#fyp #funny #news #trending"/>
    <n v="1440408"/>
    <n v="240068"/>
    <n v="26824"/>
    <n v="92052"/>
    <n v="0.2492"/>
    <n v="-0.57999999999999996"/>
    <n v="0"/>
    <x v="1"/>
    <x v="1"/>
  </r>
  <r>
    <s v="SM_100613"/>
    <x v="2"/>
    <s v="carousel"/>
    <s v="Lifestyle"/>
    <s v="fr"/>
    <s v="UK"/>
    <d v="2024-06-12T00:00:00"/>
    <s v="#news #ai #funny #music #fyp"/>
    <n v="2858440"/>
    <n v="219880"/>
    <n v="32999"/>
    <n v="15037"/>
    <n v="9.3700000000000006E-2"/>
    <n v="0.63800000000000001"/>
    <n v="1"/>
    <x v="0"/>
    <x v="0"/>
  </r>
  <r>
    <s v="SM_100614"/>
    <x v="2"/>
    <s v="video"/>
    <s v="Technology"/>
    <s v="en"/>
    <s v="UK"/>
    <d v="2024-11-08T00:00:00"/>
    <s v="#news #funny #trending"/>
    <n v="1532240"/>
    <n v="95765"/>
    <n v="650"/>
    <n v="30931"/>
    <n v="8.3099999999999993E-2"/>
    <n v="0.97599999999999998"/>
    <n v="0"/>
    <x v="1"/>
    <x v="0"/>
  </r>
  <r>
    <s v="SM_100615"/>
    <x v="2"/>
    <s v="carousel"/>
    <s v="Sports"/>
    <s v="en"/>
    <s v="UK"/>
    <d v="2024-08-28T00:00:00"/>
    <s v="#news #music #trending"/>
    <n v="2842593"/>
    <n v="218661"/>
    <n v="46448"/>
    <n v="26476"/>
    <n v="0.1026"/>
    <n v="-0.28399999999999997"/>
    <n v="1"/>
    <x v="0"/>
    <x v="1"/>
  </r>
  <r>
    <s v="SM_100616"/>
    <x v="3"/>
    <s v="text"/>
    <s v="Entertainment"/>
    <s v="fr"/>
    <s v="UK"/>
    <d v="2024-03-10T00:00:00"/>
    <s v="#tech #trending #viral #news #funny"/>
    <n v="4936784"/>
    <n v="308549"/>
    <n v="46042"/>
    <n v="9347"/>
    <n v="7.3700000000000002E-2"/>
    <n v="-0.33"/>
    <n v="1"/>
    <x v="0"/>
    <x v="1"/>
  </r>
  <r>
    <s v="SM_100617"/>
    <x v="2"/>
    <s v="image"/>
    <s v="Education"/>
    <s v="ur"/>
    <s v="Pakistan"/>
    <d v="2024-04-21T00:00:00"/>
    <s v="#news #fyp #tech #funny"/>
    <n v="6682284"/>
    <n v="238653"/>
    <n v="4084"/>
    <n v="36117"/>
    <n v="4.1700000000000001E-2"/>
    <n v="-0.82599999999999996"/>
    <n v="1"/>
    <x v="0"/>
    <x v="1"/>
  </r>
  <r>
    <s v="SM_100618"/>
    <x v="0"/>
    <s v="image"/>
    <s v="Education"/>
    <s v="en"/>
    <s v="UK"/>
    <d v="2024-06-06T00:00:00"/>
    <s v="#trending #fyp #ai #viral #funny"/>
    <n v="8589408"/>
    <n v="357892"/>
    <n v="25561"/>
    <n v="59043"/>
    <n v="5.1499999999999997E-2"/>
    <n v="0.81100000000000005"/>
    <n v="1"/>
    <x v="0"/>
    <x v="0"/>
  </r>
  <r>
    <s v="SM_100619"/>
    <x v="3"/>
    <s v="text"/>
    <s v="Lifestyle"/>
    <s v="ur"/>
    <s v="Brazil"/>
    <d v="2024-03-29T00:00:00"/>
    <s v="#news #trending"/>
    <n v="3047370"/>
    <n v="203158"/>
    <n v="13235"/>
    <n v="29010"/>
    <n v="8.0500000000000002E-2"/>
    <n v="0.30199999999999999"/>
    <n v="1"/>
    <x v="0"/>
    <x v="0"/>
  </r>
  <r>
    <s v="SM_100620"/>
    <x v="2"/>
    <s v="carousel"/>
    <s v="Politics"/>
    <s v="hi"/>
    <s v="Pakistan"/>
    <d v="2024-08-14T00:00:00"/>
    <s v="#fyp #funny #ai"/>
    <n v="7123599"/>
    <n v="339219"/>
    <n v="41860"/>
    <n v="81558"/>
    <n v="6.4899999999999999E-2"/>
    <n v="0.68300000000000005"/>
    <n v="1"/>
    <x v="0"/>
    <x v="0"/>
  </r>
  <r>
    <s v="SM_100621"/>
    <x v="3"/>
    <s v="image"/>
    <s v="Technology"/>
    <s v="en"/>
    <s v="Pakistan"/>
    <d v="2024-07-11T00:00:00"/>
    <s v="#ai #news #tech #trending"/>
    <n v="2879618"/>
    <n v="411374"/>
    <n v="11106"/>
    <n v="40719"/>
    <n v="0.16089999999999999"/>
    <n v="-0.93799999999999994"/>
    <n v="1"/>
    <x v="0"/>
    <x v="1"/>
  </r>
  <r>
    <s v="SM_100622"/>
    <x v="1"/>
    <s v="video"/>
    <s v="Lifestyle"/>
    <s v="ur"/>
    <s v="US"/>
    <d v="2024-05-08T00:00:00"/>
    <s v="#funny #news"/>
    <n v="1110816"/>
    <n v="158688"/>
    <n v="22438"/>
    <n v="1090"/>
    <n v="0.16400000000000001"/>
    <n v="0.373"/>
    <n v="0"/>
    <x v="1"/>
    <x v="0"/>
  </r>
  <r>
    <s v="SM_100623"/>
    <x v="1"/>
    <s v="video"/>
    <s v="Technology"/>
    <s v="fr"/>
    <s v="Pakistan"/>
    <d v="2024-11-02T00:00:00"/>
    <s v="#tech #funny #news #trending #viral"/>
    <n v="3411187"/>
    <n v="262399"/>
    <n v="1963"/>
    <n v="76230"/>
    <n v="9.98E-2"/>
    <n v="0.311"/>
    <n v="1"/>
    <x v="0"/>
    <x v="0"/>
  </r>
  <r>
    <s v="SM_100624"/>
    <x v="2"/>
    <s v="image"/>
    <s v="Technology"/>
    <s v="en"/>
    <s v="US"/>
    <d v="2024-03-30T00:00:00"/>
    <s v="#tech #ai #news #viral"/>
    <n v="5034636"/>
    <n v="186468"/>
    <n v="21452"/>
    <n v="36599"/>
    <n v="4.8599999999999997E-2"/>
    <n v="-0.84599999999999997"/>
    <n v="1"/>
    <x v="0"/>
    <x v="1"/>
  </r>
  <r>
    <s v="SM_100625"/>
    <x v="0"/>
    <s v="text"/>
    <s v="Technology"/>
    <s v="en"/>
    <s v="UK"/>
    <d v="2024-02-18T00:00:00"/>
    <s v="#ai #funny #fyp #music"/>
    <n v="3923538"/>
    <n v="206502"/>
    <n v="33214"/>
    <n v="87961"/>
    <n v="8.3500000000000005E-2"/>
    <n v="-0.38900000000000001"/>
    <n v="1"/>
    <x v="0"/>
    <x v="1"/>
  </r>
  <r>
    <s v="SM_100626"/>
    <x v="3"/>
    <s v="carousel"/>
    <s v="Education"/>
    <s v="hi"/>
    <s v="Brazil"/>
    <d v="2024-03-14T00:00:00"/>
    <s v="#music #viral #tech"/>
    <n v="2575800"/>
    <n v="103032"/>
    <n v="6375"/>
    <n v="9529"/>
    <n v="4.6199999999999998E-2"/>
    <n v="-0.183"/>
    <n v="1"/>
    <x v="0"/>
    <x v="1"/>
  </r>
  <r>
    <s v="SM_100627"/>
    <x v="1"/>
    <s v="text"/>
    <s v="Education"/>
    <s v="ur"/>
    <s v="India"/>
    <d v="2024-12-11T00:00:00"/>
    <s v="#trending #tech #viral #music #funny"/>
    <n v="6423920"/>
    <n v="401495"/>
    <n v="48786"/>
    <n v="55268"/>
    <n v="7.8700000000000006E-2"/>
    <n v="-0.53400000000000003"/>
    <n v="1"/>
    <x v="0"/>
    <x v="1"/>
  </r>
  <r>
    <s v="SM_100628"/>
    <x v="0"/>
    <s v="text"/>
    <s v="Sports"/>
    <s v="fr"/>
    <s v="Pakistan"/>
    <d v="2024-06-12T00:00:00"/>
    <s v="#trending #funny #news #tech"/>
    <n v="1679532"/>
    <n v="98796"/>
    <n v="44903"/>
    <n v="50940"/>
    <n v="0.1159"/>
    <n v="0.79800000000000004"/>
    <n v="0"/>
    <x v="1"/>
    <x v="0"/>
  </r>
  <r>
    <s v="SM_100629"/>
    <x v="3"/>
    <s v="carousel"/>
    <s v="Education"/>
    <s v="fr"/>
    <s v="Pakistan"/>
    <d v="2024-09-27T00:00:00"/>
    <s v="#viral #ai #fyp"/>
    <n v="1360530"/>
    <n v="50390"/>
    <n v="21130"/>
    <n v="72955"/>
    <n v="0.1062"/>
    <n v="-0.66200000000000003"/>
    <n v="0"/>
    <x v="1"/>
    <x v="1"/>
  </r>
  <r>
    <s v="SM_100630"/>
    <x v="1"/>
    <s v="video"/>
    <s v="Education"/>
    <s v="hi"/>
    <s v="US"/>
    <d v="2024-02-27T00:00:00"/>
    <s v="#viral #news #trending #music"/>
    <n v="4766130"/>
    <n v="476613"/>
    <n v="15228"/>
    <n v="72238"/>
    <n v="0.11840000000000001"/>
    <n v="-0.54700000000000004"/>
    <n v="1"/>
    <x v="0"/>
    <x v="1"/>
  </r>
  <r>
    <s v="SM_100631"/>
    <x v="0"/>
    <s v="video"/>
    <s v="Entertainment"/>
    <s v="ur"/>
    <s v="India"/>
    <d v="2024-08-17T00:00:00"/>
    <s v="#viral #tech #music #fyp"/>
    <n v="606312"/>
    <n v="86616"/>
    <n v="9036"/>
    <n v="15038"/>
    <n v="0.18260000000000001"/>
    <n v="-0.17399999999999999"/>
    <n v="0"/>
    <x v="1"/>
    <x v="1"/>
  </r>
  <r>
    <s v="SM_100632"/>
    <x v="1"/>
    <s v="image"/>
    <s v="Education"/>
    <s v="es"/>
    <s v="Brazil"/>
    <d v="2024-12-03T00:00:00"/>
    <s v="#tech #fyp #music #news #viral"/>
    <n v="11159856"/>
    <n v="464994"/>
    <n v="12114"/>
    <n v="22011"/>
    <n v="4.4699999999999997E-2"/>
    <n v="-0.96399999999999997"/>
    <n v="1"/>
    <x v="0"/>
    <x v="1"/>
  </r>
  <r>
    <s v="SM_100633"/>
    <x v="2"/>
    <s v="image"/>
    <s v="Politics"/>
    <s v="fr"/>
    <s v="US"/>
    <d v="2024-08-10T00:00:00"/>
    <s v="#viral #news"/>
    <n v="2462830"/>
    <n v="246283"/>
    <n v="23388"/>
    <n v="61710"/>
    <n v="0.1346"/>
    <n v="-0.44"/>
    <n v="1"/>
    <x v="0"/>
    <x v="1"/>
  </r>
  <r>
    <s v="SM_100634"/>
    <x v="2"/>
    <s v="text"/>
    <s v="Technology"/>
    <s v="fr"/>
    <s v="US"/>
    <d v="2024-01-11T00:00:00"/>
    <s v="#fyp #trending #ai #funny"/>
    <n v="5050710"/>
    <n v="280595"/>
    <n v="4093"/>
    <n v="53331"/>
    <n v="6.6900000000000001E-2"/>
    <n v="0.82199999999999995"/>
    <n v="1"/>
    <x v="0"/>
    <x v="0"/>
  </r>
  <r>
    <s v="SM_100635"/>
    <x v="1"/>
    <s v="carousel"/>
    <s v="Sports"/>
    <s v="en"/>
    <s v="Pakistan"/>
    <d v="2024-05-31T00:00:00"/>
    <s v="#funny #ai"/>
    <n v="5738808"/>
    <n v="239117"/>
    <n v="21783"/>
    <n v="24265"/>
    <n v="4.9700000000000001E-2"/>
    <n v="0.96399999999999997"/>
    <n v="1"/>
    <x v="0"/>
    <x v="0"/>
  </r>
  <r>
    <s v="SM_100636"/>
    <x v="2"/>
    <s v="text"/>
    <s v="Politics"/>
    <s v="hi"/>
    <s v="US"/>
    <d v="2024-10-10T00:00:00"/>
    <s v="#news #funny #trending"/>
    <n v="768555"/>
    <n v="28465"/>
    <n v="7235"/>
    <n v="48201"/>
    <n v="0.10920000000000001"/>
    <n v="6.5000000000000002E-2"/>
    <n v="0"/>
    <x v="1"/>
    <x v="0"/>
  </r>
  <r>
    <s v="SM_100637"/>
    <x v="1"/>
    <s v="video"/>
    <s v="Politics"/>
    <s v="en"/>
    <s v="US"/>
    <d v="2024-04-26T00:00:00"/>
    <s v="#news #tech #ai #music"/>
    <n v="8521350"/>
    <n v="340854"/>
    <n v="4498"/>
    <n v="50086"/>
    <n v="4.6399999999999997E-2"/>
    <n v="8.1000000000000003E-2"/>
    <n v="1"/>
    <x v="0"/>
    <x v="0"/>
  </r>
  <r>
    <s v="SM_100638"/>
    <x v="1"/>
    <s v="video"/>
    <s v="Entertainment"/>
    <s v="fr"/>
    <s v="US"/>
    <d v="2024-03-17T00:00:00"/>
    <s v="#viral #trending #funny #fyp #music"/>
    <n v="5524623"/>
    <n v="424971"/>
    <n v="43477"/>
    <n v="49438"/>
    <n v="9.3700000000000006E-2"/>
    <n v="-0.97499999999999998"/>
    <n v="1"/>
    <x v="0"/>
    <x v="1"/>
  </r>
  <r>
    <s v="SM_100639"/>
    <x v="1"/>
    <s v="image"/>
    <s v="Entertainment"/>
    <s v="ur"/>
    <s v="UK"/>
    <d v="2024-06-16T00:00:00"/>
    <s v="#funny #ai #music #news"/>
    <n v="1159125"/>
    <n v="77275"/>
    <n v="47197"/>
    <n v="46734"/>
    <n v="0.1477"/>
    <n v="-0.85199999999999998"/>
    <n v="0"/>
    <x v="1"/>
    <x v="1"/>
  </r>
  <r>
    <s v="SM_100640"/>
    <x v="1"/>
    <s v="image"/>
    <s v="Technology"/>
    <s v="fr"/>
    <s v="US"/>
    <d v="2024-02-10T00:00:00"/>
    <s v="#news #ai"/>
    <n v="1851356"/>
    <n v="142412"/>
    <n v="32703"/>
    <n v="92494"/>
    <n v="0.14449999999999999"/>
    <n v="-0.90400000000000003"/>
    <n v="0"/>
    <x v="1"/>
    <x v="1"/>
  </r>
  <r>
    <s v="SM_100641"/>
    <x v="0"/>
    <s v="text"/>
    <s v="Education"/>
    <s v="fr"/>
    <s v="US"/>
    <d v="2024-07-23T00:00:00"/>
    <s v="#news #music #ai #funny"/>
    <n v="4869054"/>
    <n v="270503"/>
    <n v="14854"/>
    <n v="81769"/>
    <n v="7.5399999999999995E-2"/>
    <n v="-0.31900000000000001"/>
    <n v="1"/>
    <x v="0"/>
    <x v="1"/>
  </r>
  <r>
    <s v="SM_100642"/>
    <x v="0"/>
    <s v="image"/>
    <s v="Technology"/>
    <s v="hi"/>
    <s v="UK"/>
    <d v="2024-10-03T00:00:00"/>
    <s v="#tech #music #trending"/>
    <n v="1263900"/>
    <n v="63195"/>
    <n v="5379"/>
    <n v="86711"/>
    <n v="0.1229"/>
    <n v="-0.52100000000000002"/>
    <n v="0"/>
    <x v="1"/>
    <x v="1"/>
  </r>
  <r>
    <s v="SM_100643"/>
    <x v="2"/>
    <s v="video"/>
    <s v="Politics"/>
    <s v="es"/>
    <s v="UK"/>
    <d v="2024-01-10T00:00:00"/>
    <s v="#funny #trending #tech #music #viral"/>
    <n v="680652"/>
    <n v="97236"/>
    <n v="9890"/>
    <n v="59660"/>
    <n v="0.245"/>
    <n v="-0.46400000000000002"/>
    <n v="0"/>
    <x v="1"/>
    <x v="1"/>
  </r>
  <r>
    <s v="SM_100644"/>
    <x v="2"/>
    <s v="video"/>
    <s v="Entertainment"/>
    <s v="en"/>
    <s v="Brazil"/>
    <d v="2024-07-13T00:00:00"/>
    <s v="#viral #news #fyp #music"/>
    <n v="10562025"/>
    <n v="422481"/>
    <n v="1497"/>
    <n v="95999"/>
    <n v="4.9200000000000001E-2"/>
    <n v="-0.873"/>
    <n v="1"/>
    <x v="0"/>
    <x v="1"/>
  </r>
  <r>
    <s v="SM_100645"/>
    <x v="2"/>
    <s v="image"/>
    <s v="Lifestyle"/>
    <s v="hi"/>
    <s v="Brazil"/>
    <d v="2024-01-28T00:00:00"/>
    <s v="#funny #music #ai"/>
    <n v="5134192"/>
    <n v="320887"/>
    <n v="44905"/>
    <n v="42947"/>
    <n v="7.9600000000000004E-2"/>
    <n v="-0.77"/>
    <n v="1"/>
    <x v="0"/>
    <x v="1"/>
  </r>
  <r>
    <s v="SM_100646"/>
    <x v="3"/>
    <s v="image"/>
    <s v="Entertainment"/>
    <s v="en"/>
    <s v="UK"/>
    <d v="2024-09-24T00:00:00"/>
    <s v="#music #ai #funny #fyp"/>
    <n v="5991648"/>
    <n v="460896"/>
    <n v="7373"/>
    <n v="85437"/>
    <n v="9.2399999999999996E-2"/>
    <n v="0.33800000000000002"/>
    <n v="1"/>
    <x v="0"/>
    <x v="0"/>
  </r>
  <r>
    <s v="SM_100647"/>
    <x v="3"/>
    <s v="image"/>
    <s v="Education"/>
    <s v="hi"/>
    <s v="Pakistan"/>
    <d v="2024-05-20T00:00:00"/>
    <s v="#funny #ai"/>
    <n v="1357060"/>
    <n v="271412"/>
    <n v="20966"/>
    <n v="49880"/>
    <n v="0.25219999999999998"/>
    <n v="-0.95"/>
    <n v="0"/>
    <x v="1"/>
    <x v="1"/>
  </r>
  <r>
    <s v="SM_100648"/>
    <x v="0"/>
    <s v="text"/>
    <s v="Sports"/>
    <s v="fr"/>
    <s v="India"/>
    <d v="2024-12-24T00:00:00"/>
    <s v="#fyp #tech #ai #funny"/>
    <n v="7871392"/>
    <n v="491962"/>
    <n v="32179"/>
    <n v="99752"/>
    <n v="7.9299999999999995E-2"/>
    <n v="0.82099999999999995"/>
    <n v="1"/>
    <x v="0"/>
    <x v="0"/>
  </r>
  <r>
    <s v="SM_100649"/>
    <x v="1"/>
    <s v="image"/>
    <s v="Technology"/>
    <s v="hi"/>
    <s v="Brazil"/>
    <d v="2024-05-31T00:00:00"/>
    <s v="#tech #viral #trending #news"/>
    <n v="8018328"/>
    <n v="334097"/>
    <n v="49683"/>
    <n v="26650"/>
    <n v="5.1200000000000002E-2"/>
    <n v="-0.113"/>
    <n v="1"/>
    <x v="0"/>
    <x v="1"/>
  </r>
  <r>
    <s v="SM_100650"/>
    <x v="0"/>
    <s v="video"/>
    <s v="Entertainment"/>
    <s v="ur"/>
    <s v="US"/>
    <d v="2024-07-26T00:00:00"/>
    <s v="#music #viral #ai"/>
    <n v="1457390"/>
    <n v="145739"/>
    <n v="14873"/>
    <n v="89907"/>
    <n v="0.1719"/>
    <n v="0.183"/>
    <n v="0"/>
    <x v="1"/>
    <x v="0"/>
  </r>
  <r>
    <s v="SM_100651"/>
    <x v="0"/>
    <s v="carousel"/>
    <s v="Technology"/>
    <s v="fr"/>
    <s v="UK"/>
    <d v="2024-01-07T00:00:00"/>
    <s v="#viral #ai #music #news"/>
    <n v="3742706"/>
    <n v="340246"/>
    <n v="28808"/>
    <n v="18231"/>
    <n v="0.10349999999999999"/>
    <n v="-0.73699999999999999"/>
    <n v="1"/>
    <x v="0"/>
    <x v="1"/>
  </r>
  <r>
    <s v="SM_100652"/>
    <x v="2"/>
    <s v="carousel"/>
    <s v="Entertainment"/>
    <s v="hi"/>
    <s v="India"/>
    <d v="2024-08-03T00:00:00"/>
    <s v="#music #ai #trending #tech"/>
    <n v="3914199"/>
    <n v="230247"/>
    <n v="21914"/>
    <n v="30796"/>
    <n v="7.2300000000000003E-2"/>
    <n v="0.94199999999999995"/>
    <n v="1"/>
    <x v="0"/>
    <x v="0"/>
  </r>
  <r>
    <s v="SM_100653"/>
    <x v="0"/>
    <s v="carousel"/>
    <s v="Education"/>
    <s v="ur"/>
    <s v="Brazil"/>
    <d v="2024-07-17T00:00:00"/>
    <s v="#news #ai #fyp #music #viral"/>
    <n v="11876949"/>
    <n v="439887"/>
    <n v="198"/>
    <n v="17570"/>
    <n v="3.85E-2"/>
    <n v="0.96799999999999997"/>
    <n v="1"/>
    <x v="0"/>
    <x v="0"/>
  </r>
  <r>
    <s v="SM_100654"/>
    <x v="2"/>
    <s v="image"/>
    <s v="Entertainment"/>
    <s v="hi"/>
    <s v="US"/>
    <d v="2024-08-09T00:00:00"/>
    <s v="#funny #trending #ai #viral"/>
    <n v="1634990"/>
    <n v="163499"/>
    <n v="42075"/>
    <n v="85926"/>
    <n v="0.17829999999999999"/>
    <n v="0.78300000000000003"/>
    <n v="0"/>
    <x v="1"/>
    <x v="0"/>
  </r>
  <r>
    <s v="SM_100655"/>
    <x v="1"/>
    <s v="text"/>
    <s v="Sports"/>
    <s v="fr"/>
    <s v="Brazil"/>
    <d v="2024-07-07T00:00:00"/>
    <s v="#fyp #funny #viral #music"/>
    <n v="7795536"/>
    <n v="487221"/>
    <n v="26517"/>
    <n v="6717"/>
    <n v="6.6799999999999998E-2"/>
    <n v="0.20799999999999999"/>
    <n v="1"/>
    <x v="0"/>
    <x v="0"/>
  </r>
  <r>
    <s v="SM_100656"/>
    <x v="0"/>
    <s v="image"/>
    <s v="Sports"/>
    <s v="hi"/>
    <s v="US"/>
    <d v="2024-10-01T00:00:00"/>
    <s v="#news #viral"/>
    <n v="1897700"/>
    <n v="135550"/>
    <n v="40588"/>
    <n v="85372"/>
    <n v="0.13780000000000001"/>
    <n v="0.94299999999999995"/>
    <n v="0"/>
    <x v="1"/>
    <x v="0"/>
  </r>
  <r>
    <s v="SM_100657"/>
    <x v="1"/>
    <s v="text"/>
    <s v="Entertainment"/>
    <s v="en"/>
    <s v="India"/>
    <d v="2024-05-30T00:00:00"/>
    <s v="#tech #trending #viral #news #ai"/>
    <n v="1449280"/>
    <n v="207040"/>
    <n v="42609"/>
    <n v="68337"/>
    <n v="0.21940000000000001"/>
    <n v="-0.60799999999999998"/>
    <n v="0"/>
    <x v="1"/>
    <x v="1"/>
  </r>
  <r>
    <s v="SM_100658"/>
    <x v="2"/>
    <s v="carousel"/>
    <s v="Education"/>
    <s v="fr"/>
    <s v="US"/>
    <d v="2024-09-18T00:00:00"/>
    <s v="#trending #viral #fyp"/>
    <n v="6423696"/>
    <n v="267654"/>
    <n v="17844"/>
    <n v="56045"/>
    <n v="5.3199999999999997E-2"/>
    <n v="-0.58599999999999997"/>
    <n v="1"/>
    <x v="0"/>
    <x v="1"/>
  </r>
  <r>
    <s v="SM_100659"/>
    <x v="0"/>
    <s v="text"/>
    <s v="Politics"/>
    <s v="fr"/>
    <s v="Brazil"/>
    <d v="2024-03-22T00:00:00"/>
    <s v="#ai #music #tech #trending"/>
    <n v="8402352"/>
    <n v="400112"/>
    <n v="21185"/>
    <n v="54246"/>
    <n v="5.6599999999999998E-2"/>
    <n v="-0.98499999999999999"/>
    <n v="1"/>
    <x v="0"/>
    <x v="1"/>
  </r>
  <r>
    <s v="SM_100660"/>
    <x v="1"/>
    <s v="carousel"/>
    <s v="Politics"/>
    <s v="ur"/>
    <s v="India"/>
    <d v="2024-10-25T00:00:00"/>
    <s v="#music #tech"/>
    <n v="7699224"/>
    <n v="320801"/>
    <n v="17548"/>
    <n v="37419"/>
    <n v="4.8800000000000003E-2"/>
    <n v="-0.78400000000000003"/>
    <n v="1"/>
    <x v="0"/>
    <x v="1"/>
  </r>
  <r>
    <s v="SM_100661"/>
    <x v="1"/>
    <s v="video"/>
    <s v="Technology"/>
    <s v="en"/>
    <s v="Brazil"/>
    <d v="2024-09-24T00:00:00"/>
    <s v="#funny #viral"/>
    <n v="12407925"/>
    <n v="496317"/>
    <n v="30507"/>
    <n v="16725"/>
    <n v="4.3799999999999999E-2"/>
    <n v="0.14399999999999999"/>
    <n v="1"/>
    <x v="0"/>
    <x v="0"/>
  </r>
  <r>
    <s v="SM_100662"/>
    <x v="0"/>
    <s v="carousel"/>
    <s v="Entertainment"/>
    <s v="hi"/>
    <s v="UK"/>
    <d v="2024-07-19T00:00:00"/>
    <s v="#trending #fyp #music"/>
    <n v="10553946"/>
    <n v="405921"/>
    <n v="31342"/>
    <n v="5483"/>
    <n v="4.2000000000000003E-2"/>
    <n v="0.86399999999999999"/>
    <n v="1"/>
    <x v="0"/>
    <x v="0"/>
  </r>
  <r>
    <s v="SM_100663"/>
    <x v="0"/>
    <s v="text"/>
    <s v="Entertainment"/>
    <s v="es"/>
    <s v="Brazil"/>
    <d v="2024-11-08T00:00:00"/>
    <s v="#fyp #music #tech"/>
    <n v="2367612"/>
    <n v="182124"/>
    <n v="5468"/>
    <n v="70449"/>
    <n v="0.109"/>
    <n v="0.63600000000000001"/>
    <n v="1"/>
    <x v="0"/>
    <x v="0"/>
  </r>
  <r>
    <s v="SM_100664"/>
    <x v="3"/>
    <s v="video"/>
    <s v="Sports"/>
    <s v="fr"/>
    <s v="US"/>
    <d v="2024-06-16T00:00:00"/>
    <s v="#trending #tech"/>
    <n v="4977192"/>
    <n v="452472"/>
    <n v="35639"/>
    <n v="44603"/>
    <n v="0.107"/>
    <n v="0.15"/>
    <n v="1"/>
    <x v="0"/>
    <x v="0"/>
  </r>
  <r>
    <s v="SM_100665"/>
    <x v="3"/>
    <s v="text"/>
    <s v="Technology"/>
    <s v="hi"/>
    <s v="India"/>
    <d v="2024-05-12T00:00:00"/>
    <s v="#fyp #funny #music #news #tech"/>
    <n v="332310"/>
    <n v="22154"/>
    <n v="4497"/>
    <n v="22208"/>
    <n v="0.14699999999999999"/>
    <n v="-0.91"/>
    <n v="0"/>
    <x v="1"/>
    <x v="1"/>
  </r>
  <r>
    <s v="SM_100666"/>
    <x v="3"/>
    <s v="carousel"/>
    <s v="Sports"/>
    <s v="en"/>
    <s v="UK"/>
    <d v="2024-04-13T00:00:00"/>
    <s v="#trending #ai #viral #tech #fyp"/>
    <n v="2746044"/>
    <n v="152558"/>
    <n v="17745"/>
    <n v="59519"/>
    <n v="8.3699999999999997E-2"/>
    <n v="-0.67"/>
    <n v="1"/>
    <x v="0"/>
    <x v="1"/>
  </r>
  <r>
    <s v="SM_100667"/>
    <x v="0"/>
    <s v="video"/>
    <s v="Politics"/>
    <s v="fr"/>
    <s v="India"/>
    <d v="2024-02-01T00:00:00"/>
    <s v="#trending #music #ai #viral #fyp"/>
    <n v="5250180"/>
    <n v="437515"/>
    <n v="8215"/>
    <n v="44364"/>
    <n v="9.3299999999999994E-2"/>
    <n v="0.81499999999999995"/>
    <n v="1"/>
    <x v="0"/>
    <x v="0"/>
  </r>
  <r>
    <s v="SM_100668"/>
    <x v="3"/>
    <s v="video"/>
    <s v="Lifestyle"/>
    <s v="en"/>
    <s v="US"/>
    <d v="2024-02-18T00:00:00"/>
    <s v="#trending #music #news"/>
    <n v="3729120"/>
    <n v="186456"/>
    <n v="42097"/>
    <n v="72125"/>
    <n v="8.0600000000000005E-2"/>
    <n v="-0.40699999999999997"/>
    <n v="1"/>
    <x v="0"/>
    <x v="1"/>
  </r>
  <r>
    <s v="SM_100669"/>
    <x v="0"/>
    <s v="video"/>
    <s v="Entertainment"/>
    <s v="en"/>
    <s v="US"/>
    <d v="2024-06-14T00:00:00"/>
    <s v="#fyp #trending #funny"/>
    <n v="1757349"/>
    <n v="195261"/>
    <n v="33760"/>
    <n v="3322"/>
    <n v="0.13220000000000001"/>
    <n v="-0.997"/>
    <n v="0"/>
    <x v="1"/>
    <x v="1"/>
  </r>
  <r>
    <s v="SM_100670"/>
    <x v="0"/>
    <s v="text"/>
    <s v="Entertainment"/>
    <s v="hi"/>
    <s v="US"/>
    <d v="2024-11-01T00:00:00"/>
    <s v="#fyp #trending #music"/>
    <n v="3567518"/>
    <n v="209854"/>
    <n v="13659"/>
    <n v="52894"/>
    <n v="7.7499999999999999E-2"/>
    <n v="0.65900000000000003"/>
    <n v="1"/>
    <x v="0"/>
    <x v="0"/>
  </r>
  <r>
    <s v="SM_100671"/>
    <x v="3"/>
    <s v="text"/>
    <s v="Lifestyle"/>
    <s v="es"/>
    <s v="UK"/>
    <d v="2024-12-30T00:00:00"/>
    <s v="#viral #fyp #ai"/>
    <n v="2968504"/>
    <n v="134932"/>
    <n v="22195"/>
    <n v="67412"/>
    <n v="7.5600000000000001E-2"/>
    <n v="-0.48699999999999999"/>
    <n v="1"/>
    <x v="0"/>
    <x v="1"/>
  </r>
  <r>
    <s v="SM_100672"/>
    <x v="0"/>
    <s v="image"/>
    <s v="Politics"/>
    <s v="en"/>
    <s v="UK"/>
    <d v="2024-07-10T00:00:00"/>
    <s v="#fyp #tech #music #viral"/>
    <n v="306488"/>
    <n v="38311"/>
    <n v="17378"/>
    <n v="3745"/>
    <n v="0.19389999999999999"/>
    <n v="-0.26200000000000001"/>
    <n v="0"/>
    <x v="1"/>
    <x v="1"/>
  </r>
  <r>
    <s v="SM_100673"/>
    <x v="3"/>
    <s v="video"/>
    <s v="Lifestyle"/>
    <s v="es"/>
    <s v="US"/>
    <d v="2024-04-12T00:00:00"/>
    <s v="#funny #ai"/>
    <n v="2749320"/>
    <n v="229110"/>
    <n v="34547"/>
    <n v="10652"/>
    <n v="9.98E-2"/>
    <n v="0.502"/>
    <n v="1"/>
    <x v="0"/>
    <x v="0"/>
  </r>
  <r>
    <s v="SM_100674"/>
    <x v="1"/>
    <s v="carousel"/>
    <s v="Entertainment"/>
    <s v="fr"/>
    <s v="Pakistan"/>
    <d v="2024-05-06T00:00:00"/>
    <s v="#funny #news #trending #ai"/>
    <n v="8380188"/>
    <n v="364356"/>
    <n v="16720"/>
    <n v="44410"/>
    <n v="5.0799999999999998E-2"/>
    <n v="-0.28999999999999998"/>
    <n v="1"/>
    <x v="0"/>
    <x v="1"/>
  </r>
  <r>
    <s v="SM_100675"/>
    <x v="2"/>
    <s v="image"/>
    <s v="Technology"/>
    <s v="fr"/>
    <s v="UK"/>
    <d v="2024-02-15T00:00:00"/>
    <s v="#trending #fyp"/>
    <n v="4206722"/>
    <n v="323594"/>
    <n v="5894"/>
    <n v="36637"/>
    <n v="8.6999999999999994E-2"/>
    <n v="0.29299999999999998"/>
    <n v="1"/>
    <x v="0"/>
    <x v="0"/>
  </r>
  <r>
    <s v="SM_100676"/>
    <x v="2"/>
    <s v="image"/>
    <s v="Education"/>
    <s v="ur"/>
    <s v="US"/>
    <d v="2024-03-27T00:00:00"/>
    <s v="#funny #viral"/>
    <n v="9414372"/>
    <n v="427926"/>
    <n v="10063"/>
    <n v="74638"/>
    <n v="5.45E-2"/>
    <n v="-0.72199999999999998"/>
    <n v="1"/>
    <x v="0"/>
    <x v="1"/>
  </r>
  <r>
    <s v="SM_100677"/>
    <x v="0"/>
    <s v="text"/>
    <s v="Sports"/>
    <s v="es"/>
    <s v="UK"/>
    <d v="2024-01-03T00:00:00"/>
    <s v="#viral #news #funny"/>
    <n v="450100"/>
    <n v="64300"/>
    <n v="40317"/>
    <n v="46620"/>
    <n v="0.33600000000000002"/>
    <n v="0.44800000000000001"/>
    <n v="0"/>
    <x v="1"/>
    <x v="0"/>
  </r>
  <r>
    <s v="SM_100678"/>
    <x v="3"/>
    <s v="image"/>
    <s v="Sports"/>
    <s v="fr"/>
    <s v="US"/>
    <d v="2024-01-01T00:00:00"/>
    <s v="#viral #fyp"/>
    <n v="3223020"/>
    <n v="322302"/>
    <n v="11782"/>
    <n v="99933"/>
    <n v="0.13469999999999999"/>
    <n v="0.65800000000000003"/>
    <n v="1"/>
    <x v="0"/>
    <x v="0"/>
  </r>
  <r>
    <s v="SM_100679"/>
    <x v="3"/>
    <s v="video"/>
    <s v="Education"/>
    <s v="hi"/>
    <s v="Brazil"/>
    <d v="2024-04-08T00:00:00"/>
    <s v="#ai #music #news #funny #fyp"/>
    <n v="4718805"/>
    <n v="224705"/>
    <n v="6444"/>
    <n v="22786"/>
    <n v="5.3800000000000001E-2"/>
    <n v="0.39"/>
    <n v="1"/>
    <x v="0"/>
    <x v="0"/>
  </r>
  <r>
    <s v="SM_100680"/>
    <x v="1"/>
    <s v="video"/>
    <s v="Technology"/>
    <s v="es"/>
    <s v="India"/>
    <d v="2024-04-08T00:00:00"/>
    <s v="#tech #trending #viral"/>
    <n v="2553525"/>
    <n v="94575"/>
    <n v="2287"/>
    <n v="34625"/>
    <n v="5.1499999999999997E-2"/>
    <n v="0.154"/>
    <n v="1"/>
    <x v="0"/>
    <x v="0"/>
  </r>
  <r>
    <s v="SM_100681"/>
    <x v="1"/>
    <s v="carousel"/>
    <s v="Politics"/>
    <s v="es"/>
    <s v="Brazil"/>
    <d v="2024-11-09T00:00:00"/>
    <s v="#ai #music #viral #funny #fyp"/>
    <n v="3420417"/>
    <n v="162877"/>
    <n v="38249"/>
    <n v="74965"/>
    <n v="8.0699999999999994E-2"/>
    <n v="-0.56799999999999995"/>
    <n v="1"/>
    <x v="0"/>
    <x v="1"/>
  </r>
  <r>
    <s v="SM_100682"/>
    <x v="1"/>
    <s v="image"/>
    <s v="Politics"/>
    <s v="es"/>
    <s v="UK"/>
    <d v="2024-09-25T00:00:00"/>
    <s v="#ai #tech #viral"/>
    <n v="6859660"/>
    <n v="236540"/>
    <n v="7451"/>
    <n v="50584"/>
    <n v="4.2900000000000001E-2"/>
    <n v="-0.86499999999999999"/>
    <n v="1"/>
    <x v="0"/>
    <x v="1"/>
  </r>
  <r>
    <s v="SM_100683"/>
    <x v="1"/>
    <s v="image"/>
    <s v="Technology"/>
    <s v="fr"/>
    <s v="UK"/>
    <d v="2024-06-12T00:00:00"/>
    <s v="#music #trending"/>
    <n v="6000720"/>
    <n v="272760"/>
    <n v="13754"/>
    <n v="17515"/>
    <n v="5.0700000000000002E-2"/>
    <n v="-0.192"/>
    <n v="1"/>
    <x v="0"/>
    <x v="1"/>
  </r>
  <r>
    <s v="SM_100684"/>
    <x v="1"/>
    <s v="carousel"/>
    <s v="Education"/>
    <s v="ur"/>
    <s v="India"/>
    <d v="2024-03-12T00:00:00"/>
    <s v="#funny #trending #viral"/>
    <n v="4295840"/>
    <n v="429584"/>
    <n v="24955"/>
    <n v="36789"/>
    <n v="0.1144"/>
    <n v="0.57799999999999996"/>
    <n v="1"/>
    <x v="0"/>
    <x v="0"/>
  </r>
  <r>
    <s v="SM_100685"/>
    <x v="1"/>
    <s v="video"/>
    <s v="Education"/>
    <s v="fr"/>
    <s v="Pakistan"/>
    <d v="2024-10-01T00:00:00"/>
    <s v="#ai #music #trending #news #viral"/>
    <n v="252889"/>
    <n v="36127"/>
    <n v="28016"/>
    <n v="42850"/>
    <n v="0.42309999999999998"/>
    <n v="-0.1"/>
    <n v="0"/>
    <x v="1"/>
    <x v="1"/>
  </r>
  <r>
    <s v="SM_100686"/>
    <x v="0"/>
    <s v="image"/>
    <s v="Sports"/>
    <s v="en"/>
    <s v="Pakistan"/>
    <d v="2024-11-07T00:00:00"/>
    <s v="#funny #tech #fyp #music #viral"/>
    <n v="4956309"/>
    <n v="183567"/>
    <n v="39763"/>
    <n v="54313"/>
    <n v="5.6000000000000001E-2"/>
    <n v="-0.36199999999999999"/>
    <n v="1"/>
    <x v="0"/>
    <x v="1"/>
  </r>
  <r>
    <s v="SM_100687"/>
    <x v="3"/>
    <s v="text"/>
    <s v="Lifestyle"/>
    <s v="ur"/>
    <s v="UK"/>
    <d v="2024-11-14T00:00:00"/>
    <s v="#tech #fyp #music #news #trending"/>
    <n v="5661351"/>
    <n v="195219"/>
    <n v="47780"/>
    <n v="75770"/>
    <n v="5.6300000000000003E-2"/>
    <n v="-0.94499999999999995"/>
    <n v="1"/>
    <x v="0"/>
    <x v="1"/>
  </r>
  <r>
    <s v="SM_100688"/>
    <x v="1"/>
    <s v="video"/>
    <s v="Entertainment"/>
    <s v="es"/>
    <s v="India"/>
    <d v="2024-09-17T00:00:00"/>
    <s v="#ai #tech #news"/>
    <n v="770874"/>
    <n v="128479"/>
    <n v="20389"/>
    <n v="45735"/>
    <n v="0.25240000000000001"/>
    <n v="-0.66600000000000004"/>
    <n v="0"/>
    <x v="1"/>
    <x v="1"/>
  </r>
  <r>
    <s v="SM_100689"/>
    <x v="1"/>
    <s v="carousel"/>
    <s v="Technology"/>
    <s v="fr"/>
    <s v="Pakistan"/>
    <d v="2024-04-17T00:00:00"/>
    <s v="#tech #ai #viral"/>
    <n v="4230216"/>
    <n v="470024"/>
    <n v="16395"/>
    <n v="68804"/>
    <n v="0.1313"/>
    <n v="0.78"/>
    <n v="1"/>
    <x v="0"/>
    <x v="0"/>
  </r>
  <r>
    <s v="SM_100690"/>
    <x v="0"/>
    <s v="image"/>
    <s v="Sports"/>
    <s v="fr"/>
    <s v="India"/>
    <d v="2024-07-16T00:00:00"/>
    <s v="#ai #music"/>
    <n v="5164604"/>
    <n v="224548"/>
    <n v="18995"/>
    <n v="44180"/>
    <n v="5.57E-2"/>
    <n v="-0.94899999999999995"/>
    <n v="1"/>
    <x v="0"/>
    <x v="1"/>
  </r>
  <r>
    <s v="SM_100691"/>
    <x v="3"/>
    <s v="image"/>
    <s v="Education"/>
    <s v="en"/>
    <s v="UK"/>
    <d v="2024-01-02T00:00:00"/>
    <s v="#ai #tech #music #fyp #viral"/>
    <n v="2118361"/>
    <n v="302623"/>
    <n v="17302"/>
    <n v="2012"/>
    <n v="0.152"/>
    <n v="-0.31900000000000001"/>
    <n v="1"/>
    <x v="0"/>
    <x v="1"/>
  </r>
  <r>
    <s v="SM_100692"/>
    <x v="2"/>
    <s v="video"/>
    <s v="Entertainment"/>
    <s v="fr"/>
    <s v="India"/>
    <d v="2024-06-12T00:00:00"/>
    <s v="#tech #viral #ai #fyp #music"/>
    <n v="3648990"/>
    <n v="243266"/>
    <n v="11743"/>
    <n v="94334"/>
    <n v="9.5699999999999993E-2"/>
    <n v="-0.378"/>
    <n v="1"/>
    <x v="0"/>
    <x v="1"/>
  </r>
  <r>
    <s v="SM_100693"/>
    <x v="3"/>
    <s v="text"/>
    <s v="Education"/>
    <s v="en"/>
    <s v="India"/>
    <d v="2024-09-29T00:00:00"/>
    <s v="#ai #music #viral #funny"/>
    <n v="2412498"/>
    <n v="402083"/>
    <n v="22857"/>
    <n v="79240"/>
    <n v="0.20899999999999999"/>
    <n v="0.68300000000000005"/>
    <n v="1"/>
    <x v="0"/>
    <x v="0"/>
  </r>
  <r>
    <s v="SM_100694"/>
    <x v="2"/>
    <s v="text"/>
    <s v="Politics"/>
    <s v="hi"/>
    <s v="Brazil"/>
    <d v="2024-04-19T00:00:00"/>
    <s v="#fyp #trending"/>
    <n v="733400"/>
    <n v="91675"/>
    <n v="48618"/>
    <n v="95041"/>
    <n v="0.32090000000000002"/>
    <n v="-0.66500000000000004"/>
    <n v="0"/>
    <x v="1"/>
    <x v="1"/>
  </r>
  <r>
    <s v="SM_100695"/>
    <x v="2"/>
    <s v="video"/>
    <s v="Politics"/>
    <s v="es"/>
    <s v="Pakistan"/>
    <d v="2024-10-07T00:00:00"/>
    <s v="#fyp #music #viral #funny"/>
    <n v="12200524"/>
    <n v="435733"/>
    <n v="39753"/>
    <n v="7070"/>
    <n v="3.9600000000000003E-2"/>
    <n v="0.95499999999999996"/>
    <n v="1"/>
    <x v="0"/>
    <x v="0"/>
  </r>
  <r>
    <s v="SM_100696"/>
    <x v="1"/>
    <s v="text"/>
    <s v="Technology"/>
    <s v="en"/>
    <s v="Brazil"/>
    <d v="2024-02-01T00:00:00"/>
    <s v="#viral #ai"/>
    <n v="4048812"/>
    <n v="224934"/>
    <n v="4657"/>
    <n v="89860"/>
    <n v="7.8899999999999998E-2"/>
    <n v="-0.93799999999999994"/>
    <n v="1"/>
    <x v="0"/>
    <x v="1"/>
  </r>
  <r>
    <s v="SM_100697"/>
    <x v="1"/>
    <s v="text"/>
    <s v="Sports"/>
    <s v="hi"/>
    <s v="Pakistan"/>
    <d v="2024-12-02T00:00:00"/>
    <s v="#funny #viral"/>
    <n v="4675877"/>
    <n v="203299"/>
    <n v="49119"/>
    <n v="91370"/>
    <n v="7.3499999999999996E-2"/>
    <n v="-0.95299999999999996"/>
    <n v="1"/>
    <x v="0"/>
    <x v="1"/>
  </r>
  <r>
    <s v="SM_100698"/>
    <x v="1"/>
    <s v="text"/>
    <s v="Entertainment"/>
    <s v="hi"/>
    <s v="India"/>
    <d v="2024-07-23T00:00:00"/>
    <s v="#ai #viral #trending #music"/>
    <n v="4256910"/>
    <n v="472990"/>
    <n v="2174"/>
    <n v="84093"/>
    <n v="0.13139999999999999"/>
    <n v="0.91200000000000003"/>
    <n v="1"/>
    <x v="0"/>
    <x v="0"/>
  </r>
  <r>
    <s v="SM_100699"/>
    <x v="0"/>
    <s v="image"/>
    <s v="Sports"/>
    <s v="es"/>
    <s v="India"/>
    <d v="2024-12-31T00:00:00"/>
    <s v="#fyp #viral"/>
    <n v="81360"/>
    <n v="8136"/>
    <n v="31783"/>
    <n v="27735"/>
    <n v="0.83150000000000002"/>
    <n v="0.20599999999999999"/>
    <n v="0"/>
    <x v="1"/>
    <x v="0"/>
  </r>
  <r>
    <s v="SM_100700"/>
    <x v="1"/>
    <s v="video"/>
    <s v="Politics"/>
    <s v="es"/>
    <s v="India"/>
    <d v="2024-08-19T00:00:00"/>
    <s v="#music #trending #funny #fyp #tech"/>
    <n v="3448399"/>
    <n v="202847"/>
    <n v="6349"/>
    <n v="18801"/>
    <n v="6.6100000000000006E-2"/>
    <n v="0.214"/>
    <n v="1"/>
    <x v="0"/>
    <x v="0"/>
  </r>
  <r>
    <s v="SM_100701"/>
    <x v="1"/>
    <s v="text"/>
    <s v="Education"/>
    <s v="en"/>
    <s v="UK"/>
    <d v="2024-09-01T00:00:00"/>
    <s v="#funny #music #ai #tech #trending"/>
    <n v="8165780"/>
    <n v="408289"/>
    <n v="5624"/>
    <n v="59501"/>
    <n v="5.8000000000000003E-2"/>
    <n v="0.54700000000000004"/>
    <n v="1"/>
    <x v="0"/>
    <x v="0"/>
  </r>
  <r>
    <s v="SM_100702"/>
    <x v="0"/>
    <s v="image"/>
    <s v="Education"/>
    <s v="en"/>
    <s v="India"/>
    <d v="2024-02-12T00:00:00"/>
    <s v="#tech #news #viral #ai"/>
    <n v="584136"/>
    <n v="27816"/>
    <n v="3241"/>
    <n v="15849"/>
    <n v="8.0299999999999996E-2"/>
    <n v="6.5000000000000002E-2"/>
    <n v="0"/>
    <x v="1"/>
    <x v="0"/>
  </r>
  <r>
    <s v="SM_100703"/>
    <x v="3"/>
    <s v="image"/>
    <s v="Lifestyle"/>
    <s v="ur"/>
    <s v="India"/>
    <d v="2024-06-06T00:00:00"/>
    <s v="#viral #music"/>
    <n v="233712"/>
    <n v="8656"/>
    <n v="21305"/>
    <n v="5499"/>
    <n v="0.1517"/>
    <n v="-0.11899999999999999"/>
    <n v="0"/>
    <x v="1"/>
    <x v="1"/>
  </r>
  <r>
    <s v="SM_100704"/>
    <x v="0"/>
    <s v="carousel"/>
    <s v="Sports"/>
    <s v="fr"/>
    <s v="India"/>
    <d v="2024-12-20T00:00:00"/>
    <s v="#trending #ai"/>
    <n v="7862673"/>
    <n v="374413"/>
    <n v="9574"/>
    <n v="56883"/>
    <n v="5.6099999999999997E-2"/>
    <n v="1.4999999999999999E-2"/>
    <n v="1"/>
    <x v="0"/>
    <x v="0"/>
  </r>
  <r>
    <s v="SM_100705"/>
    <x v="3"/>
    <s v="image"/>
    <s v="Entertainment"/>
    <s v="en"/>
    <s v="Brazil"/>
    <d v="2024-04-06T00:00:00"/>
    <s v="#ai #viral"/>
    <n v="1236030"/>
    <n v="82402"/>
    <n v="26137"/>
    <n v="74028"/>
    <n v="0.1477"/>
    <n v="0.115"/>
    <n v="0"/>
    <x v="1"/>
    <x v="0"/>
  </r>
  <r>
    <s v="SM_100706"/>
    <x v="3"/>
    <s v="video"/>
    <s v="Sports"/>
    <s v="en"/>
    <s v="India"/>
    <d v="2024-05-15T00:00:00"/>
    <s v="#funny #fyp #viral"/>
    <n v="13119848"/>
    <n v="468566"/>
    <n v="19845"/>
    <n v="99932"/>
    <n v="4.48E-2"/>
    <n v="0.999"/>
    <n v="1"/>
    <x v="0"/>
    <x v="0"/>
  </r>
  <r>
    <s v="SM_100707"/>
    <x v="0"/>
    <s v="video"/>
    <s v="Lifestyle"/>
    <s v="ur"/>
    <s v="India"/>
    <d v="2024-05-01T00:00:00"/>
    <s v="#fyp #music #tech #viral #funny"/>
    <n v="871056"/>
    <n v="37872"/>
    <n v="26767"/>
    <n v="13284"/>
    <n v="8.9499999999999996E-2"/>
    <n v="0.56499999999999995"/>
    <n v="0"/>
    <x v="1"/>
    <x v="0"/>
  </r>
  <r>
    <s v="SM_100708"/>
    <x v="3"/>
    <s v="carousel"/>
    <s v="Technology"/>
    <s v="fr"/>
    <s v="UK"/>
    <d v="2024-07-13T00:00:00"/>
    <s v="#music #news #ai #tech #trending"/>
    <n v="4168008"/>
    <n v="347334"/>
    <n v="20224"/>
    <n v="57170"/>
    <n v="0.1019"/>
    <n v="-0.34799999999999998"/>
    <n v="1"/>
    <x v="0"/>
    <x v="1"/>
  </r>
  <r>
    <s v="SM_100709"/>
    <x v="3"/>
    <s v="image"/>
    <s v="Sports"/>
    <s v="ur"/>
    <s v="Brazil"/>
    <d v="2024-09-13T00:00:00"/>
    <s v="#trending #music #funny"/>
    <n v="1582803"/>
    <n v="175867"/>
    <n v="39678"/>
    <n v="84755"/>
    <n v="0.18970000000000001"/>
    <n v="0.46200000000000002"/>
    <n v="0"/>
    <x v="1"/>
    <x v="0"/>
  </r>
  <r>
    <s v="SM_100710"/>
    <x v="0"/>
    <s v="image"/>
    <s v="Politics"/>
    <s v="en"/>
    <s v="Pakistan"/>
    <d v="2024-06-09T00:00:00"/>
    <s v="#news #music"/>
    <n v="3152583"/>
    <n v="150123"/>
    <n v="1312"/>
    <n v="80389"/>
    <n v="7.3499999999999996E-2"/>
    <n v="0.42199999999999999"/>
    <n v="1"/>
    <x v="0"/>
    <x v="0"/>
  </r>
  <r>
    <s v="SM_100711"/>
    <x v="0"/>
    <s v="video"/>
    <s v="Sports"/>
    <s v="ur"/>
    <s v="UK"/>
    <d v="2024-06-29T00:00:00"/>
    <s v="#funny #trending #ai"/>
    <n v="8856625"/>
    <n v="354265"/>
    <n v="10243"/>
    <n v="38976"/>
    <n v="4.5600000000000002E-2"/>
    <n v="0.19800000000000001"/>
    <n v="1"/>
    <x v="0"/>
    <x v="0"/>
  </r>
  <r>
    <s v="SM_100712"/>
    <x v="0"/>
    <s v="text"/>
    <s v="Sports"/>
    <s v="en"/>
    <s v="UK"/>
    <d v="2024-12-24T00:00:00"/>
    <s v="#funny #trending"/>
    <n v="4618640"/>
    <n v="288665"/>
    <n v="1713"/>
    <n v="3631"/>
    <n v="6.3700000000000007E-2"/>
    <n v="-0.92400000000000004"/>
    <n v="1"/>
    <x v="0"/>
    <x v="1"/>
  </r>
  <r>
    <s v="SM_100713"/>
    <x v="1"/>
    <s v="carousel"/>
    <s v="Education"/>
    <s v="fr"/>
    <s v="Brazil"/>
    <d v="2024-01-17T00:00:00"/>
    <s v="#ai #viral #news #fyp #trending"/>
    <n v="404001"/>
    <n v="44889"/>
    <n v="26091"/>
    <n v="16860"/>
    <n v="0.21740000000000001"/>
    <n v="0.58799999999999997"/>
    <n v="0"/>
    <x v="1"/>
    <x v="0"/>
  </r>
  <r>
    <s v="SM_100714"/>
    <x v="1"/>
    <s v="text"/>
    <s v="Entertainment"/>
    <s v="fr"/>
    <s v="Brazil"/>
    <d v="2024-04-01T00:00:00"/>
    <s v="#funny #music"/>
    <n v="739184"/>
    <n v="46199"/>
    <n v="1965"/>
    <n v="66094"/>
    <n v="0.15459999999999999"/>
    <n v="0.93899999999999995"/>
    <n v="0"/>
    <x v="1"/>
    <x v="0"/>
  </r>
  <r>
    <s v="SM_100715"/>
    <x v="2"/>
    <s v="video"/>
    <s v="Education"/>
    <s v="fr"/>
    <s v="UK"/>
    <d v="2024-09-01T00:00:00"/>
    <s v="#funny #ai #music"/>
    <n v="1064288"/>
    <n v="66518"/>
    <n v="37534"/>
    <n v="60012"/>
    <n v="0.1542"/>
    <n v="0.50900000000000001"/>
    <n v="0"/>
    <x v="1"/>
    <x v="0"/>
  </r>
  <r>
    <s v="SM_100716"/>
    <x v="0"/>
    <s v="text"/>
    <s v="Technology"/>
    <s v="ur"/>
    <s v="Pakistan"/>
    <d v="2024-09-01T00:00:00"/>
    <s v="#trending #viral #music #funny #news"/>
    <n v="3773768"/>
    <n v="471721"/>
    <n v="7171"/>
    <n v="78519"/>
    <n v="0.1477"/>
    <n v="-0.42799999999999999"/>
    <n v="1"/>
    <x v="0"/>
    <x v="1"/>
  </r>
  <r>
    <s v="SM_100717"/>
    <x v="1"/>
    <s v="carousel"/>
    <s v="Education"/>
    <s v="fr"/>
    <s v="UK"/>
    <d v="2024-10-07T00:00:00"/>
    <s v="#music #ai #trending #viral #tech"/>
    <n v="8006220"/>
    <n v="421380"/>
    <n v="13532"/>
    <n v="2455"/>
    <n v="5.4600000000000003E-2"/>
    <n v="0.21199999999999999"/>
    <n v="1"/>
    <x v="0"/>
    <x v="0"/>
  </r>
  <r>
    <s v="SM_100718"/>
    <x v="0"/>
    <s v="image"/>
    <s v="Entertainment"/>
    <s v="es"/>
    <s v="Pakistan"/>
    <d v="2024-11-23T00:00:00"/>
    <s v="#news #music"/>
    <n v="3027423"/>
    <n v="144163"/>
    <n v="2813"/>
    <n v="36594"/>
    <n v="6.0600000000000001E-2"/>
    <n v="0.73099999999999998"/>
    <n v="1"/>
    <x v="0"/>
    <x v="0"/>
  </r>
  <r>
    <s v="SM_100719"/>
    <x v="1"/>
    <s v="video"/>
    <s v="Sports"/>
    <s v="fr"/>
    <s v="Brazil"/>
    <d v="2024-08-10T00:00:00"/>
    <s v="#music #news #funny"/>
    <n v="2615399"/>
    <n v="113713"/>
    <n v="3807"/>
    <n v="94290"/>
    <n v="8.1000000000000003E-2"/>
    <n v="0.20399999999999999"/>
    <n v="1"/>
    <x v="0"/>
    <x v="0"/>
  </r>
  <r>
    <s v="SM_100720"/>
    <x v="1"/>
    <s v="video"/>
    <s v="Education"/>
    <s v="es"/>
    <s v="India"/>
    <d v="2024-12-06T00:00:00"/>
    <s v="#tech #news #music #trending #viral"/>
    <n v="2951998"/>
    <n v="421714"/>
    <n v="41867"/>
    <n v="98669"/>
    <n v="0.1905"/>
    <n v="-0.59899999999999998"/>
    <n v="1"/>
    <x v="0"/>
    <x v="1"/>
  </r>
  <r>
    <s v="SM_100721"/>
    <x v="1"/>
    <s v="carousel"/>
    <s v="Lifestyle"/>
    <s v="es"/>
    <s v="Brazil"/>
    <d v="2024-03-08T00:00:00"/>
    <s v="#ai #music #tech #viral #trending"/>
    <n v="825452"/>
    <n v="48556"/>
    <n v="34636"/>
    <n v="82036"/>
    <n v="0.20019999999999999"/>
    <n v="-0.122"/>
    <n v="0"/>
    <x v="1"/>
    <x v="1"/>
  </r>
  <r>
    <s v="SM_100722"/>
    <x v="2"/>
    <s v="image"/>
    <s v="Lifestyle"/>
    <s v="hi"/>
    <s v="Brazil"/>
    <d v="2024-04-21T00:00:00"/>
    <s v="#fyp #news #music"/>
    <n v="1934920"/>
    <n v="193492"/>
    <n v="15077"/>
    <n v="80019"/>
    <n v="0.14910000000000001"/>
    <n v="-0.48799999999999999"/>
    <n v="0"/>
    <x v="1"/>
    <x v="1"/>
  </r>
  <r>
    <s v="SM_100723"/>
    <x v="1"/>
    <s v="carousel"/>
    <s v="Politics"/>
    <s v="fr"/>
    <s v="Pakistan"/>
    <d v="2024-12-05T00:00:00"/>
    <s v="#music #funny #tech #trending"/>
    <n v="2191824"/>
    <n v="121768"/>
    <n v="46097"/>
    <n v="25519"/>
    <n v="8.8200000000000001E-2"/>
    <n v="-0.55900000000000005"/>
    <n v="1"/>
    <x v="0"/>
    <x v="1"/>
  </r>
  <r>
    <s v="SM_100724"/>
    <x v="2"/>
    <s v="video"/>
    <s v="Education"/>
    <s v="hi"/>
    <s v="US"/>
    <d v="2024-12-25T00:00:00"/>
    <s v="#fyp #music #trending"/>
    <n v="2345252"/>
    <n v="90202"/>
    <n v="33910"/>
    <n v="27104"/>
    <n v="6.4500000000000002E-2"/>
    <n v="0.375"/>
    <n v="1"/>
    <x v="0"/>
    <x v="0"/>
  </r>
  <r>
    <s v="SM_100725"/>
    <x v="1"/>
    <s v="video"/>
    <s v="Sports"/>
    <s v="es"/>
    <s v="Pakistan"/>
    <d v="2024-08-20T00:00:00"/>
    <s v="#funny #viral #music"/>
    <n v="3050180"/>
    <n v="217870"/>
    <n v="36679"/>
    <n v="19338"/>
    <n v="8.9800000000000005E-2"/>
    <n v="0.26500000000000001"/>
    <n v="1"/>
    <x v="0"/>
    <x v="0"/>
  </r>
  <r>
    <s v="SM_100726"/>
    <x v="0"/>
    <s v="image"/>
    <s v="Politics"/>
    <s v="hi"/>
    <s v="India"/>
    <d v="2024-10-21T00:00:00"/>
    <s v="#music #news #tech"/>
    <n v="7350560"/>
    <n v="262520"/>
    <n v="17616"/>
    <n v="11945"/>
    <n v="3.9699999999999999E-2"/>
    <n v="0.46600000000000003"/>
    <n v="1"/>
    <x v="0"/>
    <x v="0"/>
  </r>
  <r>
    <s v="SM_100727"/>
    <x v="3"/>
    <s v="video"/>
    <s v="Lifestyle"/>
    <s v="hi"/>
    <s v="India"/>
    <d v="2024-07-22T00:00:00"/>
    <s v="#viral #trending #tech #news"/>
    <n v="411271"/>
    <n v="58753"/>
    <n v="20541"/>
    <n v="56623"/>
    <n v="0.33050000000000002"/>
    <n v="0.996"/>
    <n v="0"/>
    <x v="1"/>
    <x v="0"/>
  </r>
  <r>
    <s v="SM_100728"/>
    <x v="0"/>
    <s v="video"/>
    <s v="Politics"/>
    <s v="es"/>
    <s v="Pakistan"/>
    <d v="2024-01-13T00:00:00"/>
    <s v="#fyp #ai #music"/>
    <n v="3272964"/>
    <n v="272747"/>
    <n v="19230"/>
    <n v="36977"/>
    <n v="0.10050000000000001"/>
    <n v="-0.41099999999999998"/>
    <n v="1"/>
    <x v="0"/>
    <x v="1"/>
  </r>
  <r>
    <s v="SM_100729"/>
    <x v="0"/>
    <s v="carousel"/>
    <s v="Lifestyle"/>
    <s v="hi"/>
    <s v="US"/>
    <d v="2024-02-11T00:00:00"/>
    <s v="#news #music #fyp #viral"/>
    <n v="1136464"/>
    <n v="142058"/>
    <n v="12871"/>
    <n v="66625"/>
    <n v="0.19500000000000001"/>
    <n v="0.66800000000000004"/>
    <n v="0"/>
    <x v="1"/>
    <x v="0"/>
  </r>
  <r>
    <s v="SM_100730"/>
    <x v="1"/>
    <s v="video"/>
    <s v="Technology"/>
    <s v="ur"/>
    <s v="US"/>
    <d v="2024-02-26T00:00:00"/>
    <s v="#funny #tech #trending"/>
    <n v="3084120"/>
    <n v="257010"/>
    <n v="20625"/>
    <n v="42728"/>
    <n v="0.10390000000000001"/>
    <n v="0.53800000000000003"/>
    <n v="1"/>
    <x v="0"/>
    <x v="0"/>
  </r>
  <r>
    <s v="SM_100731"/>
    <x v="0"/>
    <s v="image"/>
    <s v="Politics"/>
    <s v="es"/>
    <s v="UK"/>
    <d v="2024-08-25T00:00:00"/>
    <s v="#trending #tech #funny #ai #fyp"/>
    <n v="2003055"/>
    <n v="400611"/>
    <n v="41165"/>
    <n v="11391"/>
    <n v="0.22620000000000001"/>
    <n v="0.69199999999999995"/>
    <n v="1"/>
    <x v="0"/>
    <x v="0"/>
  </r>
  <r>
    <s v="SM_100732"/>
    <x v="2"/>
    <s v="carousel"/>
    <s v="Education"/>
    <s v="fr"/>
    <s v="India"/>
    <d v="2024-03-11T00:00:00"/>
    <s v="#ai #viral"/>
    <n v="9131751"/>
    <n v="338213"/>
    <n v="15043"/>
    <n v="52328"/>
    <n v="4.4400000000000002E-2"/>
    <n v="-2.5000000000000001E-2"/>
    <n v="1"/>
    <x v="0"/>
    <x v="1"/>
  </r>
  <r>
    <s v="SM_100733"/>
    <x v="0"/>
    <s v="carousel"/>
    <s v="Education"/>
    <s v="hi"/>
    <s v="India"/>
    <d v="2024-11-22T00:00:00"/>
    <s v="#viral #music #ai"/>
    <n v="542890"/>
    <n v="54289"/>
    <n v="48516"/>
    <n v="8606"/>
    <n v="0.20519999999999999"/>
    <n v="-0.38800000000000001"/>
    <n v="0"/>
    <x v="1"/>
    <x v="1"/>
  </r>
  <r>
    <s v="SM_100734"/>
    <x v="2"/>
    <s v="video"/>
    <s v="Education"/>
    <s v="ur"/>
    <s v="Brazil"/>
    <d v="2024-04-30T00:00:00"/>
    <s v="#ai #funny #music"/>
    <n v="4241755"/>
    <n v="249515"/>
    <n v="24327"/>
    <n v="41870"/>
    <n v="7.4399999999999994E-2"/>
    <n v="0.89500000000000002"/>
    <n v="1"/>
    <x v="0"/>
    <x v="0"/>
  </r>
  <r>
    <s v="SM_100735"/>
    <x v="1"/>
    <s v="carousel"/>
    <s v="Education"/>
    <s v="ur"/>
    <s v="India"/>
    <d v="2024-07-13T00:00:00"/>
    <s v="#trending #tech"/>
    <n v="5025523"/>
    <n v="218501"/>
    <n v="2097"/>
    <n v="28221"/>
    <n v="4.9500000000000002E-2"/>
    <n v="4.4999999999999998E-2"/>
    <n v="1"/>
    <x v="0"/>
    <x v="0"/>
  </r>
  <r>
    <s v="SM_100736"/>
    <x v="3"/>
    <s v="carousel"/>
    <s v="Lifestyle"/>
    <s v="hi"/>
    <s v="Pakistan"/>
    <d v="2024-03-29T00:00:00"/>
    <s v="#funny #news #viral"/>
    <n v="464751"/>
    <n v="22131"/>
    <n v="5190"/>
    <n v="80808"/>
    <n v="0.23269999999999999"/>
    <n v="1E-3"/>
    <n v="0"/>
    <x v="1"/>
    <x v="0"/>
  </r>
  <r>
    <s v="SM_100737"/>
    <x v="0"/>
    <s v="carousel"/>
    <s v="Entertainment"/>
    <s v="es"/>
    <s v="India"/>
    <d v="2024-07-06T00:00:00"/>
    <s v="#tech #music #trending #news"/>
    <n v="2112462"/>
    <n v="352077"/>
    <n v="40596"/>
    <n v="81254"/>
    <n v="0.2243"/>
    <n v="-0.85399999999999998"/>
    <n v="1"/>
    <x v="0"/>
    <x v="1"/>
  </r>
  <r>
    <s v="SM_100738"/>
    <x v="3"/>
    <s v="carousel"/>
    <s v="Education"/>
    <s v="es"/>
    <s v="Brazil"/>
    <d v="2024-12-27T00:00:00"/>
    <s v="#tech #funny #news"/>
    <n v="1063584"/>
    <n v="177264"/>
    <n v="10355"/>
    <n v="96159"/>
    <n v="0.26679999999999998"/>
    <n v="-0.438"/>
    <n v="0"/>
    <x v="1"/>
    <x v="1"/>
  </r>
  <r>
    <s v="SM_100739"/>
    <x v="1"/>
    <s v="text"/>
    <s v="Education"/>
    <s v="hi"/>
    <s v="US"/>
    <d v="2024-11-30T00:00:00"/>
    <s v="#viral #funny #ai"/>
    <n v="1851849"/>
    <n v="68587"/>
    <n v="17627"/>
    <n v="70264"/>
    <n v="8.4500000000000006E-2"/>
    <n v="0.81200000000000006"/>
    <n v="0"/>
    <x v="1"/>
    <x v="0"/>
  </r>
  <r>
    <s v="SM_100740"/>
    <x v="3"/>
    <s v="image"/>
    <s v="Education"/>
    <s v="en"/>
    <s v="UK"/>
    <d v="2024-03-30T00:00:00"/>
    <s v="#news #trending #tech #music #fyp"/>
    <n v="1816640"/>
    <n v="363328"/>
    <n v="23787"/>
    <n v="28455"/>
    <n v="0.2288"/>
    <n v="9.8000000000000004E-2"/>
    <n v="0"/>
    <x v="1"/>
    <x v="0"/>
  </r>
  <r>
    <s v="SM_100741"/>
    <x v="2"/>
    <s v="image"/>
    <s v="Technology"/>
    <s v="en"/>
    <s v="UK"/>
    <d v="2024-05-15T00:00:00"/>
    <s v="#funny #ai #tech"/>
    <n v="3833625"/>
    <n v="153345"/>
    <n v="33209"/>
    <n v="35597"/>
    <n v="5.79E-2"/>
    <n v="-0.57099999999999995"/>
    <n v="1"/>
    <x v="0"/>
    <x v="1"/>
  </r>
  <r>
    <s v="SM_100742"/>
    <x v="2"/>
    <s v="video"/>
    <s v="Sports"/>
    <s v="en"/>
    <s v="US"/>
    <d v="2024-04-08T00:00:00"/>
    <s v="#funny #news"/>
    <n v="9544878"/>
    <n v="454518"/>
    <n v="23869"/>
    <n v="30751"/>
    <n v="5.33E-2"/>
    <n v="0.44"/>
    <n v="1"/>
    <x v="0"/>
    <x v="0"/>
  </r>
  <r>
    <s v="SM_100743"/>
    <x v="1"/>
    <s v="text"/>
    <s v="Education"/>
    <s v="ur"/>
    <s v="India"/>
    <d v="2024-11-04T00:00:00"/>
    <s v="#funny #music #viral #news"/>
    <n v="3855384"/>
    <n v="481923"/>
    <n v="38338"/>
    <n v="80906"/>
    <n v="0.15590000000000001"/>
    <n v="0.25"/>
    <n v="1"/>
    <x v="0"/>
    <x v="0"/>
  </r>
  <r>
    <s v="SM_100744"/>
    <x v="3"/>
    <s v="carousel"/>
    <s v="Entertainment"/>
    <s v="ur"/>
    <s v="India"/>
    <d v="2024-10-12T00:00:00"/>
    <s v="#news #ai #fyp #music"/>
    <n v="456030"/>
    <n v="25335"/>
    <n v="164"/>
    <n v="12146"/>
    <n v="8.2500000000000004E-2"/>
    <n v="-7.3999999999999996E-2"/>
    <n v="0"/>
    <x v="1"/>
    <x v="1"/>
  </r>
  <r>
    <s v="SM_100745"/>
    <x v="2"/>
    <s v="video"/>
    <s v="Education"/>
    <s v="es"/>
    <s v="India"/>
    <d v="2024-01-17T00:00:00"/>
    <s v="#viral #trending #news"/>
    <n v="4127452"/>
    <n v="147409"/>
    <n v="41976"/>
    <n v="8245"/>
    <n v="4.7899999999999998E-2"/>
    <n v="-0.42"/>
    <n v="1"/>
    <x v="0"/>
    <x v="1"/>
  </r>
  <r>
    <s v="SM_100746"/>
    <x v="0"/>
    <s v="text"/>
    <s v="Lifestyle"/>
    <s v="hi"/>
    <s v="Brazil"/>
    <d v="2024-10-03T00:00:00"/>
    <s v="#tech #ai #music #trending"/>
    <n v="6556059"/>
    <n v="242817"/>
    <n v="18696"/>
    <n v="99533"/>
    <n v="5.5100000000000003E-2"/>
    <n v="0.441"/>
    <n v="1"/>
    <x v="0"/>
    <x v="0"/>
  </r>
  <r>
    <s v="SM_100747"/>
    <x v="1"/>
    <s v="carousel"/>
    <s v="Politics"/>
    <s v="ur"/>
    <s v="India"/>
    <d v="2024-09-20T00:00:00"/>
    <s v="#tech #trending #funny #viral"/>
    <n v="2022042"/>
    <n v="337007"/>
    <n v="28283"/>
    <n v="12238"/>
    <n v="0.1867"/>
    <n v="-0.73199999999999998"/>
    <n v="1"/>
    <x v="0"/>
    <x v="1"/>
  </r>
  <r>
    <s v="SM_100748"/>
    <x v="3"/>
    <s v="text"/>
    <s v="Education"/>
    <s v="hi"/>
    <s v="Brazil"/>
    <d v="2024-08-14T00:00:00"/>
    <s v="#news #viral"/>
    <n v="2295553"/>
    <n v="176581"/>
    <n v="48771"/>
    <n v="46155"/>
    <n v="0.1183"/>
    <n v="0.497"/>
    <n v="1"/>
    <x v="0"/>
    <x v="0"/>
  </r>
  <r>
    <s v="SM_100749"/>
    <x v="0"/>
    <s v="image"/>
    <s v="Lifestyle"/>
    <s v="fr"/>
    <s v="Brazil"/>
    <d v="2024-02-24T00:00:00"/>
    <s v="#music #funny"/>
    <n v="7390362"/>
    <n v="351922"/>
    <n v="46525"/>
    <n v="54239"/>
    <n v="6.13E-2"/>
    <n v="2.1999999999999999E-2"/>
    <n v="1"/>
    <x v="0"/>
    <x v="0"/>
  </r>
  <r>
    <s v="SM_100750"/>
    <x v="2"/>
    <s v="video"/>
    <s v="Politics"/>
    <s v="fr"/>
    <s v="Brazil"/>
    <d v="2024-03-07T00:00:00"/>
    <s v="#funny #tech #ai"/>
    <n v="4252130"/>
    <n v="425213"/>
    <n v="3172"/>
    <n v="44758"/>
    <n v="0.1113"/>
    <n v="0.79100000000000004"/>
    <n v="1"/>
    <x v="0"/>
    <x v="0"/>
  </r>
  <r>
    <s v="SM_100751"/>
    <x v="1"/>
    <s v="text"/>
    <s v="Sports"/>
    <s v="fr"/>
    <s v="Brazil"/>
    <d v="2024-12-16T00:00:00"/>
    <s v="#news #trending"/>
    <n v="626510"/>
    <n v="62651"/>
    <n v="14092"/>
    <n v="22441"/>
    <n v="0.1583"/>
    <n v="-0.50600000000000001"/>
    <n v="0"/>
    <x v="1"/>
    <x v="1"/>
  </r>
  <r>
    <s v="SM_100752"/>
    <x v="2"/>
    <s v="image"/>
    <s v="Technology"/>
    <s v="hi"/>
    <s v="Pakistan"/>
    <d v="2024-11-18T00:00:00"/>
    <s v="#tech #viral #trending #news"/>
    <n v="3824100"/>
    <n v="254940"/>
    <n v="5281"/>
    <n v="41628"/>
    <n v="7.8899999999999998E-2"/>
    <n v="0.65300000000000002"/>
    <n v="1"/>
    <x v="0"/>
    <x v="0"/>
  </r>
  <r>
    <s v="SM_100753"/>
    <x v="3"/>
    <s v="image"/>
    <s v="Entertainment"/>
    <s v="fr"/>
    <s v="UK"/>
    <d v="2024-07-05T00:00:00"/>
    <s v="#trending #tech #viral #ai #news"/>
    <n v="1214676"/>
    <n v="202446"/>
    <n v="32407"/>
    <n v="53385"/>
    <n v="0.23730000000000001"/>
    <n v="-0.373"/>
    <n v="0"/>
    <x v="1"/>
    <x v="1"/>
  </r>
  <r>
    <s v="SM_100754"/>
    <x v="3"/>
    <s v="video"/>
    <s v="Entertainment"/>
    <s v="hi"/>
    <s v="UK"/>
    <d v="2024-10-14T00:00:00"/>
    <s v="#fyp #viral #news #trending #tech"/>
    <n v="8333111"/>
    <n v="490183"/>
    <n v="16214"/>
    <n v="90931"/>
    <n v="7.17E-2"/>
    <n v="-0.155"/>
    <n v="1"/>
    <x v="0"/>
    <x v="1"/>
  </r>
  <r>
    <s v="SM_100755"/>
    <x v="0"/>
    <s v="image"/>
    <s v="Entertainment"/>
    <s v="hi"/>
    <s v="US"/>
    <d v="2024-08-31T00:00:00"/>
    <s v="#funny #trending #fyp #tech #viral"/>
    <n v="4856409"/>
    <n v="179867"/>
    <n v="44457"/>
    <n v="32442"/>
    <n v="5.2900000000000003E-2"/>
    <n v="-1.2E-2"/>
    <n v="1"/>
    <x v="0"/>
    <x v="1"/>
  </r>
  <r>
    <s v="SM_100756"/>
    <x v="1"/>
    <s v="video"/>
    <s v="Lifestyle"/>
    <s v="ur"/>
    <s v="Brazil"/>
    <d v="2024-11-24T00:00:00"/>
    <s v="#tech #music #trending #fyp"/>
    <n v="9413748"/>
    <n v="324612"/>
    <n v="44864"/>
    <n v="92123"/>
    <n v="4.9000000000000002E-2"/>
    <n v="0.40799999999999997"/>
    <n v="1"/>
    <x v="0"/>
    <x v="0"/>
  </r>
  <r>
    <s v="SM_100757"/>
    <x v="0"/>
    <s v="video"/>
    <s v="Education"/>
    <s v="ur"/>
    <s v="US"/>
    <d v="2024-01-12T00:00:00"/>
    <s v="#music #ai #viral #news #tech"/>
    <n v="9753125"/>
    <n v="390125"/>
    <n v="6323"/>
    <n v="94231"/>
    <n v="5.0299999999999997E-2"/>
    <n v="0.42599999999999999"/>
    <n v="1"/>
    <x v="0"/>
    <x v="0"/>
  </r>
  <r>
    <s v="SM_100758"/>
    <x v="3"/>
    <s v="text"/>
    <s v="Technology"/>
    <s v="ur"/>
    <s v="UK"/>
    <d v="2024-10-10T00:00:00"/>
    <s v="#funny #tech #music #news"/>
    <n v="433216"/>
    <n v="15472"/>
    <n v="29801"/>
    <n v="58273"/>
    <n v="0.23899999999999999"/>
    <n v="0.52200000000000002"/>
    <n v="0"/>
    <x v="1"/>
    <x v="0"/>
  </r>
  <r>
    <s v="SM_100759"/>
    <x v="1"/>
    <s v="carousel"/>
    <s v="Lifestyle"/>
    <s v="es"/>
    <s v="Pakistan"/>
    <d v="2024-02-10T00:00:00"/>
    <s v="#music #funny #ai #tech #news"/>
    <n v="4976868"/>
    <n v="382836"/>
    <n v="28104"/>
    <n v="54041"/>
    <n v="9.3399999999999997E-2"/>
    <n v="-0.78900000000000003"/>
    <n v="1"/>
    <x v="0"/>
    <x v="1"/>
  </r>
  <r>
    <s v="SM_100760"/>
    <x v="3"/>
    <s v="text"/>
    <s v="Entertainment"/>
    <s v="hi"/>
    <s v="US"/>
    <d v="2024-06-11T00:00:00"/>
    <s v="#fyp #tech #funny #music #ai"/>
    <n v="3309030"/>
    <n v="367670"/>
    <n v="5847"/>
    <n v="63116"/>
    <n v="0.13200000000000001"/>
    <n v="-0.90400000000000003"/>
    <n v="1"/>
    <x v="0"/>
    <x v="1"/>
  </r>
  <r>
    <s v="SM_100761"/>
    <x v="1"/>
    <s v="text"/>
    <s v="Education"/>
    <s v="hi"/>
    <s v="Brazil"/>
    <d v="2024-07-25T00:00:00"/>
    <s v="#trending #viral #funny #fyp #news"/>
    <n v="3077272"/>
    <n v="279752"/>
    <n v="22010"/>
    <n v="54576"/>
    <n v="0.1158"/>
    <n v="1E-3"/>
    <n v="1"/>
    <x v="0"/>
    <x v="0"/>
  </r>
  <r>
    <s v="SM_100762"/>
    <x v="1"/>
    <s v="video"/>
    <s v="Entertainment"/>
    <s v="hi"/>
    <s v="Brazil"/>
    <d v="2024-07-31T00:00:00"/>
    <s v="#ai #music"/>
    <n v="10579976"/>
    <n v="480908"/>
    <n v="1383"/>
    <n v="67056"/>
    <n v="5.1900000000000002E-2"/>
    <n v="0.26900000000000002"/>
    <n v="1"/>
    <x v="0"/>
    <x v="0"/>
  </r>
  <r>
    <s v="SM_100763"/>
    <x v="1"/>
    <s v="text"/>
    <s v="Sports"/>
    <s v="en"/>
    <s v="UK"/>
    <d v="2024-03-06T00:00:00"/>
    <s v="#tech #viral #trending"/>
    <n v="1355266"/>
    <n v="123206"/>
    <n v="5360"/>
    <n v="54121"/>
    <n v="0.1348"/>
    <n v="0.53500000000000003"/>
    <n v="0"/>
    <x v="1"/>
    <x v="0"/>
  </r>
  <r>
    <s v="SM_100764"/>
    <x v="0"/>
    <s v="carousel"/>
    <s v="Education"/>
    <s v="fr"/>
    <s v="India"/>
    <d v="2024-01-27T00:00:00"/>
    <s v="#trending #ai #tech"/>
    <n v="18856"/>
    <n v="2357"/>
    <n v="27369"/>
    <n v="24973"/>
    <n v="2.9009"/>
    <n v="0.70099999999999996"/>
    <n v="0"/>
    <x v="1"/>
    <x v="0"/>
  </r>
  <r>
    <s v="SM_100765"/>
    <x v="0"/>
    <s v="text"/>
    <s v="Politics"/>
    <s v="ur"/>
    <s v="US"/>
    <d v="2024-02-11T00:00:00"/>
    <s v="#tech #trending"/>
    <n v="3436670"/>
    <n v="343667"/>
    <n v="29325"/>
    <n v="20809"/>
    <n v="0.11459999999999999"/>
    <n v="-5.5E-2"/>
    <n v="1"/>
    <x v="0"/>
    <x v="1"/>
  </r>
  <r>
    <s v="SM_100766"/>
    <x v="1"/>
    <s v="image"/>
    <s v="Sports"/>
    <s v="ur"/>
    <s v="Brazil"/>
    <d v="2024-10-26T00:00:00"/>
    <s v="#viral #trending"/>
    <n v="1024216"/>
    <n v="128027"/>
    <n v="34778"/>
    <n v="51169"/>
    <n v="0.2089"/>
    <n v="0.35599999999999998"/>
    <n v="0"/>
    <x v="1"/>
    <x v="0"/>
  </r>
  <r>
    <s v="SM_100767"/>
    <x v="0"/>
    <s v="video"/>
    <s v="Politics"/>
    <s v="en"/>
    <s v="Brazil"/>
    <d v="2024-05-11T00:00:00"/>
    <s v="#ai #trending #tech #funny #music"/>
    <n v="4809168"/>
    <n v="369936"/>
    <n v="18161"/>
    <n v="57506"/>
    <n v="9.2700000000000005E-2"/>
    <n v="-0.72699999999999998"/>
    <n v="1"/>
    <x v="0"/>
    <x v="1"/>
  </r>
  <r>
    <s v="SM_100768"/>
    <x v="1"/>
    <s v="video"/>
    <s v="Lifestyle"/>
    <s v="en"/>
    <s v="India"/>
    <d v="2024-08-09T00:00:00"/>
    <s v="#music #trending #fyp #viral"/>
    <n v="855526"/>
    <n v="122218"/>
    <n v="30504"/>
    <n v="47378"/>
    <n v="0.2339"/>
    <n v="-0.36899999999999999"/>
    <n v="0"/>
    <x v="1"/>
    <x v="1"/>
  </r>
  <r>
    <s v="SM_100769"/>
    <x v="2"/>
    <s v="carousel"/>
    <s v="Lifestyle"/>
    <s v="fr"/>
    <s v="Brazil"/>
    <d v="2024-11-04T00:00:00"/>
    <s v="#viral #funny"/>
    <n v="2950068"/>
    <n v="245839"/>
    <n v="19609"/>
    <n v="16924"/>
    <n v="9.5699999999999993E-2"/>
    <n v="-6.4000000000000001E-2"/>
    <n v="1"/>
    <x v="0"/>
    <x v="1"/>
  </r>
  <r>
    <s v="SM_100770"/>
    <x v="2"/>
    <s v="carousel"/>
    <s v="Entertainment"/>
    <s v="es"/>
    <s v="Pakistan"/>
    <d v="2024-03-03T00:00:00"/>
    <s v="#viral #funny #fyp"/>
    <n v="4748700"/>
    <n v="316580"/>
    <n v="8552"/>
    <n v="60949"/>
    <n v="8.1299999999999997E-2"/>
    <n v="-0.26400000000000001"/>
    <n v="1"/>
    <x v="0"/>
    <x v="1"/>
  </r>
  <r>
    <s v="SM_100771"/>
    <x v="1"/>
    <s v="video"/>
    <s v="Lifestyle"/>
    <s v="ur"/>
    <s v="US"/>
    <d v="2024-11-07T00:00:00"/>
    <s v="#trending #funny #tech"/>
    <n v="12124632"/>
    <n v="466332"/>
    <n v="26677"/>
    <n v="4214"/>
    <n v="4.1000000000000002E-2"/>
    <n v="3.2000000000000001E-2"/>
    <n v="1"/>
    <x v="0"/>
    <x v="0"/>
  </r>
  <r>
    <s v="SM_100772"/>
    <x v="3"/>
    <s v="text"/>
    <s v="Entertainment"/>
    <s v="hi"/>
    <s v="US"/>
    <d v="2024-11-04T00:00:00"/>
    <s v="#funny #music"/>
    <n v="1064319"/>
    <n v="62607"/>
    <n v="2105"/>
    <n v="61998"/>
    <n v="0.1191"/>
    <n v="-0.24199999999999999"/>
    <n v="0"/>
    <x v="1"/>
    <x v="1"/>
  </r>
  <r>
    <s v="SM_100773"/>
    <x v="2"/>
    <s v="video"/>
    <s v="Politics"/>
    <s v="fr"/>
    <s v="US"/>
    <d v="2024-08-19T00:00:00"/>
    <s v="#tech #music #fyp #funny"/>
    <n v="5889303"/>
    <n v="280443"/>
    <n v="36614"/>
    <n v="42966"/>
    <n v="6.1100000000000002E-2"/>
    <n v="-0.751"/>
    <n v="1"/>
    <x v="0"/>
    <x v="1"/>
  </r>
  <r>
    <s v="SM_100774"/>
    <x v="3"/>
    <s v="text"/>
    <s v="Technology"/>
    <s v="en"/>
    <s v="Brazil"/>
    <d v="2024-09-27T00:00:00"/>
    <s v="#funny #tech"/>
    <n v="2058875"/>
    <n v="294125"/>
    <n v="17063"/>
    <n v="24473"/>
    <n v="0.16300000000000001"/>
    <n v="-0.191"/>
    <n v="1"/>
    <x v="0"/>
    <x v="1"/>
  </r>
  <r>
    <s v="SM_100775"/>
    <x v="2"/>
    <s v="text"/>
    <s v="Technology"/>
    <s v="hi"/>
    <s v="US"/>
    <d v="2024-07-11T00:00:00"/>
    <s v="#viral #music #trending"/>
    <n v="6483120"/>
    <n v="231540"/>
    <n v="36026"/>
    <n v="54132"/>
    <n v="4.9599999999999998E-2"/>
    <n v="0.45"/>
    <n v="1"/>
    <x v="0"/>
    <x v="0"/>
  </r>
  <r>
    <s v="SM_100776"/>
    <x v="3"/>
    <s v="text"/>
    <s v="Technology"/>
    <s v="en"/>
    <s v="Brazil"/>
    <d v="2024-08-13T00:00:00"/>
    <s v="#trending #viral #music #ai"/>
    <n v="3589080"/>
    <n v="358908"/>
    <n v="1406"/>
    <n v="85180"/>
    <n v="0.1241"/>
    <n v="0.52500000000000002"/>
    <n v="1"/>
    <x v="0"/>
    <x v="0"/>
  </r>
  <r>
    <s v="SM_100777"/>
    <x v="0"/>
    <s v="image"/>
    <s v="Education"/>
    <s v="ur"/>
    <s v="Pakistan"/>
    <d v="2024-03-02T00:00:00"/>
    <s v="#viral #ai #music"/>
    <n v="6930478"/>
    <n v="364762"/>
    <n v="19616"/>
    <n v="43792"/>
    <n v="6.1800000000000001E-2"/>
    <n v="-0.56000000000000005"/>
    <n v="1"/>
    <x v="0"/>
    <x v="1"/>
  </r>
  <r>
    <s v="SM_100778"/>
    <x v="0"/>
    <s v="carousel"/>
    <s v="Lifestyle"/>
    <s v="ur"/>
    <s v="UK"/>
    <d v="2024-04-20T00:00:00"/>
    <s v="#viral #fyp #news"/>
    <n v="5422950"/>
    <n v="208575"/>
    <n v="2750"/>
    <n v="55244"/>
    <n v="4.9200000000000001E-2"/>
    <n v="-0.96599999999999997"/>
    <n v="1"/>
    <x v="0"/>
    <x v="1"/>
  </r>
  <r>
    <s v="SM_100779"/>
    <x v="2"/>
    <s v="image"/>
    <s v="Sports"/>
    <s v="es"/>
    <s v="UK"/>
    <d v="2024-04-19T00:00:00"/>
    <s v="#viral #funny #music #fyp #trending"/>
    <n v="714540"/>
    <n v="71454"/>
    <n v="48866"/>
    <n v="30117"/>
    <n v="0.21049999999999999"/>
    <n v="-0.129"/>
    <n v="0"/>
    <x v="1"/>
    <x v="1"/>
  </r>
  <r>
    <s v="SM_100780"/>
    <x v="1"/>
    <s v="text"/>
    <s v="Lifestyle"/>
    <s v="en"/>
    <s v="India"/>
    <d v="2024-04-09T00:00:00"/>
    <s v="#trending #tech #music #fyp"/>
    <n v="1463375"/>
    <n v="292675"/>
    <n v="17913"/>
    <n v="29337"/>
    <n v="0.23230000000000001"/>
    <n v="0.47799999999999998"/>
    <n v="0"/>
    <x v="1"/>
    <x v="0"/>
  </r>
  <r>
    <s v="SM_100781"/>
    <x v="3"/>
    <s v="image"/>
    <s v="Education"/>
    <s v="ur"/>
    <s v="Pakistan"/>
    <d v="2024-11-17T00:00:00"/>
    <s v="#tech #news #ai #trending #funny"/>
    <n v="6283980"/>
    <n v="314199"/>
    <n v="20098"/>
    <n v="6156"/>
    <n v="5.4199999999999998E-2"/>
    <n v="0.13600000000000001"/>
    <n v="1"/>
    <x v="0"/>
    <x v="0"/>
  </r>
  <r>
    <s v="SM_100782"/>
    <x v="2"/>
    <s v="carousel"/>
    <s v="Technology"/>
    <s v="es"/>
    <s v="US"/>
    <d v="2024-09-28T00:00:00"/>
    <s v="#viral #tech #trending #fyp #ai"/>
    <n v="2055240"/>
    <n v="186840"/>
    <n v="20968"/>
    <n v="50125"/>
    <n v="0.1255"/>
    <n v="0.75900000000000001"/>
    <n v="1"/>
    <x v="0"/>
    <x v="0"/>
  </r>
  <r>
    <s v="SM_100783"/>
    <x v="2"/>
    <s v="carousel"/>
    <s v="Lifestyle"/>
    <s v="ur"/>
    <s v="US"/>
    <d v="2024-12-28T00:00:00"/>
    <s v="#funny #trending #viral"/>
    <n v="2216712"/>
    <n v="184726"/>
    <n v="20941"/>
    <n v="4427"/>
    <n v="9.4799999999999995E-2"/>
    <n v="0.56599999999999995"/>
    <n v="1"/>
    <x v="0"/>
    <x v="0"/>
  </r>
  <r>
    <s v="SM_100784"/>
    <x v="2"/>
    <s v="text"/>
    <s v="Education"/>
    <s v="fr"/>
    <s v="US"/>
    <d v="2024-12-21T00:00:00"/>
    <s v="#viral #music #tech #trending #news"/>
    <n v="7499516"/>
    <n v="441148"/>
    <n v="28156"/>
    <n v="79304"/>
    <n v="7.3200000000000001E-2"/>
    <n v="-0.20399999999999999"/>
    <n v="1"/>
    <x v="0"/>
    <x v="1"/>
  </r>
  <r>
    <s v="SM_100785"/>
    <x v="3"/>
    <s v="image"/>
    <s v="Sports"/>
    <s v="ur"/>
    <s v="UK"/>
    <d v="2024-05-17T00:00:00"/>
    <s v="#news #funny #fyp #music #tech"/>
    <n v="3311035"/>
    <n v="254695"/>
    <n v="45676"/>
    <n v="90307"/>
    <n v="0.11799999999999999"/>
    <n v="0.875"/>
    <n v="1"/>
    <x v="0"/>
    <x v="0"/>
  </r>
  <r>
    <s v="SM_100786"/>
    <x v="0"/>
    <s v="text"/>
    <s v="Technology"/>
    <s v="hi"/>
    <s v="Pakistan"/>
    <d v="2024-10-05T00:00:00"/>
    <s v="#ai #trending #news"/>
    <n v="1659935"/>
    <n v="87365"/>
    <n v="31136"/>
    <n v="52429"/>
    <n v="0.10299999999999999"/>
    <n v="-0.88100000000000001"/>
    <n v="0"/>
    <x v="1"/>
    <x v="1"/>
  </r>
  <r>
    <s v="SM_100787"/>
    <x v="3"/>
    <s v="text"/>
    <s v="Education"/>
    <s v="fr"/>
    <s v="UK"/>
    <d v="2024-05-13T00:00:00"/>
    <s v="#fyp #news #viral #music #ai"/>
    <n v="639171"/>
    <n v="49167"/>
    <n v="41480"/>
    <n v="21608"/>
    <n v="0.17560000000000001"/>
    <n v="-0.52200000000000002"/>
    <n v="0"/>
    <x v="1"/>
    <x v="1"/>
  </r>
  <r>
    <s v="SM_100788"/>
    <x v="0"/>
    <s v="image"/>
    <s v="Politics"/>
    <s v="en"/>
    <s v="Brazil"/>
    <d v="2024-10-06T00:00:00"/>
    <s v="#news #funny #tech"/>
    <n v="9234258"/>
    <n v="419739"/>
    <n v="43620"/>
    <n v="74708"/>
    <n v="5.8299999999999998E-2"/>
    <n v="0.28899999999999998"/>
    <n v="1"/>
    <x v="0"/>
    <x v="0"/>
  </r>
  <r>
    <s v="SM_100789"/>
    <x v="3"/>
    <s v="carousel"/>
    <s v="Technology"/>
    <s v="ur"/>
    <s v="India"/>
    <d v="2024-02-18T00:00:00"/>
    <s v="#ai #tech #music"/>
    <n v="1287615"/>
    <n v="61315"/>
    <n v="49434"/>
    <n v="82153"/>
    <n v="0.14979999999999999"/>
    <n v="-0.54900000000000004"/>
    <n v="0"/>
    <x v="1"/>
    <x v="1"/>
  </r>
  <r>
    <s v="SM_100790"/>
    <x v="0"/>
    <s v="text"/>
    <s v="Lifestyle"/>
    <s v="ur"/>
    <s v="UK"/>
    <d v="2024-08-26T00:00:00"/>
    <s v="#music #viral #tech #funny #news"/>
    <n v="4026099"/>
    <n v="138831"/>
    <n v="43374"/>
    <n v="77241"/>
    <n v="6.4399999999999999E-2"/>
    <n v="0.56299999999999994"/>
    <n v="1"/>
    <x v="0"/>
    <x v="0"/>
  </r>
  <r>
    <s v="SM_100791"/>
    <x v="3"/>
    <s v="image"/>
    <s v="Sports"/>
    <s v="es"/>
    <s v="India"/>
    <d v="2024-10-28T00:00:00"/>
    <s v="#ai #funny"/>
    <n v="3749520"/>
    <n v="220560"/>
    <n v="32087"/>
    <n v="88331"/>
    <n v="9.0899999999999995E-2"/>
    <n v="0.622"/>
    <n v="1"/>
    <x v="0"/>
    <x v="0"/>
  </r>
  <r>
    <s v="SM_100792"/>
    <x v="0"/>
    <s v="video"/>
    <s v="Education"/>
    <s v="es"/>
    <s v="India"/>
    <d v="2024-06-29T00:00:00"/>
    <s v="#news #tech #ai"/>
    <n v="5828325"/>
    <n v="388555"/>
    <n v="13384"/>
    <n v="54255"/>
    <n v="7.8299999999999995E-2"/>
    <n v="-0.48"/>
    <n v="1"/>
    <x v="0"/>
    <x v="1"/>
  </r>
  <r>
    <s v="SM_100793"/>
    <x v="1"/>
    <s v="image"/>
    <s v="Technology"/>
    <s v="hi"/>
    <s v="Brazil"/>
    <d v="2024-02-17T00:00:00"/>
    <s v="#funny #fyp #tech"/>
    <n v="4271560"/>
    <n v="427156"/>
    <n v="32435"/>
    <n v="23092"/>
    <n v="0.113"/>
    <n v="-0.41899999999999998"/>
    <n v="1"/>
    <x v="0"/>
    <x v="1"/>
  </r>
  <r>
    <s v="SM_100794"/>
    <x v="2"/>
    <s v="carousel"/>
    <s v="Politics"/>
    <s v="en"/>
    <s v="Pakistan"/>
    <d v="2024-08-07T00:00:00"/>
    <s v="#ai #music"/>
    <n v="982163"/>
    <n v="75551"/>
    <n v="42557"/>
    <n v="18991"/>
    <n v="0.1396"/>
    <n v="0.38"/>
    <n v="0"/>
    <x v="1"/>
    <x v="0"/>
  </r>
  <r>
    <s v="SM_100795"/>
    <x v="2"/>
    <s v="carousel"/>
    <s v="Education"/>
    <s v="es"/>
    <s v="Brazil"/>
    <d v="2024-11-30T00:00:00"/>
    <s v="#tech #viral #music #news"/>
    <n v="1279845"/>
    <n v="142205"/>
    <n v="42741"/>
    <n v="16242"/>
    <n v="0.15720000000000001"/>
    <n v="-5.0000000000000001E-3"/>
    <n v="0"/>
    <x v="1"/>
    <x v="1"/>
  </r>
  <r>
    <s v="SM_100796"/>
    <x v="3"/>
    <s v="text"/>
    <s v="Politics"/>
    <s v="en"/>
    <s v="India"/>
    <d v="2024-05-22T00:00:00"/>
    <s v="#trending #tech"/>
    <n v="2940600"/>
    <n v="113100"/>
    <n v="47567"/>
    <n v="35064"/>
    <n v="6.6600000000000006E-2"/>
    <n v="-0.16900000000000001"/>
    <n v="1"/>
    <x v="0"/>
    <x v="1"/>
  </r>
  <r>
    <s v="SM_100797"/>
    <x v="0"/>
    <s v="carousel"/>
    <s v="Technology"/>
    <s v="en"/>
    <s v="India"/>
    <d v="2024-01-13T00:00:00"/>
    <s v="#tech #viral #news #trending #music"/>
    <n v="3955425"/>
    <n v="158217"/>
    <n v="44774"/>
    <n v="47119"/>
    <n v="6.3200000000000006E-2"/>
    <n v="0.92500000000000004"/>
    <n v="1"/>
    <x v="0"/>
    <x v="0"/>
  </r>
  <r>
    <s v="SM_100798"/>
    <x v="3"/>
    <s v="carousel"/>
    <s v="Education"/>
    <s v="fr"/>
    <s v="India"/>
    <d v="2024-05-01T00:00:00"/>
    <s v="#trending #funny #viral #music"/>
    <n v="5575174"/>
    <n v="253417"/>
    <n v="44610"/>
    <n v="84566"/>
    <n v="6.8599999999999994E-2"/>
    <n v="9.4E-2"/>
    <n v="1"/>
    <x v="0"/>
    <x v="0"/>
  </r>
  <r>
    <s v="SM_100799"/>
    <x v="1"/>
    <s v="image"/>
    <s v="Lifestyle"/>
    <s v="fr"/>
    <s v="UK"/>
    <d v="2024-01-07T00:00:00"/>
    <s v="#trending #news #fyp #ai"/>
    <n v="303863"/>
    <n v="43409"/>
    <n v="1937"/>
    <n v="44255"/>
    <n v="0.2949"/>
    <n v="-0.66900000000000004"/>
    <n v="0"/>
    <x v="1"/>
    <x v="1"/>
  </r>
  <r>
    <s v="SM_100800"/>
    <x v="1"/>
    <s v="video"/>
    <s v="Sports"/>
    <s v="es"/>
    <s v="Brazil"/>
    <d v="2024-09-01T00:00:00"/>
    <s v="#viral #fyp #funny #tech #ai"/>
    <n v="7819456"/>
    <n v="459968"/>
    <n v="43532"/>
    <n v="77228"/>
    <n v="7.4300000000000005E-2"/>
    <n v="-0.9"/>
    <n v="1"/>
    <x v="0"/>
    <x v="1"/>
  </r>
  <r>
    <s v="SM_100801"/>
    <x v="1"/>
    <s v="video"/>
    <s v="Sports"/>
    <s v="hi"/>
    <s v="India"/>
    <d v="2024-03-18T00:00:00"/>
    <s v="#trending #viral #funny #fyp"/>
    <n v="1401660"/>
    <n v="93444"/>
    <n v="24277"/>
    <n v="93936"/>
    <n v="0.151"/>
    <n v="0.58599999999999997"/>
    <n v="0"/>
    <x v="1"/>
    <x v="0"/>
  </r>
  <r>
    <s v="SM_100802"/>
    <x v="2"/>
    <s v="text"/>
    <s v="Sports"/>
    <s v="ur"/>
    <s v="India"/>
    <d v="2024-12-24T00:00:00"/>
    <s v="#ai #viral #trending #tech #news"/>
    <n v="2162840"/>
    <n v="108142"/>
    <n v="13984"/>
    <n v="28329"/>
    <n v="6.9599999999999995E-2"/>
    <n v="0.27300000000000002"/>
    <n v="1"/>
    <x v="0"/>
    <x v="0"/>
  </r>
  <r>
    <s v="SM_100803"/>
    <x v="2"/>
    <s v="text"/>
    <s v="Entertainment"/>
    <s v="es"/>
    <s v="Brazil"/>
    <d v="2024-05-05T00:00:00"/>
    <s v="#music #news #viral #tech #ai"/>
    <n v="8354755"/>
    <n v="288095"/>
    <n v="31284"/>
    <n v="96064"/>
    <n v="4.9700000000000001E-2"/>
    <n v="-0.56200000000000006"/>
    <n v="1"/>
    <x v="0"/>
    <x v="1"/>
  </r>
  <r>
    <s v="SM_100804"/>
    <x v="0"/>
    <s v="carousel"/>
    <s v="Education"/>
    <s v="es"/>
    <s v="US"/>
    <d v="2024-04-05T00:00:00"/>
    <s v="#trending #music #news"/>
    <n v="11735064"/>
    <n v="434632"/>
    <n v="39959"/>
    <n v="38871"/>
    <n v="4.3799999999999999E-2"/>
    <n v="-0.57199999999999995"/>
    <n v="1"/>
    <x v="0"/>
    <x v="1"/>
  </r>
  <r>
    <s v="SM_100805"/>
    <x v="0"/>
    <s v="text"/>
    <s v="Entertainment"/>
    <s v="es"/>
    <s v="India"/>
    <d v="2024-09-16T00:00:00"/>
    <s v="#news #ai #fyp #tech #funny"/>
    <n v="6194000"/>
    <n v="387125"/>
    <n v="30878"/>
    <n v="58628"/>
    <n v="7.6999999999999999E-2"/>
    <n v="0.58499999999999996"/>
    <n v="1"/>
    <x v="0"/>
    <x v="0"/>
  </r>
  <r>
    <s v="SM_100806"/>
    <x v="3"/>
    <s v="carousel"/>
    <s v="Education"/>
    <s v="en"/>
    <s v="Pakistan"/>
    <d v="2024-08-29T00:00:00"/>
    <s v="#viral #funny"/>
    <n v="3988290"/>
    <n v="265886"/>
    <n v="28006"/>
    <n v="34065"/>
    <n v="8.2199999999999995E-2"/>
    <n v="-0.21"/>
    <n v="1"/>
    <x v="0"/>
    <x v="1"/>
  </r>
  <r>
    <s v="SM_100807"/>
    <x v="1"/>
    <s v="text"/>
    <s v="Education"/>
    <s v="hi"/>
    <s v="UK"/>
    <d v="2024-05-06T00:00:00"/>
    <s v="#funny #fyp #viral #tech #ai"/>
    <n v="1165027"/>
    <n v="68531"/>
    <n v="5371"/>
    <n v="8712"/>
    <n v="7.0900000000000005E-2"/>
    <n v="0.70799999999999996"/>
    <n v="0"/>
    <x v="1"/>
    <x v="0"/>
  </r>
  <r>
    <s v="SM_100808"/>
    <x v="0"/>
    <s v="carousel"/>
    <s v="Entertainment"/>
    <s v="es"/>
    <s v="UK"/>
    <d v="2024-03-29T00:00:00"/>
    <s v="#tech #music #funny"/>
    <n v="1450707"/>
    <n v="76353"/>
    <n v="36196"/>
    <n v="10212"/>
    <n v="8.4599999999999995E-2"/>
    <n v="-0.53600000000000003"/>
    <n v="0"/>
    <x v="1"/>
    <x v="1"/>
  </r>
  <r>
    <s v="SM_100809"/>
    <x v="1"/>
    <s v="video"/>
    <s v="Technology"/>
    <s v="en"/>
    <s v="UK"/>
    <d v="2024-03-26T00:00:00"/>
    <s v="#fyp #news"/>
    <n v="10801488"/>
    <n v="450062"/>
    <n v="21547"/>
    <n v="31313"/>
    <n v="4.6600000000000003E-2"/>
    <n v="0.13"/>
    <n v="1"/>
    <x v="0"/>
    <x v="0"/>
  </r>
  <r>
    <s v="SM_100810"/>
    <x v="0"/>
    <s v="text"/>
    <s v="Entertainment"/>
    <s v="hi"/>
    <s v="Pakistan"/>
    <d v="2024-12-13T00:00:00"/>
    <s v="#tech #viral"/>
    <n v="1143909"/>
    <n v="87993"/>
    <n v="41050"/>
    <n v="27692"/>
    <n v="0.13700000000000001"/>
    <n v="0.67100000000000004"/>
    <n v="0"/>
    <x v="1"/>
    <x v="0"/>
  </r>
  <r>
    <s v="SM_100811"/>
    <x v="1"/>
    <s v="text"/>
    <s v="Entertainment"/>
    <s v="fr"/>
    <s v="US"/>
    <d v="2024-09-23T00:00:00"/>
    <s v="#viral #news #ai"/>
    <n v="5758704"/>
    <n v="411336"/>
    <n v="8160"/>
    <n v="69120"/>
    <n v="8.48E-2"/>
    <n v="0.61"/>
    <n v="1"/>
    <x v="0"/>
    <x v="0"/>
  </r>
  <r>
    <s v="SM_100812"/>
    <x v="1"/>
    <s v="carousel"/>
    <s v="Technology"/>
    <s v="en"/>
    <s v="Pakistan"/>
    <d v="2024-10-23T00:00:00"/>
    <s v="#ai #music"/>
    <n v="1868448"/>
    <n v="155704"/>
    <n v="18606"/>
    <n v="63228"/>
    <n v="0.12709999999999999"/>
    <n v="0.69599999999999995"/>
    <n v="0"/>
    <x v="1"/>
    <x v="0"/>
  </r>
  <r>
    <s v="SM_100813"/>
    <x v="3"/>
    <s v="carousel"/>
    <s v="Education"/>
    <s v="hi"/>
    <s v="UK"/>
    <d v="2024-12-07T00:00:00"/>
    <s v="#trending #music #funny #news"/>
    <n v="11356254"/>
    <n v="436779"/>
    <n v="9140"/>
    <n v="5723"/>
    <n v="3.9800000000000002E-2"/>
    <n v="-0.14299999999999999"/>
    <n v="1"/>
    <x v="0"/>
    <x v="1"/>
  </r>
  <r>
    <s v="SM_100814"/>
    <x v="0"/>
    <s v="carousel"/>
    <s v="Politics"/>
    <s v="en"/>
    <s v="India"/>
    <d v="2024-01-12T00:00:00"/>
    <s v="#funny #fyp #news #trending #music"/>
    <n v="3976640"/>
    <n v="233920"/>
    <n v="40391"/>
    <n v="85868"/>
    <n v="9.06E-2"/>
    <n v="-0.999"/>
    <n v="1"/>
    <x v="0"/>
    <x v="1"/>
  </r>
  <r>
    <s v="SM_100815"/>
    <x v="1"/>
    <s v="text"/>
    <s v="Technology"/>
    <s v="hi"/>
    <s v="Pakistan"/>
    <d v="2024-05-13T00:00:00"/>
    <s v="#viral #music #ai"/>
    <n v="1847421"/>
    <n v="68423"/>
    <n v="23821"/>
    <n v="40696"/>
    <n v="7.1999999999999995E-2"/>
    <n v="0.83899999999999997"/>
    <n v="0"/>
    <x v="1"/>
    <x v="0"/>
  </r>
  <r>
    <s v="SM_100816"/>
    <x v="0"/>
    <s v="video"/>
    <s v="Sports"/>
    <s v="fr"/>
    <s v="India"/>
    <d v="2024-11-30T00:00:00"/>
    <s v="#news #funny"/>
    <n v="11331518"/>
    <n v="390742"/>
    <n v="2181"/>
    <n v="85664"/>
    <n v="4.2200000000000001E-2"/>
    <n v="0.52200000000000002"/>
    <n v="1"/>
    <x v="0"/>
    <x v="0"/>
  </r>
  <r>
    <s v="SM_100817"/>
    <x v="2"/>
    <s v="carousel"/>
    <s v="Lifestyle"/>
    <s v="fr"/>
    <s v="Brazil"/>
    <d v="2024-07-18T00:00:00"/>
    <s v="#tech #news #ai #funny"/>
    <n v="2060256"/>
    <n v="85844"/>
    <n v="28487"/>
    <n v="9172"/>
    <n v="5.9900000000000002E-2"/>
    <n v="0.50900000000000001"/>
    <n v="1"/>
    <x v="0"/>
    <x v="0"/>
  </r>
  <r>
    <s v="SM_100818"/>
    <x v="0"/>
    <s v="text"/>
    <s v="Politics"/>
    <s v="en"/>
    <s v="UK"/>
    <d v="2024-11-13T00:00:00"/>
    <s v="#viral #news"/>
    <n v="4322626"/>
    <n v="392966"/>
    <n v="40551"/>
    <n v="3697"/>
    <n v="0.1011"/>
    <n v="0.154"/>
    <n v="1"/>
    <x v="0"/>
    <x v="0"/>
  </r>
  <r>
    <s v="SM_100819"/>
    <x v="0"/>
    <s v="video"/>
    <s v="Education"/>
    <s v="hi"/>
    <s v="India"/>
    <d v="2024-02-05T00:00:00"/>
    <s v="#trending #viral #funny"/>
    <n v="6753432"/>
    <n v="281393"/>
    <n v="45745"/>
    <n v="4957"/>
    <n v="4.9200000000000001E-2"/>
    <n v="0.14799999999999999"/>
    <n v="1"/>
    <x v="0"/>
    <x v="0"/>
  </r>
  <r>
    <s v="SM_100820"/>
    <x v="0"/>
    <s v="carousel"/>
    <s v="Sports"/>
    <s v="en"/>
    <s v="UK"/>
    <d v="2024-04-04T00:00:00"/>
    <s v="#tech #funny"/>
    <n v="5591045"/>
    <n v="328885"/>
    <n v="15422"/>
    <n v="24730"/>
    <n v="6.6000000000000003E-2"/>
    <n v="0.94899999999999995"/>
    <n v="1"/>
    <x v="0"/>
    <x v="0"/>
  </r>
  <r>
    <s v="SM_100821"/>
    <x v="0"/>
    <s v="image"/>
    <s v="Education"/>
    <s v="fr"/>
    <s v="US"/>
    <d v="2024-01-01T00:00:00"/>
    <s v="#trending #tech #music"/>
    <n v="3439590"/>
    <n v="229306"/>
    <n v="29966"/>
    <n v="12603"/>
    <n v="7.9000000000000001E-2"/>
    <n v="0.504"/>
    <n v="1"/>
    <x v="0"/>
    <x v="0"/>
  </r>
  <r>
    <s v="SM_100822"/>
    <x v="2"/>
    <s v="text"/>
    <s v="Politics"/>
    <s v="fr"/>
    <s v="Pakistan"/>
    <d v="2024-04-04T00:00:00"/>
    <s v="#news #viral #trending #music"/>
    <n v="5117448"/>
    <n v="243688"/>
    <n v="34686"/>
    <n v="91329"/>
    <n v="7.22E-2"/>
    <n v="-0.70399999999999996"/>
    <n v="1"/>
    <x v="0"/>
    <x v="1"/>
  </r>
  <r>
    <s v="SM_100823"/>
    <x v="3"/>
    <s v="video"/>
    <s v="Sports"/>
    <s v="es"/>
    <s v="Pakistan"/>
    <d v="2024-11-09T00:00:00"/>
    <s v="#ai #music #trending #news"/>
    <n v="3662552"/>
    <n v="457819"/>
    <n v="34545"/>
    <n v="26537"/>
    <n v="0.14169999999999999"/>
    <n v="0.16300000000000001"/>
    <n v="1"/>
    <x v="0"/>
    <x v="0"/>
  </r>
  <r>
    <s v="SM_100824"/>
    <x v="3"/>
    <s v="image"/>
    <s v="Politics"/>
    <s v="en"/>
    <s v="Brazil"/>
    <d v="2024-05-08T00:00:00"/>
    <s v="#ai #news #tech #trending #funny"/>
    <n v="9746750"/>
    <n v="389870"/>
    <n v="2876"/>
    <n v="46003"/>
    <n v="4.4999999999999998E-2"/>
    <n v="3.3000000000000002E-2"/>
    <n v="1"/>
    <x v="0"/>
    <x v="0"/>
  </r>
  <r>
    <s v="SM_100825"/>
    <x v="0"/>
    <s v="image"/>
    <s v="Politics"/>
    <s v="es"/>
    <s v="UK"/>
    <d v="2024-05-08T00:00:00"/>
    <s v="#trending #tech #viral #music"/>
    <n v="5163103"/>
    <n v="469373"/>
    <n v="43415"/>
    <n v="66669"/>
    <n v="0.11219999999999999"/>
    <n v="0.78800000000000003"/>
    <n v="1"/>
    <x v="0"/>
    <x v="0"/>
  </r>
  <r>
    <s v="SM_100826"/>
    <x v="1"/>
    <s v="text"/>
    <s v="Sports"/>
    <s v="es"/>
    <s v="US"/>
    <d v="2024-09-23T00:00:00"/>
    <s v="#fyp #news #viral #ai #music"/>
    <n v="1754874"/>
    <n v="194986"/>
    <n v="39070"/>
    <n v="45608"/>
    <n v="0.15939999999999999"/>
    <n v="-0.161"/>
    <n v="0"/>
    <x v="1"/>
    <x v="1"/>
  </r>
  <r>
    <s v="SM_100827"/>
    <x v="0"/>
    <s v="video"/>
    <s v="Entertainment"/>
    <s v="fr"/>
    <s v="UK"/>
    <d v="2024-11-12T00:00:00"/>
    <s v="#tech #news #fyp"/>
    <n v="9491880"/>
    <n v="395495"/>
    <n v="43803"/>
    <n v="74602"/>
    <n v="5.4100000000000002E-2"/>
    <n v="-5.0000000000000001E-3"/>
    <n v="1"/>
    <x v="0"/>
    <x v="1"/>
  </r>
  <r>
    <s v="SM_100828"/>
    <x v="0"/>
    <s v="carousel"/>
    <s v="Technology"/>
    <s v="es"/>
    <s v="Pakistan"/>
    <d v="2024-04-20T00:00:00"/>
    <s v="#trending #music #news"/>
    <n v="4653588"/>
    <n v="387799"/>
    <n v="35953"/>
    <n v="20701"/>
    <n v="9.5500000000000002E-2"/>
    <n v="-0.628"/>
    <n v="1"/>
    <x v="0"/>
    <x v="1"/>
  </r>
  <r>
    <s v="SM_100829"/>
    <x v="1"/>
    <s v="carousel"/>
    <s v="Entertainment"/>
    <s v="ur"/>
    <s v="US"/>
    <d v="2024-04-08T00:00:00"/>
    <s v="#tech #music #fyp"/>
    <n v="1681740"/>
    <n v="93430"/>
    <n v="28788"/>
    <n v="82535"/>
    <n v="0.12180000000000001"/>
    <n v="-0.58599999999999997"/>
    <n v="0"/>
    <x v="1"/>
    <x v="1"/>
  </r>
  <r>
    <s v="SM_100830"/>
    <x v="0"/>
    <s v="video"/>
    <s v="Politics"/>
    <s v="es"/>
    <s v="UK"/>
    <d v="2024-03-31T00:00:00"/>
    <s v="#fyp #funny #trending #tech #news"/>
    <n v="9253076"/>
    <n v="487004"/>
    <n v="20959"/>
    <n v="31556"/>
    <n v="5.8299999999999998E-2"/>
    <n v="0.75900000000000001"/>
    <n v="1"/>
    <x v="0"/>
    <x v="0"/>
  </r>
  <r>
    <s v="SM_100831"/>
    <x v="3"/>
    <s v="video"/>
    <s v="Entertainment"/>
    <s v="en"/>
    <s v="Pakistan"/>
    <d v="2024-08-19T00:00:00"/>
    <s v="#fyp #ai"/>
    <n v="4988144"/>
    <n v="178148"/>
    <n v="15047"/>
    <n v="91503"/>
    <n v="5.7099999999999998E-2"/>
    <n v="0.65300000000000002"/>
    <n v="1"/>
    <x v="0"/>
    <x v="0"/>
  </r>
  <r>
    <s v="SM_100832"/>
    <x v="1"/>
    <s v="video"/>
    <s v="Lifestyle"/>
    <s v="es"/>
    <s v="Brazil"/>
    <d v="2024-02-03T00:00:00"/>
    <s v="#viral #trending #tech"/>
    <n v="872652"/>
    <n v="145442"/>
    <n v="30913"/>
    <n v="15524"/>
    <n v="0.21990000000000001"/>
    <n v="0.54800000000000004"/>
    <n v="0"/>
    <x v="1"/>
    <x v="0"/>
  </r>
  <r>
    <s v="SM_100833"/>
    <x v="3"/>
    <s v="video"/>
    <s v="Technology"/>
    <s v="en"/>
    <s v="Brazil"/>
    <d v="2024-08-08T00:00:00"/>
    <s v="#news #funny"/>
    <n v="1911133"/>
    <n v="273019"/>
    <n v="12270"/>
    <n v="84996"/>
    <n v="0.1938"/>
    <n v="3.1E-2"/>
    <n v="0"/>
    <x v="1"/>
    <x v="0"/>
  </r>
  <r>
    <s v="SM_100834"/>
    <x v="1"/>
    <s v="carousel"/>
    <s v="Lifestyle"/>
    <s v="fr"/>
    <s v="UK"/>
    <d v="2024-01-15T00:00:00"/>
    <s v="#ai #fyp #viral"/>
    <n v="3797472"/>
    <n v="158228"/>
    <n v="6619"/>
    <n v="7416"/>
    <n v="4.5400000000000003E-2"/>
    <n v="-0.15"/>
    <n v="1"/>
    <x v="0"/>
    <x v="1"/>
  </r>
  <r>
    <s v="SM_100835"/>
    <x v="0"/>
    <s v="image"/>
    <s v="Politics"/>
    <s v="hi"/>
    <s v="India"/>
    <d v="2024-09-20T00:00:00"/>
    <s v="#music #tech #ai"/>
    <n v="5333640"/>
    <n v="410280"/>
    <n v="37731"/>
    <n v="37045"/>
    <n v="9.0899999999999995E-2"/>
    <n v="-1"/>
    <n v="1"/>
    <x v="0"/>
    <x v="1"/>
  </r>
  <r>
    <s v="SM_100836"/>
    <x v="2"/>
    <s v="carousel"/>
    <s v="Technology"/>
    <s v="en"/>
    <s v="India"/>
    <d v="2024-08-29T00:00:00"/>
    <s v="#tech #funny #viral"/>
    <n v="2660760"/>
    <n v="266076"/>
    <n v="25280"/>
    <n v="80438"/>
    <n v="0.13969999999999999"/>
    <n v="-0.89100000000000001"/>
    <n v="1"/>
    <x v="0"/>
    <x v="1"/>
  </r>
  <r>
    <s v="SM_100837"/>
    <x v="3"/>
    <s v="text"/>
    <s v="Lifestyle"/>
    <s v="hi"/>
    <s v="Pakistan"/>
    <d v="2024-01-08T00:00:00"/>
    <s v="#trending #tech #ai"/>
    <n v="5744184"/>
    <n v="239341"/>
    <n v="22923"/>
    <n v="85077"/>
    <n v="6.0499999999999998E-2"/>
    <n v="-0.53900000000000003"/>
    <n v="1"/>
    <x v="0"/>
    <x v="1"/>
  </r>
  <r>
    <s v="SM_100838"/>
    <x v="3"/>
    <s v="text"/>
    <s v="Technology"/>
    <s v="es"/>
    <s v="US"/>
    <d v="2024-06-26T00:00:00"/>
    <s v="#trending #funny #viral #fyp #ai"/>
    <n v="309424"/>
    <n v="38678"/>
    <n v="24922"/>
    <n v="22319"/>
    <n v="0.2777"/>
    <n v="0.93400000000000005"/>
    <n v="0"/>
    <x v="1"/>
    <x v="0"/>
  </r>
  <r>
    <s v="SM_100839"/>
    <x v="0"/>
    <s v="text"/>
    <s v="Sports"/>
    <s v="hi"/>
    <s v="Pakistan"/>
    <d v="2024-07-31T00:00:00"/>
    <s v="#tech #news #ai #trending #music"/>
    <n v="1729608"/>
    <n v="216201"/>
    <n v="20471"/>
    <n v="95743"/>
    <n v="0.19220000000000001"/>
    <n v="0.48399999999999999"/>
    <n v="0"/>
    <x v="1"/>
    <x v="0"/>
  </r>
  <r>
    <s v="SM_100840"/>
    <x v="2"/>
    <s v="image"/>
    <s v="Lifestyle"/>
    <s v="hi"/>
    <s v="Brazil"/>
    <d v="2024-12-20T00:00:00"/>
    <s v="#trending #ai"/>
    <n v="3470192"/>
    <n v="157736"/>
    <n v="22417"/>
    <n v="93527"/>
    <n v="7.8899999999999998E-2"/>
    <n v="0.79200000000000004"/>
    <n v="1"/>
    <x v="0"/>
    <x v="0"/>
  </r>
  <r>
    <s v="SM_100841"/>
    <x v="0"/>
    <s v="text"/>
    <s v="Politics"/>
    <s v="en"/>
    <s v="US"/>
    <d v="2024-10-16T00:00:00"/>
    <s v="#music #tech"/>
    <n v="3319544"/>
    <n v="144328"/>
    <n v="23069"/>
    <n v="25712"/>
    <n v="5.8200000000000002E-2"/>
    <n v="-0.63700000000000001"/>
    <n v="1"/>
    <x v="0"/>
    <x v="1"/>
  </r>
  <r>
    <s v="SM_100842"/>
    <x v="3"/>
    <s v="video"/>
    <s v="Entertainment"/>
    <s v="en"/>
    <s v="UK"/>
    <d v="2024-07-09T00:00:00"/>
    <s v="#tech #ai #trending #funny #news"/>
    <n v="10209498"/>
    <n v="392673"/>
    <n v="20980"/>
    <n v="7215"/>
    <n v="4.1200000000000001E-2"/>
    <n v="-0.188"/>
    <n v="1"/>
    <x v="0"/>
    <x v="1"/>
  </r>
  <r>
    <s v="SM_100843"/>
    <x v="3"/>
    <s v="text"/>
    <s v="Lifestyle"/>
    <s v="ur"/>
    <s v="Pakistan"/>
    <d v="2024-01-19T00:00:00"/>
    <s v="#ai #funny #fyp #trending"/>
    <n v="3164475"/>
    <n v="126579"/>
    <n v="27132"/>
    <n v="5142"/>
    <n v="5.0200000000000002E-2"/>
    <n v="8.5000000000000006E-2"/>
    <n v="1"/>
    <x v="0"/>
    <x v="0"/>
  </r>
  <r>
    <s v="SM_100844"/>
    <x v="3"/>
    <s v="video"/>
    <s v="Sports"/>
    <s v="fr"/>
    <s v="India"/>
    <d v="2024-07-03T00:00:00"/>
    <s v="#music #tech #fyp #trending #viral"/>
    <n v="7576713"/>
    <n v="280619"/>
    <n v="15093"/>
    <n v="57616"/>
    <n v="4.6600000000000003E-2"/>
    <n v="8.8999999999999996E-2"/>
    <n v="1"/>
    <x v="0"/>
    <x v="0"/>
  </r>
  <r>
    <s v="SM_100845"/>
    <x v="0"/>
    <s v="carousel"/>
    <s v="Education"/>
    <s v="es"/>
    <s v="US"/>
    <d v="2024-11-21T00:00:00"/>
    <s v="#news #music #funny"/>
    <n v="5155657"/>
    <n v="396589"/>
    <n v="47140"/>
    <n v="30882"/>
    <n v="9.2100000000000001E-2"/>
    <n v="-0.46200000000000002"/>
    <n v="1"/>
    <x v="0"/>
    <x v="1"/>
  </r>
  <r>
    <s v="SM_100846"/>
    <x v="3"/>
    <s v="carousel"/>
    <s v="Technology"/>
    <s v="hi"/>
    <s v="India"/>
    <d v="2024-06-16T00:00:00"/>
    <s v="#music #trending"/>
    <n v="1452927"/>
    <n v="69187"/>
    <n v="12302"/>
    <n v="27129"/>
    <n v="7.4800000000000005E-2"/>
    <n v="0.20300000000000001"/>
    <n v="0"/>
    <x v="1"/>
    <x v="0"/>
  </r>
  <r>
    <s v="SM_100847"/>
    <x v="2"/>
    <s v="image"/>
    <s v="Education"/>
    <s v="en"/>
    <s v="US"/>
    <d v="2024-08-20T00:00:00"/>
    <s v="#trending #news #ai #fyp"/>
    <n v="5491775"/>
    <n v="219671"/>
    <n v="13427"/>
    <n v="32921"/>
    <n v="4.8399999999999999E-2"/>
    <n v="0.12"/>
    <n v="1"/>
    <x v="0"/>
    <x v="0"/>
  </r>
  <r>
    <s v="SM_100848"/>
    <x v="0"/>
    <s v="text"/>
    <s v="Lifestyle"/>
    <s v="hi"/>
    <s v="UK"/>
    <d v="2024-03-09T00:00:00"/>
    <s v="#viral #trending #ai"/>
    <n v="9110668"/>
    <n v="396116"/>
    <n v="38083"/>
    <n v="42713"/>
    <n v="5.2299999999999999E-2"/>
    <n v="-0.26100000000000001"/>
    <n v="1"/>
    <x v="0"/>
    <x v="1"/>
  </r>
  <r>
    <s v="SM_100849"/>
    <x v="2"/>
    <s v="video"/>
    <s v="Politics"/>
    <s v="es"/>
    <s v="US"/>
    <d v="2024-03-18T00:00:00"/>
    <s v="#music #ai #fyp"/>
    <n v="1637832"/>
    <n v="272972"/>
    <n v="29571"/>
    <n v="95320"/>
    <n v="0.2429"/>
    <n v="0.39400000000000002"/>
    <n v="0"/>
    <x v="1"/>
    <x v="0"/>
  </r>
  <r>
    <s v="SM_100850"/>
    <x v="1"/>
    <s v="carousel"/>
    <s v="Lifestyle"/>
    <s v="es"/>
    <s v="US"/>
    <d v="2024-08-01T00:00:00"/>
    <s v="#tech #funny"/>
    <n v="2002895"/>
    <n v="400579"/>
    <n v="1919"/>
    <n v="89286"/>
    <n v="0.2455"/>
    <n v="-0.75600000000000001"/>
    <n v="1"/>
    <x v="0"/>
    <x v="1"/>
  </r>
  <r>
    <s v="SM_100851"/>
    <x v="3"/>
    <s v="video"/>
    <s v="Entertainment"/>
    <s v="ur"/>
    <s v="US"/>
    <d v="2024-08-07T00:00:00"/>
    <s v="#fyp #funny"/>
    <n v="399881"/>
    <n v="13789"/>
    <n v="32939"/>
    <n v="33277"/>
    <n v="0.2001"/>
    <n v="-0.45200000000000001"/>
    <n v="0"/>
    <x v="1"/>
    <x v="1"/>
  </r>
  <r>
    <s v="SM_100852"/>
    <x v="2"/>
    <s v="video"/>
    <s v="Technology"/>
    <s v="es"/>
    <s v="US"/>
    <d v="2024-07-18T00:00:00"/>
    <s v="#trending #funny"/>
    <n v="3578822"/>
    <n v="275294"/>
    <n v="685"/>
    <n v="84445"/>
    <n v="0.1007"/>
    <n v="-0.309"/>
    <n v="1"/>
    <x v="0"/>
    <x v="1"/>
  </r>
  <r>
    <s v="SM_100853"/>
    <x v="1"/>
    <s v="carousel"/>
    <s v="Education"/>
    <s v="ur"/>
    <s v="India"/>
    <d v="2024-10-06T00:00:00"/>
    <s v="#viral #fyp #news"/>
    <n v="4207425"/>
    <n v="168297"/>
    <n v="1368"/>
    <n v="42292"/>
    <n v="5.04E-2"/>
    <n v="0.71299999999999997"/>
    <n v="1"/>
    <x v="0"/>
    <x v="0"/>
  </r>
  <r>
    <s v="SM_100854"/>
    <x v="1"/>
    <s v="text"/>
    <s v="Politics"/>
    <s v="fr"/>
    <s v="Pakistan"/>
    <d v="2024-04-28T00:00:00"/>
    <s v="#viral #news #music #funny #tech"/>
    <n v="5771516"/>
    <n v="303764"/>
    <n v="25680"/>
    <n v="18288"/>
    <n v="6.0199999999999997E-2"/>
    <n v="-0.129"/>
    <n v="1"/>
    <x v="0"/>
    <x v="1"/>
  </r>
  <r>
    <s v="SM_100855"/>
    <x v="0"/>
    <s v="image"/>
    <s v="Entertainment"/>
    <s v="ur"/>
    <s v="Pakistan"/>
    <d v="2024-03-07T00:00:00"/>
    <s v="#news #trending #fyp #ai #tech"/>
    <n v="9422233"/>
    <n v="495907"/>
    <n v="12117"/>
    <n v="75226"/>
    <n v="6.1899999999999997E-2"/>
    <n v="1.2999999999999999E-2"/>
    <n v="1"/>
    <x v="0"/>
    <x v="0"/>
  </r>
  <r>
    <s v="SM_100856"/>
    <x v="1"/>
    <s v="text"/>
    <s v="Sports"/>
    <s v="es"/>
    <s v="Pakistan"/>
    <d v="2024-04-27T00:00:00"/>
    <s v="#music #fyp #ai #news #funny"/>
    <n v="2859714"/>
    <n v="129987"/>
    <n v="33924"/>
    <n v="73156"/>
    <n v="8.2900000000000001E-2"/>
    <n v="-0.96799999999999997"/>
    <n v="1"/>
    <x v="0"/>
    <x v="1"/>
  </r>
  <r>
    <s v="SM_100857"/>
    <x v="2"/>
    <s v="text"/>
    <s v="Entertainment"/>
    <s v="en"/>
    <s v="UK"/>
    <d v="2024-11-01T00:00:00"/>
    <s v="#trending #viral #ai #tech"/>
    <n v="5163516"/>
    <n v="286862"/>
    <n v="34680"/>
    <n v="18920"/>
    <n v="6.59E-2"/>
    <n v="0.40699999999999997"/>
    <n v="1"/>
    <x v="0"/>
    <x v="0"/>
  </r>
  <r>
    <s v="SM_100858"/>
    <x v="0"/>
    <s v="carousel"/>
    <s v="Entertainment"/>
    <s v="fr"/>
    <s v="India"/>
    <d v="2024-03-17T00:00:00"/>
    <s v="#tech #ai #viral"/>
    <n v="4903659"/>
    <n v="181617"/>
    <n v="4774"/>
    <n v="37565"/>
    <n v="4.5699999999999998E-2"/>
    <n v="-0.53"/>
    <n v="1"/>
    <x v="0"/>
    <x v="1"/>
  </r>
  <r>
    <s v="SM_100859"/>
    <x v="2"/>
    <s v="text"/>
    <s v="Politics"/>
    <s v="ur"/>
    <s v="Pakistan"/>
    <d v="2024-01-05T00:00:00"/>
    <s v="#viral #fyp #trending"/>
    <n v="1591340"/>
    <n v="159134"/>
    <n v="19361"/>
    <n v="85843"/>
    <n v="0.1661"/>
    <n v="9.2999999999999999E-2"/>
    <n v="0"/>
    <x v="1"/>
    <x v="0"/>
  </r>
  <r>
    <s v="SM_100860"/>
    <x v="0"/>
    <s v="text"/>
    <s v="Lifestyle"/>
    <s v="ur"/>
    <s v="India"/>
    <d v="2024-03-05T00:00:00"/>
    <s v="#fyp #funny #ai #viral"/>
    <n v="12493300"/>
    <n v="499732"/>
    <n v="38060"/>
    <n v="10579"/>
    <n v="4.3900000000000002E-2"/>
    <n v="0.01"/>
    <n v="1"/>
    <x v="0"/>
    <x v="0"/>
  </r>
  <r>
    <s v="SM_100861"/>
    <x v="1"/>
    <s v="carousel"/>
    <s v="Technology"/>
    <s v="fr"/>
    <s v="Brazil"/>
    <d v="2024-10-30T00:00:00"/>
    <s v="#viral #ai #music #tech"/>
    <n v="3617256"/>
    <n v="301438"/>
    <n v="44372"/>
    <n v="390"/>
    <n v="9.5699999999999993E-2"/>
    <n v="-0.64100000000000001"/>
    <n v="1"/>
    <x v="0"/>
    <x v="1"/>
  </r>
  <r>
    <s v="SM_100862"/>
    <x v="1"/>
    <s v="image"/>
    <s v="Lifestyle"/>
    <s v="ur"/>
    <s v="Brazil"/>
    <d v="2024-02-04T00:00:00"/>
    <s v="#news #ai #trending #viral #funny"/>
    <n v="7581605"/>
    <n v="329635"/>
    <n v="40898"/>
    <n v="13795"/>
    <n v="5.0700000000000002E-2"/>
    <n v="-0.20699999999999999"/>
    <n v="1"/>
    <x v="0"/>
    <x v="1"/>
  </r>
  <r>
    <s v="SM_100863"/>
    <x v="3"/>
    <s v="image"/>
    <s v="Politics"/>
    <s v="es"/>
    <s v="Brazil"/>
    <d v="2024-12-23T00:00:00"/>
    <s v="#trending #news #ai #viral #fyp"/>
    <n v="147494"/>
    <n v="5086"/>
    <n v="32303"/>
    <n v="1482"/>
    <n v="0.26350000000000001"/>
    <n v="-0.68500000000000005"/>
    <n v="0"/>
    <x v="1"/>
    <x v="1"/>
  </r>
  <r>
    <s v="SM_100864"/>
    <x v="3"/>
    <s v="video"/>
    <s v="Education"/>
    <s v="es"/>
    <s v="India"/>
    <d v="2024-11-24T00:00:00"/>
    <s v="#tech #music #fyp #funny #news"/>
    <n v="11484228"/>
    <n v="410151"/>
    <n v="27803"/>
    <n v="91650"/>
    <n v="4.6100000000000002E-2"/>
    <n v="0.63300000000000001"/>
    <n v="1"/>
    <x v="0"/>
    <x v="0"/>
  </r>
  <r>
    <s v="SM_100865"/>
    <x v="2"/>
    <s v="carousel"/>
    <s v="Technology"/>
    <s v="es"/>
    <s v="UK"/>
    <d v="2024-09-14T00:00:00"/>
    <s v="#viral #news"/>
    <n v="3915000"/>
    <n v="217500"/>
    <n v="20457"/>
    <n v="43527"/>
    <n v="7.1900000000000006E-2"/>
    <n v="0.25"/>
    <n v="1"/>
    <x v="0"/>
    <x v="0"/>
  </r>
  <r>
    <s v="SM_100866"/>
    <x v="1"/>
    <s v="text"/>
    <s v="Education"/>
    <s v="es"/>
    <s v="Pakistan"/>
    <d v="2024-08-15T00:00:00"/>
    <s v="#funny #trending #viral"/>
    <n v="10521090"/>
    <n v="389670"/>
    <n v="11894"/>
    <n v="24336"/>
    <n v="4.0500000000000001E-2"/>
    <n v="0.81200000000000006"/>
    <n v="1"/>
    <x v="0"/>
    <x v="0"/>
  </r>
  <r>
    <s v="SM_100867"/>
    <x v="3"/>
    <s v="carousel"/>
    <s v="Technology"/>
    <s v="en"/>
    <s v="Brazil"/>
    <d v="2024-02-10T00:00:00"/>
    <s v="#fyp #music #ai #funny #tech"/>
    <n v="1542665"/>
    <n v="308533"/>
    <n v="37332"/>
    <n v="16200"/>
    <n v="0.23469999999999999"/>
    <n v="9.8000000000000004E-2"/>
    <n v="0"/>
    <x v="1"/>
    <x v="0"/>
  </r>
  <r>
    <s v="SM_100868"/>
    <x v="2"/>
    <s v="carousel"/>
    <s v="Technology"/>
    <s v="es"/>
    <s v="India"/>
    <d v="2024-04-10T00:00:00"/>
    <s v="#funny #viral #fyp #news #trending"/>
    <n v="1356777"/>
    <n v="150753"/>
    <n v="48697"/>
    <n v="59723"/>
    <n v="0.191"/>
    <n v="-0.29399999999999998"/>
    <n v="0"/>
    <x v="1"/>
    <x v="1"/>
  </r>
  <r>
    <s v="SM_100869"/>
    <x v="3"/>
    <s v="text"/>
    <s v="Lifestyle"/>
    <s v="hi"/>
    <s v="Pakistan"/>
    <d v="2024-12-04T00:00:00"/>
    <s v="#music #viral"/>
    <n v="5925672"/>
    <n v="329204"/>
    <n v="19557"/>
    <n v="10809"/>
    <n v="6.0699999999999997E-2"/>
    <n v="0.21099999999999999"/>
    <n v="1"/>
    <x v="0"/>
    <x v="0"/>
  </r>
  <r>
    <s v="SM_100870"/>
    <x v="1"/>
    <s v="text"/>
    <s v="Technology"/>
    <s v="ur"/>
    <s v="Brazil"/>
    <d v="2024-12-20T00:00:00"/>
    <s v="#funny #viral #tech #trending #news"/>
    <n v="5788882"/>
    <n v="263131"/>
    <n v="31807"/>
    <n v="85025"/>
    <n v="6.5600000000000006E-2"/>
    <n v="-0.13400000000000001"/>
    <n v="1"/>
    <x v="0"/>
    <x v="1"/>
  </r>
  <r>
    <s v="SM_100871"/>
    <x v="1"/>
    <s v="text"/>
    <s v="Technology"/>
    <s v="hi"/>
    <s v="US"/>
    <d v="2024-05-29T00:00:00"/>
    <s v="#fyp #news"/>
    <n v="1558722"/>
    <n v="82038"/>
    <n v="21210"/>
    <n v="26050"/>
    <n v="8.3000000000000004E-2"/>
    <n v="-0.23699999999999999"/>
    <n v="0"/>
    <x v="1"/>
    <x v="1"/>
  </r>
  <r>
    <s v="SM_100872"/>
    <x v="2"/>
    <s v="carousel"/>
    <s v="Technology"/>
    <s v="fr"/>
    <s v="Pakistan"/>
    <d v="2024-11-03T00:00:00"/>
    <s v="#tech #fyp"/>
    <n v="12949352"/>
    <n v="498052"/>
    <n v="46225"/>
    <n v="46164"/>
    <n v="4.5600000000000002E-2"/>
    <n v="0.46700000000000003"/>
    <n v="1"/>
    <x v="0"/>
    <x v="0"/>
  </r>
  <r>
    <s v="SM_100873"/>
    <x v="2"/>
    <s v="image"/>
    <s v="Lifestyle"/>
    <s v="en"/>
    <s v="Pakistan"/>
    <d v="2024-07-05T00:00:00"/>
    <s v="#news #viral #funny"/>
    <n v="10087478"/>
    <n v="438586"/>
    <n v="9746"/>
    <n v="88279"/>
    <n v="5.3199999999999997E-2"/>
    <n v="0.57099999999999995"/>
    <n v="1"/>
    <x v="0"/>
    <x v="0"/>
  </r>
  <r>
    <s v="SM_100874"/>
    <x v="0"/>
    <s v="image"/>
    <s v="Technology"/>
    <s v="ur"/>
    <s v="UK"/>
    <d v="2024-06-14T00:00:00"/>
    <s v="#viral #fyp"/>
    <n v="3428096"/>
    <n v="122432"/>
    <n v="37628"/>
    <n v="22932"/>
    <n v="5.3400000000000003E-2"/>
    <n v="-0.44700000000000001"/>
    <n v="1"/>
    <x v="0"/>
    <x v="1"/>
  </r>
  <r>
    <s v="SM_100875"/>
    <x v="3"/>
    <s v="text"/>
    <s v="Technology"/>
    <s v="hi"/>
    <s v="India"/>
    <d v="2024-02-07T00:00:00"/>
    <s v="#music #viral #trending #ai #funny"/>
    <n v="728182"/>
    <n v="52013"/>
    <n v="29245"/>
    <n v="25992"/>
    <n v="0.14729999999999999"/>
    <n v="-0.64100000000000001"/>
    <n v="0"/>
    <x v="1"/>
    <x v="1"/>
  </r>
  <r>
    <s v="SM_100876"/>
    <x v="3"/>
    <s v="carousel"/>
    <s v="Sports"/>
    <s v="ur"/>
    <s v="UK"/>
    <d v="2024-12-03T00:00:00"/>
    <s v="#funny #fyp"/>
    <n v="5332821"/>
    <n v="410217"/>
    <n v="40510"/>
    <n v="95557"/>
    <n v="0.1024"/>
    <n v="0.47599999999999998"/>
    <n v="1"/>
    <x v="0"/>
    <x v="0"/>
  </r>
  <r>
    <s v="SM_100877"/>
    <x v="1"/>
    <s v="text"/>
    <s v="Entertainment"/>
    <s v="fr"/>
    <s v="Pakistan"/>
    <d v="2024-11-25T00:00:00"/>
    <s v="#viral #funny #tech #ai #music"/>
    <n v="5956560"/>
    <n v="372285"/>
    <n v="14261"/>
    <n v="87729"/>
    <n v="7.9600000000000004E-2"/>
    <n v="-0.85199999999999998"/>
    <n v="1"/>
    <x v="0"/>
    <x v="1"/>
  </r>
  <r>
    <s v="SM_100878"/>
    <x v="3"/>
    <s v="video"/>
    <s v="Sports"/>
    <s v="ur"/>
    <s v="UK"/>
    <d v="2024-12-10T00:00:00"/>
    <s v="#news #fyp #music #tech"/>
    <n v="1736462"/>
    <n v="59878"/>
    <n v="45838"/>
    <n v="22626"/>
    <n v="7.3899999999999993E-2"/>
    <n v="0.48"/>
    <n v="0"/>
    <x v="1"/>
    <x v="0"/>
  </r>
  <r>
    <s v="SM_100879"/>
    <x v="2"/>
    <s v="carousel"/>
    <s v="Lifestyle"/>
    <s v="fr"/>
    <s v="US"/>
    <d v="2024-03-11T00:00:00"/>
    <s v="#ai #tech #music #viral #trending"/>
    <n v="5126534"/>
    <n v="366181"/>
    <n v="5760"/>
    <n v="65304"/>
    <n v="8.5300000000000001E-2"/>
    <n v="0.38"/>
    <n v="1"/>
    <x v="0"/>
    <x v="0"/>
  </r>
  <r>
    <s v="SM_100880"/>
    <x v="3"/>
    <s v="text"/>
    <s v="Education"/>
    <s v="ur"/>
    <s v="Brazil"/>
    <d v="2024-09-04T00:00:00"/>
    <s v="#viral #funny #news #ai #tech"/>
    <n v="1716935"/>
    <n v="90365"/>
    <n v="32187"/>
    <n v="60711"/>
    <n v="0.1067"/>
    <n v="0.90300000000000002"/>
    <n v="0"/>
    <x v="1"/>
    <x v="0"/>
  </r>
  <r>
    <s v="SM_100881"/>
    <x v="2"/>
    <s v="image"/>
    <s v="Education"/>
    <s v="ur"/>
    <s v="India"/>
    <d v="2024-10-12T00:00:00"/>
    <s v="#funny #music #news"/>
    <n v="4900242"/>
    <n v="213054"/>
    <n v="2605"/>
    <n v="64620"/>
    <n v="5.7200000000000001E-2"/>
    <n v="0.247"/>
    <n v="1"/>
    <x v="0"/>
    <x v="0"/>
  </r>
  <r>
    <s v="SM_100882"/>
    <x v="0"/>
    <s v="image"/>
    <s v="Sports"/>
    <s v="fr"/>
    <s v="India"/>
    <d v="2024-03-07T00:00:00"/>
    <s v="#music #ai #trending"/>
    <n v="7230850"/>
    <n v="289234"/>
    <n v="16198"/>
    <n v="30110"/>
    <n v="4.6399999999999997E-2"/>
    <n v="-0.97"/>
    <n v="1"/>
    <x v="0"/>
    <x v="1"/>
  </r>
  <r>
    <s v="SM_100883"/>
    <x v="3"/>
    <s v="carousel"/>
    <s v="Politics"/>
    <s v="es"/>
    <s v="UK"/>
    <d v="2024-04-20T00:00:00"/>
    <s v="#ai #tech #viral"/>
    <n v="2980628"/>
    <n v="212902"/>
    <n v="34515"/>
    <n v="1307"/>
    <n v="8.3400000000000002E-2"/>
    <n v="-9.9000000000000005E-2"/>
    <n v="1"/>
    <x v="0"/>
    <x v="1"/>
  </r>
  <r>
    <s v="SM_100884"/>
    <x v="2"/>
    <s v="image"/>
    <s v="Lifestyle"/>
    <s v="es"/>
    <s v="US"/>
    <d v="2024-05-06T00:00:00"/>
    <s v="#trending #fyp #tech #funny #news"/>
    <n v="2027032"/>
    <n v="253379"/>
    <n v="29236"/>
    <n v="45801"/>
    <n v="0.16200000000000001"/>
    <n v="-0.501"/>
    <n v="1"/>
    <x v="0"/>
    <x v="1"/>
  </r>
  <r>
    <s v="SM_100885"/>
    <x v="1"/>
    <s v="video"/>
    <s v="Lifestyle"/>
    <s v="hi"/>
    <s v="India"/>
    <d v="2024-07-11T00:00:00"/>
    <s v="#viral #tech"/>
    <n v="1404665"/>
    <n v="280933"/>
    <n v="29089"/>
    <n v="40388"/>
    <n v="0.2495"/>
    <n v="-0.76600000000000001"/>
    <n v="0"/>
    <x v="1"/>
    <x v="1"/>
  </r>
  <r>
    <s v="SM_100886"/>
    <x v="1"/>
    <s v="image"/>
    <s v="Politics"/>
    <s v="es"/>
    <s v="India"/>
    <d v="2024-07-10T00:00:00"/>
    <s v="#music #funny #fyp #news #ai"/>
    <n v="12301848"/>
    <n v="473148"/>
    <n v="15443"/>
    <n v="48443"/>
    <n v="4.3700000000000003E-2"/>
    <n v="0.878"/>
    <n v="1"/>
    <x v="0"/>
    <x v="0"/>
  </r>
  <r>
    <s v="SM_100887"/>
    <x v="1"/>
    <s v="text"/>
    <s v="Sports"/>
    <s v="ur"/>
    <s v="US"/>
    <d v="2024-02-18T00:00:00"/>
    <s v="#trending #tech #viral"/>
    <n v="10090288"/>
    <n v="388088"/>
    <n v="47999"/>
    <n v="99576"/>
    <n v="5.3100000000000001E-2"/>
    <n v="0.25"/>
    <n v="1"/>
    <x v="0"/>
    <x v="0"/>
  </r>
  <r>
    <s v="SM_100888"/>
    <x v="1"/>
    <s v="video"/>
    <s v="Sports"/>
    <s v="ur"/>
    <s v="UK"/>
    <d v="2024-06-20T00:00:00"/>
    <s v="#tech #ai #news"/>
    <n v="1774101"/>
    <n v="84481"/>
    <n v="41248"/>
    <n v="62913"/>
    <n v="0.10630000000000001"/>
    <n v="-0.22900000000000001"/>
    <n v="0"/>
    <x v="1"/>
    <x v="1"/>
  </r>
  <r>
    <s v="SM_100889"/>
    <x v="0"/>
    <s v="video"/>
    <s v="Entertainment"/>
    <s v="hi"/>
    <s v="India"/>
    <d v="2024-02-10T00:00:00"/>
    <s v="#trending #viral"/>
    <n v="2360850"/>
    <n v="472170"/>
    <n v="17205"/>
    <n v="65619"/>
    <n v="0.2351"/>
    <n v="-0.55900000000000005"/>
    <n v="1"/>
    <x v="0"/>
    <x v="1"/>
  </r>
  <r>
    <s v="SM_100890"/>
    <x v="3"/>
    <s v="video"/>
    <s v="Lifestyle"/>
    <s v="ur"/>
    <s v="Pakistan"/>
    <d v="2024-03-23T00:00:00"/>
    <s v="#trending #ai #fyp #funny #news"/>
    <n v="1077608"/>
    <n v="76972"/>
    <n v="15601"/>
    <n v="2094"/>
    <n v="8.7800000000000003E-2"/>
    <n v="0.47899999999999998"/>
    <n v="0"/>
    <x v="1"/>
    <x v="0"/>
  </r>
  <r>
    <s v="SM_100891"/>
    <x v="0"/>
    <s v="image"/>
    <s v="Sports"/>
    <s v="en"/>
    <s v="Pakistan"/>
    <d v="2024-02-10T00:00:00"/>
    <s v="#tech #trending #viral #ai"/>
    <n v="6157725"/>
    <n v="293225"/>
    <n v="8372"/>
    <n v="70822"/>
    <n v="6.0499999999999998E-2"/>
    <n v="-4.0000000000000001E-3"/>
    <n v="1"/>
    <x v="0"/>
    <x v="1"/>
  </r>
  <r>
    <s v="SM_100892"/>
    <x v="0"/>
    <s v="video"/>
    <s v="Politics"/>
    <s v="hi"/>
    <s v="Pakistan"/>
    <d v="2024-04-17T00:00:00"/>
    <s v="#tech #trending #fyp #news #viral"/>
    <n v="816242"/>
    <n v="116606"/>
    <n v="18490"/>
    <n v="78514"/>
    <n v="0.26169999999999999"/>
    <n v="0.78"/>
    <n v="0"/>
    <x v="1"/>
    <x v="0"/>
  </r>
  <r>
    <s v="SM_100893"/>
    <x v="0"/>
    <s v="text"/>
    <s v="Sports"/>
    <s v="fr"/>
    <s v="India"/>
    <d v="2024-08-07T00:00:00"/>
    <s v="#music #viral #ai #tech #fyp"/>
    <n v="2502080"/>
    <n v="312760"/>
    <n v="29043"/>
    <n v="60687"/>
    <n v="0.16089999999999999"/>
    <n v="-0.13100000000000001"/>
    <n v="1"/>
    <x v="0"/>
    <x v="1"/>
  </r>
  <r>
    <s v="SM_100894"/>
    <x v="0"/>
    <s v="video"/>
    <s v="Politics"/>
    <s v="en"/>
    <s v="UK"/>
    <d v="2024-01-31T00:00:00"/>
    <s v="#ai #music"/>
    <n v="7115472"/>
    <n v="254124"/>
    <n v="24478"/>
    <n v="68499"/>
    <n v="4.8800000000000003E-2"/>
    <n v="-0.54200000000000004"/>
    <n v="1"/>
    <x v="0"/>
    <x v="1"/>
  </r>
  <r>
    <s v="SM_100895"/>
    <x v="3"/>
    <s v="text"/>
    <s v="Lifestyle"/>
    <s v="en"/>
    <s v="Brazil"/>
    <d v="2024-11-25T00:00:00"/>
    <s v="#tech #ai #funny"/>
    <n v="59332"/>
    <n v="4238"/>
    <n v="35197"/>
    <n v="91177"/>
    <n v="2.2014"/>
    <n v="0.40200000000000002"/>
    <n v="0"/>
    <x v="1"/>
    <x v="0"/>
  </r>
  <r>
    <s v="SM_100896"/>
    <x v="3"/>
    <s v="carousel"/>
    <s v="Politics"/>
    <s v="fr"/>
    <s v="Pakistan"/>
    <d v="2024-02-26T00:00:00"/>
    <s v="#tech #news #music #fyp"/>
    <n v="4076688"/>
    <n v="194128"/>
    <n v="28332"/>
    <n v="10279"/>
    <n v="5.7099999999999998E-2"/>
    <n v="0.63700000000000001"/>
    <n v="1"/>
    <x v="0"/>
    <x v="0"/>
  </r>
  <r>
    <s v="SM_100897"/>
    <x v="1"/>
    <s v="text"/>
    <s v="Sports"/>
    <s v="ur"/>
    <s v="Pakistan"/>
    <d v="2024-06-26T00:00:00"/>
    <s v="#fyp #music #funny"/>
    <n v="1972250"/>
    <n v="394450"/>
    <n v="30136"/>
    <n v="54319"/>
    <n v="0.24279999999999999"/>
    <n v="-0.57099999999999995"/>
    <n v="0"/>
    <x v="1"/>
    <x v="1"/>
  </r>
  <r>
    <s v="SM_100898"/>
    <x v="3"/>
    <s v="carousel"/>
    <s v="Entertainment"/>
    <s v="ur"/>
    <s v="Brazil"/>
    <d v="2024-11-18T00:00:00"/>
    <s v="#funny #trending #ai #news"/>
    <n v="2803680"/>
    <n v="233640"/>
    <n v="5044"/>
    <n v="21282"/>
    <n v="9.2700000000000005E-2"/>
    <n v="-0.28999999999999998"/>
    <n v="1"/>
    <x v="0"/>
    <x v="1"/>
  </r>
  <r>
    <s v="SM_100899"/>
    <x v="2"/>
    <s v="text"/>
    <s v="Education"/>
    <s v="en"/>
    <s v="Pakistan"/>
    <d v="2024-01-01T00:00:00"/>
    <s v="#music #viral"/>
    <n v="1909865"/>
    <n v="381973"/>
    <n v="27591"/>
    <n v="53054"/>
    <n v="0.2422"/>
    <n v="0.34599999999999997"/>
    <n v="0"/>
    <x v="1"/>
    <x v="0"/>
  </r>
  <r>
    <s v="SM_100900"/>
    <x v="0"/>
    <s v="image"/>
    <s v="Lifestyle"/>
    <s v="fr"/>
    <s v="India"/>
    <d v="2024-04-18T00:00:00"/>
    <s v="#music #viral #tech #fyp #news"/>
    <n v="10960407"/>
    <n v="405941"/>
    <n v="34402"/>
    <n v="58672"/>
    <n v="4.5499999999999999E-2"/>
    <n v="0.67700000000000005"/>
    <n v="1"/>
    <x v="0"/>
    <x v="0"/>
  </r>
  <r>
    <s v="SM_100901"/>
    <x v="1"/>
    <s v="carousel"/>
    <s v="Entertainment"/>
    <s v="es"/>
    <s v="UK"/>
    <d v="2024-05-13T00:00:00"/>
    <s v="#tech #music #news"/>
    <n v="2674457"/>
    <n v="157321"/>
    <n v="4375"/>
    <n v="5284"/>
    <n v="6.2399999999999997E-2"/>
    <n v="0.57399999999999995"/>
    <n v="1"/>
    <x v="0"/>
    <x v="0"/>
  </r>
  <r>
    <s v="SM_100902"/>
    <x v="0"/>
    <s v="text"/>
    <s v="Lifestyle"/>
    <s v="fr"/>
    <s v="UK"/>
    <d v="2024-10-08T00:00:00"/>
    <s v="#trending #news"/>
    <n v="2347390"/>
    <n v="469478"/>
    <n v="34766"/>
    <n v="870"/>
    <n v="0.2152"/>
    <n v="-0.49299999999999999"/>
    <n v="1"/>
    <x v="0"/>
    <x v="1"/>
  </r>
  <r>
    <s v="SM_100903"/>
    <x v="0"/>
    <s v="video"/>
    <s v="Technology"/>
    <s v="hi"/>
    <s v="Brazil"/>
    <d v="2024-07-02T00:00:00"/>
    <s v="#trending #tech #viral #ai"/>
    <n v="10944274"/>
    <n v="475838"/>
    <n v="44786"/>
    <n v="96008"/>
    <n v="5.6300000000000003E-2"/>
    <n v="0.54100000000000004"/>
    <n v="1"/>
    <x v="0"/>
    <x v="0"/>
  </r>
  <r>
    <s v="SM_100904"/>
    <x v="1"/>
    <s v="text"/>
    <s v="Entertainment"/>
    <s v="en"/>
    <s v="UK"/>
    <d v="2024-10-30T00:00:00"/>
    <s v="#tech #ai"/>
    <n v="233480"/>
    <n v="23348"/>
    <n v="23629"/>
    <n v="43517"/>
    <n v="0.3876"/>
    <n v="0.59899999999999998"/>
    <n v="0"/>
    <x v="1"/>
    <x v="0"/>
  </r>
  <r>
    <s v="SM_100905"/>
    <x v="3"/>
    <s v="image"/>
    <s v="Education"/>
    <s v="ur"/>
    <s v="UK"/>
    <d v="2024-05-14T00:00:00"/>
    <s v="#trending #news"/>
    <n v="2377650"/>
    <n v="475530"/>
    <n v="38261"/>
    <n v="85948"/>
    <n v="0.25219999999999998"/>
    <n v="0.79100000000000004"/>
    <n v="1"/>
    <x v="0"/>
    <x v="0"/>
  </r>
  <r>
    <s v="SM_100906"/>
    <x v="3"/>
    <s v="video"/>
    <s v="Sports"/>
    <s v="fr"/>
    <s v="US"/>
    <d v="2024-10-09T00:00:00"/>
    <s v="#viral #tech #music"/>
    <n v="8722700"/>
    <n v="348908"/>
    <n v="18262"/>
    <n v="12856"/>
    <n v="4.36E-2"/>
    <n v="-0.17699999999999999"/>
    <n v="1"/>
    <x v="0"/>
    <x v="1"/>
  </r>
  <r>
    <s v="SM_100907"/>
    <x v="1"/>
    <s v="video"/>
    <s v="Politics"/>
    <s v="hi"/>
    <s v="UK"/>
    <d v="2024-09-26T00:00:00"/>
    <s v="#news #music"/>
    <n v="2822690"/>
    <n v="282269"/>
    <n v="4463"/>
    <n v="63611"/>
    <n v="0.1241"/>
    <n v="-0.14499999999999999"/>
    <n v="1"/>
    <x v="0"/>
    <x v="1"/>
  </r>
  <r>
    <s v="SM_100908"/>
    <x v="0"/>
    <s v="image"/>
    <s v="Technology"/>
    <s v="en"/>
    <s v="Pakistan"/>
    <d v="2024-02-20T00:00:00"/>
    <s v="#music #news #ai #fyp #viral"/>
    <n v="1571391"/>
    <n v="174599"/>
    <n v="28278"/>
    <n v="38507"/>
    <n v="0.15359999999999999"/>
    <n v="0.56799999999999995"/>
    <n v="0"/>
    <x v="1"/>
    <x v="0"/>
  </r>
  <r>
    <s v="SM_100909"/>
    <x v="3"/>
    <s v="carousel"/>
    <s v="Entertainment"/>
    <s v="ur"/>
    <s v="India"/>
    <d v="2024-01-29T00:00:00"/>
    <s v="#tech #viral #ai #fyp #news"/>
    <n v="8722402"/>
    <n v="335477"/>
    <n v="24422"/>
    <n v="81983"/>
    <n v="5.0700000000000002E-2"/>
    <n v="0.56999999999999995"/>
    <n v="1"/>
    <x v="0"/>
    <x v="0"/>
  </r>
  <r>
    <s v="SM_100910"/>
    <x v="1"/>
    <s v="carousel"/>
    <s v="Sports"/>
    <s v="ur"/>
    <s v="India"/>
    <d v="2024-10-01T00:00:00"/>
    <s v="#fyp #music #tech #viral"/>
    <n v="3111144"/>
    <n v="388893"/>
    <n v="7357"/>
    <n v="79053"/>
    <n v="0.15279999999999999"/>
    <n v="0.18"/>
    <n v="1"/>
    <x v="0"/>
    <x v="0"/>
  </r>
  <r>
    <s v="SM_100911"/>
    <x v="2"/>
    <s v="text"/>
    <s v="Politics"/>
    <s v="es"/>
    <s v="Pakistan"/>
    <d v="2024-09-04T00:00:00"/>
    <s v="#trending #tech #funny #fyp"/>
    <n v="4478916"/>
    <n v="172266"/>
    <n v="36417"/>
    <n v="54123"/>
    <n v="5.8700000000000002E-2"/>
    <n v="-0.94299999999999995"/>
    <n v="1"/>
    <x v="0"/>
    <x v="1"/>
  </r>
  <r>
    <s v="SM_100912"/>
    <x v="0"/>
    <s v="image"/>
    <s v="Technology"/>
    <s v="es"/>
    <s v="Pakistan"/>
    <d v="2024-02-17T00:00:00"/>
    <s v="#viral #ai"/>
    <n v="7936677"/>
    <n v="293951"/>
    <n v="3283"/>
    <n v="7297"/>
    <n v="3.8399999999999997E-2"/>
    <n v="0.42599999999999999"/>
    <n v="1"/>
    <x v="0"/>
    <x v="0"/>
  </r>
  <r>
    <s v="SM_100913"/>
    <x v="1"/>
    <s v="video"/>
    <s v="Sports"/>
    <s v="hi"/>
    <s v="India"/>
    <d v="2024-09-29T00:00:00"/>
    <s v="#music #trending #fyp #ai #funny"/>
    <n v="768090"/>
    <n v="76809"/>
    <n v="30454"/>
    <n v="56705"/>
    <n v="0.2135"/>
    <n v="-0.68100000000000005"/>
    <n v="0"/>
    <x v="1"/>
    <x v="1"/>
  </r>
  <r>
    <s v="SM_100914"/>
    <x v="2"/>
    <s v="image"/>
    <s v="Education"/>
    <s v="hi"/>
    <s v="UK"/>
    <d v="2024-04-03T00:00:00"/>
    <s v="#tech #funny"/>
    <n v="6683675"/>
    <n v="267347"/>
    <n v="25505"/>
    <n v="35530"/>
    <n v="4.9099999999999998E-2"/>
    <n v="0.49399999999999999"/>
    <n v="1"/>
    <x v="0"/>
    <x v="0"/>
  </r>
  <r>
    <s v="SM_100915"/>
    <x v="2"/>
    <s v="video"/>
    <s v="Entertainment"/>
    <s v="hi"/>
    <s v="US"/>
    <d v="2024-10-19T00:00:00"/>
    <s v="#funny #fyp #trending"/>
    <n v="10986384"/>
    <n v="457766"/>
    <n v="35441"/>
    <n v="47407"/>
    <n v="4.9200000000000001E-2"/>
    <n v="-0.108"/>
    <n v="1"/>
    <x v="0"/>
    <x v="1"/>
  </r>
  <r>
    <s v="SM_100916"/>
    <x v="0"/>
    <s v="text"/>
    <s v="Politics"/>
    <s v="es"/>
    <s v="Pakistan"/>
    <d v="2024-03-22T00:00:00"/>
    <s v="#music #fyp"/>
    <n v="4014704"/>
    <n v="250919"/>
    <n v="12361"/>
    <n v="98500"/>
    <n v="9.01E-2"/>
    <n v="-0.5"/>
    <n v="1"/>
    <x v="0"/>
    <x v="1"/>
  </r>
  <r>
    <s v="SM_100917"/>
    <x v="3"/>
    <s v="video"/>
    <s v="Technology"/>
    <s v="ur"/>
    <s v="India"/>
    <d v="2024-05-19T00:00:00"/>
    <s v="#trending #music"/>
    <n v="14087823"/>
    <n v="485787"/>
    <n v="21230"/>
    <n v="3607"/>
    <n v="3.6200000000000003E-2"/>
    <n v="-0.28599999999999998"/>
    <n v="1"/>
    <x v="0"/>
    <x v="1"/>
  </r>
  <r>
    <s v="SM_100918"/>
    <x v="0"/>
    <s v="text"/>
    <s v="Sports"/>
    <s v="ur"/>
    <s v="India"/>
    <d v="2024-03-15T00:00:00"/>
    <s v="#viral #news #music #fyp"/>
    <n v="3538360"/>
    <n v="126370"/>
    <n v="26494"/>
    <n v="14388"/>
    <n v="4.7300000000000002E-2"/>
    <n v="0.57899999999999996"/>
    <n v="1"/>
    <x v="0"/>
    <x v="0"/>
  </r>
  <r>
    <s v="SM_100919"/>
    <x v="1"/>
    <s v="video"/>
    <s v="Lifestyle"/>
    <s v="es"/>
    <s v="UK"/>
    <d v="2024-06-01T00:00:00"/>
    <s v="#ai #tech"/>
    <n v="6563646"/>
    <n v="243098"/>
    <n v="46898"/>
    <n v="2592"/>
    <n v="4.4600000000000001E-2"/>
    <n v="0.90600000000000003"/>
    <n v="1"/>
    <x v="0"/>
    <x v="0"/>
  </r>
  <r>
    <s v="SM_100920"/>
    <x v="3"/>
    <s v="video"/>
    <s v="Sports"/>
    <s v="ur"/>
    <s v="Pakistan"/>
    <d v="2024-10-18T00:00:00"/>
    <s v="#viral #music"/>
    <n v="4954978"/>
    <n v="353927"/>
    <n v="38894"/>
    <n v="66737"/>
    <n v="9.2700000000000005E-2"/>
    <n v="-0.45700000000000002"/>
    <n v="1"/>
    <x v="0"/>
    <x v="1"/>
  </r>
  <r>
    <s v="SM_100921"/>
    <x v="0"/>
    <s v="carousel"/>
    <s v="Politics"/>
    <s v="hi"/>
    <s v="UK"/>
    <d v="2024-09-05T00:00:00"/>
    <s v="#fyp #tech #music #news #trending"/>
    <n v="10110075"/>
    <n v="404403"/>
    <n v="30821"/>
    <n v="23409"/>
    <n v="4.5400000000000003E-2"/>
    <n v="0.80700000000000005"/>
    <n v="1"/>
    <x v="0"/>
    <x v="0"/>
  </r>
  <r>
    <s v="SM_100922"/>
    <x v="1"/>
    <s v="image"/>
    <s v="Politics"/>
    <s v="fr"/>
    <s v="Pakistan"/>
    <d v="2024-11-04T00:00:00"/>
    <s v="#music #funny #viral #ai"/>
    <n v="122591"/>
    <n v="17513"/>
    <n v="48119"/>
    <n v="59501"/>
    <n v="1.0206999999999999"/>
    <n v="-0.30199999999999999"/>
    <n v="0"/>
    <x v="1"/>
    <x v="1"/>
  </r>
  <r>
    <s v="SM_100923"/>
    <x v="1"/>
    <s v="text"/>
    <s v="Entertainment"/>
    <s v="hi"/>
    <s v="US"/>
    <d v="2024-07-01T00:00:00"/>
    <s v="#news #tech #ai"/>
    <n v="6917288"/>
    <n v="494092"/>
    <n v="27258"/>
    <n v="92421"/>
    <n v="8.8700000000000001E-2"/>
    <n v="0.76900000000000002"/>
    <n v="1"/>
    <x v="0"/>
    <x v="0"/>
  </r>
  <r>
    <s v="SM_100924"/>
    <x v="0"/>
    <s v="video"/>
    <s v="Entertainment"/>
    <s v="en"/>
    <s v="Brazil"/>
    <d v="2024-07-31T00:00:00"/>
    <s v="#funny #trending #tech"/>
    <n v="6835155"/>
    <n v="235695"/>
    <n v="24532"/>
    <n v="16323"/>
    <n v="4.0500000000000001E-2"/>
    <n v="-0.97299999999999998"/>
    <n v="1"/>
    <x v="0"/>
    <x v="1"/>
  </r>
  <r>
    <s v="SM_100925"/>
    <x v="1"/>
    <s v="text"/>
    <s v="Technology"/>
    <s v="ur"/>
    <s v="Brazil"/>
    <d v="2024-06-18T00:00:00"/>
    <s v="#fyp #trending #news #funny #ai"/>
    <n v="1719180"/>
    <n v="191020"/>
    <n v="46369"/>
    <n v="93423"/>
    <n v="0.19239999999999999"/>
    <n v="-0.17799999999999999"/>
    <n v="0"/>
    <x v="1"/>
    <x v="1"/>
  </r>
  <r>
    <s v="SM_100926"/>
    <x v="0"/>
    <s v="image"/>
    <s v="Lifestyle"/>
    <s v="ur"/>
    <s v="Pakistan"/>
    <d v="2024-12-13T00:00:00"/>
    <s v="#music #fyp #trending #ai"/>
    <n v="442681"/>
    <n v="23299"/>
    <n v="44594"/>
    <n v="32116"/>
    <n v="0.22589999999999999"/>
    <n v="-2.1000000000000001E-2"/>
    <n v="0"/>
    <x v="1"/>
    <x v="1"/>
  </r>
  <r>
    <s v="SM_100927"/>
    <x v="0"/>
    <s v="carousel"/>
    <s v="Technology"/>
    <s v="es"/>
    <s v="UK"/>
    <d v="2024-09-24T00:00:00"/>
    <s v="#viral #funny #news #music #tech"/>
    <n v="4637200"/>
    <n v="185488"/>
    <n v="5525"/>
    <n v="36456"/>
    <n v="4.9099999999999998E-2"/>
    <n v="0.437"/>
    <n v="1"/>
    <x v="0"/>
    <x v="0"/>
  </r>
  <r>
    <s v="SM_100928"/>
    <x v="1"/>
    <s v="carousel"/>
    <s v="Entertainment"/>
    <s v="fr"/>
    <s v="India"/>
    <d v="2024-07-03T00:00:00"/>
    <s v="#viral #trending"/>
    <n v="11307946"/>
    <n v="434921"/>
    <n v="14960"/>
    <n v="44050"/>
    <n v="4.3700000000000003E-2"/>
    <n v="8.3000000000000004E-2"/>
    <n v="1"/>
    <x v="0"/>
    <x v="0"/>
  </r>
  <r>
    <s v="SM_100929"/>
    <x v="0"/>
    <s v="text"/>
    <s v="Education"/>
    <s v="ur"/>
    <s v="US"/>
    <d v="2024-04-13T00:00:00"/>
    <s v="#funny #music #fyp #ai #tech"/>
    <n v="975375"/>
    <n v="65025"/>
    <n v="41685"/>
    <n v="70270"/>
    <n v="0.18140000000000001"/>
    <n v="0.46500000000000002"/>
    <n v="0"/>
    <x v="1"/>
    <x v="0"/>
  </r>
  <r>
    <s v="SM_100930"/>
    <x v="2"/>
    <s v="image"/>
    <s v="Lifestyle"/>
    <s v="en"/>
    <s v="UK"/>
    <d v="2024-08-28T00:00:00"/>
    <s v="#trending #fyp"/>
    <n v="4251828"/>
    <n v="303702"/>
    <n v="23506"/>
    <n v="21114"/>
    <n v="8.1900000000000001E-2"/>
    <n v="0.26900000000000002"/>
    <n v="1"/>
    <x v="0"/>
    <x v="0"/>
  </r>
  <r>
    <s v="SM_100931"/>
    <x v="2"/>
    <s v="text"/>
    <s v="Education"/>
    <s v="hi"/>
    <s v="UK"/>
    <d v="2024-10-02T00:00:00"/>
    <s v="#viral #fyp"/>
    <n v="6286046"/>
    <n v="483542"/>
    <n v="43944"/>
    <n v="29346"/>
    <n v="8.8599999999999998E-2"/>
    <n v="-0.57599999999999996"/>
    <n v="1"/>
    <x v="0"/>
    <x v="1"/>
  </r>
  <r>
    <s v="SM_100932"/>
    <x v="0"/>
    <s v="carousel"/>
    <s v="Education"/>
    <s v="fr"/>
    <s v="Brazil"/>
    <d v="2024-01-23T00:00:00"/>
    <s v="#trending #viral #fyp"/>
    <n v="9986860"/>
    <n v="384110"/>
    <n v="26834"/>
    <n v="69167"/>
    <n v="4.8099999999999997E-2"/>
    <n v="-0.46500000000000002"/>
    <n v="1"/>
    <x v="0"/>
    <x v="1"/>
  </r>
  <r>
    <s v="SM_100933"/>
    <x v="3"/>
    <s v="video"/>
    <s v="Politics"/>
    <s v="fr"/>
    <s v="India"/>
    <d v="2024-09-11T00:00:00"/>
    <s v="#funny #fyp #viral #ai #music"/>
    <n v="12335036"/>
    <n v="440537"/>
    <n v="44947"/>
    <n v="3454"/>
    <n v="3.9600000000000003E-2"/>
    <n v="0.23300000000000001"/>
    <n v="1"/>
    <x v="0"/>
    <x v="0"/>
  </r>
  <r>
    <s v="SM_100934"/>
    <x v="1"/>
    <s v="text"/>
    <s v="Entertainment"/>
    <s v="fr"/>
    <s v="India"/>
    <d v="2024-06-29T00:00:00"/>
    <s v="#viral #trending #fyp #tech #news"/>
    <n v="2486240"/>
    <n v="497248"/>
    <n v="8333"/>
    <n v="15535"/>
    <n v="0.20960000000000001"/>
    <n v="-0.14199999999999999"/>
    <n v="1"/>
    <x v="0"/>
    <x v="1"/>
  </r>
  <r>
    <s v="SM_100935"/>
    <x v="1"/>
    <s v="text"/>
    <s v="Lifestyle"/>
    <s v="hi"/>
    <s v="US"/>
    <d v="2024-01-12T00:00:00"/>
    <s v="#trending #news"/>
    <n v="591240"/>
    <n v="49270"/>
    <n v="35015"/>
    <n v="80202"/>
    <n v="0.2782"/>
    <n v="0.40400000000000003"/>
    <n v="0"/>
    <x v="1"/>
    <x v="0"/>
  </r>
  <r>
    <s v="SM_100936"/>
    <x v="3"/>
    <s v="text"/>
    <s v="Lifestyle"/>
    <s v="hi"/>
    <s v="Pakistan"/>
    <d v="2024-11-09T00:00:00"/>
    <s v="#funny #ai #trending"/>
    <n v="1625304"/>
    <n v="270884"/>
    <n v="34721"/>
    <n v="91058"/>
    <n v="0.24410000000000001"/>
    <n v="-0.17599999999999999"/>
    <n v="0"/>
    <x v="1"/>
    <x v="1"/>
  </r>
  <r>
    <s v="SM_100937"/>
    <x v="1"/>
    <s v="carousel"/>
    <s v="Entertainment"/>
    <s v="ur"/>
    <s v="India"/>
    <d v="2024-11-29T00:00:00"/>
    <s v="#music #fyp #tech"/>
    <n v="3744500"/>
    <n v="187225"/>
    <n v="1925"/>
    <n v="43938"/>
    <n v="6.2199999999999998E-2"/>
    <n v="0.89"/>
    <n v="1"/>
    <x v="0"/>
    <x v="0"/>
  </r>
  <r>
    <s v="SM_100938"/>
    <x v="2"/>
    <s v="video"/>
    <s v="Technology"/>
    <s v="es"/>
    <s v="Pakistan"/>
    <d v="2024-02-21T00:00:00"/>
    <s v="#viral #tech"/>
    <n v="4445265"/>
    <n v="404115"/>
    <n v="5557"/>
    <n v="28917"/>
    <n v="9.8699999999999996E-2"/>
    <n v="-0.71399999999999997"/>
    <n v="1"/>
    <x v="0"/>
    <x v="1"/>
  </r>
  <r>
    <s v="SM_100939"/>
    <x v="0"/>
    <s v="text"/>
    <s v="Sports"/>
    <s v="ur"/>
    <s v="Brazil"/>
    <d v="2024-12-22T00:00:00"/>
    <s v="#tech #music #funny"/>
    <n v="4166989"/>
    <n v="245117"/>
    <n v="6165"/>
    <n v="61511"/>
    <n v="7.51E-2"/>
    <n v="-0.216"/>
    <n v="1"/>
    <x v="0"/>
    <x v="1"/>
  </r>
  <r>
    <s v="SM_100940"/>
    <x v="0"/>
    <s v="image"/>
    <s v="Politics"/>
    <s v="hi"/>
    <s v="India"/>
    <d v="2024-04-12T00:00:00"/>
    <s v="#music #viral #funny"/>
    <n v="4051236"/>
    <n v="192916"/>
    <n v="15815"/>
    <n v="5127"/>
    <n v="5.28E-2"/>
    <n v="0.90300000000000002"/>
    <n v="1"/>
    <x v="0"/>
    <x v="0"/>
  </r>
  <r>
    <s v="SM_100941"/>
    <x v="2"/>
    <s v="video"/>
    <s v="Technology"/>
    <s v="es"/>
    <s v="Pakistan"/>
    <d v="2024-06-24T00:00:00"/>
    <s v="#funny #tech #news"/>
    <n v="4380"/>
    <n v="292"/>
    <n v="36418"/>
    <n v="12817"/>
    <n v="11.307499999999999"/>
    <n v="-0.86199999999999999"/>
    <n v="0"/>
    <x v="1"/>
    <x v="1"/>
  </r>
  <r>
    <s v="SM_100942"/>
    <x v="2"/>
    <s v="carousel"/>
    <s v="Technology"/>
    <s v="en"/>
    <s v="UK"/>
    <d v="2024-06-26T00:00:00"/>
    <s v="#ai #fyp"/>
    <n v="1276000"/>
    <n v="51040"/>
    <n v="32135"/>
    <n v="40143"/>
    <n v="9.6600000000000005E-2"/>
    <n v="-0.55600000000000005"/>
    <n v="0"/>
    <x v="1"/>
    <x v="1"/>
  </r>
  <r>
    <s v="SM_100943"/>
    <x v="2"/>
    <s v="video"/>
    <s v="Entertainment"/>
    <s v="es"/>
    <s v="Pakistan"/>
    <d v="2024-11-11T00:00:00"/>
    <s v="#funny #viral #tech #trending"/>
    <n v="5193001"/>
    <n v="179069"/>
    <n v="30080"/>
    <n v="9360"/>
    <n v="4.2099999999999999E-2"/>
    <n v="0.46300000000000002"/>
    <n v="1"/>
    <x v="0"/>
    <x v="0"/>
  </r>
  <r>
    <s v="SM_100944"/>
    <x v="2"/>
    <s v="video"/>
    <s v="Entertainment"/>
    <s v="fr"/>
    <s v="India"/>
    <d v="2024-11-10T00:00:00"/>
    <s v="#ai #music"/>
    <n v="548028"/>
    <n v="42156"/>
    <n v="33277"/>
    <n v="14672"/>
    <n v="0.16439999999999999"/>
    <n v="-0.03"/>
    <n v="0"/>
    <x v="1"/>
    <x v="1"/>
  </r>
  <r>
    <s v="SM_100945"/>
    <x v="0"/>
    <s v="carousel"/>
    <s v="Technology"/>
    <s v="ur"/>
    <s v="Brazil"/>
    <d v="2024-10-13T00:00:00"/>
    <s v="#music #ai #fyp"/>
    <n v="792972"/>
    <n v="44054"/>
    <n v="6778"/>
    <n v="95431"/>
    <n v="0.18440000000000001"/>
    <n v="2.1000000000000001E-2"/>
    <n v="0"/>
    <x v="1"/>
    <x v="0"/>
  </r>
  <r>
    <s v="SM_100946"/>
    <x v="0"/>
    <s v="text"/>
    <s v="Lifestyle"/>
    <s v="hi"/>
    <s v="US"/>
    <d v="2024-07-19T00:00:00"/>
    <s v="#viral #music"/>
    <n v="3438658"/>
    <n v="180982"/>
    <n v="37830"/>
    <n v="94637"/>
    <n v="9.1200000000000003E-2"/>
    <n v="-6.7000000000000004E-2"/>
    <n v="1"/>
    <x v="0"/>
    <x v="1"/>
  </r>
  <r>
    <s v="SM_100947"/>
    <x v="1"/>
    <s v="video"/>
    <s v="Entertainment"/>
    <s v="es"/>
    <s v="Brazil"/>
    <d v="2024-08-10T00:00:00"/>
    <s v="#viral #fyp #news #ai"/>
    <n v="2012600"/>
    <n v="69400"/>
    <n v="43954"/>
    <n v="37406"/>
    <n v="7.4899999999999994E-2"/>
    <n v="0.60699999999999998"/>
    <n v="1"/>
    <x v="0"/>
    <x v="0"/>
  </r>
  <r>
    <s v="SM_100948"/>
    <x v="1"/>
    <s v="carousel"/>
    <s v="Politics"/>
    <s v="ur"/>
    <s v="US"/>
    <d v="2024-04-17T00:00:00"/>
    <s v="#ai #viral"/>
    <n v="2095368"/>
    <n v="174614"/>
    <n v="41158"/>
    <n v="77536"/>
    <n v="0.14000000000000001"/>
    <n v="0.755"/>
    <n v="1"/>
    <x v="0"/>
    <x v="0"/>
  </r>
  <r>
    <s v="SM_100949"/>
    <x v="2"/>
    <s v="carousel"/>
    <s v="Education"/>
    <s v="en"/>
    <s v="US"/>
    <d v="2024-05-16T00:00:00"/>
    <s v="#funny #news"/>
    <n v="34356"/>
    <n v="2863"/>
    <n v="27379"/>
    <n v="55481"/>
    <n v="2.4950999999999999"/>
    <n v="0.93600000000000005"/>
    <n v="0"/>
    <x v="1"/>
    <x v="0"/>
  </r>
  <r>
    <s v="SM_100950"/>
    <x v="2"/>
    <s v="video"/>
    <s v="Politics"/>
    <s v="es"/>
    <s v="US"/>
    <d v="2024-09-15T00:00:00"/>
    <s v="#ai #fyp"/>
    <n v="3286059"/>
    <n v="156479"/>
    <n v="30840"/>
    <n v="11065"/>
    <n v="6.0400000000000002E-2"/>
    <n v="-0.85199999999999998"/>
    <n v="1"/>
    <x v="0"/>
    <x v="1"/>
  </r>
  <r>
    <s v="SM_100951"/>
    <x v="1"/>
    <s v="image"/>
    <s v="Politics"/>
    <s v="es"/>
    <s v="India"/>
    <d v="2024-07-31T00:00:00"/>
    <s v="#trending #viral #ai"/>
    <n v="11472578"/>
    <n v="441253"/>
    <n v="6481"/>
    <n v="51757"/>
    <n v="4.3499999999999997E-2"/>
    <n v="-0.13300000000000001"/>
    <n v="1"/>
    <x v="0"/>
    <x v="1"/>
  </r>
  <r>
    <s v="SM_100952"/>
    <x v="1"/>
    <s v="text"/>
    <s v="Politics"/>
    <s v="es"/>
    <s v="US"/>
    <d v="2024-07-29T00:00:00"/>
    <s v="#trending #fyp #viral"/>
    <n v="6738410"/>
    <n v="481315"/>
    <n v="45281"/>
    <n v="33403"/>
    <n v="8.3099999999999993E-2"/>
    <n v="-0.35799999999999998"/>
    <n v="1"/>
    <x v="0"/>
    <x v="1"/>
  </r>
  <r>
    <s v="SM_100953"/>
    <x v="2"/>
    <s v="carousel"/>
    <s v="Technology"/>
    <s v="ur"/>
    <s v="US"/>
    <d v="2024-12-15T00:00:00"/>
    <s v="#tech #news"/>
    <n v="957576"/>
    <n v="79798"/>
    <n v="49159"/>
    <n v="73934"/>
    <n v="0.21190000000000001"/>
    <n v="-0.86299999999999999"/>
    <n v="0"/>
    <x v="1"/>
    <x v="1"/>
  </r>
  <r>
    <s v="SM_100954"/>
    <x v="3"/>
    <s v="text"/>
    <s v="Politics"/>
    <s v="fr"/>
    <s v="Pakistan"/>
    <d v="2024-10-15T00:00:00"/>
    <s v="#funny #viral #music #news #ai"/>
    <n v="6946584"/>
    <n v="289441"/>
    <n v="22015"/>
    <n v="24124"/>
    <n v="4.8300000000000003E-2"/>
    <n v="-0.90900000000000003"/>
    <n v="1"/>
    <x v="0"/>
    <x v="1"/>
  </r>
  <r>
    <s v="SM_100955"/>
    <x v="0"/>
    <s v="text"/>
    <s v="Sports"/>
    <s v="hi"/>
    <s v="India"/>
    <d v="2024-04-28T00:00:00"/>
    <s v="#funny #fyp"/>
    <n v="5891550"/>
    <n v="392770"/>
    <n v="43631"/>
    <n v="8027"/>
    <n v="7.5399999999999995E-2"/>
    <n v="0.66300000000000003"/>
    <n v="1"/>
    <x v="0"/>
    <x v="0"/>
  </r>
  <r>
    <s v="SM_100956"/>
    <x v="1"/>
    <s v="carousel"/>
    <s v="Sports"/>
    <s v="en"/>
    <s v="Pakistan"/>
    <d v="2024-09-08T00:00:00"/>
    <s v="#viral #funny"/>
    <n v="1040466"/>
    <n v="173411"/>
    <n v="47669"/>
    <n v="48009"/>
    <n v="0.2586"/>
    <n v="0.54600000000000004"/>
    <n v="0"/>
    <x v="1"/>
    <x v="0"/>
  </r>
  <r>
    <s v="SM_100957"/>
    <x v="0"/>
    <s v="image"/>
    <s v="Politics"/>
    <s v="es"/>
    <s v="Brazil"/>
    <d v="2024-12-12T00:00:00"/>
    <s v="#news #trending #music"/>
    <n v="4089432"/>
    <n v="340786"/>
    <n v="48541"/>
    <n v="92068"/>
    <n v="0.1177"/>
    <n v="-0.14799999999999999"/>
    <n v="1"/>
    <x v="0"/>
    <x v="1"/>
  </r>
  <r>
    <s v="SM_100958"/>
    <x v="0"/>
    <s v="carousel"/>
    <s v="Technology"/>
    <s v="hi"/>
    <s v="Pakistan"/>
    <d v="2024-07-01T00:00:00"/>
    <s v="#tech #viral #trending #fyp"/>
    <n v="4289389"/>
    <n v="252317"/>
    <n v="34665"/>
    <n v="68976"/>
    <n v="8.3000000000000004E-2"/>
    <n v="-0.3"/>
    <n v="1"/>
    <x v="0"/>
    <x v="1"/>
  </r>
  <r>
    <s v="SM_100959"/>
    <x v="0"/>
    <s v="text"/>
    <s v="Lifestyle"/>
    <s v="en"/>
    <s v="India"/>
    <d v="2024-05-10T00:00:00"/>
    <s v="#trending #fyp #ai #funny #music"/>
    <n v="9495423"/>
    <n v="452163"/>
    <n v="11582"/>
    <n v="77300"/>
    <n v="5.7000000000000002E-2"/>
    <n v="-0.97099999999999997"/>
    <n v="1"/>
    <x v="0"/>
    <x v="1"/>
  </r>
  <r>
    <s v="SM_100960"/>
    <x v="3"/>
    <s v="text"/>
    <s v="Sports"/>
    <s v="ur"/>
    <s v="Pakistan"/>
    <d v="2024-09-26T00:00:00"/>
    <s v="#fyp #music #ai #tech #viral"/>
    <n v="4204882"/>
    <n v="382262"/>
    <n v="24260"/>
    <n v="41004"/>
    <n v="0.10639999999999999"/>
    <n v="0.32500000000000001"/>
    <n v="1"/>
    <x v="0"/>
    <x v="0"/>
  </r>
  <r>
    <s v="SM_100961"/>
    <x v="1"/>
    <s v="image"/>
    <s v="Education"/>
    <s v="es"/>
    <s v="UK"/>
    <d v="2024-11-03T00:00:00"/>
    <s v="#trending #ai #tech"/>
    <n v="3504522"/>
    <n v="166882"/>
    <n v="34698"/>
    <n v="35741"/>
    <n v="6.7699999999999996E-2"/>
    <n v="-0.48399999999999999"/>
    <n v="1"/>
    <x v="0"/>
    <x v="1"/>
  </r>
  <r>
    <s v="SM_100962"/>
    <x v="1"/>
    <s v="text"/>
    <s v="Entertainment"/>
    <s v="es"/>
    <s v="Brazil"/>
    <d v="2024-08-28T00:00:00"/>
    <s v="#music #ai #funny #news"/>
    <n v="2236944"/>
    <n v="279618"/>
    <n v="11143"/>
    <n v="81472"/>
    <n v="0.16639999999999999"/>
    <n v="0.70499999999999996"/>
    <n v="1"/>
    <x v="0"/>
    <x v="0"/>
  </r>
  <r>
    <s v="SM_100963"/>
    <x v="2"/>
    <s v="image"/>
    <s v="Entertainment"/>
    <s v="en"/>
    <s v="Brazil"/>
    <d v="2024-12-16T00:00:00"/>
    <s v="#viral #funny"/>
    <n v="1406336"/>
    <n v="87896"/>
    <n v="26074"/>
    <n v="56234"/>
    <n v="0.121"/>
    <n v="-5.1999999999999998E-2"/>
    <n v="0"/>
    <x v="1"/>
    <x v="1"/>
  </r>
  <r>
    <s v="SM_100964"/>
    <x v="3"/>
    <s v="image"/>
    <s v="Lifestyle"/>
    <s v="fr"/>
    <s v="UK"/>
    <d v="2024-01-26T00:00:00"/>
    <s v="#music #trending #tech #funny"/>
    <n v="7605440"/>
    <n v="380272"/>
    <n v="39183"/>
    <n v="32822"/>
    <n v="5.9499999999999997E-2"/>
    <n v="-0.59499999999999997"/>
    <n v="1"/>
    <x v="0"/>
    <x v="1"/>
  </r>
  <r>
    <s v="SM_100965"/>
    <x v="0"/>
    <s v="text"/>
    <s v="Education"/>
    <s v="hi"/>
    <s v="UK"/>
    <d v="2024-11-17T00:00:00"/>
    <s v="#ai #tech #viral #news"/>
    <n v="7749246"/>
    <n v="455838"/>
    <n v="38717"/>
    <n v="64552"/>
    <n v="7.2099999999999997E-2"/>
    <n v="-0.56999999999999995"/>
    <n v="1"/>
    <x v="0"/>
    <x v="1"/>
  </r>
  <r>
    <s v="SM_100966"/>
    <x v="2"/>
    <s v="image"/>
    <s v="Technology"/>
    <s v="ur"/>
    <s v="Pakistan"/>
    <d v="2024-06-12T00:00:00"/>
    <s v="#funny #music #fyp"/>
    <n v="2776718"/>
    <n v="198337"/>
    <n v="10978"/>
    <n v="6860"/>
    <n v="7.7899999999999997E-2"/>
    <n v="1.4E-2"/>
    <n v="1"/>
    <x v="0"/>
    <x v="0"/>
  </r>
  <r>
    <s v="SM_100967"/>
    <x v="0"/>
    <s v="image"/>
    <s v="Entertainment"/>
    <s v="hi"/>
    <s v="UK"/>
    <d v="2024-04-28T00:00:00"/>
    <s v="#music #ai #news"/>
    <n v="1396524"/>
    <n v="232754"/>
    <n v="21844"/>
    <n v="27217"/>
    <n v="0.20180000000000001"/>
    <n v="-0.73299999999999998"/>
    <n v="0"/>
    <x v="1"/>
    <x v="1"/>
  </r>
  <r>
    <s v="SM_100968"/>
    <x v="2"/>
    <s v="carousel"/>
    <s v="Sports"/>
    <s v="hi"/>
    <s v="India"/>
    <d v="2024-10-07T00:00:00"/>
    <s v="#news #viral #tech"/>
    <n v="1091684"/>
    <n v="49622"/>
    <n v="33630"/>
    <n v="4887"/>
    <n v="8.0699999999999994E-2"/>
    <n v="0.91700000000000004"/>
    <n v="0"/>
    <x v="1"/>
    <x v="0"/>
  </r>
  <r>
    <s v="SM_100969"/>
    <x v="2"/>
    <s v="video"/>
    <s v="Education"/>
    <s v="es"/>
    <s v="US"/>
    <d v="2024-02-19T00:00:00"/>
    <s v="#news #viral #tech #funny"/>
    <n v="7051524"/>
    <n v="243156"/>
    <n v="16772"/>
    <n v="28454"/>
    <n v="4.0899999999999999E-2"/>
    <n v="-0.47199999999999998"/>
    <n v="1"/>
    <x v="0"/>
    <x v="1"/>
  </r>
  <r>
    <s v="SM_100970"/>
    <x v="0"/>
    <s v="video"/>
    <s v="Politics"/>
    <s v="es"/>
    <s v="US"/>
    <d v="2024-08-10T00:00:00"/>
    <s v="#ai #fyp #funny"/>
    <n v="2225965"/>
    <n v="445193"/>
    <n v="12231"/>
    <n v="93406"/>
    <n v="0.2475"/>
    <n v="5.7000000000000002E-2"/>
    <n v="1"/>
    <x v="0"/>
    <x v="0"/>
  </r>
  <r>
    <s v="SM_100971"/>
    <x v="2"/>
    <s v="carousel"/>
    <s v="Entertainment"/>
    <s v="ur"/>
    <s v="UK"/>
    <d v="2024-06-13T00:00:00"/>
    <s v="#music #trending #tech #ai"/>
    <n v="8664246"/>
    <n v="481347"/>
    <n v="37024"/>
    <n v="44949"/>
    <n v="6.5000000000000002E-2"/>
    <n v="-0.56299999999999994"/>
    <n v="1"/>
    <x v="0"/>
    <x v="1"/>
  </r>
  <r>
    <s v="SM_100972"/>
    <x v="1"/>
    <s v="text"/>
    <s v="Technology"/>
    <s v="fr"/>
    <s v="UK"/>
    <d v="2024-09-10T00:00:00"/>
    <s v="#music #fyp #tech"/>
    <n v="5317858"/>
    <n v="379847"/>
    <n v="27531"/>
    <n v="73494"/>
    <n v="9.0399999999999994E-2"/>
    <n v="0.32400000000000001"/>
    <n v="1"/>
    <x v="0"/>
    <x v="0"/>
  </r>
  <r>
    <s v="SM_100973"/>
    <x v="0"/>
    <s v="video"/>
    <s v="Sports"/>
    <s v="en"/>
    <s v="India"/>
    <d v="2024-09-08T00:00:00"/>
    <s v="#trending #news #tech"/>
    <n v="13306950"/>
    <n v="492850"/>
    <n v="43400"/>
    <n v="24032"/>
    <n v="4.2099999999999999E-2"/>
    <n v="0.96699999999999997"/>
    <n v="1"/>
    <x v="0"/>
    <x v="0"/>
  </r>
  <r>
    <s v="SM_100974"/>
    <x v="3"/>
    <s v="video"/>
    <s v="Sports"/>
    <s v="es"/>
    <s v="US"/>
    <d v="2024-04-02T00:00:00"/>
    <s v="#music #funny #trending #fyp #viral"/>
    <n v="3373587"/>
    <n v="374843"/>
    <n v="25944"/>
    <n v="49146"/>
    <n v="0.13339999999999999"/>
    <n v="0.496"/>
    <n v="1"/>
    <x v="0"/>
    <x v="0"/>
  </r>
  <r>
    <s v="SM_100975"/>
    <x v="2"/>
    <s v="image"/>
    <s v="Entertainment"/>
    <s v="hi"/>
    <s v="Pakistan"/>
    <d v="2024-02-25T00:00:00"/>
    <s v="#music #ai #fyp #funny"/>
    <n v="2049300"/>
    <n v="409860"/>
    <n v="15904"/>
    <n v="29064"/>
    <n v="0.22189999999999999"/>
    <n v="-7.1999999999999995E-2"/>
    <n v="1"/>
    <x v="0"/>
    <x v="1"/>
  </r>
  <r>
    <s v="SM_100976"/>
    <x v="3"/>
    <s v="carousel"/>
    <s v="Technology"/>
    <s v="hi"/>
    <s v="Pakistan"/>
    <d v="2024-07-31T00:00:00"/>
    <s v="#viral #news"/>
    <n v="9487825"/>
    <n v="379513"/>
    <n v="1098"/>
    <n v="80765"/>
    <n v="4.8599999999999997E-2"/>
    <n v="0.77700000000000002"/>
    <n v="1"/>
    <x v="0"/>
    <x v="0"/>
  </r>
  <r>
    <s v="SM_100977"/>
    <x v="2"/>
    <s v="carousel"/>
    <s v="Education"/>
    <s v="en"/>
    <s v="Pakistan"/>
    <d v="2024-06-13T00:00:00"/>
    <s v="#ai #news #viral #trending #music"/>
    <n v="13007736"/>
    <n v="464562"/>
    <n v="42505"/>
    <n v="19260"/>
    <n v="4.0500000000000001E-2"/>
    <n v="0.71599999999999997"/>
    <n v="1"/>
    <x v="0"/>
    <x v="0"/>
  </r>
  <r>
    <s v="SM_100978"/>
    <x v="3"/>
    <s v="video"/>
    <s v="Lifestyle"/>
    <s v="ur"/>
    <s v="UK"/>
    <d v="2024-12-21T00:00:00"/>
    <s v="#tech #trending #music"/>
    <n v="9741844"/>
    <n v="347923"/>
    <n v="2108"/>
    <n v="65902"/>
    <n v="4.2700000000000002E-2"/>
    <n v="-0.34899999999999998"/>
    <n v="1"/>
    <x v="0"/>
    <x v="1"/>
  </r>
  <r>
    <s v="SM_100979"/>
    <x v="3"/>
    <s v="carousel"/>
    <s v="Entertainment"/>
    <s v="ur"/>
    <s v="Pakistan"/>
    <d v="2024-10-07T00:00:00"/>
    <s v="#trending #fyp #viral #tech"/>
    <n v="5988352"/>
    <n v="352256"/>
    <n v="12747"/>
    <n v="12392"/>
    <n v="6.3E-2"/>
    <n v="0.65100000000000002"/>
    <n v="1"/>
    <x v="0"/>
    <x v="0"/>
  </r>
  <r>
    <s v="SM_100980"/>
    <x v="1"/>
    <s v="carousel"/>
    <s v="Sports"/>
    <s v="hi"/>
    <s v="India"/>
    <d v="2024-10-02T00:00:00"/>
    <s v="#viral #funny #trending #ai"/>
    <n v="488185"/>
    <n v="97637"/>
    <n v="15628"/>
    <n v="67915"/>
    <n v="0.37109999999999999"/>
    <n v="0.153"/>
    <n v="0"/>
    <x v="1"/>
    <x v="0"/>
  </r>
  <r>
    <s v="SM_100981"/>
    <x v="0"/>
    <s v="video"/>
    <s v="Sports"/>
    <s v="hi"/>
    <s v="Brazil"/>
    <d v="2024-02-28T00:00:00"/>
    <s v="#viral #tech #trending"/>
    <n v="10362072"/>
    <n v="431753"/>
    <n v="35508"/>
    <n v="96283"/>
    <n v="5.4399999999999997E-2"/>
    <n v="0.80600000000000005"/>
    <n v="1"/>
    <x v="0"/>
    <x v="0"/>
  </r>
  <r>
    <s v="SM_100982"/>
    <x v="1"/>
    <s v="text"/>
    <s v="Politics"/>
    <s v="hi"/>
    <s v="Brazil"/>
    <d v="2024-05-26T00:00:00"/>
    <s v="#fyp #music #funny"/>
    <n v="5978560"/>
    <n v="427040"/>
    <n v="9311"/>
    <n v="14909"/>
    <n v="7.5499999999999998E-2"/>
    <n v="-0.98899999999999999"/>
    <n v="1"/>
    <x v="0"/>
    <x v="1"/>
  </r>
  <r>
    <s v="SM_100983"/>
    <x v="2"/>
    <s v="image"/>
    <s v="Entertainment"/>
    <s v="en"/>
    <s v="Pakistan"/>
    <d v="2024-02-08T00:00:00"/>
    <s v="#viral #funny"/>
    <n v="469720"/>
    <n v="23486"/>
    <n v="46759"/>
    <n v="28303"/>
    <n v="0.20979999999999999"/>
    <n v="-0.17799999999999999"/>
    <n v="0"/>
    <x v="1"/>
    <x v="1"/>
  </r>
  <r>
    <s v="SM_100984"/>
    <x v="0"/>
    <s v="carousel"/>
    <s v="Technology"/>
    <s v="es"/>
    <s v="Brazil"/>
    <d v="2024-09-17T00:00:00"/>
    <s v="#tech #trending #news #music"/>
    <n v="8139700"/>
    <n v="325588"/>
    <n v="35623"/>
    <n v="76235"/>
    <n v="5.3699999999999998E-2"/>
    <n v="0.56699999999999995"/>
    <n v="1"/>
    <x v="0"/>
    <x v="0"/>
  </r>
  <r>
    <s v="SM_100985"/>
    <x v="1"/>
    <s v="video"/>
    <s v="Politics"/>
    <s v="hi"/>
    <s v="Brazil"/>
    <d v="2024-02-11T00:00:00"/>
    <s v="#trending #tech #funny #ai #music"/>
    <n v="1598360"/>
    <n v="79918"/>
    <n v="49058"/>
    <n v="14335"/>
    <n v="8.9700000000000002E-2"/>
    <n v="-0.376"/>
    <n v="0"/>
    <x v="1"/>
    <x v="1"/>
  </r>
  <r>
    <s v="SM_100986"/>
    <x v="2"/>
    <s v="image"/>
    <s v="Sports"/>
    <s v="en"/>
    <s v="UK"/>
    <d v="2024-11-27T00:00:00"/>
    <s v="#funny #tech #news #viral #trending"/>
    <n v="9377478"/>
    <n v="426249"/>
    <n v="43474"/>
    <n v="33688"/>
    <n v="5.3699999999999998E-2"/>
    <n v="0.41199999999999998"/>
    <n v="1"/>
    <x v="0"/>
    <x v="0"/>
  </r>
  <r>
    <s v="SM_100987"/>
    <x v="2"/>
    <s v="image"/>
    <s v="Entertainment"/>
    <s v="en"/>
    <s v="US"/>
    <d v="2024-04-08T00:00:00"/>
    <s v="#music #tech"/>
    <n v="4911750"/>
    <n v="327450"/>
    <n v="30931"/>
    <n v="36608"/>
    <n v="8.0399999999999999E-2"/>
    <n v="-0.98899999999999999"/>
    <n v="1"/>
    <x v="0"/>
    <x v="1"/>
  </r>
  <r>
    <s v="SM_100988"/>
    <x v="1"/>
    <s v="carousel"/>
    <s v="Lifestyle"/>
    <s v="ur"/>
    <s v="India"/>
    <d v="2024-01-17T00:00:00"/>
    <s v="#funny #music"/>
    <n v="6364150"/>
    <n v="254566"/>
    <n v="46292"/>
    <n v="86725"/>
    <n v="6.0900000000000003E-2"/>
    <n v="-0.19500000000000001"/>
    <n v="1"/>
    <x v="0"/>
    <x v="1"/>
  </r>
  <r>
    <s v="SM_100989"/>
    <x v="3"/>
    <s v="text"/>
    <s v="Technology"/>
    <s v="hi"/>
    <s v="US"/>
    <d v="2024-06-15T00:00:00"/>
    <s v="#news #trending"/>
    <n v="8959834"/>
    <n v="389558"/>
    <n v="10781"/>
    <n v="98372"/>
    <n v="5.57E-2"/>
    <n v="-0.115"/>
    <n v="1"/>
    <x v="0"/>
    <x v="1"/>
  </r>
  <r>
    <s v="SM_100990"/>
    <x v="1"/>
    <s v="image"/>
    <s v="Education"/>
    <s v="en"/>
    <s v="US"/>
    <d v="2024-09-10T00:00:00"/>
    <s v="#music #trending #news"/>
    <n v="802560"/>
    <n v="33440"/>
    <n v="39855"/>
    <n v="56985"/>
    <n v="0.1623"/>
    <n v="0.13900000000000001"/>
    <n v="0"/>
    <x v="1"/>
    <x v="0"/>
  </r>
  <r>
    <s v="SM_100991"/>
    <x v="1"/>
    <s v="video"/>
    <s v="Technology"/>
    <s v="hi"/>
    <s v="UK"/>
    <d v="2024-08-04T00:00:00"/>
    <s v="#funny #fyp #trending #music #tech"/>
    <n v="201492"/>
    <n v="11194"/>
    <n v="22428"/>
    <n v="33419"/>
    <n v="0.3327"/>
    <n v="-0.25700000000000001"/>
    <n v="0"/>
    <x v="1"/>
    <x v="1"/>
  </r>
  <r>
    <s v="SM_100992"/>
    <x v="3"/>
    <s v="carousel"/>
    <s v="Technology"/>
    <s v="fr"/>
    <s v="Pakistan"/>
    <d v="2024-03-05T00:00:00"/>
    <s v="#funny #news #ai #tech"/>
    <n v="8850584"/>
    <n v="384808"/>
    <n v="3267"/>
    <n v="70533"/>
    <n v="5.1799999999999999E-2"/>
    <n v="-0.114"/>
    <n v="1"/>
    <x v="0"/>
    <x v="1"/>
  </r>
  <r>
    <s v="SM_100993"/>
    <x v="0"/>
    <s v="carousel"/>
    <s v="Sports"/>
    <s v="es"/>
    <s v="Pakistan"/>
    <d v="2024-11-17T00:00:00"/>
    <s v="#viral #funny #fyp #news #tech"/>
    <n v="637497"/>
    <n v="30357"/>
    <n v="14216"/>
    <n v="95990"/>
    <n v="0.2205"/>
    <n v="-7.8E-2"/>
    <n v="0"/>
    <x v="1"/>
    <x v="1"/>
  </r>
  <r>
    <s v="SM_100994"/>
    <x v="3"/>
    <s v="text"/>
    <s v="Politics"/>
    <s v="en"/>
    <s v="Brazil"/>
    <d v="2024-07-06T00:00:00"/>
    <s v="#funny #music #tech #news"/>
    <n v="7246215"/>
    <n v="483081"/>
    <n v="14237"/>
    <n v="25614"/>
    <n v="7.22E-2"/>
    <n v="0.89800000000000002"/>
    <n v="1"/>
    <x v="0"/>
    <x v="0"/>
  </r>
  <r>
    <s v="SM_100995"/>
    <x v="2"/>
    <s v="carousel"/>
    <s v="Education"/>
    <s v="hi"/>
    <s v="Pakistan"/>
    <d v="2024-06-08T00:00:00"/>
    <s v="#ai #funny #viral"/>
    <n v="7621952"/>
    <n v="293152"/>
    <n v="19615"/>
    <n v="46647"/>
    <n v="4.7199999999999999E-2"/>
    <n v="-0.254"/>
    <n v="1"/>
    <x v="0"/>
    <x v="1"/>
  </r>
  <r>
    <s v="SM_100996"/>
    <x v="2"/>
    <s v="image"/>
    <s v="Sports"/>
    <s v="ur"/>
    <s v="India"/>
    <d v="2024-12-23T00:00:00"/>
    <s v="#music #tech"/>
    <n v="2323698"/>
    <n v="178746"/>
    <n v="25520"/>
    <n v="36183"/>
    <n v="0.10349999999999999"/>
    <n v="0.28899999999999998"/>
    <n v="1"/>
    <x v="0"/>
    <x v="0"/>
  </r>
  <r>
    <s v="SM_100997"/>
    <x v="0"/>
    <s v="text"/>
    <s v="Sports"/>
    <s v="es"/>
    <s v="India"/>
    <d v="2024-03-26T00:00:00"/>
    <s v="#funny #viral #tech #news #ai"/>
    <n v="271432"/>
    <n v="19388"/>
    <n v="13293"/>
    <n v="29878"/>
    <n v="0.23050000000000001"/>
    <n v="0.109"/>
    <n v="0"/>
    <x v="1"/>
    <x v="0"/>
  </r>
  <r>
    <s v="SM_100998"/>
    <x v="0"/>
    <s v="text"/>
    <s v="Politics"/>
    <s v="hi"/>
    <s v="UK"/>
    <d v="2024-04-23T00:00:00"/>
    <s v="#funny #music"/>
    <n v="9278764"/>
    <n v="488356"/>
    <n v="6987"/>
    <n v="39105"/>
    <n v="5.7599999999999998E-2"/>
    <n v="-0.59199999999999997"/>
    <n v="1"/>
    <x v="0"/>
    <x v="1"/>
  </r>
  <r>
    <s v="SM_100999"/>
    <x v="1"/>
    <s v="carousel"/>
    <s v="Lifestyle"/>
    <s v="es"/>
    <s v="UK"/>
    <d v="2024-12-06T00:00:00"/>
    <s v="#viral #ai #fyp #funny"/>
    <n v="8648059"/>
    <n v="455161"/>
    <n v="9946"/>
    <n v="61170"/>
    <n v="6.0900000000000003E-2"/>
    <n v="-9.4E-2"/>
    <n v="1"/>
    <x v="0"/>
    <x v="1"/>
  </r>
  <r>
    <s v="SM_101000"/>
    <x v="2"/>
    <s v="text"/>
    <s v="Entertainment"/>
    <s v="fr"/>
    <s v="UK"/>
    <d v="2024-04-14T00:00:00"/>
    <s v="#news #viral #music #tech"/>
    <n v="1318262"/>
    <n v="59921"/>
    <n v="21138"/>
    <n v="44436"/>
    <n v="9.5200000000000007E-2"/>
    <n v="0.55800000000000005"/>
    <n v="0"/>
    <x v="1"/>
    <x v="0"/>
  </r>
  <r>
    <s v="SM_101001"/>
    <x v="2"/>
    <s v="carousel"/>
    <s v="Entertainment"/>
    <s v="hi"/>
    <s v="UK"/>
    <d v="2024-04-02T00:00:00"/>
    <s v="#funny #fyp"/>
    <n v="4036152"/>
    <n v="336346"/>
    <n v="7231"/>
    <n v="86796"/>
    <n v="0.1066"/>
    <n v="0.60599999999999998"/>
    <n v="1"/>
    <x v="0"/>
    <x v="0"/>
  </r>
  <r>
    <s v="SM_101002"/>
    <x v="1"/>
    <s v="video"/>
    <s v="Politics"/>
    <s v="fr"/>
    <s v="US"/>
    <d v="2024-07-06T00:00:00"/>
    <s v="#viral #fyp"/>
    <n v="12595996"/>
    <n v="449857"/>
    <n v="47274"/>
    <n v="68227"/>
    <n v="4.4900000000000002E-2"/>
    <n v="0.90700000000000003"/>
    <n v="1"/>
    <x v="0"/>
    <x v="0"/>
  </r>
  <r>
    <s v="SM_101003"/>
    <x v="0"/>
    <s v="video"/>
    <s v="Politics"/>
    <s v="es"/>
    <s v="Pakistan"/>
    <d v="2024-10-17T00:00:00"/>
    <s v="#music #news #ai"/>
    <n v="2152752"/>
    <n v="102512"/>
    <n v="19409"/>
    <n v="25381"/>
    <n v="6.8400000000000002E-2"/>
    <n v="-0.44600000000000001"/>
    <n v="1"/>
    <x v="0"/>
    <x v="1"/>
  </r>
  <r>
    <s v="SM_101004"/>
    <x v="2"/>
    <s v="text"/>
    <s v="Sports"/>
    <s v="es"/>
    <s v="UK"/>
    <d v="2024-02-29T00:00:00"/>
    <s v="#trending #viral #music #news"/>
    <n v="2947184"/>
    <n v="184199"/>
    <n v="23994"/>
    <n v="24520"/>
    <n v="7.9000000000000001E-2"/>
    <n v="-0.28999999999999998"/>
    <n v="1"/>
    <x v="0"/>
    <x v="1"/>
  </r>
  <r>
    <s v="SM_101005"/>
    <x v="0"/>
    <s v="video"/>
    <s v="Technology"/>
    <s v="en"/>
    <s v="India"/>
    <d v="2024-04-28T00:00:00"/>
    <s v="#trending #fyp #viral #news #music"/>
    <n v="5643180"/>
    <n v="470265"/>
    <n v="15000"/>
    <n v="23560"/>
    <n v="9.0200000000000002E-2"/>
    <n v="-0.53800000000000003"/>
    <n v="1"/>
    <x v="0"/>
    <x v="1"/>
  </r>
  <r>
    <s v="SM_101006"/>
    <x v="3"/>
    <s v="carousel"/>
    <s v="Education"/>
    <s v="ur"/>
    <s v="Brazil"/>
    <d v="2024-04-27T00:00:00"/>
    <s v="#news #trending"/>
    <n v="2354400"/>
    <n v="98100"/>
    <n v="21124"/>
    <n v="51540"/>
    <n v="7.2499999999999995E-2"/>
    <n v="-0.50700000000000001"/>
    <n v="1"/>
    <x v="0"/>
    <x v="1"/>
  </r>
  <r>
    <s v="SM_101007"/>
    <x v="3"/>
    <s v="image"/>
    <s v="Education"/>
    <s v="ur"/>
    <s v="Brazil"/>
    <d v="2024-12-30T00:00:00"/>
    <s v="#tech #viral #news #ai"/>
    <n v="281787"/>
    <n v="25617"/>
    <n v="13122"/>
    <n v="22251"/>
    <n v="0.21640000000000001"/>
    <n v="3.0000000000000001E-3"/>
    <n v="0"/>
    <x v="1"/>
    <x v="0"/>
  </r>
  <r>
    <s v="SM_101008"/>
    <x v="0"/>
    <s v="carousel"/>
    <s v="Sports"/>
    <s v="fr"/>
    <s v="Brazil"/>
    <d v="2024-10-31T00:00:00"/>
    <s v="#funny #tech #ai #music"/>
    <n v="9687640"/>
    <n v="484382"/>
    <n v="1267"/>
    <n v="54200"/>
    <n v="5.57E-2"/>
    <n v="-0.249"/>
    <n v="1"/>
    <x v="0"/>
    <x v="1"/>
  </r>
  <r>
    <s v="SM_101009"/>
    <x v="2"/>
    <s v="text"/>
    <s v="Entertainment"/>
    <s v="en"/>
    <s v="Pakistan"/>
    <d v="2024-11-27T00:00:00"/>
    <s v="#funny #fyp #ai #viral #news"/>
    <n v="1375218"/>
    <n v="105786"/>
    <n v="22620"/>
    <n v="3328"/>
    <n v="9.5799999999999996E-2"/>
    <n v="0.99399999999999999"/>
    <n v="0"/>
    <x v="1"/>
    <x v="0"/>
  </r>
  <r>
    <s v="SM_101010"/>
    <x v="2"/>
    <s v="video"/>
    <s v="Technology"/>
    <s v="en"/>
    <s v="Brazil"/>
    <d v="2024-12-26T00:00:00"/>
    <s v="#viral #ai #news"/>
    <n v="4696920"/>
    <n v="173960"/>
    <n v="16853"/>
    <n v="46831"/>
    <n v="5.0599999999999999E-2"/>
    <n v="0.23799999999999999"/>
    <n v="1"/>
    <x v="0"/>
    <x v="0"/>
  </r>
  <r>
    <s v="SM_101011"/>
    <x v="0"/>
    <s v="text"/>
    <s v="Education"/>
    <s v="es"/>
    <s v="Brazil"/>
    <d v="2024-12-21T00:00:00"/>
    <s v="#news #ai #funny #music"/>
    <n v="7691652"/>
    <n v="427314"/>
    <n v="27235"/>
    <n v="9077"/>
    <n v="6.0299999999999999E-2"/>
    <n v="-0.32900000000000001"/>
    <n v="1"/>
    <x v="0"/>
    <x v="1"/>
  </r>
  <r>
    <s v="SM_101012"/>
    <x v="1"/>
    <s v="image"/>
    <s v="Politics"/>
    <s v="es"/>
    <s v="Pakistan"/>
    <d v="2024-11-22T00:00:00"/>
    <s v="#viral #fyp #funny"/>
    <n v="8201592"/>
    <n v="390552"/>
    <n v="5755"/>
    <n v="78769"/>
    <n v="5.79E-2"/>
    <n v="0.70499999999999996"/>
    <n v="1"/>
    <x v="0"/>
    <x v="0"/>
  </r>
  <r>
    <s v="SM_101013"/>
    <x v="0"/>
    <s v="video"/>
    <s v="Education"/>
    <s v="ur"/>
    <s v="India"/>
    <d v="2024-08-27T00:00:00"/>
    <s v="#tech #fyp #music #ai"/>
    <n v="7657362"/>
    <n v="425409"/>
    <n v="25505"/>
    <n v="87955"/>
    <n v="7.0400000000000004E-2"/>
    <n v="-0.22900000000000001"/>
    <n v="1"/>
    <x v="0"/>
    <x v="1"/>
  </r>
  <r>
    <s v="SM_101014"/>
    <x v="2"/>
    <s v="text"/>
    <s v="Entertainment"/>
    <s v="ur"/>
    <s v="Pakistan"/>
    <d v="2024-01-11T00:00:00"/>
    <s v="#music #ai #news #funny #tech"/>
    <n v="2887806"/>
    <n v="481301"/>
    <n v="17483"/>
    <n v="35180"/>
    <n v="0.18490000000000001"/>
    <n v="-0.05"/>
    <n v="1"/>
    <x v="0"/>
    <x v="1"/>
  </r>
  <r>
    <s v="SM_101015"/>
    <x v="3"/>
    <s v="text"/>
    <s v="Technology"/>
    <s v="hi"/>
    <s v="Brazil"/>
    <d v="2024-06-18T00:00:00"/>
    <s v="#trending #ai #fyp"/>
    <n v="2811942"/>
    <n v="200853"/>
    <n v="32106"/>
    <n v="2776"/>
    <n v="8.3799999999999999E-2"/>
    <n v="-0.85"/>
    <n v="1"/>
    <x v="0"/>
    <x v="1"/>
  </r>
  <r>
    <s v="SM_101016"/>
    <x v="0"/>
    <s v="text"/>
    <s v="Politics"/>
    <s v="es"/>
    <s v="Brazil"/>
    <d v="2024-10-31T00:00:00"/>
    <s v="#news #music #fyp #trending #ai"/>
    <n v="12735466"/>
    <n v="439154"/>
    <n v="19544"/>
    <n v="57125"/>
    <n v="4.0500000000000001E-2"/>
    <n v="0.93600000000000005"/>
    <n v="1"/>
    <x v="0"/>
    <x v="0"/>
  </r>
  <r>
    <s v="SM_101017"/>
    <x v="0"/>
    <s v="image"/>
    <s v="Lifestyle"/>
    <s v="fr"/>
    <s v="US"/>
    <d v="2024-05-13T00:00:00"/>
    <s v="#news #viral #music"/>
    <n v="5014953"/>
    <n v="185739"/>
    <n v="37104"/>
    <n v="75832"/>
    <n v="5.96E-2"/>
    <n v="0.59699999999999998"/>
    <n v="1"/>
    <x v="0"/>
    <x v="0"/>
  </r>
  <r>
    <s v="SM_101018"/>
    <x v="3"/>
    <s v="image"/>
    <s v="Lifestyle"/>
    <s v="en"/>
    <s v="India"/>
    <d v="2024-06-01T00:00:00"/>
    <s v="#tech #ai"/>
    <n v="9869020"/>
    <n v="352465"/>
    <n v="49348"/>
    <n v="25480"/>
    <n v="4.3299999999999998E-2"/>
    <n v="-0.74099999999999999"/>
    <n v="1"/>
    <x v="0"/>
    <x v="1"/>
  </r>
  <r>
    <s v="SM_101019"/>
    <x v="0"/>
    <s v="video"/>
    <s v="Sports"/>
    <s v="en"/>
    <s v="Brazil"/>
    <d v="2024-12-18T00:00:00"/>
    <s v="#ai #music"/>
    <n v="3966032"/>
    <n v="495754"/>
    <n v="44576"/>
    <n v="15409"/>
    <n v="0.1401"/>
    <n v="0.34799999999999998"/>
    <n v="1"/>
    <x v="0"/>
    <x v="0"/>
  </r>
  <r>
    <s v="SM_101020"/>
    <x v="0"/>
    <s v="image"/>
    <s v="Politics"/>
    <s v="en"/>
    <s v="US"/>
    <d v="2024-03-26T00:00:00"/>
    <s v="#funny #music #tech #fyp #trending"/>
    <n v="7243470"/>
    <n v="278595"/>
    <n v="4136"/>
    <n v="44826"/>
    <n v="4.5199999999999997E-2"/>
    <n v="0.79600000000000004"/>
    <n v="1"/>
    <x v="0"/>
    <x v="0"/>
  </r>
  <r>
    <s v="SM_101021"/>
    <x v="0"/>
    <s v="video"/>
    <s v="Politics"/>
    <s v="es"/>
    <s v="UK"/>
    <d v="2024-04-15T00:00:00"/>
    <s v="#music #fyp"/>
    <n v="8413132"/>
    <n v="300469"/>
    <n v="38852"/>
    <n v="12454"/>
    <n v="4.1799999999999997E-2"/>
    <n v="-0.69"/>
    <n v="1"/>
    <x v="0"/>
    <x v="1"/>
  </r>
  <r>
    <s v="SM_101022"/>
    <x v="0"/>
    <s v="video"/>
    <s v="Education"/>
    <s v="fr"/>
    <s v="India"/>
    <d v="2024-07-12T00:00:00"/>
    <s v="#viral #trending #funny"/>
    <n v="11046942"/>
    <n v="409146"/>
    <n v="47898"/>
    <n v="44674"/>
    <n v="4.5400000000000003E-2"/>
    <n v="0.41299999999999998"/>
    <n v="1"/>
    <x v="0"/>
    <x v="0"/>
  </r>
  <r>
    <s v="SM_101023"/>
    <x v="0"/>
    <s v="image"/>
    <s v="Politics"/>
    <s v="ur"/>
    <s v="Pakistan"/>
    <d v="2024-08-01T00:00:00"/>
    <s v="#funny #fyp #ai"/>
    <n v="1210905"/>
    <n v="134545"/>
    <n v="10340"/>
    <n v="23742"/>
    <n v="0.13930000000000001"/>
    <n v="-4.2999999999999997E-2"/>
    <n v="0"/>
    <x v="1"/>
    <x v="1"/>
  </r>
  <r>
    <s v="SM_101024"/>
    <x v="1"/>
    <s v="video"/>
    <s v="Technology"/>
    <s v="es"/>
    <s v="India"/>
    <d v="2024-12-11T00:00:00"/>
    <s v="#fyp #news #tech"/>
    <n v="2974122"/>
    <n v="165229"/>
    <n v="1452"/>
    <n v="19584"/>
    <n v="6.2600000000000003E-2"/>
    <n v="-0.377"/>
    <n v="1"/>
    <x v="0"/>
    <x v="1"/>
  </r>
  <r>
    <s v="SM_101025"/>
    <x v="2"/>
    <s v="video"/>
    <s v="Education"/>
    <s v="en"/>
    <s v="UK"/>
    <d v="2024-03-27T00:00:00"/>
    <s v="#funny #fyp #ai #trending"/>
    <n v="10340757"/>
    <n v="382991"/>
    <n v="19572"/>
    <n v="79676"/>
    <n v="4.6600000000000003E-2"/>
    <n v="-0.83499999999999996"/>
    <n v="1"/>
    <x v="0"/>
    <x v="1"/>
  </r>
  <r>
    <s v="SM_101026"/>
    <x v="2"/>
    <s v="image"/>
    <s v="Politics"/>
    <s v="hi"/>
    <s v="US"/>
    <d v="2024-05-18T00:00:00"/>
    <s v="#tech #funny #viral #news #fyp"/>
    <n v="13878066"/>
    <n v="478554"/>
    <n v="25571"/>
    <n v="73194"/>
    <n v="4.1599999999999998E-2"/>
    <n v="0.43"/>
    <n v="1"/>
    <x v="0"/>
    <x v="0"/>
  </r>
  <r>
    <s v="SM_101027"/>
    <x v="0"/>
    <s v="image"/>
    <s v="Education"/>
    <s v="ur"/>
    <s v="India"/>
    <d v="2024-10-05T00:00:00"/>
    <s v="#news #music #funny #ai #trending"/>
    <n v="4287128"/>
    <n v="252184"/>
    <n v="41190"/>
    <n v="92950"/>
    <n v="9.01E-2"/>
    <n v="-0.30599999999999999"/>
    <n v="1"/>
    <x v="0"/>
    <x v="1"/>
  </r>
  <r>
    <s v="SM_101028"/>
    <x v="3"/>
    <s v="image"/>
    <s v="Technology"/>
    <s v="fr"/>
    <s v="Pakistan"/>
    <d v="2024-01-03T00:00:00"/>
    <s v="#fyp #trending"/>
    <n v="8005346"/>
    <n v="421334"/>
    <n v="45996"/>
    <n v="73617"/>
    <n v="6.7599999999999993E-2"/>
    <n v="-0.60199999999999998"/>
    <n v="1"/>
    <x v="0"/>
    <x v="1"/>
  </r>
  <r>
    <s v="SM_101029"/>
    <x v="3"/>
    <s v="text"/>
    <s v="Education"/>
    <s v="hi"/>
    <s v="Brazil"/>
    <d v="2024-07-31T00:00:00"/>
    <s v="#trending #tech"/>
    <n v="2210442"/>
    <n v="170034"/>
    <n v="21163"/>
    <n v="43857"/>
    <n v="0.10630000000000001"/>
    <n v="0.88100000000000001"/>
    <n v="1"/>
    <x v="0"/>
    <x v="0"/>
  </r>
  <r>
    <s v="SM_101030"/>
    <x v="2"/>
    <s v="carousel"/>
    <s v="Education"/>
    <s v="fr"/>
    <s v="India"/>
    <d v="2024-03-29T00:00:00"/>
    <s v="#tech #fyp #ai"/>
    <n v="5558541"/>
    <n v="326973"/>
    <n v="28383"/>
    <n v="54354"/>
    <n v="7.3700000000000002E-2"/>
    <n v="0.48299999999999998"/>
    <n v="1"/>
    <x v="0"/>
    <x v="0"/>
  </r>
  <r>
    <s v="SM_101031"/>
    <x v="0"/>
    <s v="carousel"/>
    <s v="Entertainment"/>
    <s v="ur"/>
    <s v="UK"/>
    <d v="2024-04-29T00:00:00"/>
    <s v="#ai #tech #funny"/>
    <n v="726902"/>
    <n v="66082"/>
    <n v="36688"/>
    <n v="17619"/>
    <n v="0.1656"/>
    <n v="-0.76600000000000001"/>
    <n v="0"/>
    <x v="1"/>
    <x v="1"/>
  </r>
  <r>
    <s v="SM_101032"/>
    <x v="3"/>
    <s v="carousel"/>
    <s v="Entertainment"/>
    <s v="ur"/>
    <s v="US"/>
    <d v="2024-12-12T00:00:00"/>
    <s v="#funny #fyp"/>
    <n v="4095873"/>
    <n v="151699"/>
    <n v="23574"/>
    <n v="11152"/>
    <n v="4.5499999999999999E-2"/>
    <n v="0.39700000000000002"/>
    <n v="1"/>
    <x v="0"/>
    <x v="0"/>
  </r>
  <r>
    <s v="SM_101033"/>
    <x v="3"/>
    <s v="image"/>
    <s v="Technology"/>
    <s v="es"/>
    <s v="Pakistan"/>
    <d v="2024-07-18T00:00:00"/>
    <s v="#trending #tech #music"/>
    <n v="561918"/>
    <n v="33054"/>
    <n v="47453"/>
    <n v="35304"/>
    <n v="0.20610000000000001"/>
    <n v="0.78"/>
    <n v="0"/>
    <x v="1"/>
    <x v="0"/>
  </r>
  <r>
    <s v="SM_101034"/>
    <x v="2"/>
    <s v="image"/>
    <s v="Sports"/>
    <s v="ur"/>
    <s v="Brazil"/>
    <d v="2024-09-22T00:00:00"/>
    <s v="#trending #music #viral #tech"/>
    <n v="10600332"/>
    <n v="460884"/>
    <n v="1257"/>
    <n v="71046"/>
    <n v="5.0299999999999997E-2"/>
    <n v="0.47199999999999998"/>
    <n v="1"/>
    <x v="0"/>
    <x v="0"/>
  </r>
  <r>
    <s v="SM_101035"/>
    <x v="3"/>
    <s v="video"/>
    <s v="Lifestyle"/>
    <s v="es"/>
    <s v="India"/>
    <d v="2024-08-07T00:00:00"/>
    <s v="#funny #trending #fyp #news"/>
    <n v="8899878"/>
    <n v="342303"/>
    <n v="1886"/>
    <n v="33038"/>
    <n v="4.24E-2"/>
    <n v="-0.54"/>
    <n v="1"/>
    <x v="0"/>
    <x v="1"/>
  </r>
  <r>
    <s v="SM_101036"/>
    <x v="1"/>
    <s v="text"/>
    <s v="Education"/>
    <s v="es"/>
    <s v="UK"/>
    <d v="2024-02-01T00:00:00"/>
    <s v="#news #tech #ai"/>
    <n v="3649322"/>
    <n v="214666"/>
    <n v="46156"/>
    <n v="48921"/>
    <n v="8.4900000000000003E-2"/>
    <n v="0.32300000000000001"/>
    <n v="1"/>
    <x v="0"/>
    <x v="0"/>
  </r>
  <r>
    <s v="SM_101037"/>
    <x v="2"/>
    <s v="image"/>
    <s v="Politics"/>
    <s v="fr"/>
    <s v="Brazil"/>
    <d v="2024-01-31T00:00:00"/>
    <s v="#ai #trending"/>
    <n v="13262844"/>
    <n v="473673"/>
    <n v="3267"/>
    <n v="66982"/>
    <n v="4.1000000000000002E-2"/>
    <n v="-0.629"/>
    <n v="1"/>
    <x v="0"/>
    <x v="1"/>
  </r>
  <r>
    <s v="SM_101038"/>
    <x v="3"/>
    <s v="image"/>
    <s v="Entertainment"/>
    <s v="es"/>
    <s v="UK"/>
    <d v="2024-05-25T00:00:00"/>
    <s v="#news #tech #music #ai #fyp"/>
    <n v="5741393"/>
    <n v="337729"/>
    <n v="23968"/>
    <n v="50819"/>
    <n v="7.1800000000000003E-2"/>
    <n v="-0.187"/>
    <n v="1"/>
    <x v="0"/>
    <x v="1"/>
  </r>
  <r>
    <s v="SM_101039"/>
    <x v="2"/>
    <s v="text"/>
    <s v="Technology"/>
    <s v="en"/>
    <s v="Pakistan"/>
    <d v="2024-05-20T00:00:00"/>
    <s v="#trending #tech #ai #fyp #music"/>
    <n v="5908068"/>
    <n v="492339"/>
    <n v="8602"/>
    <n v="63910"/>
    <n v="9.5600000000000004E-2"/>
    <n v="0.11799999999999999"/>
    <n v="1"/>
    <x v="0"/>
    <x v="0"/>
  </r>
  <r>
    <s v="SM_101040"/>
    <x v="1"/>
    <s v="video"/>
    <s v="Lifestyle"/>
    <s v="fr"/>
    <s v="Pakistan"/>
    <d v="2024-07-10T00:00:00"/>
    <s v="#viral #news #tech #trending #ai"/>
    <n v="2278759"/>
    <n v="325537"/>
    <n v="47293"/>
    <n v="25806"/>
    <n v="0.1749"/>
    <n v="0.878"/>
    <n v="1"/>
    <x v="0"/>
    <x v="0"/>
  </r>
  <r>
    <s v="SM_101041"/>
    <x v="0"/>
    <s v="text"/>
    <s v="Entertainment"/>
    <s v="hi"/>
    <s v="Brazil"/>
    <d v="2024-10-31T00:00:00"/>
    <s v="#music #viral #ai #funny #news"/>
    <n v="5802783"/>
    <n v="276323"/>
    <n v="49855"/>
    <n v="72780"/>
    <n v="6.88E-2"/>
    <n v="0.45900000000000002"/>
    <n v="1"/>
    <x v="0"/>
    <x v="0"/>
  </r>
  <r>
    <s v="SM_101042"/>
    <x v="1"/>
    <s v="carousel"/>
    <s v="Politics"/>
    <s v="hi"/>
    <s v="India"/>
    <d v="2024-09-09T00:00:00"/>
    <s v="#fyp #trending #funny #viral #tech"/>
    <n v="10627584"/>
    <n v="442816"/>
    <n v="12105"/>
    <n v="57022"/>
    <n v="4.82E-2"/>
    <n v="0.34599999999999997"/>
    <n v="1"/>
    <x v="0"/>
    <x v="0"/>
  </r>
  <r>
    <s v="SM_101043"/>
    <x v="1"/>
    <s v="carousel"/>
    <s v="Sports"/>
    <s v="es"/>
    <s v="US"/>
    <d v="2024-02-25T00:00:00"/>
    <s v="#viral #news"/>
    <n v="4864300"/>
    <n v="194572"/>
    <n v="26915"/>
    <n v="29438"/>
    <n v="5.16E-2"/>
    <n v="0.748"/>
    <n v="1"/>
    <x v="0"/>
    <x v="0"/>
  </r>
  <r>
    <s v="SM_101044"/>
    <x v="2"/>
    <s v="text"/>
    <s v="Technology"/>
    <s v="ur"/>
    <s v="India"/>
    <d v="2024-09-01T00:00:00"/>
    <s v="#funny #music #fyp #viral #ai"/>
    <n v="1208912"/>
    <n v="151114"/>
    <n v="20867"/>
    <n v="11670"/>
    <n v="0.15190000000000001"/>
    <n v="-0.999"/>
    <n v="0"/>
    <x v="1"/>
    <x v="1"/>
  </r>
  <r>
    <s v="SM_101045"/>
    <x v="2"/>
    <s v="image"/>
    <s v="Education"/>
    <s v="ur"/>
    <s v="Brazil"/>
    <d v="2024-10-21T00:00:00"/>
    <s v="#trending #tech #music"/>
    <n v="5735562"/>
    <n v="273122"/>
    <n v="2990"/>
    <n v="97906"/>
    <n v="6.5199999999999994E-2"/>
    <n v="0.255"/>
    <n v="1"/>
    <x v="0"/>
    <x v="0"/>
  </r>
  <r>
    <s v="SM_101046"/>
    <x v="0"/>
    <s v="video"/>
    <s v="Politics"/>
    <s v="en"/>
    <s v="India"/>
    <d v="2024-08-22T00:00:00"/>
    <s v="#ai #music"/>
    <n v="743808"/>
    <n v="92976"/>
    <n v="341"/>
    <n v="42934"/>
    <n v="0.1832"/>
    <n v="-8.3000000000000004E-2"/>
    <n v="0"/>
    <x v="1"/>
    <x v="1"/>
  </r>
  <r>
    <s v="SM_101047"/>
    <x v="1"/>
    <s v="image"/>
    <s v="Politics"/>
    <s v="ur"/>
    <s v="Pakistan"/>
    <d v="2024-06-15T00:00:00"/>
    <s v="#viral #funny"/>
    <n v="1191768"/>
    <n v="99314"/>
    <n v="48405"/>
    <n v="16280"/>
    <n v="0.1376"/>
    <n v="0.84099999999999997"/>
    <n v="0"/>
    <x v="1"/>
    <x v="0"/>
  </r>
  <r>
    <s v="SM_101048"/>
    <x v="2"/>
    <s v="video"/>
    <s v="Politics"/>
    <s v="hi"/>
    <s v="Brazil"/>
    <d v="2024-11-28T00:00:00"/>
    <s v="#fyp #viral #news #tech #trending"/>
    <n v="1034688"/>
    <n v="86224"/>
    <n v="40219"/>
    <n v="77486"/>
    <n v="0.1971"/>
    <n v="-0.58499999999999996"/>
    <n v="0"/>
    <x v="1"/>
    <x v="1"/>
  </r>
  <r>
    <s v="SM_101049"/>
    <x v="0"/>
    <s v="text"/>
    <s v="Lifestyle"/>
    <s v="fr"/>
    <s v="US"/>
    <d v="2024-07-04T00:00:00"/>
    <s v="#funny #ai #tech"/>
    <n v="8000013"/>
    <n v="470589"/>
    <n v="1139"/>
    <n v="76475"/>
    <n v="6.8500000000000005E-2"/>
    <n v="-6.4000000000000001E-2"/>
    <n v="1"/>
    <x v="0"/>
    <x v="1"/>
  </r>
  <r>
    <s v="SM_101050"/>
    <x v="3"/>
    <s v="text"/>
    <s v="Lifestyle"/>
    <s v="ur"/>
    <s v="India"/>
    <d v="2024-04-03T00:00:00"/>
    <s v="#news #tech"/>
    <n v="9698960"/>
    <n v="484948"/>
    <n v="41120"/>
    <n v="71129"/>
    <n v="6.1600000000000002E-2"/>
    <n v="0.23100000000000001"/>
    <n v="1"/>
    <x v="0"/>
    <x v="0"/>
  </r>
  <r>
    <s v="SM_101051"/>
    <x v="1"/>
    <s v="text"/>
    <s v="Lifestyle"/>
    <s v="hi"/>
    <s v="Pakistan"/>
    <d v="2024-02-22T00:00:00"/>
    <s v="#fyp #trending #tech"/>
    <n v="4361805"/>
    <n v="207705"/>
    <n v="33494"/>
    <n v="56831"/>
    <n v="6.83E-2"/>
    <n v="0.40799999999999997"/>
    <n v="1"/>
    <x v="0"/>
    <x v="0"/>
  </r>
  <r>
    <s v="SM_101052"/>
    <x v="2"/>
    <s v="image"/>
    <s v="Lifestyle"/>
    <s v="en"/>
    <s v="Pakistan"/>
    <d v="2024-08-07T00:00:00"/>
    <s v="#funny #music"/>
    <n v="8775648"/>
    <n v="487536"/>
    <n v="39524"/>
    <n v="49650"/>
    <n v="6.5699999999999995E-2"/>
    <n v="0.65500000000000003"/>
    <n v="1"/>
    <x v="0"/>
    <x v="0"/>
  </r>
  <r>
    <s v="SM_101053"/>
    <x v="3"/>
    <s v="carousel"/>
    <s v="Education"/>
    <s v="en"/>
    <s v="India"/>
    <d v="2024-08-24T00:00:00"/>
    <s v="#tech #music #ai #funny"/>
    <n v="5807600"/>
    <n v="232304"/>
    <n v="29871"/>
    <n v="30677"/>
    <n v="5.04E-2"/>
    <n v="-0.90900000000000003"/>
    <n v="1"/>
    <x v="0"/>
    <x v="1"/>
  </r>
  <r>
    <s v="SM_101054"/>
    <x v="0"/>
    <s v="video"/>
    <s v="Lifestyle"/>
    <s v="fr"/>
    <s v="Brazil"/>
    <d v="2024-10-21T00:00:00"/>
    <s v="#music #trending #tech #funny #viral"/>
    <n v="9473628"/>
    <n v="498612"/>
    <n v="27564"/>
    <n v="72308"/>
    <n v="6.3200000000000006E-2"/>
    <n v="0.82099999999999995"/>
    <n v="1"/>
    <x v="0"/>
    <x v="0"/>
  </r>
  <r>
    <s v="SM_101055"/>
    <x v="3"/>
    <s v="video"/>
    <s v="Entertainment"/>
    <s v="es"/>
    <s v="Pakistan"/>
    <d v="2024-09-10T00:00:00"/>
    <s v="#viral #ai #funny #trending #news"/>
    <n v="10251711"/>
    <n v="379693"/>
    <n v="36208"/>
    <n v="78389"/>
    <n v="4.82E-2"/>
    <n v="0.253"/>
    <n v="1"/>
    <x v="0"/>
    <x v="0"/>
  </r>
  <r>
    <s v="SM_101056"/>
    <x v="0"/>
    <s v="image"/>
    <s v="Politics"/>
    <s v="es"/>
    <s v="Pakistan"/>
    <d v="2024-10-17T00:00:00"/>
    <s v="#ai #viral #fyp #funny"/>
    <n v="1584141"/>
    <n v="121857"/>
    <n v="1853"/>
    <n v="31028"/>
    <n v="9.7699999999999995E-2"/>
    <n v="0.67800000000000005"/>
    <n v="0"/>
    <x v="1"/>
    <x v="0"/>
  </r>
  <r>
    <s v="SM_101057"/>
    <x v="3"/>
    <s v="video"/>
    <s v="Politics"/>
    <s v="fr"/>
    <s v="India"/>
    <d v="2024-07-04T00:00:00"/>
    <s v="#viral #news #funny"/>
    <n v="2259420"/>
    <n v="150628"/>
    <n v="9264"/>
    <n v="35555"/>
    <n v="8.6499999999999994E-2"/>
    <n v="-0.10199999999999999"/>
    <n v="1"/>
    <x v="0"/>
    <x v="1"/>
  </r>
  <r>
    <s v="SM_101058"/>
    <x v="0"/>
    <s v="image"/>
    <s v="Education"/>
    <s v="fr"/>
    <s v="US"/>
    <d v="2024-04-14T00:00:00"/>
    <s v="#funny #trending #ai #music"/>
    <n v="1112860"/>
    <n v="222572"/>
    <n v="36644"/>
    <n v="63628"/>
    <n v="0.29010000000000002"/>
    <n v="0.54700000000000004"/>
    <n v="0"/>
    <x v="1"/>
    <x v="0"/>
  </r>
  <r>
    <s v="SM_101059"/>
    <x v="0"/>
    <s v="video"/>
    <s v="Lifestyle"/>
    <s v="es"/>
    <s v="Brazil"/>
    <d v="2024-06-04T00:00:00"/>
    <s v="#fyp #music #viral #news #funny"/>
    <n v="3360192"/>
    <n v="210012"/>
    <n v="27532"/>
    <n v="57416"/>
    <n v="8.7800000000000003E-2"/>
    <n v="-0.24"/>
    <n v="1"/>
    <x v="0"/>
    <x v="1"/>
  </r>
  <r>
    <s v="SM_101060"/>
    <x v="2"/>
    <s v="text"/>
    <s v="Lifestyle"/>
    <s v="hi"/>
    <s v="Brazil"/>
    <d v="2024-11-30T00:00:00"/>
    <s v="#funny #music #tech #viral"/>
    <n v="3491685"/>
    <n v="232779"/>
    <n v="16066"/>
    <n v="58227"/>
    <n v="8.7900000000000006E-2"/>
    <n v="0.13700000000000001"/>
    <n v="1"/>
    <x v="0"/>
    <x v="0"/>
  </r>
  <r>
    <s v="SM_101061"/>
    <x v="2"/>
    <s v="image"/>
    <s v="Politics"/>
    <s v="es"/>
    <s v="Brazil"/>
    <d v="2024-02-13T00:00:00"/>
    <s v="#ai #fyp #tech #funny #trending"/>
    <n v="2840050"/>
    <n v="113602"/>
    <n v="22805"/>
    <n v="75477"/>
    <n v="7.46E-2"/>
    <n v="0.67"/>
    <n v="1"/>
    <x v="0"/>
    <x v="0"/>
  </r>
  <r>
    <s v="SM_101062"/>
    <x v="3"/>
    <s v="carousel"/>
    <s v="Education"/>
    <s v="hi"/>
    <s v="US"/>
    <d v="2024-04-19T00:00:00"/>
    <s v="#viral #news"/>
    <n v="10309970"/>
    <n v="468635"/>
    <n v="37258"/>
    <n v="45398"/>
    <n v="5.3499999999999999E-2"/>
    <n v="-0.36399999999999999"/>
    <n v="1"/>
    <x v="0"/>
    <x v="1"/>
  </r>
  <r>
    <s v="SM_101063"/>
    <x v="2"/>
    <s v="video"/>
    <s v="Education"/>
    <s v="hi"/>
    <s v="Brazil"/>
    <d v="2024-11-25T00:00:00"/>
    <s v="#funny #news #fyp"/>
    <n v="4062240"/>
    <n v="156240"/>
    <n v="196"/>
    <n v="90611"/>
    <n v="6.08E-2"/>
    <n v="-0.82499999999999996"/>
    <n v="1"/>
    <x v="0"/>
    <x v="1"/>
  </r>
  <r>
    <s v="SM_101064"/>
    <x v="2"/>
    <s v="carousel"/>
    <s v="Sports"/>
    <s v="hi"/>
    <s v="UK"/>
    <d v="2024-02-21T00:00:00"/>
    <s v="#viral #funny #trending #music"/>
    <n v="5560620"/>
    <n v="370708"/>
    <n v="20711"/>
    <n v="13683"/>
    <n v="7.2900000000000006E-2"/>
    <n v="-0.41499999999999998"/>
    <n v="1"/>
    <x v="0"/>
    <x v="1"/>
  </r>
  <r>
    <s v="SM_101065"/>
    <x v="2"/>
    <s v="image"/>
    <s v="Technology"/>
    <s v="en"/>
    <s v="Pakistan"/>
    <d v="2024-07-31T00:00:00"/>
    <s v="#funny #music #news #fyp #viral"/>
    <n v="2694048"/>
    <n v="224504"/>
    <n v="23671"/>
    <n v="58818"/>
    <n v="0.114"/>
    <n v="0.86599999999999999"/>
    <n v="1"/>
    <x v="0"/>
    <x v="0"/>
  </r>
  <r>
    <s v="SM_101066"/>
    <x v="3"/>
    <s v="image"/>
    <s v="Education"/>
    <s v="en"/>
    <s v="Brazil"/>
    <d v="2024-12-04T00:00:00"/>
    <s v="#fyp #funny"/>
    <n v="4963830"/>
    <n v="496383"/>
    <n v="10239"/>
    <n v="57617"/>
    <n v="0.1137"/>
    <n v="0.35699999999999998"/>
    <n v="1"/>
    <x v="0"/>
    <x v="0"/>
  </r>
  <r>
    <s v="SM_101067"/>
    <x v="0"/>
    <s v="video"/>
    <s v="Education"/>
    <s v="es"/>
    <s v="US"/>
    <d v="2024-03-26T00:00:00"/>
    <s v="#news #trending #fyp #viral #music"/>
    <n v="5199795"/>
    <n v="192585"/>
    <n v="1056"/>
    <n v="75302"/>
    <n v="5.1700000000000003E-2"/>
    <n v="0.19900000000000001"/>
    <n v="1"/>
    <x v="0"/>
    <x v="0"/>
  </r>
  <r>
    <s v="SM_101068"/>
    <x v="1"/>
    <s v="image"/>
    <s v="Sports"/>
    <s v="ur"/>
    <s v="Pakistan"/>
    <d v="2024-09-02T00:00:00"/>
    <s v="#fyp #trending #ai"/>
    <n v="9447459"/>
    <n v="449879"/>
    <n v="32328"/>
    <n v="44758"/>
    <n v="5.5800000000000002E-2"/>
    <n v="-0.437"/>
    <n v="1"/>
    <x v="0"/>
    <x v="1"/>
  </r>
  <r>
    <s v="SM_101069"/>
    <x v="2"/>
    <s v="image"/>
    <s v="Politics"/>
    <s v="fr"/>
    <s v="Brazil"/>
    <d v="2024-10-04T00:00:00"/>
    <s v="#funny #tech #trending #music #news"/>
    <n v="9336033"/>
    <n v="444573"/>
    <n v="29969"/>
    <n v="308"/>
    <n v="5.0900000000000001E-2"/>
    <n v="0.41199999999999998"/>
    <n v="1"/>
    <x v="0"/>
    <x v="0"/>
  </r>
  <r>
    <s v="SM_101070"/>
    <x v="2"/>
    <s v="image"/>
    <s v="Lifestyle"/>
    <s v="en"/>
    <s v="UK"/>
    <d v="2024-11-27T00:00:00"/>
    <s v="#tech #fyp #viral #funny"/>
    <n v="267638"/>
    <n v="38234"/>
    <n v="27328"/>
    <n v="71763"/>
    <n v="0.5131"/>
    <n v="-0.71499999999999997"/>
    <n v="0"/>
    <x v="1"/>
    <x v="1"/>
  </r>
  <r>
    <s v="SM_101071"/>
    <x v="0"/>
    <s v="carousel"/>
    <s v="Lifestyle"/>
    <s v="hi"/>
    <s v="Brazil"/>
    <d v="2024-11-10T00:00:00"/>
    <s v="#funny #music #news #ai"/>
    <n v="1135495"/>
    <n v="227099"/>
    <n v="14335"/>
    <n v="70428"/>
    <n v="0.27460000000000001"/>
    <n v="-0.82199999999999995"/>
    <n v="0"/>
    <x v="1"/>
    <x v="1"/>
  </r>
  <r>
    <s v="SM_101072"/>
    <x v="3"/>
    <s v="video"/>
    <s v="Education"/>
    <s v="en"/>
    <s v="India"/>
    <d v="2024-10-20T00:00:00"/>
    <s v="#music #fyp #funny"/>
    <n v="5110404"/>
    <n v="425867"/>
    <n v="10853"/>
    <n v="55756"/>
    <n v="9.64E-2"/>
    <n v="0.878"/>
    <n v="1"/>
    <x v="0"/>
    <x v="0"/>
  </r>
  <r>
    <s v="SM_101073"/>
    <x v="1"/>
    <s v="image"/>
    <s v="Politics"/>
    <s v="ur"/>
    <s v="Pakistan"/>
    <d v="2024-03-14T00:00:00"/>
    <s v="#trending #funny #tech #news"/>
    <n v="3775824"/>
    <n v="235989"/>
    <n v="48008"/>
    <n v="20390"/>
    <n v="8.0600000000000005E-2"/>
    <n v="-0.67"/>
    <n v="1"/>
    <x v="0"/>
    <x v="1"/>
  </r>
  <r>
    <s v="SM_101074"/>
    <x v="2"/>
    <s v="video"/>
    <s v="Entertainment"/>
    <s v="hi"/>
    <s v="US"/>
    <d v="2024-07-16T00:00:00"/>
    <s v="#music #ai"/>
    <n v="8572564"/>
    <n v="306163"/>
    <n v="16572"/>
    <n v="3359"/>
    <n v="3.7999999999999999E-2"/>
    <n v="-0.317"/>
    <n v="1"/>
    <x v="0"/>
    <x v="1"/>
  </r>
  <r>
    <s v="SM_101075"/>
    <x v="2"/>
    <s v="carousel"/>
    <s v="Lifestyle"/>
    <s v="hi"/>
    <s v="US"/>
    <d v="2024-05-10T00:00:00"/>
    <s v="#funny #tech #music"/>
    <n v="1453872"/>
    <n v="207696"/>
    <n v="40451"/>
    <n v="97058"/>
    <n v="0.2374"/>
    <n v="-0.50700000000000001"/>
    <n v="0"/>
    <x v="1"/>
    <x v="1"/>
  </r>
  <r>
    <s v="SM_101076"/>
    <x v="3"/>
    <s v="video"/>
    <s v="Sports"/>
    <s v="en"/>
    <s v="Brazil"/>
    <d v="2024-02-19T00:00:00"/>
    <s v="#fyp #funny #news #music #trending"/>
    <n v="726765"/>
    <n v="55905"/>
    <n v="31354"/>
    <n v="76778"/>
    <n v="0.22570000000000001"/>
    <n v="0.502"/>
    <n v="0"/>
    <x v="1"/>
    <x v="0"/>
  </r>
  <r>
    <s v="SM_101077"/>
    <x v="3"/>
    <s v="video"/>
    <s v="Sports"/>
    <s v="es"/>
    <s v="Brazil"/>
    <d v="2024-08-12T00:00:00"/>
    <s v="#trending #funny #ai"/>
    <n v="2523381"/>
    <n v="360483"/>
    <n v="44046"/>
    <n v="31955"/>
    <n v="0.17299999999999999"/>
    <n v="-0.41099999999999998"/>
    <n v="1"/>
    <x v="0"/>
    <x v="1"/>
  </r>
  <r>
    <s v="SM_101078"/>
    <x v="2"/>
    <s v="text"/>
    <s v="Education"/>
    <s v="ur"/>
    <s v="US"/>
    <d v="2024-12-22T00:00:00"/>
    <s v="#fyp #viral #ai #trending #funny"/>
    <n v="4586526"/>
    <n v="218406"/>
    <n v="19743"/>
    <n v="10704"/>
    <n v="5.4300000000000001E-2"/>
    <n v="-0.98599999999999999"/>
    <n v="1"/>
    <x v="0"/>
    <x v="1"/>
  </r>
  <r>
    <s v="SM_101079"/>
    <x v="2"/>
    <s v="text"/>
    <s v="Entertainment"/>
    <s v="fr"/>
    <s v="Pakistan"/>
    <d v="2024-04-21T00:00:00"/>
    <s v="#trending #music #funny #tech #fyp"/>
    <n v="3089136"/>
    <n v="193071"/>
    <n v="12397"/>
    <n v="44725"/>
    <n v="8.1000000000000003E-2"/>
    <n v="-0.17799999999999999"/>
    <n v="1"/>
    <x v="0"/>
    <x v="1"/>
  </r>
  <r>
    <s v="SM_101080"/>
    <x v="3"/>
    <s v="carousel"/>
    <s v="Sports"/>
    <s v="ur"/>
    <s v="Brazil"/>
    <d v="2024-02-03T00:00:00"/>
    <s v="#news #ai #viral"/>
    <n v="5908078"/>
    <n v="268549"/>
    <n v="32731"/>
    <n v="18783"/>
    <n v="5.4199999999999998E-2"/>
    <n v="0.79100000000000004"/>
    <n v="1"/>
    <x v="0"/>
    <x v="0"/>
  </r>
  <r>
    <s v="SM_101081"/>
    <x v="0"/>
    <s v="text"/>
    <s v="Entertainment"/>
    <s v="fr"/>
    <s v="US"/>
    <d v="2024-08-11T00:00:00"/>
    <s v="#music #trending"/>
    <n v="2441740"/>
    <n v="122087"/>
    <n v="20571"/>
    <n v="67767"/>
    <n v="8.6199999999999999E-2"/>
    <n v="-0.45700000000000002"/>
    <n v="1"/>
    <x v="0"/>
    <x v="1"/>
  </r>
  <r>
    <s v="SM_101082"/>
    <x v="1"/>
    <s v="video"/>
    <s v="Politics"/>
    <s v="es"/>
    <s v="US"/>
    <d v="2024-04-15T00:00:00"/>
    <s v="#news #viral #fyp #funny"/>
    <n v="1746724"/>
    <n v="249532"/>
    <n v="26182"/>
    <n v="4766"/>
    <n v="0.16059999999999999"/>
    <n v="-0.316"/>
    <n v="0"/>
    <x v="1"/>
    <x v="1"/>
  </r>
  <r>
    <s v="SM_101083"/>
    <x v="3"/>
    <s v="image"/>
    <s v="Entertainment"/>
    <s v="hi"/>
    <s v="Pakistan"/>
    <d v="2024-02-25T00:00:00"/>
    <s v="#trending #news #viral"/>
    <n v="2680224"/>
    <n v="111676"/>
    <n v="29528"/>
    <n v="71089"/>
    <n v="7.9200000000000007E-2"/>
    <n v="-0.76"/>
    <n v="1"/>
    <x v="0"/>
    <x v="1"/>
  </r>
  <r>
    <s v="SM_101084"/>
    <x v="3"/>
    <s v="video"/>
    <s v="Entertainment"/>
    <s v="fr"/>
    <s v="UK"/>
    <d v="2024-08-12T00:00:00"/>
    <s v="#news #music #fyp"/>
    <n v="6451992"/>
    <n v="268833"/>
    <n v="34817"/>
    <n v="93665"/>
    <n v="6.1600000000000002E-2"/>
    <n v="-0.42399999999999999"/>
    <n v="1"/>
    <x v="0"/>
    <x v="1"/>
  </r>
  <r>
    <s v="SM_101085"/>
    <x v="0"/>
    <s v="carousel"/>
    <s v="Education"/>
    <s v="hi"/>
    <s v="India"/>
    <d v="2024-10-09T00:00:00"/>
    <s v="#tech #viral #fyp #trending"/>
    <n v="1681668"/>
    <n v="93426"/>
    <n v="40958"/>
    <n v="65786"/>
    <n v="0.11899999999999999"/>
    <n v="0.192"/>
    <n v="0"/>
    <x v="1"/>
    <x v="0"/>
  </r>
  <r>
    <s v="SM_101086"/>
    <x v="3"/>
    <s v="image"/>
    <s v="Technology"/>
    <s v="hi"/>
    <s v="US"/>
    <d v="2024-05-11T00:00:00"/>
    <s v="#trending #news #tech"/>
    <n v="728028"/>
    <n v="26001"/>
    <n v="23581"/>
    <n v="31509"/>
    <n v="0.1114"/>
    <n v="-0.76700000000000002"/>
    <n v="0"/>
    <x v="1"/>
    <x v="1"/>
  </r>
  <r>
    <s v="SM_101087"/>
    <x v="1"/>
    <s v="text"/>
    <s v="Technology"/>
    <s v="fr"/>
    <s v="Pakistan"/>
    <d v="2024-07-04T00:00:00"/>
    <s v="#viral #news"/>
    <n v="5570080"/>
    <n v="278504"/>
    <n v="35445"/>
    <n v="95083"/>
    <n v="7.3400000000000007E-2"/>
    <n v="-0.56399999999999995"/>
    <n v="1"/>
    <x v="0"/>
    <x v="1"/>
  </r>
  <r>
    <s v="SM_101088"/>
    <x v="0"/>
    <s v="carousel"/>
    <s v="Sports"/>
    <s v="es"/>
    <s v="US"/>
    <d v="2024-03-13T00:00:00"/>
    <s v="#music #tech #viral #news #trending"/>
    <n v="4315050"/>
    <n v="172602"/>
    <n v="1992"/>
    <n v="25106"/>
    <n v="4.6300000000000001E-2"/>
    <n v="0.64200000000000002"/>
    <n v="1"/>
    <x v="0"/>
    <x v="0"/>
  </r>
  <r>
    <s v="SM_101089"/>
    <x v="0"/>
    <s v="text"/>
    <s v="Entertainment"/>
    <s v="ur"/>
    <s v="India"/>
    <d v="2024-06-05T00:00:00"/>
    <s v="#fyp #tech #music #news #funny"/>
    <n v="2313871"/>
    <n v="330553"/>
    <n v="45932"/>
    <n v="75415"/>
    <n v="0.1953"/>
    <n v="-0.17799999999999999"/>
    <n v="1"/>
    <x v="0"/>
    <x v="1"/>
  </r>
  <r>
    <s v="SM_101090"/>
    <x v="2"/>
    <s v="carousel"/>
    <s v="Entertainment"/>
    <s v="hi"/>
    <s v="Pakistan"/>
    <d v="2024-02-07T00:00:00"/>
    <s v="#music #viral"/>
    <n v="1698588"/>
    <n v="141549"/>
    <n v="7352"/>
    <n v="33777"/>
    <n v="0.1075"/>
    <n v="0.65300000000000002"/>
    <n v="0"/>
    <x v="1"/>
    <x v="0"/>
  </r>
  <r>
    <s v="SM_101091"/>
    <x v="0"/>
    <s v="carousel"/>
    <s v="Lifestyle"/>
    <s v="hi"/>
    <s v="India"/>
    <d v="2024-07-25T00:00:00"/>
    <s v="#music #funny #news #ai #viral"/>
    <n v="5651616"/>
    <n v="332448"/>
    <n v="20676"/>
    <n v="55162"/>
    <n v="7.22E-2"/>
    <n v="-0.84899999999999998"/>
    <n v="1"/>
    <x v="0"/>
    <x v="1"/>
  </r>
  <r>
    <s v="SM_101092"/>
    <x v="1"/>
    <s v="carousel"/>
    <s v="Politics"/>
    <s v="hi"/>
    <s v="US"/>
    <d v="2024-03-27T00:00:00"/>
    <s v="#fyp #music"/>
    <n v="6660872"/>
    <n v="391816"/>
    <n v="47164"/>
    <n v="20923"/>
    <n v="6.9000000000000006E-2"/>
    <n v="0.17"/>
    <n v="1"/>
    <x v="0"/>
    <x v="0"/>
  </r>
  <r>
    <s v="SM_101093"/>
    <x v="1"/>
    <s v="text"/>
    <s v="Entertainment"/>
    <s v="ur"/>
    <s v="UK"/>
    <d v="2024-05-08T00:00:00"/>
    <s v="#funny #ai #music #viral #trending"/>
    <n v="6784800"/>
    <n v="339240"/>
    <n v="16973"/>
    <n v="30267"/>
    <n v="5.7000000000000002E-2"/>
    <n v="0.56699999999999995"/>
    <n v="1"/>
    <x v="0"/>
    <x v="0"/>
  </r>
  <r>
    <s v="SM_101094"/>
    <x v="0"/>
    <s v="video"/>
    <s v="Politics"/>
    <s v="hi"/>
    <s v="Pakistan"/>
    <d v="2024-04-22T00:00:00"/>
    <s v="#trending #viral #ai"/>
    <n v="6517232"/>
    <n v="407327"/>
    <n v="2871"/>
    <n v="5899"/>
    <n v="6.3799999999999996E-2"/>
    <n v="-0.79300000000000004"/>
    <n v="1"/>
    <x v="0"/>
    <x v="1"/>
  </r>
  <r>
    <s v="SM_101095"/>
    <x v="1"/>
    <s v="carousel"/>
    <s v="Technology"/>
    <s v="ur"/>
    <s v="India"/>
    <d v="2024-11-24T00:00:00"/>
    <s v="#fyp #funny #news #tech"/>
    <n v="1986780"/>
    <n v="165565"/>
    <n v="10961"/>
    <n v="50043"/>
    <n v="0.114"/>
    <n v="-0.40699999999999997"/>
    <n v="0"/>
    <x v="1"/>
    <x v="1"/>
  </r>
  <r>
    <s v="SM_101096"/>
    <x v="2"/>
    <s v="image"/>
    <s v="Lifestyle"/>
    <s v="hi"/>
    <s v="UK"/>
    <d v="2024-03-21T00:00:00"/>
    <s v="#viral #music"/>
    <n v="4652960"/>
    <n v="357920"/>
    <n v="41696"/>
    <n v="69498"/>
    <n v="0.1008"/>
    <n v="-0.93600000000000005"/>
    <n v="1"/>
    <x v="0"/>
    <x v="1"/>
  </r>
  <r>
    <s v="SM_101097"/>
    <x v="2"/>
    <s v="image"/>
    <s v="Lifestyle"/>
    <s v="fr"/>
    <s v="US"/>
    <d v="2024-03-28T00:00:00"/>
    <s v="#viral #news"/>
    <n v="5579559"/>
    <n v="293661"/>
    <n v="22489"/>
    <n v="83640"/>
    <n v="7.17E-2"/>
    <n v="-0.71099999999999997"/>
    <n v="1"/>
    <x v="0"/>
    <x v="1"/>
  </r>
  <r>
    <s v="SM_101098"/>
    <x v="1"/>
    <s v="image"/>
    <s v="Politics"/>
    <s v="hi"/>
    <s v="US"/>
    <d v="2024-07-09T00:00:00"/>
    <s v="#tech #funny #music #viral #ai"/>
    <n v="11252020"/>
    <n v="432770"/>
    <n v="1592"/>
    <n v="54711"/>
    <n v="4.3499999999999997E-2"/>
    <n v="-0.54700000000000004"/>
    <n v="1"/>
    <x v="0"/>
    <x v="1"/>
  </r>
  <r>
    <s v="SM_101099"/>
    <x v="0"/>
    <s v="video"/>
    <s v="Lifestyle"/>
    <s v="fr"/>
    <s v="US"/>
    <d v="2024-03-10T00:00:00"/>
    <s v="#fyp #news #music #viral"/>
    <n v="9805770"/>
    <n v="338130"/>
    <n v="18821"/>
    <n v="85825"/>
    <n v="4.5199999999999997E-2"/>
    <n v="0.155"/>
    <n v="1"/>
    <x v="0"/>
    <x v="0"/>
  </r>
  <r>
    <s v="SM_101100"/>
    <x v="0"/>
    <s v="text"/>
    <s v="Lifestyle"/>
    <s v="fr"/>
    <s v="Pakistan"/>
    <d v="2024-12-06T00:00:00"/>
    <s v="#news #funny #ai #trending"/>
    <n v="6357723"/>
    <n v="334617"/>
    <n v="34222"/>
    <n v="20885"/>
    <n v="6.13E-2"/>
    <n v="0.64100000000000001"/>
    <n v="1"/>
    <x v="0"/>
    <x v="0"/>
  </r>
  <r>
    <s v="SM_101101"/>
    <x v="0"/>
    <s v="carousel"/>
    <s v="Technology"/>
    <s v="fr"/>
    <s v="UK"/>
    <d v="2024-09-26T00:00:00"/>
    <s v="#fyp #ai #tech #trending"/>
    <n v="4766900"/>
    <n v="238345"/>
    <n v="43623"/>
    <n v="83949"/>
    <n v="7.6799999999999993E-2"/>
    <n v="-0.27500000000000002"/>
    <n v="1"/>
    <x v="0"/>
    <x v="1"/>
  </r>
  <r>
    <s v="SM_101102"/>
    <x v="0"/>
    <s v="video"/>
    <s v="Politics"/>
    <s v="en"/>
    <s v="Brazil"/>
    <d v="2024-04-03T00:00:00"/>
    <s v="#trending #fyp #news #ai"/>
    <n v="3686450"/>
    <n v="216850"/>
    <n v="37397"/>
    <n v="59994"/>
    <n v="8.5199999999999998E-2"/>
    <n v="-0.83099999999999996"/>
    <n v="1"/>
    <x v="0"/>
    <x v="1"/>
  </r>
  <r>
    <s v="SM_101103"/>
    <x v="0"/>
    <s v="text"/>
    <s v="Sports"/>
    <s v="es"/>
    <s v="Pakistan"/>
    <d v="2024-01-13T00:00:00"/>
    <s v="#news #fyp"/>
    <n v="787720"/>
    <n v="78772"/>
    <n v="594"/>
    <n v="86445"/>
    <n v="0.21049999999999999"/>
    <n v="0.13100000000000001"/>
    <n v="0"/>
    <x v="1"/>
    <x v="0"/>
  </r>
  <r>
    <s v="SM_101104"/>
    <x v="3"/>
    <s v="carousel"/>
    <s v="Technology"/>
    <s v="fr"/>
    <s v="Brazil"/>
    <d v="2024-07-15T00:00:00"/>
    <s v="#fyp #music #tech #viral #funny"/>
    <n v="4506211"/>
    <n v="237169"/>
    <n v="42227"/>
    <n v="49224"/>
    <n v="7.2900000000000006E-2"/>
    <n v="0.64700000000000002"/>
    <n v="1"/>
    <x v="0"/>
    <x v="0"/>
  </r>
  <r>
    <s v="SM_101105"/>
    <x v="2"/>
    <s v="video"/>
    <s v="Education"/>
    <s v="es"/>
    <s v="India"/>
    <d v="2024-04-04T00:00:00"/>
    <s v="#funny #music #news #viral #ai"/>
    <n v="9622350"/>
    <n v="384894"/>
    <n v="49425"/>
    <n v="75505"/>
    <n v="5.2999999999999999E-2"/>
    <n v="-0.59199999999999997"/>
    <n v="1"/>
    <x v="0"/>
    <x v="1"/>
  </r>
  <r>
    <s v="SM_101106"/>
    <x v="2"/>
    <s v="carousel"/>
    <s v="Politics"/>
    <s v="fr"/>
    <s v="Brazil"/>
    <d v="2024-07-10T00:00:00"/>
    <s v="#tech #fyp #music #ai #trending"/>
    <n v="2949387"/>
    <n v="140447"/>
    <n v="28682"/>
    <n v="13270"/>
    <n v="6.1800000000000001E-2"/>
    <n v="-0.158"/>
    <n v="1"/>
    <x v="0"/>
    <x v="1"/>
  </r>
  <r>
    <s v="SM_101107"/>
    <x v="2"/>
    <s v="video"/>
    <s v="Education"/>
    <s v="fr"/>
    <s v="UK"/>
    <d v="2024-02-18T00:00:00"/>
    <s v="#trending #funny #ai"/>
    <n v="6835128"/>
    <n v="284797"/>
    <n v="24371"/>
    <n v="44037"/>
    <n v="5.1700000000000003E-2"/>
    <n v="-0.5"/>
    <n v="1"/>
    <x v="0"/>
    <x v="1"/>
  </r>
  <r>
    <s v="SM_101108"/>
    <x v="0"/>
    <s v="image"/>
    <s v="Entertainment"/>
    <s v="en"/>
    <s v="US"/>
    <d v="2024-03-06T00:00:00"/>
    <s v="#ai #tech #music"/>
    <n v="10152340"/>
    <n v="461470"/>
    <n v="30148"/>
    <n v="29426"/>
    <n v="5.1299999999999998E-2"/>
    <n v="-0.33600000000000002"/>
    <n v="1"/>
    <x v="0"/>
    <x v="1"/>
  </r>
  <r>
    <s v="SM_101109"/>
    <x v="0"/>
    <s v="carousel"/>
    <s v="Politics"/>
    <s v="fr"/>
    <s v="Brazil"/>
    <d v="2024-02-17T00:00:00"/>
    <s v="#viral #funny #music #news"/>
    <n v="92956"/>
    <n v="5468"/>
    <n v="4626"/>
    <n v="58830"/>
    <n v="0.74150000000000005"/>
    <n v="-0.55200000000000005"/>
    <n v="0"/>
    <x v="1"/>
    <x v="1"/>
  </r>
  <r>
    <s v="SM_101110"/>
    <x v="0"/>
    <s v="text"/>
    <s v="Education"/>
    <s v="en"/>
    <s v="Pakistan"/>
    <d v="2024-06-06T00:00:00"/>
    <s v="#tech #music #viral #funny #news"/>
    <n v="674521"/>
    <n v="29327"/>
    <n v="43899"/>
    <n v="7567"/>
    <n v="0.1198"/>
    <n v="0.54700000000000004"/>
    <n v="0"/>
    <x v="1"/>
    <x v="0"/>
  </r>
  <r>
    <s v="SM_101111"/>
    <x v="3"/>
    <s v="text"/>
    <s v="Technology"/>
    <s v="hi"/>
    <s v="US"/>
    <d v="2024-06-24T00:00:00"/>
    <s v="#funny #tech"/>
    <n v="8576442"/>
    <n v="408402"/>
    <n v="17392"/>
    <n v="27043"/>
    <n v="5.28E-2"/>
    <n v="0.29599999999999999"/>
    <n v="1"/>
    <x v="0"/>
    <x v="0"/>
  </r>
  <r>
    <s v="SM_101112"/>
    <x v="1"/>
    <s v="image"/>
    <s v="Entertainment"/>
    <s v="fr"/>
    <s v="US"/>
    <d v="2024-08-09T00:00:00"/>
    <s v="#news #trending #viral"/>
    <n v="2989900"/>
    <n v="149495"/>
    <n v="18024"/>
    <n v="75427"/>
    <n v="8.1299999999999997E-2"/>
    <n v="-0.90600000000000003"/>
    <n v="1"/>
    <x v="0"/>
    <x v="1"/>
  </r>
  <r>
    <s v="SM_101113"/>
    <x v="3"/>
    <s v="video"/>
    <s v="Lifestyle"/>
    <s v="es"/>
    <s v="US"/>
    <d v="2024-06-02T00:00:00"/>
    <s v="#tech #trending"/>
    <n v="3401673"/>
    <n v="309243"/>
    <n v="22913"/>
    <n v="61585"/>
    <n v="0.1157"/>
    <n v="-0.48899999999999999"/>
    <n v="1"/>
    <x v="0"/>
    <x v="1"/>
  </r>
  <r>
    <s v="SM_101114"/>
    <x v="1"/>
    <s v="image"/>
    <s v="Entertainment"/>
    <s v="en"/>
    <s v="India"/>
    <d v="2024-03-19T00:00:00"/>
    <s v="#viral #funny #trending #fyp"/>
    <n v="1352992"/>
    <n v="169124"/>
    <n v="35175"/>
    <n v="37664"/>
    <n v="0.17879999999999999"/>
    <n v="-0.17399999999999999"/>
    <n v="0"/>
    <x v="1"/>
    <x v="1"/>
  </r>
  <r>
    <s v="SM_101115"/>
    <x v="0"/>
    <s v="video"/>
    <s v="Technology"/>
    <s v="hi"/>
    <s v="US"/>
    <d v="2024-08-04T00:00:00"/>
    <s v="#trending #funny"/>
    <n v="1611909"/>
    <n v="179101"/>
    <n v="9348"/>
    <n v="76174"/>
    <n v="0.16420000000000001"/>
    <n v="-0.86"/>
    <n v="0"/>
    <x v="1"/>
    <x v="1"/>
  </r>
  <r>
    <s v="SM_101116"/>
    <x v="3"/>
    <s v="video"/>
    <s v="Education"/>
    <s v="ur"/>
    <s v="Pakistan"/>
    <d v="2024-05-09T00:00:00"/>
    <s v="#music #tech"/>
    <n v="3565460"/>
    <n v="178273"/>
    <n v="3912"/>
    <n v="99112"/>
    <n v="7.8899999999999998E-2"/>
    <n v="0.65500000000000003"/>
    <n v="1"/>
    <x v="0"/>
    <x v="0"/>
  </r>
  <r>
    <s v="SM_101117"/>
    <x v="2"/>
    <s v="video"/>
    <s v="Education"/>
    <s v="fr"/>
    <s v="Pakistan"/>
    <d v="2024-02-09T00:00:00"/>
    <s v="#trending #music #news #tech #funny"/>
    <n v="3295025"/>
    <n v="193825"/>
    <n v="13704"/>
    <n v="91420"/>
    <n v="9.0700000000000003E-2"/>
    <n v="0.42"/>
    <n v="1"/>
    <x v="0"/>
    <x v="0"/>
  </r>
  <r>
    <s v="SM_101118"/>
    <x v="1"/>
    <s v="text"/>
    <s v="Education"/>
    <s v="es"/>
    <s v="UK"/>
    <d v="2024-01-28T00:00:00"/>
    <s v="#funny #music #news"/>
    <n v="3120936"/>
    <n v="111462"/>
    <n v="49914"/>
    <n v="28808"/>
    <n v="6.0900000000000003E-2"/>
    <n v="0.93700000000000006"/>
    <n v="1"/>
    <x v="0"/>
    <x v="0"/>
  </r>
  <r>
    <s v="SM_101119"/>
    <x v="2"/>
    <s v="image"/>
    <s v="Politics"/>
    <s v="ur"/>
    <s v="US"/>
    <d v="2024-09-14T00:00:00"/>
    <s v="#news #funny"/>
    <n v="1014050"/>
    <n v="59650"/>
    <n v="14541"/>
    <n v="3559"/>
    <n v="7.6700000000000004E-2"/>
    <n v="0.67300000000000004"/>
    <n v="0"/>
    <x v="1"/>
    <x v="0"/>
  </r>
  <r>
    <s v="SM_101120"/>
    <x v="3"/>
    <s v="carousel"/>
    <s v="Sports"/>
    <s v="hi"/>
    <s v="India"/>
    <d v="2024-04-03T00:00:00"/>
    <s v="#funny #music #trending #ai"/>
    <n v="4302150"/>
    <n v="187050"/>
    <n v="36348"/>
    <n v="58220"/>
    <n v="6.5500000000000003E-2"/>
    <n v="-0.24099999999999999"/>
    <n v="1"/>
    <x v="0"/>
    <x v="1"/>
  </r>
  <r>
    <s v="SM_101121"/>
    <x v="0"/>
    <s v="text"/>
    <s v="Lifestyle"/>
    <s v="hi"/>
    <s v="Brazil"/>
    <d v="2024-05-13T00:00:00"/>
    <s v="#funny #fyp #tech #viral #trending"/>
    <n v="3515456"/>
    <n v="251104"/>
    <n v="39892"/>
    <n v="53219"/>
    <n v="9.7900000000000001E-2"/>
    <n v="-0.37"/>
    <n v="1"/>
    <x v="0"/>
    <x v="1"/>
  </r>
  <r>
    <s v="SM_101122"/>
    <x v="3"/>
    <s v="image"/>
    <s v="Politics"/>
    <s v="en"/>
    <s v="Brazil"/>
    <d v="2024-02-01T00:00:00"/>
    <s v="#trending #viral #music #tech"/>
    <n v="3953191"/>
    <n v="359381"/>
    <n v="38089"/>
    <n v="81781"/>
    <n v="0.1212"/>
    <n v="0.46300000000000002"/>
    <n v="1"/>
    <x v="0"/>
    <x v="0"/>
  </r>
  <r>
    <s v="SM_101123"/>
    <x v="0"/>
    <s v="carousel"/>
    <s v="Sports"/>
    <s v="hi"/>
    <s v="Pakistan"/>
    <d v="2024-05-30T00:00:00"/>
    <s v="#music #funny #viral #fyp"/>
    <n v="1002618"/>
    <n v="37134"/>
    <n v="40322"/>
    <n v="55469"/>
    <n v="0.1326"/>
    <n v="0.66600000000000004"/>
    <n v="0"/>
    <x v="1"/>
    <x v="0"/>
  </r>
  <r>
    <s v="SM_101124"/>
    <x v="0"/>
    <s v="carousel"/>
    <s v="Education"/>
    <s v="fr"/>
    <s v="Brazil"/>
    <d v="2024-04-29T00:00:00"/>
    <s v="#ai #viral #news #music #tech"/>
    <n v="1031778"/>
    <n v="57321"/>
    <n v="1662"/>
    <n v="98301"/>
    <n v="0.15240000000000001"/>
    <n v="-0.78500000000000003"/>
    <n v="0"/>
    <x v="1"/>
    <x v="1"/>
  </r>
  <r>
    <s v="SM_101125"/>
    <x v="3"/>
    <s v="image"/>
    <s v="Entertainment"/>
    <s v="en"/>
    <s v="Pakistan"/>
    <d v="2024-01-06T00:00:00"/>
    <s v="#funny #trending #tech"/>
    <n v="3715712"/>
    <n v="265408"/>
    <n v="27547"/>
    <n v="83974"/>
    <n v="0.1014"/>
    <n v="0.68799999999999994"/>
    <n v="1"/>
    <x v="0"/>
    <x v="0"/>
  </r>
  <r>
    <s v="SM_101126"/>
    <x v="1"/>
    <s v="video"/>
    <s v="Technology"/>
    <s v="hi"/>
    <s v="Pakistan"/>
    <d v="2024-08-02T00:00:00"/>
    <s v="#trending #viral #music #funny"/>
    <n v="456291"/>
    <n v="50699"/>
    <n v="6014"/>
    <n v="4553"/>
    <n v="0.1343"/>
    <n v="0.80300000000000005"/>
    <n v="0"/>
    <x v="1"/>
    <x v="0"/>
  </r>
  <r>
    <s v="SM_101127"/>
    <x v="3"/>
    <s v="carousel"/>
    <s v="Education"/>
    <s v="es"/>
    <s v="US"/>
    <d v="2024-03-08T00:00:00"/>
    <s v="#news #funny #viral #fyp"/>
    <n v="478149"/>
    <n v="68307"/>
    <n v="6524"/>
    <n v="78271"/>
    <n v="0.32019999999999998"/>
    <n v="0.65700000000000003"/>
    <n v="0"/>
    <x v="1"/>
    <x v="0"/>
  </r>
  <r>
    <s v="SM_101128"/>
    <x v="3"/>
    <s v="text"/>
    <s v="Lifestyle"/>
    <s v="en"/>
    <s v="Pakistan"/>
    <d v="2024-05-22T00:00:00"/>
    <s v="#trending #news #fyp #tech #funny"/>
    <n v="2661488"/>
    <n v="332686"/>
    <n v="30101"/>
    <n v="40032"/>
    <n v="0.15140000000000001"/>
    <n v="-0.35099999999999998"/>
    <n v="1"/>
    <x v="0"/>
    <x v="1"/>
  </r>
  <r>
    <s v="SM_101129"/>
    <x v="2"/>
    <s v="video"/>
    <s v="Sports"/>
    <s v="fr"/>
    <s v="Pakistan"/>
    <d v="2024-10-15T00:00:00"/>
    <s v="#viral #news #trending #tech #funny"/>
    <n v="395604"/>
    <n v="43956"/>
    <n v="33581"/>
    <n v="41939"/>
    <n v="0.30199999999999999"/>
    <n v="0.71399999999999997"/>
    <n v="0"/>
    <x v="1"/>
    <x v="0"/>
  </r>
  <r>
    <s v="SM_101130"/>
    <x v="1"/>
    <s v="image"/>
    <s v="Politics"/>
    <s v="hi"/>
    <s v="Pakistan"/>
    <d v="2024-06-16T00:00:00"/>
    <s v="#viral #fyp #funny #news #trending"/>
    <n v="12768574"/>
    <n v="491099"/>
    <n v="43466"/>
    <n v="93475"/>
    <n v="4.9200000000000001E-2"/>
    <n v="-0.73499999999999999"/>
    <n v="1"/>
    <x v="0"/>
    <x v="1"/>
  </r>
  <r>
    <s v="SM_101131"/>
    <x v="3"/>
    <s v="image"/>
    <s v="Technology"/>
    <s v="hi"/>
    <s v="Pakistan"/>
    <d v="2024-10-05T00:00:00"/>
    <s v="#fyp #ai"/>
    <n v="3229335"/>
    <n v="215289"/>
    <n v="14196"/>
    <n v="84727"/>
    <n v="9.7299999999999998E-2"/>
    <n v="-9.0999999999999998E-2"/>
    <n v="1"/>
    <x v="0"/>
    <x v="1"/>
  </r>
  <r>
    <s v="SM_101132"/>
    <x v="0"/>
    <s v="image"/>
    <s v="Entertainment"/>
    <s v="es"/>
    <s v="UK"/>
    <d v="2024-07-10T00:00:00"/>
    <s v="#tech #funny #viral #ai"/>
    <n v="2606288"/>
    <n v="162893"/>
    <n v="13709"/>
    <n v="56636"/>
    <n v="8.9499999999999996E-2"/>
    <n v="0.31900000000000001"/>
    <n v="1"/>
    <x v="0"/>
    <x v="0"/>
  </r>
  <r>
    <s v="SM_101133"/>
    <x v="3"/>
    <s v="text"/>
    <s v="Sports"/>
    <s v="en"/>
    <s v="Pakistan"/>
    <d v="2024-11-02T00:00:00"/>
    <s v="#ai #news #funny #fyp"/>
    <n v="3199092"/>
    <n v="246084"/>
    <n v="47221"/>
    <n v="80123"/>
    <n v="0.1167"/>
    <n v="-0.60399999999999998"/>
    <n v="1"/>
    <x v="0"/>
    <x v="1"/>
  </r>
  <r>
    <s v="SM_101134"/>
    <x v="2"/>
    <s v="text"/>
    <s v="Entertainment"/>
    <s v="hi"/>
    <s v="India"/>
    <d v="2024-02-27T00:00:00"/>
    <s v="#news #tech #viral"/>
    <n v="707733"/>
    <n v="78637"/>
    <n v="16513"/>
    <n v="85167"/>
    <n v="0.25480000000000003"/>
    <n v="-0.38600000000000001"/>
    <n v="0"/>
    <x v="1"/>
    <x v="1"/>
  </r>
  <r>
    <s v="SM_101135"/>
    <x v="1"/>
    <s v="text"/>
    <s v="Lifestyle"/>
    <s v="en"/>
    <s v="Brazil"/>
    <d v="2024-07-08T00:00:00"/>
    <s v="#trending #viral"/>
    <n v="8948791"/>
    <n v="308579"/>
    <n v="46811"/>
    <n v="77854"/>
    <n v="4.8399999999999999E-2"/>
    <n v="-0.68"/>
    <n v="1"/>
    <x v="0"/>
    <x v="1"/>
  </r>
  <r>
    <s v="SM_101136"/>
    <x v="2"/>
    <s v="carousel"/>
    <s v="Education"/>
    <s v="ur"/>
    <s v="US"/>
    <d v="2024-11-16T00:00:00"/>
    <s v="#tech #news #ai #funny"/>
    <n v="4731408"/>
    <n v="163152"/>
    <n v="23804"/>
    <n v="94703"/>
    <n v="5.9499999999999997E-2"/>
    <n v="0.59399999999999997"/>
    <n v="1"/>
    <x v="0"/>
    <x v="0"/>
  </r>
  <r>
    <s v="SM_101137"/>
    <x v="0"/>
    <s v="image"/>
    <s v="Technology"/>
    <s v="es"/>
    <s v="Pakistan"/>
    <d v="2024-03-27T00:00:00"/>
    <s v="#trending #fyp #music"/>
    <n v="12927519"/>
    <n v="478797"/>
    <n v="25597"/>
    <n v="28142"/>
    <n v="4.1200000000000001E-2"/>
    <n v="0.61"/>
    <n v="1"/>
    <x v="0"/>
    <x v="0"/>
  </r>
  <r>
    <s v="SM_101138"/>
    <x v="2"/>
    <s v="image"/>
    <s v="Lifestyle"/>
    <s v="es"/>
    <s v="Brazil"/>
    <d v="2024-08-26T00:00:00"/>
    <s v="#fyp #trending #funny"/>
    <n v="2386848"/>
    <n v="99452"/>
    <n v="25938"/>
    <n v="77155"/>
    <n v="8.4900000000000003E-2"/>
    <n v="-0.32900000000000001"/>
    <n v="1"/>
    <x v="0"/>
    <x v="1"/>
  </r>
  <r>
    <s v="SM_101139"/>
    <x v="2"/>
    <s v="image"/>
    <s v="Sports"/>
    <s v="hi"/>
    <s v="India"/>
    <d v="2024-05-04T00:00:00"/>
    <s v="#news #fyp #music #viral #trending"/>
    <n v="1625955"/>
    <n v="108397"/>
    <n v="10343"/>
    <n v="38347"/>
    <n v="9.6600000000000005E-2"/>
    <n v="0.66"/>
    <n v="0"/>
    <x v="1"/>
    <x v="0"/>
  </r>
  <r>
    <s v="SM_101140"/>
    <x v="0"/>
    <s v="carousel"/>
    <s v="Lifestyle"/>
    <s v="en"/>
    <s v="Brazil"/>
    <d v="2024-10-20T00:00:00"/>
    <s v="#tech #ai"/>
    <n v="1086723"/>
    <n v="40249"/>
    <n v="21169"/>
    <n v="27527"/>
    <n v="8.1799999999999998E-2"/>
    <n v="-0.47099999999999997"/>
    <n v="0"/>
    <x v="1"/>
    <x v="1"/>
  </r>
  <r>
    <s v="SM_101141"/>
    <x v="0"/>
    <s v="video"/>
    <s v="Politics"/>
    <s v="es"/>
    <s v="UK"/>
    <d v="2024-03-27T00:00:00"/>
    <s v="#fyp #trending #tech #music #viral"/>
    <n v="7388688"/>
    <n v="461793"/>
    <n v="5700"/>
    <n v="39170"/>
    <n v="6.8599999999999994E-2"/>
    <n v="-0.92800000000000005"/>
    <n v="1"/>
    <x v="0"/>
    <x v="1"/>
  </r>
  <r>
    <s v="SM_101142"/>
    <x v="0"/>
    <s v="image"/>
    <s v="Sports"/>
    <s v="es"/>
    <s v="Brazil"/>
    <d v="2024-08-06T00:00:00"/>
    <s v="#fyp #music #trending #ai"/>
    <n v="2350875"/>
    <n v="156725"/>
    <n v="38970"/>
    <n v="60411"/>
    <n v="0.1089"/>
    <n v="-0.16"/>
    <n v="1"/>
    <x v="0"/>
    <x v="1"/>
  </r>
  <r>
    <s v="SM_101143"/>
    <x v="0"/>
    <s v="carousel"/>
    <s v="Politics"/>
    <s v="hi"/>
    <s v="India"/>
    <d v="2024-04-28T00:00:00"/>
    <s v="#trending #tech #funny #ai #viral"/>
    <n v="3723960"/>
    <n v="186198"/>
    <n v="8383"/>
    <n v="1882"/>
    <n v="5.28E-2"/>
    <n v="-0.97699999999999998"/>
    <n v="1"/>
    <x v="0"/>
    <x v="1"/>
  </r>
  <r>
    <s v="SM_101144"/>
    <x v="1"/>
    <s v="carousel"/>
    <s v="Education"/>
    <s v="ur"/>
    <s v="US"/>
    <d v="2024-09-15T00:00:00"/>
    <s v="#ai #news #fyp"/>
    <n v="1506909"/>
    <n v="79311"/>
    <n v="4591"/>
    <n v="25007"/>
    <n v="7.2300000000000003E-2"/>
    <n v="-0.91900000000000004"/>
    <n v="0"/>
    <x v="1"/>
    <x v="1"/>
  </r>
  <r>
    <s v="SM_101145"/>
    <x v="0"/>
    <s v="text"/>
    <s v="Technology"/>
    <s v="fr"/>
    <s v="Brazil"/>
    <d v="2024-09-25T00:00:00"/>
    <s v="#music #fyp"/>
    <n v="3278200"/>
    <n v="409775"/>
    <n v="32448"/>
    <n v="42317"/>
    <n v="0.14779999999999999"/>
    <n v="0.94799999999999995"/>
    <n v="1"/>
    <x v="0"/>
    <x v="0"/>
  </r>
  <r>
    <s v="SM_101146"/>
    <x v="2"/>
    <s v="carousel"/>
    <s v="Education"/>
    <s v="ur"/>
    <s v="US"/>
    <d v="2024-01-02T00:00:00"/>
    <s v="#ai #trending"/>
    <n v="753407"/>
    <n v="39653"/>
    <n v="48606"/>
    <n v="4923"/>
    <n v="0.1237"/>
    <n v="-0.45700000000000002"/>
    <n v="0"/>
    <x v="1"/>
    <x v="1"/>
  </r>
  <r>
    <s v="SM_101147"/>
    <x v="3"/>
    <s v="carousel"/>
    <s v="Lifestyle"/>
    <s v="en"/>
    <s v="Pakistan"/>
    <d v="2024-02-06T00:00:00"/>
    <s v="#music #ai"/>
    <n v="3531000"/>
    <n v="294250"/>
    <n v="31427"/>
    <n v="12206"/>
    <n v="9.5699999999999993E-2"/>
    <n v="-0.81399999999999995"/>
    <n v="1"/>
    <x v="0"/>
    <x v="1"/>
  </r>
  <r>
    <s v="SM_101148"/>
    <x v="0"/>
    <s v="carousel"/>
    <s v="Entertainment"/>
    <s v="hi"/>
    <s v="Pakistan"/>
    <d v="2024-04-07T00:00:00"/>
    <s v="#funny #viral #tech #news"/>
    <n v="8606640"/>
    <n v="409840"/>
    <n v="28207"/>
    <n v="65553"/>
    <n v="5.8500000000000003E-2"/>
    <n v="-0.54800000000000004"/>
    <n v="1"/>
    <x v="0"/>
    <x v="1"/>
  </r>
  <r>
    <s v="SM_101149"/>
    <x v="0"/>
    <s v="image"/>
    <s v="Technology"/>
    <s v="en"/>
    <s v="Brazil"/>
    <d v="2024-04-24T00:00:00"/>
    <s v="#funny #tech #news #ai #fyp"/>
    <n v="3830880"/>
    <n v="191544"/>
    <n v="25100"/>
    <n v="38725"/>
    <n v="6.6699999999999995E-2"/>
    <n v="-0.61399999999999999"/>
    <n v="1"/>
    <x v="0"/>
    <x v="1"/>
  </r>
  <r>
    <s v="SM_101150"/>
    <x v="0"/>
    <s v="text"/>
    <s v="Education"/>
    <s v="ur"/>
    <s v="UK"/>
    <d v="2024-03-01T00:00:00"/>
    <s v="#funny #music #ai #trending #tech"/>
    <n v="1518992"/>
    <n v="94937"/>
    <n v="26465"/>
    <n v="97455"/>
    <n v="0.14410000000000001"/>
    <n v="-0.42499999999999999"/>
    <n v="0"/>
    <x v="1"/>
    <x v="1"/>
  </r>
  <r>
    <s v="SM_101151"/>
    <x v="1"/>
    <s v="image"/>
    <s v="Technology"/>
    <s v="hi"/>
    <s v="Pakistan"/>
    <d v="2024-06-05T00:00:00"/>
    <s v="#news #funny #viral"/>
    <n v="6053530"/>
    <n v="356090"/>
    <n v="22932"/>
    <n v="66631"/>
    <n v="7.3599999999999999E-2"/>
    <n v="0.74099999999999999"/>
    <n v="1"/>
    <x v="0"/>
    <x v="0"/>
  </r>
  <r>
    <s v="SM_101152"/>
    <x v="1"/>
    <s v="video"/>
    <s v="Entertainment"/>
    <s v="ur"/>
    <s v="UK"/>
    <d v="2024-08-02T00:00:00"/>
    <s v="#music #tech"/>
    <n v="4386720"/>
    <n v="230880"/>
    <n v="23329"/>
    <n v="86211"/>
    <n v="7.7600000000000002E-2"/>
    <n v="-0.21099999999999999"/>
    <n v="1"/>
    <x v="0"/>
    <x v="1"/>
  </r>
  <r>
    <s v="SM_101153"/>
    <x v="1"/>
    <s v="image"/>
    <s v="Entertainment"/>
    <s v="en"/>
    <s v="US"/>
    <d v="2024-06-02T00:00:00"/>
    <s v="#trending #ai #fyp #viral #funny"/>
    <n v="2007278"/>
    <n v="143377"/>
    <n v="24343"/>
    <n v="12749"/>
    <n v="8.9899999999999994E-2"/>
    <n v="-0.58299999999999996"/>
    <n v="1"/>
    <x v="0"/>
    <x v="1"/>
  </r>
  <r>
    <s v="SM_101154"/>
    <x v="3"/>
    <s v="text"/>
    <s v="Technology"/>
    <s v="fr"/>
    <s v="Pakistan"/>
    <d v="2024-04-20T00:00:00"/>
    <s v="#trending #viral #tech #news"/>
    <n v="547008"/>
    <n v="22792"/>
    <n v="23867"/>
    <n v="90397"/>
    <n v="0.25059999999999999"/>
    <n v="0.46800000000000003"/>
    <n v="0"/>
    <x v="1"/>
    <x v="0"/>
  </r>
  <r>
    <s v="SM_101155"/>
    <x v="2"/>
    <s v="image"/>
    <s v="Lifestyle"/>
    <s v="ur"/>
    <s v="US"/>
    <d v="2024-11-09T00:00:00"/>
    <s v="#fyp #ai #news #funny #viral"/>
    <n v="130676"/>
    <n v="5026"/>
    <n v="25768"/>
    <n v="3970"/>
    <n v="0.26600000000000001"/>
    <n v="-0.749"/>
    <n v="0"/>
    <x v="1"/>
    <x v="1"/>
  </r>
  <r>
    <s v="SM_101156"/>
    <x v="3"/>
    <s v="carousel"/>
    <s v="Sports"/>
    <s v="en"/>
    <s v="US"/>
    <d v="2024-01-07T00:00:00"/>
    <s v="#news #fyp #ai"/>
    <n v="2214981"/>
    <n v="130293"/>
    <n v="39881"/>
    <n v="20324"/>
    <n v="8.5999999999999993E-2"/>
    <n v="-0.32500000000000001"/>
    <n v="1"/>
    <x v="0"/>
    <x v="1"/>
  </r>
  <r>
    <s v="SM_101157"/>
    <x v="1"/>
    <s v="carousel"/>
    <s v="Entertainment"/>
    <s v="hi"/>
    <s v="UK"/>
    <d v="2024-11-27T00:00:00"/>
    <s v="#music #viral #trending #ai #fyp"/>
    <n v="2611072"/>
    <n v="326384"/>
    <n v="41794"/>
    <n v="83830"/>
    <n v="0.1731"/>
    <n v="0.77200000000000002"/>
    <n v="1"/>
    <x v="0"/>
    <x v="0"/>
  </r>
  <r>
    <s v="SM_101158"/>
    <x v="1"/>
    <s v="image"/>
    <s v="Politics"/>
    <s v="es"/>
    <s v="Pakistan"/>
    <d v="2024-07-17T00:00:00"/>
    <s v="#trending #viral #fyp #funny"/>
    <n v="3354923"/>
    <n v="258071"/>
    <n v="30067"/>
    <n v="66468"/>
    <n v="0.1057"/>
    <n v="-0.54"/>
    <n v="1"/>
    <x v="0"/>
    <x v="1"/>
  </r>
  <r>
    <s v="SM_101159"/>
    <x v="1"/>
    <s v="image"/>
    <s v="Politics"/>
    <s v="hi"/>
    <s v="US"/>
    <d v="2024-05-31T00:00:00"/>
    <s v="#ai #tech #news"/>
    <n v="5062416"/>
    <n v="210934"/>
    <n v="13866"/>
    <n v="96838"/>
    <n v="6.3500000000000001E-2"/>
    <n v="0.34499999999999997"/>
    <n v="1"/>
    <x v="0"/>
    <x v="0"/>
  </r>
  <r>
    <s v="SM_101160"/>
    <x v="3"/>
    <s v="video"/>
    <s v="Education"/>
    <s v="fr"/>
    <s v="UK"/>
    <d v="2024-07-09T00:00:00"/>
    <s v="#viral #news #funny"/>
    <n v="512224"/>
    <n v="64028"/>
    <n v="41112"/>
    <n v="83232"/>
    <n v="0.36780000000000002"/>
    <n v="-0.78900000000000003"/>
    <n v="0"/>
    <x v="1"/>
    <x v="1"/>
  </r>
  <r>
    <s v="SM_101161"/>
    <x v="2"/>
    <s v="carousel"/>
    <s v="Sports"/>
    <s v="ur"/>
    <s v="UK"/>
    <d v="2024-11-16T00:00:00"/>
    <s v="#news #funny"/>
    <n v="423960"/>
    <n v="28264"/>
    <n v="25496"/>
    <n v="59223"/>
    <n v="0.26650000000000001"/>
    <n v="-0.27900000000000003"/>
    <n v="0"/>
    <x v="1"/>
    <x v="1"/>
  </r>
  <r>
    <s v="SM_101162"/>
    <x v="0"/>
    <s v="image"/>
    <s v="Politics"/>
    <s v="ur"/>
    <s v="India"/>
    <d v="2024-06-10T00:00:00"/>
    <s v="#trending #news #music #fyp"/>
    <n v="453101"/>
    <n v="26653"/>
    <n v="44336"/>
    <n v="96034"/>
    <n v="0.36859999999999998"/>
    <n v="0.98499999999999999"/>
    <n v="0"/>
    <x v="1"/>
    <x v="0"/>
  </r>
  <r>
    <s v="SM_101163"/>
    <x v="0"/>
    <s v="text"/>
    <s v="Education"/>
    <s v="ur"/>
    <s v="UK"/>
    <d v="2024-02-17T00:00:00"/>
    <s v="#news #music #trending #viral"/>
    <n v="2528872"/>
    <n v="316109"/>
    <n v="46691"/>
    <n v="75911"/>
    <n v="0.17349999999999999"/>
    <n v="0.95499999999999996"/>
    <n v="1"/>
    <x v="0"/>
    <x v="0"/>
  </r>
  <r>
    <s v="SM_101164"/>
    <x v="1"/>
    <s v="carousel"/>
    <s v="Politics"/>
    <s v="hi"/>
    <s v="UK"/>
    <d v="2024-09-24T00:00:00"/>
    <s v="#fyp #news #funny #ai #music"/>
    <n v="7825290"/>
    <n v="340230"/>
    <n v="10685"/>
    <n v="10069"/>
    <n v="4.6100000000000002E-2"/>
    <n v="0.97"/>
    <n v="1"/>
    <x v="0"/>
    <x v="0"/>
  </r>
  <r>
    <s v="SM_101165"/>
    <x v="1"/>
    <s v="image"/>
    <s v="Entertainment"/>
    <s v="en"/>
    <s v="UK"/>
    <d v="2024-05-17T00:00:00"/>
    <s v="#tech #viral #ai #music #funny"/>
    <n v="6300744"/>
    <n v="262531"/>
    <n v="22342"/>
    <n v="20667"/>
    <n v="4.8500000000000001E-2"/>
    <n v="-0.107"/>
    <n v="1"/>
    <x v="0"/>
    <x v="1"/>
  </r>
  <r>
    <s v="SM_101166"/>
    <x v="0"/>
    <s v="carousel"/>
    <s v="Education"/>
    <s v="ur"/>
    <s v="Pakistan"/>
    <d v="2024-10-21T00:00:00"/>
    <s v="#funny #ai #viral #fyp #music"/>
    <n v="7258220"/>
    <n v="362911"/>
    <n v="24540"/>
    <n v="98065"/>
    <n v="6.6900000000000001E-2"/>
    <n v="0.28999999999999998"/>
    <n v="1"/>
    <x v="0"/>
    <x v="0"/>
  </r>
  <r>
    <s v="SM_101167"/>
    <x v="3"/>
    <s v="carousel"/>
    <s v="Lifestyle"/>
    <s v="fr"/>
    <s v="Brazil"/>
    <d v="2024-12-08T00:00:00"/>
    <s v="#tech #ai"/>
    <n v="11426072"/>
    <n v="408074"/>
    <n v="249"/>
    <n v="3179"/>
    <n v="3.5999999999999997E-2"/>
    <n v="0.64700000000000002"/>
    <n v="1"/>
    <x v="0"/>
    <x v="0"/>
  </r>
  <r>
    <s v="SM_101168"/>
    <x v="2"/>
    <s v="carousel"/>
    <s v="Entertainment"/>
    <s v="ur"/>
    <s v="India"/>
    <d v="2024-05-12T00:00:00"/>
    <s v="#tech #ai #trending #funny #music"/>
    <n v="3131694"/>
    <n v="164826"/>
    <n v="26632"/>
    <n v="52551"/>
    <n v="7.7899999999999997E-2"/>
    <n v="0.63700000000000001"/>
    <n v="1"/>
    <x v="0"/>
    <x v="0"/>
  </r>
  <r>
    <s v="SM_101169"/>
    <x v="3"/>
    <s v="carousel"/>
    <s v="Entertainment"/>
    <s v="hi"/>
    <s v="UK"/>
    <d v="2024-04-12T00:00:00"/>
    <s v="#viral #music #funny #ai"/>
    <n v="6431070"/>
    <n v="428738"/>
    <n v="11989"/>
    <n v="89313"/>
    <n v="8.2400000000000001E-2"/>
    <n v="0.98399999999999999"/>
    <n v="1"/>
    <x v="0"/>
    <x v="0"/>
  </r>
  <r>
    <s v="SM_101170"/>
    <x v="2"/>
    <s v="text"/>
    <s v="Lifestyle"/>
    <s v="fr"/>
    <s v="Pakistan"/>
    <d v="2024-06-08T00:00:00"/>
    <s v="#viral #ai #funny #fyp"/>
    <n v="10500"/>
    <n v="420"/>
    <n v="37427"/>
    <n v="94172"/>
    <n v="12.5732"/>
    <n v="0.53100000000000003"/>
    <n v="0"/>
    <x v="1"/>
    <x v="0"/>
  </r>
  <r>
    <s v="SM_101171"/>
    <x v="3"/>
    <s v="video"/>
    <s v="Sports"/>
    <s v="fr"/>
    <s v="US"/>
    <d v="2024-01-14T00:00:00"/>
    <s v="#news #tech #viral"/>
    <n v="3321640"/>
    <n v="415205"/>
    <n v="30318"/>
    <n v="98072"/>
    <n v="0.16370000000000001"/>
    <n v="-0.79400000000000004"/>
    <n v="1"/>
    <x v="0"/>
    <x v="1"/>
  </r>
  <r>
    <s v="SM_101172"/>
    <x v="1"/>
    <s v="carousel"/>
    <s v="Politics"/>
    <s v="en"/>
    <s v="Pakistan"/>
    <d v="2024-09-19T00:00:00"/>
    <s v="#ai #trending #news"/>
    <n v="6489555"/>
    <n v="432637"/>
    <n v="20431"/>
    <n v="41778"/>
    <n v="7.6300000000000007E-2"/>
    <n v="0.92800000000000005"/>
    <n v="1"/>
    <x v="0"/>
    <x v="0"/>
  </r>
  <r>
    <s v="SM_101173"/>
    <x v="1"/>
    <s v="text"/>
    <s v="Politics"/>
    <s v="hi"/>
    <s v="Brazil"/>
    <d v="2024-02-17T00:00:00"/>
    <s v="#ai #funny #fyp"/>
    <n v="4233236"/>
    <n v="302374"/>
    <n v="16400"/>
    <n v="49347"/>
    <n v="8.6999999999999994E-2"/>
    <n v="0.77900000000000003"/>
    <n v="1"/>
    <x v="0"/>
    <x v="0"/>
  </r>
  <r>
    <s v="SM_101174"/>
    <x v="3"/>
    <s v="carousel"/>
    <s v="Entertainment"/>
    <s v="es"/>
    <s v="US"/>
    <d v="2024-01-18T00:00:00"/>
    <s v="#trending #viral #tech #funny"/>
    <n v="6927860"/>
    <n v="346393"/>
    <n v="3014"/>
    <n v="89905"/>
    <n v="6.3399999999999998E-2"/>
    <n v="-0.98899999999999999"/>
    <n v="1"/>
    <x v="0"/>
    <x v="1"/>
  </r>
  <r>
    <s v="SM_101175"/>
    <x v="3"/>
    <s v="video"/>
    <s v="Sports"/>
    <s v="es"/>
    <s v="US"/>
    <d v="2024-10-20T00:00:00"/>
    <s v="#ai #trending"/>
    <n v="151290"/>
    <n v="15129"/>
    <n v="2082"/>
    <n v="79444"/>
    <n v="0.63890000000000002"/>
    <n v="-0.71299999999999997"/>
    <n v="0"/>
    <x v="1"/>
    <x v="1"/>
  </r>
  <r>
    <s v="SM_101176"/>
    <x v="0"/>
    <s v="carousel"/>
    <s v="Technology"/>
    <s v="en"/>
    <s v="US"/>
    <d v="2024-09-30T00:00:00"/>
    <s v="#tech #ai"/>
    <n v="4547242"/>
    <n v="324803"/>
    <n v="4878"/>
    <n v="8636"/>
    <n v="7.4399999999999994E-2"/>
    <n v="-0.53300000000000003"/>
    <n v="1"/>
    <x v="0"/>
    <x v="1"/>
  </r>
  <r>
    <s v="SM_101177"/>
    <x v="3"/>
    <s v="text"/>
    <s v="Politics"/>
    <s v="fr"/>
    <s v="Brazil"/>
    <d v="2024-07-03T00:00:00"/>
    <s v="#viral #music #ai #funny"/>
    <n v="9609184"/>
    <n v="369584"/>
    <n v="33788"/>
    <n v="34153"/>
    <n v="4.5499999999999999E-2"/>
    <n v="-0.56299999999999994"/>
    <n v="1"/>
    <x v="0"/>
    <x v="1"/>
  </r>
  <r>
    <s v="SM_101178"/>
    <x v="2"/>
    <s v="image"/>
    <s v="Entertainment"/>
    <s v="hi"/>
    <s v="US"/>
    <d v="2024-02-17T00:00:00"/>
    <s v="#news #ai #tech #music #viral"/>
    <n v="496264"/>
    <n v="29192"/>
    <n v="17658"/>
    <n v="98000"/>
    <n v="0.29189999999999999"/>
    <n v="0.21199999999999999"/>
    <n v="0"/>
    <x v="1"/>
    <x v="0"/>
  </r>
  <r>
    <s v="SM_101179"/>
    <x v="1"/>
    <s v="video"/>
    <s v="Sports"/>
    <s v="en"/>
    <s v="Brazil"/>
    <d v="2024-02-17T00:00:00"/>
    <s v="#viral #ai #trending"/>
    <n v="6974540"/>
    <n v="348727"/>
    <n v="29983"/>
    <n v="87593"/>
    <n v="6.6900000000000001E-2"/>
    <n v="-0.317"/>
    <n v="1"/>
    <x v="0"/>
    <x v="1"/>
  </r>
  <r>
    <s v="SM_101180"/>
    <x v="1"/>
    <s v="text"/>
    <s v="Politics"/>
    <s v="es"/>
    <s v="India"/>
    <d v="2024-06-04T00:00:00"/>
    <s v="#music #funny"/>
    <n v="712985"/>
    <n v="54845"/>
    <n v="44637"/>
    <n v="5544"/>
    <n v="0.14729999999999999"/>
    <n v="-6.9000000000000006E-2"/>
    <n v="0"/>
    <x v="1"/>
    <x v="1"/>
  </r>
  <r>
    <s v="SM_101181"/>
    <x v="3"/>
    <s v="text"/>
    <s v="Entertainment"/>
    <s v="fr"/>
    <s v="Brazil"/>
    <d v="2024-05-21T00:00:00"/>
    <s v="#fyp #music #trending"/>
    <n v="907120"/>
    <n v="45356"/>
    <n v="25102"/>
    <n v="69346"/>
    <n v="0.15409999999999999"/>
    <n v="-0.94399999999999995"/>
    <n v="0"/>
    <x v="1"/>
    <x v="1"/>
  </r>
  <r>
    <s v="SM_101182"/>
    <x v="0"/>
    <s v="text"/>
    <s v="Education"/>
    <s v="hi"/>
    <s v="India"/>
    <d v="2024-06-24T00:00:00"/>
    <s v="#tech #news #music #viral"/>
    <n v="2735689"/>
    <n v="118943"/>
    <n v="21062"/>
    <n v="28993"/>
    <n v="6.1800000000000001E-2"/>
    <n v="9.6000000000000002E-2"/>
    <n v="1"/>
    <x v="0"/>
    <x v="0"/>
  </r>
  <r>
    <s v="SM_101183"/>
    <x v="1"/>
    <s v="image"/>
    <s v="Lifestyle"/>
    <s v="en"/>
    <s v="UK"/>
    <d v="2024-06-24T00:00:00"/>
    <s v="#viral #trending #funny #news #fyp"/>
    <n v="10794351"/>
    <n v="372219"/>
    <n v="13215"/>
    <n v="83330"/>
    <n v="4.3400000000000001E-2"/>
    <n v="0.93100000000000005"/>
    <n v="1"/>
    <x v="0"/>
    <x v="0"/>
  </r>
  <r>
    <s v="SM_101184"/>
    <x v="2"/>
    <s v="image"/>
    <s v="Education"/>
    <s v="en"/>
    <s v="Brazil"/>
    <d v="2024-11-10T00:00:00"/>
    <s v="#music #fyp #viral #trending #ai"/>
    <n v="67968"/>
    <n v="7552"/>
    <n v="41491"/>
    <n v="14860"/>
    <n v="0.94020000000000004"/>
    <n v="0.154"/>
    <n v="0"/>
    <x v="1"/>
    <x v="0"/>
  </r>
  <r>
    <s v="SM_101185"/>
    <x v="1"/>
    <s v="video"/>
    <s v="Sports"/>
    <s v="en"/>
    <s v="India"/>
    <d v="2024-04-08T00:00:00"/>
    <s v="#music #fyp"/>
    <n v="8248800"/>
    <n v="329952"/>
    <n v="45931"/>
    <n v="16664"/>
    <n v="4.7600000000000003E-2"/>
    <n v="-0.86099999999999999"/>
    <n v="1"/>
    <x v="0"/>
    <x v="1"/>
  </r>
  <r>
    <s v="SM_101186"/>
    <x v="1"/>
    <s v="image"/>
    <s v="Sports"/>
    <s v="hi"/>
    <s v="US"/>
    <d v="2024-04-12T00:00:00"/>
    <s v="#trending #ai #fyp #viral #news"/>
    <n v="3983196"/>
    <n v="142257"/>
    <n v="30569"/>
    <n v="89746"/>
    <n v="6.59E-2"/>
    <n v="-0.318"/>
    <n v="1"/>
    <x v="0"/>
    <x v="1"/>
  </r>
  <r>
    <s v="SM_101187"/>
    <x v="0"/>
    <s v="image"/>
    <s v="Lifestyle"/>
    <s v="ur"/>
    <s v="Pakistan"/>
    <d v="2024-09-24T00:00:00"/>
    <s v="#news #tech #trending #funny"/>
    <n v="3546894"/>
    <n v="136419"/>
    <n v="10558"/>
    <n v="20812"/>
    <n v="4.7300000000000002E-2"/>
    <n v="-0.71299999999999997"/>
    <n v="1"/>
    <x v="0"/>
    <x v="1"/>
  </r>
  <r>
    <s v="SM_101188"/>
    <x v="3"/>
    <s v="carousel"/>
    <s v="Technology"/>
    <s v="hi"/>
    <s v="UK"/>
    <d v="2024-02-08T00:00:00"/>
    <s v="#tech #music #trending #ai"/>
    <n v="1587340"/>
    <n v="79367"/>
    <n v="7194"/>
    <n v="80078"/>
    <n v="0.105"/>
    <n v="0.98899999999999999"/>
    <n v="0"/>
    <x v="1"/>
    <x v="0"/>
  </r>
  <r>
    <s v="SM_101189"/>
    <x v="3"/>
    <s v="carousel"/>
    <s v="Entertainment"/>
    <s v="fr"/>
    <s v="UK"/>
    <d v="2024-02-14T00:00:00"/>
    <s v="#tech #news #viral"/>
    <n v="430296"/>
    <n v="53787"/>
    <n v="2781"/>
    <n v="27565"/>
    <n v="0.19550000000000001"/>
    <n v="0.22900000000000001"/>
    <n v="0"/>
    <x v="1"/>
    <x v="0"/>
  </r>
  <r>
    <s v="SM_101190"/>
    <x v="0"/>
    <s v="carousel"/>
    <s v="Sports"/>
    <s v="ur"/>
    <s v="US"/>
    <d v="2024-12-24T00:00:00"/>
    <s v="#news #viral #music #trending"/>
    <n v="1364505"/>
    <n v="80265"/>
    <n v="8391"/>
    <n v="17047"/>
    <n v="7.7499999999999999E-2"/>
    <n v="-0.45600000000000002"/>
    <n v="0"/>
    <x v="1"/>
    <x v="1"/>
  </r>
  <r>
    <s v="SM_101191"/>
    <x v="2"/>
    <s v="video"/>
    <s v="Entertainment"/>
    <s v="en"/>
    <s v="Pakistan"/>
    <d v="2024-09-14T00:00:00"/>
    <s v="#tech #funny #ai #fyp"/>
    <n v="9162648"/>
    <n v="398376"/>
    <n v="10905"/>
    <n v="60520"/>
    <n v="5.1299999999999998E-2"/>
    <n v="0.187"/>
    <n v="1"/>
    <x v="0"/>
    <x v="0"/>
  </r>
  <r>
    <s v="SM_101192"/>
    <x v="3"/>
    <s v="text"/>
    <s v="Politics"/>
    <s v="hi"/>
    <s v="Brazil"/>
    <d v="2024-03-07T00:00:00"/>
    <s v="#tech #news #music #ai"/>
    <n v="558112"/>
    <n v="34882"/>
    <n v="20178"/>
    <n v="78534"/>
    <n v="0.2394"/>
    <n v="-0.35299999999999998"/>
    <n v="0"/>
    <x v="1"/>
    <x v="1"/>
  </r>
  <r>
    <s v="SM_101193"/>
    <x v="0"/>
    <s v="text"/>
    <s v="Sports"/>
    <s v="fr"/>
    <s v="Pakistan"/>
    <d v="2024-03-30T00:00:00"/>
    <s v="#fyp #tech"/>
    <n v="1310112"/>
    <n v="72784"/>
    <n v="18753"/>
    <n v="79559"/>
    <n v="0.13059999999999999"/>
    <n v="-0.73099999999999998"/>
    <n v="0"/>
    <x v="1"/>
    <x v="1"/>
  </r>
  <r>
    <s v="SM_101194"/>
    <x v="1"/>
    <s v="image"/>
    <s v="Lifestyle"/>
    <s v="en"/>
    <s v="Brazil"/>
    <d v="2024-02-20T00:00:00"/>
    <s v="#ai #viral #funny #fyp #news"/>
    <n v="4779165"/>
    <n v="251535"/>
    <n v="25261"/>
    <n v="30006"/>
    <n v="6.4199999999999993E-2"/>
    <n v="-2E-3"/>
    <n v="1"/>
    <x v="0"/>
    <x v="1"/>
  </r>
  <r>
    <s v="SM_101195"/>
    <x v="3"/>
    <s v="video"/>
    <s v="Education"/>
    <s v="en"/>
    <s v="Pakistan"/>
    <d v="2024-12-20T00:00:00"/>
    <s v="#trending #ai #viral #fyp"/>
    <n v="2552256"/>
    <n v="106344"/>
    <n v="43121"/>
    <n v="36635"/>
    <n v="7.2900000000000006E-2"/>
    <n v="0.28999999999999998"/>
    <n v="1"/>
    <x v="0"/>
    <x v="0"/>
  </r>
  <r>
    <s v="SM_101196"/>
    <x v="3"/>
    <s v="video"/>
    <s v="Politics"/>
    <s v="en"/>
    <s v="Pakistan"/>
    <d v="2024-06-01T00:00:00"/>
    <s v="#tech #trending #ai"/>
    <n v="3557465"/>
    <n v="187235"/>
    <n v="22399"/>
    <n v="67790"/>
    <n v="7.8E-2"/>
    <n v="0.78200000000000003"/>
    <n v="1"/>
    <x v="0"/>
    <x v="0"/>
  </r>
  <r>
    <s v="SM_101197"/>
    <x v="2"/>
    <s v="carousel"/>
    <s v="Lifestyle"/>
    <s v="ur"/>
    <s v="Brazil"/>
    <d v="2024-12-20T00:00:00"/>
    <s v="#ai #news #fyp #tech #music"/>
    <n v="7598136"/>
    <n v="361816"/>
    <n v="40227"/>
    <n v="13667"/>
    <n v="5.4699999999999999E-2"/>
    <n v="0.109"/>
    <n v="1"/>
    <x v="0"/>
    <x v="0"/>
  </r>
  <r>
    <s v="SM_101198"/>
    <x v="0"/>
    <s v="carousel"/>
    <s v="Education"/>
    <s v="hi"/>
    <s v="India"/>
    <d v="2024-01-26T00:00:00"/>
    <s v="#tech #music #ai"/>
    <n v="1243596"/>
    <n v="103633"/>
    <n v="16314"/>
    <n v="69591"/>
    <n v="0.15240000000000001"/>
    <n v="0.78900000000000003"/>
    <n v="0"/>
    <x v="1"/>
    <x v="0"/>
  </r>
  <r>
    <s v="SM_101199"/>
    <x v="3"/>
    <s v="video"/>
    <s v="Lifestyle"/>
    <s v="en"/>
    <s v="US"/>
    <d v="2024-11-15T00:00:00"/>
    <s v="#ai #tech #fyp #trending #news"/>
    <n v="3055420"/>
    <n v="305542"/>
    <n v="48333"/>
    <n v="48925"/>
    <n v="0.1318"/>
    <n v="0.625"/>
    <n v="1"/>
    <x v="0"/>
    <x v="0"/>
  </r>
  <r>
    <s v="SM_101200"/>
    <x v="3"/>
    <s v="text"/>
    <s v="Sports"/>
    <s v="ur"/>
    <s v="India"/>
    <d v="2024-09-28T00:00:00"/>
    <s v="#trending #music #viral"/>
    <n v="690914"/>
    <n v="40642"/>
    <n v="20250"/>
    <n v="34754"/>
    <n v="0.1384"/>
    <n v="0.97799999999999998"/>
    <n v="0"/>
    <x v="1"/>
    <x v="0"/>
  </r>
  <r>
    <s v="SM_101201"/>
    <x v="1"/>
    <s v="image"/>
    <s v="Education"/>
    <s v="ur"/>
    <s v="UK"/>
    <d v="2024-08-02T00:00:00"/>
    <s v="#viral #trending #music"/>
    <n v="2289546"/>
    <n v="84798"/>
    <n v="15965"/>
    <n v="30792"/>
    <n v="5.7500000000000002E-2"/>
    <n v="-0.04"/>
    <n v="1"/>
    <x v="0"/>
    <x v="1"/>
  </r>
  <r>
    <s v="SM_101202"/>
    <x v="1"/>
    <s v="image"/>
    <s v="Technology"/>
    <s v="en"/>
    <s v="India"/>
    <d v="2024-11-22T00:00:00"/>
    <s v="#trending #viral #music"/>
    <n v="4900065"/>
    <n v="326671"/>
    <n v="46939"/>
    <n v="62048"/>
    <n v="8.8900000000000007E-2"/>
    <n v="0.65900000000000003"/>
    <n v="1"/>
    <x v="0"/>
    <x v="0"/>
  </r>
  <r>
    <s v="SM_101203"/>
    <x v="0"/>
    <s v="carousel"/>
    <s v="Technology"/>
    <s v="hi"/>
    <s v="India"/>
    <d v="2024-12-24T00:00:00"/>
    <s v="#music #viral #news #tech #ai"/>
    <n v="12264330"/>
    <n v="471705"/>
    <n v="4047"/>
    <n v="49053"/>
    <n v="4.2799999999999998E-2"/>
    <n v="0.747"/>
    <n v="1"/>
    <x v="0"/>
    <x v="0"/>
  </r>
  <r>
    <s v="SM_101204"/>
    <x v="2"/>
    <s v="carousel"/>
    <s v="Education"/>
    <s v="en"/>
    <s v="Pakistan"/>
    <d v="2024-01-02T00:00:00"/>
    <s v="#viral #tech"/>
    <n v="2571114"/>
    <n v="367302"/>
    <n v="28184"/>
    <n v="50734"/>
    <n v="0.1736"/>
    <n v="0.625"/>
    <n v="1"/>
    <x v="0"/>
    <x v="0"/>
  </r>
  <r>
    <s v="SM_101205"/>
    <x v="1"/>
    <s v="image"/>
    <s v="Politics"/>
    <s v="es"/>
    <s v="India"/>
    <d v="2024-05-04T00:00:00"/>
    <s v="#news #tech #viral"/>
    <n v="789265"/>
    <n v="157853"/>
    <n v="23993"/>
    <n v="81007"/>
    <n v="0.33300000000000002"/>
    <n v="-0.19500000000000001"/>
    <n v="0"/>
    <x v="1"/>
    <x v="1"/>
  </r>
  <r>
    <s v="SM_101206"/>
    <x v="2"/>
    <s v="text"/>
    <s v="Technology"/>
    <s v="fr"/>
    <s v="Pakistan"/>
    <d v="2024-08-05T00:00:00"/>
    <s v="#viral #tech #news"/>
    <n v="1884160"/>
    <n v="94208"/>
    <n v="7498"/>
    <n v="69640"/>
    <n v="9.0899999999999995E-2"/>
    <n v="-0.73399999999999999"/>
    <n v="0"/>
    <x v="1"/>
    <x v="1"/>
  </r>
  <r>
    <s v="SM_101207"/>
    <x v="2"/>
    <s v="video"/>
    <s v="Sports"/>
    <s v="fr"/>
    <s v="US"/>
    <d v="2024-07-03T00:00:00"/>
    <s v="#tech #fyp #music"/>
    <n v="4951648"/>
    <n v="309478"/>
    <n v="47296"/>
    <n v="92869"/>
    <n v="9.0800000000000006E-2"/>
    <n v="0.38700000000000001"/>
    <n v="1"/>
    <x v="0"/>
    <x v="0"/>
  </r>
  <r>
    <s v="SM_101208"/>
    <x v="2"/>
    <s v="carousel"/>
    <s v="Education"/>
    <s v="ur"/>
    <s v="Brazil"/>
    <d v="2024-05-21T00:00:00"/>
    <s v="#ai #music #tech #fyp #viral"/>
    <n v="1717888"/>
    <n v="214736"/>
    <n v="35917"/>
    <n v="79527"/>
    <n v="0.19220000000000001"/>
    <n v="-0.14799999999999999"/>
    <n v="0"/>
    <x v="1"/>
    <x v="1"/>
  </r>
  <r>
    <s v="SM_101209"/>
    <x v="3"/>
    <s v="image"/>
    <s v="Education"/>
    <s v="hi"/>
    <s v="US"/>
    <d v="2024-03-21T00:00:00"/>
    <s v="#ai #fyp #tech"/>
    <n v="4036310"/>
    <n v="237430"/>
    <n v="40042"/>
    <n v="7131"/>
    <n v="7.0499999999999993E-2"/>
    <n v="0.56100000000000005"/>
    <n v="1"/>
    <x v="0"/>
    <x v="0"/>
  </r>
  <r>
    <s v="SM_101210"/>
    <x v="3"/>
    <s v="video"/>
    <s v="Technology"/>
    <s v="en"/>
    <s v="US"/>
    <d v="2024-01-12T00:00:00"/>
    <s v="#tech #news #fyp"/>
    <n v="5659368"/>
    <n v="235807"/>
    <n v="46170"/>
    <n v="17884"/>
    <n v="5.2999999999999999E-2"/>
    <n v="-1.6E-2"/>
    <n v="1"/>
    <x v="0"/>
    <x v="1"/>
  </r>
  <r>
    <s v="SM_101211"/>
    <x v="3"/>
    <s v="text"/>
    <s v="Education"/>
    <s v="en"/>
    <s v="US"/>
    <d v="2024-04-13T00:00:00"/>
    <s v="#fyp #news #music #ai"/>
    <n v="10910040"/>
    <n v="454585"/>
    <n v="10455"/>
    <n v="85960"/>
    <n v="5.0500000000000003E-2"/>
    <n v="0.10199999999999999"/>
    <n v="1"/>
    <x v="0"/>
    <x v="0"/>
  </r>
  <r>
    <s v="SM_101212"/>
    <x v="2"/>
    <s v="carousel"/>
    <s v="Politics"/>
    <s v="es"/>
    <s v="India"/>
    <d v="2024-07-09T00:00:00"/>
    <s v="#trending #news #funny #fyp #viral"/>
    <n v="468207"/>
    <n v="17341"/>
    <n v="23159"/>
    <n v="25626"/>
    <n v="0.14119999999999999"/>
    <n v="0.17100000000000001"/>
    <n v="0"/>
    <x v="1"/>
    <x v="0"/>
  </r>
  <r>
    <s v="SM_101213"/>
    <x v="3"/>
    <s v="carousel"/>
    <s v="Lifestyle"/>
    <s v="en"/>
    <s v="US"/>
    <d v="2024-02-10T00:00:00"/>
    <s v="#fyp #viral"/>
    <n v="11328489"/>
    <n v="492543"/>
    <n v="13336"/>
    <n v="63928"/>
    <n v="5.0299999999999997E-2"/>
    <n v="0.66500000000000004"/>
    <n v="1"/>
    <x v="0"/>
    <x v="0"/>
  </r>
  <r>
    <s v="SM_101214"/>
    <x v="1"/>
    <s v="text"/>
    <s v="Sports"/>
    <s v="hi"/>
    <s v="India"/>
    <d v="2024-01-15T00:00:00"/>
    <s v="#trending #funny #music"/>
    <n v="1065042"/>
    <n v="39446"/>
    <n v="4880"/>
    <n v="54479"/>
    <n v="9.2799999999999994E-2"/>
    <n v="-0.53300000000000003"/>
    <n v="0"/>
    <x v="1"/>
    <x v="1"/>
  </r>
  <r>
    <s v="SM_101215"/>
    <x v="1"/>
    <s v="image"/>
    <s v="Politics"/>
    <s v="hi"/>
    <s v="US"/>
    <d v="2024-05-07T00:00:00"/>
    <s v="#news #trending #ai #viral"/>
    <n v="3386850"/>
    <n v="338685"/>
    <n v="46126"/>
    <n v="81419"/>
    <n v="0.13769999999999999"/>
    <n v="4.5999999999999999E-2"/>
    <n v="1"/>
    <x v="0"/>
    <x v="0"/>
  </r>
  <r>
    <s v="SM_101216"/>
    <x v="1"/>
    <s v="text"/>
    <s v="Lifestyle"/>
    <s v="hi"/>
    <s v="Pakistan"/>
    <d v="2024-07-25T00:00:00"/>
    <s v="#viral #trending"/>
    <n v="5980944"/>
    <n v="249206"/>
    <n v="42436"/>
    <n v="99246"/>
    <n v="6.54E-2"/>
    <n v="-0.38400000000000001"/>
    <n v="1"/>
    <x v="0"/>
    <x v="1"/>
  </r>
  <r>
    <s v="SM_101217"/>
    <x v="0"/>
    <s v="video"/>
    <s v="Entertainment"/>
    <s v="ur"/>
    <s v="Brazil"/>
    <d v="2024-01-30T00:00:00"/>
    <s v="#tech #viral #fyp"/>
    <n v="3383387"/>
    <n v="483341"/>
    <n v="17632"/>
    <n v="71233"/>
    <n v="0.1691"/>
    <n v="0.62"/>
    <n v="1"/>
    <x v="0"/>
    <x v="0"/>
  </r>
  <r>
    <s v="SM_101218"/>
    <x v="2"/>
    <s v="video"/>
    <s v="Politics"/>
    <s v="fr"/>
    <s v="Brazil"/>
    <d v="2024-07-27T00:00:00"/>
    <s v="#music #news #ai #funny #trending"/>
    <n v="43848"/>
    <n v="1566"/>
    <n v="30776"/>
    <n v="83887"/>
    <n v="2.6507000000000001"/>
    <n v="-0.85099999999999998"/>
    <n v="0"/>
    <x v="1"/>
    <x v="1"/>
  </r>
  <r>
    <s v="SM_101219"/>
    <x v="1"/>
    <s v="image"/>
    <s v="Education"/>
    <s v="fr"/>
    <s v="Brazil"/>
    <d v="2024-02-16T00:00:00"/>
    <s v="#ai #trending #tech #funny"/>
    <n v="2567138"/>
    <n v="88522"/>
    <n v="44353"/>
    <n v="60740"/>
    <n v="7.5399999999999995E-2"/>
    <n v="0.40100000000000002"/>
    <n v="1"/>
    <x v="0"/>
    <x v="0"/>
  </r>
  <r>
    <s v="SM_101220"/>
    <x v="0"/>
    <s v="video"/>
    <s v="Politics"/>
    <s v="es"/>
    <s v="UK"/>
    <d v="2024-10-13T00:00:00"/>
    <s v="#trending #news #fyp"/>
    <n v="3962055"/>
    <n v="264137"/>
    <n v="30578"/>
    <n v="96908"/>
    <n v="9.8799999999999999E-2"/>
    <n v="0.88300000000000001"/>
    <n v="1"/>
    <x v="0"/>
    <x v="0"/>
  </r>
  <r>
    <s v="SM_101221"/>
    <x v="0"/>
    <s v="carousel"/>
    <s v="Sports"/>
    <s v="fr"/>
    <s v="Pakistan"/>
    <d v="2024-12-18T00:00:00"/>
    <s v="#fyp #music #tech #news"/>
    <n v="6340328"/>
    <n v="218632"/>
    <n v="33372"/>
    <n v="21200"/>
    <n v="4.3099999999999999E-2"/>
    <n v="0.95"/>
    <n v="1"/>
    <x v="0"/>
    <x v="0"/>
  </r>
  <r>
    <s v="SM_101222"/>
    <x v="0"/>
    <s v="video"/>
    <s v="Technology"/>
    <s v="ur"/>
    <s v="US"/>
    <d v="2024-08-18T00:00:00"/>
    <s v="#viral #funny #trending #fyp"/>
    <n v="9279072"/>
    <n v="319968"/>
    <n v="20602"/>
    <n v="36406"/>
    <n v="4.0599999999999997E-2"/>
    <n v="0.93300000000000005"/>
    <n v="1"/>
    <x v="0"/>
    <x v="0"/>
  </r>
  <r>
    <s v="SM_101223"/>
    <x v="3"/>
    <s v="text"/>
    <s v="Lifestyle"/>
    <s v="ur"/>
    <s v="US"/>
    <d v="2024-09-25T00:00:00"/>
    <s v="#viral #news #funny #trending #tech"/>
    <n v="6114675"/>
    <n v="291175"/>
    <n v="9295"/>
    <n v="38368"/>
    <n v="5.5399999999999998E-2"/>
    <n v="0.35199999999999998"/>
    <n v="1"/>
    <x v="0"/>
    <x v="0"/>
  </r>
  <r>
    <s v="SM_101224"/>
    <x v="0"/>
    <s v="carousel"/>
    <s v="Education"/>
    <s v="ur"/>
    <s v="US"/>
    <d v="2024-06-14T00:00:00"/>
    <s v="#tech #fyp #viral #funny"/>
    <n v="6146361"/>
    <n v="472797"/>
    <n v="10767"/>
    <n v="30134"/>
    <n v="8.3599999999999994E-2"/>
    <n v="-0.498"/>
    <n v="1"/>
    <x v="0"/>
    <x v="1"/>
  </r>
  <r>
    <s v="SM_101225"/>
    <x v="0"/>
    <s v="image"/>
    <s v="Entertainment"/>
    <s v="es"/>
    <s v="UK"/>
    <d v="2024-08-27T00:00:00"/>
    <s v="#fyp #music #ai #news #tech"/>
    <n v="5542950"/>
    <n v="369530"/>
    <n v="19958"/>
    <n v="40476"/>
    <n v="7.7600000000000002E-2"/>
    <n v="0.93899999999999995"/>
    <n v="1"/>
    <x v="0"/>
    <x v="0"/>
  </r>
  <r>
    <s v="SM_101226"/>
    <x v="2"/>
    <s v="video"/>
    <s v="Education"/>
    <s v="en"/>
    <s v="Brazil"/>
    <d v="2024-09-24T00:00:00"/>
    <s v="#fyp #music #trending #news #viral"/>
    <n v="3123515"/>
    <n v="135805"/>
    <n v="17309"/>
    <n v="97821"/>
    <n v="8.0299999999999996E-2"/>
    <n v="-0.84699999999999998"/>
    <n v="1"/>
    <x v="0"/>
    <x v="1"/>
  </r>
  <r>
    <s v="SM_101227"/>
    <x v="1"/>
    <s v="video"/>
    <s v="Politics"/>
    <s v="fr"/>
    <s v="US"/>
    <d v="2024-12-17T00:00:00"/>
    <s v="#news #viral #ai #trending #fyp"/>
    <n v="3330117"/>
    <n v="158577"/>
    <n v="36391"/>
    <n v="90910"/>
    <n v="8.5800000000000001E-2"/>
    <n v="-0.78700000000000003"/>
    <n v="1"/>
    <x v="0"/>
    <x v="1"/>
  </r>
  <r>
    <s v="SM_101228"/>
    <x v="3"/>
    <s v="image"/>
    <s v="Sports"/>
    <s v="ur"/>
    <s v="India"/>
    <d v="2024-12-01T00:00:00"/>
    <s v="#tech #funny #news #music"/>
    <n v="310369"/>
    <n v="18257"/>
    <n v="32162"/>
    <n v="35316"/>
    <n v="0.2762"/>
    <n v="-0.77"/>
    <n v="0"/>
    <x v="1"/>
    <x v="1"/>
  </r>
  <r>
    <s v="SM_101229"/>
    <x v="2"/>
    <s v="text"/>
    <s v="Lifestyle"/>
    <s v="es"/>
    <s v="Pakistan"/>
    <d v="2024-11-30T00:00:00"/>
    <s v="#viral #music #ai #tech #fyp"/>
    <n v="4076430"/>
    <n v="407643"/>
    <n v="48349"/>
    <n v="947"/>
    <n v="0.11210000000000001"/>
    <n v="-0.22500000000000001"/>
    <n v="1"/>
    <x v="0"/>
    <x v="1"/>
  </r>
  <r>
    <s v="SM_101230"/>
    <x v="3"/>
    <s v="video"/>
    <s v="Sports"/>
    <s v="hi"/>
    <s v="India"/>
    <d v="2024-12-16T00:00:00"/>
    <s v="#music #fyp #trending #news #viral"/>
    <n v="2493140"/>
    <n v="95890"/>
    <n v="15545"/>
    <n v="72256"/>
    <n v="7.3700000000000002E-2"/>
    <n v="0.29599999999999999"/>
    <n v="1"/>
    <x v="0"/>
    <x v="0"/>
  </r>
  <r>
    <s v="SM_101231"/>
    <x v="2"/>
    <s v="text"/>
    <s v="Politics"/>
    <s v="es"/>
    <s v="US"/>
    <d v="2024-09-11T00:00:00"/>
    <s v="#trending #fyp"/>
    <n v="2702462"/>
    <n v="193033"/>
    <n v="11355"/>
    <n v="55513"/>
    <n v="9.6199999999999994E-2"/>
    <n v="0.46100000000000002"/>
    <n v="1"/>
    <x v="0"/>
    <x v="0"/>
  </r>
  <r>
    <s v="SM_101232"/>
    <x v="2"/>
    <s v="text"/>
    <s v="Entertainment"/>
    <s v="hi"/>
    <s v="UK"/>
    <d v="2024-10-19T00:00:00"/>
    <s v="#trending #funny"/>
    <n v="5669924"/>
    <n v="436148"/>
    <n v="28374"/>
    <n v="31729"/>
    <n v="8.7499999999999994E-2"/>
    <n v="-0.63900000000000001"/>
    <n v="1"/>
    <x v="0"/>
    <x v="1"/>
  </r>
  <r>
    <s v="SM_101233"/>
    <x v="1"/>
    <s v="image"/>
    <s v="Entertainment"/>
    <s v="es"/>
    <s v="India"/>
    <d v="2024-01-07T00:00:00"/>
    <s v="#viral #fyp"/>
    <n v="1836648"/>
    <n v="83484"/>
    <n v="395"/>
    <n v="87536"/>
    <n v="9.3299999999999994E-2"/>
    <n v="-0.19700000000000001"/>
    <n v="0"/>
    <x v="1"/>
    <x v="1"/>
  </r>
  <r>
    <s v="SM_101234"/>
    <x v="1"/>
    <s v="image"/>
    <s v="Entertainment"/>
    <s v="en"/>
    <s v="US"/>
    <d v="2024-06-30T00:00:00"/>
    <s v="#music #trending #tech #fyp #news"/>
    <n v="7702975"/>
    <n v="308119"/>
    <n v="35333"/>
    <n v="5868"/>
    <n v="4.53E-2"/>
    <n v="0.35099999999999998"/>
    <n v="1"/>
    <x v="0"/>
    <x v="0"/>
  </r>
  <r>
    <s v="SM_101235"/>
    <x v="2"/>
    <s v="carousel"/>
    <s v="Lifestyle"/>
    <s v="en"/>
    <s v="Brazil"/>
    <d v="2024-08-15T00:00:00"/>
    <s v="#viral #trending #fyp"/>
    <n v="24585"/>
    <n v="1639"/>
    <n v="25493"/>
    <n v="17028"/>
    <n v="1.7962"/>
    <n v="0.39600000000000002"/>
    <n v="0"/>
    <x v="1"/>
    <x v="0"/>
  </r>
  <r>
    <s v="SM_101236"/>
    <x v="0"/>
    <s v="image"/>
    <s v="Lifestyle"/>
    <s v="hi"/>
    <s v="Pakistan"/>
    <d v="2024-06-02T00:00:00"/>
    <s v="#viral #tech #trending #fyp"/>
    <n v="6878938"/>
    <n v="312679"/>
    <n v="10315"/>
    <n v="63966"/>
    <n v="5.6300000000000003E-2"/>
    <n v="0.74399999999999999"/>
    <n v="1"/>
    <x v="0"/>
    <x v="0"/>
  </r>
  <r>
    <s v="SM_101237"/>
    <x v="3"/>
    <s v="carousel"/>
    <s v="Politics"/>
    <s v="hi"/>
    <s v="Brazil"/>
    <d v="2024-05-12T00:00:00"/>
    <s v="#trending #ai #viral #fyp"/>
    <n v="9300648"/>
    <n v="332166"/>
    <n v="32268"/>
    <n v="93949"/>
    <n v="4.9299999999999997E-2"/>
    <n v="0.60599999999999998"/>
    <n v="1"/>
    <x v="0"/>
    <x v="0"/>
  </r>
  <r>
    <s v="SM_101238"/>
    <x v="2"/>
    <s v="image"/>
    <s v="Education"/>
    <s v="hi"/>
    <s v="Pakistan"/>
    <d v="2024-07-01T00:00:00"/>
    <s v="#ai #tech #news #trending"/>
    <n v="4881438"/>
    <n v="271191"/>
    <n v="46719"/>
    <n v="71467"/>
    <n v="7.9799999999999996E-2"/>
    <n v="-0.70299999999999996"/>
    <n v="1"/>
    <x v="0"/>
    <x v="1"/>
  </r>
  <r>
    <s v="SM_101239"/>
    <x v="1"/>
    <s v="carousel"/>
    <s v="Lifestyle"/>
    <s v="ur"/>
    <s v="Pakistan"/>
    <d v="2024-03-15T00:00:00"/>
    <s v="#ai #trending #viral #funny #tech"/>
    <n v="7644140"/>
    <n v="382207"/>
    <n v="512"/>
    <n v="66973"/>
    <n v="5.8799999999999998E-2"/>
    <n v="0.11700000000000001"/>
    <n v="1"/>
    <x v="0"/>
    <x v="0"/>
  </r>
  <r>
    <s v="SM_101240"/>
    <x v="0"/>
    <s v="image"/>
    <s v="Education"/>
    <s v="en"/>
    <s v="UK"/>
    <d v="2024-11-25T00:00:00"/>
    <s v="#funny #viral #trending #news #music"/>
    <n v="2505294"/>
    <n v="278366"/>
    <n v="7359"/>
    <n v="30980"/>
    <n v="0.12640000000000001"/>
    <n v="-0.83899999999999997"/>
    <n v="1"/>
    <x v="0"/>
    <x v="1"/>
  </r>
  <r>
    <s v="SM_101241"/>
    <x v="0"/>
    <s v="carousel"/>
    <s v="Lifestyle"/>
    <s v="en"/>
    <s v="Brazil"/>
    <d v="2024-12-12T00:00:00"/>
    <s v="#fyp #music #funny #trending"/>
    <n v="9920380"/>
    <n v="496019"/>
    <n v="5042"/>
    <n v="28634"/>
    <n v="5.3400000000000003E-2"/>
    <n v="0.17299999999999999"/>
    <n v="1"/>
    <x v="0"/>
    <x v="0"/>
  </r>
  <r>
    <s v="SM_101242"/>
    <x v="2"/>
    <s v="text"/>
    <s v="Technology"/>
    <s v="hi"/>
    <s v="US"/>
    <d v="2024-05-29T00:00:00"/>
    <s v="#music #viral"/>
    <n v="7766902"/>
    <n v="298727"/>
    <n v="47650"/>
    <n v="73374"/>
    <n v="5.3999999999999999E-2"/>
    <n v="-4.5999999999999999E-2"/>
    <n v="1"/>
    <x v="0"/>
    <x v="1"/>
  </r>
  <r>
    <s v="SM_101243"/>
    <x v="0"/>
    <s v="text"/>
    <s v="Politics"/>
    <s v="ur"/>
    <s v="India"/>
    <d v="2024-01-20T00:00:00"/>
    <s v="#viral #tech #funny"/>
    <n v="3032696"/>
    <n v="379087"/>
    <n v="6416"/>
    <n v="39134"/>
    <n v="0.14000000000000001"/>
    <n v="0.56699999999999995"/>
    <n v="1"/>
    <x v="0"/>
    <x v="0"/>
  </r>
  <r>
    <s v="SM_101244"/>
    <x v="2"/>
    <s v="text"/>
    <s v="Politics"/>
    <s v="hi"/>
    <s v="UK"/>
    <d v="2024-07-16T00:00:00"/>
    <s v="#funny #news #fyp #tech #trending"/>
    <n v="1970040"/>
    <n v="394008"/>
    <n v="28931"/>
    <n v="99783"/>
    <n v="0.26529999999999998"/>
    <n v="-0.35399999999999998"/>
    <n v="0"/>
    <x v="1"/>
    <x v="1"/>
  </r>
  <r>
    <s v="SM_101245"/>
    <x v="1"/>
    <s v="carousel"/>
    <s v="Lifestyle"/>
    <s v="hi"/>
    <s v="UK"/>
    <d v="2024-10-26T00:00:00"/>
    <s v="#trending #viral #tech #fyp #ai"/>
    <n v="5743501"/>
    <n v="337853"/>
    <n v="35419"/>
    <n v="5210"/>
    <n v="6.59E-2"/>
    <n v="-0.21199999999999999"/>
    <n v="1"/>
    <x v="0"/>
    <x v="1"/>
  </r>
  <r>
    <s v="SM_101246"/>
    <x v="0"/>
    <s v="carousel"/>
    <s v="Technology"/>
    <s v="fr"/>
    <s v="Brazil"/>
    <d v="2024-08-04T00:00:00"/>
    <s v="#news #music #viral"/>
    <n v="7005830"/>
    <n v="269455"/>
    <n v="9932"/>
    <n v="77464"/>
    <n v="5.0900000000000001E-2"/>
    <n v="-6.0999999999999999E-2"/>
    <n v="1"/>
    <x v="0"/>
    <x v="1"/>
  </r>
  <r>
    <s v="SM_101247"/>
    <x v="1"/>
    <s v="carousel"/>
    <s v="Education"/>
    <s v="hi"/>
    <s v="Pakistan"/>
    <d v="2024-04-28T00:00:00"/>
    <s v="#fyp #tech #viral"/>
    <n v="1879965"/>
    <n v="208885"/>
    <n v="10851"/>
    <n v="7934"/>
    <n v="0.1211"/>
    <n v="-0.97899999999999998"/>
    <n v="0"/>
    <x v="1"/>
    <x v="1"/>
  </r>
  <r>
    <s v="SM_101248"/>
    <x v="2"/>
    <s v="text"/>
    <s v="Entertainment"/>
    <s v="en"/>
    <s v="US"/>
    <d v="2024-02-19T00:00:00"/>
    <s v="#music #fyp #viral"/>
    <n v="1769589"/>
    <n v="196621"/>
    <n v="2085"/>
    <n v="6090"/>
    <n v="0.1157"/>
    <n v="0.57199999999999995"/>
    <n v="0"/>
    <x v="1"/>
    <x v="0"/>
  </r>
  <r>
    <s v="SM_101249"/>
    <x v="2"/>
    <s v="carousel"/>
    <s v="Politics"/>
    <s v="en"/>
    <s v="Brazil"/>
    <d v="2024-04-09T00:00:00"/>
    <s v="#fyp #tech #music #funny"/>
    <n v="651469"/>
    <n v="50113"/>
    <n v="8351"/>
    <n v="85415"/>
    <n v="0.22090000000000001"/>
    <n v="0.748"/>
    <n v="0"/>
    <x v="1"/>
    <x v="0"/>
  </r>
  <r>
    <s v="SM_101250"/>
    <x v="3"/>
    <s v="video"/>
    <s v="Politics"/>
    <s v="ur"/>
    <s v="Brazil"/>
    <d v="2024-02-03T00:00:00"/>
    <s v="#viral #tech #trending #news #funny"/>
    <n v="1929835"/>
    <n v="385967"/>
    <n v="42747"/>
    <n v="26141"/>
    <n v="0.23569999999999999"/>
    <n v="0.13400000000000001"/>
    <n v="0"/>
    <x v="1"/>
    <x v="0"/>
  </r>
  <r>
    <s v="SM_101251"/>
    <x v="3"/>
    <s v="image"/>
    <s v="Technology"/>
    <s v="hi"/>
    <s v="India"/>
    <d v="2024-04-22T00:00:00"/>
    <s v="#news #trending #ai #tech #funny"/>
    <n v="4812104"/>
    <n v="437464"/>
    <n v="24851"/>
    <n v="22196"/>
    <n v="0.1007"/>
    <n v="-0.23799999999999999"/>
    <n v="1"/>
    <x v="0"/>
    <x v="1"/>
  </r>
  <r>
    <s v="SM_101252"/>
    <x v="1"/>
    <s v="image"/>
    <s v="Sports"/>
    <s v="fr"/>
    <s v="US"/>
    <d v="2024-02-10T00:00:00"/>
    <s v="#music #fyp #trending"/>
    <n v="1357275"/>
    <n v="90485"/>
    <n v="18695"/>
    <n v="58503"/>
    <n v="0.1235"/>
    <n v="-8.1000000000000003E-2"/>
    <n v="0"/>
    <x v="1"/>
    <x v="1"/>
  </r>
  <r>
    <s v="SM_101253"/>
    <x v="2"/>
    <s v="image"/>
    <s v="Entertainment"/>
    <s v="ur"/>
    <s v="Pakistan"/>
    <d v="2024-08-10T00:00:00"/>
    <s v="#tech #trending"/>
    <n v="1149485"/>
    <n v="229897"/>
    <n v="38313"/>
    <n v="91322"/>
    <n v="0.31280000000000002"/>
    <n v="0.67100000000000004"/>
    <n v="0"/>
    <x v="1"/>
    <x v="0"/>
  </r>
  <r>
    <s v="SM_101254"/>
    <x v="2"/>
    <s v="carousel"/>
    <s v="Sports"/>
    <s v="ur"/>
    <s v="Brazil"/>
    <d v="2024-03-13T00:00:00"/>
    <s v="#ai #viral"/>
    <n v="3798544"/>
    <n v="474818"/>
    <n v="31102"/>
    <n v="81419"/>
    <n v="0.15459999999999999"/>
    <n v="-0.60099999999999998"/>
    <n v="1"/>
    <x v="0"/>
    <x v="1"/>
  </r>
  <r>
    <s v="SM_101255"/>
    <x v="0"/>
    <s v="carousel"/>
    <s v="Politics"/>
    <s v="fr"/>
    <s v="UK"/>
    <d v="2024-03-11T00:00:00"/>
    <s v="#trending #fyp"/>
    <n v="8122436"/>
    <n v="290087"/>
    <n v="29798"/>
    <n v="39517"/>
    <n v="4.4200000000000003E-2"/>
    <n v="0.109"/>
    <n v="1"/>
    <x v="0"/>
    <x v="0"/>
  </r>
  <r>
    <s v="SM_101256"/>
    <x v="3"/>
    <s v="video"/>
    <s v="Sports"/>
    <s v="hi"/>
    <s v="US"/>
    <d v="2024-03-20T00:00:00"/>
    <s v="#tech #trending"/>
    <n v="572083"/>
    <n v="19727"/>
    <n v="18570"/>
    <n v="91562"/>
    <n v="0.22700000000000001"/>
    <n v="-0.109"/>
    <n v="0"/>
    <x v="1"/>
    <x v="1"/>
  </r>
  <r>
    <s v="SM_101257"/>
    <x v="1"/>
    <s v="video"/>
    <s v="Lifestyle"/>
    <s v="es"/>
    <s v="UK"/>
    <d v="2024-11-23T00:00:00"/>
    <s v="#ai #news #tech #trending"/>
    <n v="3155184"/>
    <n v="175288"/>
    <n v="9787"/>
    <n v="87903"/>
    <n v="8.6499999999999994E-2"/>
    <n v="-0.67100000000000004"/>
    <n v="1"/>
    <x v="0"/>
    <x v="1"/>
  </r>
  <r>
    <s v="SM_101258"/>
    <x v="1"/>
    <s v="carousel"/>
    <s v="Technology"/>
    <s v="hi"/>
    <s v="UK"/>
    <d v="2024-03-21T00:00:00"/>
    <s v="#trending #music"/>
    <n v="7748223"/>
    <n v="368963"/>
    <n v="12471"/>
    <n v="42615"/>
    <n v="5.4699999999999999E-2"/>
    <n v="0.14299999999999999"/>
    <n v="1"/>
    <x v="0"/>
    <x v="0"/>
  </r>
  <r>
    <s v="SM_101259"/>
    <x v="0"/>
    <s v="text"/>
    <s v="Education"/>
    <s v="fr"/>
    <s v="Brazil"/>
    <d v="2024-09-27T00:00:00"/>
    <s v="#funny #news #trending"/>
    <n v="926352"/>
    <n v="102928"/>
    <n v="6564"/>
    <n v="84695"/>
    <n v="0.20960000000000001"/>
    <n v="0.52700000000000002"/>
    <n v="0"/>
    <x v="1"/>
    <x v="0"/>
  </r>
  <r>
    <s v="SM_101260"/>
    <x v="2"/>
    <s v="text"/>
    <s v="Sports"/>
    <s v="ur"/>
    <s v="Brazil"/>
    <d v="2024-02-16T00:00:00"/>
    <s v="#tech #ai #viral"/>
    <n v="7015161"/>
    <n v="369219"/>
    <n v="11711"/>
    <n v="77607"/>
    <n v="6.54E-2"/>
    <n v="0.251"/>
    <n v="1"/>
    <x v="0"/>
    <x v="0"/>
  </r>
  <r>
    <s v="SM_101261"/>
    <x v="1"/>
    <s v="video"/>
    <s v="Politics"/>
    <s v="en"/>
    <s v="Brazil"/>
    <d v="2024-07-12T00:00:00"/>
    <s v="#news #funny #ai #trending #fyp"/>
    <n v="1182706"/>
    <n v="51422"/>
    <n v="26483"/>
    <n v="71043"/>
    <n v="0.12590000000000001"/>
    <n v="0.48499999999999999"/>
    <n v="0"/>
    <x v="1"/>
    <x v="0"/>
  </r>
  <r>
    <s v="SM_101262"/>
    <x v="2"/>
    <s v="video"/>
    <s v="Politics"/>
    <s v="es"/>
    <s v="UK"/>
    <d v="2024-04-12T00:00:00"/>
    <s v="#news #tech"/>
    <n v="902400"/>
    <n v="90240"/>
    <n v="15315"/>
    <n v="73763"/>
    <n v="0.19869999999999999"/>
    <n v="-0.23"/>
    <n v="0"/>
    <x v="1"/>
    <x v="1"/>
  </r>
  <r>
    <s v="SM_101263"/>
    <x v="3"/>
    <s v="image"/>
    <s v="Education"/>
    <s v="en"/>
    <s v="UK"/>
    <d v="2024-10-18T00:00:00"/>
    <s v="#news #fyp #trending"/>
    <n v="6862671"/>
    <n v="298377"/>
    <n v="16977"/>
    <n v="97629"/>
    <n v="6.0199999999999997E-2"/>
    <n v="0.76700000000000002"/>
    <n v="1"/>
    <x v="0"/>
    <x v="0"/>
  </r>
  <r>
    <s v="SM_101264"/>
    <x v="2"/>
    <s v="video"/>
    <s v="Education"/>
    <s v="es"/>
    <s v="Pakistan"/>
    <d v="2024-08-06T00:00:00"/>
    <s v="#viral #music #fyp #funny"/>
    <n v="11565576"/>
    <n v="481899"/>
    <n v="20475"/>
    <n v="43130"/>
    <n v="4.7199999999999999E-2"/>
    <n v="-5.0999999999999997E-2"/>
    <n v="1"/>
    <x v="0"/>
    <x v="1"/>
  </r>
  <r>
    <s v="SM_101265"/>
    <x v="3"/>
    <s v="image"/>
    <s v="Lifestyle"/>
    <s v="en"/>
    <s v="Pakistan"/>
    <d v="2024-11-10T00:00:00"/>
    <s v="#viral #ai"/>
    <n v="513288"/>
    <n v="42774"/>
    <n v="29127"/>
    <n v="82477"/>
    <n v="0.30080000000000001"/>
    <n v="0.14799999999999999"/>
    <n v="0"/>
    <x v="1"/>
    <x v="0"/>
  </r>
  <r>
    <s v="SM_101266"/>
    <x v="2"/>
    <s v="carousel"/>
    <s v="Sports"/>
    <s v="ur"/>
    <s v="India"/>
    <d v="2024-01-04T00:00:00"/>
    <s v="#ai #trending #news"/>
    <n v="10788400"/>
    <n v="431536"/>
    <n v="6482"/>
    <n v="56653"/>
    <n v="4.5900000000000003E-2"/>
    <n v="-0.90300000000000002"/>
    <n v="1"/>
    <x v="0"/>
    <x v="1"/>
  </r>
  <r>
    <s v="SM_101267"/>
    <x v="1"/>
    <s v="text"/>
    <s v="Sports"/>
    <s v="hi"/>
    <s v="US"/>
    <d v="2024-09-03T00:00:00"/>
    <s v="#tech #music #news #funny #viral"/>
    <n v="5991882"/>
    <n v="460914"/>
    <n v="41803"/>
    <n v="53474"/>
    <n v="9.2799999999999994E-2"/>
    <n v="0.80600000000000005"/>
    <n v="1"/>
    <x v="0"/>
    <x v="0"/>
  </r>
  <r>
    <s v="SM_101268"/>
    <x v="1"/>
    <s v="image"/>
    <s v="Education"/>
    <s v="en"/>
    <s v="Pakistan"/>
    <d v="2024-06-09T00:00:00"/>
    <s v="#viral #funny #tech #news"/>
    <n v="3871728"/>
    <n v="276552"/>
    <n v="26032"/>
    <n v="96257"/>
    <n v="0.10299999999999999"/>
    <n v="0.89200000000000002"/>
    <n v="1"/>
    <x v="0"/>
    <x v="0"/>
  </r>
  <r>
    <s v="SM_101269"/>
    <x v="2"/>
    <s v="text"/>
    <s v="Education"/>
    <s v="ur"/>
    <s v="Pakistan"/>
    <d v="2024-10-31T00:00:00"/>
    <s v="#trending #tech #viral #ai #funny"/>
    <n v="208677"/>
    <n v="9937"/>
    <n v="38604"/>
    <n v="52152"/>
    <n v="0.48249999999999998"/>
    <n v="-0.84599999999999997"/>
    <n v="0"/>
    <x v="1"/>
    <x v="1"/>
  </r>
  <r>
    <s v="SM_101270"/>
    <x v="0"/>
    <s v="text"/>
    <s v="Politics"/>
    <s v="es"/>
    <s v="Pakistan"/>
    <d v="2024-01-01T00:00:00"/>
    <s v="#funny #tech #music #trending #fyp"/>
    <n v="6748110"/>
    <n v="374895"/>
    <n v="32093"/>
    <n v="93649"/>
    <n v="7.4200000000000002E-2"/>
    <n v="3.6999999999999998E-2"/>
    <n v="1"/>
    <x v="0"/>
    <x v="0"/>
  </r>
  <r>
    <s v="SM_101271"/>
    <x v="3"/>
    <s v="text"/>
    <s v="Technology"/>
    <s v="hi"/>
    <s v="Pakistan"/>
    <d v="2024-09-26T00:00:00"/>
    <s v="#music #tech #ai #trending #fyp"/>
    <n v="2544710"/>
    <n v="254471"/>
    <n v="2941"/>
    <n v="14507"/>
    <n v="0.1069"/>
    <n v="0.36899999999999999"/>
    <n v="1"/>
    <x v="0"/>
    <x v="0"/>
  </r>
  <r>
    <s v="SM_101272"/>
    <x v="0"/>
    <s v="text"/>
    <s v="Lifestyle"/>
    <s v="fr"/>
    <s v="Pakistan"/>
    <d v="2024-02-21T00:00:00"/>
    <s v="#music #trending #fyp #tech #news"/>
    <n v="444142"/>
    <n v="26126"/>
    <n v="27677"/>
    <n v="38418"/>
    <n v="0.20760000000000001"/>
    <n v="-0.81799999999999995"/>
    <n v="0"/>
    <x v="1"/>
    <x v="1"/>
  </r>
  <r>
    <s v="SM_101273"/>
    <x v="2"/>
    <s v="text"/>
    <s v="Lifestyle"/>
    <s v="en"/>
    <s v="UK"/>
    <d v="2024-02-14T00:00:00"/>
    <s v="#music #funny #ai"/>
    <n v="1481059"/>
    <n v="51071"/>
    <n v="27286"/>
    <n v="28092"/>
    <n v="7.1900000000000006E-2"/>
    <n v="-0.88900000000000001"/>
    <n v="0"/>
    <x v="1"/>
    <x v="1"/>
  </r>
  <r>
    <s v="SM_101274"/>
    <x v="0"/>
    <s v="image"/>
    <s v="Sports"/>
    <s v="es"/>
    <s v="India"/>
    <d v="2024-11-22T00:00:00"/>
    <s v="#ai #tech #trending #news"/>
    <n v="7493505"/>
    <n v="394395"/>
    <n v="29855"/>
    <n v="46752"/>
    <n v="6.2899999999999998E-2"/>
    <n v="-0.17299999999999999"/>
    <n v="1"/>
    <x v="0"/>
    <x v="1"/>
  </r>
  <r>
    <s v="SM_101275"/>
    <x v="0"/>
    <s v="video"/>
    <s v="Education"/>
    <s v="hi"/>
    <s v="Brazil"/>
    <d v="2024-07-14T00:00:00"/>
    <s v="#music #trending"/>
    <n v="647704"/>
    <n v="80963"/>
    <n v="12760"/>
    <n v="59873"/>
    <n v="0.23710000000000001"/>
    <n v="-0.64600000000000002"/>
    <n v="0"/>
    <x v="1"/>
    <x v="1"/>
  </r>
  <r>
    <s v="SM_101276"/>
    <x v="2"/>
    <s v="video"/>
    <s v="Technology"/>
    <s v="hi"/>
    <s v="Pakistan"/>
    <d v="2024-01-03T00:00:00"/>
    <s v="#tech #funny #ai #viral #fyp"/>
    <n v="4274060"/>
    <n v="152645"/>
    <n v="2036"/>
    <n v="79824"/>
    <n v="5.4899999999999997E-2"/>
    <n v="-0.36899999999999999"/>
    <n v="1"/>
    <x v="0"/>
    <x v="1"/>
  </r>
  <r>
    <s v="SM_101277"/>
    <x v="3"/>
    <s v="video"/>
    <s v="Entertainment"/>
    <s v="ur"/>
    <s v="Pakistan"/>
    <d v="2024-04-27T00:00:00"/>
    <s v="#news #music #trending #viral #funny"/>
    <n v="3121353"/>
    <n v="346817"/>
    <n v="27057"/>
    <n v="68877"/>
    <n v="0.14180000000000001"/>
    <n v="-0.80600000000000005"/>
    <n v="1"/>
    <x v="0"/>
    <x v="1"/>
  </r>
  <r>
    <s v="SM_101278"/>
    <x v="1"/>
    <s v="text"/>
    <s v="Sports"/>
    <s v="es"/>
    <s v="Brazil"/>
    <d v="2024-11-06T00:00:00"/>
    <s v="#fyp #trending"/>
    <n v="1973526"/>
    <n v="328921"/>
    <n v="25430"/>
    <n v="84818"/>
    <n v="0.2225"/>
    <n v="0.17499999999999999"/>
    <n v="0"/>
    <x v="1"/>
    <x v="0"/>
  </r>
  <r>
    <s v="SM_101279"/>
    <x v="0"/>
    <s v="text"/>
    <s v="Entertainment"/>
    <s v="ur"/>
    <s v="India"/>
    <d v="2024-05-13T00:00:00"/>
    <s v="#viral #ai #news #funny"/>
    <n v="4110592"/>
    <n v="256912"/>
    <n v="32118"/>
    <n v="69807"/>
    <n v="8.7300000000000003E-2"/>
    <n v="-0.85499999999999998"/>
    <n v="1"/>
    <x v="0"/>
    <x v="1"/>
  </r>
  <r>
    <s v="SM_101280"/>
    <x v="2"/>
    <s v="video"/>
    <s v="Lifestyle"/>
    <s v="hi"/>
    <s v="India"/>
    <d v="2024-11-30T00:00:00"/>
    <s v="#news #ai"/>
    <n v="8224547"/>
    <n v="357589"/>
    <n v="34557"/>
    <n v="69323"/>
    <n v="5.6099999999999997E-2"/>
    <n v="0.98499999999999999"/>
    <n v="1"/>
    <x v="0"/>
    <x v="0"/>
  </r>
  <r>
    <s v="SM_101281"/>
    <x v="0"/>
    <s v="carousel"/>
    <s v="Lifestyle"/>
    <s v="en"/>
    <s v="Pakistan"/>
    <d v="2024-03-29T00:00:00"/>
    <s v="#trending #music #funny #fyp"/>
    <n v="5407920"/>
    <n v="300440"/>
    <n v="39454"/>
    <n v="39662"/>
    <n v="7.0199999999999999E-2"/>
    <n v="0.66100000000000003"/>
    <n v="1"/>
    <x v="0"/>
    <x v="0"/>
  </r>
  <r>
    <s v="SM_101282"/>
    <x v="0"/>
    <s v="image"/>
    <s v="Entertainment"/>
    <s v="es"/>
    <s v="Pakistan"/>
    <d v="2024-10-11T00:00:00"/>
    <s v="#viral #ai"/>
    <n v="1031755"/>
    <n v="206351"/>
    <n v="9948"/>
    <n v="43241"/>
    <n v="0.25159999999999999"/>
    <n v="-0.18099999999999999"/>
    <n v="0"/>
    <x v="1"/>
    <x v="1"/>
  </r>
  <r>
    <s v="SM_101283"/>
    <x v="3"/>
    <s v="image"/>
    <s v="Technology"/>
    <s v="ur"/>
    <s v="Pakistan"/>
    <d v="2024-05-12T00:00:00"/>
    <s v="#ai #trending #fyp #tech #funny"/>
    <n v="8571864"/>
    <n v="306138"/>
    <n v="6874"/>
    <n v="61079"/>
    <n v="4.36E-2"/>
    <n v="0.59799999999999998"/>
    <n v="1"/>
    <x v="0"/>
    <x v="0"/>
  </r>
  <r>
    <s v="SM_101284"/>
    <x v="1"/>
    <s v="video"/>
    <s v="Education"/>
    <s v="en"/>
    <s v="Brazil"/>
    <d v="2024-07-05T00:00:00"/>
    <s v="#fyp #funny #tech"/>
    <n v="1853065"/>
    <n v="370613"/>
    <n v="20923"/>
    <n v="28380"/>
    <n v="0.2266"/>
    <n v="0.66500000000000004"/>
    <n v="0"/>
    <x v="1"/>
    <x v="0"/>
  </r>
  <r>
    <s v="SM_101285"/>
    <x v="0"/>
    <s v="text"/>
    <s v="Education"/>
    <s v="fr"/>
    <s v="Pakistan"/>
    <d v="2024-01-17T00:00:00"/>
    <s v="#ai #fyp #viral #funny #trending"/>
    <n v="7977270"/>
    <n v="379870"/>
    <n v="45752"/>
    <n v="52350"/>
    <n v="5.9900000000000002E-2"/>
    <n v="0.91400000000000003"/>
    <n v="1"/>
    <x v="0"/>
    <x v="0"/>
  </r>
  <r>
    <s v="SM_101286"/>
    <x v="3"/>
    <s v="video"/>
    <s v="Politics"/>
    <s v="en"/>
    <s v="UK"/>
    <d v="2024-11-05T00:00:00"/>
    <s v="#trending #tech"/>
    <n v="40810"/>
    <n v="5830"/>
    <n v="13926"/>
    <n v="98431"/>
    <n v="2.8959999999999999"/>
    <n v="-8.1000000000000003E-2"/>
    <n v="0"/>
    <x v="1"/>
    <x v="1"/>
  </r>
  <r>
    <s v="SM_101287"/>
    <x v="3"/>
    <s v="text"/>
    <s v="Entertainment"/>
    <s v="en"/>
    <s v="UK"/>
    <d v="2024-10-25T00:00:00"/>
    <s v="#viral #trending #news"/>
    <n v="11405290"/>
    <n v="438665"/>
    <n v="16002"/>
    <n v="83287"/>
    <n v="4.7199999999999999E-2"/>
    <n v="-0.88200000000000001"/>
    <n v="1"/>
    <x v="0"/>
    <x v="1"/>
  </r>
  <r>
    <s v="SM_101288"/>
    <x v="3"/>
    <s v="text"/>
    <s v="Technology"/>
    <s v="hi"/>
    <s v="Brazil"/>
    <d v="2024-03-24T00:00:00"/>
    <s v="#fyp #music #ai"/>
    <n v="8192623"/>
    <n v="481919"/>
    <n v="45044"/>
    <n v="20924"/>
    <n v="6.6900000000000001E-2"/>
    <n v="-0.73399999999999999"/>
    <n v="1"/>
    <x v="0"/>
    <x v="1"/>
  </r>
  <r>
    <s v="SM_101289"/>
    <x v="2"/>
    <s v="video"/>
    <s v="Politics"/>
    <s v="fr"/>
    <s v="Pakistan"/>
    <d v="2024-04-24T00:00:00"/>
    <s v="#tech #ai #music #viral"/>
    <n v="4872375"/>
    <n v="194895"/>
    <n v="42427"/>
    <n v="51414"/>
    <n v="5.9299999999999999E-2"/>
    <n v="-0.13200000000000001"/>
    <n v="1"/>
    <x v="0"/>
    <x v="1"/>
  </r>
  <r>
    <s v="SM_101290"/>
    <x v="2"/>
    <s v="video"/>
    <s v="Sports"/>
    <s v="hi"/>
    <s v="Brazil"/>
    <d v="2024-12-14T00:00:00"/>
    <s v="#tech #viral #trending #ai"/>
    <n v="288560"/>
    <n v="28856"/>
    <n v="6045"/>
    <n v="10305"/>
    <n v="0.15670000000000001"/>
    <n v="-0.28899999999999998"/>
    <n v="0"/>
    <x v="1"/>
    <x v="1"/>
  </r>
  <r>
    <s v="SM_101291"/>
    <x v="0"/>
    <s v="carousel"/>
    <s v="Technology"/>
    <s v="fr"/>
    <s v="UK"/>
    <d v="2024-04-19T00:00:00"/>
    <s v="#tech #trending"/>
    <n v="3432753"/>
    <n v="127139"/>
    <n v="31663"/>
    <n v="49003"/>
    <n v="6.0499999999999998E-2"/>
    <n v="0.17799999999999999"/>
    <n v="1"/>
    <x v="0"/>
    <x v="0"/>
  </r>
  <r>
    <s v="SM_101292"/>
    <x v="1"/>
    <s v="text"/>
    <s v="Sports"/>
    <s v="fr"/>
    <s v="India"/>
    <d v="2024-03-16T00:00:00"/>
    <s v="#funny #fyp #music #tech #ai"/>
    <n v="7677072"/>
    <n v="284336"/>
    <n v="495"/>
    <n v="3730"/>
    <n v="3.7600000000000001E-2"/>
    <n v="-0.51200000000000001"/>
    <n v="1"/>
    <x v="0"/>
    <x v="1"/>
  </r>
  <r>
    <s v="SM_101293"/>
    <x v="3"/>
    <s v="text"/>
    <s v="Technology"/>
    <s v="ur"/>
    <s v="India"/>
    <d v="2024-05-06T00:00:00"/>
    <s v="#music #funny"/>
    <n v="1427320"/>
    <n v="83960"/>
    <n v="31339"/>
    <n v="21399"/>
    <n v="9.5799999999999996E-2"/>
    <n v="-0.55100000000000005"/>
    <n v="0"/>
    <x v="1"/>
    <x v="1"/>
  </r>
  <r>
    <s v="SM_101294"/>
    <x v="1"/>
    <s v="image"/>
    <s v="Education"/>
    <s v="ur"/>
    <s v="India"/>
    <d v="2024-03-17T00:00:00"/>
    <s v="#fyp #music #ai"/>
    <n v="3184836"/>
    <n v="265403"/>
    <n v="32631"/>
    <n v="62767"/>
    <n v="0.1133"/>
    <n v="-0.49099999999999999"/>
    <n v="1"/>
    <x v="0"/>
    <x v="1"/>
  </r>
  <r>
    <s v="SM_101295"/>
    <x v="3"/>
    <s v="text"/>
    <s v="Education"/>
    <s v="fr"/>
    <s v="Pakistan"/>
    <d v="2024-01-17T00:00:00"/>
    <s v="#news #trending"/>
    <n v="521712"/>
    <n v="21738"/>
    <n v="1078"/>
    <n v="46512"/>
    <n v="0.13289999999999999"/>
    <n v="0.39900000000000002"/>
    <n v="0"/>
    <x v="1"/>
    <x v="0"/>
  </r>
  <r>
    <s v="SM_101296"/>
    <x v="1"/>
    <s v="carousel"/>
    <s v="Technology"/>
    <s v="hi"/>
    <s v="Brazil"/>
    <d v="2024-06-07T00:00:00"/>
    <s v="#funny #music #news #fyp #trending"/>
    <n v="853180"/>
    <n v="29420"/>
    <n v="4345"/>
    <n v="34925"/>
    <n v="8.0500000000000002E-2"/>
    <n v="0.59199999999999997"/>
    <n v="0"/>
    <x v="1"/>
    <x v="0"/>
  </r>
  <r>
    <s v="SM_101297"/>
    <x v="3"/>
    <s v="carousel"/>
    <s v="Sports"/>
    <s v="hi"/>
    <s v="Brazil"/>
    <d v="2024-09-28T00:00:00"/>
    <s v="#news #tech"/>
    <n v="2910349"/>
    <n v="171197"/>
    <n v="28972"/>
    <n v="2160"/>
    <n v="6.9500000000000006E-2"/>
    <n v="-2.4E-2"/>
    <n v="1"/>
    <x v="0"/>
    <x v="1"/>
  </r>
  <r>
    <s v="SM_101298"/>
    <x v="0"/>
    <s v="video"/>
    <s v="Sports"/>
    <s v="ur"/>
    <s v="Brazil"/>
    <d v="2024-01-11T00:00:00"/>
    <s v="#tech #fyp"/>
    <n v="369450"/>
    <n v="14778"/>
    <n v="47209"/>
    <n v="12022"/>
    <n v="0.20030000000000001"/>
    <n v="-0.878"/>
    <n v="0"/>
    <x v="1"/>
    <x v="1"/>
  </r>
  <r>
    <s v="SM_101299"/>
    <x v="1"/>
    <s v="carousel"/>
    <s v="Sports"/>
    <s v="ur"/>
    <s v="India"/>
    <d v="2024-02-25T00:00:00"/>
    <s v="#viral #ai #fyp #tech"/>
    <n v="5942883"/>
    <n v="204927"/>
    <n v="23469"/>
    <n v="51138"/>
    <n v="4.7E-2"/>
    <n v="-0.36199999999999999"/>
    <n v="1"/>
    <x v="0"/>
    <x v="1"/>
  </r>
  <r>
    <s v="SM_101300"/>
    <x v="0"/>
    <s v="carousel"/>
    <s v="Education"/>
    <s v="es"/>
    <s v="Pakistan"/>
    <d v="2024-01-14T00:00:00"/>
    <s v="#tech #fyp #ai"/>
    <n v="4673400"/>
    <n v="467340"/>
    <n v="34954"/>
    <n v="51449"/>
    <n v="0.11849999999999999"/>
    <n v="-0.81699999999999995"/>
    <n v="1"/>
    <x v="0"/>
    <x v="1"/>
  </r>
  <r>
    <s v="SM_101301"/>
    <x v="1"/>
    <s v="video"/>
    <s v="Entertainment"/>
    <s v="hi"/>
    <s v="Brazil"/>
    <d v="2024-10-22T00:00:00"/>
    <s v="#news #ai #funny"/>
    <n v="4438056"/>
    <n v="369838"/>
    <n v="18066"/>
    <n v="2882"/>
    <n v="8.8099999999999998E-2"/>
    <n v="-0.74299999999999999"/>
    <n v="1"/>
    <x v="0"/>
    <x v="1"/>
  </r>
  <r>
    <s v="SM_101302"/>
    <x v="1"/>
    <s v="video"/>
    <s v="Politics"/>
    <s v="hi"/>
    <s v="US"/>
    <d v="2024-07-27T00:00:00"/>
    <s v="#viral #ai #tech #news #fyp"/>
    <n v="9077962"/>
    <n v="394694"/>
    <n v="17637"/>
    <n v="93848"/>
    <n v="5.5800000000000002E-2"/>
    <n v="0.251"/>
    <n v="1"/>
    <x v="0"/>
    <x v="0"/>
  </r>
  <r>
    <s v="SM_101303"/>
    <x v="2"/>
    <s v="carousel"/>
    <s v="Politics"/>
    <s v="hi"/>
    <s v="US"/>
    <d v="2024-06-08T00:00:00"/>
    <s v="#tech #music"/>
    <n v="5465415"/>
    <n v="321495"/>
    <n v="7041"/>
    <n v="39256"/>
    <n v="6.7299999999999999E-2"/>
    <n v="-0.49299999999999999"/>
    <n v="1"/>
    <x v="0"/>
    <x v="1"/>
  </r>
  <r>
    <s v="SM_101304"/>
    <x v="2"/>
    <s v="carousel"/>
    <s v="Sports"/>
    <s v="en"/>
    <s v="UK"/>
    <d v="2024-02-20T00:00:00"/>
    <s v="#music #news"/>
    <n v="474579"/>
    <n v="22599"/>
    <n v="37021"/>
    <n v="51629"/>
    <n v="0.2344"/>
    <n v="0.72299999999999998"/>
    <n v="0"/>
    <x v="1"/>
    <x v="0"/>
  </r>
  <r>
    <s v="SM_101305"/>
    <x v="3"/>
    <s v="text"/>
    <s v="Sports"/>
    <s v="ur"/>
    <s v="US"/>
    <d v="2024-03-20T00:00:00"/>
    <s v="#news #ai #funny"/>
    <n v="7794200"/>
    <n v="389710"/>
    <n v="19942"/>
    <n v="12633"/>
    <n v="5.4199999999999998E-2"/>
    <n v="0.19400000000000001"/>
    <n v="1"/>
    <x v="0"/>
    <x v="0"/>
  </r>
  <r>
    <s v="SM_101306"/>
    <x v="1"/>
    <s v="video"/>
    <s v="Education"/>
    <s v="hi"/>
    <s v="UK"/>
    <d v="2024-12-01T00:00:00"/>
    <s v="#funny #tech #music #news #fyp"/>
    <n v="8806200"/>
    <n v="440310"/>
    <n v="4823"/>
    <n v="56345"/>
    <n v="5.6899999999999999E-2"/>
    <n v="-0.40899999999999997"/>
    <n v="1"/>
    <x v="0"/>
    <x v="1"/>
  </r>
  <r>
    <s v="SM_101307"/>
    <x v="0"/>
    <s v="image"/>
    <s v="Sports"/>
    <s v="ur"/>
    <s v="UK"/>
    <d v="2024-03-12T00:00:00"/>
    <s v="#viral #tech"/>
    <n v="165384"/>
    <n v="27564"/>
    <n v="42629"/>
    <n v="37345"/>
    <n v="0.6502"/>
    <n v="-0.63800000000000001"/>
    <n v="0"/>
    <x v="1"/>
    <x v="1"/>
  </r>
  <r>
    <s v="SM_101308"/>
    <x v="3"/>
    <s v="video"/>
    <s v="Sports"/>
    <s v="hi"/>
    <s v="Pakistan"/>
    <d v="2024-04-12T00:00:00"/>
    <s v="#viral #news"/>
    <n v="5195263"/>
    <n v="179147"/>
    <n v="1467"/>
    <n v="81442"/>
    <n v="5.04E-2"/>
    <n v="0.11"/>
    <n v="1"/>
    <x v="0"/>
    <x v="0"/>
  </r>
  <r>
    <s v="SM_101309"/>
    <x v="1"/>
    <s v="image"/>
    <s v="Sports"/>
    <s v="ur"/>
    <s v="UK"/>
    <d v="2024-12-08T00:00:00"/>
    <s v="#news #funny #ai #trending"/>
    <n v="4338970"/>
    <n v="433897"/>
    <n v="34841"/>
    <n v="71290"/>
    <n v="0.1245"/>
    <n v="0.23100000000000001"/>
    <n v="1"/>
    <x v="0"/>
    <x v="0"/>
  </r>
  <r>
    <s v="SM_101310"/>
    <x v="3"/>
    <s v="image"/>
    <s v="Sports"/>
    <s v="ur"/>
    <s v="Pakistan"/>
    <d v="2024-02-15T00:00:00"/>
    <s v="#fyp #ai"/>
    <n v="1923082"/>
    <n v="137363"/>
    <n v="17903"/>
    <n v="84519"/>
    <n v="0.12470000000000001"/>
    <n v="0.54500000000000004"/>
    <n v="0"/>
    <x v="1"/>
    <x v="0"/>
  </r>
  <r>
    <s v="SM_101311"/>
    <x v="0"/>
    <s v="image"/>
    <s v="Technology"/>
    <s v="ur"/>
    <s v="US"/>
    <d v="2024-03-20T00:00:00"/>
    <s v="#funny #ai #music"/>
    <n v="6711824"/>
    <n v="239708"/>
    <n v="23288"/>
    <n v="86972"/>
    <n v="5.21E-2"/>
    <n v="-0.19900000000000001"/>
    <n v="1"/>
    <x v="0"/>
    <x v="1"/>
  </r>
  <r>
    <s v="SM_101312"/>
    <x v="2"/>
    <s v="text"/>
    <s v="Technology"/>
    <s v="fr"/>
    <s v="US"/>
    <d v="2024-05-13T00:00:00"/>
    <s v="#music #fyp #ai"/>
    <n v="3386720"/>
    <n v="423340"/>
    <n v="49635"/>
    <n v="30735"/>
    <n v="0.1487"/>
    <n v="0.29899999999999999"/>
    <n v="1"/>
    <x v="0"/>
    <x v="0"/>
  </r>
  <r>
    <s v="SM_101313"/>
    <x v="2"/>
    <s v="image"/>
    <s v="Technology"/>
    <s v="hi"/>
    <s v="UK"/>
    <d v="2024-01-26T00:00:00"/>
    <s v="#tech #music"/>
    <n v="1831776"/>
    <n v="228972"/>
    <n v="43633"/>
    <n v="46217"/>
    <n v="0.1741"/>
    <n v="-0.46800000000000003"/>
    <n v="0"/>
    <x v="1"/>
    <x v="1"/>
  </r>
  <r>
    <s v="SM_101314"/>
    <x v="0"/>
    <s v="image"/>
    <s v="Education"/>
    <s v="ur"/>
    <s v="UK"/>
    <d v="2024-12-24T00:00:00"/>
    <s v="#trending #news #fyp"/>
    <n v="1775280"/>
    <n v="73970"/>
    <n v="24167"/>
    <n v="6009"/>
    <n v="5.8700000000000002E-2"/>
    <n v="0.41399999999999998"/>
    <n v="0"/>
    <x v="1"/>
    <x v="0"/>
  </r>
  <r>
    <s v="SM_101315"/>
    <x v="3"/>
    <s v="carousel"/>
    <s v="Sports"/>
    <s v="fr"/>
    <s v="UK"/>
    <d v="2024-03-19T00:00:00"/>
    <s v="#fyp #tech #music #trending"/>
    <n v="8726256"/>
    <n v="396648"/>
    <n v="792"/>
    <n v="38991"/>
    <n v="0.05"/>
    <n v="0.77200000000000002"/>
    <n v="1"/>
    <x v="0"/>
    <x v="0"/>
  </r>
  <r>
    <s v="SM_101316"/>
    <x v="3"/>
    <s v="carousel"/>
    <s v="Sports"/>
    <s v="en"/>
    <s v="UK"/>
    <d v="2024-06-29T00:00:00"/>
    <s v="#trending #funny #viral #tech"/>
    <n v="2849472"/>
    <n v="167616"/>
    <n v="35345"/>
    <n v="5034"/>
    <n v="7.2999999999999995E-2"/>
    <n v="0.44"/>
    <n v="1"/>
    <x v="0"/>
    <x v="0"/>
  </r>
  <r>
    <s v="SM_101317"/>
    <x v="1"/>
    <s v="carousel"/>
    <s v="Education"/>
    <s v="en"/>
    <s v="India"/>
    <d v="2024-04-02T00:00:00"/>
    <s v="#trending #music #viral"/>
    <n v="3363150"/>
    <n v="480450"/>
    <n v="37485"/>
    <n v="95240"/>
    <n v="0.18229999999999999"/>
    <n v="-0.90200000000000002"/>
    <n v="1"/>
    <x v="0"/>
    <x v="1"/>
  </r>
  <r>
    <s v="SM_101318"/>
    <x v="2"/>
    <s v="video"/>
    <s v="Politics"/>
    <s v="en"/>
    <s v="Pakistan"/>
    <d v="2024-03-23T00:00:00"/>
    <s v="#fyp #ai #tech"/>
    <n v="190825"/>
    <n v="7633"/>
    <n v="15108"/>
    <n v="70153"/>
    <n v="0.48680000000000001"/>
    <n v="-0.998"/>
    <n v="0"/>
    <x v="1"/>
    <x v="1"/>
  </r>
  <r>
    <s v="SM_101319"/>
    <x v="1"/>
    <s v="text"/>
    <s v="Politics"/>
    <s v="en"/>
    <s v="US"/>
    <d v="2024-04-10T00:00:00"/>
    <s v="#news #funny #trending"/>
    <n v="1855176"/>
    <n v="109128"/>
    <n v="11777"/>
    <n v="89386"/>
    <n v="0.1134"/>
    <n v="-0.58099999999999996"/>
    <n v="0"/>
    <x v="1"/>
    <x v="1"/>
  </r>
  <r>
    <s v="SM_101320"/>
    <x v="3"/>
    <s v="text"/>
    <s v="Technology"/>
    <s v="hi"/>
    <s v="UK"/>
    <d v="2024-02-27T00:00:00"/>
    <s v="#news #ai"/>
    <n v="365120"/>
    <n v="13040"/>
    <n v="16937"/>
    <n v="95306"/>
    <n v="0.34310000000000002"/>
    <n v="-0.91900000000000004"/>
    <n v="0"/>
    <x v="1"/>
    <x v="1"/>
  </r>
  <r>
    <s v="SM_101321"/>
    <x v="0"/>
    <s v="image"/>
    <s v="Education"/>
    <s v="ur"/>
    <s v="India"/>
    <d v="2024-06-30T00:00:00"/>
    <s v="#news #trending #funny #tech"/>
    <n v="892782"/>
    <n v="33066"/>
    <n v="27782"/>
    <n v="32568"/>
    <n v="0.1046"/>
    <n v="0.24099999999999999"/>
    <n v="0"/>
    <x v="1"/>
    <x v="0"/>
  </r>
  <r>
    <s v="SM_101322"/>
    <x v="3"/>
    <s v="carousel"/>
    <s v="Entertainment"/>
    <s v="fr"/>
    <s v="India"/>
    <d v="2024-12-03T00:00:00"/>
    <s v="#fyp #funny #tech"/>
    <n v="5140017"/>
    <n v="190371"/>
    <n v="13803"/>
    <n v="65365"/>
    <n v="5.2400000000000002E-2"/>
    <n v="-0.22800000000000001"/>
    <n v="1"/>
    <x v="0"/>
    <x v="1"/>
  </r>
  <r>
    <s v="SM_101323"/>
    <x v="3"/>
    <s v="video"/>
    <s v="Sports"/>
    <s v="es"/>
    <s v="US"/>
    <d v="2024-03-23T00:00:00"/>
    <s v="#music #tech"/>
    <n v="5703401"/>
    <n v="196669"/>
    <n v="183"/>
    <n v="86007"/>
    <n v="4.9599999999999998E-2"/>
    <n v="-0.69599999999999995"/>
    <n v="1"/>
    <x v="0"/>
    <x v="1"/>
  </r>
  <r>
    <s v="SM_101324"/>
    <x v="1"/>
    <s v="carousel"/>
    <s v="Technology"/>
    <s v="hi"/>
    <s v="US"/>
    <d v="2024-04-25T00:00:00"/>
    <s v="#music #viral #news"/>
    <n v="6039747"/>
    <n v="287607"/>
    <n v="2800"/>
    <n v="97463"/>
    <n v="6.4199999999999993E-2"/>
    <n v="-0.63500000000000001"/>
    <n v="1"/>
    <x v="0"/>
    <x v="1"/>
  </r>
  <r>
    <s v="SM_101325"/>
    <x v="3"/>
    <s v="image"/>
    <s v="Politics"/>
    <s v="fr"/>
    <s v="India"/>
    <d v="2024-02-20T00:00:00"/>
    <s v="#trending #funny #music"/>
    <n v="3714592"/>
    <n v="265328"/>
    <n v="30334"/>
    <n v="76647"/>
    <n v="0.1002"/>
    <n v="0.45200000000000001"/>
    <n v="1"/>
    <x v="0"/>
    <x v="0"/>
  </r>
  <r>
    <s v="SM_101326"/>
    <x v="1"/>
    <s v="text"/>
    <s v="Politics"/>
    <s v="es"/>
    <s v="Brazil"/>
    <d v="2024-01-22T00:00:00"/>
    <s v="#viral #trending #ai #tech #music"/>
    <n v="1707332"/>
    <n v="77606"/>
    <n v="43710"/>
    <n v="44131"/>
    <n v="9.69E-2"/>
    <n v="-0.58699999999999997"/>
    <n v="0"/>
    <x v="1"/>
    <x v="1"/>
  </r>
  <r>
    <s v="SM_101327"/>
    <x v="1"/>
    <s v="image"/>
    <s v="Technology"/>
    <s v="hi"/>
    <s v="Brazil"/>
    <d v="2024-08-23T00:00:00"/>
    <s v="#viral #tech"/>
    <n v="3366257"/>
    <n v="146359"/>
    <n v="25796"/>
    <n v="90437"/>
    <n v="7.8E-2"/>
    <n v="-0.20300000000000001"/>
    <n v="1"/>
    <x v="0"/>
    <x v="1"/>
  </r>
  <r>
    <s v="SM_101328"/>
    <x v="3"/>
    <s v="video"/>
    <s v="Education"/>
    <s v="fr"/>
    <s v="Brazil"/>
    <d v="2024-04-30T00:00:00"/>
    <s v="#tech #fyp #music #trending"/>
    <n v="8663660"/>
    <n v="433183"/>
    <n v="898"/>
    <n v="99695"/>
    <n v="6.1600000000000002E-2"/>
    <n v="0.624"/>
    <n v="1"/>
    <x v="0"/>
    <x v="0"/>
  </r>
  <r>
    <s v="SM_101329"/>
    <x v="3"/>
    <s v="video"/>
    <s v="Entertainment"/>
    <s v="ur"/>
    <s v="UK"/>
    <d v="2024-06-26T00:00:00"/>
    <s v="#fyp #viral #tech #trending"/>
    <n v="2002972"/>
    <n v="69068"/>
    <n v="35144"/>
    <n v="60431"/>
    <n v="8.2199999999999995E-2"/>
    <n v="-0.35299999999999998"/>
    <n v="1"/>
    <x v="0"/>
    <x v="1"/>
  </r>
  <r>
    <s v="SM_101330"/>
    <x v="3"/>
    <s v="carousel"/>
    <s v="Entertainment"/>
    <s v="es"/>
    <s v="India"/>
    <d v="2024-07-16T00:00:00"/>
    <s v="#tech #viral #music #trending"/>
    <n v="5153022"/>
    <n v="245382"/>
    <n v="39099"/>
    <n v="14606"/>
    <n v="5.8000000000000003E-2"/>
    <n v="0.315"/>
    <n v="1"/>
    <x v="0"/>
    <x v="0"/>
  </r>
  <r>
    <s v="SM_101331"/>
    <x v="2"/>
    <s v="video"/>
    <s v="Politics"/>
    <s v="es"/>
    <s v="Pakistan"/>
    <d v="2024-07-24T00:00:00"/>
    <s v="#funny #trending #music #viral"/>
    <n v="8035923"/>
    <n v="382663"/>
    <n v="48674"/>
    <n v="31187"/>
    <n v="5.7599999999999998E-2"/>
    <n v="-0.875"/>
    <n v="1"/>
    <x v="0"/>
    <x v="1"/>
  </r>
  <r>
    <s v="SM_101332"/>
    <x v="1"/>
    <s v="image"/>
    <s v="Education"/>
    <s v="en"/>
    <s v="Brazil"/>
    <d v="2024-03-31T00:00:00"/>
    <s v="#music #tech #funny #viral"/>
    <n v="8860382"/>
    <n v="385234"/>
    <n v="21498"/>
    <n v="20712"/>
    <n v="4.82E-2"/>
    <n v="-0.503"/>
    <n v="1"/>
    <x v="0"/>
    <x v="1"/>
  </r>
  <r>
    <s v="SM_101333"/>
    <x v="2"/>
    <s v="carousel"/>
    <s v="Technology"/>
    <s v="hi"/>
    <s v="India"/>
    <d v="2024-07-22T00:00:00"/>
    <s v="#tech #trending"/>
    <n v="4753065"/>
    <n v="206655"/>
    <n v="32340"/>
    <n v="81396"/>
    <n v="6.7400000000000002E-2"/>
    <n v="0.751"/>
    <n v="1"/>
    <x v="0"/>
    <x v="0"/>
  </r>
  <r>
    <s v="SM_101334"/>
    <x v="1"/>
    <s v="text"/>
    <s v="Politics"/>
    <s v="en"/>
    <s v="UK"/>
    <d v="2024-05-02T00:00:00"/>
    <s v="#music #tech #trending"/>
    <n v="5903324"/>
    <n v="421666"/>
    <n v="41937"/>
    <n v="33799"/>
    <n v="8.43E-2"/>
    <n v="0.52900000000000003"/>
    <n v="1"/>
    <x v="0"/>
    <x v="0"/>
  </r>
  <r>
    <s v="SM_101335"/>
    <x v="3"/>
    <s v="text"/>
    <s v="Politics"/>
    <s v="ur"/>
    <s v="India"/>
    <d v="2024-12-19T00:00:00"/>
    <s v="#viral #fyp"/>
    <n v="3809240"/>
    <n v="380924"/>
    <n v="17302"/>
    <n v="71895"/>
    <n v="0.1234"/>
    <n v="0.36499999999999999"/>
    <n v="1"/>
    <x v="0"/>
    <x v="0"/>
  </r>
  <r>
    <s v="SM_101336"/>
    <x v="2"/>
    <s v="video"/>
    <s v="Education"/>
    <s v="ur"/>
    <s v="Pakistan"/>
    <d v="2024-10-07T00:00:00"/>
    <s v="#tech #music"/>
    <n v="8888208"/>
    <n v="317436"/>
    <n v="1467"/>
    <n v="64174"/>
    <n v="4.3099999999999999E-2"/>
    <n v="-0.53700000000000003"/>
    <n v="1"/>
    <x v="0"/>
    <x v="1"/>
  </r>
  <r>
    <s v="SM_101337"/>
    <x v="2"/>
    <s v="carousel"/>
    <s v="Education"/>
    <s v="ur"/>
    <s v="Brazil"/>
    <d v="2024-03-23T00:00:00"/>
    <s v="#news #tech #viral #music"/>
    <n v="1053516"/>
    <n v="175586"/>
    <n v="15479"/>
    <n v="72574"/>
    <n v="0.25019999999999998"/>
    <n v="-0.873"/>
    <n v="0"/>
    <x v="1"/>
    <x v="1"/>
  </r>
  <r>
    <s v="SM_101338"/>
    <x v="2"/>
    <s v="text"/>
    <s v="Lifestyle"/>
    <s v="es"/>
    <s v="US"/>
    <d v="2024-04-27T00:00:00"/>
    <s v="#news #viral #tech #funny #music"/>
    <n v="269720"/>
    <n v="13486"/>
    <n v="6226"/>
    <n v="23475"/>
    <n v="0.16009999999999999"/>
    <n v="-0.34200000000000003"/>
    <n v="0"/>
    <x v="1"/>
    <x v="1"/>
  </r>
  <r>
    <s v="SM_101339"/>
    <x v="3"/>
    <s v="carousel"/>
    <s v="Lifestyle"/>
    <s v="en"/>
    <s v="UK"/>
    <d v="2024-02-04T00:00:00"/>
    <s v="#music #viral #news"/>
    <n v="4242756"/>
    <n v="353563"/>
    <n v="40162"/>
    <n v="4923"/>
    <n v="9.4E-2"/>
    <n v="0.74299999999999999"/>
    <n v="1"/>
    <x v="0"/>
    <x v="0"/>
  </r>
  <r>
    <s v="SM_101340"/>
    <x v="0"/>
    <s v="image"/>
    <s v="Politics"/>
    <s v="hi"/>
    <s v="Brazil"/>
    <d v="2024-09-26T00:00:00"/>
    <s v="#ai #tech #fyp"/>
    <n v="576785"/>
    <n v="52435"/>
    <n v="32484"/>
    <n v="52950"/>
    <n v="0.23899999999999999"/>
    <n v="-0.73699999999999999"/>
    <n v="0"/>
    <x v="1"/>
    <x v="1"/>
  </r>
  <r>
    <s v="SM_101341"/>
    <x v="3"/>
    <s v="video"/>
    <s v="Technology"/>
    <s v="ur"/>
    <s v="Pakistan"/>
    <d v="2024-03-19T00:00:00"/>
    <s v="#tech #viral #fyp #news #music"/>
    <n v="4374192"/>
    <n v="364516"/>
    <n v="2721"/>
    <n v="16575"/>
    <n v="8.77E-2"/>
    <n v="0.35499999999999998"/>
    <n v="1"/>
    <x v="0"/>
    <x v="0"/>
  </r>
  <r>
    <s v="SM_101342"/>
    <x v="0"/>
    <s v="image"/>
    <s v="Politics"/>
    <s v="en"/>
    <s v="India"/>
    <d v="2024-07-04T00:00:00"/>
    <s v="#music #tech #funny #trending"/>
    <n v="11371932"/>
    <n v="437382"/>
    <n v="49535"/>
    <n v="61827"/>
    <n v="4.8300000000000003E-2"/>
    <n v="-0.38600000000000001"/>
    <n v="1"/>
    <x v="0"/>
    <x v="1"/>
  </r>
  <r>
    <s v="SM_101343"/>
    <x v="2"/>
    <s v="text"/>
    <s v="Politics"/>
    <s v="ur"/>
    <s v="Brazil"/>
    <d v="2024-10-06T00:00:00"/>
    <s v="#viral #music #tech #ai #news"/>
    <n v="2856590"/>
    <n v="259690"/>
    <n v="468"/>
    <n v="31974"/>
    <n v="0.1023"/>
    <n v="-0.23300000000000001"/>
    <n v="1"/>
    <x v="0"/>
    <x v="1"/>
  </r>
  <r>
    <s v="SM_101344"/>
    <x v="2"/>
    <s v="video"/>
    <s v="Entertainment"/>
    <s v="es"/>
    <s v="Pakistan"/>
    <d v="2024-09-22T00:00:00"/>
    <s v="#music #fyp #ai #funny #trending"/>
    <n v="3951528"/>
    <n v="282252"/>
    <n v="46207"/>
    <n v="70475"/>
    <n v="0.10100000000000001"/>
    <n v="9.8000000000000004E-2"/>
    <n v="1"/>
    <x v="0"/>
    <x v="0"/>
  </r>
  <r>
    <s v="SM_101345"/>
    <x v="0"/>
    <s v="text"/>
    <s v="Education"/>
    <s v="fr"/>
    <s v="Pakistan"/>
    <d v="2024-08-26T00:00:00"/>
    <s v="#trending #ai #funny"/>
    <n v="6080529"/>
    <n v="467733"/>
    <n v="5608"/>
    <n v="34981"/>
    <n v="8.3599999999999994E-2"/>
    <n v="-0.38400000000000001"/>
    <n v="1"/>
    <x v="0"/>
    <x v="1"/>
  </r>
  <r>
    <s v="SM_101346"/>
    <x v="3"/>
    <s v="carousel"/>
    <s v="Entertainment"/>
    <s v="en"/>
    <s v="US"/>
    <d v="2024-05-24T00:00:00"/>
    <s v="#tech #funny #trending"/>
    <n v="1053396"/>
    <n v="117044"/>
    <n v="28391"/>
    <n v="11696"/>
    <n v="0.1492"/>
    <n v="0.96199999999999997"/>
    <n v="0"/>
    <x v="1"/>
    <x v="0"/>
  </r>
  <r>
    <s v="SM_101347"/>
    <x v="1"/>
    <s v="text"/>
    <s v="Education"/>
    <s v="fr"/>
    <s v="India"/>
    <d v="2024-03-05T00:00:00"/>
    <s v="#trending #music #viral #funny"/>
    <n v="11946384"/>
    <n v="497766"/>
    <n v="33144"/>
    <n v="8803"/>
    <n v="4.5199999999999997E-2"/>
    <n v="-6.2E-2"/>
    <n v="1"/>
    <x v="0"/>
    <x v="1"/>
  </r>
  <r>
    <s v="SM_101348"/>
    <x v="2"/>
    <s v="carousel"/>
    <s v="Politics"/>
    <s v="hi"/>
    <s v="Pakistan"/>
    <d v="2024-02-24T00:00:00"/>
    <s v="#tech #viral #news #trending #music"/>
    <n v="6224463"/>
    <n v="296403"/>
    <n v="11521"/>
    <n v="50493"/>
    <n v="5.7599999999999998E-2"/>
    <n v="-0.39200000000000002"/>
    <n v="1"/>
    <x v="0"/>
    <x v="1"/>
  </r>
  <r>
    <s v="SM_101349"/>
    <x v="2"/>
    <s v="video"/>
    <s v="Sports"/>
    <s v="es"/>
    <s v="US"/>
    <d v="2024-02-22T00:00:00"/>
    <s v="#viral #music #trending #fyp #funny"/>
    <n v="8193658"/>
    <n v="372439"/>
    <n v="47771"/>
    <n v="38738"/>
    <n v="5.6000000000000001E-2"/>
    <n v="-0.38700000000000001"/>
    <n v="1"/>
    <x v="0"/>
    <x v="1"/>
  </r>
  <r>
    <s v="SM_101350"/>
    <x v="2"/>
    <s v="text"/>
    <s v="Sports"/>
    <s v="hi"/>
    <s v="India"/>
    <d v="2024-11-17T00:00:00"/>
    <s v="#ai #music"/>
    <n v="4739151"/>
    <n v="249429"/>
    <n v="5459"/>
    <n v="91718"/>
    <n v="7.3099999999999998E-2"/>
    <n v="0.72499999999999998"/>
    <n v="1"/>
    <x v="0"/>
    <x v="0"/>
  </r>
  <r>
    <s v="SM_101351"/>
    <x v="1"/>
    <s v="image"/>
    <s v="Education"/>
    <s v="ur"/>
    <s v="India"/>
    <d v="2024-10-06T00:00:00"/>
    <s v="#ai #funny #trending #tech"/>
    <n v="3314094"/>
    <n v="174426"/>
    <n v="24332"/>
    <n v="53635"/>
    <n v="7.6200000000000004E-2"/>
    <n v="0.72699999999999998"/>
    <n v="1"/>
    <x v="0"/>
    <x v="0"/>
  </r>
  <r>
    <s v="SM_101352"/>
    <x v="2"/>
    <s v="text"/>
    <s v="Education"/>
    <s v="es"/>
    <s v="India"/>
    <d v="2024-07-08T00:00:00"/>
    <s v="#fyp #funny #music"/>
    <n v="8845944"/>
    <n v="368581"/>
    <n v="33756"/>
    <n v="87528"/>
    <n v="5.5399999999999998E-2"/>
    <n v="8.8999999999999996E-2"/>
    <n v="1"/>
    <x v="0"/>
    <x v="0"/>
  </r>
  <r>
    <s v="SM_101353"/>
    <x v="3"/>
    <s v="image"/>
    <s v="Lifestyle"/>
    <s v="hi"/>
    <s v="Pakistan"/>
    <d v="2024-04-15T00:00:00"/>
    <s v="#viral #ai #music #fyp"/>
    <n v="5476104"/>
    <n v="304228"/>
    <n v="41510"/>
    <n v="62700"/>
    <n v="7.46E-2"/>
    <n v="-0.312"/>
    <n v="1"/>
    <x v="0"/>
    <x v="1"/>
  </r>
  <r>
    <s v="SM_101354"/>
    <x v="0"/>
    <s v="image"/>
    <s v="Technology"/>
    <s v="en"/>
    <s v="UK"/>
    <d v="2024-03-06T00:00:00"/>
    <s v="#news #trending #viral #funny"/>
    <n v="1703031"/>
    <n v="154821"/>
    <n v="42070"/>
    <n v="92662"/>
    <n v="0.17"/>
    <n v="0.76"/>
    <n v="0"/>
    <x v="1"/>
    <x v="0"/>
  </r>
  <r>
    <s v="SM_101355"/>
    <x v="1"/>
    <s v="video"/>
    <s v="Politics"/>
    <s v="en"/>
    <s v="Brazil"/>
    <d v="2024-05-05T00:00:00"/>
    <s v="#news #trending"/>
    <n v="3444794"/>
    <n v="118786"/>
    <n v="3780"/>
    <n v="27389"/>
    <n v="4.3499999999999997E-2"/>
    <n v="-0.72299999999999998"/>
    <n v="1"/>
    <x v="0"/>
    <x v="1"/>
  </r>
  <r>
    <s v="SM_101356"/>
    <x v="1"/>
    <s v="video"/>
    <s v="Politics"/>
    <s v="es"/>
    <s v="Pakistan"/>
    <d v="2024-07-18T00:00:00"/>
    <s v="#ai #viral #tech #trending #music"/>
    <n v="1895298"/>
    <n v="315883"/>
    <n v="48479"/>
    <n v="14646"/>
    <n v="0.2"/>
    <n v="-0.85299999999999998"/>
    <n v="0"/>
    <x v="1"/>
    <x v="1"/>
  </r>
  <r>
    <s v="SM_101357"/>
    <x v="2"/>
    <s v="text"/>
    <s v="Lifestyle"/>
    <s v="es"/>
    <s v="UK"/>
    <d v="2024-02-26T00:00:00"/>
    <s v="#ai #funny #tech #news #viral"/>
    <n v="6218904"/>
    <n v="259121"/>
    <n v="15965"/>
    <n v="11358"/>
    <n v="4.6100000000000002E-2"/>
    <n v="-0.156"/>
    <n v="1"/>
    <x v="0"/>
    <x v="1"/>
  </r>
  <r>
    <s v="SM_101358"/>
    <x v="0"/>
    <s v="video"/>
    <s v="Education"/>
    <s v="es"/>
    <s v="Brazil"/>
    <d v="2024-11-21T00:00:00"/>
    <s v="#music #fyp #ai #news"/>
    <n v="2556640"/>
    <n v="127832"/>
    <n v="14631"/>
    <n v="28133"/>
    <n v="6.6699999999999995E-2"/>
    <n v="0.70599999999999996"/>
    <n v="1"/>
    <x v="0"/>
    <x v="0"/>
  </r>
  <r>
    <s v="SM_101359"/>
    <x v="1"/>
    <s v="video"/>
    <s v="Lifestyle"/>
    <s v="es"/>
    <s v="India"/>
    <d v="2024-09-07T00:00:00"/>
    <s v="#fyp #ai #tech #funny"/>
    <n v="7638687"/>
    <n v="363747"/>
    <n v="39541"/>
    <n v="9131"/>
    <n v="5.3999999999999999E-2"/>
    <n v="-0.44600000000000001"/>
    <n v="1"/>
    <x v="0"/>
    <x v="1"/>
  </r>
  <r>
    <s v="SM_101360"/>
    <x v="3"/>
    <s v="video"/>
    <s v="Entertainment"/>
    <s v="fr"/>
    <s v="Brazil"/>
    <d v="2024-10-22T00:00:00"/>
    <s v="#music #ai #tech #funny"/>
    <n v="4571850"/>
    <n v="182874"/>
    <n v="36998"/>
    <n v="31876"/>
    <n v="5.5100000000000003E-2"/>
    <n v="0.32200000000000001"/>
    <n v="1"/>
    <x v="0"/>
    <x v="0"/>
  </r>
  <r>
    <s v="SM_101361"/>
    <x v="1"/>
    <s v="video"/>
    <s v="Education"/>
    <s v="fr"/>
    <s v="UK"/>
    <d v="2024-12-05T00:00:00"/>
    <s v="#viral #funny #news #trending #ai"/>
    <n v="1182027"/>
    <n v="107457"/>
    <n v="48522"/>
    <n v="76369"/>
    <n v="0.1966"/>
    <n v="0.69099999999999995"/>
    <n v="0"/>
    <x v="1"/>
    <x v="0"/>
  </r>
  <r>
    <s v="SM_101362"/>
    <x v="1"/>
    <s v="carousel"/>
    <s v="Entertainment"/>
    <s v="en"/>
    <s v="UK"/>
    <d v="2024-12-29T00:00:00"/>
    <s v="#news #fyp"/>
    <n v="8082200"/>
    <n v="351400"/>
    <n v="28312"/>
    <n v="67088"/>
    <n v="5.5300000000000002E-2"/>
    <n v="-0.89100000000000001"/>
    <n v="1"/>
    <x v="0"/>
    <x v="1"/>
  </r>
  <r>
    <s v="SM_101363"/>
    <x v="3"/>
    <s v="video"/>
    <s v="Lifestyle"/>
    <s v="en"/>
    <s v="India"/>
    <d v="2024-07-16T00:00:00"/>
    <s v="#funny #music #trending"/>
    <n v="2303615"/>
    <n v="79435"/>
    <n v="26317"/>
    <n v="66986"/>
    <n v="7.4999999999999997E-2"/>
    <n v="-0.78900000000000003"/>
    <n v="1"/>
    <x v="0"/>
    <x v="1"/>
  </r>
  <r>
    <s v="SM_101364"/>
    <x v="3"/>
    <s v="text"/>
    <s v="Lifestyle"/>
    <s v="fr"/>
    <s v="US"/>
    <d v="2024-10-08T00:00:00"/>
    <s v="#tech #funny #viral #music"/>
    <n v="12565228"/>
    <n v="483278"/>
    <n v="35432"/>
    <n v="40278"/>
    <n v="4.4499999999999998E-2"/>
    <n v="0.48499999999999999"/>
    <n v="1"/>
    <x v="0"/>
    <x v="0"/>
  </r>
  <r>
    <s v="SM_101365"/>
    <x v="1"/>
    <s v="text"/>
    <s v="Lifestyle"/>
    <s v="ur"/>
    <s v="Pakistan"/>
    <d v="2024-11-28T00:00:00"/>
    <s v="#fyp #funny"/>
    <n v="6958548"/>
    <n v="386586"/>
    <n v="45217"/>
    <n v="9638"/>
    <n v="6.3399999999999998E-2"/>
    <n v="0.752"/>
    <n v="1"/>
    <x v="0"/>
    <x v="0"/>
  </r>
  <r>
    <s v="SM_101366"/>
    <x v="1"/>
    <s v="text"/>
    <s v="Sports"/>
    <s v="en"/>
    <s v="US"/>
    <d v="2024-03-27T00:00:00"/>
    <s v="#music #viral #fyp"/>
    <n v="216400"/>
    <n v="27050"/>
    <n v="23493"/>
    <n v="216"/>
    <n v="0.2346"/>
    <n v="2.5000000000000001E-2"/>
    <n v="0"/>
    <x v="1"/>
    <x v="0"/>
  </r>
  <r>
    <s v="SM_101367"/>
    <x v="3"/>
    <s v="carousel"/>
    <s v="Sports"/>
    <s v="es"/>
    <s v="UK"/>
    <d v="2024-08-09T00:00:00"/>
    <s v="#music #news #tech #ai #fyp"/>
    <n v="1654665"/>
    <n v="330933"/>
    <n v="23839"/>
    <n v="34475"/>
    <n v="0.23519999999999999"/>
    <n v="0.437"/>
    <n v="0"/>
    <x v="1"/>
    <x v="0"/>
  </r>
  <r>
    <s v="SM_101368"/>
    <x v="1"/>
    <s v="text"/>
    <s v="Politics"/>
    <s v="ur"/>
    <s v="Brazil"/>
    <d v="2024-12-17T00:00:00"/>
    <s v="#fyp #music #ai"/>
    <n v="339960"/>
    <n v="33996"/>
    <n v="19899"/>
    <n v="28900"/>
    <n v="0.24349999999999999"/>
    <n v="-0.78400000000000003"/>
    <n v="0"/>
    <x v="1"/>
    <x v="1"/>
  </r>
  <r>
    <s v="SM_101369"/>
    <x v="3"/>
    <s v="carousel"/>
    <s v="Politics"/>
    <s v="ur"/>
    <s v="India"/>
    <d v="2024-01-22T00:00:00"/>
    <s v="#viral #tech #news #trending #fyp"/>
    <n v="11149964"/>
    <n v="398213"/>
    <n v="6006"/>
    <n v="4568"/>
    <n v="3.6700000000000003E-2"/>
    <n v="0.249"/>
    <n v="1"/>
    <x v="0"/>
    <x v="0"/>
  </r>
  <r>
    <s v="SM_101370"/>
    <x v="2"/>
    <s v="image"/>
    <s v="Sports"/>
    <s v="fr"/>
    <s v="US"/>
    <d v="2024-04-18T00:00:00"/>
    <s v="#news #music #ai #funny #viral"/>
    <n v="4234995"/>
    <n v="470555"/>
    <n v="13334"/>
    <n v="71793"/>
    <n v="0.13120000000000001"/>
    <n v="0.373"/>
    <n v="1"/>
    <x v="0"/>
    <x v="0"/>
  </r>
  <r>
    <s v="SM_101371"/>
    <x v="1"/>
    <s v="text"/>
    <s v="Lifestyle"/>
    <s v="ur"/>
    <s v="US"/>
    <d v="2024-09-15T00:00:00"/>
    <s v="#trending #music #ai #fyp #funny"/>
    <n v="1003104"/>
    <n v="37152"/>
    <n v="46037"/>
    <n v="88722"/>
    <n v="0.1714"/>
    <n v="0.34300000000000003"/>
    <n v="0"/>
    <x v="1"/>
    <x v="0"/>
  </r>
  <r>
    <s v="SM_101372"/>
    <x v="0"/>
    <s v="image"/>
    <s v="Entertainment"/>
    <s v="hi"/>
    <s v="Brazil"/>
    <d v="2024-11-24T00:00:00"/>
    <s v="#ai #tech"/>
    <n v="3652616"/>
    <n v="456577"/>
    <n v="2814"/>
    <n v="41786"/>
    <n v="0.13719999999999999"/>
    <n v="0.97799999999999998"/>
    <n v="1"/>
    <x v="0"/>
    <x v="0"/>
  </r>
  <r>
    <s v="SM_101373"/>
    <x v="1"/>
    <s v="image"/>
    <s v="Education"/>
    <s v="ur"/>
    <s v="India"/>
    <d v="2024-02-20T00:00:00"/>
    <s v="#fyp #music #viral"/>
    <n v="3675881"/>
    <n v="334171"/>
    <n v="150"/>
    <n v="79466"/>
    <n v="0.11260000000000001"/>
    <n v="0.50900000000000001"/>
    <n v="1"/>
    <x v="0"/>
    <x v="0"/>
  </r>
  <r>
    <s v="SM_101374"/>
    <x v="0"/>
    <s v="carousel"/>
    <s v="Entertainment"/>
    <s v="ur"/>
    <s v="India"/>
    <d v="2024-12-11T00:00:00"/>
    <s v="#music #funny #fyp"/>
    <n v="6291117"/>
    <n v="299577"/>
    <n v="16581"/>
    <n v="39406"/>
    <n v="5.6500000000000002E-2"/>
    <n v="0.71499999999999997"/>
    <n v="1"/>
    <x v="0"/>
    <x v="0"/>
  </r>
  <r>
    <s v="SM_101375"/>
    <x v="2"/>
    <s v="image"/>
    <s v="Lifestyle"/>
    <s v="fr"/>
    <s v="Pakistan"/>
    <d v="2024-07-19T00:00:00"/>
    <s v="#tech #news #viral"/>
    <n v="5943420"/>
    <n v="330190"/>
    <n v="1825"/>
    <n v="52117"/>
    <n v="6.4600000000000005E-2"/>
    <n v="0.71799999999999997"/>
    <n v="1"/>
    <x v="0"/>
    <x v="0"/>
  </r>
  <r>
    <s v="SM_101376"/>
    <x v="3"/>
    <s v="carousel"/>
    <s v="Sports"/>
    <s v="hi"/>
    <s v="Brazil"/>
    <d v="2024-09-09T00:00:00"/>
    <s v="#viral #tech"/>
    <n v="7478174"/>
    <n v="325138"/>
    <n v="34640"/>
    <n v="7466"/>
    <n v="4.9099999999999998E-2"/>
    <n v="-0.75600000000000001"/>
    <n v="1"/>
    <x v="0"/>
    <x v="1"/>
  </r>
  <r>
    <s v="SM_101377"/>
    <x v="3"/>
    <s v="carousel"/>
    <s v="Politics"/>
    <s v="ur"/>
    <s v="Brazil"/>
    <d v="2024-04-16T00:00:00"/>
    <s v="#funny #fyp #tech"/>
    <n v="10416252"/>
    <n v="372009"/>
    <n v="19588"/>
    <n v="92692"/>
    <n v="4.65E-2"/>
    <n v="-0.86299999999999999"/>
    <n v="1"/>
    <x v="0"/>
    <x v="1"/>
  </r>
  <r>
    <s v="SM_101378"/>
    <x v="0"/>
    <s v="carousel"/>
    <s v="Politics"/>
    <s v="fr"/>
    <s v="US"/>
    <d v="2024-08-14T00:00:00"/>
    <s v="#music #fyp #ai"/>
    <n v="6126855"/>
    <n v="291755"/>
    <n v="15429"/>
    <n v="48822"/>
    <n v="5.8099999999999999E-2"/>
    <n v="-0.72599999999999998"/>
    <n v="1"/>
    <x v="0"/>
    <x v="1"/>
  </r>
  <r>
    <s v="SM_101379"/>
    <x v="2"/>
    <s v="carousel"/>
    <s v="Sports"/>
    <s v="ur"/>
    <s v="Pakistan"/>
    <d v="2024-03-11T00:00:00"/>
    <s v="#ai #news #music #trending"/>
    <n v="10774373"/>
    <n v="468451"/>
    <n v="44467"/>
    <n v="61383"/>
    <n v="5.33E-2"/>
    <n v="-0.14399999999999999"/>
    <n v="1"/>
    <x v="0"/>
    <x v="1"/>
  </r>
  <r>
    <s v="SM_101380"/>
    <x v="0"/>
    <s v="image"/>
    <s v="Education"/>
    <s v="fr"/>
    <s v="UK"/>
    <d v="2024-04-06T00:00:00"/>
    <s v="#funny #trending #news #tech"/>
    <n v="715204"/>
    <n v="102172"/>
    <n v="41915"/>
    <n v="73532"/>
    <n v="0.30430000000000001"/>
    <n v="-0.27300000000000002"/>
    <n v="0"/>
    <x v="1"/>
    <x v="1"/>
  </r>
  <r>
    <s v="SM_101381"/>
    <x v="3"/>
    <s v="image"/>
    <s v="Lifestyle"/>
    <s v="fr"/>
    <s v="Pakistan"/>
    <d v="2024-12-24T00:00:00"/>
    <s v="#music #funny"/>
    <n v="5039616"/>
    <n v="209984"/>
    <n v="19994"/>
    <n v="78283"/>
    <n v="6.1199999999999997E-2"/>
    <n v="0.61599999999999999"/>
    <n v="1"/>
    <x v="0"/>
    <x v="0"/>
  </r>
  <r>
    <s v="SM_101382"/>
    <x v="2"/>
    <s v="text"/>
    <s v="Education"/>
    <s v="hi"/>
    <s v="Pakistan"/>
    <d v="2024-01-11T00:00:00"/>
    <s v="#viral #fyp #music"/>
    <n v="2260910"/>
    <n v="452182"/>
    <n v="6573"/>
    <n v="84578"/>
    <n v="0.24030000000000001"/>
    <n v="0.90700000000000003"/>
    <n v="1"/>
    <x v="0"/>
    <x v="0"/>
  </r>
  <r>
    <s v="SM_101383"/>
    <x v="2"/>
    <s v="carousel"/>
    <s v="Sports"/>
    <s v="fr"/>
    <s v="UK"/>
    <d v="2024-02-28T00:00:00"/>
    <s v="#funny #tech #ai"/>
    <n v="4176207"/>
    <n v="198867"/>
    <n v="27030"/>
    <n v="52983"/>
    <n v="6.6799999999999998E-2"/>
    <n v="-0.371"/>
    <n v="1"/>
    <x v="0"/>
    <x v="1"/>
  </r>
  <r>
    <s v="SM_101384"/>
    <x v="1"/>
    <s v="carousel"/>
    <s v="Entertainment"/>
    <s v="fr"/>
    <s v="Brazil"/>
    <d v="2024-02-29T00:00:00"/>
    <s v="#ai #tech #news #fyp"/>
    <n v="5208084"/>
    <n v="289338"/>
    <n v="46045"/>
    <n v="66767"/>
    <n v="7.7200000000000005E-2"/>
    <n v="0.83199999999999996"/>
    <n v="1"/>
    <x v="0"/>
    <x v="0"/>
  </r>
  <r>
    <s v="SM_101385"/>
    <x v="2"/>
    <s v="image"/>
    <s v="Politics"/>
    <s v="en"/>
    <s v="UK"/>
    <d v="2024-12-02T00:00:00"/>
    <s v="#music #ai #news #viral"/>
    <n v="3674986"/>
    <n v="159782"/>
    <n v="15932"/>
    <n v="34679"/>
    <n v="5.7299999999999997E-2"/>
    <n v="-0.34699999999999998"/>
    <n v="1"/>
    <x v="0"/>
    <x v="1"/>
  </r>
  <r>
    <s v="SM_101386"/>
    <x v="3"/>
    <s v="text"/>
    <s v="Sports"/>
    <s v="hi"/>
    <s v="UK"/>
    <d v="2024-01-11T00:00:00"/>
    <s v="#news #music"/>
    <n v="130905"/>
    <n v="26181"/>
    <n v="24359"/>
    <n v="93298"/>
    <n v="1.0988"/>
    <n v="0.64300000000000002"/>
    <n v="0"/>
    <x v="1"/>
    <x v="0"/>
  </r>
  <r>
    <s v="SM_101387"/>
    <x v="1"/>
    <s v="video"/>
    <s v="Education"/>
    <s v="es"/>
    <s v="UK"/>
    <d v="2024-05-08T00:00:00"/>
    <s v="#trending #music #ai #funny"/>
    <n v="1615680"/>
    <n v="323136"/>
    <n v="35530"/>
    <n v="26533"/>
    <n v="0.2384"/>
    <n v="0.91100000000000003"/>
    <n v="0"/>
    <x v="1"/>
    <x v="0"/>
  </r>
  <r>
    <s v="SM_101388"/>
    <x v="0"/>
    <s v="image"/>
    <s v="Politics"/>
    <s v="fr"/>
    <s v="UK"/>
    <d v="2024-01-16T00:00:00"/>
    <s v="#news #tech #fyp #funny"/>
    <n v="1445964"/>
    <n v="55614"/>
    <n v="47897"/>
    <n v="74220"/>
    <n v="0.1229"/>
    <n v="-0.97399999999999998"/>
    <n v="0"/>
    <x v="1"/>
    <x v="1"/>
  </r>
  <r>
    <s v="SM_101389"/>
    <x v="3"/>
    <s v="carousel"/>
    <s v="Politics"/>
    <s v="ur"/>
    <s v="UK"/>
    <d v="2024-06-01T00:00:00"/>
    <s v="#music #news #funny #ai"/>
    <n v="2121112"/>
    <n v="265139"/>
    <n v="15328"/>
    <n v="12353"/>
    <n v="0.1381"/>
    <n v="0.87"/>
    <n v="1"/>
    <x v="0"/>
    <x v="0"/>
  </r>
  <r>
    <s v="SM_101390"/>
    <x v="0"/>
    <s v="image"/>
    <s v="Technology"/>
    <s v="en"/>
    <s v="Brazil"/>
    <d v="2024-05-22T00:00:00"/>
    <s v="#tech #music #ai #fyp #news"/>
    <n v="2606202"/>
    <n v="96526"/>
    <n v="32021"/>
    <n v="61305"/>
    <n v="7.2800000000000004E-2"/>
    <n v="0.96199999999999997"/>
    <n v="1"/>
    <x v="0"/>
    <x v="0"/>
  </r>
  <r>
    <s v="SM_101391"/>
    <x v="2"/>
    <s v="text"/>
    <s v="Entertainment"/>
    <s v="en"/>
    <s v="India"/>
    <d v="2024-06-06T00:00:00"/>
    <s v="#ai #music"/>
    <n v="7447240"/>
    <n v="391960"/>
    <n v="19787"/>
    <n v="67692"/>
    <n v="6.4399999999999999E-2"/>
    <n v="0.75700000000000001"/>
    <n v="1"/>
    <x v="0"/>
    <x v="0"/>
  </r>
  <r>
    <s v="SM_101392"/>
    <x v="2"/>
    <s v="image"/>
    <s v="Technology"/>
    <s v="en"/>
    <s v="US"/>
    <d v="2024-04-08T00:00:00"/>
    <s v="#funny #fyp #trending #ai #tech"/>
    <n v="167328"/>
    <n v="9296"/>
    <n v="43464"/>
    <n v="87246"/>
    <n v="0.8367"/>
    <n v="-0.109"/>
    <n v="0"/>
    <x v="1"/>
    <x v="1"/>
  </r>
  <r>
    <s v="SM_101393"/>
    <x v="3"/>
    <s v="image"/>
    <s v="Lifestyle"/>
    <s v="es"/>
    <s v="Brazil"/>
    <d v="2024-11-15T00:00:00"/>
    <s v="#music #funny #viral #ai"/>
    <n v="3507882"/>
    <n v="250563"/>
    <n v="35479"/>
    <n v="32770"/>
    <n v="9.0899999999999995E-2"/>
    <n v="-0.61099999999999999"/>
    <n v="1"/>
    <x v="0"/>
    <x v="1"/>
  </r>
  <r>
    <s v="SM_101394"/>
    <x v="0"/>
    <s v="image"/>
    <s v="Lifestyle"/>
    <s v="es"/>
    <s v="UK"/>
    <d v="2024-08-22T00:00:00"/>
    <s v="#viral #ai #funny #tech"/>
    <n v="2469640"/>
    <n v="246964"/>
    <n v="14825"/>
    <n v="76428"/>
    <n v="0.13689999999999999"/>
    <n v="0.309"/>
    <n v="1"/>
    <x v="0"/>
    <x v="0"/>
  </r>
  <r>
    <s v="SM_101395"/>
    <x v="2"/>
    <s v="image"/>
    <s v="Education"/>
    <s v="es"/>
    <s v="India"/>
    <d v="2024-05-19T00:00:00"/>
    <s v="#fyp #trending"/>
    <n v="7959224"/>
    <n v="306124"/>
    <n v="48472"/>
    <n v="8321"/>
    <n v="4.5600000000000002E-2"/>
    <n v="-0.76400000000000001"/>
    <n v="1"/>
    <x v="0"/>
    <x v="1"/>
  </r>
  <r>
    <s v="SM_101396"/>
    <x v="1"/>
    <s v="image"/>
    <s v="Politics"/>
    <s v="fr"/>
    <s v="Brazil"/>
    <d v="2024-06-14T00:00:00"/>
    <s v="#funny #viral #tech"/>
    <n v="359970"/>
    <n v="35997"/>
    <n v="30935"/>
    <n v="57234"/>
    <n v="0.34489999999999998"/>
    <n v="-0.17299999999999999"/>
    <n v="0"/>
    <x v="1"/>
    <x v="1"/>
  </r>
  <r>
    <s v="SM_101397"/>
    <x v="3"/>
    <s v="video"/>
    <s v="Lifestyle"/>
    <s v="ur"/>
    <s v="India"/>
    <d v="2024-12-09T00:00:00"/>
    <s v="#trending #music #news #tech"/>
    <n v="1349646"/>
    <n v="71034"/>
    <n v="5534"/>
    <n v="94599"/>
    <n v="0.1268"/>
    <n v="0.90700000000000003"/>
    <n v="0"/>
    <x v="1"/>
    <x v="0"/>
  </r>
  <r>
    <s v="SM_101398"/>
    <x v="2"/>
    <s v="text"/>
    <s v="Politics"/>
    <s v="hi"/>
    <s v="UK"/>
    <d v="2024-07-30T00:00:00"/>
    <s v="#trending #tech #fyp"/>
    <n v="2347853"/>
    <n v="138109"/>
    <n v="39891"/>
    <n v="49700"/>
    <n v="9.7000000000000003E-2"/>
    <n v="0.70599999999999996"/>
    <n v="1"/>
    <x v="0"/>
    <x v="0"/>
  </r>
  <r>
    <s v="SM_101399"/>
    <x v="0"/>
    <s v="carousel"/>
    <s v="Entertainment"/>
    <s v="hi"/>
    <s v="India"/>
    <d v="2024-04-30T00:00:00"/>
    <s v="#news #funny #music"/>
    <n v="2157110"/>
    <n v="431422"/>
    <n v="45245"/>
    <n v="79738"/>
    <n v="0.25790000000000002"/>
    <n v="1.6E-2"/>
    <n v="1"/>
    <x v="0"/>
    <x v="0"/>
  </r>
  <r>
    <s v="SM_101400"/>
    <x v="1"/>
    <s v="carousel"/>
    <s v="Lifestyle"/>
    <s v="es"/>
    <s v="India"/>
    <d v="2024-01-23T00:00:00"/>
    <s v="#ai #news"/>
    <n v="163746"/>
    <n v="9097"/>
    <n v="40571"/>
    <n v="85712"/>
    <n v="0.82679999999999998"/>
    <n v="-4.3999999999999997E-2"/>
    <n v="0"/>
    <x v="1"/>
    <x v="1"/>
  </r>
  <r>
    <s v="SM_101401"/>
    <x v="3"/>
    <s v="image"/>
    <s v="Lifestyle"/>
    <s v="en"/>
    <s v="Brazil"/>
    <d v="2024-06-27T00:00:00"/>
    <s v="#viral #ai #trending"/>
    <n v="1432782"/>
    <n v="110214"/>
    <n v="47687"/>
    <n v="63657"/>
    <n v="0.15459999999999999"/>
    <n v="0.83499999999999996"/>
    <n v="0"/>
    <x v="1"/>
    <x v="0"/>
  </r>
  <r>
    <s v="SM_101402"/>
    <x v="2"/>
    <s v="image"/>
    <s v="Education"/>
    <s v="en"/>
    <s v="US"/>
    <d v="2024-09-19T00:00:00"/>
    <s v="#trending #funny"/>
    <n v="1145850"/>
    <n v="76390"/>
    <n v="26660"/>
    <n v="43602"/>
    <n v="0.128"/>
    <n v="-0.86199999999999999"/>
    <n v="0"/>
    <x v="1"/>
    <x v="1"/>
  </r>
  <r>
    <s v="SM_101403"/>
    <x v="2"/>
    <s v="carousel"/>
    <s v="Sports"/>
    <s v="es"/>
    <s v="UK"/>
    <d v="2024-05-20T00:00:00"/>
    <s v="#funny #news #tech"/>
    <n v="7448928"/>
    <n v="310372"/>
    <n v="20033"/>
    <n v="55566"/>
    <n v="5.1799999999999999E-2"/>
    <n v="0.27100000000000002"/>
    <n v="1"/>
    <x v="0"/>
    <x v="0"/>
  </r>
  <r>
    <s v="SM_101404"/>
    <x v="3"/>
    <s v="text"/>
    <s v="Education"/>
    <s v="ur"/>
    <s v="Pakistan"/>
    <d v="2024-02-27T00:00:00"/>
    <s v="#music #news #viral"/>
    <n v="19644"/>
    <n v="3274"/>
    <n v="35403"/>
    <n v="35930"/>
    <n v="3.798"/>
    <n v="0.378"/>
    <n v="0"/>
    <x v="1"/>
    <x v="0"/>
  </r>
  <r>
    <s v="SM_101405"/>
    <x v="0"/>
    <s v="text"/>
    <s v="Politics"/>
    <s v="es"/>
    <s v="Brazil"/>
    <d v="2024-11-06T00:00:00"/>
    <s v="#funny #viral"/>
    <n v="1213400"/>
    <n v="242680"/>
    <n v="7104"/>
    <n v="23761"/>
    <n v="0.22539999999999999"/>
    <n v="-0.60699999999999998"/>
    <n v="0"/>
    <x v="1"/>
    <x v="1"/>
  </r>
  <r>
    <s v="SM_101406"/>
    <x v="1"/>
    <s v="carousel"/>
    <s v="Entertainment"/>
    <s v="ur"/>
    <s v="Brazil"/>
    <d v="2024-11-12T00:00:00"/>
    <s v="#funny #viral #ai"/>
    <n v="5588494"/>
    <n v="242978"/>
    <n v="20467"/>
    <n v="5802"/>
    <n v="4.82E-2"/>
    <n v="0.28599999999999998"/>
    <n v="1"/>
    <x v="0"/>
    <x v="0"/>
  </r>
  <r>
    <s v="SM_101407"/>
    <x v="1"/>
    <s v="video"/>
    <s v="Lifestyle"/>
    <s v="en"/>
    <s v="Pakistan"/>
    <d v="2024-10-01T00:00:00"/>
    <s v="#funny #news #tech"/>
    <n v="9419649"/>
    <n v="495771"/>
    <n v="41684"/>
    <n v="18985"/>
    <n v="5.91E-2"/>
    <n v="0.51900000000000002"/>
    <n v="1"/>
    <x v="0"/>
    <x v="0"/>
  </r>
  <r>
    <s v="SM_101408"/>
    <x v="1"/>
    <s v="video"/>
    <s v="Lifestyle"/>
    <s v="ur"/>
    <s v="India"/>
    <d v="2024-04-18T00:00:00"/>
    <s v="#viral #funny"/>
    <n v="1481454"/>
    <n v="82303"/>
    <n v="5845"/>
    <n v="61248"/>
    <n v="0.1008"/>
    <n v="-5.7000000000000002E-2"/>
    <n v="0"/>
    <x v="1"/>
    <x v="1"/>
  </r>
  <r>
    <s v="SM_101409"/>
    <x v="2"/>
    <s v="image"/>
    <s v="Technology"/>
    <s v="ur"/>
    <s v="US"/>
    <d v="2024-11-12T00:00:00"/>
    <s v="#trending #ai #news #tech"/>
    <n v="4883263"/>
    <n v="443933"/>
    <n v="21123"/>
    <n v="88178"/>
    <n v="0.1133"/>
    <n v="-0.17399999999999999"/>
    <n v="1"/>
    <x v="0"/>
    <x v="1"/>
  </r>
  <r>
    <s v="SM_101410"/>
    <x v="2"/>
    <s v="image"/>
    <s v="Technology"/>
    <s v="ur"/>
    <s v="India"/>
    <d v="2024-03-15T00:00:00"/>
    <s v="#ai #trending #viral #fyp #news"/>
    <n v="524056"/>
    <n v="20156"/>
    <n v="7387"/>
    <n v="55740"/>
    <n v="0.15890000000000001"/>
    <n v="-0.85499999999999998"/>
    <n v="0"/>
    <x v="1"/>
    <x v="1"/>
  </r>
  <r>
    <s v="SM_101411"/>
    <x v="3"/>
    <s v="image"/>
    <s v="Technology"/>
    <s v="es"/>
    <s v="Brazil"/>
    <d v="2024-02-04T00:00:00"/>
    <s v="#trending #tech #music #news"/>
    <n v="6150998"/>
    <n v="439357"/>
    <n v="997"/>
    <n v="72395"/>
    <n v="8.3400000000000002E-2"/>
    <n v="0.45100000000000001"/>
    <n v="1"/>
    <x v="0"/>
    <x v="0"/>
  </r>
  <r>
    <s v="SM_101412"/>
    <x v="0"/>
    <s v="text"/>
    <s v="Technology"/>
    <s v="es"/>
    <s v="Pakistan"/>
    <d v="2024-06-21T00:00:00"/>
    <s v="#tech #news #music #fyp #ai"/>
    <n v="1825470"/>
    <n v="182547"/>
    <n v="20911"/>
    <n v="19573"/>
    <n v="0.1222"/>
    <n v="-0.59599999999999997"/>
    <n v="0"/>
    <x v="1"/>
    <x v="1"/>
  </r>
  <r>
    <s v="SM_101413"/>
    <x v="3"/>
    <s v="carousel"/>
    <s v="Politics"/>
    <s v="es"/>
    <s v="Brazil"/>
    <d v="2024-10-30T00:00:00"/>
    <s v="#viral #news"/>
    <n v="1722535"/>
    <n v="344507"/>
    <n v="32172"/>
    <n v="15480"/>
    <n v="0.22770000000000001"/>
    <n v="-0.82"/>
    <n v="0"/>
    <x v="1"/>
    <x v="1"/>
  </r>
  <r>
    <s v="SM_101414"/>
    <x v="0"/>
    <s v="image"/>
    <s v="Politics"/>
    <s v="en"/>
    <s v="India"/>
    <d v="2024-08-04T00:00:00"/>
    <s v="#fyp #music #trending #tech #ai"/>
    <n v="7433512"/>
    <n v="256328"/>
    <n v="4925"/>
    <n v="19586"/>
    <n v="3.78E-2"/>
    <n v="-0.50900000000000001"/>
    <n v="1"/>
    <x v="0"/>
    <x v="1"/>
  </r>
  <r>
    <s v="SM_101415"/>
    <x v="2"/>
    <s v="video"/>
    <s v="Education"/>
    <s v="ur"/>
    <s v="Pakistan"/>
    <d v="2024-02-18T00:00:00"/>
    <s v="#ai #music"/>
    <n v="6344919"/>
    <n v="302139"/>
    <n v="3725"/>
    <n v="19268"/>
    <n v="5.1200000000000002E-2"/>
    <n v="-0.77700000000000002"/>
    <n v="1"/>
    <x v="0"/>
    <x v="1"/>
  </r>
  <r>
    <s v="SM_101416"/>
    <x v="3"/>
    <s v="text"/>
    <s v="Politics"/>
    <s v="en"/>
    <s v="US"/>
    <d v="2024-08-30T00:00:00"/>
    <s v="#fyp #trending #viral #tech #ai"/>
    <n v="6249915"/>
    <n v="416661"/>
    <n v="25698"/>
    <n v="61608"/>
    <n v="8.0600000000000005E-2"/>
    <n v="-0.52"/>
    <n v="1"/>
    <x v="0"/>
    <x v="1"/>
  </r>
  <r>
    <s v="SM_101417"/>
    <x v="3"/>
    <s v="text"/>
    <s v="Politics"/>
    <s v="ur"/>
    <s v="Pakistan"/>
    <d v="2024-03-30T00:00:00"/>
    <s v="#trending #tech #news #funny #viral"/>
    <n v="5504716"/>
    <n v="196597"/>
    <n v="12987"/>
    <n v="82845"/>
    <n v="5.3100000000000001E-2"/>
    <n v="-0.83799999999999997"/>
    <n v="1"/>
    <x v="0"/>
    <x v="1"/>
  </r>
  <r>
    <s v="SM_101418"/>
    <x v="3"/>
    <s v="video"/>
    <s v="Education"/>
    <s v="es"/>
    <s v="UK"/>
    <d v="2024-10-17T00:00:00"/>
    <s v="#music #fyp #news"/>
    <n v="2314000"/>
    <n v="115700"/>
    <n v="35094"/>
    <n v="79402"/>
    <n v="9.9500000000000005E-2"/>
    <n v="-0.39700000000000002"/>
    <n v="1"/>
    <x v="0"/>
    <x v="1"/>
  </r>
  <r>
    <s v="SM_101419"/>
    <x v="2"/>
    <s v="image"/>
    <s v="Politics"/>
    <s v="en"/>
    <s v="US"/>
    <d v="2024-04-23T00:00:00"/>
    <s v="#news #ai #viral"/>
    <n v="434512"/>
    <n v="33424"/>
    <n v="13398"/>
    <n v="1553"/>
    <n v="0.1113"/>
    <n v="0.78"/>
    <n v="0"/>
    <x v="1"/>
    <x v="0"/>
  </r>
  <r>
    <s v="SM_101420"/>
    <x v="1"/>
    <s v="carousel"/>
    <s v="Sports"/>
    <s v="hi"/>
    <s v="Pakistan"/>
    <d v="2024-04-23T00:00:00"/>
    <s v="#fyp #news #ai #tech"/>
    <n v="3610112"/>
    <n v="164096"/>
    <n v="8931"/>
    <n v="96388"/>
    <n v="7.46E-2"/>
    <n v="4.0000000000000001E-3"/>
    <n v="1"/>
    <x v="0"/>
    <x v="0"/>
  </r>
  <r>
    <s v="SM_101421"/>
    <x v="3"/>
    <s v="text"/>
    <s v="Politics"/>
    <s v="ur"/>
    <s v="Pakistan"/>
    <d v="2024-02-27T00:00:00"/>
    <s v="#ai #tech #viral"/>
    <n v="1179056"/>
    <n v="73691"/>
    <n v="4659"/>
    <n v="22635"/>
    <n v="8.5599999999999996E-2"/>
    <n v="-0.90100000000000002"/>
    <n v="0"/>
    <x v="1"/>
    <x v="1"/>
  </r>
  <r>
    <s v="SM_101422"/>
    <x v="2"/>
    <s v="video"/>
    <s v="Lifestyle"/>
    <s v="es"/>
    <s v="India"/>
    <d v="2024-05-22T00:00:00"/>
    <s v="#trending #viral"/>
    <n v="4047426"/>
    <n v="449714"/>
    <n v="32927"/>
    <n v="40719"/>
    <n v="0.1293"/>
    <n v="0.745"/>
    <n v="1"/>
    <x v="0"/>
    <x v="0"/>
  </r>
  <r>
    <s v="SM_101423"/>
    <x v="1"/>
    <s v="video"/>
    <s v="Education"/>
    <s v="hi"/>
    <s v="US"/>
    <d v="2024-05-22T00:00:00"/>
    <s v="#music #tech"/>
    <n v="9114729"/>
    <n v="314301"/>
    <n v="14264"/>
    <n v="80410"/>
    <n v="4.4900000000000002E-2"/>
    <n v="0.38300000000000001"/>
    <n v="1"/>
    <x v="0"/>
    <x v="0"/>
  </r>
  <r>
    <s v="SM_101424"/>
    <x v="2"/>
    <s v="carousel"/>
    <s v="Technology"/>
    <s v="fr"/>
    <s v="US"/>
    <d v="2024-02-02T00:00:00"/>
    <s v="#trending #news #funny #viral"/>
    <n v="3058550"/>
    <n v="139025"/>
    <n v="12384"/>
    <n v="15793"/>
    <n v="5.4699999999999999E-2"/>
    <n v="0.65900000000000003"/>
    <n v="1"/>
    <x v="0"/>
    <x v="0"/>
  </r>
  <r>
    <s v="SM_101425"/>
    <x v="1"/>
    <s v="carousel"/>
    <s v="Technology"/>
    <s v="ur"/>
    <s v="Pakistan"/>
    <d v="2024-09-06T00:00:00"/>
    <s v="#music #trending #viral #ai"/>
    <n v="1766548"/>
    <n v="126182"/>
    <n v="47558"/>
    <n v="63457"/>
    <n v="0.1343"/>
    <n v="0.107"/>
    <n v="0"/>
    <x v="1"/>
    <x v="0"/>
  </r>
  <r>
    <s v="SM_101426"/>
    <x v="0"/>
    <s v="video"/>
    <s v="Sports"/>
    <s v="en"/>
    <s v="UK"/>
    <d v="2024-09-29T00:00:00"/>
    <s v="#viral #fyp"/>
    <n v="4532388"/>
    <n v="161871"/>
    <n v="47696"/>
    <n v="37041"/>
    <n v="5.4399999999999997E-2"/>
    <n v="-0.316"/>
    <n v="1"/>
    <x v="0"/>
    <x v="1"/>
  </r>
  <r>
    <s v="SM_101427"/>
    <x v="0"/>
    <s v="video"/>
    <s v="Technology"/>
    <s v="ur"/>
    <s v="US"/>
    <d v="2024-12-04T00:00:00"/>
    <s v="#news #fyp #funny"/>
    <n v="3024546"/>
    <n v="432078"/>
    <n v="23605"/>
    <n v="94775"/>
    <n v="0.182"/>
    <n v="0.97199999999999998"/>
    <n v="1"/>
    <x v="0"/>
    <x v="0"/>
  </r>
  <r>
    <s v="SM_101428"/>
    <x v="3"/>
    <s v="carousel"/>
    <s v="Sports"/>
    <s v="fr"/>
    <s v="India"/>
    <d v="2024-10-17T00:00:00"/>
    <s v="#trending #music #fyp #funny #ai"/>
    <n v="1897470"/>
    <n v="105415"/>
    <n v="20090"/>
    <n v="46855"/>
    <n v="9.0800000000000006E-2"/>
    <n v="0.48299999999999998"/>
    <n v="0"/>
    <x v="1"/>
    <x v="0"/>
  </r>
  <r>
    <s v="SM_101429"/>
    <x v="3"/>
    <s v="carousel"/>
    <s v="Entertainment"/>
    <s v="en"/>
    <s v="US"/>
    <d v="2024-06-11T00:00:00"/>
    <s v="#tech #news #funny #fyp"/>
    <n v="4871854"/>
    <n v="187379"/>
    <n v="29084"/>
    <n v="33981"/>
    <n v="5.1400000000000001E-2"/>
    <n v="-0.21"/>
    <n v="1"/>
    <x v="0"/>
    <x v="1"/>
  </r>
  <r>
    <s v="SM_101430"/>
    <x v="3"/>
    <s v="text"/>
    <s v="Lifestyle"/>
    <s v="ur"/>
    <s v="Brazil"/>
    <d v="2024-04-20T00:00:00"/>
    <s v="#viral #fyp #news"/>
    <n v="12956424"/>
    <n v="498324"/>
    <n v="15901"/>
    <n v="89354"/>
    <n v="4.6600000000000003E-2"/>
    <n v="0.34799999999999998"/>
    <n v="1"/>
    <x v="0"/>
    <x v="0"/>
  </r>
  <r>
    <s v="SM_101431"/>
    <x v="1"/>
    <s v="text"/>
    <s v="Sports"/>
    <s v="fr"/>
    <s v="US"/>
    <d v="2024-08-19T00:00:00"/>
    <s v="#viral #tech"/>
    <n v="1560383"/>
    <n v="141853"/>
    <n v="7372"/>
    <n v="3229"/>
    <n v="9.7699999999999995E-2"/>
    <n v="-0.28599999999999998"/>
    <n v="0"/>
    <x v="1"/>
    <x v="1"/>
  </r>
  <r>
    <s v="SM_101432"/>
    <x v="1"/>
    <s v="image"/>
    <s v="Lifestyle"/>
    <s v="hi"/>
    <s v="UK"/>
    <d v="2024-04-15T00:00:00"/>
    <s v="#viral #music"/>
    <n v="4753265"/>
    <n v="432115"/>
    <n v="37016"/>
    <n v="79184"/>
    <n v="0.1154"/>
    <n v="0.499"/>
    <n v="1"/>
    <x v="0"/>
    <x v="0"/>
  </r>
  <r>
    <s v="SM_101433"/>
    <x v="2"/>
    <s v="carousel"/>
    <s v="Lifestyle"/>
    <s v="fr"/>
    <s v="UK"/>
    <d v="2024-09-06T00:00:00"/>
    <s v="#ai #music #news #tech #funny"/>
    <n v="895430"/>
    <n v="179086"/>
    <n v="19102"/>
    <n v="45255"/>
    <n v="0.27189999999999998"/>
    <n v="0.497"/>
    <n v="0"/>
    <x v="1"/>
    <x v="0"/>
  </r>
  <r>
    <s v="SM_101434"/>
    <x v="3"/>
    <s v="video"/>
    <s v="Lifestyle"/>
    <s v="ur"/>
    <s v="Pakistan"/>
    <d v="2024-06-18T00:00:00"/>
    <s v="#trending #fyp #news #funny #tech"/>
    <n v="5907840"/>
    <n v="246160"/>
    <n v="17112"/>
    <n v="68547"/>
    <n v="5.62E-2"/>
    <n v="6.3E-2"/>
    <n v="1"/>
    <x v="0"/>
    <x v="0"/>
  </r>
  <r>
    <s v="SM_101435"/>
    <x v="1"/>
    <s v="text"/>
    <s v="Politics"/>
    <s v="ur"/>
    <s v="US"/>
    <d v="2024-11-11T00:00:00"/>
    <s v="#fyp #funny"/>
    <n v="1769424"/>
    <n v="110589"/>
    <n v="34310"/>
    <n v="49550"/>
    <n v="0.1099"/>
    <n v="-0.05"/>
    <n v="0"/>
    <x v="1"/>
    <x v="1"/>
  </r>
  <r>
    <s v="SM_101436"/>
    <x v="1"/>
    <s v="carousel"/>
    <s v="Politics"/>
    <s v="es"/>
    <s v="India"/>
    <d v="2024-07-12T00:00:00"/>
    <s v="#music #fyp"/>
    <n v="439263"/>
    <n v="25839"/>
    <n v="21214"/>
    <n v="87969"/>
    <n v="0.30740000000000001"/>
    <n v="0.23699999999999999"/>
    <n v="0"/>
    <x v="1"/>
    <x v="0"/>
  </r>
  <r>
    <s v="SM_101437"/>
    <x v="2"/>
    <s v="text"/>
    <s v="Entertainment"/>
    <s v="es"/>
    <s v="US"/>
    <d v="2024-10-27T00:00:00"/>
    <s v="#music #news #funny #trending"/>
    <n v="895225"/>
    <n v="35809"/>
    <n v="43622"/>
    <n v="60140"/>
    <n v="0.15590000000000001"/>
    <n v="-0.58799999999999997"/>
    <n v="0"/>
    <x v="1"/>
    <x v="1"/>
  </r>
  <r>
    <s v="SM_101438"/>
    <x v="1"/>
    <s v="text"/>
    <s v="Technology"/>
    <s v="es"/>
    <s v="India"/>
    <d v="2024-05-25T00:00:00"/>
    <s v="#viral #tech"/>
    <n v="5348322"/>
    <n v="382023"/>
    <n v="42924"/>
    <n v="83522"/>
    <n v="9.5100000000000004E-2"/>
    <n v="0.95499999999999996"/>
    <n v="1"/>
    <x v="0"/>
    <x v="0"/>
  </r>
  <r>
    <s v="SM_101439"/>
    <x v="0"/>
    <s v="video"/>
    <s v="Education"/>
    <s v="hi"/>
    <s v="Brazil"/>
    <d v="2024-04-07T00:00:00"/>
    <s v="#tech #ai"/>
    <n v="3792360"/>
    <n v="189618"/>
    <n v="47899"/>
    <n v="81150"/>
    <n v="8.4000000000000005E-2"/>
    <n v="0.10100000000000001"/>
    <n v="1"/>
    <x v="0"/>
    <x v="0"/>
  </r>
  <r>
    <s v="SM_101440"/>
    <x v="2"/>
    <s v="carousel"/>
    <s v="Entertainment"/>
    <s v="en"/>
    <s v="Brazil"/>
    <d v="2024-07-31T00:00:00"/>
    <s v="#trending #fyp #funny"/>
    <n v="7926093"/>
    <n v="293559"/>
    <n v="1304"/>
    <n v="4995"/>
    <n v="3.78E-2"/>
    <n v="0.46300000000000002"/>
    <n v="1"/>
    <x v="0"/>
    <x v="0"/>
  </r>
  <r>
    <s v="SM_101441"/>
    <x v="1"/>
    <s v="video"/>
    <s v="Entertainment"/>
    <s v="fr"/>
    <s v="India"/>
    <d v="2024-06-22T00:00:00"/>
    <s v="#music #tech #ai #funny #news"/>
    <n v="7214490"/>
    <n v="400805"/>
    <n v="26116"/>
    <n v="32356"/>
    <n v="6.3700000000000007E-2"/>
    <n v="0.14699999999999999"/>
    <n v="1"/>
    <x v="0"/>
    <x v="0"/>
  </r>
  <r>
    <s v="SM_101442"/>
    <x v="3"/>
    <s v="text"/>
    <s v="Education"/>
    <s v="en"/>
    <s v="UK"/>
    <d v="2024-08-31T00:00:00"/>
    <s v="#ai #funny #news #fyp"/>
    <n v="3796530"/>
    <n v="379653"/>
    <n v="11824"/>
    <n v="90350"/>
    <n v="0.12690000000000001"/>
    <n v="-5.0000000000000001E-3"/>
    <n v="1"/>
    <x v="0"/>
    <x v="1"/>
  </r>
  <r>
    <s v="SM_101443"/>
    <x v="2"/>
    <s v="image"/>
    <s v="Education"/>
    <s v="en"/>
    <s v="India"/>
    <d v="2024-03-26T00:00:00"/>
    <s v="#funny #trending"/>
    <n v="4906096"/>
    <n v="306631"/>
    <n v="49434"/>
    <n v="3090"/>
    <n v="7.3200000000000001E-2"/>
    <n v="0.68400000000000005"/>
    <n v="1"/>
    <x v="0"/>
    <x v="0"/>
  </r>
  <r>
    <s v="SM_101444"/>
    <x v="1"/>
    <s v="video"/>
    <s v="Politics"/>
    <s v="hi"/>
    <s v="India"/>
    <d v="2024-06-25T00:00:00"/>
    <s v="#tech #news"/>
    <n v="1152780"/>
    <n v="96065"/>
    <n v="15737"/>
    <n v="85043"/>
    <n v="0.17080000000000001"/>
    <n v="-5.2999999999999999E-2"/>
    <n v="0"/>
    <x v="1"/>
    <x v="1"/>
  </r>
  <r>
    <s v="SM_101445"/>
    <x v="2"/>
    <s v="carousel"/>
    <s v="Politics"/>
    <s v="hi"/>
    <s v="Brazil"/>
    <d v="2024-02-18T00:00:00"/>
    <s v="#funny #music #news #viral"/>
    <n v="5692872"/>
    <n v="237203"/>
    <n v="48151"/>
    <n v="34566"/>
    <n v="5.62E-2"/>
    <n v="0.73899999999999999"/>
    <n v="1"/>
    <x v="0"/>
    <x v="0"/>
  </r>
  <r>
    <s v="SM_101446"/>
    <x v="2"/>
    <s v="carousel"/>
    <s v="Education"/>
    <s v="ur"/>
    <s v="Pakistan"/>
    <d v="2024-03-28T00:00:00"/>
    <s v="#viral #tech #news"/>
    <n v="1386504"/>
    <n v="154056"/>
    <n v="17204"/>
    <n v="60039"/>
    <n v="0.1668"/>
    <n v="-0.63600000000000001"/>
    <n v="0"/>
    <x v="1"/>
    <x v="1"/>
  </r>
  <r>
    <s v="SM_101447"/>
    <x v="1"/>
    <s v="video"/>
    <s v="Sports"/>
    <s v="hi"/>
    <s v="US"/>
    <d v="2024-04-06T00:00:00"/>
    <s v="#funny #music"/>
    <n v="1882683"/>
    <n v="209187"/>
    <n v="34183"/>
    <n v="12666"/>
    <n v="0.13600000000000001"/>
    <n v="0.41299999999999998"/>
    <n v="0"/>
    <x v="1"/>
    <x v="0"/>
  </r>
  <r>
    <s v="SM_101448"/>
    <x v="0"/>
    <s v="video"/>
    <s v="Lifestyle"/>
    <s v="ur"/>
    <s v="UK"/>
    <d v="2024-09-30T00:00:00"/>
    <s v="#ai #viral"/>
    <n v="2983760"/>
    <n v="298376"/>
    <n v="36115"/>
    <n v="58755"/>
    <n v="0.1318"/>
    <n v="-0.57699999999999996"/>
    <n v="1"/>
    <x v="0"/>
    <x v="1"/>
  </r>
  <r>
    <s v="SM_101449"/>
    <x v="0"/>
    <s v="image"/>
    <s v="Politics"/>
    <s v="ur"/>
    <s v="Pakistan"/>
    <d v="2024-12-03T00:00:00"/>
    <s v="#ai #music #viral #trending #tech"/>
    <n v="7441800"/>
    <n v="496120"/>
    <n v="1177"/>
    <n v="58233"/>
    <n v="7.46E-2"/>
    <n v="0.40899999999999997"/>
    <n v="1"/>
    <x v="0"/>
    <x v="0"/>
  </r>
  <r>
    <s v="SM_101450"/>
    <x v="1"/>
    <s v="text"/>
    <s v="Technology"/>
    <s v="en"/>
    <s v="US"/>
    <d v="2024-01-01T00:00:00"/>
    <s v="#funny #news #ai #viral"/>
    <n v="241563"/>
    <n v="34509"/>
    <n v="49628"/>
    <n v="19325"/>
    <n v="0.42830000000000001"/>
    <n v="-0.38700000000000001"/>
    <n v="0"/>
    <x v="1"/>
    <x v="1"/>
  </r>
  <r>
    <s v="SM_101451"/>
    <x v="2"/>
    <s v="image"/>
    <s v="Technology"/>
    <s v="es"/>
    <s v="Pakistan"/>
    <d v="2024-10-11T00:00:00"/>
    <s v="#ai #music #trending #tech #news"/>
    <n v="2862980"/>
    <n v="286298"/>
    <n v="29714"/>
    <n v="85644"/>
    <n v="0.14030000000000001"/>
    <n v="5.5E-2"/>
    <n v="1"/>
    <x v="0"/>
    <x v="0"/>
  </r>
  <r>
    <s v="SM_101452"/>
    <x v="2"/>
    <s v="image"/>
    <s v="Entertainment"/>
    <s v="hi"/>
    <s v="UK"/>
    <d v="2024-01-25T00:00:00"/>
    <s v="#trending #tech #funny #news #fyp"/>
    <n v="6929006"/>
    <n v="494929"/>
    <n v="49702"/>
    <n v="3241"/>
    <n v="7.9100000000000004E-2"/>
    <n v="0.45200000000000001"/>
    <n v="1"/>
    <x v="0"/>
    <x v="0"/>
  </r>
  <r>
    <s v="SM_101453"/>
    <x v="1"/>
    <s v="carousel"/>
    <s v="Lifestyle"/>
    <s v="hi"/>
    <s v="UK"/>
    <d v="2024-03-07T00:00:00"/>
    <s v="#ai #tech #fyp"/>
    <n v="8613868"/>
    <n v="374516"/>
    <n v="25543"/>
    <n v="43966"/>
    <n v="5.1499999999999997E-2"/>
    <n v="-3.5000000000000003E-2"/>
    <n v="1"/>
    <x v="0"/>
    <x v="1"/>
  </r>
  <r>
    <s v="SM_101454"/>
    <x v="3"/>
    <s v="text"/>
    <s v="Education"/>
    <s v="hi"/>
    <s v="UK"/>
    <d v="2024-07-17T00:00:00"/>
    <s v="#music #trending #funny #news #viral"/>
    <n v="6373050"/>
    <n v="254922"/>
    <n v="46481"/>
    <n v="30826"/>
    <n v="5.21E-2"/>
    <n v="0.23400000000000001"/>
    <n v="1"/>
    <x v="0"/>
    <x v="0"/>
  </r>
  <r>
    <s v="SM_101455"/>
    <x v="3"/>
    <s v="carousel"/>
    <s v="Entertainment"/>
    <s v="ur"/>
    <s v="US"/>
    <d v="2024-04-30T00:00:00"/>
    <s v="#music #news #tech"/>
    <n v="2379114"/>
    <n v="396519"/>
    <n v="2249"/>
    <n v="98323"/>
    <n v="0.2089"/>
    <n v="-0.75700000000000001"/>
    <n v="1"/>
    <x v="0"/>
    <x v="1"/>
  </r>
  <r>
    <s v="SM_101456"/>
    <x v="1"/>
    <s v="video"/>
    <s v="Technology"/>
    <s v="ur"/>
    <s v="India"/>
    <d v="2024-08-12T00:00:00"/>
    <s v="#music #trending #ai"/>
    <n v="6227595"/>
    <n v="270765"/>
    <n v="33546"/>
    <n v="29064"/>
    <n v="5.3499999999999999E-2"/>
    <n v="-2.5999999999999999E-2"/>
    <n v="1"/>
    <x v="0"/>
    <x v="1"/>
  </r>
  <r>
    <s v="SM_101457"/>
    <x v="2"/>
    <s v="image"/>
    <s v="Education"/>
    <s v="es"/>
    <s v="UK"/>
    <d v="2024-06-06T00:00:00"/>
    <s v="#tech #fyp #news"/>
    <n v="5957484"/>
    <n v="458268"/>
    <n v="27523"/>
    <n v="39564"/>
    <n v="8.8200000000000001E-2"/>
    <n v="-0.184"/>
    <n v="1"/>
    <x v="0"/>
    <x v="1"/>
  </r>
  <r>
    <s v="SM_101458"/>
    <x v="3"/>
    <s v="video"/>
    <s v="Education"/>
    <s v="en"/>
    <s v="Brazil"/>
    <d v="2024-05-08T00:00:00"/>
    <s v="#fyp #ai #news #viral"/>
    <n v="10235925"/>
    <n v="409437"/>
    <n v="1679"/>
    <n v="76412"/>
    <n v="4.7600000000000003E-2"/>
    <n v="0.45600000000000002"/>
    <n v="1"/>
    <x v="0"/>
    <x v="0"/>
  </r>
  <r>
    <s v="SM_101459"/>
    <x v="2"/>
    <s v="video"/>
    <s v="Sports"/>
    <s v="fr"/>
    <s v="India"/>
    <d v="2024-05-19T00:00:00"/>
    <s v="#trending #viral #funny"/>
    <n v="1282496"/>
    <n v="160312"/>
    <n v="9332"/>
    <n v="70664"/>
    <n v="0.18740000000000001"/>
    <n v="-0.83"/>
    <n v="0"/>
    <x v="1"/>
    <x v="1"/>
  </r>
  <r>
    <s v="SM_101460"/>
    <x v="1"/>
    <s v="text"/>
    <s v="Lifestyle"/>
    <s v="hi"/>
    <s v="UK"/>
    <d v="2024-08-10T00:00:00"/>
    <s v="#trending #tech #viral #fyp #news"/>
    <n v="7629740"/>
    <n v="381487"/>
    <n v="10497"/>
    <n v="54798"/>
    <n v="5.8599999999999999E-2"/>
    <n v="-0.125"/>
    <n v="1"/>
    <x v="0"/>
    <x v="1"/>
  </r>
  <r>
    <s v="SM_101461"/>
    <x v="0"/>
    <s v="text"/>
    <s v="Entertainment"/>
    <s v="en"/>
    <s v="Brazil"/>
    <d v="2024-11-28T00:00:00"/>
    <s v="#tech #news #fyp #funny #trending"/>
    <n v="1426304"/>
    <n v="89144"/>
    <n v="9050"/>
    <n v="20117"/>
    <n v="8.2900000000000001E-2"/>
    <n v="-0.30599999999999999"/>
    <n v="0"/>
    <x v="1"/>
    <x v="1"/>
  </r>
  <r>
    <s v="SM_101462"/>
    <x v="0"/>
    <s v="text"/>
    <s v="Technology"/>
    <s v="ur"/>
    <s v="US"/>
    <d v="2024-05-22T00:00:00"/>
    <s v="#music #trending #fyp #news"/>
    <n v="739854"/>
    <n v="27402"/>
    <n v="11288"/>
    <n v="30936"/>
    <n v="9.4100000000000003E-2"/>
    <n v="5.0000000000000001E-3"/>
    <n v="0"/>
    <x v="1"/>
    <x v="0"/>
  </r>
  <r>
    <s v="SM_101463"/>
    <x v="0"/>
    <s v="text"/>
    <s v="Politics"/>
    <s v="es"/>
    <s v="Pakistan"/>
    <d v="2024-02-04T00:00:00"/>
    <s v="#music #funny #trending"/>
    <n v="135400"/>
    <n v="13540"/>
    <n v="45470"/>
    <n v="46502"/>
    <n v="0.77929999999999999"/>
    <n v="-0.92700000000000005"/>
    <n v="0"/>
    <x v="1"/>
    <x v="1"/>
  </r>
  <r>
    <s v="SM_101464"/>
    <x v="1"/>
    <s v="text"/>
    <s v="Politics"/>
    <s v="fr"/>
    <s v="US"/>
    <d v="2024-02-11T00:00:00"/>
    <s v="#ai #trending #funny #viral"/>
    <n v="2259922"/>
    <n v="161423"/>
    <n v="12378"/>
    <n v="84524"/>
    <n v="0.1143"/>
    <n v="0.84099999999999997"/>
    <n v="1"/>
    <x v="0"/>
    <x v="0"/>
  </r>
  <r>
    <s v="SM_101465"/>
    <x v="3"/>
    <s v="text"/>
    <s v="Technology"/>
    <s v="es"/>
    <s v="Brazil"/>
    <d v="2024-11-25T00:00:00"/>
    <s v="#viral #fyp #tech"/>
    <n v="3967707"/>
    <n v="172509"/>
    <n v="40330"/>
    <n v="83601"/>
    <n v="7.4700000000000003E-2"/>
    <n v="0.48099999999999998"/>
    <n v="1"/>
    <x v="0"/>
    <x v="0"/>
  </r>
  <r>
    <s v="SM_101466"/>
    <x v="3"/>
    <s v="video"/>
    <s v="Education"/>
    <s v="es"/>
    <s v="US"/>
    <d v="2024-08-20T00:00:00"/>
    <s v="#viral #trending"/>
    <n v="3927924"/>
    <n v="140283"/>
    <n v="38455"/>
    <n v="63754"/>
    <n v="6.1699999999999998E-2"/>
    <n v="0.94499999999999995"/>
    <n v="1"/>
    <x v="0"/>
    <x v="0"/>
  </r>
  <r>
    <s v="SM_101467"/>
    <x v="3"/>
    <s v="video"/>
    <s v="Education"/>
    <s v="hi"/>
    <s v="Pakistan"/>
    <d v="2024-04-20T00:00:00"/>
    <s v="#tech #music #news"/>
    <n v="8235855"/>
    <n v="283995"/>
    <n v="16458"/>
    <n v="85845"/>
    <n v="4.6899999999999997E-2"/>
    <n v="-0.52700000000000002"/>
    <n v="1"/>
    <x v="0"/>
    <x v="1"/>
  </r>
  <r>
    <s v="SM_101468"/>
    <x v="0"/>
    <s v="text"/>
    <s v="Sports"/>
    <s v="fr"/>
    <s v="Pakistan"/>
    <d v="2024-06-07T00:00:00"/>
    <s v="#tech #viral"/>
    <n v="11986548"/>
    <n v="428091"/>
    <n v="48575"/>
    <n v="46098"/>
    <n v="4.36E-2"/>
    <n v="0.5"/>
    <n v="1"/>
    <x v="0"/>
    <x v="0"/>
  </r>
  <r>
    <s v="SM_101469"/>
    <x v="1"/>
    <s v="image"/>
    <s v="Sports"/>
    <s v="es"/>
    <s v="Pakistan"/>
    <d v="2024-11-06T00:00:00"/>
    <s v="#news #music #funny #fyp #tech"/>
    <n v="1846978"/>
    <n v="131927"/>
    <n v="39268"/>
    <n v="55088"/>
    <n v="0.1225"/>
    <n v="-0.61"/>
    <n v="0"/>
    <x v="1"/>
    <x v="1"/>
  </r>
  <r>
    <s v="SM_101470"/>
    <x v="1"/>
    <s v="image"/>
    <s v="Lifestyle"/>
    <s v="fr"/>
    <s v="Brazil"/>
    <d v="2024-11-10T00:00:00"/>
    <s v="#viral #ai"/>
    <n v="1723246"/>
    <n v="123089"/>
    <n v="17405"/>
    <n v="40116"/>
    <n v="0.1048"/>
    <n v="-0.876"/>
    <n v="0"/>
    <x v="1"/>
    <x v="1"/>
  </r>
  <r>
    <s v="SM_101471"/>
    <x v="3"/>
    <s v="video"/>
    <s v="Entertainment"/>
    <s v="fr"/>
    <s v="Brazil"/>
    <d v="2024-05-23T00:00:00"/>
    <s v="#ai #news #trending"/>
    <n v="2982447"/>
    <n v="110461"/>
    <n v="24605"/>
    <n v="37707"/>
    <n v="5.79E-2"/>
    <n v="-0.92700000000000005"/>
    <n v="1"/>
    <x v="0"/>
    <x v="1"/>
  </r>
  <r>
    <s v="SM_101472"/>
    <x v="0"/>
    <s v="carousel"/>
    <s v="Entertainment"/>
    <s v="en"/>
    <s v="US"/>
    <d v="2024-04-06T00:00:00"/>
    <s v="#ai #funny"/>
    <n v="453629"/>
    <n v="41239"/>
    <n v="49388"/>
    <n v="41303"/>
    <n v="0.2908"/>
    <n v="-0.124"/>
    <n v="0"/>
    <x v="1"/>
    <x v="1"/>
  </r>
  <r>
    <s v="SM_101473"/>
    <x v="2"/>
    <s v="video"/>
    <s v="Lifestyle"/>
    <s v="en"/>
    <s v="UK"/>
    <d v="2024-05-08T00:00:00"/>
    <s v="#viral #music #news #funny #fyp"/>
    <n v="769785"/>
    <n v="153957"/>
    <n v="12822"/>
    <n v="31407"/>
    <n v="0.25750000000000001"/>
    <n v="-0.21299999999999999"/>
    <n v="0"/>
    <x v="1"/>
    <x v="1"/>
  </r>
  <r>
    <s v="SM_101474"/>
    <x v="2"/>
    <s v="carousel"/>
    <s v="Education"/>
    <s v="ur"/>
    <s v="US"/>
    <d v="2024-10-30T00:00:00"/>
    <s v="#fyp #tech"/>
    <n v="1509014"/>
    <n v="58039"/>
    <n v="20919"/>
    <n v="29554"/>
    <n v="7.1900000000000006E-2"/>
    <n v="0.308"/>
    <n v="0"/>
    <x v="1"/>
    <x v="0"/>
  </r>
  <r>
    <s v="SM_101475"/>
    <x v="2"/>
    <s v="carousel"/>
    <s v="Entertainment"/>
    <s v="ur"/>
    <s v="US"/>
    <d v="2024-05-16T00:00:00"/>
    <s v="#funny #news #viral"/>
    <n v="6944272"/>
    <n v="434017"/>
    <n v="6732"/>
    <n v="50718"/>
    <n v="7.0800000000000002E-2"/>
    <n v="-0.53700000000000003"/>
    <n v="1"/>
    <x v="0"/>
    <x v="1"/>
  </r>
  <r>
    <s v="SM_101476"/>
    <x v="1"/>
    <s v="carousel"/>
    <s v="Entertainment"/>
    <s v="es"/>
    <s v="Brazil"/>
    <d v="2024-12-12T00:00:00"/>
    <s v="#viral #funny #ai"/>
    <n v="4307430"/>
    <n v="287162"/>
    <n v="41400"/>
    <n v="41137"/>
    <n v="8.5800000000000001E-2"/>
    <n v="0.73699999999999999"/>
    <n v="1"/>
    <x v="0"/>
    <x v="0"/>
  </r>
  <r>
    <s v="SM_101477"/>
    <x v="1"/>
    <s v="text"/>
    <s v="Technology"/>
    <s v="hi"/>
    <s v="US"/>
    <d v="2024-08-19T00:00:00"/>
    <s v="#trending #news #funny #tech"/>
    <n v="4722957"/>
    <n v="277821"/>
    <n v="19624"/>
    <n v="99247"/>
    <n v="8.4000000000000005E-2"/>
    <n v="0.40200000000000002"/>
    <n v="1"/>
    <x v="0"/>
    <x v="0"/>
  </r>
  <r>
    <s v="SM_101478"/>
    <x v="1"/>
    <s v="image"/>
    <s v="Lifestyle"/>
    <s v="fr"/>
    <s v="US"/>
    <d v="2024-11-09T00:00:00"/>
    <s v="#funny #tech"/>
    <n v="4683866"/>
    <n v="212903"/>
    <n v="27694"/>
    <n v="11155"/>
    <n v="5.3699999999999998E-2"/>
    <n v="-8.8999999999999996E-2"/>
    <n v="1"/>
    <x v="0"/>
    <x v="1"/>
  </r>
  <r>
    <s v="SM_101479"/>
    <x v="2"/>
    <s v="video"/>
    <s v="Lifestyle"/>
    <s v="hi"/>
    <s v="India"/>
    <d v="2024-07-05T00:00:00"/>
    <s v="#funny #viral"/>
    <n v="9354748"/>
    <n v="359798"/>
    <n v="9150"/>
    <n v="46331"/>
    <n v="4.4400000000000002E-2"/>
    <n v="-0.66"/>
    <n v="1"/>
    <x v="0"/>
    <x v="1"/>
  </r>
  <r>
    <s v="SM_101480"/>
    <x v="2"/>
    <s v="carousel"/>
    <s v="Entertainment"/>
    <s v="es"/>
    <s v="India"/>
    <d v="2024-10-19T00:00:00"/>
    <s v="#news #viral"/>
    <n v="6405975"/>
    <n v="256239"/>
    <n v="21276"/>
    <n v="33314"/>
    <n v="4.8500000000000001E-2"/>
    <n v="-0.77300000000000002"/>
    <n v="1"/>
    <x v="0"/>
    <x v="1"/>
  </r>
  <r>
    <s v="SM_101481"/>
    <x v="1"/>
    <s v="image"/>
    <s v="Politics"/>
    <s v="hi"/>
    <s v="India"/>
    <d v="2024-09-27T00:00:00"/>
    <s v="#fyp #tech #funny"/>
    <n v="1452573"/>
    <n v="161397"/>
    <n v="20541"/>
    <n v="96368"/>
    <n v="0.19159999999999999"/>
    <n v="-0.67100000000000004"/>
    <n v="0"/>
    <x v="1"/>
    <x v="1"/>
  </r>
  <r>
    <s v="SM_101482"/>
    <x v="0"/>
    <s v="text"/>
    <s v="Lifestyle"/>
    <s v="fr"/>
    <s v="US"/>
    <d v="2024-01-18T00:00:00"/>
    <s v="#news #funny #viral"/>
    <n v="1113007"/>
    <n v="159001"/>
    <n v="15377"/>
    <n v="25939"/>
    <n v="0.18"/>
    <n v="0.70399999999999996"/>
    <n v="0"/>
    <x v="1"/>
    <x v="0"/>
  </r>
  <r>
    <s v="SM_101483"/>
    <x v="3"/>
    <s v="video"/>
    <s v="Entertainment"/>
    <s v="fr"/>
    <s v="India"/>
    <d v="2024-11-20T00:00:00"/>
    <s v="#viral #trending"/>
    <n v="966112"/>
    <n v="60382"/>
    <n v="47806"/>
    <n v="9466"/>
    <n v="0.12180000000000001"/>
    <n v="0.81200000000000006"/>
    <n v="0"/>
    <x v="1"/>
    <x v="0"/>
  </r>
  <r>
    <s v="SM_101484"/>
    <x v="1"/>
    <s v="image"/>
    <s v="Education"/>
    <s v="ur"/>
    <s v="UK"/>
    <d v="2024-08-21T00:00:00"/>
    <s v="#music #fyp #ai #viral #news"/>
    <n v="1970623"/>
    <n v="115919"/>
    <n v="4768"/>
    <n v="88658"/>
    <n v="0.1062"/>
    <n v="0.72099999999999997"/>
    <n v="0"/>
    <x v="1"/>
    <x v="0"/>
  </r>
  <r>
    <s v="SM_101485"/>
    <x v="2"/>
    <s v="image"/>
    <s v="Technology"/>
    <s v="hi"/>
    <s v="Brazil"/>
    <d v="2024-02-18T00:00:00"/>
    <s v="#ai #music"/>
    <n v="3640743"/>
    <n v="404527"/>
    <n v="13574"/>
    <n v="96895"/>
    <n v="0.14149999999999999"/>
    <n v="-0.21199999999999999"/>
    <n v="1"/>
    <x v="0"/>
    <x v="1"/>
  </r>
  <r>
    <s v="SM_101486"/>
    <x v="3"/>
    <s v="carousel"/>
    <s v="Sports"/>
    <s v="ur"/>
    <s v="Brazil"/>
    <d v="2024-08-02T00:00:00"/>
    <s v="#ai #news #funny"/>
    <n v="12031929"/>
    <n v="445627"/>
    <n v="13520"/>
    <n v="71696"/>
    <n v="4.41E-2"/>
    <n v="0.16300000000000001"/>
    <n v="1"/>
    <x v="0"/>
    <x v="0"/>
  </r>
  <r>
    <s v="SM_101487"/>
    <x v="2"/>
    <s v="image"/>
    <s v="Education"/>
    <s v="fr"/>
    <s v="India"/>
    <d v="2024-01-23T00:00:00"/>
    <s v="#news #tech #trending #ai"/>
    <n v="9130317"/>
    <n v="480543"/>
    <n v="24909"/>
    <n v="59936"/>
    <n v="6.1899999999999997E-2"/>
    <n v="0.76"/>
    <n v="1"/>
    <x v="0"/>
    <x v="0"/>
  </r>
  <r>
    <s v="SM_101488"/>
    <x v="3"/>
    <s v="image"/>
    <s v="Lifestyle"/>
    <s v="es"/>
    <s v="US"/>
    <d v="2024-03-14T00:00:00"/>
    <s v="#trending #fyp #viral"/>
    <n v="74568"/>
    <n v="5736"/>
    <n v="11598"/>
    <n v="2893"/>
    <n v="0.27129999999999999"/>
    <n v="-0.73699999999999999"/>
    <n v="0"/>
    <x v="1"/>
    <x v="1"/>
  </r>
  <r>
    <s v="SM_101489"/>
    <x v="0"/>
    <s v="text"/>
    <s v="Lifestyle"/>
    <s v="hi"/>
    <s v="UK"/>
    <d v="2024-01-16T00:00:00"/>
    <s v="#trending #viral #funny #ai"/>
    <n v="8294"/>
    <n v="754"/>
    <n v="17148"/>
    <n v="55935"/>
    <n v="8.9024999999999999"/>
    <n v="0.52100000000000002"/>
    <n v="0"/>
    <x v="1"/>
    <x v="0"/>
  </r>
  <r>
    <s v="SM_101490"/>
    <x v="2"/>
    <s v="text"/>
    <s v="Technology"/>
    <s v="fr"/>
    <s v="US"/>
    <d v="2024-06-27T00:00:00"/>
    <s v="#tech #music #fyp #news #funny"/>
    <n v="554553"/>
    <n v="29187"/>
    <n v="11623"/>
    <n v="8447"/>
    <n v="8.8800000000000004E-2"/>
    <n v="-0.63200000000000001"/>
    <n v="0"/>
    <x v="1"/>
    <x v="1"/>
  </r>
  <r>
    <s v="SM_101491"/>
    <x v="2"/>
    <s v="carousel"/>
    <s v="Entertainment"/>
    <s v="hi"/>
    <s v="UK"/>
    <d v="2024-10-14T00:00:00"/>
    <s v="#viral #music"/>
    <n v="6665160"/>
    <n v="444344"/>
    <n v="27205"/>
    <n v="95108"/>
    <n v="8.5000000000000006E-2"/>
    <n v="0.39200000000000002"/>
    <n v="1"/>
    <x v="0"/>
    <x v="0"/>
  </r>
  <r>
    <s v="SM_101492"/>
    <x v="1"/>
    <s v="image"/>
    <s v="Lifestyle"/>
    <s v="es"/>
    <s v="India"/>
    <d v="2024-07-14T00:00:00"/>
    <s v="#viral #fyp"/>
    <n v="3699336"/>
    <n v="217608"/>
    <n v="22361"/>
    <n v="88560"/>
    <n v="8.8800000000000004E-2"/>
    <n v="-0.70399999999999996"/>
    <n v="1"/>
    <x v="0"/>
    <x v="1"/>
  </r>
  <r>
    <s v="SM_101493"/>
    <x v="0"/>
    <s v="text"/>
    <s v="Education"/>
    <s v="fr"/>
    <s v="UK"/>
    <d v="2024-03-01T00:00:00"/>
    <s v="#news #viral #tech"/>
    <n v="2581790"/>
    <n v="151870"/>
    <n v="42475"/>
    <n v="92072"/>
    <n v="0.1109"/>
    <n v="-0.73899999999999999"/>
    <n v="1"/>
    <x v="0"/>
    <x v="1"/>
  </r>
  <r>
    <s v="SM_101494"/>
    <x v="0"/>
    <s v="text"/>
    <s v="Entertainment"/>
    <s v="ur"/>
    <s v="India"/>
    <d v="2024-12-04T00:00:00"/>
    <s v="#ai #tech #fyp #funny #trending"/>
    <n v="1501080"/>
    <n v="187635"/>
    <n v="33762"/>
    <n v="78013"/>
    <n v="0.19950000000000001"/>
    <n v="0.67700000000000005"/>
    <n v="0"/>
    <x v="1"/>
    <x v="0"/>
  </r>
  <r>
    <s v="SM_101495"/>
    <x v="1"/>
    <s v="text"/>
    <s v="Education"/>
    <s v="es"/>
    <s v="Brazil"/>
    <d v="2024-11-07T00:00:00"/>
    <s v="#tech #viral #news"/>
    <n v="6795296"/>
    <n v="424706"/>
    <n v="13166"/>
    <n v="32153"/>
    <n v="6.9199999999999998E-2"/>
    <n v="-0.108"/>
    <n v="1"/>
    <x v="0"/>
    <x v="1"/>
  </r>
  <r>
    <s v="SM_101496"/>
    <x v="2"/>
    <s v="carousel"/>
    <s v="Sports"/>
    <s v="hi"/>
    <s v="Brazil"/>
    <d v="2024-01-11T00:00:00"/>
    <s v="#music #viral #funny #news #trending"/>
    <n v="104680"/>
    <n v="20936"/>
    <n v="24836"/>
    <n v="66544"/>
    <n v="1.0729"/>
    <n v="-0.82699999999999996"/>
    <n v="0"/>
    <x v="1"/>
    <x v="1"/>
  </r>
  <r>
    <s v="SM_101497"/>
    <x v="0"/>
    <s v="carousel"/>
    <s v="Entertainment"/>
    <s v="en"/>
    <s v="India"/>
    <d v="2024-06-19T00:00:00"/>
    <s v="#viral #trending #music"/>
    <n v="3406440"/>
    <n v="141935"/>
    <n v="3913"/>
    <n v="93110"/>
    <n v="7.0099999999999996E-2"/>
    <n v="-0.224"/>
    <n v="1"/>
    <x v="0"/>
    <x v="1"/>
  </r>
  <r>
    <s v="SM_101498"/>
    <x v="0"/>
    <s v="video"/>
    <s v="Politics"/>
    <s v="fr"/>
    <s v="India"/>
    <d v="2024-12-12T00:00:00"/>
    <s v="#music #funny"/>
    <n v="7582950"/>
    <n v="421275"/>
    <n v="16487"/>
    <n v="27106"/>
    <n v="6.13E-2"/>
    <n v="-0.626"/>
    <n v="1"/>
    <x v="0"/>
    <x v="1"/>
  </r>
  <r>
    <s v="SM_101499"/>
    <x v="3"/>
    <s v="video"/>
    <s v="Lifestyle"/>
    <s v="es"/>
    <s v="US"/>
    <d v="2024-11-30T00:00:00"/>
    <s v="#funny #tech #fyp"/>
    <n v="7182280"/>
    <n v="359114"/>
    <n v="19054"/>
    <n v="83309"/>
    <n v="6.4299999999999996E-2"/>
    <n v="0.626"/>
    <n v="1"/>
    <x v="0"/>
    <x v="0"/>
  </r>
  <r>
    <s v="SM_101500"/>
    <x v="3"/>
    <s v="image"/>
    <s v="Entertainment"/>
    <s v="es"/>
    <s v="US"/>
    <d v="2024-04-27T00:00:00"/>
    <s v="#music #fyp #news #trending"/>
    <n v="2330470"/>
    <n v="466094"/>
    <n v="42030"/>
    <n v="99509"/>
    <n v="0.26069999999999999"/>
    <n v="-0.56999999999999995"/>
    <n v="1"/>
    <x v="0"/>
    <x v="1"/>
  </r>
  <r>
    <s v="SM_101501"/>
    <x v="1"/>
    <s v="text"/>
    <s v="Lifestyle"/>
    <s v="en"/>
    <s v="Brazil"/>
    <d v="2024-03-21T00:00:00"/>
    <s v="#fyp #trending #news #music #funny"/>
    <n v="2618964"/>
    <n v="113868"/>
    <n v="19561"/>
    <n v="90880"/>
    <n v="8.5599999999999996E-2"/>
    <n v="-0.59"/>
    <n v="1"/>
    <x v="0"/>
    <x v="1"/>
  </r>
  <r>
    <s v="SM_101502"/>
    <x v="3"/>
    <s v="image"/>
    <s v="Technology"/>
    <s v="es"/>
    <s v="US"/>
    <d v="2024-03-22T00:00:00"/>
    <s v="#tech #music #funny #ai"/>
    <n v="1993556"/>
    <n v="104924"/>
    <n v="33427"/>
    <n v="88742"/>
    <n v="0.1139"/>
    <n v="-0.872"/>
    <n v="0"/>
    <x v="1"/>
    <x v="1"/>
  </r>
  <r>
    <s v="SM_101503"/>
    <x v="2"/>
    <s v="carousel"/>
    <s v="Technology"/>
    <s v="ur"/>
    <s v="India"/>
    <d v="2024-01-18T00:00:00"/>
    <s v="#trending #tech #ai #music #news"/>
    <n v="970228"/>
    <n v="69302"/>
    <n v="37050"/>
    <n v="86323"/>
    <n v="0.1986"/>
    <n v="-0.39100000000000001"/>
    <n v="0"/>
    <x v="1"/>
    <x v="1"/>
  </r>
  <r>
    <s v="SM_101504"/>
    <x v="3"/>
    <s v="image"/>
    <s v="Technology"/>
    <s v="es"/>
    <s v="UK"/>
    <d v="2024-05-18T00:00:00"/>
    <s v="#viral #fyp #funny"/>
    <n v="3155980"/>
    <n v="157799"/>
    <n v="15203"/>
    <n v="69522"/>
    <n v="7.6799999999999993E-2"/>
    <n v="0.435"/>
    <n v="1"/>
    <x v="0"/>
    <x v="0"/>
  </r>
  <r>
    <s v="SM_101505"/>
    <x v="2"/>
    <s v="carousel"/>
    <s v="Technology"/>
    <s v="hi"/>
    <s v="Pakistan"/>
    <d v="2024-08-10T00:00:00"/>
    <s v="#funny #viral"/>
    <n v="1895392"/>
    <n v="236924"/>
    <n v="19408"/>
    <n v="3682"/>
    <n v="0.13719999999999999"/>
    <n v="0.25800000000000001"/>
    <n v="0"/>
    <x v="1"/>
    <x v="0"/>
  </r>
  <r>
    <s v="SM_101506"/>
    <x v="2"/>
    <s v="video"/>
    <s v="Lifestyle"/>
    <s v="hi"/>
    <s v="US"/>
    <d v="2024-05-27T00:00:00"/>
    <s v="#tech #viral #trending #ai"/>
    <n v="3345440"/>
    <n v="115360"/>
    <n v="42297"/>
    <n v="5630"/>
    <n v="4.8800000000000003E-2"/>
    <n v="-0.34799999999999998"/>
    <n v="1"/>
    <x v="0"/>
    <x v="1"/>
  </r>
  <r>
    <s v="SM_101507"/>
    <x v="1"/>
    <s v="text"/>
    <s v="Education"/>
    <s v="hi"/>
    <s v="Brazil"/>
    <d v="2024-11-06T00:00:00"/>
    <s v="#funny #ai"/>
    <n v="4954716"/>
    <n v="381132"/>
    <n v="34770"/>
    <n v="74500"/>
    <n v="9.9000000000000005E-2"/>
    <n v="-0.73299999999999998"/>
    <n v="1"/>
    <x v="0"/>
    <x v="1"/>
  </r>
  <r>
    <s v="SM_101508"/>
    <x v="0"/>
    <s v="video"/>
    <s v="Sports"/>
    <s v="en"/>
    <s v="Brazil"/>
    <d v="2024-03-28T00:00:00"/>
    <s v="#trending #ai #news #tech"/>
    <n v="11612664"/>
    <n v="483861"/>
    <n v="27680"/>
    <n v="72268"/>
    <n v="5.0299999999999997E-2"/>
    <n v="-0.4"/>
    <n v="1"/>
    <x v="0"/>
    <x v="1"/>
  </r>
  <r>
    <s v="SM_101509"/>
    <x v="1"/>
    <s v="video"/>
    <s v="Lifestyle"/>
    <s v="hi"/>
    <s v="Brazil"/>
    <d v="2024-04-29T00:00:00"/>
    <s v="#funny #viral"/>
    <n v="5909841"/>
    <n v="281421"/>
    <n v="23723"/>
    <n v="68448"/>
    <n v="6.3200000000000006E-2"/>
    <n v="-0.2"/>
    <n v="1"/>
    <x v="0"/>
    <x v="1"/>
  </r>
  <r>
    <s v="SM_101510"/>
    <x v="2"/>
    <s v="image"/>
    <s v="Education"/>
    <s v="ur"/>
    <s v="Pakistan"/>
    <d v="2024-01-01T00:00:00"/>
    <s v="#funny #trending #ai #music"/>
    <n v="1131620"/>
    <n v="80830"/>
    <n v="4956"/>
    <n v="28334"/>
    <n v="0.1008"/>
    <n v="0.34799999999999998"/>
    <n v="0"/>
    <x v="1"/>
    <x v="0"/>
  </r>
  <r>
    <s v="SM_101511"/>
    <x v="0"/>
    <s v="image"/>
    <s v="Entertainment"/>
    <s v="ur"/>
    <s v="Brazil"/>
    <d v="2024-06-04T00:00:00"/>
    <s v="#music #funny #fyp #ai #viral"/>
    <n v="6834159"/>
    <n v="253117"/>
    <n v="5570"/>
    <n v="22822"/>
    <n v="4.1200000000000001E-2"/>
    <n v="-0.161"/>
    <n v="1"/>
    <x v="0"/>
    <x v="1"/>
  </r>
  <r>
    <s v="SM_101512"/>
    <x v="2"/>
    <s v="carousel"/>
    <s v="Lifestyle"/>
    <s v="hi"/>
    <s v="Brazil"/>
    <d v="2024-11-14T00:00:00"/>
    <s v="#ai #fyp #music"/>
    <n v="2258652"/>
    <n v="205332"/>
    <n v="47167"/>
    <n v="836"/>
    <n v="0.11219999999999999"/>
    <n v="-0.48699999999999999"/>
    <n v="1"/>
    <x v="0"/>
    <x v="1"/>
  </r>
  <r>
    <s v="SM_101513"/>
    <x v="1"/>
    <s v="video"/>
    <s v="Education"/>
    <s v="hi"/>
    <s v="US"/>
    <d v="2024-09-11T00:00:00"/>
    <s v="#trending #news"/>
    <n v="2091420"/>
    <n v="77460"/>
    <n v="37340"/>
    <n v="69352"/>
    <n v="8.8099999999999998E-2"/>
    <n v="0.59499999999999997"/>
    <n v="1"/>
    <x v="0"/>
    <x v="0"/>
  </r>
  <r>
    <s v="SM_101514"/>
    <x v="1"/>
    <s v="video"/>
    <s v="Education"/>
    <s v="es"/>
    <s v="India"/>
    <d v="2024-12-13T00:00:00"/>
    <s v="#music #trending #tech"/>
    <n v="1397342"/>
    <n v="60754"/>
    <n v="41891"/>
    <n v="68144"/>
    <n v="0.1222"/>
    <n v="2.9000000000000001E-2"/>
    <n v="0"/>
    <x v="1"/>
    <x v="0"/>
  </r>
  <r>
    <s v="SM_101515"/>
    <x v="2"/>
    <s v="image"/>
    <s v="Politics"/>
    <s v="hi"/>
    <s v="US"/>
    <d v="2024-02-12T00:00:00"/>
    <s v="#trending #news #tech #funny #viral"/>
    <n v="2048520"/>
    <n v="102426"/>
    <n v="11996"/>
    <n v="86705"/>
    <n v="9.8199999999999996E-2"/>
    <n v="7.1999999999999995E-2"/>
    <n v="1"/>
    <x v="0"/>
    <x v="0"/>
  </r>
  <r>
    <s v="SM_101516"/>
    <x v="2"/>
    <s v="text"/>
    <s v="Technology"/>
    <s v="fr"/>
    <s v="India"/>
    <d v="2024-01-14T00:00:00"/>
    <s v="#fyp #news #funny"/>
    <n v="2666880"/>
    <n v="333360"/>
    <n v="7059"/>
    <n v="89627"/>
    <n v="0.1613"/>
    <n v="0.878"/>
    <n v="1"/>
    <x v="0"/>
    <x v="0"/>
  </r>
  <r>
    <s v="SM_101517"/>
    <x v="1"/>
    <s v="video"/>
    <s v="Education"/>
    <s v="hi"/>
    <s v="India"/>
    <d v="2024-01-28T00:00:00"/>
    <s v="#trending #fyp #news #viral"/>
    <n v="720839"/>
    <n v="102977"/>
    <n v="15344"/>
    <n v="3492"/>
    <n v="0.16900000000000001"/>
    <n v="0.39400000000000002"/>
    <n v="0"/>
    <x v="1"/>
    <x v="0"/>
  </r>
  <r>
    <s v="SM_101518"/>
    <x v="1"/>
    <s v="video"/>
    <s v="Entertainment"/>
    <s v="en"/>
    <s v="Pakistan"/>
    <d v="2024-05-13T00:00:00"/>
    <s v="#music #funny #viral"/>
    <n v="8806886"/>
    <n v="400313"/>
    <n v="38006"/>
    <n v="60409"/>
    <n v="5.6599999999999998E-2"/>
    <n v="-3.9E-2"/>
    <n v="1"/>
    <x v="0"/>
    <x v="1"/>
  </r>
  <r>
    <s v="SM_101519"/>
    <x v="2"/>
    <s v="image"/>
    <s v="Education"/>
    <s v="fr"/>
    <s v="Brazil"/>
    <d v="2024-12-15T00:00:00"/>
    <s v="#ai #fyp #funny #trending #tech"/>
    <n v="3043700"/>
    <n v="121748"/>
    <n v="25168"/>
    <n v="17719"/>
    <n v="5.4100000000000002E-2"/>
    <n v="-0.16600000000000001"/>
    <n v="1"/>
    <x v="0"/>
    <x v="1"/>
  </r>
  <r>
    <s v="SM_101520"/>
    <x v="1"/>
    <s v="carousel"/>
    <s v="Education"/>
    <s v="es"/>
    <s v="Brazil"/>
    <d v="2024-06-19T00:00:00"/>
    <s v="#music #ai #fyp"/>
    <n v="7407990"/>
    <n v="274370"/>
    <n v="23600"/>
    <n v="64927"/>
    <n v="4.9000000000000002E-2"/>
    <n v="-0.68300000000000005"/>
    <n v="1"/>
    <x v="0"/>
    <x v="1"/>
  </r>
  <r>
    <s v="SM_101521"/>
    <x v="3"/>
    <s v="video"/>
    <s v="Education"/>
    <s v="hi"/>
    <s v="US"/>
    <d v="2024-03-10T00:00:00"/>
    <s v="#tech #viral #ai #fyp #trending"/>
    <n v="6127180"/>
    <n v="306359"/>
    <n v="43163"/>
    <n v="55964"/>
    <n v="6.6199999999999995E-2"/>
    <n v="2.5000000000000001E-2"/>
    <n v="1"/>
    <x v="0"/>
    <x v="0"/>
  </r>
  <r>
    <s v="SM_101522"/>
    <x v="3"/>
    <s v="text"/>
    <s v="Education"/>
    <s v="en"/>
    <s v="India"/>
    <d v="2024-11-29T00:00:00"/>
    <s v="#viral #ai #fyp #funny #trending"/>
    <n v="4073922"/>
    <n v="452658"/>
    <n v="15509"/>
    <n v="68594"/>
    <n v="0.1318"/>
    <n v="0.71599999999999997"/>
    <n v="1"/>
    <x v="0"/>
    <x v="0"/>
  </r>
  <r>
    <s v="SM_101523"/>
    <x v="0"/>
    <s v="carousel"/>
    <s v="Entertainment"/>
    <s v="fr"/>
    <s v="Brazil"/>
    <d v="2024-11-14T00:00:00"/>
    <s v="#fyp #trending"/>
    <n v="3215368"/>
    <n v="401921"/>
    <n v="15766"/>
    <n v="55502"/>
    <n v="0.1472"/>
    <n v="-0.40400000000000003"/>
    <n v="1"/>
    <x v="0"/>
    <x v="1"/>
  </r>
  <r>
    <s v="SM_101524"/>
    <x v="2"/>
    <s v="image"/>
    <s v="Lifestyle"/>
    <s v="es"/>
    <s v="Brazil"/>
    <d v="2024-01-30T00:00:00"/>
    <s v="#funny #fyp #music"/>
    <n v="1292656"/>
    <n v="80791"/>
    <n v="40983"/>
    <n v="33133"/>
    <n v="0.1198"/>
    <n v="-0.54500000000000004"/>
    <n v="0"/>
    <x v="1"/>
    <x v="1"/>
  </r>
  <r>
    <s v="SM_101525"/>
    <x v="3"/>
    <s v="image"/>
    <s v="Lifestyle"/>
    <s v="ur"/>
    <s v="Pakistan"/>
    <d v="2024-12-07T00:00:00"/>
    <s v="#tech #viral #music #ai"/>
    <n v="1219674"/>
    <n v="203279"/>
    <n v="49736"/>
    <n v="57890"/>
    <n v="0.25490000000000002"/>
    <n v="-0.314"/>
    <n v="0"/>
    <x v="1"/>
    <x v="1"/>
  </r>
  <r>
    <s v="SM_101526"/>
    <x v="3"/>
    <s v="video"/>
    <s v="Politics"/>
    <s v="es"/>
    <s v="Brazil"/>
    <d v="2024-12-17T00:00:00"/>
    <s v="#news #trending #fyp #music"/>
    <n v="4856969"/>
    <n v="373613"/>
    <n v="19428"/>
    <n v="4138"/>
    <n v="8.1799999999999998E-2"/>
    <n v="-0.64200000000000002"/>
    <n v="1"/>
    <x v="0"/>
    <x v="1"/>
  </r>
  <r>
    <s v="SM_101527"/>
    <x v="1"/>
    <s v="image"/>
    <s v="Technology"/>
    <s v="ur"/>
    <s v="UK"/>
    <d v="2024-09-05T00:00:00"/>
    <s v="#music #trending #funny"/>
    <n v="1152400"/>
    <n v="115240"/>
    <n v="44926"/>
    <n v="79370"/>
    <n v="0.2079"/>
    <n v="-0.29599999999999999"/>
    <n v="0"/>
    <x v="1"/>
    <x v="1"/>
  </r>
  <r>
    <s v="SM_101528"/>
    <x v="3"/>
    <s v="video"/>
    <s v="Lifestyle"/>
    <s v="hi"/>
    <s v="Pakistan"/>
    <d v="2024-06-12T00:00:00"/>
    <s v="#funny #trending"/>
    <n v="2521764"/>
    <n v="210147"/>
    <n v="19127"/>
    <n v="23957"/>
    <n v="0.1004"/>
    <n v="-0.751"/>
    <n v="1"/>
    <x v="0"/>
    <x v="1"/>
  </r>
  <r>
    <s v="SM_101529"/>
    <x v="0"/>
    <s v="text"/>
    <s v="Politics"/>
    <s v="fr"/>
    <s v="India"/>
    <d v="2024-03-18T00:00:00"/>
    <s v="#viral #trending"/>
    <n v="11902900"/>
    <n v="476116"/>
    <n v="44779"/>
    <n v="68686"/>
    <n v="4.9500000000000002E-2"/>
    <n v="0.53200000000000003"/>
    <n v="1"/>
    <x v="0"/>
    <x v="0"/>
  </r>
  <r>
    <s v="SM_101530"/>
    <x v="2"/>
    <s v="video"/>
    <s v="Lifestyle"/>
    <s v="en"/>
    <s v="Brazil"/>
    <d v="2024-07-21T00:00:00"/>
    <s v="#funny #trending #fyp #tech"/>
    <n v="4314420"/>
    <n v="479380"/>
    <n v="48909"/>
    <n v="1169"/>
    <n v="0.1227"/>
    <n v="-0.96099999999999997"/>
    <n v="1"/>
    <x v="0"/>
    <x v="1"/>
  </r>
  <r>
    <s v="SM_101531"/>
    <x v="0"/>
    <s v="image"/>
    <s v="Technology"/>
    <s v="en"/>
    <s v="India"/>
    <d v="2024-07-02T00:00:00"/>
    <s v="#music #ai #funny"/>
    <n v="3780492"/>
    <n v="315041"/>
    <n v="35299"/>
    <n v="43828"/>
    <n v="0.1043"/>
    <n v="-0.14299999999999999"/>
    <n v="1"/>
    <x v="0"/>
    <x v="1"/>
  </r>
  <r>
    <s v="SM_101532"/>
    <x v="3"/>
    <s v="image"/>
    <s v="Lifestyle"/>
    <s v="en"/>
    <s v="US"/>
    <d v="2024-11-25T00:00:00"/>
    <s v="#tech #music #viral #trending"/>
    <n v="151850"/>
    <n v="30370"/>
    <n v="10391"/>
    <n v="64818"/>
    <n v="0.69530000000000003"/>
    <n v="-0.77600000000000002"/>
    <n v="0"/>
    <x v="1"/>
    <x v="1"/>
  </r>
  <r>
    <s v="SM_101533"/>
    <x v="3"/>
    <s v="image"/>
    <s v="Education"/>
    <s v="es"/>
    <s v="US"/>
    <d v="2024-03-30T00:00:00"/>
    <s v="#fyp #viral #tech #music #funny"/>
    <n v="569685"/>
    <n v="37979"/>
    <n v="39525"/>
    <n v="49598"/>
    <n v="0.22309999999999999"/>
    <n v="7.0999999999999994E-2"/>
    <n v="0"/>
    <x v="1"/>
    <x v="0"/>
  </r>
  <r>
    <s v="SM_101534"/>
    <x v="0"/>
    <s v="carousel"/>
    <s v="Lifestyle"/>
    <s v="es"/>
    <s v="Pakistan"/>
    <d v="2024-04-13T00:00:00"/>
    <s v="#music #viral #trending #funny"/>
    <n v="2349730"/>
    <n v="234973"/>
    <n v="15984"/>
    <n v="77066"/>
    <n v="0.1396"/>
    <n v="0.81799999999999995"/>
    <n v="1"/>
    <x v="0"/>
    <x v="0"/>
  </r>
  <r>
    <s v="SM_101535"/>
    <x v="0"/>
    <s v="video"/>
    <s v="Lifestyle"/>
    <s v="ur"/>
    <s v="US"/>
    <d v="2024-07-16T00:00:00"/>
    <s v="#music #news #trending"/>
    <n v="3613850"/>
    <n v="144554"/>
    <n v="4030"/>
    <n v="43227"/>
    <n v="5.3100000000000001E-2"/>
    <n v="0.89100000000000001"/>
    <n v="1"/>
    <x v="0"/>
    <x v="0"/>
  </r>
  <r>
    <s v="SM_101536"/>
    <x v="3"/>
    <s v="text"/>
    <s v="Education"/>
    <s v="es"/>
    <s v="India"/>
    <d v="2024-08-16T00:00:00"/>
    <s v="#news #trending"/>
    <n v="11112648"/>
    <n v="463027"/>
    <n v="30524"/>
    <n v="74711"/>
    <n v="5.11E-2"/>
    <n v="-9.4E-2"/>
    <n v="1"/>
    <x v="0"/>
    <x v="1"/>
  </r>
  <r>
    <s v="SM_101537"/>
    <x v="1"/>
    <s v="image"/>
    <s v="Technology"/>
    <s v="en"/>
    <s v="Brazil"/>
    <d v="2024-02-18T00:00:00"/>
    <s v="#fyp #ai #music"/>
    <n v="839025"/>
    <n v="33561"/>
    <n v="41120"/>
    <n v="96888"/>
    <n v="0.20449999999999999"/>
    <n v="0.16"/>
    <n v="0"/>
    <x v="1"/>
    <x v="0"/>
  </r>
  <r>
    <s v="SM_101538"/>
    <x v="3"/>
    <s v="carousel"/>
    <s v="Politics"/>
    <s v="hi"/>
    <s v="Brazil"/>
    <d v="2024-05-06T00:00:00"/>
    <s v="#news #fyp #music #ai"/>
    <n v="7861423"/>
    <n v="341801"/>
    <n v="46141"/>
    <n v="71261"/>
    <n v="5.8400000000000001E-2"/>
    <n v="-0.19"/>
    <n v="1"/>
    <x v="0"/>
    <x v="1"/>
  </r>
  <r>
    <s v="SM_101539"/>
    <x v="2"/>
    <s v="image"/>
    <s v="Sports"/>
    <s v="en"/>
    <s v="US"/>
    <d v="2024-12-09T00:00:00"/>
    <s v="#tech #viral #news #music"/>
    <n v="821240"/>
    <n v="58660"/>
    <n v="47345"/>
    <n v="17795"/>
    <n v="0.1507"/>
    <n v="0.157"/>
    <n v="0"/>
    <x v="1"/>
    <x v="0"/>
  </r>
  <r>
    <s v="SM_101540"/>
    <x v="2"/>
    <s v="video"/>
    <s v="Sports"/>
    <s v="hi"/>
    <s v="Brazil"/>
    <d v="2024-06-30T00:00:00"/>
    <s v="#news #tech"/>
    <n v="6557596"/>
    <n v="226124"/>
    <n v="49708"/>
    <n v="44355"/>
    <n v="4.8800000000000003E-2"/>
    <n v="-0.121"/>
    <n v="1"/>
    <x v="0"/>
    <x v="1"/>
  </r>
  <r>
    <s v="SM_101541"/>
    <x v="0"/>
    <s v="image"/>
    <s v="Education"/>
    <s v="es"/>
    <s v="US"/>
    <d v="2024-05-01T00:00:00"/>
    <s v="#fyp #music #trending #news"/>
    <n v="5784720"/>
    <n v="361545"/>
    <n v="14395"/>
    <n v="87476"/>
    <n v="8.0100000000000005E-2"/>
    <n v="-0.82599999999999996"/>
    <n v="1"/>
    <x v="0"/>
    <x v="1"/>
  </r>
  <r>
    <s v="SM_101542"/>
    <x v="1"/>
    <s v="image"/>
    <s v="Technology"/>
    <s v="es"/>
    <s v="Brazil"/>
    <d v="2024-04-20T00:00:00"/>
    <s v="#tech #viral"/>
    <n v="6781401"/>
    <n v="251163"/>
    <n v="24507"/>
    <n v="95600"/>
    <n v="5.4699999999999999E-2"/>
    <n v="-0.214"/>
    <n v="1"/>
    <x v="0"/>
    <x v="1"/>
  </r>
  <r>
    <s v="SM_101543"/>
    <x v="2"/>
    <s v="image"/>
    <s v="Lifestyle"/>
    <s v="es"/>
    <s v="India"/>
    <d v="2024-04-16T00:00:00"/>
    <s v="#trending #ai #music"/>
    <n v="2455544"/>
    <n v="188888"/>
    <n v="31697"/>
    <n v="81495"/>
    <n v="0.123"/>
    <n v="-0.98799999999999999"/>
    <n v="1"/>
    <x v="0"/>
    <x v="1"/>
  </r>
  <r>
    <s v="SM_101544"/>
    <x v="1"/>
    <s v="text"/>
    <s v="Education"/>
    <s v="fr"/>
    <s v="Brazil"/>
    <d v="2024-07-02T00:00:00"/>
    <s v="#viral #ai #funny #trending #fyp"/>
    <n v="1760780"/>
    <n v="62885"/>
    <n v="10519"/>
    <n v="22739"/>
    <n v="5.4600000000000003E-2"/>
    <n v="-0.81699999999999995"/>
    <n v="0"/>
    <x v="1"/>
    <x v="1"/>
  </r>
  <r>
    <s v="SM_101545"/>
    <x v="1"/>
    <s v="image"/>
    <s v="Lifestyle"/>
    <s v="fr"/>
    <s v="Brazil"/>
    <d v="2024-06-24T00:00:00"/>
    <s v="#trending #viral #music #fyp"/>
    <n v="7293744"/>
    <n v="303906"/>
    <n v="30766"/>
    <n v="82235"/>
    <n v="5.7200000000000001E-2"/>
    <n v="0.57599999999999996"/>
    <n v="1"/>
    <x v="0"/>
    <x v="0"/>
  </r>
  <r>
    <s v="SM_101546"/>
    <x v="2"/>
    <s v="image"/>
    <s v="Education"/>
    <s v="en"/>
    <s v="India"/>
    <d v="2024-04-08T00:00:00"/>
    <s v="#funny #ai #fyp #trending"/>
    <n v="3967984"/>
    <n v="495998"/>
    <n v="11187"/>
    <n v="90370"/>
    <n v="0.15060000000000001"/>
    <n v="0.497"/>
    <n v="1"/>
    <x v="0"/>
    <x v="0"/>
  </r>
  <r>
    <s v="SM_101547"/>
    <x v="0"/>
    <s v="text"/>
    <s v="Politics"/>
    <s v="es"/>
    <s v="UK"/>
    <d v="2024-11-02T00:00:00"/>
    <s v="#viral #trending"/>
    <n v="823056"/>
    <n v="31656"/>
    <n v="21974"/>
    <n v="21877"/>
    <n v="9.1700000000000004E-2"/>
    <n v="7.5999999999999998E-2"/>
    <n v="0"/>
    <x v="1"/>
    <x v="0"/>
  </r>
  <r>
    <s v="SM_101548"/>
    <x v="3"/>
    <s v="text"/>
    <s v="Lifestyle"/>
    <s v="fr"/>
    <s v="US"/>
    <d v="2024-03-12T00:00:00"/>
    <s v="#ai #news"/>
    <n v="1619024"/>
    <n v="202378"/>
    <n v="24104"/>
    <n v="12717"/>
    <n v="0.1477"/>
    <n v="0.95499999999999996"/>
    <n v="0"/>
    <x v="1"/>
    <x v="0"/>
  </r>
  <r>
    <s v="SM_101549"/>
    <x v="2"/>
    <s v="text"/>
    <s v="Sports"/>
    <s v="ur"/>
    <s v="UK"/>
    <d v="2024-04-07T00:00:00"/>
    <s v="#viral #ai"/>
    <n v="1571136"/>
    <n v="196392"/>
    <n v="7842"/>
    <n v="49356"/>
    <n v="0.16139999999999999"/>
    <n v="0.20599999999999999"/>
    <n v="0"/>
    <x v="1"/>
    <x v="0"/>
  </r>
  <r>
    <s v="SM_101550"/>
    <x v="1"/>
    <s v="image"/>
    <s v="Sports"/>
    <s v="en"/>
    <s v="US"/>
    <d v="2024-10-25T00:00:00"/>
    <s v="#fyp #viral #trending"/>
    <n v="8336328"/>
    <n v="378924"/>
    <n v="41271"/>
    <n v="51013"/>
    <n v="5.6500000000000002E-2"/>
    <n v="-0.81899999999999995"/>
    <n v="1"/>
    <x v="0"/>
    <x v="1"/>
  </r>
  <r>
    <s v="SM_101551"/>
    <x v="3"/>
    <s v="carousel"/>
    <s v="Technology"/>
    <s v="hi"/>
    <s v="UK"/>
    <d v="2024-04-16T00:00:00"/>
    <s v="#news #music #trending #viral"/>
    <n v="4151784"/>
    <n v="148278"/>
    <n v="46294"/>
    <n v="8721"/>
    <n v="4.9000000000000002E-2"/>
    <n v="0.63400000000000001"/>
    <n v="1"/>
    <x v="0"/>
    <x v="0"/>
  </r>
  <r>
    <s v="SM_101552"/>
    <x v="2"/>
    <s v="carousel"/>
    <s v="Education"/>
    <s v="hi"/>
    <s v="UK"/>
    <d v="2024-06-03T00:00:00"/>
    <s v="#funny #fyp #tech #news #trending"/>
    <n v="9132046"/>
    <n v="480634"/>
    <n v="41173"/>
    <n v="21121"/>
    <n v="5.9499999999999997E-2"/>
    <n v="-0.94199999999999995"/>
    <n v="1"/>
    <x v="0"/>
    <x v="1"/>
  </r>
  <r>
    <s v="SM_101553"/>
    <x v="1"/>
    <s v="video"/>
    <s v="Technology"/>
    <s v="fr"/>
    <s v="UK"/>
    <d v="2024-06-20T00:00:00"/>
    <s v="#tech #music"/>
    <n v="2619344"/>
    <n v="93548"/>
    <n v="47379"/>
    <n v="42908"/>
    <n v="7.0199999999999999E-2"/>
    <n v="-0.32800000000000001"/>
    <n v="1"/>
    <x v="0"/>
    <x v="1"/>
  </r>
  <r>
    <s v="SM_101554"/>
    <x v="3"/>
    <s v="text"/>
    <s v="Education"/>
    <s v="hi"/>
    <s v="Brazil"/>
    <d v="2024-05-21T00:00:00"/>
    <s v="#viral #tech #ai #funny"/>
    <n v="6548094"/>
    <n v="311814"/>
    <n v="36165"/>
    <n v="19157"/>
    <n v="5.6099999999999997E-2"/>
    <n v="0.501"/>
    <n v="1"/>
    <x v="0"/>
    <x v="0"/>
  </r>
  <r>
    <s v="SM_101555"/>
    <x v="0"/>
    <s v="carousel"/>
    <s v="Lifestyle"/>
    <s v="ur"/>
    <s v="India"/>
    <d v="2024-02-29T00:00:00"/>
    <s v="#trending #music #fyp #news #ai"/>
    <n v="1640111"/>
    <n v="149101"/>
    <n v="1075"/>
    <n v="88443"/>
    <n v="0.14549999999999999"/>
    <n v="2.1999999999999999E-2"/>
    <n v="0"/>
    <x v="1"/>
    <x v="0"/>
  </r>
  <r>
    <s v="SM_101556"/>
    <x v="1"/>
    <s v="carousel"/>
    <s v="Entertainment"/>
    <s v="hi"/>
    <s v="Pakistan"/>
    <d v="2024-12-13T00:00:00"/>
    <s v="#viral #funny #news #trending"/>
    <n v="7867662"/>
    <n v="357621"/>
    <n v="42868"/>
    <n v="81838"/>
    <n v="6.13E-2"/>
    <n v="0.309"/>
    <n v="1"/>
    <x v="0"/>
    <x v="0"/>
  </r>
  <r>
    <s v="SM_101557"/>
    <x v="0"/>
    <s v="carousel"/>
    <s v="Education"/>
    <s v="hi"/>
    <s v="UK"/>
    <d v="2024-08-13T00:00:00"/>
    <s v="#tech #viral #funny"/>
    <n v="5734720"/>
    <n v="358420"/>
    <n v="33761"/>
    <n v="29778"/>
    <n v="7.3599999999999999E-2"/>
    <n v="-0.1"/>
    <n v="1"/>
    <x v="0"/>
    <x v="1"/>
  </r>
  <r>
    <s v="SM_101558"/>
    <x v="0"/>
    <s v="carousel"/>
    <s v="Education"/>
    <s v="fr"/>
    <s v="US"/>
    <d v="2024-10-31T00:00:00"/>
    <s v="#tech #funny #fyp #trending"/>
    <n v="1585680"/>
    <n v="198210"/>
    <n v="21670"/>
    <n v="16199"/>
    <n v="0.1489"/>
    <n v="-0.81499999999999995"/>
    <n v="0"/>
    <x v="1"/>
    <x v="1"/>
  </r>
  <r>
    <s v="SM_101559"/>
    <x v="1"/>
    <s v="video"/>
    <s v="Sports"/>
    <s v="hi"/>
    <s v="India"/>
    <d v="2024-10-21T00:00:00"/>
    <s v="#trending #fyp"/>
    <n v="813813"/>
    <n v="62601"/>
    <n v="14271"/>
    <n v="39423"/>
    <n v="0.1429"/>
    <n v="0.73399999999999999"/>
    <n v="0"/>
    <x v="1"/>
    <x v="0"/>
  </r>
  <r>
    <s v="SM_101560"/>
    <x v="0"/>
    <s v="image"/>
    <s v="Lifestyle"/>
    <s v="hi"/>
    <s v="UK"/>
    <d v="2024-11-21T00:00:00"/>
    <s v="#news #trending #fyp"/>
    <n v="2971703"/>
    <n v="424529"/>
    <n v="7372"/>
    <n v="79027"/>
    <n v="0.1719"/>
    <n v="0.10100000000000001"/>
    <n v="1"/>
    <x v="0"/>
    <x v="0"/>
  </r>
  <r>
    <s v="SM_101561"/>
    <x v="2"/>
    <s v="carousel"/>
    <s v="Sports"/>
    <s v="fr"/>
    <s v="Brazil"/>
    <d v="2024-06-14T00:00:00"/>
    <s v="#viral #news"/>
    <n v="4066968"/>
    <n v="169457"/>
    <n v="9224"/>
    <n v="71847"/>
    <n v="6.1600000000000002E-2"/>
    <n v="-0.35399999999999998"/>
    <n v="1"/>
    <x v="0"/>
    <x v="1"/>
  </r>
  <r>
    <s v="SM_101562"/>
    <x v="3"/>
    <s v="carousel"/>
    <s v="Lifestyle"/>
    <s v="ur"/>
    <s v="Brazil"/>
    <d v="2024-09-21T00:00:00"/>
    <s v="#fyp #tech"/>
    <n v="7437294"/>
    <n v="413183"/>
    <n v="18630"/>
    <n v="6379"/>
    <n v="5.8900000000000001E-2"/>
    <n v="0.376"/>
    <n v="1"/>
    <x v="0"/>
    <x v="0"/>
  </r>
  <r>
    <s v="SM_101563"/>
    <x v="1"/>
    <s v="carousel"/>
    <s v="Lifestyle"/>
    <s v="fr"/>
    <s v="Brazil"/>
    <d v="2024-01-21T00:00:00"/>
    <s v="#tech #news #fyp #music #viral"/>
    <n v="1590980"/>
    <n v="159098"/>
    <n v="37684"/>
    <n v="98708"/>
    <n v="0.1857"/>
    <n v="-0.78700000000000003"/>
    <n v="0"/>
    <x v="1"/>
    <x v="1"/>
  </r>
  <r>
    <s v="SM_101564"/>
    <x v="0"/>
    <s v="image"/>
    <s v="Sports"/>
    <s v="fr"/>
    <s v="Brazil"/>
    <d v="2024-10-13T00:00:00"/>
    <s v="#music #trending #tech #viral"/>
    <n v="2086650"/>
    <n v="417330"/>
    <n v="49244"/>
    <n v="96473"/>
    <n v="0.26979999999999998"/>
    <n v="0.495"/>
    <n v="1"/>
    <x v="0"/>
    <x v="0"/>
  </r>
  <r>
    <s v="SM_101565"/>
    <x v="2"/>
    <s v="carousel"/>
    <s v="Entertainment"/>
    <s v="es"/>
    <s v="US"/>
    <d v="2024-06-11T00:00:00"/>
    <s v="#viral #music #ai #tech"/>
    <n v="2409426"/>
    <n v="267714"/>
    <n v="30864"/>
    <n v="14954"/>
    <n v="0.13009999999999999"/>
    <n v="0.42199999999999999"/>
    <n v="1"/>
    <x v="0"/>
    <x v="0"/>
  </r>
  <r>
    <s v="SM_101566"/>
    <x v="3"/>
    <s v="carousel"/>
    <s v="Education"/>
    <s v="fr"/>
    <s v="UK"/>
    <d v="2024-11-29T00:00:00"/>
    <s v="#fyp #trending"/>
    <n v="5683408"/>
    <n v="355213"/>
    <n v="25962"/>
    <n v="6524"/>
    <n v="6.8199999999999997E-2"/>
    <n v="2.8000000000000001E-2"/>
    <n v="1"/>
    <x v="0"/>
    <x v="0"/>
  </r>
  <r>
    <s v="SM_101567"/>
    <x v="2"/>
    <s v="video"/>
    <s v="Sports"/>
    <s v="en"/>
    <s v="UK"/>
    <d v="2024-05-31T00:00:00"/>
    <s v="#fyp #viral #tech #trending #music"/>
    <n v="4694608"/>
    <n v="293413"/>
    <n v="45646"/>
    <n v="22991"/>
    <n v="7.7100000000000002E-2"/>
    <n v="0.96699999999999997"/>
    <n v="1"/>
    <x v="0"/>
    <x v="0"/>
  </r>
  <r>
    <s v="SM_101568"/>
    <x v="3"/>
    <s v="text"/>
    <s v="Sports"/>
    <s v="en"/>
    <s v="Brazil"/>
    <d v="2024-09-30T00:00:00"/>
    <s v="#fyp #music #tech"/>
    <n v="1348347"/>
    <n v="103719"/>
    <n v="10571"/>
    <n v="33086"/>
    <n v="0.10929999999999999"/>
    <n v="0.432"/>
    <n v="0"/>
    <x v="1"/>
    <x v="0"/>
  </r>
  <r>
    <s v="SM_101569"/>
    <x v="1"/>
    <s v="video"/>
    <s v="Education"/>
    <s v="es"/>
    <s v="Pakistan"/>
    <d v="2024-11-12T00:00:00"/>
    <s v="#viral #fyp #music"/>
    <n v="1164053"/>
    <n v="105823"/>
    <n v="2047"/>
    <n v="70135"/>
    <n v="0.15290000000000001"/>
    <n v="0.35399999999999998"/>
    <n v="0"/>
    <x v="1"/>
    <x v="0"/>
  </r>
  <r>
    <s v="SM_101570"/>
    <x v="3"/>
    <s v="carousel"/>
    <s v="Entertainment"/>
    <s v="hi"/>
    <s v="Brazil"/>
    <d v="2024-07-03T00:00:00"/>
    <s v="#news #fyp #viral #funny #trending"/>
    <n v="570809"/>
    <n v="33577"/>
    <n v="48630"/>
    <n v="52710"/>
    <n v="0.2364"/>
    <n v="0.47899999999999998"/>
    <n v="0"/>
    <x v="1"/>
    <x v="0"/>
  </r>
  <r>
    <s v="SM_101571"/>
    <x v="0"/>
    <s v="video"/>
    <s v="Sports"/>
    <s v="en"/>
    <s v="India"/>
    <d v="2024-08-15T00:00:00"/>
    <s v="#viral #funny #fyp #trending #news"/>
    <n v="2645427"/>
    <n v="139233"/>
    <n v="8614"/>
    <n v="35372"/>
    <n v="6.93E-2"/>
    <n v="-0.93899999999999995"/>
    <n v="1"/>
    <x v="0"/>
    <x v="1"/>
  </r>
  <r>
    <s v="SM_101572"/>
    <x v="1"/>
    <s v="carousel"/>
    <s v="Sports"/>
    <s v="hi"/>
    <s v="Pakistan"/>
    <d v="2024-02-24T00:00:00"/>
    <s v="#fyp #funny #ai"/>
    <n v="1890707"/>
    <n v="270101"/>
    <n v="11625"/>
    <n v="8178"/>
    <n v="0.15329999999999999"/>
    <n v="0.876"/>
    <n v="0"/>
    <x v="1"/>
    <x v="0"/>
  </r>
  <r>
    <s v="SM_101573"/>
    <x v="0"/>
    <s v="carousel"/>
    <s v="Politics"/>
    <s v="ur"/>
    <s v="US"/>
    <d v="2024-10-13T00:00:00"/>
    <s v="#funny #trending #music #news"/>
    <n v="1440656"/>
    <n v="90041"/>
    <n v="11831"/>
    <n v="13891"/>
    <n v="8.0399999999999999E-2"/>
    <n v="-3.3000000000000002E-2"/>
    <n v="0"/>
    <x v="1"/>
    <x v="1"/>
  </r>
  <r>
    <s v="SM_101574"/>
    <x v="1"/>
    <s v="image"/>
    <s v="Education"/>
    <s v="en"/>
    <s v="Pakistan"/>
    <d v="2024-08-06T00:00:00"/>
    <s v="#funny #news"/>
    <n v="2698112"/>
    <n v="337264"/>
    <n v="5500"/>
    <n v="28482"/>
    <n v="0.1376"/>
    <n v="-0.82099999999999995"/>
    <n v="1"/>
    <x v="0"/>
    <x v="1"/>
  </r>
  <r>
    <s v="SM_101575"/>
    <x v="3"/>
    <s v="video"/>
    <s v="Education"/>
    <s v="en"/>
    <s v="UK"/>
    <d v="2024-04-26T00:00:00"/>
    <s v="#viral #trending #fyp"/>
    <n v="3172045"/>
    <n v="137915"/>
    <n v="37944"/>
    <n v="48774"/>
    <n v="7.0800000000000002E-2"/>
    <n v="-0.17799999999999999"/>
    <n v="1"/>
    <x v="0"/>
    <x v="1"/>
  </r>
  <r>
    <s v="SM_101576"/>
    <x v="3"/>
    <s v="image"/>
    <s v="Entertainment"/>
    <s v="en"/>
    <s v="Brazil"/>
    <d v="2024-09-16T00:00:00"/>
    <s v="#music #funny #viral #ai"/>
    <n v="3795709"/>
    <n v="223277"/>
    <n v="28557"/>
    <n v="65243"/>
    <n v="8.3500000000000005E-2"/>
    <n v="-0.26700000000000002"/>
    <n v="1"/>
    <x v="0"/>
    <x v="1"/>
  </r>
  <r>
    <s v="SM_101577"/>
    <x v="0"/>
    <s v="image"/>
    <s v="Sports"/>
    <s v="es"/>
    <s v="India"/>
    <d v="2024-10-19T00:00:00"/>
    <s v="#trending #viral #music #tech #news"/>
    <n v="5809524"/>
    <n v="207483"/>
    <n v="3562"/>
    <n v="69124"/>
    <n v="4.82E-2"/>
    <n v="0.90900000000000003"/>
    <n v="1"/>
    <x v="0"/>
    <x v="0"/>
  </r>
  <r>
    <s v="SM_101578"/>
    <x v="2"/>
    <s v="text"/>
    <s v="Sports"/>
    <s v="en"/>
    <s v="India"/>
    <d v="2024-08-15T00:00:00"/>
    <s v="#ai #news"/>
    <n v="7625720"/>
    <n v="381286"/>
    <n v="23549"/>
    <n v="58536"/>
    <n v="6.08E-2"/>
    <n v="-0.36599999999999999"/>
    <n v="1"/>
    <x v="0"/>
    <x v="1"/>
  </r>
  <r>
    <s v="SM_101579"/>
    <x v="1"/>
    <s v="image"/>
    <s v="Sports"/>
    <s v="es"/>
    <s v="Brazil"/>
    <d v="2024-06-04T00:00:00"/>
    <s v="#music #news"/>
    <n v="8836474"/>
    <n v="304706"/>
    <n v="3132"/>
    <n v="23148"/>
    <n v="3.7499999999999999E-2"/>
    <n v="0.55500000000000005"/>
    <n v="1"/>
    <x v="0"/>
    <x v="0"/>
  </r>
  <r>
    <s v="SM_101580"/>
    <x v="0"/>
    <s v="video"/>
    <s v="Technology"/>
    <s v="hi"/>
    <s v="US"/>
    <d v="2024-09-21T00:00:00"/>
    <s v="#trending #fyp #viral #ai #funny"/>
    <n v="3401751"/>
    <n v="200103"/>
    <n v="25394"/>
    <n v="66382"/>
    <n v="8.5800000000000001E-2"/>
    <n v="-0.28100000000000003"/>
    <n v="1"/>
    <x v="0"/>
    <x v="1"/>
  </r>
  <r>
    <s v="SM_101581"/>
    <x v="0"/>
    <s v="carousel"/>
    <s v="Politics"/>
    <s v="fr"/>
    <s v="India"/>
    <d v="2024-08-18T00:00:00"/>
    <s v="#funny #tech #viral #trending"/>
    <n v="3023916"/>
    <n v="431988"/>
    <n v="13736"/>
    <n v="54513"/>
    <n v="0.16539999999999999"/>
    <n v="0.27100000000000002"/>
    <n v="1"/>
    <x v="0"/>
    <x v="0"/>
  </r>
  <r>
    <s v="SM_101582"/>
    <x v="1"/>
    <s v="image"/>
    <s v="Technology"/>
    <s v="en"/>
    <s v="UK"/>
    <d v="2024-04-02T00:00:00"/>
    <s v="#funny #music"/>
    <n v="2429304"/>
    <n v="101221"/>
    <n v="3837"/>
    <n v="32333"/>
    <n v="5.6599999999999998E-2"/>
    <n v="-0.54800000000000004"/>
    <n v="1"/>
    <x v="0"/>
    <x v="1"/>
  </r>
  <r>
    <s v="SM_101583"/>
    <x v="0"/>
    <s v="video"/>
    <s v="Education"/>
    <s v="en"/>
    <s v="US"/>
    <d v="2024-01-04T00:00:00"/>
    <s v="#tech #viral #funny"/>
    <n v="2030444"/>
    <n v="78094"/>
    <n v="28671"/>
    <n v="43482"/>
    <n v="7.3999999999999996E-2"/>
    <n v="-0.39200000000000002"/>
    <n v="1"/>
    <x v="0"/>
    <x v="1"/>
  </r>
  <r>
    <s v="SM_101584"/>
    <x v="2"/>
    <s v="text"/>
    <s v="Politics"/>
    <s v="es"/>
    <s v="India"/>
    <d v="2024-07-12T00:00:00"/>
    <s v="#news #viral #tech"/>
    <n v="7119264"/>
    <n v="444954"/>
    <n v="8423"/>
    <n v="93628"/>
    <n v="7.6799999999999993E-2"/>
    <n v="0.45400000000000001"/>
    <n v="1"/>
    <x v="0"/>
    <x v="0"/>
  </r>
  <r>
    <s v="SM_101585"/>
    <x v="1"/>
    <s v="image"/>
    <s v="Education"/>
    <s v="fr"/>
    <s v="US"/>
    <d v="2024-08-14T00:00:00"/>
    <s v="#viral #music #trending #tech"/>
    <n v="2744651"/>
    <n v="211127"/>
    <n v="11819"/>
    <n v="99341"/>
    <n v="0.1174"/>
    <n v="-0.79100000000000004"/>
    <n v="1"/>
    <x v="0"/>
    <x v="1"/>
  </r>
  <r>
    <s v="SM_101586"/>
    <x v="3"/>
    <s v="image"/>
    <s v="Politics"/>
    <s v="ur"/>
    <s v="Pakistan"/>
    <d v="2024-01-12T00:00:00"/>
    <s v="#trending #viral"/>
    <n v="1622208"/>
    <n v="57936"/>
    <n v="7440"/>
    <n v="67085"/>
    <n v="8.1699999999999995E-2"/>
    <n v="-8.4000000000000005E-2"/>
    <n v="0"/>
    <x v="1"/>
    <x v="1"/>
  </r>
  <r>
    <s v="SM_101587"/>
    <x v="2"/>
    <s v="text"/>
    <s v="Politics"/>
    <s v="fr"/>
    <s v="UK"/>
    <d v="2024-08-23T00:00:00"/>
    <s v="#ai #tech #trending"/>
    <n v="4441692"/>
    <n v="261276"/>
    <n v="3412"/>
    <n v="98944"/>
    <n v="8.1900000000000001E-2"/>
    <n v="-0.996"/>
    <n v="1"/>
    <x v="0"/>
    <x v="1"/>
  </r>
  <r>
    <s v="SM_101588"/>
    <x v="3"/>
    <s v="carousel"/>
    <s v="Sports"/>
    <s v="fr"/>
    <s v="India"/>
    <d v="2024-08-26T00:00:00"/>
    <s v="#trending #ai #fyp #music"/>
    <n v="4189801"/>
    <n v="380891"/>
    <n v="25097"/>
    <n v="75646"/>
    <n v="0.115"/>
    <n v="-0.65200000000000002"/>
    <n v="1"/>
    <x v="0"/>
    <x v="1"/>
  </r>
  <r>
    <s v="SM_101589"/>
    <x v="0"/>
    <s v="text"/>
    <s v="Technology"/>
    <s v="ur"/>
    <s v="Brazil"/>
    <d v="2024-06-16T00:00:00"/>
    <s v="#music #tech #viral #trending #funny"/>
    <n v="159630"/>
    <n v="26605"/>
    <n v="36718"/>
    <n v="54388"/>
    <n v="0.73740000000000006"/>
    <n v="-0.111"/>
    <n v="0"/>
    <x v="1"/>
    <x v="1"/>
  </r>
  <r>
    <s v="SM_101590"/>
    <x v="2"/>
    <s v="image"/>
    <s v="Sports"/>
    <s v="es"/>
    <s v="Brazil"/>
    <d v="2024-07-31T00:00:00"/>
    <s v="#tech #news #trending #funny #ai"/>
    <n v="4895638"/>
    <n v="445058"/>
    <n v="40527"/>
    <n v="81133"/>
    <n v="0.1158"/>
    <n v="-0.40699999999999997"/>
    <n v="1"/>
    <x v="0"/>
    <x v="1"/>
  </r>
  <r>
    <s v="SM_101591"/>
    <x v="0"/>
    <s v="carousel"/>
    <s v="Entertainment"/>
    <s v="ur"/>
    <s v="India"/>
    <d v="2024-09-14T00:00:00"/>
    <s v="#ai #tech #viral #fyp #trending"/>
    <n v="8679384"/>
    <n v="361641"/>
    <n v="3885"/>
    <n v="43455"/>
    <n v="4.7100000000000003E-2"/>
    <n v="-0.35399999999999998"/>
    <n v="1"/>
    <x v="0"/>
    <x v="1"/>
  </r>
  <r>
    <s v="SM_101592"/>
    <x v="3"/>
    <s v="image"/>
    <s v="Education"/>
    <s v="hi"/>
    <s v="Brazil"/>
    <d v="2024-05-07T00:00:00"/>
    <s v="#tech #viral #news"/>
    <n v="2410727"/>
    <n v="219157"/>
    <n v="14804"/>
    <n v="60103"/>
    <n v="0.122"/>
    <n v="0.85499999999999998"/>
    <n v="1"/>
    <x v="0"/>
    <x v="0"/>
  </r>
  <r>
    <s v="SM_101593"/>
    <x v="1"/>
    <s v="video"/>
    <s v="Education"/>
    <s v="es"/>
    <s v="Brazil"/>
    <d v="2024-06-09T00:00:00"/>
    <s v="#trending #music"/>
    <n v="3054618"/>
    <n v="113134"/>
    <n v="43338"/>
    <n v="40829"/>
    <n v="6.4600000000000005E-2"/>
    <n v="-0.78800000000000003"/>
    <n v="1"/>
    <x v="0"/>
    <x v="1"/>
  </r>
  <r>
    <s v="SM_101594"/>
    <x v="2"/>
    <s v="image"/>
    <s v="Entertainment"/>
    <s v="es"/>
    <s v="Brazil"/>
    <d v="2024-08-31T00:00:00"/>
    <s v="#news #trending #music"/>
    <n v="4356312"/>
    <n v="181513"/>
    <n v="19078"/>
    <n v="14550"/>
    <n v="4.9399999999999999E-2"/>
    <n v="-0.77200000000000002"/>
    <n v="1"/>
    <x v="0"/>
    <x v="1"/>
  </r>
  <r>
    <s v="SM_101595"/>
    <x v="1"/>
    <s v="carousel"/>
    <s v="Entertainment"/>
    <s v="ur"/>
    <s v="UK"/>
    <d v="2024-06-21T00:00:00"/>
    <s v="#fyp #news #funny"/>
    <n v="4219479"/>
    <n v="468831"/>
    <n v="20321"/>
    <n v="26184"/>
    <n v="0.1221"/>
    <n v="0.53"/>
    <n v="1"/>
    <x v="0"/>
    <x v="0"/>
  </r>
  <r>
    <s v="SM_101596"/>
    <x v="1"/>
    <s v="text"/>
    <s v="Entertainment"/>
    <s v="hi"/>
    <s v="Pakistan"/>
    <d v="2024-05-02T00:00:00"/>
    <s v="#ai #viral #funny"/>
    <n v="4462796"/>
    <n v="234884"/>
    <n v="20250"/>
    <n v="46706"/>
    <n v="6.7599999999999993E-2"/>
    <n v="-0.496"/>
    <n v="1"/>
    <x v="0"/>
    <x v="1"/>
  </r>
  <r>
    <s v="SM_101597"/>
    <x v="3"/>
    <s v="video"/>
    <s v="Politics"/>
    <s v="es"/>
    <s v="US"/>
    <d v="2024-09-20T00:00:00"/>
    <s v="#ai #news #tech"/>
    <n v="1711725"/>
    <n v="68469"/>
    <n v="5290"/>
    <n v="9590"/>
    <n v="4.87E-2"/>
    <n v="0.73199999999999998"/>
    <n v="0"/>
    <x v="1"/>
    <x v="0"/>
  </r>
  <r>
    <s v="SM_101598"/>
    <x v="2"/>
    <s v="video"/>
    <s v="Sports"/>
    <s v="en"/>
    <s v="US"/>
    <d v="2024-03-07T00:00:00"/>
    <s v="#ai #fyp #funny #trending"/>
    <n v="3343202"/>
    <n v="175958"/>
    <n v="29155"/>
    <n v="76426"/>
    <n v="8.4199999999999997E-2"/>
    <n v="-0.73299999999999998"/>
    <n v="1"/>
    <x v="0"/>
    <x v="1"/>
  </r>
  <r>
    <s v="SM_101599"/>
    <x v="3"/>
    <s v="image"/>
    <s v="Technology"/>
    <s v="en"/>
    <s v="Pakistan"/>
    <d v="2024-03-07T00:00:00"/>
    <s v="#fyp #funny"/>
    <n v="2471775"/>
    <n v="494355"/>
    <n v="46384"/>
    <n v="90199"/>
    <n v="0.25530000000000003"/>
    <n v="-0.79400000000000004"/>
    <n v="1"/>
    <x v="0"/>
    <x v="1"/>
  </r>
  <r>
    <s v="SM_101600"/>
    <x v="2"/>
    <s v="video"/>
    <s v="Entertainment"/>
    <s v="es"/>
    <s v="Pakistan"/>
    <d v="2024-04-10T00:00:00"/>
    <s v="#news #funny"/>
    <n v="1913526"/>
    <n v="318921"/>
    <n v="32935"/>
    <n v="73314"/>
    <n v="0.22220000000000001"/>
    <n v="5.6000000000000001E-2"/>
    <n v="0"/>
    <x v="1"/>
    <x v="0"/>
  </r>
  <r>
    <s v="SM_101601"/>
    <x v="3"/>
    <s v="image"/>
    <s v="Education"/>
    <s v="fr"/>
    <s v="UK"/>
    <d v="2024-05-10T00:00:00"/>
    <s v="#tech #trending"/>
    <n v="3785580"/>
    <n v="420620"/>
    <n v="36308"/>
    <n v="96059"/>
    <n v="0.14610000000000001"/>
    <n v="0.29899999999999999"/>
    <n v="1"/>
    <x v="0"/>
    <x v="0"/>
  </r>
  <r>
    <s v="SM_101602"/>
    <x v="1"/>
    <s v="carousel"/>
    <s v="Education"/>
    <s v="en"/>
    <s v="India"/>
    <d v="2024-09-02T00:00:00"/>
    <s v="#fyp #tech #music #ai"/>
    <n v="5819032"/>
    <n v="342296"/>
    <n v="19096"/>
    <n v="73496"/>
    <n v="7.4700000000000003E-2"/>
    <n v="-0.90100000000000002"/>
    <n v="1"/>
    <x v="0"/>
    <x v="1"/>
  </r>
  <r>
    <s v="SM_101603"/>
    <x v="0"/>
    <s v="video"/>
    <s v="Education"/>
    <s v="es"/>
    <s v="UK"/>
    <d v="2024-09-04T00:00:00"/>
    <s v="#ai #music #trending #news #tech"/>
    <n v="1415390"/>
    <n v="141539"/>
    <n v="46510"/>
    <n v="33333"/>
    <n v="0.15640000000000001"/>
    <n v="-0.22700000000000001"/>
    <n v="0"/>
    <x v="1"/>
    <x v="1"/>
  </r>
  <r>
    <s v="SM_101604"/>
    <x v="0"/>
    <s v="carousel"/>
    <s v="Entertainment"/>
    <s v="ur"/>
    <s v="US"/>
    <d v="2024-10-26T00:00:00"/>
    <s v="#fyp #music #funny #viral #trending"/>
    <n v="7958701"/>
    <n v="418879"/>
    <n v="39654"/>
    <n v="36405"/>
    <n v="6.2199999999999998E-2"/>
    <n v="-9.1999999999999998E-2"/>
    <n v="1"/>
    <x v="0"/>
    <x v="1"/>
  </r>
  <r>
    <s v="SM_101605"/>
    <x v="3"/>
    <s v="carousel"/>
    <s v="Politics"/>
    <s v="ur"/>
    <s v="UK"/>
    <d v="2024-08-25T00:00:00"/>
    <s v="#trending #music"/>
    <n v="4649710"/>
    <n v="178835"/>
    <n v="355"/>
    <n v="83849"/>
    <n v="5.6599999999999998E-2"/>
    <n v="0.27800000000000002"/>
    <n v="1"/>
    <x v="0"/>
    <x v="0"/>
  </r>
  <r>
    <s v="SM_101606"/>
    <x v="3"/>
    <s v="carousel"/>
    <s v="Technology"/>
    <s v="es"/>
    <s v="India"/>
    <d v="2024-03-06T00:00:00"/>
    <s v="#music #tech #trending #ai"/>
    <n v="589722"/>
    <n v="84246"/>
    <n v="23595"/>
    <n v="94980"/>
    <n v="0.34389999999999998"/>
    <n v="0.57799999999999996"/>
    <n v="0"/>
    <x v="1"/>
    <x v="0"/>
  </r>
  <r>
    <s v="SM_101607"/>
    <x v="0"/>
    <s v="image"/>
    <s v="Entertainment"/>
    <s v="es"/>
    <s v="UK"/>
    <d v="2024-11-03T00:00:00"/>
    <s v="#ai #music #trending #funny"/>
    <n v="2355840"/>
    <n v="471168"/>
    <n v="35192"/>
    <n v="65035"/>
    <n v="0.24249999999999999"/>
    <n v="0.996"/>
    <n v="1"/>
    <x v="0"/>
    <x v="0"/>
  </r>
  <r>
    <s v="SM_101608"/>
    <x v="0"/>
    <s v="text"/>
    <s v="Politics"/>
    <s v="en"/>
    <s v="India"/>
    <d v="2024-12-17T00:00:00"/>
    <s v="#trending #ai #music"/>
    <n v="420090"/>
    <n v="38190"/>
    <n v="11237"/>
    <n v="59413"/>
    <n v="0.2591"/>
    <n v="0.94899999999999995"/>
    <n v="0"/>
    <x v="1"/>
    <x v="0"/>
  </r>
  <r>
    <s v="SM_101609"/>
    <x v="3"/>
    <s v="text"/>
    <s v="Entertainment"/>
    <s v="hi"/>
    <s v="Brazil"/>
    <d v="2024-06-19T00:00:00"/>
    <s v="#fyp #news"/>
    <n v="1031295"/>
    <n v="68753"/>
    <n v="36934"/>
    <n v="48292"/>
    <n v="0.14929999999999999"/>
    <n v="0.36199999999999999"/>
    <n v="0"/>
    <x v="1"/>
    <x v="0"/>
  </r>
  <r>
    <s v="SM_101610"/>
    <x v="1"/>
    <s v="video"/>
    <s v="Sports"/>
    <s v="ur"/>
    <s v="UK"/>
    <d v="2024-11-09T00:00:00"/>
    <s v="#fyp #music #ai #tech"/>
    <n v="1564178"/>
    <n v="223454"/>
    <n v="14021"/>
    <n v="25023"/>
    <n v="0.1678"/>
    <n v="7.8E-2"/>
    <n v="0"/>
    <x v="1"/>
    <x v="0"/>
  </r>
  <r>
    <s v="SM_101611"/>
    <x v="1"/>
    <s v="text"/>
    <s v="Sports"/>
    <s v="en"/>
    <s v="US"/>
    <d v="2024-07-20T00:00:00"/>
    <s v="#ai #trending #viral #news"/>
    <n v="5706225"/>
    <n v="380415"/>
    <n v="35717"/>
    <n v="61721"/>
    <n v="8.3699999999999997E-2"/>
    <n v="-0.122"/>
    <n v="1"/>
    <x v="0"/>
    <x v="1"/>
  </r>
  <r>
    <s v="SM_101612"/>
    <x v="2"/>
    <s v="text"/>
    <s v="Politics"/>
    <s v="en"/>
    <s v="Pakistan"/>
    <d v="2024-05-04T00:00:00"/>
    <s v="#funny #news #ai"/>
    <n v="798948"/>
    <n v="133158"/>
    <n v="10947"/>
    <n v="82995"/>
    <n v="0.28420000000000001"/>
    <n v="0.65300000000000002"/>
    <n v="0"/>
    <x v="1"/>
    <x v="0"/>
  </r>
  <r>
    <s v="SM_101613"/>
    <x v="1"/>
    <s v="text"/>
    <s v="Technology"/>
    <s v="hi"/>
    <s v="India"/>
    <d v="2024-01-31T00:00:00"/>
    <s v="#ai #viral"/>
    <n v="3212487"/>
    <n v="356943"/>
    <n v="35780"/>
    <n v="99274"/>
    <n v="0.1532"/>
    <n v="0.71699999999999997"/>
    <n v="1"/>
    <x v="0"/>
    <x v="0"/>
  </r>
  <r>
    <s v="SM_101614"/>
    <x v="0"/>
    <s v="image"/>
    <s v="Lifestyle"/>
    <s v="es"/>
    <s v="US"/>
    <d v="2024-07-02T00:00:00"/>
    <s v="#news #fyp"/>
    <n v="1853362"/>
    <n v="132383"/>
    <n v="234"/>
    <n v="48543"/>
    <n v="9.7699999999999995E-2"/>
    <n v="-0.45"/>
    <n v="0"/>
    <x v="1"/>
    <x v="1"/>
  </r>
  <r>
    <s v="SM_101615"/>
    <x v="1"/>
    <s v="carousel"/>
    <s v="Education"/>
    <s v="hi"/>
    <s v="Brazil"/>
    <d v="2024-01-30T00:00:00"/>
    <s v="#fyp #trending"/>
    <n v="1005459"/>
    <n v="47879"/>
    <n v="16890"/>
    <n v="92245"/>
    <n v="0.15620000000000001"/>
    <n v="-0.32400000000000001"/>
    <n v="0"/>
    <x v="1"/>
    <x v="1"/>
  </r>
  <r>
    <s v="SM_101616"/>
    <x v="3"/>
    <s v="image"/>
    <s v="Education"/>
    <s v="en"/>
    <s v="India"/>
    <d v="2024-01-10T00:00:00"/>
    <s v="#news #tech #fyp"/>
    <n v="2240235"/>
    <n v="248915"/>
    <n v="49543"/>
    <n v="99274"/>
    <n v="0.17749999999999999"/>
    <n v="-0.28899999999999998"/>
    <n v="1"/>
    <x v="0"/>
    <x v="1"/>
  </r>
  <r>
    <s v="SM_101617"/>
    <x v="1"/>
    <s v="video"/>
    <s v="Politics"/>
    <s v="fr"/>
    <s v="US"/>
    <d v="2024-09-15T00:00:00"/>
    <s v="#news #trending #viral #ai"/>
    <n v="714560"/>
    <n v="71456"/>
    <n v="14297"/>
    <n v="3053"/>
    <n v="0.12429999999999999"/>
    <n v="-0.38600000000000001"/>
    <n v="0"/>
    <x v="1"/>
    <x v="1"/>
  </r>
  <r>
    <s v="SM_101618"/>
    <x v="0"/>
    <s v="video"/>
    <s v="Sports"/>
    <s v="fr"/>
    <s v="UK"/>
    <d v="2024-06-24T00:00:00"/>
    <s v="#funny #news"/>
    <n v="7142727"/>
    <n v="375933"/>
    <n v="42572"/>
    <n v="15621"/>
    <n v="6.08E-2"/>
    <n v="0.311"/>
    <n v="1"/>
    <x v="0"/>
    <x v="0"/>
  </r>
  <r>
    <s v="SM_101619"/>
    <x v="1"/>
    <s v="video"/>
    <s v="Sports"/>
    <s v="hi"/>
    <s v="India"/>
    <d v="2024-07-03T00:00:00"/>
    <s v="#ai #funny #music"/>
    <n v="229728"/>
    <n v="9572"/>
    <n v="3732"/>
    <n v="57603"/>
    <n v="0.30869999999999997"/>
    <n v="0.43099999999999999"/>
    <n v="0"/>
    <x v="1"/>
    <x v="0"/>
  </r>
  <r>
    <s v="SM_101620"/>
    <x v="2"/>
    <s v="video"/>
    <s v="Sports"/>
    <s v="fr"/>
    <s v="Pakistan"/>
    <d v="2024-10-24T00:00:00"/>
    <s v="#trending #news"/>
    <n v="1786320"/>
    <n v="66160"/>
    <n v="9084"/>
    <n v="8400"/>
    <n v="4.6800000000000001E-2"/>
    <n v="-1.2E-2"/>
    <n v="0"/>
    <x v="1"/>
    <x v="1"/>
  </r>
  <r>
    <s v="SM_101621"/>
    <x v="2"/>
    <s v="carousel"/>
    <s v="Sports"/>
    <s v="ur"/>
    <s v="US"/>
    <d v="2024-07-02T00:00:00"/>
    <s v="#fyp #news #music #viral #ai"/>
    <n v="3849330"/>
    <n v="384933"/>
    <n v="16826"/>
    <n v="43163"/>
    <n v="0.11559999999999999"/>
    <n v="2E-3"/>
    <n v="1"/>
    <x v="0"/>
    <x v="0"/>
  </r>
  <r>
    <s v="SM_101622"/>
    <x v="2"/>
    <s v="text"/>
    <s v="Technology"/>
    <s v="fr"/>
    <s v="US"/>
    <d v="2024-05-07T00:00:00"/>
    <s v="#viral #funny #fyp #trending"/>
    <n v="514386"/>
    <n v="28577"/>
    <n v="24575"/>
    <n v="86374"/>
    <n v="0.2712"/>
    <n v="0.875"/>
    <n v="0"/>
    <x v="1"/>
    <x v="0"/>
  </r>
  <r>
    <s v="SM_101623"/>
    <x v="3"/>
    <s v="image"/>
    <s v="Technology"/>
    <s v="ur"/>
    <s v="Brazil"/>
    <d v="2024-03-04T00:00:00"/>
    <s v="#tech #ai"/>
    <n v="116275"/>
    <n v="4651"/>
    <n v="2828"/>
    <n v="54881"/>
    <n v="0.5363"/>
    <n v="0.34300000000000003"/>
    <n v="0"/>
    <x v="1"/>
    <x v="0"/>
  </r>
  <r>
    <s v="SM_101624"/>
    <x v="3"/>
    <s v="text"/>
    <s v="Lifestyle"/>
    <s v="es"/>
    <s v="Brazil"/>
    <d v="2024-11-16T00:00:00"/>
    <s v="#funny #viral #fyp #music"/>
    <n v="3970191"/>
    <n v="172617"/>
    <n v="47641"/>
    <n v="73928"/>
    <n v="7.4099999999999999E-2"/>
    <n v="0.26200000000000001"/>
    <n v="1"/>
    <x v="0"/>
    <x v="0"/>
  </r>
  <r>
    <s v="SM_101625"/>
    <x v="0"/>
    <s v="image"/>
    <s v="Sports"/>
    <s v="fr"/>
    <s v="Brazil"/>
    <d v="2024-07-09T00:00:00"/>
    <s v="#news #funny #ai #music #tech"/>
    <n v="8427840"/>
    <n v="351160"/>
    <n v="42436"/>
    <n v="94456"/>
    <n v="5.79E-2"/>
    <n v="2.8000000000000001E-2"/>
    <n v="1"/>
    <x v="0"/>
    <x v="0"/>
  </r>
  <r>
    <s v="SM_101626"/>
    <x v="0"/>
    <s v="carousel"/>
    <s v="Entertainment"/>
    <s v="ur"/>
    <s v="Brazil"/>
    <d v="2024-04-21T00:00:00"/>
    <s v="#viral #tech #music #trending #news"/>
    <n v="5089645"/>
    <n v="175505"/>
    <n v="43043"/>
    <n v="58866"/>
    <n v="5.45E-2"/>
    <n v="5.3999999999999999E-2"/>
    <n v="1"/>
    <x v="0"/>
    <x v="0"/>
  </r>
  <r>
    <s v="SM_101627"/>
    <x v="0"/>
    <s v="image"/>
    <s v="Technology"/>
    <s v="ur"/>
    <s v="UK"/>
    <d v="2024-11-09T00:00:00"/>
    <s v="#viral #fyp #news #tech"/>
    <n v="1593592"/>
    <n v="61292"/>
    <n v="48738"/>
    <n v="25994"/>
    <n v="8.5400000000000004E-2"/>
    <n v="-0.627"/>
    <n v="0"/>
    <x v="1"/>
    <x v="1"/>
  </r>
  <r>
    <s v="SM_101628"/>
    <x v="3"/>
    <s v="carousel"/>
    <s v="Politics"/>
    <s v="en"/>
    <s v="US"/>
    <d v="2024-11-02T00:00:00"/>
    <s v="#fyp #music #ai #tech #viral"/>
    <n v="13034736"/>
    <n v="482768"/>
    <n v="41513"/>
    <n v="49991"/>
    <n v="4.41E-2"/>
    <n v="-0.20699999999999999"/>
    <n v="1"/>
    <x v="0"/>
    <x v="1"/>
  </r>
  <r>
    <s v="SM_101629"/>
    <x v="2"/>
    <s v="video"/>
    <s v="Technology"/>
    <s v="ur"/>
    <s v="UK"/>
    <d v="2024-09-03T00:00:00"/>
    <s v="#music #viral #ai #news"/>
    <n v="8832384"/>
    <n v="490688"/>
    <n v="37482"/>
    <n v="70310"/>
    <n v="6.7799999999999999E-2"/>
    <n v="0.997"/>
    <n v="1"/>
    <x v="0"/>
    <x v="0"/>
  </r>
  <r>
    <s v="SM_101630"/>
    <x v="1"/>
    <s v="text"/>
    <s v="Lifestyle"/>
    <s v="hi"/>
    <s v="US"/>
    <d v="2024-01-13T00:00:00"/>
    <s v="#fyp #music"/>
    <n v="12374544"/>
    <n v="441948"/>
    <n v="21581"/>
    <n v="3321"/>
    <n v="3.7699999999999997E-2"/>
    <n v="0.93300000000000005"/>
    <n v="1"/>
    <x v="0"/>
    <x v="0"/>
  </r>
  <r>
    <s v="SM_101631"/>
    <x v="2"/>
    <s v="text"/>
    <s v="Education"/>
    <s v="hi"/>
    <s v="Brazil"/>
    <d v="2024-10-03T00:00:00"/>
    <s v="#trending #music"/>
    <n v="3362304"/>
    <n v="280192"/>
    <n v="38831"/>
    <n v="89052"/>
    <n v="0.12139999999999999"/>
    <n v="0.48299999999999998"/>
    <n v="1"/>
    <x v="0"/>
    <x v="0"/>
  </r>
  <r>
    <s v="SM_101632"/>
    <x v="1"/>
    <s v="carousel"/>
    <s v="Lifestyle"/>
    <s v="hi"/>
    <s v="US"/>
    <d v="2024-04-23T00:00:00"/>
    <s v="#funny #news #viral #fyp"/>
    <n v="3605168"/>
    <n v="257512"/>
    <n v="6702"/>
    <n v="44679"/>
    <n v="8.5699999999999998E-2"/>
    <n v="-0.29499999999999998"/>
    <n v="1"/>
    <x v="0"/>
    <x v="1"/>
  </r>
  <r>
    <s v="SM_101633"/>
    <x v="0"/>
    <s v="carousel"/>
    <s v="Entertainment"/>
    <s v="en"/>
    <s v="US"/>
    <d v="2024-02-28T00:00:00"/>
    <s v="#viral #music #funny"/>
    <n v="297204"/>
    <n v="49534"/>
    <n v="1086"/>
    <n v="20270"/>
    <n v="0.23849999999999999"/>
    <n v="0.35199999999999998"/>
    <n v="0"/>
    <x v="1"/>
    <x v="0"/>
  </r>
  <r>
    <s v="SM_101634"/>
    <x v="3"/>
    <s v="carousel"/>
    <s v="Sports"/>
    <s v="fr"/>
    <s v="India"/>
    <d v="2024-07-06T00:00:00"/>
    <s v="#fyp #ai #funny #music"/>
    <n v="4787664"/>
    <n v="341976"/>
    <n v="42117"/>
    <n v="81495"/>
    <n v="9.7199999999999995E-2"/>
    <n v="2.5999999999999999E-2"/>
    <n v="1"/>
    <x v="0"/>
    <x v="0"/>
  </r>
  <r>
    <s v="SM_101635"/>
    <x v="2"/>
    <s v="video"/>
    <s v="Entertainment"/>
    <s v="en"/>
    <s v="US"/>
    <d v="2024-05-30T00:00:00"/>
    <s v="#news #fyp #tech"/>
    <n v="1687000"/>
    <n v="168700"/>
    <n v="13441"/>
    <n v="65603"/>
    <n v="0.1469"/>
    <n v="0.158"/>
    <n v="0"/>
    <x v="1"/>
    <x v="0"/>
  </r>
  <r>
    <s v="SM_101636"/>
    <x v="1"/>
    <s v="text"/>
    <s v="Sports"/>
    <s v="es"/>
    <s v="US"/>
    <d v="2024-04-01T00:00:00"/>
    <s v="#tech #music #viral #news #funny"/>
    <n v="4441608"/>
    <n v="164504"/>
    <n v="25406"/>
    <n v="78930"/>
    <n v="6.0499999999999998E-2"/>
    <n v="0.61799999999999999"/>
    <n v="1"/>
    <x v="0"/>
    <x v="0"/>
  </r>
  <r>
    <s v="SM_101637"/>
    <x v="2"/>
    <s v="text"/>
    <s v="Technology"/>
    <s v="ur"/>
    <s v="India"/>
    <d v="2024-06-30T00:00:00"/>
    <s v="#ai #funny"/>
    <n v="4829363"/>
    <n v="439033"/>
    <n v="33577"/>
    <n v="27028"/>
    <n v="0.10349999999999999"/>
    <n v="0.90100000000000002"/>
    <n v="1"/>
    <x v="0"/>
    <x v="0"/>
  </r>
  <r>
    <s v="SM_101638"/>
    <x v="2"/>
    <s v="image"/>
    <s v="Technology"/>
    <s v="en"/>
    <s v="Pakistan"/>
    <d v="2024-10-16T00:00:00"/>
    <s v="#funny #music #viral"/>
    <n v="1060227"/>
    <n v="50487"/>
    <n v="23109"/>
    <n v="12225"/>
    <n v="8.09E-2"/>
    <n v="-0.13600000000000001"/>
    <n v="0"/>
    <x v="1"/>
    <x v="1"/>
  </r>
  <r>
    <s v="SM_101639"/>
    <x v="3"/>
    <s v="video"/>
    <s v="Education"/>
    <s v="hi"/>
    <s v="India"/>
    <d v="2024-11-15T00:00:00"/>
    <s v="#viral #fyp #funny #trending #music"/>
    <n v="2958072"/>
    <n v="227544"/>
    <n v="29304"/>
    <n v="78573"/>
    <n v="0.1134"/>
    <n v="-0.66700000000000004"/>
    <n v="1"/>
    <x v="0"/>
    <x v="1"/>
  </r>
  <r>
    <s v="SM_101640"/>
    <x v="3"/>
    <s v="text"/>
    <s v="Education"/>
    <s v="es"/>
    <s v="Pakistan"/>
    <d v="2024-05-27T00:00:00"/>
    <s v="#music #viral #trending #fyp"/>
    <n v="7458780"/>
    <n v="266385"/>
    <n v="23355"/>
    <n v="75083"/>
    <n v="4.8899999999999999E-2"/>
    <n v="-0.52900000000000003"/>
    <n v="1"/>
    <x v="0"/>
    <x v="1"/>
  </r>
  <r>
    <s v="SM_101641"/>
    <x v="2"/>
    <s v="carousel"/>
    <s v="Technology"/>
    <s v="fr"/>
    <s v="Pakistan"/>
    <d v="2024-09-22T00:00:00"/>
    <s v="#music #ai #tech"/>
    <n v="13004964"/>
    <n v="464463"/>
    <n v="40862"/>
    <n v="59841"/>
    <n v="4.3499999999999997E-2"/>
    <n v="-0.71199999999999997"/>
    <n v="1"/>
    <x v="0"/>
    <x v="1"/>
  </r>
  <r>
    <s v="SM_101642"/>
    <x v="0"/>
    <s v="text"/>
    <s v="Politics"/>
    <s v="hi"/>
    <s v="Pakistan"/>
    <d v="2024-10-18T00:00:00"/>
    <s v="#fyp #funny #news #music #trending"/>
    <n v="5644920"/>
    <n v="282246"/>
    <n v="39456"/>
    <n v="99812"/>
    <n v="7.4700000000000003E-2"/>
    <n v="-0.58399999999999996"/>
    <n v="1"/>
    <x v="0"/>
    <x v="1"/>
  </r>
  <r>
    <s v="SM_101643"/>
    <x v="2"/>
    <s v="carousel"/>
    <s v="Politics"/>
    <s v="ur"/>
    <s v="UK"/>
    <d v="2024-02-05T00:00:00"/>
    <s v="#news #viral #trending"/>
    <n v="6487052"/>
    <n v="249502"/>
    <n v="34773"/>
    <n v="96499"/>
    <n v="5.8700000000000002E-2"/>
    <n v="0.79"/>
    <n v="1"/>
    <x v="0"/>
    <x v="0"/>
  </r>
  <r>
    <s v="SM_101644"/>
    <x v="1"/>
    <s v="text"/>
    <s v="Education"/>
    <s v="en"/>
    <s v="Brazil"/>
    <d v="2024-07-16T00:00:00"/>
    <s v="#music #trending #viral"/>
    <n v="4936110"/>
    <n v="329074"/>
    <n v="15101"/>
    <n v="36834"/>
    <n v="7.7200000000000005E-2"/>
    <n v="0.66500000000000004"/>
    <n v="1"/>
    <x v="0"/>
    <x v="0"/>
  </r>
  <r>
    <s v="SM_101645"/>
    <x v="3"/>
    <s v="text"/>
    <s v="Sports"/>
    <s v="en"/>
    <s v="Pakistan"/>
    <d v="2024-10-27T00:00:00"/>
    <s v="#funny #viral #news #trending #ai"/>
    <n v="431578"/>
    <n v="61654"/>
    <n v="17711"/>
    <n v="22341"/>
    <n v="0.23569999999999999"/>
    <n v="-0.66900000000000004"/>
    <n v="0"/>
    <x v="1"/>
    <x v="1"/>
  </r>
  <r>
    <s v="SM_101646"/>
    <x v="2"/>
    <s v="text"/>
    <s v="Sports"/>
    <s v="ur"/>
    <s v="US"/>
    <d v="2024-06-23T00:00:00"/>
    <s v="#fyp #funny"/>
    <n v="246148"/>
    <n v="17582"/>
    <n v="9323"/>
    <n v="41257"/>
    <n v="0.27689999999999998"/>
    <n v="-0.88900000000000001"/>
    <n v="0"/>
    <x v="1"/>
    <x v="1"/>
  </r>
  <r>
    <s v="SM_101647"/>
    <x v="0"/>
    <s v="image"/>
    <s v="Sports"/>
    <s v="ur"/>
    <s v="Brazil"/>
    <d v="2024-06-12T00:00:00"/>
    <s v="#ai #news #fyp"/>
    <n v="795942"/>
    <n v="113706"/>
    <n v="14655"/>
    <n v="46119"/>
    <n v="0.21920000000000001"/>
    <n v="-0.48199999999999998"/>
    <n v="0"/>
    <x v="1"/>
    <x v="1"/>
  </r>
  <r>
    <s v="SM_101648"/>
    <x v="1"/>
    <s v="video"/>
    <s v="Politics"/>
    <s v="en"/>
    <s v="US"/>
    <d v="2024-08-22T00:00:00"/>
    <s v="#music #viral #trending #fyp"/>
    <n v="3263796"/>
    <n v="362644"/>
    <n v="11806"/>
    <n v="51361"/>
    <n v="0.1305"/>
    <n v="0.89500000000000002"/>
    <n v="1"/>
    <x v="0"/>
    <x v="0"/>
  </r>
  <r>
    <s v="SM_101649"/>
    <x v="3"/>
    <s v="carousel"/>
    <s v="Sports"/>
    <s v="fr"/>
    <s v="India"/>
    <d v="2024-04-22T00:00:00"/>
    <s v="#news #fyp #trending"/>
    <n v="2603095"/>
    <n v="236645"/>
    <n v="13293"/>
    <n v="22399"/>
    <n v="0.1046"/>
    <n v="-0.55400000000000005"/>
    <n v="1"/>
    <x v="0"/>
    <x v="1"/>
  </r>
  <r>
    <s v="SM_101650"/>
    <x v="1"/>
    <s v="image"/>
    <s v="Education"/>
    <s v="fr"/>
    <s v="Brazil"/>
    <d v="2024-04-15T00:00:00"/>
    <s v="#ai #trending #music #tech"/>
    <n v="494520"/>
    <n v="61815"/>
    <n v="10742"/>
    <n v="65141"/>
    <n v="0.27839999999999998"/>
    <n v="-0.62"/>
    <n v="0"/>
    <x v="1"/>
    <x v="1"/>
  </r>
  <r>
    <s v="SM_101651"/>
    <x v="2"/>
    <s v="text"/>
    <s v="Education"/>
    <s v="ur"/>
    <s v="India"/>
    <d v="2024-08-11T00:00:00"/>
    <s v="#news #fyp"/>
    <n v="354256"/>
    <n v="50608"/>
    <n v="19648"/>
    <n v="38968"/>
    <n v="0.30830000000000002"/>
    <n v="-0.39300000000000002"/>
    <n v="0"/>
    <x v="1"/>
    <x v="1"/>
  </r>
  <r>
    <s v="SM_101652"/>
    <x v="1"/>
    <s v="video"/>
    <s v="Entertainment"/>
    <s v="ur"/>
    <s v="US"/>
    <d v="2024-08-22T00:00:00"/>
    <s v="#news #tech #funny #ai"/>
    <n v="9546380"/>
    <n v="477319"/>
    <n v="34813"/>
    <n v="67289"/>
    <n v="6.0699999999999997E-2"/>
    <n v="-0.154"/>
    <n v="1"/>
    <x v="0"/>
    <x v="1"/>
  </r>
  <r>
    <s v="SM_101653"/>
    <x v="3"/>
    <s v="carousel"/>
    <s v="Sports"/>
    <s v="es"/>
    <s v="Brazil"/>
    <d v="2024-11-05T00:00:00"/>
    <s v="#music #funny"/>
    <n v="5156008"/>
    <n v="198308"/>
    <n v="46724"/>
    <n v="86323"/>
    <n v="6.4299999999999996E-2"/>
    <n v="-9.5000000000000001E-2"/>
    <n v="1"/>
    <x v="0"/>
    <x v="1"/>
  </r>
  <r>
    <s v="SM_101654"/>
    <x v="2"/>
    <s v="image"/>
    <s v="Sports"/>
    <s v="hi"/>
    <s v="UK"/>
    <d v="2024-09-22T00:00:00"/>
    <s v="#viral #music #funny #news"/>
    <n v="30800"/>
    <n v="1232"/>
    <n v="38264"/>
    <n v="96613"/>
    <n v="4.4191000000000003"/>
    <n v="0.09"/>
    <n v="0"/>
    <x v="1"/>
    <x v="0"/>
  </r>
  <r>
    <s v="SM_101655"/>
    <x v="2"/>
    <s v="image"/>
    <s v="Sports"/>
    <s v="fr"/>
    <s v="Pakistan"/>
    <d v="2024-12-04T00:00:00"/>
    <s v="#funny #ai #trending #news"/>
    <n v="12138575"/>
    <n v="485543"/>
    <n v="43304"/>
    <n v="10932"/>
    <n v="4.4499999999999998E-2"/>
    <n v="-0.67"/>
    <n v="1"/>
    <x v="0"/>
    <x v="1"/>
  </r>
  <r>
    <s v="SM_101656"/>
    <x v="0"/>
    <s v="image"/>
    <s v="Sports"/>
    <s v="hi"/>
    <s v="Brazil"/>
    <d v="2024-10-24T00:00:00"/>
    <s v="#funny #ai #tech #music"/>
    <n v="2663730"/>
    <n v="443955"/>
    <n v="37782"/>
    <n v="58902"/>
    <n v="0.20300000000000001"/>
    <n v="0.35399999999999998"/>
    <n v="1"/>
    <x v="0"/>
    <x v="0"/>
  </r>
  <r>
    <s v="SM_101657"/>
    <x v="1"/>
    <s v="text"/>
    <s v="Technology"/>
    <s v="hi"/>
    <s v="UK"/>
    <d v="2024-12-14T00:00:00"/>
    <s v="#tech #news #fyp"/>
    <n v="4406233"/>
    <n v="231907"/>
    <n v="24368"/>
    <n v="46695"/>
    <n v="6.88E-2"/>
    <n v="-0.46800000000000003"/>
    <n v="1"/>
    <x v="0"/>
    <x v="1"/>
  </r>
  <r>
    <s v="SM_101658"/>
    <x v="0"/>
    <s v="carousel"/>
    <s v="Sports"/>
    <s v="fr"/>
    <s v="India"/>
    <d v="2024-08-03T00:00:00"/>
    <s v="#trending #music #tech #viral #funny"/>
    <n v="5954445"/>
    <n v="283545"/>
    <n v="8798"/>
    <n v="1621"/>
    <n v="4.9399999999999999E-2"/>
    <n v="0.78200000000000003"/>
    <n v="1"/>
    <x v="0"/>
    <x v="0"/>
  </r>
  <r>
    <s v="SM_101659"/>
    <x v="1"/>
    <s v="carousel"/>
    <s v="Lifestyle"/>
    <s v="fr"/>
    <s v="UK"/>
    <d v="2024-10-23T00:00:00"/>
    <s v="#fyp #news #funny"/>
    <n v="3036708"/>
    <n v="168706"/>
    <n v="37965"/>
    <n v="39391"/>
    <n v="8.1000000000000003E-2"/>
    <n v="-0.317"/>
    <n v="1"/>
    <x v="0"/>
    <x v="1"/>
  </r>
  <r>
    <s v="SM_101660"/>
    <x v="2"/>
    <s v="image"/>
    <s v="Entertainment"/>
    <s v="fr"/>
    <s v="Brazil"/>
    <d v="2024-11-19T00:00:00"/>
    <s v="#news #trending #funny"/>
    <n v="5724954"/>
    <n v="318053"/>
    <n v="22264"/>
    <n v="20656"/>
    <n v="6.3100000000000003E-2"/>
    <n v="-6.6000000000000003E-2"/>
    <n v="1"/>
    <x v="0"/>
    <x v="1"/>
  </r>
  <r>
    <s v="SM_101661"/>
    <x v="2"/>
    <s v="video"/>
    <s v="Technology"/>
    <s v="ur"/>
    <s v="Pakistan"/>
    <d v="2024-04-04T00:00:00"/>
    <s v="#fyp #ai #music #trending #funny"/>
    <n v="4955500"/>
    <n v="450500"/>
    <n v="21607"/>
    <n v="85946"/>
    <n v="0.11260000000000001"/>
    <n v="-0.73599999999999999"/>
    <n v="1"/>
    <x v="0"/>
    <x v="1"/>
  </r>
  <r>
    <s v="SM_101662"/>
    <x v="3"/>
    <s v="image"/>
    <s v="Education"/>
    <s v="hi"/>
    <s v="Brazil"/>
    <d v="2024-02-23T00:00:00"/>
    <s v="#ai #trending #news"/>
    <n v="7890426"/>
    <n v="343062"/>
    <n v="10200"/>
    <n v="1538"/>
    <n v="4.4999999999999998E-2"/>
    <n v="-0.55300000000000005"/>
    <n v="1"/>
    <x v="0"/>
    <x v="1"/>
  </r>
  <r>
    <s v="SM_101663"/>
    <x v="1"/>
    <s v="image"/>
    <s v="Politics"/>
    <s v="ur"/>
    <s v="India"/>
    <d v="2024-03-16T00:00:00"/>
    <s v="#fyp #news"/>
    <n v="1418992"/>
    <n v="177374"/>
    <n v="40169"/>
    <n v="89744"/>
    <n v="0.21659999999999999"/>
    <n v="0.26100000000000001"/>
    <n v="0"/>
    <x v="1"/>
    <x v="0"/>
  </r>
  <r>
    <s v="SM_101664"/>
    <x v="3"/>
    <s v="video"/>
    <s v="Technology"/>
    <s v="ur"/>
    <s v="India"/>
    <d v="2024-08-30T00:00:00"/>
    <s v="#funny #tech #trending"/>
    <n v="6119072"/>
    <n v="382442"/>
    <n v="24850"/>
    <n v="89847"/>
    <n v="8.1199999999999994E-2"/>
    <n v="-0.379"/>
    <n v="1"/>
    <x v="0"/>
    <x v="1"/>
  </r>
  <r>
    <s v="SM_101665"/>
    <x v="0"/>
    <s v="image"/>
    <s v="Sports"/>
    <s v="hi"/>
    <s v="Pakistan"/>
    <d v="2024-07-01T00:00:00"/>
    <s v="#news #trending #funny #ai #music"/>
    <n v="2686936"/>
    <n v="191924"/>
    <n v="8702"/>
    <n v="83050"/>
    <n v="0.1056"/>
    <n v="0.88100000000000001"/>
    <n v="1"/>
    <x v="0"/>
    <x v="0"/>
  </r>
  <r>
    <s v="SM_101666"/>
    <x v="1"/>
    <s v="carousel"/>
    <s v="Education"/>
    <s v="fr"/>
    <s v="UK"/>
    <d v="2024-10-20T00:00:00"/>
    <s v="#fyp #ai #tech #viral #music"/>
    <n v="4222088"/>
    <n v="324776"/>
    <n v="13105"/>
    <n v="57706"/>
    <n v="9.3700000000000006E-2"/>
    <n v="0.248"/>
    <n v="1"/>
    <x v="0"/>
    <x v="0"/>
  </r>
  <r>
    <s v="SM_101667"/>
    <x v="3"/>
    <s v="text"/>
    <s v="Lifestyle"/>
    <s v="fr"/>
    <s v="India"/>
    <d v="2024-08-03T00:00:00"/>
    <s v="#music #news #ai #tech #funny"/>
    <n v="4314011"/>
    <n v="331847"/>
    <n v="36968"/>
    <n v="59026"/>
    <n v="9.9199999999999997E-2"/>
    <n v="-0.45700000000000002"/>
    <n v="1"/>
    <x v="0"/>
    <x v="1"/>
  </r>
  <r>
    <s v="SM_101668"/>
    <x v="1"/>
    <s v="video"/>
    <s v="Sports"/>
    <s v="fr"/>
    <s v="Brazil"/>
    <d v="2024-10-19T00:00:00"/>
    <s v="#news #music #tech"/>
    <n v="5022336"/>
    <n v="173184"/>
    <n v="40054"/>
    <n v="68046"/>
    <n v="5.6000000000000001E-2"/>
    <n v="-0.48599999999999999"/>
    <n v="1"/>
    <x v="0"/>
    <x v="1"/>
  </r>
  <r>
    <s v="SM_101669"/>
    <x v="1"/>
    <s v="carousel"/>
    <s v="Lifestyle"/>
    <s v="ur"/>
    <s v="Brazil"/>
    <d v="2024-10-24T00:00:00"/>
    <s v="#fyp #funny #ai #music"/>
    <n v="2270785"/>
    <n v="119515"/>
    <n v="49838"/>
    <n v="63645"/>
    <n v="0.1026"/>
    <n v="-0.249"/>
    <n v="1"/>
    <x v="0"/>
    <x v="1"/>
  </r>
  <r>
    <s v="SM_101670"/>
    <x v="2"/>
    <s v="video"/>
    <s v="Education"/>
    <s v="fr"/>
    <s v="Brazil"/>
    <d v="2024-05-31T00:00:00"/>
    <s v="#music #fyp #ai #tech #funny"/>
    <n v="4003545"/>
    <n v="190645"/>
    <n v="45814"/>
    <n v="38329"/>
    <n v="6.8599999999999994E-2"/>
    <n v="0.64600000000000002"/>
    <n v="1"/>
    <x v="0"/>
    <x v="0"/>
  </r>
  <r>
    <s v="SM_101671"/>
    <x v="3"/>
    <s v="text"/>
    <s v="Education"/>
    <s v="fr"/>
    <s v="India"/>
    <d v="2024-04-28T00:00:00"/>
    <s v="#viral #fyp #music #news"/>
    <n v="4540821"/>
    <n v="197427"/>
    <n v="79"/>
    <n v="26499"/>
    <n v="4.9299999999999997E-2"/>
    <n v="0.73699999999999999"/>
    <n v="1"/>
    <x v="0"/>
    <x v="0"/>
  </r>
  <r>
    <s v="SM_101672"/>
    <x v="1"/>
    <s v="image"/>
    <s v="Sports"/>
    <s v="hi"/>
    <s v="Brazil"/>
    <d v="2024-09-17T00:00:00"/>
    <s v="#music #ai #viral #fyp #funny"/>
    <n v="644406"/>
    <n v="46029"/>
    <n v="34922"/>
    <n v="26029"/>
    <n v="0.16600000000000001"/>
    <n v="0.81899999999999995"/>
    <n v="0"/>
    <x v="1"/>
    <x v="0"/>
  </r>
  <r>
    <s v="SM_101673"/>
    <x v="1"/>
    <s v="video"/>
    <s v="Sports"/>
    <s v="en"/>
    <s v="Brazil"/>
    <d v="2024-01-25T00:00:00"/>
    <s v="#viral #music #fyp"/>
    <n v="12304410"/>
    <n v="424290"/>
    <n v="23102"/>
    <n v="93145"/>
    <n v="4.3900000000000002E-2"/>
    <n v="-0.57699999999999996"/>
    <n v="1"/>
    <x v="0"/>
    <x v="1"/>
  </r>
  <r>
    <s v="SM_101674"/>
    <x v="0"/>
    <s v="video"/>
    <s v="Technology"/>
    <s v="es"/>
    <s v="UK"/>
    <d v="2024-07-06T00:00:00"/>
    <s v="#music #news #viral"/>
    <n v="731075"/>
    <n v="146215"/>
    <n v="41851"/>
    <n v="77262"/>
    <n v="0.3629"/>
    <n v="0.93100000000000005"/>
    <n v="0"/>
    <x v="1"/>
    <x v="0"/>
  </r>
  <r>
    <s v="SM_101675"/>
    <x v="2"/>
    <s v="carousel"/>
    <s v="Entertainment"/>
    <s v="en"/>
    <s v="India"/>
    <d v="2024-05-28T00:00:00"/>
    <s v="#trending #funny #music #news"/>
    <n v="1105200"/>
    <n v="184200"/>
    <n v="37388"/>
    <n v="29484"/>
    <n v="0.22720000000000001"/>
    <n v="0.59"/>
    <n v="0"/>
    <x v="1"/>
    <x v="0"/>
  </r>
  <r>
    <s v="SM_101676"/>
    <x v="0"/>
    <s v="image"/>
    <s v="Entertainment"/>
    <s v="en"/>
    <s v="Pakistan"/>
    <d v="2024-01-29T00:00:00"/>
    <s v="#funny #news #music #tech #ai"/>
    <n v="269161"/>
    <n v="15833"/>
    <n v="46665"/>
    <n v="91039"/>
    <n v="0.57040000000000002"/>
    <n v="0.92900000000000005"/>
    <n v="0"/>
    <x v="1"/>
    <x v="0"/>
  </r>
  <r>
    <s v="SM_101677"/>
    <x v="3"/>
    <s v="text"/>
    <s v="Technology"/>
    <s v="en"/>
    <s v="UK"/>
    <d v="2024-07-23T00:00:00"/>
    <s v="#trending #news"/>
    <n v="982933"/>
    <n v="140419"/>
    <n v="23845"/>
    <n v="65150"/>
    <n v="0.2334"/>
    <n v="-0.8"/>
    <n v="0"/>
    <x v="1"/>
    <x v="1"/>
  </r>
  <r>
    <s v="SM_101678"/>
    <x v="3"/>
    <s v="image"/>
    <s v="Lifestyle"/>
    <s v="ur"/>
    <s v="US"/>
    <d v="2024-12-01T00:00:00"/>
    <s v="#news #tech #fyp #ai"/>
    <n v="13847123"/>
    <n v="477487"/>
    <n v="25633"/>
    <n v="31363"/>
    <n v="3.8600000000000002E-2"/>
    <n v="-0.47899999999999998"/>
    <n v="1"/>
    <x v="0"/>
    <x v="1"/>
  </r>
  <r>
    <s v="SM_101679"/>
    <x v="0"/>
    <s v="image"/>
    <s v="Politics"/>
    <s v="ur"/>
    <s v="Brazil"/>
    <d v="2024-02-04T00:00:00"/>
    <s v="#viral #fyp #ai #funny"/>
    <n v="4829130"/>
    <n v="268285"/>
    <n v="12678"/>
    <n v="61955"/>
    <n v="7.0999999999999994E-2"/>
    <n v="2.9000000000000001E-2"/>
    <n v="1"/>
    <x v="0"/>
    <x v="0"/>
  </r>
  <r>
    <s v="SM_101680"/>
    <x v="0"/>
    <s v="image"/>
    <s v="Education"/>
    <s v="es"/>
    <s v="US"/>
    <d v="2024-10-17T00:00:00"/>
    <s v="#fyp #ai #trending #news #funny"/>
    <n v="7008608"/>
    <n v="438038"/>
    <n v="17553"/>
    <n v="15079"/>
    <n v="6.7199999999999996E-2"/>
    <n v="-0.72499999999999998"/>
    <n v="1"/>
    <x v="0"/>
    <x v="1"/>
  </r>
  <r>
    <s v="SM_101681"/>
    <x v="2"/>
    <s v="image"/>
    <s v="Technology"/>
    <s v="fr"/>
    <s v="US"/>
    <d v="2024-03-22T00:00:00"/>
    <s v="#tech #trending #fyp"/>
    <n v="2996708"/>
    <n v="115258"/>
    <n v="30342"/>
    <n v="1469"/>
    <n v="4.9099999999999998E-2"/>
    <n v="-0.88700000000000001"/>
    <n v="1"/>
    <x v="0"/>
    <x v="1"/>
  </r>
  <r>
    <s v="SM_101682"/>
    <x v="2"/>
    <s v="video"/>
    <s v="Lifestyle"/>
    <s v="hi"/>
    <s v="Brazil"/>
    <d v="2024-05-03T00:00:00"/>
    <s v="#news #tech #ai #viral #music"/>
    <n v="434130"/>
    <n v="72355"/>
    <n v="16368"/>
    <n v="28719"/>
    <n v="0.27050000000000002"/>
    <n v="-0.51300000000000001"/>
    <n v="0"/>
    <x v="1"/>
    <x v="1"/>
  </r>
  <r>
    <s v="SM_101683"/>
    <x v="2"/>
    <s v="video"/>
    <s v="Technology"/>
    <s v="fr"/>
    <s v="US"/>
    <d v="2024-04-02T00:00:00"/>
    <s v="#viral #fyp"/>
    <n v="6536096"/>
    <n v="466864"/>
    <n v="18034"/>
    <n v="46661"/>
    <n v="8.1299999999999997E-2"/>
    <n v="0.41699999999999998"/>
    <n v="1"/>
    <x v="0"/>
    <x v="0"/>
  </r>
  <r>
    <s v="SM_101684"/>
    <x v="0"/>
    <s v="carousel"/>
    <s v="Sports"/>
    <s v="hi"/>
    <s v="UK"/>
    <d v="2024-12-11T00:00:00"/>
    <s v="#tech #ai #fyp #funny"/>
    <n v="7627319"/>
    <n v="263011"/>
    <n v="3900"/>
    <n v="58027"/>
    <n v="4.2599999999999999E-2"/>
    <n v="0.50600000000000001"/>
    <n v="1"/>
    <x v="0"/>
    <x v="0"/>
  </r>
  <r>
    <s v="SM_101685"/>
    <x v="2"/>
    <s v="text"/>
    <s v="Sports"/>
    <s v="es"/>
    <s v="UK"/>
    <d v="2024-07-20T00:00:00"/>
    <s v="#music #trending #fyp"/>
    <n v="1457930"/>
    <n v="145793"/>
    <n v="11339"/>
    <n v="18175"/>
    <n v="0.1202"/>
    <n v="0.16400000000000001"/>
    <n v="0"/>
    <x v="1"/>
    <x v="0"/>
  </r>
  <r>
    <s v="SM_101686"/>
    <x v="0"/>
    <s v="carousel"/>
    <s v="Politics"/>
    <s v="ur"/>
    <s v="UK"/>
    <d v="2024-03-30T00:00:00"/>
    <s v="#fyp #viral #tech"/>
    <n v="8668622"/>
    <n v="298918"/>
    <n v="37265"/>
    <n v="42499"/>
    <n v="4.3700000000000003E-2"/>
    <n v="0.63200000000000001"/>
    <n v="1"/>
    <x v="0"/>
    <x v="0"/>
  </r>
  <r>
    <s v="SM_101687"/>
    <x v="2"/>
    <s v="image"/>
    <s v="Lifestyle"/>
    <s v="hi"/>
    <s v="Brazil"/>
    <d v="2024-07-26T00:00:00"/>
    <s v="#trending #tech #music #ai #viral"/>
    <n v="5454456"/>
    <n v="259736"/>
    <n v="17199"/>
    <n v="26812"/>
    <n v="5.57E-2"/>
    <n v="0.77300000000000002"/>
    <n v="1"/>
    <x v="0"/>
    <x v="0"/>
  </r>
  <r>
    <s v="SM_101688"/>
    <x v="2"/>
    <s v="carousel"/>
    <s v="Sports"/>
    <s v="ur"/>
    <s v="Brazil"/>
    <d v="2024-09-30T00:00:00"/>
    <s v="#news #music #ai #trending #funny"/>
    <n v="2546588"/>
    <n v="231508"/>
    <n v="9704"/>
    <n v="76299"/>
    <n v="0.12470000000000001"/>
    <n v="0.82"/>
    <n v="1"/>
    <x v="0"/>
    <x v="0"/>
  </r>
  <r>
    <s v="SM_101689"/>
    <x v="2"/>
    <s v="carousel"/>
    <s v="Technology"/>
    <s v="ur"/>
    <s v="India"/>
    <d v="2024-03-26T00:00:00"/>
    <s v="#news #trending #fyp"/>
    <n v="2572608"/>
    <n v="107192"/>
    <n v="2152"/>
    <n v="98920"/>
    <n v="8.1000000000000003E-2"/>
    <n v="-0.96699999999999997"/>
    <n v="1"/>
    <x v="0"/>
    <x v="1"/>
  </r>
  <r>
    <s v="SM_101690"/>
    <x v="0"/>
    <s v="carousel"/>
    <s v="Technology"/>
    <s v="ur"/>
    <s v="UK"/>
    <d v="2024-07-04T00:00:00"/>
    <s v="#fyp #ai #viral"/>
    <n v="4230160"/>
    <n v="192280"/>
    <n v="40639"/>
    <n v="2014"/>
    <n v="5.5500000000000001E-2"/>
    <n v="-0.309"/>
    <n v="1"/>
    <x v="0"/>
    <x v="1"/>
  </r>
  <r>
    <s v="SM_101691"/>
    <x v="2"/>
    <s v="carousel"/>
    <s v="Entertainment"/>
    <s v="en"/>
    <s v="UK"/>
    <d v="2024-08-18T00:00:00"/>
    <s v="#tech #news #trending"/>
    <n v="1406592"/>
    <n v="117216"/>
    <n v="37760"/>
    <n v="8734"/>
    <n v="0.1164"/>
    <n v="0.76400000000000001"/>
    <n v="0"/>
    <x v="1"/>
    <x v="0"/>
  </r>
  <r>
    <s v="SM_101692"/>
    <x v="3"/>
    <s v="text"/>
    <s v="Entertainment"/>
    <s v="en"/>
    <s v="Brazil"/>
    <d v="2024-06-02T00:00:00"/>
    <s v="#news #trending #viral #funny #tech"/>
    <n v="5148120"/>
    <n v="429010"/>
    <n v="40055"/>
    <n v="81172"/>
    <n v="0.1069"/>
    <n v="0.72799999999999998"/>
    <n v="1"/>
    <x v="0"/>
    <x v="0"/>
  </r>
  <r>
    <s v="SM_101693"/>
    <x v="1"/>
    <s v="image"/>
    <s v="Technology"/>
    <s v="ur"/>
    <s v="US"/>
    <d v="2024-04-03T00:00:00"/>
    <s v="#tech #news #trending"/>
    <n v="1829088"/>
    <n v="152424"/>
    <n v="39759"/>
    <n v="6863"/>
    <n v="0.10879999999999999"/>
    <n v="0.38"/>
    <n v="0"/>
    <x v="1"/>
    <x v="0"/>
  </r>
  <r>
    <s v="SM_101694"/>
    <x v="0"/>
    <s v="video"/>
    <s v="Entertainment"/>
    <s v="en"/>
    <s v="UK"/>
    <d v="2024-10-12T00:00:00"/>
    <s v="#music #trending #ai"/>
    <n v="5958610"/>
    <n v="259070"/>
    <n v="40932"/>
    <n v="88091"/>
    <n v="6.5100000000000005E-2"/>
    <n v="3.5999999999999997E-2"/>
    <n v="1"/>
    <x v="0"/>
    <x v="0"/>
  </r>
  <r>
    <s v="SM_101695"/>
    <x v="0"/>
    <s v="carousel"/>
    <s v="Sports"/>
    <s v="ur"/>
    <s v="Brazil"/>
    <d v="2024-02-27T00:00:00"/>
    <s v="#fyp #music"/>
    <n v="941993"/>
    <n v="72461"/>
    <n v="43425"/>
    <n v="77991"/>
    <n v="0.20580000000000001"/>
    <n v="-0.70899999999999996"/>
    <n v="0"/>
    <x v="1"/>
    <x v="1"/>
  </r>
  <r>
    <s v="SM_101696"/>
    <x v="1"/>
    <s v="text"/>
    <s v="Technology"/>
    <s v="es"/>
    <s v="Pakistan"/>
    <d v="2024-09-01T00:00:00"/>
    <s v="#music #trending"/>
    <n v="4184480"/>
    <n v="209224"/>
    <n v="47063"/>
    <n v="74095"/>
    <n v="7.9000000000000001E-2"/>
    <n v="0.626"/>
    <n v="1"/>
    <x v="0"/>
    <x v="0"/>
  </r>
  <r>
    <s v="SM_101697"/>
    <x v="2"/>
    <s v="text"/>
    <s v="Technology"/>
    <s v="en"/>
    <s v="India"/>
    <d v="2024-07-20T00:00:00"/>
    <s v="#tech #news #fyp #funny #trending"/>
    <n v="2024037"/>
    <n v="224893"/>
    <n v="37392"/>
    <n v="21576"/>
    <n v="0.14019999999999999"/>
    <n v="-0.12"/>
    <n v="1"/>
    <x v="0"/>
    <x v="1"/>
  </r>
  <r>
    <s v="SM_101698"/>
    <x v="0"/>
    <s v="video"/>
    <s v="Technology"/>
    <s v="es"/>
    <s v="US"/>
    <d v="2024-02-01T00:00:00"/>
    <s v="#music #trending #news #fyp"/>
    <n v="3630744"/>
    <n v="403416"/>
    <n v="7861"/>
    <n v="38170"/>
    <n v="0.12379999999999999"/>
    <n v="-0.48299999999999998"/>
    <n v="1"/>
    <x v="0"/>
    <x v="1"/>
  </r>
  <r>
    <s v="SM_101699"/>
    <x v="0"/>
    <s v="carousel"/>
    <s v="Sports"/>
    <s v="es"/>
    <s v="US"/>
    <d v="2024-02-19T00:00:00"/>
    <s v="#music #ai #trending"/>
    <n v="4398480"/>
    <n v="293232"/>
    <n v="44448"/>
    <n v="76449"/>
    <n v="9.4200000000000006E-2"/>
    <n v="-0.104"/>
    <n v="1"/>
    <x v="0"/>
    <x v="1"/>
  </r>
  <r>
    <s v="SM_101700"/>
    <x v="3"/>
    <s v="video"/>
    <s v="Entertainment"/>
    <s v="hi"/>
    <s v="UK"/>
    <d v="2024-07-24T00:00:00"/>
    <s v="#tech #trending #music #fyp"/>
    <n v="11515550"/>
    <n v="460622"/>
    <n v="12310"/>
    <n v="9970"/>
    <n v="4.19E-2"/>
    <n v="0.254"/>
    <n v="1"/>
    <x v="0"/>
    <x v="0"/>
  </r>
  <r>
    <s v="SM_101701"/>
    <x v="0"/>
    <s v="text"/>
    <s v="Politics"/>
    <s v="hi"/>
    <s v="US"/>
    <d v="2024-04-18T00:00:00"/>
    <s v="#tech #trending #viral #funny #news"/>
    <n v="2146495"/>
    <n v="429299"/>
    <n v="44753"/>
    <n v="39463"/>
    <n v="0.2392"/>
    <n v="-0.04"/>
    <n v="1"/>
    <x v="0"/>
    <x v="1"/>
  </r>
  <r>
    <s v="SM_101702"/>
    <x v="1"/>
    <s v="text"/>
    <s v="Entertainment"/>
    <s v="en"/>
    <s v="UK"/>
    <d v="2024-11-18T00:00:00"/>
    <s v="#fyp #trending"/>
    <n v="4129524"/>
    <n v="196644"/>
    <n v="49909"/>
    <n v="61314"/>
    <n v="7.46E-2"/>
    <n v="0.73799999999999999"/>
    <n v="1"/>
    <x v="0"/>
    <x v="0"/>
  </r>
  <r>
    <s v="SM_101703"/>
    <x v="0"/>
    <s v="carousel"/>
    <s v="Politics"/>
    <s v="hi"/>
    <s v="Pakistan"/>
    <d v="2024-09-26T00:00:00"/>
    <s v="#news #trending"/>
    <n v="4075596"/>
    <n v="145557"/>
    <n v="17066"/>
    <n v="65642"/>
    <n v="5.6000000000000001E-2"/>
    <n v="0.188"/>
    <n v="1"/>
    <x v="0"/>
    <x v="0"/>
  </r>
  <r>
    <s v="SM_101704"/>
    <x v="2"/>
    <s v="image"/>
    <s v="Politics"/>
    <s v="es"/>
    <s v="Pakistan"/>
    <d v="2024-01-09T00:00:00"/>
    <s v="#fyp #tech"/>
    <n v="7230276"/>
    <n v="267788"/>
    <n v="13280"/>
    <n v="63249"/>
    <n v="4.7600000000000003E-2"/>
    <n v="-0.56499999999999995"/>
    <n v="1"/>
    <x v="0"/>
    <x v="1"/>
  </r>
  <r>
    <s v="SM_101705"/>
    <x v="2"/>
    <s v="video"/>
    <s v="Politics"/>
    <s v="en"/>
    <s v="Pakistan"/>
    <d v="2024-12-15T00:00:00"/>
    <s v="#tech #music #ai #trending"/>
    <n v="10736882"/>
    <n v="412957"/>
    <n v="6218"/>
    <n v="80022"/>
    <n v="4.65E-2"/>
    <n v="0.90500000000000003"/>
    <n v="1"/>
    <x v="0"/>
    <x v="0"/>
  </r>
  <r>
    <s v="SM_101706"/>
    <x v="0"/>
    <s v="image"/>
    <s v="Entertainment"/>
    <s v="fr"/>
    <s v="Brazil"/>
    <d v="2024-01-07T00:00:00"/>
    <s v="#tech #news #funny"/>
    <n v="7446708"/>
    <n v="413706"/>
    <n v="9872"/>
    <n v="58467"/>
    <n v="6.4699999999999994E-2"/>
    <n v="8.5999999999999993E-2"/>
    <n v="1"/>
    <x v="0"/>
    <x v="0"/>
  </r>
  <r>
    <s v="SM_101707"/>
    <x v="0"/>
    <s v="video"/>
    <s v="Lifestyle"/>
    <s v="hi"/>
    <s v="US"/>
    <d v="2024-10-23T00:00:00"/>
    <s v="#funny #ai #news #trending #viral"/>
    <n v="7898778"/>
    <n v="464634"/>
    <n v="29804"/>
    <n v="16985"/>
    <n v="6.4699999999999994E-2"/>
    <n v="-8.3000000000000004E-2"/>
    <n v="1"/>
    <x v="0"/>
    <x v="1"/>
  </r>
  <r>
    <s v="SM_101708"/>
    <x v="0"/>
    <s v="video"/>
    <s v="Lifestyle"/>
    <s v="fr"/>
    <s v="US"/>
    <d v="2024-08-02T00:00:00"/>
    <s v="#ai #viral #music #funny #fyp"/>
    <n v="6302985"/>
    <n v="484845"/>
    <n v="1529"/>
    <n v="49403"/>
    <n v="8.5000000000000006E-2"/>
    <n v="-0.67100000000000004"/>
    <n v="1"/>
    <x v="0"/>
    <x v="1"/>
  </r>
  <r>
    <s v="SM_101709"/>
    <x v="1"/>
    <s v="image"/>
    <s v="Technology"/>
    <s v="en"/>
    <s v="UK"/>
    <d v="2024-06-16T00:00:00"/>
    <s v="#fyp #tech"/>
    <n v="2119518"/>
    <n v="353253"/>
    <n v="39837"/>
    <n v="45837"/>
    <n v="0.20710000000000001"/>
    <n v="0.42099999999999999"/>
    <n v="1"/>
    <x v="0"/>
    <x v="0"/>
  </r>
  <r>
    <s v="SM_101710"/>
    <x v="1"/>
    <s v="text"/>
    <s v="Entertainment"/>
    <s v="ur"/>
    <s v="US"/>
    <d v="2024-06-08T00:00:00"/>
    <s v="#music #viral"/>
    <n v="6037318"/>
    <n v="431237"/>
    <n v="4903"/>
    <n v="18563"/>
    <n v="7.5300000000000006E-2"/>
    <n v="0.96899999999999997"/>
    <n v="1"/>
    <x v="0"/>
    <x v="0"/>
  </r>
  <r>
    <s v="SM_101711"/>
    <x v="3"/>
    <s v="video"/>
    <s v="Lifestyle"/>
    <s v="fr"/>
    <s v="Pakistan"/>
    <d v="2024-08-11T00:00:00"/>
    <s v="#ai #viral #funny #tech #music"/>
    <n v="2299101"/>
    <n v="109481"/>
    <n v="27387"/>
    <n v="15792"/>
    <n v="6.6400000000000001E-2"/>
    <n v="0.43"/>
    <n v="1"/>
    <x v="0"/>
    <x v="0"/>
  </r>
  <r>
    <s v="SM_101712"/>
    <x v="3"/>
    <s v="carousel"/>
    <s v="Lifestyle"/>
    <s v="ur"/>
    <s v="Pakistan"/>
    <d v="2024-02-13T00:00:00"/>
    <s v="#viral #fyp #music #ai #funny"/>
    <n v="3620088"/>
    <n v="150837"/>
    <n v="4715"/>
    <n v="65865"/>
    <n v="6.1199999999999997E-2"/>
    <n v="0.92400000000000004"/>
    <n v="1"/>
    <x v="0"/>
    <x v="0"/>
  </r>
  <r>
    <s v="SM_101713"/>
    <x v="1"/>
    <s v="carousel"/>
    <s v="Lifestyle"/>
    <s v="fr"/>
    <s v="UK"/>
    <d v="2024-03-29T00:00:00"/>
    <s v="#music #fyp #ai #news"/>
    <n v="367920"/>
    <n v="45990"/>
    <n v="6799"/>
    <n v="32889"/>
    <n v="0.2329"/>
    <n v="0.55400000000000005"/>
    <n v="0"/>
    <x v="1"/>
    <x v="0"/>
  </r>
  <r>
    <s v="SM_101714"/>
    <x v="1"/>
    <s v="image"/>
    <s v="Education"/>
    <s v="fr"/>
    <s v="Pakistan"/>
    <d v="2024-12-19T00:00:00"/>
    <s v="#tech #fyp"/>
    <n v="7551060"/>
    <n v="343230"/>
    <n v="3680"/>
    <n v="83997"/>
    <n v="5.7099999999999998E-2"/>
    <n v="-0.79900000000000004"/>
    <n v="1"/>
    <x v="0"/>
    <x v="1"/>
  </r>
  <r>
    <s v="SM_101715"/>
    <x v="0"/>
    <s v="image"/>
    <s v="Education"/>
    <s v="hi"/>
    <s v="India"/>
    <d v="2024-01-18T00:00:00"/>
    <s v="#trending #ai #funny"/>
    <n v="326480"/>
    <n v="11660"/>
    <n v="32468"/>
    <n v="31664"/>
    <n v="0.2321"/>
    <n v="-0.221"/>
    <n v="0"/>
    <x v="1"/>
    <x v="1"/>
  </r>
  <r>
    <s v="SM_101716"/>
    <x v="2"/>
    <s v="video"/>
    <s v="Technology"/>
    <s v="hi"/>
    <s v="US"/>
    <d v="2024-10-18T00:00:00"/>
    <s v="#fyp #funny #news #music #tech"/>
    <n v="5316606"/>
    <n v="295367"/>
    <n v="28815"/>
    <n v="9719"/>
    <n v="6.2799999999999995E-2"/>
    <n v="0.69099999999999995"/>
    <n v="1"/>
    <x v="0"/>
    <x v="0"/>
  </r>
  <r>
    <s v="SM_101717"/>
    <x v="2"/>
    <s v="video"/>
    <s v="Technology"/>
    <s v="es"/>
    <s v="US"/>
    <d v="2024-05-09T00:00:00"/>
    <s v="#fyp #news #funny"/>
    <n v="667786"/>
    <n v="47699"/>
    <n v="17402"/>
    <n v="45407"/>
    <n v="0.16550000000000001"/>
    <n v="0.85"/>
    <n v="0"/>
    <x v="1"/>
    <x v="0"/>
  </r>
  <r>
    <s v="SM_101718"/>
    <x v="0"/>
    <s v="video"/>
    <s v="Politics"/>
    <s v="ur"/>
    <s v="US"/>
    <d v="2024-01-29T00:00:00"/>
    <s v="#trending #viral #funny"/>
    <n v="2397589"/>
    <n v="104243"/>
    <n v="13508"/>
    <n v="54944"/>
    <n v="7.1999999999999995E-2"/>
    <n v="-0.32300000000000001"/>
    <n v="1"/>
    <x v="0"/>
    <x v="1"/>
  </r>
  <r>
    <s v="SM_101719"/>
    <x v="0"/>
    <s v="image"/>
    <s v="Education"/>
    <s v="hi"/>
    <s v="Brazil"/>
    <d v="2024-10-17T00:00:00"/>
    <s v="#viral #trending #tech #fyp"/>
    <n v="1161270"/>
    <n v="50490"/>
    <n v="29510"/>
    <n v="59558"/>
    <n v="0.1202"/>
    <n v="-0.184"/>
    <n v="0"/>
    <x v="1"/>
    <x v="1"/>
  </r>
  <r>
    <s v="SM_101720"/>
    <x v="2"/>
    <s v="image"/>
    <s v="Education"/>
    <s v="es"/>
    <s v="Brazil"/>
    <d v="2024-03-24T00:00:00"/>
    <s v="#ai #news #fyp"/>
    <n v="3146240"/>
    <n v="157312"/>
    <n v="12036"/>
    <n v="80665"/>
    <n v="7.9500000000000001E-2"/>
    <n v="-0.91"/>
    <n v="1"/>
    <x v="0"/>
    <x v="1"/>
  </r>
  <r>
    <s v="SM_101721"/>
    <x v="0"/>
    <s v="text"/>
    <s v="Education"/>
    <s v="es"/>
    <s v="Brazil"/>
    <d v="2024-11-24T00:00:00"/>
    <s v="#news #viral #funny"/>
    <n v="6168942"/>
    <n v="474534"/>
    <n v="15198"/>
    <n v="28562"/>
    <n v="8.4000000000000005E-2"/>
    <n v="0.247"/>
    <n v="1"/>
    <x v="0"/>
    <x v="0"/>
  </r>
  <r>
    <s v="SM_101722"/>
    <x v="3"/>
    <s v="text"/>
    <s v="Politics"/>
    <s v="es"/>
    <s v="India"/>
    <d v="2024-03-08T00:00:00"/>
    <s v="#trending #music #ai #fyp #funny"/>
    <n v="12217400"/>
    <n v="488696"/>
    <n v="29437"/>
    <n v="29505"/>
    <n v="4.48E-2"/>
    <n v="0.68799999999999994"/>
    <n v="1"/>
    <x v="0"/>
    <x v="0"/>
  </r>
  <r>
    <s v="SM_101723"/>
    <x v="3"/>
    <s v="video"/>
    <s v="Education"/>
    <s v="es"/>
    <s v="UK"/>
    <d v="2024-09-22T00:00:00"/>
    <s v="#fyp #trending #news #funny"/>
    <n v="691952"/>
    <n v="86494"/>
    <n v="3076"/>
    <n v="16940"/>
    <n v="0.15390000000000001"/>
    <n v="-0.83899999999999997"/>
    <n v="0"/>
    <x v="1"/>
    <x v="1"/>
  </r>
  <r>
    <s v="SM_101724"/>
    <x v="2"/>
    <s v="video"/>
    <s v="Entertainment"/>
    <s v="ur"/>
    <s v="Pakistan"/>
    <d v="2024-06-07T00:00:00"/>
    <s v="#news #trending #tech #music"/>
    <n v="5518704"/>
    <n v="459892"/>
    <n v="2691"/>
    <n v="12667"/>
    <n v="8.6099999999999996E-2"/>
    <n v="-0.317"/>
    <n v="1"/>
    <x v="0"/>
    <x v="1"/>
  </r>
  <r>
    <s v="SM_101725"/>
    <x v="0"/>
    <s v="carousel"/>
    <s v="Sports"/>
    <s v="es"/>
    <s v="US"/>
    <d v="2024-03-04T00:00:00"/>
    <s v="#fyp #viral #music #tech"/>
    <n v="2309728"/>
    <n v="144358"/>
    <n v="16464"/>
    <n v="86247"/>
    <n v="0.107"/>
    <n v="-0.56599999999999995"/>
    <n v="1"/>
    <x v="0"/>
    <x v="1"/>
  </r>
  <r>
    <s v="SM_101726"/>
    <x v="0"/>
    <s v="video"/>
    <s v="Technology"/>
    <s v="hi"/>
    <s v="Pakistan"/>
    <d v="2024-11-25T00:00:00"/>
    <s v="#trending #fyp #news"/>
    <n v="1349145"/>
    <n v="149905"/>
    <n v="19162"/>
    <n v="35031"/>
    <n v="0.15129999999999999"/>
    <n v="-0.42199999999999999"/>
    <n v="0"/>
    <x v="1"/>
    <x v="1"/>
  </r>
  <r>
    <s v="SM_101727"/>
    <x v="0"/>
    <s v="image"/>
    <s v="Sports"/>
    <s v="en"/>
    <s v="Brazil"/>
    <d v="2024-06-19T00:00:00"/>
    <s v="#music #funny #viral"/>
    <n v="2877588"/>
    <n v="479598"/>
    <n v="5193"/>
    <n v="29681"/>
    <n v="0.17879999999999999"/>
    <n v="7.4999999999999997E-2"/>
    <n v="1"/>
    <x v="0"/>
    <x v="0"/>
  </r>
  <r>
    <s v="SM_101728"/>
    <x v="0"/>
    <s v="text"/>
    <s v="Sports"/>
    <s v="ur"/>
    <s v="Brazil"/>
    <d v="2024-04-16T00:00:00"/>
    <s v="#ai #music"/>
    <n v="10757468"/>
    <n v="467716"/>
    <n v="36450"/>
    <n v="5797"/>
    <n v="4.7399999999999998E-2"/>
    <n v="0.92100000000000004"/>
    <n v="1"/>
    <x v="0"/>
    <x v="0"/>
  </r>
  <r>
    <s v="SM_101729"/>
    <x v="2"/>
    <s v="text"/>
    <s v="Lifestyle"/>
    <s v="hi"/>
    <s v="India"/>
    <d v="2024-12-24T00:00:00"/>
    <s v="#news #tech #trending"/>
    <n v="1672728"/>
    <n v="139394"/>
    <n v="24079"/>
    <n v="29826"/>
    <n v="0.11559999999999999"/>
    <n v="0.13400000000000001"/>
    <n v="0"/>
    <x v="1"/>
    <x v="0"/>
  </r>
  <r>
    <s v="SM_101730"/>
    <x v="1"/>
    <s v="carousel"/>
    <s v="Sports"/>
    <s v="hi"/>
    <s v="Brazil"/>
    <d v="2024-07-12T00:00:00"/>
    <s v="#viral #funny"/>
    <n v="1642128"/>
    <n v="68422"/>
    <n v="33643"/>
    <n v="25989"/>
    <n v="7.8E-2"/>
    <n v="8.4000000000000005E-2"/>
    <n v="0"/>
    <x v="1"/>
    <x v="0"/>
  </r>
  <r>
    <s v="SM_101731"/>
    <x v="2"/>
    <s v="carousel"/>
    <s v="Education"/>
    <s v="es"/>
    <s v="US"/>
    <d v="2024-12-12T00:00:00"/>
    <s v="#music #viral #news #trending"/>
    <n v="3880320"/>
    <n v="388032"/>
    <n v="29720"/>
    <n v="23807"/>
    <n v="0.1138"/>
    <n v="0.33500000000000002"/>
    <n v="1"/>
    <x v="0"/>
    <x v="0"/>
  </r>
  <r>
    <s v="SM_101732"/>
    <x v="1"/>
    <s v="video"/>
    <s v="Politics"/>
    <s v="es"/>
    <s v="Pakistan"/>
    <d v="2024-07-14T00:00:00"/>
    <s v="#music #viral"/>
    <n v="4030680"/>
    <n v="403068"/>
    <n v="3462"/>
    <n v="42617"/>
    <n v="0.1114"/>
    <n v="-0.35299999999999998"/>
    <n v="1"/>
    <x v="0"/>
    <x v="1"/>
  </r>
  <r>
    <s v="SM_101733"/>
    <x v="1"/>
    <s v="text"/>
    <s v="Sports"/>
    <s v="ur"/>
    <s v="Pakistan"/>
    <d v="2024-04-09T00:00:00"/>
    <s v="#trending #viral"/>
    <n v="787158"/>
    <n v="87462"/>
    <n v="10981"/>
    <n v="99123"/>
    <n v="0.251"/>
    <n v="0.745"/>
    <n v="0"/>
    <x v="1"/>
    <x v="0"/>
  </r>
  <r>
    <s v="SM_101734"/>
    <x v="0"/>
    <s v="image"/>
    <s v="Politics"/>
    <s v="hi"/>
    <s v="India"/>
    <d v="2024-04-16T00:00:00"/>
    <s v="#viral #ai #news #fyp #funny"/>
    <n v="9858579"/>
    <n v="339951"/>
    <n v="24116"/>
    <n v="33689"/>
    <n v="4.0300000000000002E-2"/>
    <n v="0.92500000000000004"/>
    <n v="1"/>
    <x v="0"/>
    <x v="0"/>
  </r>
  <r>
    <s v="SM_101735"/>
    <x v="3"/>
    <s v="image"/>
    <s v="Technology"/>
    <s v="en"/>
    <s v="Brazil"/>
    <d v="2024-08-12T00:00:00"/>
    <s v="#tech #music"/>
    <n v="1415706"/>
    <n v="235951"/>
    <n v="28258"/>
    <n v="96517"/>
    <n v="0.25480000000000003"/>
    <n v="0.254"/>
    <n v="0"/>
    <x v="1"/>
    <x v="0"/>
  </r>
  <r>
    <s v="SM_101736"/>
    <x v="2"/>
    <s v="video"/>
    <s v="Entertainment"/>
    <s v="ur"/>
    <s v="Pakistan"/>
    <d v="2024-06-05T00:00:00"/>
    <s v="#fyp #ai #funny #news"/>
    <n v="2803424"/>
    <n v="107824"/>
    <n v="4797"/>
    <n v="55983"/>
    <n v="6.0100000000000001E-2"/>
    <n v="0.63600000000000001"/>
    <n v="1"/>
    <x v="0"/>
    <x v="0"/>
  </r>
  <r>
    <s v="SM_101737"/>
    <x v="0"/>
    <s v="carousel"/>
    <s v="Technology"/>
    <s v="fr"/>
    <s v="Brazil"/>
    <d v="2024-07-30T00:00:00"/>
    <s v="#fyp #funny #tech #ai"/>
    <n v="2533464"/>
    <n v="281496"/>
    <n v="10712"/>
    <n v="34207"/>
    <n v="0.1288"/>
    <n v="-0.09"/>
    <n v="1"/>
    <x v="0"/>
    <x v="1"/>
  </r>
  <r>
    <s v="SM_101738"/>
    <x v="1"/>
    <s v="carousel"/>
    <s v="Sports"/>
    <s v="en"/>
    <s v="India"/>
    <d v="2024-04-29T00:00:00"/>
    <s v="#tech #news"/>
    <n v="5448102"/>
    <n v="247641"/>
    <n v="48293"/>
    <n v="35032"/>
    <n v="6.0699999999999997E-2"/>
    <n v="0.33900000000000002"/>
    <n v="1"/>
    <x v="0"/>
    <x v="0"/>
  </r>
  <r>
    <s v="SM_101739"/>
    <x v="3"/>
    <s v="carousel"/>
    <s v="Politics"/>
    <s v="fr"/>
    <s v="Brazil"/>
    <d v="2024-04-23T00:00:00"/>
    <s v="#ai #viral #trending #fyp"/>
    <n v="5398435"/>
    <n v="317555"/>
    <n v="46582"/>
    <n v="65868"/>
    <n v="7.9699999999999993E-2"/>
    <n v="0.70699999999999996"/>
    <n v="1"/>
    <x v="0"/>
    <x v="0"/>
  </r>
  <r>
    <s v="SM_101740"/>
    <x v="0"/>
    <s v="text"/>
    <s v="Education"/>
    <s v="en"/>
    <s v="US"/>
    <d v="2024-02-16T00:00:00"/>
    <s v="#fyp #tech #trending #music"/>
    <n v="8963864"/>
    <n v="320138"/>
    <n v="22109"/>
    <n v="14592"/>
    <n v="3.9800000000000002E-2"/>
    <n v="-0.84199999999999997"/>
    <n v="1"/>
    <x v="0"/>
    <x v="1"/>
  </r>
  <r>
    <s v="SM_101741"/>
    <x v="2"/>
    <s v="carousel"/>
    <s v="Technology"/>
    <s v="en"/>
    <s v="UK"/>
    <d v="2024-09-28T00:00:00"/>
    <s v="#trending #news"/>
    <n v="10886986"/>
    <n v="494863"/>
    <n v="49805"/>
    <n v="88535"/>
    <n v="5.8200000000000002E-2"/>
    <n v="0.246"/>
    <n v="1"/>
    <x v="0"/>
    <x v="0"/>
  </r>
  <r>
    <s v="SM_101742"/>
    <x v="0"/>
    <s v="video"/>
    <s v="Technology"/>
    <s v="fr"/>
    <s v="UK"/>
    <d v="2024-08-31T00:00:00"/>
    <s v="#fyp #viral #trending #funny"/>
    <n v="9000186"/>
    <n v="473694"/>
    <n v="23524"/>
    <n v="17394"/>
    <n v="5.7200000000000001E-2"/>
    <n v="-0.53300000000000003"/>
    <n v="1"/>
    <x v="0"/>
    <x v="1"/>
  </r>
  <r>
    <s v="SM_101743"/>
    <x v="2"/>
    <s v="image"/>
    <s v="Education"/>
    <s v="ur"/>
    <s v="Pakistan"/>
    <d v="2024-11-16T00:00:00"/>
    <s v="#viral #music #funny #ai #trending"/>
    <n v="2328378"/>
    <n v="179106"/>
    <n v="40265"/>
    <n v="81104"/>
    <n v="0.129"/>
    <n v="0.52600000000000002"/>
    <n v="1"/>
    <x v="0"/>
    <x v="0"/>
  </r>
  <r>
    <s v="SM_101744"/>
    <x v="3"/>
    <s v="image"/>
    <s v="Lifestyle"/>
    <s v="hi"/>
    <s v="UK"/>
    <d v="2024-05-10T00:00:00"/>
    <s v="#ai #fyp #funny #trending #music"/>
    <n v="147015"/>
    <n v="13365"/>
    <n v="5429"/>
    <n v="20626"/>
    <n v="0.2681"/>
    <n v="-0.16400000000000001"/>
    <n v="0"/>
    <x v="1"/>
    <x v="1"/>
  </r>
  <r>
    <s v="SM_101745"/>
    <x v="3"/>
    <s v="text"/>
    <s v="Politics"/>
    <s v="hi"/>
    <s v="US"/>
    <d v="2024-01-01T00:00:00"/>
    <s v="#tech #news"/>
    <n v="6482720"/>
    <n v="324136"/>
    <n v="20544"/>
    <n v="56631"/>
    <n v="6.1899999999999997E-2"/>
    <n v="-9.7000000000000003E-2"/>
    <n v="1"/>
    <x v="0"/>
    <x v="1"/>
  </r>
  <r>
    <s v="SM_101746"/>
    <x v="3"/>
    <s v="video"/>
    <s v="Sports"/>
    <s v="hi"/>
    <s v="Brazil"/>
    <d v="2024-07-15T00:00:00"/>
    <s v="#viral #trending #music #fyp"/>
    <n v="4263925"/>
    <n v="170557"/>
    <n v="22049"/>
    <n v="77463"/>
    <n v="6.3299999999999995E-2"/>
    <n v="-0.78800000000000003"/>
    <n v="1"/>
    <x v="0"/>
    <x v="1"/>
  </r>
  <r>
    <s v="SM_101747"/>
    <x v="2"/>
    <s v="text"/>
    <s v="Politics"/>
    <s v="fr"/>
    <s v="India"/>
    <d v="2024-01-16T00:00:00"/>
    <s v="#ai #fyp"/>
    <n v="3904500"/>
    <n v="156180"/>
    <n v="48933"/>
    <n v="83097"/>
    <n v="7.3800000000000004E-2"/>
    <n v="0.872"/>
    <n v="1"/>
    <x v="0"/>
    <x v="0"/>
  </r>
  <r>
    <s v="SM_101748"/>
    <x v="2"/>
    <s v="carousel"/>
    <s v="Entertainment"/>
    <s v="fr"/>
    <s v="India"/>
    <d v="2024-05-07T00:00:00"/>
    <s v="#music #trending #funny #news #tech"/>
    <n v="6970104"/>
    <n v="387228"/>
    <n v="27631"/>
    <n v="98257"/>
    <n v="7.3599999999999999E-2"/>
    <n v="5.8999999999999997E-2"/>
    <n v="1"/>
    <x v="0"/>
    <x v="0"/>
  </r>
  <r>
    <s v="SM_101749"/>
    <x v="1"/>
    <s v="carousel"/>
    <s v="Education"/>
    <s v="en"/>
    <s v="UK"/>
    <d v="2024-06-17T00:00:00"/>
    <s v="#funny #music"/>
    <n v="5454876"/>
    <n v="194817"/>
    <n v="7865"/>
    <n v="7527"/>
    <n v="3.85E-2"/>
    <n v="-5.6000000000000001E-2"/>
    <n v="1"/>
    <x v="0"/>
    <x v="1"/>
  </r>
  <r>
    <s v="SM_101750"/>
    <x v="3"/>
    <s v="video"/>
    <s v="Lifestyle"/>
    <s v="es"/>
    <s v="Pakistan"/>
    <d v="2024-04-06T00:00:00"/>
    <s v="#ai #trending #fyp #tech #music"/>
    <n v="1678050"/>
    <n v="335610"/>
    <n v="14786"/>
    <n v="59118"/>
    <n v="0.24399999999999999"/>
    <n v="0.66400000000000003"/>
    <n v="0"/>
    <x v="1"/>
    <x v="0"/>
  </r>
  <r>
    <s v="SM_101751"/>
    <x v="1"/>
    <s v="video"/>
    <s v="Entertainment"/>
    <s v="en"/>
    <s v="US"/>
    <d v="2024-02-11T00:00:00"/>
    <s v="#trending #funny #music #fyp"/>
    <n v="8669154"/>
    <n v="333429"/>
    <n v="9125"/>
    <n v="1952"/>
    <n v="3.9699999999999999E-2"/>
    <n v="0.14599999999999999"/>
    <n v="1"/>
    <x v="0"/>
    <x v="0"/>
  </r>
  <r>
    <s v="SM_101752"/>
    <x v="1"/>
    <s v="image"/>
    <s v="Technology"/>
    <s v="es"/>
    <s v="UK"/>
    <d v="2024-09-27T00:00:00"/>
    <s v="#tech #ai #funny #music #news"/>
    <n v="6732488"/>
    <n v="240446"/>
    <n v="29002"/>
    <n v="41955"/>
    <n v="4.6300000000000001E-2"/>
    <n v="-2.7E-2"/>
    <n v="1"/>
    <x v="0"/>
    <x v="1"/>
  </r>
  <r>
    <s v="SM_101753"/>
    <x v="0"/>
    <s v="carousel"/>
    <s v="Sports"/>
    <s v="fr"/>
    <s v="Brazil"/>
    <d v="2024-12-08T00:00:00"/>
    <s v="#trending #ai #news #funny"/>
    <n v="3679746"/>
    <n v="262839"/>
    <n v="29597"/>
    <n v="40644"/>
    <n v="9.0499999999999997E-2"/>
    <n v="-0.52200000000000002"/>
    <n v="1"/>
    <x v="0"/>
    <x v="1"/>
  </r>
  <r>
    <s v="SM_101754"/>
    <x v="2"/>
    <s v="carousel"/>
    <s v="Politics"/>
    <s v="en"/>
    <s v="India"/>
    <d v="2024-06-10T00:00:00"/>
    <s v="#music #funny #tech #fyp #news"/>
    <n v="5364320"/>
    <n v="268216"/>
    <n v="15887"/>
    <n v="66395"/>
    <n v="6.5299999999999997E-2"/>
    <n v="-0.66200000000000003"/>
    <n v="1"/>
    <x v="0"/>
    <x v="1"/>
  </r>
  <r>
    <s v="SM_101755"/>
    <x v="3"/>
    <s v="carousel"/>
    <s v="Politics"/>
    <s v="es"/>
    <s v="US"/>
    <d v="2024-09-02T00:00:00"/>
    <s v="#music #trending #fyp"/>
    <n v="9157344"/>
    <n v="436064"/>
    <n v="37090"/>
    <n v="85375"/>
    <n v="6.0999999999999999E-2"/>
    <n v="-0.93"/>
    <n v="1"/>
    <x v="0"/>
    <x v="1"/>
  </r>
  <r>
    <s v="SM_101756"/>
    <x v="1"/>
    <s v="image"/>
    <s v="Lifestyle"/>
    <s v="hi"/>
    <s v="India"/>
    <d v="2024-09-02T00:00:00"/>
    <s v="#ai #music #trending #viral"/>
    <n v="2157820"/>
    <n v="107891"/>
    <n v="24295"/>
    <n v="46074"/>
    <n v="8.2600000000000007E-2"/>
    <n v="0.10299999999999999"/>
    <n v="1"/>
    <x v="0"/>
    <x v="0"/>
  </r>
  <r>
    <s v="SM_101757"/>
    <x v="0"/>
    <s v="text"/>
    <s v="Entertainment"/>
    <s v="es"/>
    <s v="India"/>
    <d v="2024-02-20T00:00:00"/>
    <s v="#music #fyp"/>
    <n v="12201175"/>
    <n v="488047"/>
    <n v="2855"/>
    <n v="28401"/>
    <n v="4.2599999999999999E-2"/>
    <n v="0.93100000000000005"/>
    <n v="1"/>
    <x v="0"/>
    <x v="0"/>
  </r>
  <r>
    <s v="SM_101758"/>
    <x v="1"/>
    <s v="text"/>
    <s v="Education"/>
    <s v="ur"/>
    <s v="Brazil"/>
    <d v="2024-05-25T00:00:00"/>
    <s v="#tech #trending #news"/>
    <n v="1628315"/>
    <n v="125255"/>
    <n v="23540"/>
    <n v="75537"/>
    <n v="0.13780000000000001"/>
    <n v="-5.0000000000000001E-3"/>
    <n v="0"/>
    <x v="1"/>
    <x v="1"/>
  </r>
  <r>
    <s v="SM_101759"/>
    <x v="3"/>
    <s v="carousel"/>
    <s v="Technology"/>
    <s v="fr"/>
    <s v="India"/>
    <d v="2024-11-15T00:00:00"/>
    <s v="#tech #music #ai #viral"/>
    <n v="7510350"/>
    <n v="300414"/>
    <n v="32413"/>
    <n v="99977"/>
    <n v="5.7599999999999998E-2"/>
    <n v="-0.95799999999999996"/>
    <n v="1"/>
    <x v="0"/>
    <x v="1"/>
  </r>
  <r>
    <s v="SM_101760"/>
    <x v="2"/>
    <s v="image"/>
    <s v="Education"/>
    <s v="ur"/>
    <s v="US"/>
    <d v="2024-11-24T00:00:00"/>
    <s v="#ai #funny #viral #news #fyp"/>
    <n v="5185378"/>
    <n v="471398"/>
    <n v="26584"/>
    <n v="71622"/>
    <n v="0.10979999999999999"/>
    <n v="-0.32300000000000001"/>
    <n v="1"/>
    <x v="0"/>
    <x v="1"/>
  </r>
  <r>
    <s v="SM_101761"/>
    <x v="1"/>
    <s v="image"/>
    <s v="Entertainment"/>
    <s v="fr"/>
    <s v="US"/>
    <d v="2024-07-04T00:00:00"/>
    <s v="#music #ai"/>
    <n v="1198500"/>
    <n v="70500"/>
    <n v="42089"/>
    <n v="99526"/>
    <n v="0.17699999999999999"/>
    <n v="0.48399999999999999"/>
    <n v="0"/>
    <x v="1"/>
    <x v="0"/>
  </r>
  <r>
    <s v="SM_101762"/>
    <x v="0"/>
    <s v="video"/>
    <s v="Entertainment"/>
    <s v="en"/>
    <s v="UK"/>
    <d v="2024-12-28T00:00:00"/>
    <s v="#viral #trending #fyp #music #news"/>
    <n v="4114346"/>
    <n v="141874"/>
    <n v="41201"/>
    <n v="15386"/>
    <n v="4.82E-2"/>
    <n v="-0.60399999999999998"/>
    <n v="1"/>
    <x v="0"/>
    <x v="1"/>
  </r>
  <r>
    <s v="SM_101763"/>
    <x v="1"/>
    <s v="text"/>
    <s v="Technology"/>
    <s v="ur"/>
    <s v="India"/>
    <d v="2024-04-15T00:00:00"/>
    <s v="#fyp #trending #tech"/>
    <n v="1011388"/>
    <n v="36121"/>
    <n v="3787"/>
    <n v="88878"/>
    <n v="0.1273"/>
    <n v="-0.622"/>
    <n v="0"/>
    <x v="1"/>
    <x v="1"/>
  </r>
  <r>
    <s v="SM_101764"/>
    <x v="0"/>
    <s v="image"/>
    <s v="Politics"/>
    <s v="ur"/>
    <s v="India"/>
    <d v="2024-07-17T00:00:00"/>
    <s v="#fyp #viral"/>
    <n v="5330304"/>
    <n v="253824"/>
    <n v="19054"/>
    <n v="42720"/>
    <n v="5.9200000000000003E-2"/>
    <n v="3.7999999999999999E-2"/>
    <n v="1"/>
    <x v="0"/>
    <x v="0"/>
  </r>
  <r>
    <s v="SM_101765"/>
    <x v="0"/>
    <s v="image"/>
    <s v="Lifestyle"/>
    <s v="ur"/>
    <s v="Brazil"/>
    <d v="2024-05-18T00:00:00"/>
    <s v="#music #trending #ai #tech #viral"/>
    <n v="2138515"/>
    <n v="125795"/>
    <n v="3518"/>
    <n v="13336"/>
    <n v="6.6699999999999995E-2"/>
    <n v="0.16700000000000001"/>
    <n v="1"/>
    <x v="0"/>
    <x v="0"/>
  </r>
  <r>
    <s v="SM_101766"/>
    <x v="1"/>
    <s v="carousel"/>
    <s v="Sports"/>
    <s v="fr"/>
    <s v="US"/>
    <d v="2024-12-11T00:00:00"/>
    <s v="#ai #fyp #tech"/>
    <n v="1866192"/>
    <n v="77758"/>
    <n v="34845"/>
    <n v="31008"/>
    <n v="7.6999999999999999E-2"/>
    <n v="0.09"/>
    <n v="0"/>
    <x v="1"/>
    <x v="0"/>
  </r>
  <r>
    <s v="SM_101767"/>
    <x v="2"/>
    <s v="image"/>
    <s v="Entertainment"/>
    <s v="es"/>
    <s v="Brazil"/>
    <d v="2024-07-22T00:00:00"/>
    <s v="#news #fyp"/>
    <n v="4978545"/>
    <n v="382965"/>
    <n v="27689"/>
    <n v="26394"/>
    <n v="8.7800000000000003E-2"/>
    <n v="0.318"/>
    <n v="1"/>
    <x v="0"/>
    <x v="0"/>
  </r>
  <r>
    <s v="SM_101768"/>
    <x v="1"/>
    <s v="carousel"/>
    <s v="Entertainment"/>
    <s v="hi"/>
    <s v="Brazil"/>
    <d v="2024-06-22T00:00:00"/>
    <s v="#music #fyp #news #funny"/>
    <n v="12470926"/>
    <n v="479651"/>
    <n v="38732"/>
    <n v="9108"/>
    <n v="4.2299999999999997E-2"/>
    <n v="0.34399999999999997"/>
    <n v="1"/>
    <x v="0"/>
    <x v="0"/>
  </r>
  <r>
    <s v="SM_101769"/>
    <x v="3"/>
    <s v="carousel"/>
    <s v="Education"/>
    <s v="en"/>
    <s v="India"/>
    <d v="2024-12-23T00:00:00"/>
    <s v="#funny #tech #fyp #viral #ai"/>
    <n v="1406250"/>
    <n v="93750"/>
    <n v="37794"/>
    <n v="52067"/>
    <n v="0.13059999999999999"/>
    <n v="0.999"/>
    <n v="0"/>
    <x v="1"/>
    <x v="0"/>
  </r>
  <r>
    <s v="SM_101770"/>
    <x v="3"/>
    <s v="video"/>
    <s v="Politics"/>
    <s v="fr"/>
    <s v="US"/>
    <d v="2024-05-25T00:00:00"/>
    <s v="#viral #fyp #tech #funny #music"/>
    <n v="949264"/>
    <n v="118658"/>
    <n v="44532"/>
    <n v="9191"/>
    <n v="0.18160000000000001"/>
    <n v="0.45500000000000002"/>
    <n v="0"/>
    <x v="1"/>
    <x v="0"/>
  </r>
  <r>
    <s v="SM_101771"/>
    <x v="2"/>
    <s v="carousel"/>
    <s v="Technology"/>
    <s v="en"/>
    <s v="US"/>
    <d v="2024-11-13T00:00:00"/>
    <s v="#fyp #tech #funny"/>
    <n v="2803050"/>
    <n v="186870"/>
    <n v="16784"/>
    <n v="93711"/>
    <n v="0.1061"/>
    <n v="-0.248"/>
    <n v="1"/>
    <x v="0"/>
    <x v="1"/>
  </r>
  <r>
    <s v="SM_101772"/>
    <x v="2"/>
    <s v="text"/>
    <s v="Entertainment"/>
    <s v="fr"/>
    <s v="Brazil"/>
    <d v="2024-09-19T00:00:00"/>
    <s v="#funny #news"/>
    <n v="5808928"/>
    <n v="363058"/>
    <n v="18038"/>
    <n v="85611"/>
    <n v="8.0299999999999996E-2"/>
    <n v="-0.96399999999999997"/>
    <n v="1"/>
    <x v="0"/>
    <x v="1"/>
  </r>
  <r>
    <s v="SM_101773"/>
    <x v="2"/>
    <s v="carousel"/>
    <s v="Sports"/>
    <s v="en"/>
    <s v="UK"/>
    <d v="2024-09-01T00:00:00"/>
    <s v="#news #funny #tech #fyp"/>
    <n v="3522508"/>
    <n v="160114"/>
    <n v="29064"/>
    <n v="57558"/>
    <n v="7.0000000000000007E-2"/>
    <n v="-0.77600000000000002"/>
    <n v="1"/>
    <x v="0"/>
    <x v="1"/>
  </r>
  <r>
    <s v="SM_101774"/>
    <x v="0"/>
    <s v="video"/>
    <s v="Technology"/>
    <s v="ur"/>
    <s v="US"/>
    <d v="2024-01-14T00:00:00"/>
    <s v="#ai #funny #tech #fyp"/>
    <n v="6392130"/>
    <n v="426142"/>
    <n v="30302"/>
    <n v="43891"/>
    <n v="7.8299999999999995E-2"/>
    <n v="-5.7000000000000002E-2"/>
    <n v="1"/>
    <x v="0"/>
    <x v="1"/>
  </r>
  <r>
    <s v="SM_101775"/>
    <x v="2"/>
    <s v="text"/>
    <s v="Politics"/>
    <s v="en"/>
    <s v="Pakistan"/>
    <d v="2024-08-28T00:00:00"/>
    <s v="#ai #trending #fyp #news #music"/>
    <n v="1194795"/>
    <n v="79653"/>
    <n v="8319"/>
    <n v="93832"/>
    <n v="0.1522"/>
    <n v="0.56599999999999995"/>
    <n v="0"/>
    <x v="1"/>
    <x v="0"/>
  </r>
  <r>
    <s v="SM_101776"/>
    <x v="2"/>
    <s v="text"/>
    <s v="Technology"/>
    <s v="ur"/>
    <s v="Pakistan"/>
    <d v="2024-01-19T00:00:00"/>
    <s v="#news #funny #ai"/>
    <n v="2110932"/>
    <n v="117274"/>
    <n v="15362"/>
    <n v="98866"/>
    <n v="0.10970000000000001"/>
    <n v="-2.5000000000000001E-2"/>
    <n v="1"/>
    <x v="0"/>
    <x v="1"/>
  </r>
  <r>
    <s v="SM_101777"/>
    <x v="1"/>
    <s v="video"/>
    <s v="Technology"/>
    <s v="ur"/>
    <s v="Pakistan"/>
    <d v="2024-01-21T00:00:00"/>
    <s v="#trending #music #ai #viral"/>
    <n v="5899290"/>
    <n v="393286"/>
    <n v="9101"/>
    <n v="85475"/>
    <n v="8.2699999999999996E-2"/>
    <n v="0.16"/>
    <n v="1"/>
    <x v="0"/>
    <x v="0"/>
  </r>
  <r>
    <s v="SM_101778"/>
    <x v="3"/>
    <s v="video"/>
    <s v="Lifestyle"/>
    <s v="fr"/>
    <s v="Brazil"/>
    <d v="2024-10-10T00:00:00"/>
    <s v="#funny #music #tech #fyp #news"/>
    <n v="6753572"/>
    <n v="241199"/>
    <n v="44871"/>
    <n v="46158"/>
    <n v="4.9200000000000001E-2"/>
    <n v="-0.625"/>
    <n v="1"/>
    <x v="0"/>
    <x v="1"/>
  </r>
  <r>
    <s v="SM_101779"/>
    <x v="1"/>
    <s v="image"/>
    <s v="Politics"/>
    <s v="es"/>
    <s v="UK"/>
    <d v="2024-06-24T00:00:00"/>
    <s v="#news #trending #ai"/>
    <n v="5516"/>
    <n v="394"/>
    <n v="32541"/>
    <n v="24597"/>
    <n v="10.43"/>
    <n v="0.44700000000000001"/>
    <n v="0"/>
    <x v="1"/>
    <x v="0"/>
  </r>
  <r>
    <s v="SM_101780"/>
    <x v="0"/>
    <s v="video"/>
    <s v="Education"/>
    <s v="hi"/>
    <s v="India"/>
    <d v="2024-09-13T00:00:00"/>
    <s v="#ai #trending #music #tech #fyp"/>
    <n v="7508550"/>
    <n v="300342"/>
    <n v="4660"/>
    <n v="83030"/>
    <n v="5.1700000000000003E-2"/>
    <n v="-0.69"/>
    <n v="1"/>
    <x v="0"/>
    <x v="1"/>
  </r>
  <r>
    <s v="SM_101781"/>
    <x v="1"/>
    <s v="image"/>
    <s v="Technology"/>
    <s v="hi"/>
    <s v="UK"/>
    <d v="2024-07-31T00:00:00"/>
    <s v="#news #fyp #tech"/>
    <n v="1088199"/>
    <n v="120911"/>
    <n v="17563"/>
    <n v="99469"/>
    <n v="0.21870000000000001"/>
    <n v="-0.49099999999999999"/>
    <n v="0"/>
    <x v="1"/>
    <x v="1"/>
  </r>
  <r>
    <s v="SM_101782"/>
    <x v="2"/>
    <s v="video"/>
    <s v="Technology"/>
    <s v="ur"/>
    <s v="India"/>
    <d v="2024-04-10T00:00:00"/>
    <s v="#music #tech #viral"/>
    <n v="5862631"/>
    <n v="254897"/>
    <n v="26572"/>
    <n v="32377"/>
    <n v="5.3499999999999999E-2"/>
    <n v="0.13300000000000001"/>
    <n v="1"/>
    <x v="0"/>
    <x v="0"/>
  </r>
  <r>
    <s v="SM_101783"/>
    <x v="2"/>
    <s v="text"/>
    <s v="Entertainment"/>
    <s v="ur"/>
    <s v="India"/>
    <d v="2024-11-24T00:00:00"/>
    <s v="#fyp #news #music"/>
    <n v="676936"/>
    <n v="29432"/>
    <n v="46742"/>
    <n v="89032"/>
    <n v="0.24399999999999999"/>
    <n v="-0.441"/>
    <n v="0"/>
    <x v="1"/>
    <x v="1"/>
  </r>
  <r>
    <s v="SM_101784"/>
    <x v="0"/>
    <s v="image"/>
    <s v="Lifestyle"/>
    <s v="fr"/>
    <s v="US"/>
    <d v="2024-05-15T00:00:00"/>
    <s v="#news #fyp #music #tech"/>
    <n v="275720"/>
    <n v="27572"/>
    <n v="40035"/>
    <n v="26850"/>
    <n v="0.34260000000000002"/>
    <n v="5.3999999999999999E-2"/>
    <n v="0"/>
    <x v="1"/>
    <x v="0"/>
  </r>
  <r>
    <s v="SM_101785"/>
    <x v="3"/>
    <s v="text"/>
    <s v="Lifestyle"/>
    <s v="en"/>
    <s v="Brazil"/>
    <d v="2024-06-10T00:00:00"/>
    <s v="#fyp #ai"/>
    <n v="4885088"/>
    <n v="305318"/>
    <n v="37264"/>
    <n v="29284"/>
    <n v="7.6100000000000001E-2"/>
    <n v="-0.60499999999999998"/>
    <n v="1"/>
    <x v="0"/>
    <x v="1"/>
  </r>
  <r>
    <s v="SM_101786"/>
    <x v="2"/>
    <s v="text"/>
    <s v="Lifestyle"/>
    <s v="ur"/>
    <s v="Brazil"/>
    <d v="2024-11-25T00:00:00"/>
    <s v="#tech #news #funny #trending"/>
    <n v="8275785"/>
    <n v="394085"/>
    <n v="17811"/>
    <n v="90519"/>
    <n v="6.0699999999999997E-2"/>
    <n v="-2E-3"/>
    <n v="1"/>
    <x v="0"/>
    <x v="1"/>
  </r>
  <r>
    <s v="SM_101787"/>
    <x v="3"/>
    <s v="image"/>
    <s v="Lifestyle"/>
    <s v="es"/>
    <s v="US"/>
    <d v="2024-01-30T00:00:00"/>
    <s v="#news #trending #viral"/>
    <n v="2397200"/>
    <n v="149825"/>
    <n v="38048"/>
    <n v="86670"/>
    <n v="0.1145"/>
    <n v="-0.51800000000000002"/>
    <n v="1"/>
    <x v="0"/>
    <x v="1"/>
  </r>
  <r>
    <s v="SM_101788"/>
    <x v="1"/>
    <s v="image"/>
    <s v="Entertainment"/>
    <s v="ur"/>
    <s v="Pakistan"/>
    <d v="2024-10-12T00:00:00"/>
    <s v="#trending #tech #ai"/>
    <n v="7006789"/>
    <n v="304643"/>
    <n v="44018"/>
    <n v="97606"/>
    <n v="6.3700000000000007E-2"/>
    <n v="-0.82"/>
    <n v="1"/>
    <x v="0"/>
    <x v="1"/>
  </r>
  <r>
    <s v="SM_101789"/>
    <x v="2"/>
    <s v="video"/>
    <s v="Technology"/>
    <s v="hi"/>
    <s v="Pakistan"/>
    <d v="2024-05-25T00:00:00"/>
    <s v="#tech #trending #ai"/>
    <n v="13973960"/>
    <n v="499070"/>
    <n v="11100"/>
    <n v="57573"/>
    <n v="4.0599999999999997E-2"/>
    <n v="0.28599999999999998"/>
    <n v="1"/>
    <x v="0"/>
    <x v="0"/>
  </r>
  <r>
    <s v="SM_101790"/>
    <x v="0"/>
    <s v="image"/>
    <s v="Education"/>
    <s v="es"/>
    <s v="US"/>
    <d v="2024-04-23T00:00:00"/>
    <s v="#ai #news #viral #trending"/>
    <n v="2517215"/>
    <n v="132485"/>
    <n v="7852"/>
    <n v="50223"/>
    <n v="7.5700000000000003E-2"/>
    <n v="0.38400000000000001"/>
    <n v="1"/>
    <x v="0"/>
    <x v="0"/>
  </r>
  <r>
    <s v="SM_101791"/>
    <x v="2"/>
    <s v="image"/>
    <s v="Education"/>
    <s v="es"/>
    <s v="Brazil"/>
    <d v="2024-05-21T00:00:00"/>
    <s v="#news #ai"/>
    <n v="8489382"/>
    <n v="385881"/>
    <n v="35868"/>
    <n v="16705"/>
    <n v="5.16E-2"/>
    <n v="0.68400000000000005"/>
    <n v="1"/>
    <x v="0"/>
    <x v="0"/>
  </r>
  <r>
    <s v="SM_101792"/>
    <x v="0"/>
    <s v="image"/>
    <s v="Entertainment"/>
    <s v="ur"/>
    <s v="UK"/>
    <d v="2024-05-19T00:00:00"/>
    <s v="#trending #viral"/>
    <n v="3998544"/>
    <n v="333212"/>
    <n v="1391"/>
    <n v="53916"/>
    <n v="9.7199999999999995E-2"/>
    <n v="0.40699999999999997"/>
    <n v="1"/>
    <x v="0"/>
    <x v="0"/>
  </r>
  <r>
    <s v="SM_101793"/>
    <x v="0"/>
    <s v="carousel"/>
    <s v="Education"/>
    <s v="hi"/>
    <s v="UK"/>
    <d v="2024-07-13T00:00:00"/>
    <s v="#trending #news #fyp"/>
    <n v="6762340"/>
    <n v="260090"/>
    <n v="42969"/>
    <n v="59275"/>
    <n v="5.3600000000000002E-2"/>
    <n v="-0.47499999999999998"/>
    <n v="1"/>
    <x v="0"/>
    <x v="1"/>
  </r>
  <r>
    <s v="SM_101794"/>
    <x v="3"/>
    <s v="carousel"/>
    <s v="Technology"/>
    <s v="ur"/>
    <s v="US"/>
    <d v="2024-02-23T00:00:00"/>
    <s v="#news #music #viral #funny #ai"/>
    <n v="6357626"/>
    <n v="288983"/>
    <n v="47713"/>
    <n v="53020"/>
    <n v="6.13E-2"/>
    <n v="-0.36899999999999999"/>
    <n v="1"/>
    <x v="0"/>
    <x v="1"/>
  </r>
  <r>
    <s v="SM_101795"/>
    <x v="2"/>
    <s v="video"/>
    <s v="Technology"/>
    <s v="en"/>
    <s v="US"/>
    <d v="2024-08-14T00:00:00"/>
    <s v="#news #fyp #funny"/>
    <n v="284018"/>
    <n v="20287"/>
    <n v="2332"/>
    <n v="97928"/>
    <n v="0.4244"/>
    <n v="0.77800000000000002"/>
    <n v="0"/>
    <x v="1"/>
    <x v="0"/>
  </r>
  <r>
    <s v="SM_101796"/>
    <x v="0"/>
    <s v="text"/>
    <s v="Sports"/>
    <s v="hi"/>
    <s v="India"/>
    <d v="2024-10-29T00:00:00"/>
    <s v="#news #viral #tech #ai"/>
    <n v="353880"/>
    <n v="39320"/>
    <n v="7647"/>
    <n v="79972"/>
    <n v="0.35870000000000002"/>
    <n v="-0.79"/>
    <n v="0"/>
    <x v="1"/>
    <x v="1"/>
  </r>
  <r>
    <s v="SM_101797"/>
    <x v="3"/>
    <s v="text"/>
    <s v="Sports"/>
    <s v="es"/>
    <s v="Pakistan"/>
    <d v="2024-11-26T00:00:00"/>
    <s v="#music #funny #fyp #news"/>
    <n v="7556243"/>
    <n v="397697"/>
    <n v="31052"/>
    <n v="19559"/>
    <n v="5.9299999999999999E-2"/>
    <n v="-0.96899999999999997"/>
    <n v="1"/>
    <x v="0"/>
    <x v="1"/>
  </r>
  <r>
    <s v="SM_101798"/>
    <x v="2"/>
    <s v="image"/>
    <s v="Entertainment"/>
    <s v="ur"/>
    <s v="Brazil"/>
    <d v="2024-06-29T00:00:00"/>
    <s v="#tech #ai #funny #news"/>
    <n v="2843232"/>
    <n v="236936"/>
    <n v="29414"/>
    <n v="19463"/>
    <n v="0.10050000000000001"/>
    <n v="-0.61899999999999999"/>
    <n v="1"/>
    <x v="0"/>
    <x v="1"/>
  </r>
  <r>
    <s v="SM_101799"/>
    <x v="0"/>
    <s v="video"/>
    <s v="Entertainment"/>
    <s v="en"/>
    <s v="US"/>
    <d v="2024-02-15T00:00:00"/>
    <s v="#viral #funny #trending #tech #fyp"/>
    <n v="1756242"/>
    <n v="97569"/>
    <n v="46955"/>
    <n v="2524"/>
    <n v="8.3699999999999997E-2"/>
    <n v="-0.64700000000000002"/>
    <n v="0"/>
    <x v="1"/>
    <x v="1"/>
  </r>
  <r>
    <s v="SM_101800"/>
    <x v="0"/>
    <s v="video"/>
    <s v="Technology"/>
    <s v="fr"/>
    <s v="Brazil"/>
    <d v="2024-01-16T00:00:00"/>
    <s v="#trending #fyp #funny #tech #viral"/>
    <n v="8753734"/>
    <n v="397897"/>
    <n v="11912"/>
    <n v="5610"/>
    <n v="4.7500000000000001E-2"/>
    <n v="-0.28999999999999998"/>
    <n v="1"/>
    <x v="0"/>
    <x v="1"/>
  </r>
  <r>
    <s v="SM_101801"/>
    <x v="3"/>
    <s v="carousel"/>
    <s v="Entertainment"/>
    <s v="es"/>
    <s v="US"/>
    <d v="2024-01-09T00:00:00"/>
    <s v="#funny #trending #news #tech"/>
    <n v="161252"/>
    <n v="23036"/>
    <n v="42730"/>
    <n v="99525"/>
    <n v="1.0249999999999999"/>
    <n v="2E-3"/>
    <n v="0"/>
    <x v="1"/>
    <x v="0"/>
  </r>
  <r>
    <s v="SM_101802"/>
    <x v="1"/>
    <s v="image"/>
    <s v="Lifestyle"/>
    <s v="fr"/>
    <s v="US"/>
    <d v="2024-03-21T00:00:00"/>
    <s v="#ai #news #fyp #music #trending"/>
    <n v="10873776"/>
    <n v="453074"/>
    <n v="46062"/>
    <n v="12538"/>
    <n v="4.7100000000000003E-2"/>
    <n v="-0.68200000000000005"/>
    <n v="1"/>
    <x v="0"/>
    <x v="1"/>
  </r>
  <r>
    <s v="SM_101803"/>
    <x v="2"/>
    <s v="carousel"/>
    <s v="Technology"/>
    <s v="ur"/>
    <s v="Pakistan"/>
    <d v="2024-07-06T00:00:00"/>
    <s v="#ai #news"/>
    <n v="3275397"/>
    <n v="121311"/>
    <n v="9068"/>
    <n v="835"/>
    <n v="4.0099999999999997E-2"/>
    <n v="0.78800000000000003"/>
    <n v="1"/>
    <x v="0"/>
    <x v="0"/>
  </r>
  <r>
    <s v="SM_101804"/>
    <x v="0"/>
    <s v="image"/>
    <s v="Entertainment"/>
    <s v="fr"/>
    <s v="UK"/>
    <d v="2024-07-17T00:00:00"/>
    <s v="#viral #news"/>
    <n v="6906816"/>
    <n v="493344"/>
    <n v="2418"/>
    <n v="9506"/>
    <n v="7.3200000000000001E-2"/>
    <n v="0.45800000000000002"/>
    <n v="1"/>
    <x v="0"/>
    <x v="0"/>
  </r>
  <r>
    <s v="SM_101805"/>
    <x v="2"/>
    <s v="text"/>
    <s v="Education"/>
    <s v="en"/>
    <s v="Pakistan"/>
    <d v="2024-06-19T00:00:00"/>
    <s v="#news #funny #ai #music"/>
    <n v="3985520"/>
    <n v="199276"/>
    <n v="42103"/>
    <n v="58409"/>
    <n v="7.5200000000000003E-2"/>
    <n v="-0.625"/>
    <n v="1"/>
    <x v="0"/>
    <x v="1"/>
  </r>
  <r>
    <s v="SM_101806"/>
    <x v="0"/>
    <s v="image"/>
    <s v="Lifestyle"/>
    <s v="hi"/>
    <s v="US"/>
    <d v="2024-07-23T00:00:00"/>
    <s v="#funny #fyp #news #tech #ai"/>
    <n v="6677772"/>
    <n v="230268"/>
    <n v="14200"/>
    <n v="65132"/>
    <n v="4.6399999999999997E-2"/>
    <n v="-7.1999999999999995E-2"/>
    <n v="1"/>
    <x v="0"/>
    <x v="1"/>
  </r>
  <r>
    <s v="SM_101807"/>
    <x v="3"/>
    <s v="text"/>
    <s v="Lifestyle"/>
    <s v="es"/>
    <s v="India"/>
    <d v="2024-04-13T00:00:00"/>
    <s v="#fyp #music #trending #viral"/>
    <n v="1403448"/>
    <n v="116954"/>
    <n v="41299"/>
    <n v="58704"/>
    <n v="0.15459999999999999"/>
    <n v="-0.76900000000000002"/>
    <n v="0"/>
    <x v="1"/>
    <x v="1"/>
  </r>
  <r>
    <s v="SM_101808"/>
    <x v="0"/>
    <s v="text"/>
    <s v="Education"/>
    <s v="en"/>
    <s v="India"/>
    <d v="2024-07-06T00:00:00"/>
    <s v="#fyp #tech #music"/>
    <n v="8714575"/>
    <n v="348583"/>
    <n v="48119"/>
    <n v="89235"/>
    <n v="5.5800000000000002E-2"/>
    <n v="0.34599999999999997"/>
    <n v="1"/>
    <x v="0"/>
    <x v="0"/>
  </r>
  <r>
    <s v="SM_101809"/>
    <x v="1"/>
    <s v="carousel"/>
    <s v="Entertainment"/>
    <s v="hi"/>
    <s v="US"/>
    <d v="2024-08-31T00:00:00"/>
    <s v="#fyp #ai #tech #funny"/>
    <n v="1574062"/>
    <n v="112433"/>
    <n v="37797"/>
    <n v="45808"/>
    <n v="0.1245"/>
    <n v="-5.3999999999999999E-2"/>
    <n v="0"/>
    <x v="1"/>
    <x v="1"/>
  </r>
  <r>
    <s v="SM_101810"/>
    <x v="0"/>
    <s v="video"/>
    <s v="Lifestyle"/>
    <s v="en"/>
    <s v="UK"/>
    <d v="2024-02-05T00:00:00"/>
    <s v="#music #viral #trending"/>
    <n v="2044695"/>
    <n v="136313"/>
    <n v="38761"/>
    <n v="13778"/>
    <n v="9.2399999999999996E-2"/>
    <n v="0.80600000000000005"/>
    <n v="1"/>
    <x v="0"/>
    <x v="0"/>
  </r>
  <r>
    <s v="SM_101811"/>
    <x v="0"/>
    <s v="video"/>
    <s v="Technology"/>
    <s v="ur"/>
    <s v="India"/>
    <d v="2024-05-03T00:00:00"/>
    <s v="#ai #fyp #funny"/>
    <n v="4650945"/>
    <n v="310063"/>
    <n v="28474"/>
    <n v="3846"/>
    <n v="7.3599999999999999E-2"/>
    <n v="-0.318"/>
    <n v="1"/>
    <x v="0"/>
    <x v="1"/>
  </r>
  <r>
    <s v="SM_101812"/>
    <x v="0"/>
    <s v="image"/>
    <s v="Entertainment"/>
    <s v="hi"/>
    <s v="India"/>
    <d v="2024-02-04T00:00:00"/>
    <s v="#funny #trending #fyp"/>
    <n v="2544090"/>
    <n v="424015"/>
    <n v="44257"/>
    <n v="98683"/>
    <n v="0.22289999999999999"/>
    <n v="0.85699999999999998"/>
    <n v="1"/>
    <x v="0"/>
    <x v="0"/>
  </r>
  <r>
    <s v="SM_101813"/>
    <x v="2"/>
    <s v="video"/>
    <s v="Lifestyle"/>
    <s v="ur"/>
    <s v="India"/>
    <d v="2024-07-30T00:00:00"/>
    <s v="#music #trending #fyp #tech"/>
    <n v="4470662"/>
    <n v="319333"/>
    <n v="46433"/>
    <n v="16609"/>
    <n v="8.5500000000000007E-2"/>
    <n v="0.182"/>
    <n v="1"/>
    <x v="0"/>
    <x v="0"/>
  </r>
  <r>
    <s v="SM_101814"/>
    <x v="2"/>
    <s v="carousel"/>
    <s v="Politics"/>
    <s v="fr"/>
    <s v="Brazil"/>
    <d v="2024-02-01T00:00:00"/>
    <s v="#tech #funny #fyp"/>
    <n v="2030756"/>
    <n v="78106"/>
    <n v="49868"/>
    <n v="87909"/>
    <n v="0.10630000000000001"/>
    <n v="-0.27100000000000002"/>
    <n v="1"/>
    <x v="0"/>
    <x v="1"/>
  </r>
  <r>
    <s v="SM_101815"/>
    <x v="3"/>
    <s v="image"/>
    <s v="Sports"/>
    <s v="fr"/>
    <s v="India"/>
    <d v="2024-07-06T00:00:00"/>
    <s v="#tech #viral #fyp"/>
    <n v="1130010"/>
    <n v="226002"/>
    <n v="21635"/>
    <n v="12179"/>
    <n v="0.22989999999999999"/>
    <n v="0.42699999999999999"/>
    <n v="0"/>
    <x v="1"/>
    <x v="0"/>
  </r>
  <r>
    <s v="SM_101816"/>
    <x v="2"/>
    <s v="text"/>
    <s v="Politics"/>
    <s v="es"/>
    <s v="US"/>
    <d v="2024-11-10T00:00:00"/>
    <s v="#tech #fyp #music #trending"/>
    <n v="4408740"/>
    <n v="489860"/>
    <n v="46636"/>
    <n v="67360"/>
    <n v="0.13700000000000001"/>
    <n v="-0.79500000000000004"/>
    <n v="1"/>
    <x v="0"/>
    <x v="1"/>
  </r>
  <r>
    <s v="SM_101817"/>
    <x v="0"/>
    <s v="video"/>
    <s v="Technology"/>
    <s v="ur"/>
    <s v="UK"/>
    <d v="2024-05-18T00:00:00"/>
    <s v="#viral #trending"/>
    <n v="3605615"/>
    <n v="277355"/>
    <n v="32317"/>
    <n v="24162"/>
    <n v="9.2600000000000002E-2"/>
    <n v="-0.71399999999999997"/>
    <n v="1"/>
    <x v="0"/>
    <x v="1"/>
  </r>
  <r>
    <s v="SM_101818"/>
    <x v="3"/>
    <s v="carousel"/>
    <s v="Lifestyle"/>
    <s v="hi"/>
    <s v="India"/>
    <d v="2024-09-16T00:00:00"/>
    <s v="#fyp #viral #funny #news #trending"/>
    <n v="2480754"/>
    <n v="130566"/>
    <n v="1782"/>
    <n v="50375"/>
    <n v="7.3700000000000002E-2"/>
    <n v="-0.36099999999999999"/>
    <n v="1"/>
    <x v="0"/>
    <x v="1"/>
  </r>
  <r>
    <s v="SM_101819"/>
    <x v="1"/>
    <s v="image"/>
    <s v="Entertainment"/>
    <s v="ur"/>
    <s v="Pakistan"/>
    <d v="2024-10-03T00:00:00"/>
    <s v="#funny #viral #tech #music #trending"/>
    <n v="6516045"/>
    <n v="241335"/>
    <n v="18166"/>
    <n v="7491"/>
    <n v="4.1000000000000002E-2"/>
    <n v="0.40400000000000003"/>
    <n v="1"/>
    <x v="0"/>
    <x v="0"/>
  </r>
  <r>
    <s v="SM_101820"/>
    <x v="3"/>
    <s v="image"/>
    <s v="Lifestyle"/>
    <s v="en"/>
    <s v="UK"/>
    <d v="2024-05-07T00:00:00"/>
    <s v="#music #viral"/>
    <n v="1475595"/>
    <n v="98373"/>
    <n v="17714"/>
    <n v="58646"/>
    <n v="0.11840000000000001"/>
    <n v="0.40600000000000003"/>
    <n v="0"/>
    <x v="1"/>
    <x v="0"/>
  </r>
  <r>
    <s v="SM_101821"/>
    <x v="3"/>
    <s v="text"/>
    <s v="Entertainment"/>
    <s v="fr"/>
    <s v="Pakistan"/>
    <d v="2024-01-04T00:00:00"/>
    <s v="#tech #trending #ai"/>
    <n v="7241652"/>
    <n v="402314"/>
    <n v="28911"/>
    <n v="70193"/>
    <n v="6.9199999999999998E-2"/>
    <n v="-0.23499999999999999"/>
    <n v="1"/>
    <x v="0"/>
    <x v="1"/>
  </r>
  <r>
    <s v="SM_101822"/>
    <x v="0"/>
    <s v="image"/>
    <s v="Lifestyle"/>
    <s v="ur"/>
    <s v="UK"/>
    <d v="2024-03-07T00:00:00"/>
    <s v="#viral #trending #ai #funny"/>
    <n v="625452"/>
    <n v="52121"/>
    <n v="29097"/>
    <n v="1243"/>
    <n v="0.1318"/>
    <n v="-0.27400000000000002"/>
    <n v="0"/>
    <x v="1"/>
    <x v="1"/>
  </r>
  <r>
    <s v="SM_101823"/>
    <x v="0"/>
    <s v="text"/>
    <s v="Sports"/>
    <s v="hi"/>
    <s v="India"/>
    <d v="2024-12-11T00:00:00"/>
    <s v="#news #funny #music #viral"/>
    <n v="1530522"/>
    <n v="72882"/>
    <n v="31472"/>
    <n v="18303"/>
    <n v="8.0100000000000005E-2"/>
    <n v="0.77700000000000002"/>
    <n v="0"/>
    <x v="1"/>
    <x v="0"/>
  </r>
  <r>
    <s v="SM_101824"/>
    <x v="3"/>
    <s v="carousel"/>
    <s v="Politics"/>
    <s v="fr"/>
    <s v="US"/>
    <d v="2024-02-10T00:00:00"/>
    <s v="#fyp #music #tech"/>
    <n v="7697445"/>
    <n v="366545"/>
    <n v="10977"/>
    <n v="10684"/>
    <n v="5.04E-2"/>
    <n v="0.44700000000000001"/>
    <n v="1"/>
    <x v="0"/>
    <x v="0"/>
  </r>
  <r>
    <s v="SM_101825"/>
    <x v="1"/>
    <s v="video"/>
    <s v="Education"/>
    <s v="en"/>
    <s v="US"/>
    <d v="2024-12-14T00:00:00"/>
    <s v="#funny #ai #trending"/>
    <n v="1479096"/>
    <n v="164344"/>
    <n v="18110"/>
    <n v="64341"/>
    <n v="0.16689999999999999"/>
    <n v="-0.94099999999999995"/>
    <n v="0"/>
    <x v="1"/>
    <x v="1"/>
  </r>
  <r>
    <s v="SM_101826"/>
    <x v="3"/>
    <s v="image"/>
    <s v="Politics"/>
    <s v="en"/>
    <s v="US"/>
    <d v="2024-06-08T00:00:00"/>
    <s v="#trending #fyp #news #tech #ai"/>
    <n v="4453643"/>
    <n v="261979"/>
    <n v="20599"/>
    <n v="76921"/>
    <n v="8.0699999999999994E-2"/>
    <n v="9.0999999999999998E-2"/>
    <n v="1"/>
    <x v="0"/>
    <x v="0"/>
  </r>
  <r>
    <s v="SM_101827"/>
    <x v="2"/>
    <s v="text"/>
    <s v="Politics"/>
    <s v="en"/>
    <s v="India"/>
    <d v="2024-09-19T00:00:00"/>
    <s v="#music #ai #fyp #tech"/>
    <n v="2937480"/>
    <n v="209820"/>
    <n v="31026"/>
    <n v="58760"/>
    <n v="0.10199999999999999"/>
    <n v="0.33700000000000002"/>
    <n v="1"/>
    <x v="0"/>
    <x v="0"/>
  </r>
  <r>
    <s v="SM_101828"/>
    <x v="3"/>
    <s v="video"/>
    <s v="Entertainment"/>
    <s v="hi"/>
    <s v="Brazil"/>
    <d v="2024-10-11T00:00:00"/>
    <s v="#viral #funny #news #fyp"/>
    <n v="7476416"/>
    <n v="467276"/>
    <n v="35015"/>
    <n v="54155"/>
    <n v="7.4399999999999994E-2"/>
    <n v="0.74299999999999999"/>
    <n v="1"/>
    <x v="0"/>
    <x v="0"/>
  </r>
  <r>
    <s v="SM_101829"/>
    <x v="0"/>
    <s v="carousel"/>
    <s v="Politics"/>
    <s v="fr"/>
    <s v="India"/>
    <d v="2024-08-10T00:00:00"/>
    <s v="#funny #trending #viral #music #ai"/>
    <n v="6623240"/>
    <n v="254740"/>
    <n v="30941"/>
    <n v="78859"/>
    <n v="5.5E-2"/>
    <n v="-0.46500000000000002"/>
    <n v="1"/>
    <x v="0"/>
    <x v="1"/>
  </r>
  <r>
    <s v="SM_101830"/>
    <x v="1"/>
    <s v="carousel"/>
    <s v="Politics"/>
    <s v="fr"/>
    <s v="US"/>
    <d v="2024-06-24T00:00:00"/>
    <s v="#ai #music #viral #fyp #trending"/>
    <n v="114312"/>
    <n v="10392"/>
    <n v="26846"/>
    <n v="28366"/>
    <n v="0.57389999999999997"/>
    <n v="-0.749"/>
    <n v="0"/>
    <x v="1"/>
    <x v="1"/>
  </r>
  <r>
    <s v="SM_101831"/>
    <x v="2"/>
    <s v="carousel"/>
    <s v="Education"/>
    <s v="hi"/>
    <s v="India"/>
    <d v="2024-12-23T00:00:00"/>
    <s v="#music #ai #fyp"/>
    <n v="368192"/>
    <n v="23012"/>
    <n v="36924"/>
    <n v="80772"/>
    <n v="0.38219999999999998"/>
    <n v="-0.505"/>
    <n v="0"/>
    <x v="1"/>
    <x v="1"/>
  </r>
  <r>
    <s v="SM_101832"/>
    <x v="1"/>
    <s v="image"/>
    <s v="Lifestyle"/>
    <s v="es"/>
    <s v="US"/>
    <d v="2024-10-12T00:00:00"/>
    <s v="#fyp #news #trending #funny #ai"/>
    <n v="4125920"/>
    <n v="412592"/>
    <n v="31928"/>
    <n v="5535"/>
    <n v="0.1091"/>
    <n v="0.64900000000000002"/>
    <n v="1"/>
    <x v="0"/>
    <x v="0"/>
  </r>
  <r>
    <s v="SM_101833"/>
    <x v="0"/>
    <s v="image"/>
    <s v="Education"/>
    <s v="es"/>
    <s v="US"/>
    <d v="2024-09-14T00:00:00"/>
    <s v="#ai #news #funny #music #trending"/>
    <n v="11842038"/>
    <n v="455463"/>
    <n v="32568"/>
    <n v="36487"/>
    <n v="4.4299999999999999E-2"/>
    <n v="-0.17199999999999999"/>
    <n v="1"/>
    <x v="0"/>
    <x v="1"/>
  </r>
  <r>
    <s v="SM_101834"/>
    <x v="0"/>
    <s v="carousel"/>
    <s v="Education"/>
    <s v="en"/>
    <s v="UK"/>
    <d v="2024-06-05T00:00:00"/>
    <s v="#viral #news"/>
    <n v="5221161"/>
    <n v="474651"/>
    <n v="26341"/>
    <n v="3642"/>
    <n v="9.6699999999999994E-2"/>
    <n v="3.5999999999999997E-2"/>
    <n v="1"/>
    <x v="0"/>
    <x v="0"/>
  </r>
  <r>
    <s v="SM_101835"/>
    <x v="3"/>
    <s v="video"/>
    <s v="Sports"/>
    <s v="es"/>
    <s v="Pakistan"/>
    <d v="2024-01-09T00:00:00"/>
    <s v="#funny #trending"/>
    <n v="2508737"/>
    <n v="228067"/>
    <n v="21503"/>
    <n v="70199"/>
    <n v="0.1275"/>
    <n v="0.84199999999999997"/>
    <n v="1"/>
    <x v="0"/>
    <x v="0"/>
  </r>
  <r>
    <s v="SM_101836"/>
    <x v="0"/>
    <s v="image"/>
    <s v="Lifestyle"/>
    <s v="es"/>
    <s v="Brazil"/>
    <d v="2024-12-18T00:00:00"/>
    <s v="#music #funny #ai"/>
    <n v="1974583"/>
    <n v="151891"/>
    <n v="24670"/>
    <n v="25033"/>
    <n v="0.1021"/>
    <n v="0.83899999999999997"/>
    <n v="0"/>
    <x v="1"/>
    <x v="0"/>
  </r>
  <r>
    <s v="SM_101837"/>
    <x v="0"/>
    <s v="image"/>
    <s v="Technology"/>
    <s v="fr"/>
    <s v="Pakistan"/>
    <d v="2024-04-23T00:00:00"/>
    <s v="#ai #fyp #news #music #funny"/>
    <n v="1289600"/>
    <n v="161200"/>
    <n v="45499"/>
    <n v="54647"/>
    <n v="0.20269999999999999"/>
    <n v="0.69699999999999995"/>
    <n v="0"/>
    <x v="1"/>
    <x v="0"/>
  </r>
  <r>
    <s v="SM_101838"/>
    <x v="0"/>
    <s v="carousel"/>
    <s v="Entertainment"/>
    <s v="es"/>
    <s v="Pakistan"/>
    <d v="2024-12-06T00:00:00"/>
    <s v="#fyp #trending #tech"/>
    <n v="966399"/>
    <n v="56847"/>
    <n v="45717"/>
    <n v="6274"/>
    <n v="0.11260000000000001"/>
    <n v="0.25900000000000001"/>
    <n v="0"/>
    <x v="1"/>
    <x v="0"/>
  </r>
  <r>
    <s v="SM_101839"/>
    <x v="0"/>
    <s v="text"/>
    <s v="Politics"/>
    <s v="en"/>
    <s v="UK"/>
    <d v="2024-10-10T00:00:00"/>
    <s v="#funny #trending #news"/>
    <n v="6395343"/>
    <n v="336597"/>
    <n v="28960"/>
    <n v="92092"/>
    <n v="7.1599999999999997E-2"/>
    <n v="-0.67100000000000004"/>
    <n v="1"/>
    <x v="0"/>
    <x v="1"/>
  </r>
  <r>
    <s v="SM_101840"/>
    <x v="0"/>
    <s v="image"/>
    <s v="Technology"/>
    <s v="ur"/>
    <s v="UK"/>
    <d v="2024-10-31T00:00:00"/>
    <s v="#news #music"/>
    <n v="3448508"/>
    <n v="246322"/>
    <n v="17957"/>
    <n v="11540"/>
    <n v="0.08"/>
    <n v="0.32800000000000001"/>
    <n v="1"/>
    <x v="0"/>
    <x v="0"/>
  </r>
  <r>
    <s v="SM_101841"/>
    <x v="2"/>
    <s v="video"/>
    <s v="Sports"/>
    <s v="es"/>
    <s v="UK"/>
    <d v="2024-03-05T00:00:00"/>
    <s v="#news #trending"/>
    <n v="9539440"/>
    <n v="476972"/>
    <n v="13339"/>
    <n v="28616"/>
    <n v="5.4399999999999997E-2"/>
    <n v="0.35499999999999998"/>
    <n v="1"/>
    <x v="0"/>
    <x v="0"/>
  </r>
  <r>
    <s v="SM_101842"/>
    <x v="3"/>
    <s v="video"/>
    <s v="Entertainment"/>
    <s v="en"/>
    <s v="US"/>
    <d v="2024-06-09T00:00:00"/>
    <s v="#news #funny #fyp"/>
    <n v="1452700"/>
    <n v="58108"/>
    <n v="17745"/>
    <n v="99319"/>
    <n v="0.1206"/>
    <n v="0.16300000000000001"/>
    <n v="0"/>
    <x v="1"/>
    <x v="0"/>
  </r>
  <r>
    <s v="SM_101843"/>
    <x v="1"/>
    <s v="carousel"/>
    <s v="Lifestyle"/>
    <s v="ur"/>
    <s v="Brazil"/>
    <d v="2024-05-03T00:00:00"/>
    <s v="#news #trending"/>
    <n v="1752400"/>
    <n v="67400"/>
    <n v="6014"/>
    <n v="20843"/>
    <n v="5.3800000000000001E-2"/>
    <n v="0.20100000000000001"/>
    <n v="0"/>
    <x v="1"/>
    <x v="0"/>
  </r>
  <r>
    <s v="SM_101844"/>
    <x v="1"/>
    <s v="carousel"/>
    <s v="Technology"/>
    <s v="ur"/>
    <s v="UK"/>
    <d v="2024-02-21T00:00:00"/>
    <s v="#funny #fyp #trending"/>
    <n v="2278633"/>
    <n v="99071"/>
    <n v="3375"/>
    <n v="38745"/>
    <n v="6.2E-2"/>
    <n v="-0.50700000000000001"/>
    <n v="1"/>
    <x v="0"/>
    <x v="1"/>
  </r>
  <r>
    <s v="SM_101845"/>
    <x v="1"/>
    <s v="carousel"/>
    <s v="Lifestyle"/>
    <s v="hi"/>
    <s v="Brazil"/>
    <d v="2024-07-09T00:00:00"/>
    <s v="#funny #trending #ai"/>
    <n v="1463530"/>
    <n v="86090"/>
    <n v="41386"/>
    <n v="3651"/>
    <n v="8.9599999999999999E-2"/>
    <n v="-0.46800000000000003"/>
    <n v="0"/>
    <x v="1"/>
    <x v="1"/>
  </r>
  <r>
    <s v="SM_101846"/>
    <x v="1"/>
    <s v="image"/>
    <s v="Lifestyle"/>
    <s v="es"/>
    <s v="Brazil"/>
    <d v="2024-03-01T00:00:00"/>
    <s v="#trending #viral"/>
    <n v="3185208"/>
    <n v="265434"/>
    <n v="48118"/>
    <n v="8790"/>
    <n v="0.1012"/>
    <n v="-0.17299999999999999"/>
    <n v="1"/>
    <x v="0"/>
    <x v="1"/>
  </r>
  <r>
    <s v="SM_101847"/>
    <x v="2"/>
    <s v="carousel"/>
    <s v="Politics"/>
    <s v="en"/>
    <s v="India"/>
    <d v="2024-11-27T00:00:00"/>
    <s v="#viral #trending #fyp #music #funny"/>
    <n v="3498390"/>
    <n v="166590"/>
    <n v="46373"/>
    <n v="47086"/>
    <n v="7.4300000000000005E-2"/>
    <n v="0.98099999999999998"/>
    <n v="1"/>
    <x v="0"/>
    <x v="0"/>
  </r>
  <r>
    <s v="SM_101848"/>
    <x v="1"/>
    <s v="text"/>
    <s v="Sports"/>
    <s v="hi"/>
    <s v="Pakistan"/>
    <d v="2024-11-24T00:00:00"/>
    <s v="#trending #tech"/>
    <n v="5078140"/>
    <n v="253907"/>
    <n v="27890"/>
    <n v="87422"/>
    <n v="7.2700000000000001E-2"/>
    <n v="-0.113"/>
    <n v="1"/>
    <x v="0"/>
    <x v="1"/>
  </r>
  <r>
    <s v="SM_101849"/>
    <x v="3"/>
    <s v="text"/>
    <s v="Sports"/>
    <s v="en"/>
    <s v="Pakistan"/>
    <d v="2024-04-01T00:00:00"/>
    <s v="#ai #funny #trending #music"/>
    <n v="4163019"/>
    <n v="198239"/>
    <n v="5486"/>
    <n v="23933"/>
    <n v="5.4699999999999999E-2"/>
    <n v="9.8000000000000004E-2"/>
    <n v="1"/>
    <x v="0"/>
    <x v="0"/>
  </r>
  <r>
    <s v="SM_101850"/>
    <x v="1"/>
    <s v="video"/>
    <s v="Education"/>
    <s v="ur"/>
    <s v="US"/>
    <d v="2024-11-11T00:00:00"/>
    <s v="#news #fyp #ai #tech #funny"/>
    <n v="1809300"/>
    <n v="90465"/>
    <n v="19937"/>
    <n v="38932"/>
    <n v="8.2500000000000004E-2"/>
    <n v="-0.88"/>
    <n v="0"/>
    <x v="1"/>
    <x v="1"/>
  </r>
  <r>
    <s v="SM_101851"/>
    <x v="0"/>
    <s v="text"/>
    <s v="Technology"/>
    <s v="hi"/>
    <s v="Brazil"/>
    <d v="2024-12-10T00:00:00"/>
    <s v="#music #ai #news"/>
    <n v="2551176"/>
    <n v="212598"/>
    <n v="18812"/>
    <n v="11768"/>
    <n v="9.5299999999999996E-2"/>
    <n v="-0.371"/>
    <n v="1"/>
    <x v="0"/>
    <x v="1"/>
  </r>
  <r>
    <s v="SM_101852"/>
    <x v="3"/>
    <s v="carousel"/>
    <s v="Entertainment"/>
    <s v="es"/>
    <s v="UK"/>
    <d v="2024-12-29T00:00:00"/>
    <s v="#funny #fyp #trending #ai #news"/>
    <n v="125120"/>
    <n v="15640"/>
    <n v="35681"/>
    <n v="70249"/>
    <n v="0.97160000000000002"/>
    <n v="-0.90400000000000003"/>
    <n v="0"/>
    <x v="1"/>
    <x v="1"/>
  </r>
  <r>
    <s v="SM_101853"/>
    <x v="2"/>
    <s v="video"/>
    <s v="Technology"/>
    <s v="fr"/>
    <s v="Brazil"/>
    <d v="2024-04-05T00:00:00"/>
    <s v="#viral #tech"/>
    <n v="6743061"/>
    <n v="249743"/>
    <n v="19904"/>
    <n v="19788"/>
    <n v="4.2900000000000001E-2"/>
    <n v="-0.20799999999999999"/>
    <n v="1"/>
    <x v="0"/>
    <x v="1"/>
  </r>
  <r>
    <s v="SM_101854"/>
    <x v="1"/>
    <s v="image"/>
    <s v="Technology"/>
    <s v="es"/>
    <s v="Brazil"/>
    <d v="2024-12-11T00:00:00"/>
    <s v="#tech #viral #trending #news #funny"/>
    <n v="5174640"/>
    <n v="258732"/>
    <n v="10155"/>
    <n v="85930"/>
    <n v="6.8599999999999994E-2"/>
    <n v="-0.22900000000000001"/>
    <n v="1"/>
    <x v="0"/>
    <x v="1"/>
  </r>
  <r>
    <s v="SM_101855"/>
    <x v="0"/>
    <s v="video"/>
    <s v="Technology"/>
    <s v="es"/>
    <s v="UK"/>
    <d v="2024-10-09T00:00:00"/>
    <s v="#tech #fyp #viral #news"/>
    <n v="893684"/>
    <n v="47036"/>
    <n v="27755"/>
    <n v="8594"/>
    <n v="9.3299999999999994E-2"/>
    <n v="0.01"/>
    <n v="0"/>
    <x v="1"/>
    <x v="0"/>
  </r>
  <r>
    <s v="SM_101856"/>
    <x v="0"/>
    <s v="carousel"/>
    <s v="Entertainment"/>
    <s v="fr"/>
    <s v="UK"/>
    <d v="2024-01-05T00:00:00"/>
    <s v="#music #viral #funny #ai #tech"/>
    <n v="9209016"/>
    <n v="383709"/>
    <n v="24816"/>
    <n v="28075"/>
    <n v="4.7399999999999998E-2"/>
    <n v="-0.88400000000000001"/>
    <n v="1"/>
    <x v="0"/>
    <x v="1"/>
  </r>
  <r>
    <s v="SM_101857"/>
    <x v="2"/>
    <s v="video"/>
    <s v="Lifestyle"/>
    <s v="fr"/>
    <s v="UK"/>
    <d v="2024-08-19T00:00:00"/>
    <s v="#fyp #ai #tech #funny #music"/>
    <n v="8383813"/>
    <n v="289097"/>
    <n v="8188"/>
    <n v="20662"/>
    <n v="3.7900000000000003E-2"/>
    <n v="-0.68600000000000005"/>
    <n v="1"/>
    <x v="0"/>
    <x v="1"/>
  </r>
  <r>
    <s v="SM_101858"/>
    <x v="2"/>
    <s v="carousel"/>
    <s v="Lifestyle"/>
    <s v="fr"/>
    <s v="UK"/>
    <d v="2024-09-07T00:00:00"/>
    <s v="#funny #fyp #trending #music #viral"/>
    <n v="6898433"/>
    <n v="237877"/>
    <n v="36500"/>
    <n v="13704"/>
    <n v="4.1799999999999997E-2"/>
    <n v="-0.46300000000000002"/>
    <n v="1"/>
    <x v="0"/>
    <x v="1"/>
  </r>
  <r>
    <s v="SM_101859"/>
    <x v="3"/>
    <s v="video"/>
    <s v="Entertainment"/>
    <s v="ur"/>
    <s v="India"/>
    <d v="2024-01-21T00:00:00"/>
    <s v="#ai #news #tech"/>
    <n v="12785836"/>
    <n v="456637"/>
    <n v="22947"/>
    <n v="33162"/>
    <n v="4.0099999999999997E-2"/>
    <n v="-1.7999999999999999E-2"/>
    <n v="1"/>
    <x v="0"/>
    <x v="1"/>
  </r>
  <r>
    <s v="SM_101860"/>
    <x v="2"/>
    <s v="video"/>
    <s v="Education"/>
    <s v="es"/>
    <s v="Brazil"/>
    <d v="2024-09-23T00:00:00"/>
    <s v="#viral #funny #fyp #trending #news"/>
    <n v="9672768"/>
    <n v="403032"/>
    <n v="41568"/>
    <n v="33350"/>
    <n v="4.9399999999999999E-2"/>
    <n v="0.105"/>
    <n v="1"/>
    <x v="0"/>
    <x v="0"/>
  </r>
  <r>
    <s v="SM_101861"/>
    <x v="0"/>
    <s v="image"/>
    <s v="Technology"/>
    <s v="ur"/>
    <s v="US"/>
    <d v="2024-03-16T00:00:00"/>
    <s v="#funny #fyp #tech #viral"/>
    <n v="8610290"/>
    <n v="331165"/>
    <n v="36543"/>
    <n v="99280"/>
    <n v="5.4199999999999998E-2"/>
    <n v="-0.46200000000000002"/>
    <n v="1"/>
    <x v="0"/>
    <x v="1"/>
  </r>
  <r>
    <s v="SM_101862"/>
    <x v="3"/>
    <s v="image"/>
    <s v="Technology"/>
    <s v="ur"/>
    <s v="UK"/>
    <d v="2024-04-14T00:00:00"/>
    <s v="#news #funny #tech #music #viral"/>
    <n v="4034085"/>
    <n v="175395"/>
    <n v="26124"/>
    <n v="68372"/>
    <n v="6.6900000000000001E-2"/>
    <n v="-0.60399999999999998"/>
    <n v="1"/>
    <x v="0"/>
    <x v="1"/>
  </r>
  <r>
    <s v="SM_101863"/>
    <x v="2"/>
    <s v="text"/>
    <s v="Technology"/>
    <s v="en"/>
    <s v="US"/>
    <d v="2024-09-27T00:00:00"/>
    <s v="#tech #trending #news"/>
    <n v="5305080"/>
    <n v="353672"/>
    <n v="39606"/>
    <n v="73890"/>
    <n v="8.8099999999999998E-2"/>
    <n v="0.245"/>
    <n v="1"/>
    <x v="0"/>
    <x v="0"/>
  </r>
  <r>
    <s v="SM_101864"/>
    <x v="2"/>
    <s v="carousel"/>
    <s v="Sports"/>
    <s v="en"/>
    <s v="US"/>
    <d v="2024-04-23T00:00:00"/>
    <s v="#music #viral #fyp"/>
    <n v="8899176"/>
    <n v="342276"/>
    <n v="12067"/>
    <n v="75387"/>
    <n v="4.8300000000000003E-2"/>
    <n v="0.20799999999999999"/>
    <n v="1"/>
    <x v="0"/>
    <x v="0"/>
  </r>
  <r>
    <s v="SM_101865"/>
    <x v="3"/>
    <s v="video"/>
    <s v="Entertainment"/>
    <s v="en"/>
    <s v="UK"/>
    <d v="2024-02-25T00:00:00"/>
    <s v="#news #viral #trending #funny"/>
    <n v="2974713"/>
    <n v="141653"/>
    <n v="33739"/>
    <n v="66426"/>
    <n v="8.1299999999999997E-2"/>
    <n v="-0.93400000000000005"/>
    <n v="1"/>
    <x v="0"/>
    <x v="1"/>
  </r>
  <r>
    <s v="SM_101866"/>
    <x v="2"/>
    <s v="text"/>
    <s v="Lifestyle"/>
    <s v="en"/>
    <s v="India"/>
    <d v="2024-09-25T00:00:00"/>
    <s v="#tech #trending #viral #ai"/>
    <n v="1150270"/>
    <n v="104570"/>
    <n v="28210"/>
    <n v="88888"/>
    <n v="0.19270000000000001"/>
    <n v="-0.875"/>
    <n v="0"/>
    <x v="1"/>
    <x v="1"/>
  </r>
  <r>
    <s v="SM_101867"/>
    <x v="3"/>
    <s v="carousel"/>
    <s v="Entertainment"/>
    <s v="es"/>
    <s v="US"/>
    <d v="2024-03-15T00:00:00"/>
    <s v="#funny #viral #news #trending"/>
    <n v="3410688"/>
    <n v="142112"/>
    <n v="11263"/>
    <n v="24486"/>
    <n v="5.21E-2"/>
    <n v="-0.30499999999999999"/>
    <n v="1"/>
    <x v="0"/>
    <x v="1"/>
  </r>
  <r>
    <s v="SM_101868"/>
    <x v="1"/>
    <s v="carousel"/>
    <s v="Sports"/>
    <s v="hi"/>
    <s v="Brazil"/>
    <d v="2024-12-16T00:00:00"/>
    <s v="#viral #tech #ai #news"/>
    <n v="8282043"/>
    <n v="394383"/>
    <n v="20612"/>
    <n v="61598"/>
    <n v="5.7500000000000002E-2"/>
    <n v="0.89600000000000002"/>
    <n v="1"/>
    <x v="0"/>
    <x v="0"/>
  </r>
  <r>
    <s v="SM_101869"/>
    <x v="2"/>
    <s v="video"/>
    <s v="Entertainment"/>
    <s v="en"/>
    <s v="India"/>
    <d v="2024-10-22T00:00:00"/>
    <s v="#ai #music #fyp"/>
    <n v="4142118"/>
    <n v="243654"/>
    <n v="15192"/>
    <n v="3986"/>
    <n v="6.3500000000000001E-2"/>
    <n v="7.5999999999999998E-2"/>
    <n v="1"/>
    <x v="0"/>
    <x v="0"/>
  </r>
  <r>
    <s v="SM_101870"/>
    <x v="2"/>
    <s v="image"/>
    <s v="Politics"/>
    <s v="en"/>
    <s v="Brazil"/>
    <d v="2024-11-15T00:00:00"/>
    <s v="#fyp #tech"/>
    <n v="13396266"/>
    <n v="496158"/>
    <n v="18613"/>
    <n v="67263"/>
    <n v="4.3400000000000001E-2"/>
    <n v="-0.56100000000000005"/>
    <n v="1"/>
    <x v="0"/>
    <x v="1"/>
  </r>
  <r>
    <s v="SM_101871"/>
    <x v="2"/>
    <s v="text"/>
    <s v="Lifestyle"/>
    <s v="es"/>
    <s v="India"/>
    <d v="2024-07-12T00:00:00"/>
    <s v="#fyp #tech #funny #viral #music"/>
    <n v="6075030"/>
    <n v="467310"/>
    <n v="17226"/>
    <n v="48507"/>
    <n v="8.77E-2"/>
    <n v="0.42799999999999999"/>
    <n v="1"/>
    <x v="0"/>
    <x v="0"/>
  </r>
  <r>
    <s v="SM_101872"/>
    <x v="1"/>
    <s v="image"/>
    <s v="Technology"/>
    <s v="ur"/>
    <s v="Brazil"/>
    <d v="2024-04-23T00:00:00"/>
    <s v="#music #tech #viral #trending"/>
    <n v="10952578"/>
    <n v="421253"/>
    <n v="49513"/>
    <n v="41832"/>
    <n v="4.6800000000000001E-2"/>
    <n v="0.499"/>
    <n v="1"/>
    <x v="0"/>
    <x v="0"/>
  </r>
  <r>
    <s v="SM_101873"/>
    <x v="0"/>
    <s v="carousel"/>
    <s v="Sports"/>
    <s v="ur"/>
    <s v="India"/>
    <d v="2024-03-29T00:00:00"/>
    <s v="#viral #music #news"/>
    <n v="2267122"/>
    <n v="103051"/>
    <n v="42775"/>
    <n v="86339"/>
    <n v="0.1024"/>
    <n v="-0.28000000000000003"/>
    <n v="1"/>
    <x v="0"/>
    <x v="1"/>
  </r>
  <r>
    <s v="SM_101874"/>
    <x v="1"/>
    <s v="image"/>
    <s v="Politics"/>
    <s v="fr"/>
    <s v="UK"/>
    <d v="2024-03-27T00:00:00"/>
    <s v="#viral #funny #fyp #news #music"/>
    <n v="2164830"/>
    <n v="216483"/>
    <n v="28759"/>
    <n v="43311"/>
    <n v="0.1333"/>
    <n v="-0.77500000000000002"/>
    <n v="1"/>
    <x v="0"/>
    <x v="1"/>
  </r>
  <r>
    <s v="SM_101875"/>
    <x v="2"/>
    <s v="carousel"/>
    <s v="Technology"/>
    <s v="en"/>
    <s v="India"/>
    <d v="2024-01-20T00:00:00"/>
    <s v="#funny #trending #ai"/>
    <n v="6212220"/>
    <n v="310611"/>
    <n v="13206"/>
    <n v="2740"/>
    <n v="5.2600000000000001E-2"/>
    <n v="0.67300000000000004"/>
    <n v="1"/>
    <x v="0"/>
    <x v="0"/>
  </r>
  <r>
    <s v="SM_101876"/>
    <x v="2"/>
    <s v="carousel"/>
    <s v="Technology"/>
    <s v="en"/>
    <s v="Brazil"/>
    <d v="2024-09-07T00:00:00"/>
    <s v="#funny #music #news #ai #viral"/>
    <n v="6972976"/>
    <n v="435811"/>
    <n v="21173"/>
    <n v="32625"/>
    <n v="7.0199999999999999E-2"/>
    <n v="-0.86799999999999999"/>
    <n v="1"/>
    <x v="0"/>
    <x v="1"/>
  </r>
  <r>
    <s v="SM_101877"/>
    <x v="1"/>
    <s v="carousel"/>
    <s v="Lifestyle"/>
    <s v="fr"/>
    <s v="Pakistan"/>
    <d v="2024-02-02T00:00:00"/>
    <s v="#fyp #ai #trending #funny"/>
    <n v="1131090"/>
    <n v="226218"/>
    <n v="17266"/>
    <n v="84791"/>
    <n v="0.29020000000000001"/>
    <n v="-0.223"/>
    <n v="0"/>
    <x v="1"/>
    <x v="1"/>
  </r>
  <r>
    <s v="SM_101878"/>
    <x v="3"/>
    <s v="image"/>
    <s v="Entertainment"/>
    <s v="es"/>
    <s v="US"/>
    <d v="2024-10-21T00:00:00"/>
    <s v="#fyp #trending #news #tech"/>
    <n v="11780384"/>
    <n v="420728"/>
    <n v="16681"/>
    <n v="75380"/>
    <n v="4.3499999999999997E-2"/>
    <n v="-0.17699999999999999"/>
    <n v="1"/>
    <x v="0"/>
    <x v="1"/>
  </r>
  <r>
    <s v="SM_101879"/>
    <x v="2"/>
    <s v="text"/>
    <s v="Technology"/>
    <s v="en"/>
    <s v="Brazil"/>
    <d v="2024-07-18T00:00:00"/>
    <s v="#viral #tech #funny #fyp"/>
    <n v="7525938"/>
    <n v="358378"/>
    <n v="35459"/>
    <n v="98538"/>
    <n v="6.54E-2"/>
    <n v="0.92600000000000005"/>
    <n v="1"/>
    <x v="0"/>
    <x v="0"/>
  </r>
  <r>
    <s v="SM_101880"/>
    <x v="1"/>
    <s v="image"/>
    <s v="Technology"/>
    <s v="ur"/>
    <s v="Pakistan"/>
    <d v="2024-06-21T00:00:00"/>
    <s v="#ai #trending #news #viral"/>
    <n v="2363032"/>
    <n v="84394"/>
    <n v="2277"/>
    <n v="82887"/>
    <n v="7.1800000000000003E-2"/>
    <n v="-0.98"/>
    <n v="1"/>
    <x v="0"/>
    <x v="1"/>
  </r>
  <r>
    <s v="SM_101881"/>
    <x v="2"/>
    <s v="image"/>
    <s v="Sports"/>
    <s v="ur"/>
    <s v="India"/>
    <d v="2024-06-03T00:00:00"/>
    <s v="#funny #trending #music #viral"/>
    <n v="6150291"/>
    <n v="212079"/>
    <n v="37315"/>
    <n v="83684"/>
    <n v="5.4199999999999998E-2"/>
    <n v="-0.441"/>
    <n v="1"/>
    <x v="0"/>
    <x v="1"/>
  </r>
  <r>
    <s v="SM_101882"/>
    <x v="3"/>
    <s v="text"/>
    <s v="Sports"/>
    <s v="fr"/>
    <s v="US"/>
    <d v="2024-08-05T00:00:00"/>
    <s v="#funny #tech #music #news"/>
    <n v="5459410"/>
    <n v="496310"/>
    <n v="38894"/>
    <n v="51429"/>
    <n v="0.1075"/>
    <n v="-0.58699999999999997"/>
    <n v="1"/>
    <x v="0"/>
    <x v="1"/>
  </r>
  <r>
    <s v="SM_101883"/>
    <x v="3"/>
    <s v="video"/>
    <s v="Entertainment"/>
    <s v="es"/>
    <s v="Brazil"/>
    <d v="2024-01-26T00:00:00"/>
    <s v="#news #funny #trending #tech #viral"/>
    <n v="4048748"/>
    <n v="368068"/>
    <n v="26000"/>
    <n v="5410"/>
    <n v="9.8699999999999996E-2"/>
    <n v="-0.81799999999999995"/>
    <n v="1"/>
    <x v="0"/>
    <x v="1"/>
  </r>
  <r>
    <s v="SM_101884"/>
    <x v="0"/>
    <s v="text"/>
    <s v="Politics"/>
    <s v="ur"/>
    <s v="UK"/>
    <d v="2024-06-20T00:00:00"/>
    <s v="#tech #viral"/>
    <n v="4440128"/>
    <n v="261184"/>
    <n v="29828"/>
    <n v="7870"/>
    <n v="6.7299999999999999E-2"/>
    <n v="0.49399999999999999"/>
    <n v="1"/>
    <x v="0"/>
    <x v="0"/>
  </r>
  <r>
    <s v="SM_101885"/>
    <x v="1"/>
    <s v="image"/>
    <s v="Entertainment"/>
    <s v="en"/>
    <s v="UK"/>
    <d v="2024-10-08T00:00:00"/>
    <s v="#funny #trending #fyp"/>
    <n v="4323030"/>
    <n v="288202"/>
    <n v="10771"/>
    <n v="19769"/>
    <n v="7.3700000000000002E-2"/>
    <n v="0.47399999999999998"/>
    <n v="1"/>
    <x v="0"/>
    <x v="0"/>
  </r>
  <r>
    <s v="SM_101886"/>
    <x v="3"/>
    <s v="carousel"/>
    <s v="Sports"/>
    <s v="en"/>
    <s v="India"/>
    <d v="2024-04-11T00:00:00"/>
    <s v="#ai #news #tech"/>
    <n v="530840"/>
    <n v="26542"/>
    <n v="16417"/>
    <n v="25597"/>
    <n v="0.12909999999999999"/>
    <n v="0.35199999999999998"/>
    <n v="0"/>
    <x v="1"/>
    <x v="0"/>
  </r>
  <r>
    <s v="SM_101887"/>
    <x v="0"/>
    <s v="video"/>
    <s v="Entertainment"/>
    <s v="hi"/>
    <s v="US"/>
    <d v="2024-10-22T00:00:00"/>
    <s v="#viral #tech #fyp"/>
    <n v="2472064"/>
    <n v="154504"/>
    <n v="44629"/>
    <n v="15765"/>
    <n v="8.6900000000000005E-2"/>
    <n v="0.47099999999999997"/>
    <n v="1"/>
    <x v="0"/>
    <x v="0"/>
  </r>
  <r>
    <s v="SM_101888"/>
    <x v="3"/>
    <s v="image"/>
    <s v="Sports"/>
    <s v="fr"/>
    <s v="US"/>
    <d v="2024-02-06T00:00:00"/>
    <s v="#trending #ai #fyp #music #news"/>
    <n v="2405754"/>
    <n v="267306"/>
    <n v="44650"/>
    <n v="7245"/>
    <n v="0.13270000000000001"/>
    <n v="0.109"/>
    <n v="1"/>
    <x v="0"/>
    <x v="0"/>
  </r>
  <r>
    <s v="SM_101889"/>
    <x v="3"/>
    <s v="carousel"/>
    <s v="Entertainment"/>
    <s v="fr"/>
    <s v="India"/>
    <d v="2024-05-15T00:00:00"/>
    <s v="#viral #tech #ai"/>
    <n v="941611"/>
    <n v="85601"/>
    <n v="45002"/>
    <n v="16957"/>
    <n v="0.15670000000000001"/>
    <n v="0.85099999999999998"/>
    <n v="0"/>
    <x v="1"/>
    <x v="0"/>
  </r>
  <r>
    <s v="SM_101890"/>
    <x v="3"/>
    <s v="carousel"/>
    <s v="Sports"/>
    <s v="en"/>
    <s v="US"/>
    <d v="2024-05-26T00:00:00"/>
    <s v="#funny #news #ai #tech"/>
    <n v="3011370"/>
    <n v="200758"/>
    <n v="16714"/>
    <n v="81259"/>
    <n v="9.9199999999999997E-2"/>
    <n v="-0.08"/>
    <n v="1"/>
    <x v="0"/>
    <x v="1"/>
  </r>
  <r>
    <s v="SM_101891"/>
    <x v="0"/>
    <s v="carousel"/>
    <s v="Education"/>
    <s v="fr"/>
    <s v="Pakistan"/>
    <d v="2024-07-13T00:00:00"/>
    <s v="#ai #news #tech #trending #music"/>
    <n v="3566766"/>
    <n v="169846"/>
    <n v="34494"/>
    <n v="17734"/>
    <n v="6.2300000000000001E-2"/>
    <n v="0.11799999999999999"/>
    <n v="1"/>
    <x v="0"/>
    <x v="0"/>
  </r>
  <r>
    <s v="SM_101892"/>
    <x v="2"/>
    <s v="text"/>
    <s v="Politics"/>
    <s v="hi"/>
    <s v="US"/>
    <d v="2024-09-13T00:00:00"/>
    <s v="#fyp #tech #trending"/>
    <n v="5027360"/>
    <n v="386720"/>
    <n v="39714"/>
    <n v="59847"/>
    <n v="9.6699999999999994E-2"/>
    <n v="-0.82799999999999996"/>
    <n v="1"/>
    <x v="0"/>
    <x v="1"/>
  </r>
  <r>
    <s v="SM_101893"/>
    <x v="1"/>
    <s v="video"/>
    <s v="Technology"/>
    <s v="es"/>
    <s v="India"/>
    <d v="2024-09-06T00:00:00"/>
    <s v="#ai #fyp #trending #music"/>
    <n v="2347220"/>
    <n v="234722"/>
    <n v="41157"/>
    <n v="27251"/>
    <n v="0.12909999999999999"/>
    <n v="-0.71099999999999997"/>
    <n v="1"/>
    <x v="0"/>
    <x v="1"/>
  </r>
  <r>
    <s v="SM_101894"/>
    <x v="2"/>
    <s v="text"/>
    <s v="Politics"/>
    <s v="es"/>
    <s v="UK"/>
    <d v="2024-07-06T00:00:00"/>
    <s v="#funny #news #ai #music"/>
    <n v="5116392"/>
    <n v="213183"/>
    <n v="46417"/>
    <n v="43877"/>
    <n v="5.9299999999999999E-2"/>
    <n v="-0.41099999999999998"/>
    <n v="1"/>
    <x v="0"/>
    <x v="1"/>
  </r>
  <r>
    <s v="SM_101895"/>
    <x v="0"/>
    <s v="carousel"/>
    <s v="Technology"/>
    <s v="es"/>
    <s v="UK"/>
    <d v="2024-11-26T00:00:00"/>
    <s v="#fyp #music #funny #tech #trending"/>
    <n v="2945196"/>
    <n v="163622"/>
    <n v="18902"/>
    <n v="73705"/>
    <n v="8.6999999999999994E-2"/>
    <n v="-0.43"/>
    <n v="1"/>
    <x v="0"/>
    <x v="1"/>
  </r>
  <r>
    <s v="SM_101896"/>
    <x v="0"/>
    <s v="image"/>
    <s v="Lifestyle"/>
    <s v="es"/>
    <s v="Pakistan"/>
    <d v="2024-07-26T00:00:00"/>
    <s v="#funny #tech #viral #news"/>
    <n v="511904"/>
    <n v="63988"/>
    <n v="13755"/>
    <n v="61294"/>
    <n v="0.27160000000000001"/>
    <n v="0.91"/>
    <n v="0"/>
    <x v="1"/>
    <x v="0"/>
  </r>
  <r>
    <s v="SM_101897"/>
    <x v="2"/>
    <s v="image"/>
    <s v="Sports"/>
    <s v="hi"/>
    <s v="Pakistan"/>
    <d v="2024-07-28T00:00:00"/>
    <s v="#music #tech #fyp"/>
    <n v="4896824"/>
    <n v="168856"/>
    <n v="23189"/>
    <n v="33366"/>
    <n v="4.5999999999999999E-2"/>
    <n v="-0.193"/>
    <n v="1"/>
    <x v="0"/>
    <x v="1"/>
  </r>
  <r>
    <s v="SM_101898"/>
    <x v="3"/>
    <s v="text"/>
    <s v="Politics"/>
    <s v="fr"/>
    <s v="Pakistan"/>
    <d v="2024-02-11T00:00:00"/>
    <s v="#music #fyp #ai #trending"/>
    <n v="2768328"/>
    <n v="346041"/>
    <n v="44937"/>
    <n v="93956"/>
    <n v="0.17519999999999999"/>
    <n v="0.63700000000000001"/>
    <n v="1"/>
    <x v="0"/>
    <x v="0"/>
  </r>
  <r>
    <s v="SM_101899"/>
    <x v="3"/>
    <s v="carousel"/>
    <s v="Education"/>
    <s v="hi"/>
    <s v="India"/>
    <d v="2024-01-12T00:00:00"/>
    <s v="#tech #trending"/>
    <n v="12987432"/>
    <n v="481016"/>
    <n v="49873"/>
    <n v="79333"/>
    <n v="4.7E-2"/>
    <n v="-0.16"/>
    <n v="1"/>
    <x v="0"/>
    <x v="1"/>
  </r>
  <r>
    <s v="SM_101900"/>
    <x v="3"/>
    <s v="text"/>
    <s v="Entertainment"/>
    <s v="ur"/>
    <s v="UK"/>
    <d v="2024-11-13T00:00:00"/>
    <s v="#funny #news"/>
    <n v="2130050"/>
    <n v="426010"/>
    <n v="24235"/>
    <n v="22996"/>
    <n v="0.22220000000000001"/>
    <n v="-0.84299999999999997"/>
    <n v="1"/>
    <x v="0"/>
    <x v="1"/>
  </r>
  <r>
    <s v="SM_101901"/>
    <x v="2"/>
    <s v="carousel"/>
    <s v="Entertainment"/>
    <s v="en"/>
    <s v="US"/>
    <d v="2024-11-23T00:00:00"/>
    <s v="#music #news"/>
    <n v="2791820"/>
    <n v="139591"/>
    <n v="47957"/>
    <n v="33838"/>
    <n v="7.9299999999999995E-2"/>
    <n v="0.65100000000000002"/>
    <n v="1"/>
    <x v="0"/>
    <x v="0"/>
  </r>
  <r>
    <s v="SM_101902"/>
    <x v="0"/>
    <s v="video"/>
    <s v="Politics"/>
    <s v="ur"/>
    <s v="UK"/>
    <d v="2024-10-23T00:00:00"/>
    <s v="#tech #trending #news #viral"/>
    <n v="3695172"/>
    <n v="307931"/>
    <n v="34136"/>
    <n v="37277"/>
    <n v="0.1027"/>
    <n v="0.13800000000000001"/>
    <n v="1"/>
    <x v="0"/>
    <x v="0"/>
  </r>
  <r>
    <s v="SM_101903"/>
    <x v="3"/>
    <s v="image"/>
    <s v="Politics"/>
    <s v="en"/>
    <s v="Pakistan"/>
    <d v="2024-09-30T00:00:00"/>
    <s v="#news #fyp #trending #ai"/>
    <n v="201666"/>
    <n v="10614"/>
    <n v="47461"/>
    <n v="7234"/>
    <n v="0.32379999999999998"/>
    <n v="0.748"/>
    <n v="0"/>
    <x v="1"/>
    <x v="0"/>
  </r>
  <r>
    <s v="SM_101904"/>
    <x v="0"/>
    <s v="video"/>
    <s v="Education"/>
    <s v="en"/>
    <s v="India"/>
    <d v="2024-06-13T00:00:00"/>
    <s v="#music #ai"/>
    <n v="8134653"/>
    <n v="478509"/>
    <n v="45014"/>
    <n v="6257"/>
    <n v="6.5100000000000005E-2"/>
    <n v="-0.90200000000000002"/>
    <n v="1"/>
    <x v="0"/>
    <x v="1"/>
  </r>
  <r>
    <s v="SM_101905"/>
    <x v="1"/>
    <s v="video"/>
    <s v="Politics"/>
    <s v="es"/>
    <s v="India"/>
    <d v="2024-12-11T00:00:00"/>
    <s v="#news #funny #ai"/>
    <n v="2756073"/>
    <n v="95037"/>
    <n v="41553"/>
    <n v="72091"/>
    <n v="7.5700000000000003E-2"/>
    <n v="-9.1999999999999998E-2"/>
    <n v="1"/>
    <x v="0"/>
    <x v="1"/>
  </r>
  <r>
    <s v="SM_101906"/>
    <x v="0"/>
    <s v="carousel"/>
    <s v="Sports"/>
    <s v="es"/>
    <s v="India"/>
    <d v="2024-08-24T00:00:00"/>
    <s v="#news #music #tech #viral #funny"/>
    <n v="2620045"/>
    <n v="113915"/>
    <n v="24391"/>
    <n v="70383"/>
    <n v="7.9699999999999993E-2"/>
    <n v="0.70899999999999996"/>
    <n v="1"/>
    <x v="0"/>
    <x v="0"/>
  </r>
  <r>
    <s v="SM_101907"/>
    <x v="3"/>
    <s v="video"/>
    <s v="Technology"/>
    <s v="fr"/>
    <s v="UK"/>
    <d v="2024-03-15T00:00:00"/>
    <s v="#news #funny #trending #ai #tech"/>
    <n v="7551378"/>
    <n v="419521"/>
    <n v="25575"/>
    <n v="30256"/>
    <n v="6.2899999999999998E-2"/>
    <n v="-0.94199999999999995"/>
    <n v="1"/>
    <x v="0"/>
    <x v="1"/>
  </r>
  <r>
    <s v="SM_101908"/>
    <x v="3"/>
    <s v="video"/>
    <s v="Entertainment"/>
    <s v="es"/>
    <s v="Pakistan"/>
    <d v="2024-09-07T00:00:00"/>
    <s v="#news #music #tech"/>
    <n v="3339444"/>
    <n v="278287"/>
    <n v="45537"/>
    <n v="65937"/>
    <n v="0.1167"/>
    <n v="6.7000000000000004E-2"/>
    <n v="1"/>
    <x v="0"/>
    <x v="0"/>
  </r>
  <r>
    <s v="SM_101909"/>
    <x v="0"/>
    <s v="video"/>
    <s v="Entertainment"/>
    <s v="es"/>
    <s v="India"/>
    <d v="2024-04-05T00:00:00"/>
    <s v="#news #music #trending #ai"/>
    <n v="5163300"/>
    <n v="344220"/>
    <n v="24411"/>
    <n v="1876"/>
    <n v="7.1800000000000003E-2"/>
    <n v="0.04"/>
    <n v="1"/>
    <x v="0"/>
    <x v="0"/>
  </r>
  <r>
    <s v="SM_101910"/>
    <x v="3"/>
    <s v="image"/>
    <s v="Technology"/>
    <s v="fr"/>
    <s v="US"/>
    <d v="2024-10-19T00:00:00"/>
    <s v="#fyp #tech #news #ai #music"/>
    <n v="7201035"/>
    <n v="480069"/>
    <n v="12494"/>
    <n v="1354"/>
    <n v="6.8599999999999994E-2"/>
    <n v="0.63700000000000001"/>
    <n v="1"/>
    <x v="0"/>
    <x v="0"/>
  </r>
  <r>
    <s v="SM_101911"/>
    <x v="1"/>
    <s v="image"/>
    <s v="Sports"/>
    <s v="en"/>
    <s v="India"/>
    <d v="2024-08-29T00:00:00"/>
    <s v="#tech #trending"/>
    <n v="4154025"/>
    <n v="276935"/>
    <n v="4316"/>
    <n v="48076"/>
    <n v="7.9299999999999995E-2"/>
    <n v="-0.60899999999999999"/>
    <n v="1"/>
    <x v="0"/>
    <x v="1"/>
  </r>
  <r>
    <s v="SM_101912"/>
    <x v="0"/>
    <s v="carousel"/>
    <s v="Sports"/>
    <s v="fr"/>
    <s v="US"/>
    <d v="2024-09-26T00:00:00"/>
    <s v="#news #ai #trending"/>
    <n v="3043566"/>
    <n v="338174"/>
    <n v="26877"/>
    <n v="41709"/>
    <n v="0.1336"/>
    <n v="-0.92700000000000005"/>
    <n v="1"/>
    <x v="0"/>
    <x v="1"/>
  </r>
  <r>
    <s v="SM_101913"/>
    <x v="3"/>
    <s v="carousel"/>
    <s v="Lifestyle"/>
    <s v="es"/>
    <s v="Pakistan"/>
    <d v="2024-04-14T00:00:00"/>
    <s v="#music #ai #fyp #tech #trending"/>
    <n v="4887932"/>
    <n v="174569"/>
    <n v="37914"/>
    <n v="21353"/>
    <n v="4.7800000000000002E-2"/>
    <n v="0.18"/>
    <n v="1"/>
    <x v="0"/>
    <x v="0"/>
  </r>
  <r>
    <s v="SM_101914"/>
    <x v="0"/>
    <s v="text"/>
    <s v="Lifestyle"/>
    <s v="ur"/>
    <s v="India"/>
    <d v="2024-09-06T00:00:00"/>
    <s v="#music #trending #funny"/>
    <n v="9401342"/>
    <n v="408754"/>
    <n v="23390"/>
    <n v="45000"/>
    <n v="5.0799999999999998E-2"/>
    <n v="-0.38900000000000001"/>
    <n v="1"/>
    <x v="0"/>
    <x v="1"/>
  </r>
  <r>
    <s v="SM_101915"/>
    <x v="1"/>
    <s v="text"/>
    <s v="Lifestyle"/>
    <s v="ur"/>
    <s v="US"/>
    <d v="2024-07-08T00:00:00"/>
    <s v="#ai #tech #funny #viral"/>
    <n v="9663082"/>
    <n v="371657"/>
    <n v="41217"/>
    <n v="54214"/>
    <n v="4.8300000000000003E-2"/>
    <n v="0.55900000000000005"/>
    <n v="1"/>
    <x v="0"/>
    <x v="0"/>
  </r>
  <r>
    <s v="SM_101916"/>
    <x v="1"/>
    <s v="video"/>
    <s v="Education"/>
    <s v="fr"/>
    <s v="US"/>
    <d v="2024-07-11T00:00:00"/>
    <s v="#viral #ai #funny"/>
    <n v="2779424"/>
    <n v="347428"/>
    <n v="5440"/>
    <n v="8494"/>
    <n v="0.13"/>
    <n v="-0.42799999999999999"/>
    <n v="1"/>
    <x v="0"/>
    <x v="1"/>
  </r>
  <r>
    <s v="SM_101917"/>
    <x v="0"/>
    <s v="video"/>
    <s v="Entertainment"/>
    <s v="hi"/>
    <s v="UK"/>
    <d v="2024-09-22T00:00:00"/>
    <s v="#news #funny #trending #music"/>
    <n v="3956862"/>
    <n v="282633"/>
    <n v="31503"/>
    <n v="63756"/>
    <n v="9.5500000000000002E-2"/>
    <n v="0.48699999999999999"/>
    <n v="1"/>
    <x v="0"/>
    <x v="0"/>
  </r>
  <r>
    <s v="SM_101918"/>
    <x v="1"/>
    <s v="image"/>
    <s v="Technology"/>
    <s v="fr"/>
    <s v="US"/>
    <d v="2024-12-05T00:00:00"/>
    <s v="#trending #news"/>
    <n v="28370"/>
    <n v="5674"/>
    <n v="38184"/>
    <n v="1588"/>
    <n v="1.6019000000000001"/>
    <n v="0.86"/>
    <n v="0"/>
    <x v="1"/>
    <x v="0"/>
  </r>
  <r>
    <s v="SM_101919"/>
    <x v="3"/>
    <s v="image"/>
    <s v="Entertainment"/>
    <s v="es"/>
    <s v="UK"/>
    <d v="2024-02-19T00:00:00"/>
    <s v="#news #funny"/>
    <n v="6117020"/>
    <n v="470540"/>
    <n v="4414"/>
    <n v="71320"/>
    <n v="8.9300000000000004E-2"/>
    <n v="0.81399999999999995"/>
    <n v="1"/>
    <x v="0"/>
    <x v="0"/>
  </r>
  <r>
    <s v="SM_101920"/>
    <x v="2"/>
    <s v="carousel"/>
    <s v="Lifestyle"/>
    <s v="hi"/>
    <s v="US"/>
    <d v="2024-08-01T00:00:00"/>
    <s v="#tech #viral"/>
    <n v="2309532"/>
    <n v="384922"/>
    <n v="12046"/>
    <n v="23228"/>
    <n v="0.18190000000000001"/>
    <n v="0.51300000000000001"/>
    <n v="1"/>
    <x v="0"/>
    <x v="0"/>
  </r>
  <r>
    <s v="SM_101921"/>
    <x v="2"/>
    <s v="carousel"/>
    <s v="Entertainment"/>
    <s v="fr"/>
    <s v="US"/>
    <d v="2024-03-07T00:00:00"/>
    <s v="#funny #ai #music #trending"/>
    <n v="8081192"/>
    <n v="288614"/>
    <n v="29487"/>
    <n v="11587"/>
    <n v="4.0800000000000003E-2"/>
    <n v="-0.46500000000000002"/>
    <n v="1"/>
    <x v="0"/>
    <x v="1"/>
  </r>
  <r>
    <s v="SM_101922"/>
    <x v="1"/>
    <s v="carousel"/>
    <s v="Technology"/>
    <s v="fr"/>
    <s v="Pakistan"/>
    <d v="2024-09-26T00:00:00"/>
    <s v="#fyp #ai #viral"/>
    <n v="4585532"/>
    <n v="327538"/>
    <n v="13937"/>
    <n v="29300"/>
    <n v="8.09E-2"/>
    <n v="-0.621"/>
    <n v="1"/>
    <x v="0"/>
    <x v="1"/>
  </r>
  <r>
    <s v="SM_101923"/>
    <x v="2"/>
    <s v="text"/>
    <s v="Technology"/>
    <s v="ur"/>
    <s v="UK"/>
    <d v="2024-01-23T00:00:00"/>
    <s v="#news #viral #trending"/>
    <n v="1229492"/>
    <n v="111772"/>
    <n v="9782"/>
    <n v="11250"/>
    <n v="0.108"/>
    <n v="-0.60399999999999998"/>
    <n v="0"/>
    <x v="1"/>
    <x v="1"/>
  </r>
  <r>
    <s v="SM_101924"/>
    <x v="3"/>
    <s v="carousel"/>
    <s v="Sports"/>
    <s v="fr"/>
    <s v="UK"/>
    <d v="2024-03-31T00:00:00"/>
    <s v="#funny #fyp #viral #music"/>
    <n v="4033484"/>
    <n v="144053"/>
    <n v="9592"/>
    <n v="93801"/>
    <n v="6.13E-2"/>
    <n v="-0.14199999999999999"/>
    <n v="1"/>
    <x v="0"/>
    <x v="1"/>
  </r>
  <r>
    <s v="SM_101925"/>
    <x v="1"/>
    <s v="image"/>
    <s v="Sports"/>
    <s v="fr"/>
    <s v="Pakistan"/>
    <d v="2024-01-24T00:00:00"/>
    <s v="#news #ai #trending"/>
    <n v="5296093"/>
    <n v="481463"/>
    <n v="42031"/>
    <n v="7834"/>
    <n v="0.1003"/>
    <n v="-0.35899999999999999"/>
    <n v="1"/>
    <x v="0"/>
    <x v="1"/>
  </r>
  <r>
    <s v="SM_101926"/>
    <x v="2"/>
    <s v="image"/>
    <s v="Lifestyle"/>
    <s v="ur"/>
    <s v="US"/>
    <d v="2024-11-21T00:00:00"/>
    <s v="#ai #tech #viral #fyp"/>
    <n v="10920812"/>
    <n v="390029"/>
    <n v="15759"/>
    <n v="78114"/>
    <n v="4.4299999999999999E-2"/>
    <n v="-0.11600000000000001"/>
    <n v="1"/>
    <x v="0"/>
    <x v="1"/>
  </r>
  <r>
    <s v="SM_101927"/>
    <x v="2"/>
    <s v="image"/>
    <s v="Entertainment"/>
    <s v="fr"/>
    <s v="Brazil"/>
    <d v="2024-05-19T00:00:00"/>
    <s v="#fyp #viral #tech"/>
    <n v="4533543"/>
    <n v="167909"/>
    <n v="31896"/>
    <n v="24125"/>
    <n v="4.9399999999999999E-2"/>
    <n v="-0.38800000000000001"/>
    <n v="1"/>
    <x v="0"/>
    <x v="1"/>
  </r>
  <r>
    <s v="SM_101928"/>
    <x v="0"/>
    <s v="video"/>
    <s v="Politics"/>
    <s v="en"/>
    <s v="India"/>
    <d v="2024-10-20T00:00:00"/>
    <s v="#fyp #tech #news #viral #funny"/>
    <n v="8637530"/>
    <n v="392615"/>
    <n v="31120"/>
    <n v="85396"/>
    <n v="5.8900000000000001E-2"/>
    <n v="0.58499999999999996"/>
    <n v="1"/>
    <x v="0"/>
    <x v="0"/>
  </r>
  <r>
    <s v="SM_101929"/>
    <x v="3"/>
    <s v="text"/>
    <s v="Sports"/>
    <s v="en"/>
    <s v="Brazil"/>
    <d v="2024-02-21T00:00:00"/>
    <s v="#ai #viral #fyp #tech"/>
    <n v="7068114"/>
    <n v="392673"/>
    <n v="869"/>
    <n v="12056"/>
    <n v="5.74E-2"/>
    <n v="0.747"/>
    <n v="1"/>
    <x v="0"/>
    <x v="0"/>
  </r>
  <r>
    <s v="SM_101930"/>
    <x v="0"/>
    <s v="text"/>
    <s v="Education"/>
    <s v="ur"/>
    <s v="Pakistan"/>
    <d v="2024-02-24T00:00:00"/>
    <s v="#fyp #tech #viral #funny"/>
    <n v="2095578"/>
    <n v="77614"/>
    <n v="24604"/>
    <n v="35772"/>
    <n v="6.5799999999999997E-2"/>
    <n v="0.71699999999999997"/>
    <n v="1"/>
    <x v="0"/>
    <x v="0"/>
  </r>
  <r>
    <s v="SM_101931"/>
    <x v="3"/>
    <s v="video"/>
    <s v="Technology"/>
    <s v="hi"/>
    <s v="Pakistan"/>
    <d v="2024-11-20T00:00:00"/>
    <s v="#ai #music #funny #tech"/>
    <n v="9991580"/>
    <n v="499579"/>
    <n v="44753"/>
    <n v="29378"/>
    <n v="5.74E-2"/>
    <n v="-0.47799999999999998"/>
    <n v="1"/>
    <x v="0"/>
    <x v="1"/>
  </r>
  <r>
    <s v="SM_101932"/>
    <x v="1"/>
    <s v="video"/>
    <s v="Sports"/>
    <s v="ur"/>
    <s v="Brazil"/>
    <d v="2024-07-17T00:00:00"/>
    <s v="#funny #music #fyp"/>
    <n v="906108"/>
    <n v="129444"/>
    <n v="11765"/>
    <n v="99251"/>
    <n v="0.26540000000000002"/>
    <n v="-0.38100000000000001"/>
    <n v="0"/>
    <x v="1"/>
    <x v="1"/>
  </r>
  <r>
    <s v="SM_101933"/>
    <x v="2"/>
    <s v="image"/>
    <s v="Sports"/>
    <s v="ur"/>
    <s v="Brazil"/>
    <d v="2024-06-27T00:00:00"/>
    <s v="#tech #funny #music #trending"/>
    <n v="4453072"/>
    <n v="171272"/>
    <n v="4949"/>
    <n v="48826"/>
    <n v="5.0500000000000003E-2"/>
    <n v="-0.255"/>
    <n v="1"/>
    <x v="0"/>
    <x v="1"/>
  </r>
  <r>
    <s v="SM_101934"/>
    <x v="3"/>
    <s v="video"/>
    <s v="Politics"/>
    <s v="fr"/>
    <s v="Pakistan"/>
    <d v="2024-05-11T00:00:00"/>
    <s v="#viral #tech"/>
    <n v="1519602"/>
    <n v="108543"/>
    <n v="34081"/>
    <n v="55284"/>
    <n v="0.13020000000000001"/>
    <n v="0.57999999999999996"/>
    <n v="0"/>
    <x v="1"/>
    <x v="0"/>
  </r>
  <r>
    <s v="SM_101935"/>
    <x v="1"/>
    <s v="carousel"/>
    <s v="Entertainment"/>
    <s v="es"/>
    <s v="Brazil"/>
    <d v="2024-06-29T00:00:00"/>
    <s v="#fyp #trending"/>
    <n v="444206"/>
    <n v="31729"/>
    <n v="37584"/>
    <n v="22959"/>
    <n v="0.2077"/>
    <n v="0.60599999999999998"/>
    <n v="0"/>
    <x v="1"/>
    <x v="0"/>
  </r>
  <r>
    <s v="SM_101936"/>
    <x v="3"/>
    <s v="carousel"/>
    <s v="Technology"/>
    <s v="hi"/>
    <s v="UK"/>
    <d v="2024-01-30T00:00:00"/>
    <s v="#trending #funny"/>
    <n v="10807493"/>
    <n v="469891"/>
    <n v="29102"/>
    <n v="34208"/>
    <n v="4.9299999999999997E-2"/>
    <n v="-0.28199999999999997"/>
    <n v="1"/>
    <x v="0"/>
    <x v="1"/>
  </r>
  <r>
    <s v="SM_101937"/>
    <x v="2"/>
    <s v="text"/>
    <s v="Education"/>
    <s v="hi"/>
    <s v="Pakistan"/>
    <d v="2024-06-07T00:00:00"/>
    <s v="#trending #news #ai #music"/>
    <n v="1495104"/>
    <n v="249184"/>
    <n v="23166"/>
    <n v="32874"/>
    <n v="0.2041"/>
    <n v="-0.39100000000000001"/>
    <n v="0"/>
    <x v="1"/>
    <x v="1"/>
  </r>
  <r>
    <s v="SM_101938"/>
    <x v="2"/>
    <s v="image"/>
    <s v="Sports"/>
    <s v="fr"/>
    <s v="Brazil"/>
    <d v="2024-08-17T00:00:00"/>
    <s v="#trending #fyp #news #ai #music"/>
    <n v="8170632"/>
    <n v="340443"/>
    <n v="25323"/>
    <n v="33735"/>
    <n v="4.8899999999999999E-2"/>
    <n v="-0.54600000000000004"/>
    <n v="1"/>
    <x v="0"/>
    <x v="1"/>
  </r>
  <r>
    <s v="SM_101939"/>
    <x v="2"/>
    <s v="text"/>
    <s v="Education"/>
    <s v="en"/>
    <s v="India"/>
    <d v="2024-04-20T00:00:00"/>
    <s v="#funny #music"/>
    <n v="3088365"/>
    <n v="147065"/>
    <n v="45862"/>
    <n v="16494"/>
    <n v="6.7799999999999999E-2"/>
    <n v="0.59699999999999998"/>
    <n v="1"/>
    <x v="0"/>
    <x v="0"/>
  </r>
  <r>
    <s v="SM_101940"/>
    <x v="0"/>
    <s v="video"/>
    <s v="Politics"/>
    <s v="hi"/>
    <s v="US"/>
    <d v="2024-12-01T00:00:00"/>
    <s v="#ai #music #fyp #funny"/>
    <n v="2592184"/>
    <n v="324023"/>
    <n v="38457"/>
    <n v="13267"/>
    <n v="0.14499999999999999"/>
    <n v="-0.54500000000000004"/>
    <n v="1"/>
    <x v="0"/>
    <x v="1"/>
  </r>
  <r>
    <s v="SM_101941"/>
    <x v="0"/>
    <s v="carousel"/>
    <s v="Entertainment"/>
    <s v="es"/>
    <s v="India"/>
    <d v="2024-03-18T00:00:00"/>
    <s v="#funny #trending #news #ai"/>
    <n v="443040"/>
    <n v="17040"/>
    <n v="24008"/>
    <n v="98409"/>
    <n v="0.31480000000000002"/>
    <n v="-0.56299999999999994"/>
    <n v="0"/>
    <x v="1"/>
    <x v="1"/>
  </r>
  <r>
    <s v="SM_101942"/>
    <x v="0"/>
    <s v="image"/>
    <s v="Entertainment"/>
    <s v="ur"/>
    <s v="Pakistan"/>
    <d v="2024-08-28T00:00:00"/>
    <s v="#tech #news #ai"/>
    <n v="4485481"/>
    <n v="345037"/>
    <n v="16687"/>
    <n v="19623"/>
    <n v="8.5000000000000006E-2"/>
    <n v="-0.69199999999999995"/>
    <n v="1"/>
    <x v="0"/>
    <x v="1"/>
  </r>
  <r>
    <s v="SM_101943"/>
    <x v="2"/>
    <s v="text"/>
    <s v="Technology"/>
    <s v="hi"/>
    <s v="India"/>
    <d v="2024-01-12T00:00:00"/>
    <s v="#viral #ai #music #tech"/>
    <n v="1612369"/>
    <n v="146579"/>
    <n v="29314"/>
    <n v="71919"/>
    <n v="0.1537"/>
    <n v="-6.3E-2"/>
    <n v="0"/>
    <x v="1"/>
    <x v="1"/>
  </r>
  <r>
    <s v="SM_101944"/>
    <x v="1"/>
    <s v="image"/>
    <s v="Sports"/>
    <s v="en"/>
    <s v="Pakistan"/>
    <d v="2024-10-15T00:00:00"/>
    <s v="#music #trending"/>
    <n v="4431627"/>
    <n v="492403"/>
    <n v="21381"/>
    <n v="371"/>
    <n v="0.11600000000000001"/>
    <n v="0.77800000000000002"/>
    <n v="1"/>
    <x v="0"/>
    <x v="0"/>
  </r>
  <r>
    <s v="SM_101945"/>
    <x v="1"/>
    <s v="image"/>
    <s v="Entertainment"/>
    <s v="hi"/>
    <s v="US"/>
    <d v="2024-04-06T00:00:00"/>
    <s v="#viral #trending #news"/>
    <n v="560973"/>
    <n v="26713"/>
    <n v="47273"/>
    <n v="3197"/>
    <n v="0.1376"/>
    <n v="0.15"/>
    <n v="0"/>
    <x v="1"/>
    <x v="0"/>
  </r>
  <r>
    <s v="SM_101946"/>
    <x v="1"/>
    <s v="video"/>
    <s v="Lifestyle"/>
    <s v="es"/>
    <s v="US"/>
    <d v="2024-06-04T00:00:00"/>
    <s v="#fyp #tech"/>
    <n v="1814045"/>
    <n v="362809"/>
    <n v="10818"/>
    <n v="64840"/>
    <n v="0.2417"/>
    <n v="0.71599999999999997"/>
    <n v="0"/>
    <x v="1"/>
    <x v="0"/>
  </r>
  <r>
    <s v="SM_101947"/>
    <x v="3"/>
    <s v="carousel"/>
    <s v="Education"/>
    <s v="ur"/>
    <s v="UK"/>
    <d v="2024-03-26T00:00:00"/>
    <s v="#fyp #tech #viral #music #trending"/>
    <n v="9739532"/>
    <n v="442706"/>
    <n v="32280"/>
    <n v="72380"/>
    <n v="5.62E-2"/>
    <n v="-0.97799999999999998"/>
    <n v="1"/>
    <x v="0"/>
    <x v="1"/>
  </r>
  <r>
    <s v="SM_101948"/>
    <x v="3"/>
    <s v="image"/>
    <s v="Sports"/>
    <s v="ur"/>
    <s v="Brazil"/>
    <d v="2024-05-16T00:00:00"/>
    <s v="#trending #news #funny #ai #music"/>
    <n v="346472"/>
    <n v="43309"/>
    <n v="31644"/>
    <n v="42488"/>
    <n v="0.33900000000000002"/>
    <n v="0.32900000000000001"/>
    <n v="0"/>
    <x v="1"/>
    <x v="0"/>
  </r>
  <r>
    <s v="SM_101949"/>
    <x v="3"/>
    <s v="text"/>
    <s v="Entertainment"/>
    <s v="fr"/>
    <s v="India"/>
    <d v="2024-08-25T00:00:00"/>
    <s v="#funny #viral #news #tech"/>
    <n v="7101248"/>
    <n v="253616"/>
    <n v="11869"/>
    <n v="66962"/>
    <n v="4.6800000000000001E-2"/>
    <n v="0.877"/>
    <n v="1"/>
    <x v="0"/>
    <x v="0"/>
  </r>
  <r>
    <s v="SM_101950"/>
    <x v="0"/>
    <s v="image"/>
    <s v="Technology"/>
    <s v="ur"/>
    <s v="US"/>
    <d v="2024-06-01T00:00:00"/>
    <s v="#trending #ai #viral #funny"/>
    <n v="8155380"/>
    <n v="281220"/>
    <n v="34263"/>
    <n v="56867"/>
    <n v="4.5699999999999998E-2"/>
    <n v="0.70699999999999996"/>
    <n v="1"/>
    <x v="0"/>
    <x v="0"/>
  </r>
  <r>
    <s v="SM_101951"/>
    <x v="0"/>
    <s v="text"/>
    <s v="Education"/>
    <s v="fr"/>
    <s v="UK"/>
    <d v="2024-11-21T00:00:00"/>
    <s v="#tech #funny #music #fyp"/>
    <n v="7333925"/>
    <n v="293357"/>
    <n v="49989"/>
    <n v="15402"/>
    <n v="4.8899999999999999E-2"/>
    <n v="-0.13200000000000001"/>
    <n v="1"/>
    <x v="0"/>
    <x v="1"/>
  </r>
  <r>
    <s v="SM_101952"/>
    <x v="2"/>
    <s v="image"/>
    <s v="Lifestyle"/>
    <s v="fr"/>
    <s v="US"/>
    <d v="2024-04-09T00:00:00"/>
    <s v="#viral #trending"/>
    <n v="2152618"/>
    <n v="165586"/>
    <n v="16147"/>
    <n v="71493"/>
    <n v="0.1176"/>
    <n v="-0.77200000000000002"/>
    <n v="1"/>
    <x v="0"/>
    <x v="1"/>
  </r>
  <r>
    <s v="SM_101953"/>
    <x v="3"/>
    <s v="video"/>
    <s v="Technology"/>
    <s v="hi"/>
    <s v="US"/>
    <d v="2024-11-10T00:00:00"/>
    <s v="#funny #trending #tech #fyp"/>
    <n v="387585"/>
    <n v="35235"/>
    <n v="6701"/>
    <n v="27863"/>
    <n v="0.18010000000000001"/>
    <n v="-0.65200000000000002"/>
    <n v="0"/>
    <x v="1"/>
    <x v="1"/>
  </r>
  <r>
    <s v="SM_101954"/>
    <x v="0"/>
    <s v="carousel"/>
    <s v="Politics"/>
    <s v="hi"/>
    <s v="UK"/>
    <d v="2024-11-02T00:00:00"/>
    <s v="#music #ai #viral #trending #news"/>
    <n v="119637"/>
    <n v="4431"/>
    <n v="44653"/>
    <n v="28550"/>
    <n v="0.64890000000000003"/>
    <n v="0.83"/>
    <n v="0"/>
    <x v="1"/>
    <x v="0"/>
  </r>
  <r>
    <s v="SM_101955"/>
    <x v="0"/>
    <s v="carousel"/>
    <s v="Entertainment"/>
    <s v="es"/>
    <s v="UK"/>
    <d v="2024-02-07T00:00:00"/>
    <s v="#music #news #viral #ai #funny"/>
    <n v="10225225"/>
    <n v="444575"/>
    <n v="7041"/>
    <n v="53473"/>
    <n v="4.9399999999999999E-2"/>
    <n v="0.20399999999999999"/>
    <n v="1"/>
    <x v="0"/>
    <x v="0"/>
  </r>
  <r>
    <s v="SM_101956"/>
    <x v="3"/>
    <s v="image"/>
    <s v="Sports"/>
    <s v="hi"/>
    <s v="US"/>
    <d v="2024-04-25T00:00:00"/>
    <s v="#music #ai"/>
    <n v="3684240"/>
    <n v="204680"/>
    <n v="15334"/>
    <n v="50618"/>
    <n v="7.3499999999999996E-2"/>
    <n v="0.04"/>
    <n v="1"/>
    <x v="0"/>
    <x v="0"/>
  </r>
  <r>
    <s v="SM_101957"/>
    <x v="2"/>
    <s v="image"/>
    <s v="Sports"/>
    <s v="fr"/>
    <s v="Brazil"/>
    <d v="2024-02-10T00:00:00"/>
    <s v="#news #funny #trending"/>
    <n v="481984"/>
    <n v="60248"/>
    <n v="46931"/>
    <n v="75272"/>
    <n v="0.3785"/>
    <n v="-0.77400000000000002"/>
    <n v="0"/>
    <x v="1"/>
    <x v="1"/>
  </r>
  <r>
    <s v="SM_101958"/>
    <x v="0"/>
    <s v="carousel"/>
    <s v="Technology"/>
    <s v="en"/>
    <s v="Brazil"/>
    <d v="2024-09-10T00:00:00"/>
    <s v="#music #funny #trending"/>
    <n v="2946921"/>
    <n v="128127"/>
    <n v="45776"/>
    <n v="93136"/>
    <n v="9.06E-2"/>
    <n v="-0.42499999999999999"/>
    <n v="1"/>
    <x v="0"/>
    <x v="1"/>
  </r>
  <r>
    <s v="SM_101959"/>
    <x v="1"/>
    <s v="carousel"/>
    <s v="Technology"/>
    <s v="en"/>
    <s v="US"/>
    <d v="2024-02-19T00:00:00"/>
    <s v="#viral #tech #music #trending #news"/>
    <n v="9473310"/>
    <n v="430605"/>
    <n v="33897"/>
    <n v="71197"/>
    <n v="5.6500000000000002E-2"/>
    <n v="0.17599999999999999"/>
    <n v="1"/>
    <x v="0"/>
    <x v="0"/>
  </r>
  <r>
    <s v="SM_101960"/>
    <x v="0"/>
    <s v="carousel"/>
    <s v="Sports"/>
    <s v="en"/>
    <s v="UK"/>
    <d v="2024-02-28T00:00:00"/>
    <s v="#news #fyp"/>
    <n v="4705646"/>
    <n v="427786"/>
    <n v="18390"/>
    <n v="23297"/>
    <n v="9.98E-2"/>
    <n v="0.105"/>
    <n v="1"/>
    <x v="0"/>
    <x v="0"/>
  </r>
  <r>
    <s v="SM_101961"/>
    <x v="3"/>
    <s v="text"/>
    <s v="Technology"/>
    <s v="en"/>
    <s v="India"/>
    <d v="2024-04-05T00:00:00"/>
    <s v="#music #tech #trending #news"/>
    <n v="635568"/>
    <n v="26482"/>
    <n v="11144"/>
    <n v="97597"/>
    <n v="0.21279999999999999"/>
    <n v="0.749"/>
    <n v="0"/>
    <x v="1"/>
    <x v="0"/>
  </r>
  <r>
    <s v="SM_101962"/>
    <x v="1"/>
    <s v="video"/>
    <s v="Politics"/>
    <s v="es"/>
    <s v="Pakistan"/>
    <d v="2024-06-08T00:00:00"/>
    <s v="#music #ai"/>
    <n v="4518500"/>
    <n v="225925"/>
    <n v="39296"/>
    <n v="12398"/>
    <n v="6.1400000000000003E-2"/>
    <n v="0.129"/>
    <n v="1"/>
    <x v="0"/>
    <x v="0"/>
  </r>
  <r>
    <s v="SM_101963"/>
    <x v="1"/>
    <s v="image"/>
    <s v="Education"/>
    <s v="es"/>
    <s v="Brazil"/>
    <d v="2024-11-03T00:00:00"/>
    <s v="#fyp #viral #funny"/>
    <n v="1619332"/>
    <n v="62282"/>
    <n v="26945"/>
    <n v="42250"/>
    <n v="8.1199999999999994E-2"/>
    <n v="-0.75"/>
    <n v="0"/>
    <x v="1"/>
    <x v="1"/>
  </r>
  <r>
    <s v="SM_101964"/>
    <x v="0"/>
    <s v="carousel"/>
    <s v="Entertainment"/>
    <s v="en"/>
    <s v="Pakistan"/>
    <d v="2024-12-27T00:00:00"/>
    <s v="#tech #fyp"/>
    <n v="9101760"/>
    <n v="455088"/>
    <n v="13829"/>
    <n v="13445"/>
    <n v="5.2999999999999999E-2"/>
    <n v="-0.48"/>
    <n v="1"/>
    <x v="0"/>
    <x v="1"/>
  </r>
  <r>
    <s v="SM_101965"/>
    <x v="3"/>
    <s v="text"/>
    <s v="Education"/>
    <s v="fr"/>
    <s v="India"/>
    <d v="2024-12-07T00:00:00"/>
    <s v="#music #tech #news #fyp #ai"/>
    <n v="1682031"/>
    <n v="98943"/>
    <n v="10979"/>
    <n v="38384"/>
    <n v="8.8200000000000001E-2"/>
    <n v="-0.80400000000000005"/>
    <n v="0"/>
    <x v="1"/>
    <x v="1"/>
  </r>
  <r>
    <s v="SM_101966"/>
    <x v="3"/>
    <s v="carousel"/>
    <s v="Politics"/>
    <s v="en"/>
    <s v="US"/>
    <d v="2024-05-17T00:00:00"/>
    <s v="#music #trending #news"/>
    <n v="6478056"/>
    <n v="359892"/>
    <n v="28518"/>
    <n v="2957"/>
    <n v="6.0400000000000002E-2"/>
    <n v="-0.77900000000000003"/>
    <n v="1"/>
    <x v="0"/>
    <x v="1"/>
  </r>
  <r>
    <s v="SM_101967"/>
    <x v="3"/>
    <s v="carousel"/>
    <s v="Lifestyle"/>
    <s v="ur"/>
    <s v="UK"/>
    <d v="2024-06-17T00:00:00"/>
    <s v="#funny #viral #music"/>
    <n v="2621073"/>
    <n v="124813"/>
    <n v="37860"/>
    <n v="55613"/>
    <n v="8.3299999999999999E-2"/>
    <n v="0.47899999999999998"/>
    <n v="1"/>
    <x v="0"/>
    <x v="0"/>
  </r>
  <r>
    <s v="SM_101968"/>
    <x v="2"/>
    <s v="image"/>
    <s v="Lifestyle"/>
    <s v="ur"/>
    <s v="US"/>
    <d v="2024-07-02T00:00:00"/>
    <s v="#funny #viral"/>
    <n v="4609374"/>
    <n v="209517"/>
    <n v="14860"/>
    <n v="94925"/>
    <n v="6.93E-2"/>
    <n v="0.54800000000000004"/>
    <n v="1"/>
    <x v="0"/>
    <x v="0"/>
  </r>
  <r>
    <s v="SM_101969"/>
    <x v="0"/>
    <s v="carousel"/>
    <s v="Politics"/>
    <s v="en"/>
    <s v="UK"/>
    <d v="2024-10-29T00:00:00"/>
    <s v="#trending #funny #fyp"/>
    <n v="4540815"/>
    <n v="302721"/>
    <n v="32227"/>
    <n v="18321"/>
    <n v="7.7799999999999994E-2"/>
    <n v="0.59099999999999997"/>
    <n v="1"/>
    <x v="0"/>
    <x v="0"/>
  </r>
  <r>
    <s v="SM_101970"/>
    <x v="3"/>
    <s v="video"/>
    <s v="Entertainment"/>
    <s v="fr"/>
    <s v="India"/>
    <d v="2024-09-17T00:00:00"/>
    <s v="#tech #viral #fyp #ai #trending"/>
    <n v="2053340"/>
    <n v="410668"/>
    <n v="7302"/>
    <n v="93477"/>
    <n v="0.24909999999999999"/>
    <n v="-0.52900000000000003"/>
    <n v="1"/>
    <x v="0"/>
    <x v="1"/>
  </r>
  <r>
    <s v="SM_101971"/>
    <x v="2"/>
    <s v="text"/>
    <s v="Entertainment"/>
    <s v="fr"/>
    <s v="Brazil"/>
    <d v="2024-08-16T00:00:00"/>
    <s v="#trending #music"/>
    <n v="266287"/>
    <n v="38041"/>
    <n v="17278"/>
    <n v="25369"/>
    <n v="0.30299999999999999"/>
    <n v="0.42"/>
    <n v="0"/>
    <x v="1"/>
    <x v="0"/>
  </r>
  <r>
    <s v="SM_101972"/>
    <x v="1"/>
    <s v="text"/>
    <s v="Sports"/>
    <s v="fr"/>
    <s v="US"/>
    <d v="2024-06-27T00:00:00"/>
    <s v="#news #ai"/>
    <n v="5306340"/>
    <n v="204090"/>
    <n v="806"/>
    <n v="47966"/>
    <n v="4.7699999999999999E-2"/>
    <n v="-0.56899999999999995"/>
    <n v="1"/>
    <x v="0"/>
    <x v="1"/>
  </r>
  <r>
    <s v="SM_101973"/>
    <x v="3"/>
    <s v="image"/>
    <s v="Entertainment"/>
    <s v="hi"/>
    <s v="UK"/>
    <d v="2024-12-11T00:00:00"/>
    <s v="#fyp #funny #tech"/>
    <n v="4174982"/>
    <n v="298213"/>
    <n v="16738"/>
    <n v="32450"/>
    <n v="8.3199999999999996E-2"/>
    <n v="-0.751"/>
    <n v="1"/>
    <x v="0"/>
    <x v="1"/>
  </r>
  <r>
    <s v="SM_101974"/>
    <x v="3"/>
    <s v="video"/>
    <s v="Politics"/>
    <s v="ur"/>
    <s v="UK"/>
    <d v="2024-09-19T00:00:00"/>
    <s v="#trending #viral"/>
    <n v="3237840"/>
    <n v="161892"/>
    <n v="9977"/>
    <n v="33352"/>
    <n v="6.3399999999999998E-2"/>
    <n v="0.70599999999999996"/>
    <n v="1"/>
    <x v="0"/>
    <x v="0"/>
  </r>
  <r>
    <s v="SM_101975"/>
    <x v="1"/>
    <s v="video"/>
    <s v="Politics"/>
    <s v="fr"/>
    <s v="US"/>
    <d v="2024-11-25T00:00:00"/>
    <s v="#music #funny"/>
    <n v="2649432"/>
    <n v="220786"/>
    <n v="22585"/>
    <n v="56236"/>
    <n v="0.11310000000000001"/>
    <n v="0.87"/>
    <n v="1"/>
    <x v="0"/>
    <x v="0"/>
  </r>
  <r>
    <s v="SM_101976"/>
    <x v="0"/>
    <s v="carousel"/>
    <s v="Entertainment"/>
    <s v="en"/>
    <s v="Brazil"/>
    <d v="2024-05-30T00:00:00"/>
    <s v="#news #funny #tech #viral"/>
    <n v="2663640"/>
    <n v="177576"/>
    <n v="19574"/>
    <n v="54438"/>
    <n v="9.4500000000000001E-2"/>
    <n v="-0.68100000000000005"/>
    <n v="1"/>
    <x v="0"/>
    <x v="1"/>
  </r>
  <r>
    <s v="SM_101977"/>
    <x v="2"/>
    <s v="carousel"/>
    <s v="Entertainment"/>
    <s v="es"/>
    <s v="Brazil"/>
    <d v="2024-02-09T00:00:00"/>
    <s v="#funny #tech #viral #ai #news"/>
    <n v="436282"/>
    <n v="19831"/>
    <n v="10136"/>
    <n v="66325"/>
    <n v="0.22070000000000001"/>
    <n v="-0.66600000000000004"/>
    <n v="0"/>
    <x v="1"/>
    <x v="1"/>
  </r>
  <r>
    <s v="SM_101978"/>
    <x v="0"/>
    <s v="carousel"/>
    <s v="Education"/>
    <s v="es"/>
    <s v="US"/>
    <d v="2024-11-05T00:00:00"/>
    <s v="#news #funny #tech #music"/>
    <n v="3446729"/>
    <n v="265133"/>
    <n v="9574"/>
    <n v="87194"/>
    <n v="0.105"/>
    <n v="-0.33800000000000002"/>
    <n v="1"/>
    <x v="0"/>
    <x v="1"/>
  </r>
  <r>
    <s v="SM_101979"/>
    <x v="0"/>
    <s v="image"/>
    <s v="Entertainment"/>
    <s v="fr"/>
    <s v="US"/>
    <d v="2024-07-13T00:00:00"/>
    <s v="#tech #funny"/>
    <n v="1669136"/>
    <n v="208642"/>
    <n v="42542"/>
    <n v="88823"/>
    <n v="0.20369999999999999"/>
    <n v="1.4999999999999999E-2"/>
    <n v="0"/>
    <x v="1"/>
    <x v="0"/>
  </r>
  <r>
    <s v="SM_101980"/>
    <x v="3"/>
    <s v="image"/>
    <s v="Politics"/>
    <s v="en"/>
    <s v="India"/>
    <d v="2024-03-01T00:00:00"/>
    <s v="#tech #ai #viral #funny #fyp"/>
    <n v="611211"/>
    <n v="32169"/>
    <n v="16210"/>
    <n v="27332"/>
    <n v="0.1239"/>
    <n v="0.86299999999999999"/>
    <n v="0"/>
    <x v="1"/>
    <x v="0"/>
  </r>
  <r>
    <s v="SM_101981"/>
    <x v="1"/>
    <s v="text"/>
    <s v="Sports"/>
    <s v="ur"/>
    <s v="US"/>
    <d v="2024-01-30T00:00:00"/>
    <s v="#news #trending"/>
    <n v="8390124"/>
    <n v="364788"/>
    <n v="18711"/>
    <n v="43517"/>
    <n v="5.0900000000000001E-2"/>
    <n v="-0.96099999999999997"/>
    <n v="1"/>
    <x v="0"/>
    <x v="1"/>
  </r>
  <r>
    <s v="SM_101982"/>
    <x v="3"/>
    <s v="video"/>
    <s v="Lifestyle"/>
    <s v="hi"/>
    <s v="India"/>
    <d v="2024-11-09T00:00:00"/>
    <s v="#ai #funny #fyp #viral"/>
    <n v="12766554"/>
    <n v="440226"/>
    <n v="23009"/>
    <n v="20432"/>
    <n v="3.7900000000000003E-2"/>
    <n v="0.81899999999999995"/>
    <n v="1"/>
    <x v="0"/>
    <x v="0"/>
  </r>
  <r>
    <s v="SM_101983"/>
    <x v="2"/>
    <s v="carousel"/>
    <s v="Technology"/>
    <s v="en"/>
    <s v="UK"/>
    <d v="2024-02-18T00:00:00"/>
    <s v="#news #ai #music"/>
    <n v="12077268"/>
    <n v="431331"/>
    <n v="34507"/>
    <n v="31386"/>
    <n v="4.1200000000000001E-2"/>
    <n v="0.81799999999999995"/>
    <n v="1"/>
    <x v="0"/>
    <x v="0"/>
  </r>
  <r>
    <s v="SM_101984"/>
    <x v="0"/>
    <s v="video"/>
    <s v="Education"/>
    <s v="ur"/>
    <s v="India"/>
    <d v="2024-02-19T00:00:00"/>
    <s v="#tech #funny #news"/>
    <n v="180852"/>
    <n v="12918"/>
    <n v="22691"/>
    <n v="63002"/>
    <n v="0.54530000000000001"/>
    <n v="6.5000000000000002E-2"/>
    <n v="0"/>
    <x v="1"/>
    <x v="0"/>
  </r>
  <r>
    <s v="SM_101985"/>
    <x v="1"/>
    <s v="carousel"/>
    <s v="Sports"/>
    <s v="fr"/>
    <s v="India"/>
    <d v="2024-09-04T00:00:00"/>
    <s v="#music #viral #tech"/>
    <n v="2438610"/>
    <n v="84090"/>
    <n v="13363"/>
    <n v="72205"/>
    <n v="6.9599999999999995E-2"/>
    <n v="-0.64100000000000001"/>
    <n v="1"/>
    <x v="0"/>
    <x v="1"/>
  </r>
  <r>
    <s v="SM_101986"/>
    <x v="3"/>
    <s v="text"/>
    <s v="Entertainment"/>
    <s v="ur"/>
    <s v="Brazil"/>
    <d v="2024-07-22T00:00:00"/>
    <s v="#trending #news"/>
    <n v="5052451"/>
    <n v="297203"/>
    <n v="32333"/>
    <n v="8860"/>
    <n v="6.7000000000000004E-2"/>
    <n v="6.0000000000000001E-3"/>
    <n v="1"/>
    <x v="0"/>
    <x v="0"/>
  </r>
  <r>
    <s v="SM_101987"/>
    <x v="3"/>
    <s v="carousel"/>
    <s v="Politics"/>
    <s v="hi"/>
    <s v="Pakistan"/>
    <d v="2024-04-21T00:00:00"/>
    <s v="#funny #trending #fyp #viral"/>
    <n v="3222752"/>
    <n v="123952"/>
    <n v="19235"/>
    <n v="26709"/>
    <n v="5.2699999999999997E-2"/>
    <n v="-0.34300000000000003"/>
    <n v="1"/>
    <x v="0"/>
    <x v="1"/>
  </r>
  <r>
    <s v="SM_101988"/>
    <x v="3"/>
    <s v="image"/>
    <s v="Technology"/>
    <s v="ur"/>
    <s v="UK"/>
    <d v="2024-06-06T00:00:00"/>
    <s v="#ai #tech"/>
    <n v="30132"/>
    <n v="5022"/>
    <n v="4397"/>
    <n v="52336"/>
    <n v="2.0495000000000001"/>
    <n v="-0.63900000000000001"/>
    <n v="0"/>
    <x v="1"/>
    <x v="1"/>
  </r>
  <r>
    <s v="SM_101989"/>
    <x v="3"/>
    <s v="carousel"/>
    <s v="Sports"/>
    <s v="hi"/>
    <s v="India"/>
    <d v="2024-04-02T00:00:00"/>
    <s v="#news #fyp #music #tech"/>
    <n v="1354977"/>
    <n v="150553"/>
    <n v="47788"/>
    <n v="55674"/>
    <n v="0.1875"/>
    <n v="0.53400000000000003"/>
    <n v="0"/>
    <x v="1"/>
    <x v="0"/>
  </r>
  <r>
    <s v="SM_101990"/>
    <x v="0"/>
    <s v="video"/>
    <s v="Entertainment"/>
    <s v="es"/>
    <s v="Brazil"/>
    <d v="2024-10-24T00:00:00"/>
    <s v="#news #viral"/>
    <n v="2638432"/>
    <n v="329804"/>
    <n v="16718"/>
    <n v="2487"/>
    <n v="0.1323"/>
    <n v="-6.9000000000000006E-2"/>
    <n v="1"/>
    <x v="0"/>
    <x v="1"/>
  </r>
  <r>
    <s v="SM_101991"/>
    <x v="0"/>
    <s v="video"/>
    <s v="Education"/>
    <s v="es"/>
    <s v="India"/>
    <d v="2024-08-15T00:00:00"/>
    <s v="#music #funny #viral #ai #news"/>
    <n v="3463490"/>
    <n v="346349"/>
    <n v="7091"/>
    <n v="67854"/>
    <n v="0.1216"/>
    <n v="-0.78700000000000003"/>
    <n v="1"/>
    <x v="0"/>
    <x v="1"/>
  </r>
  <r>
    <s v="SM_101992"/>
    <x v="0"/>
    <s v="image"/>
    <s v="Entertainment"/>
    <s v="en"/>
    <s v="UK"/>
    <d v="2024-08-19T00:00:00"/>
    <s v="#fyp #music #news"/>
    <n v="1664952"/>
    <n v="277492"/>
    <n v="2516"/>
    <n v="24227"/>
    <n v="0.1827"/>
    <n v="0.31900000000000001"/>
    <n v="0"/>
    <x v="1"/>
    <x v="0"/>
  </r>
  <r>
    <s v="SM_101993"/>
    <x v="0"/>
    <s v="video"/>
    <s v="Lifestyle"/>
    <s v="es"/>
    <s v="Brazil"/>
    <d v="2024-12-14T00:00:00"/>
    <s v="#music #trending #funny #ai #viral"/>
    <n v="6482208"/>
    <n v="270092"/>
    <n v="14279"/>
    <n v="54546"/>
    <n v="5.2299999999999999E-2"/>
    <n v="-0.23300000000000001"/>
    <n v="1"/>
    <x v="0"/>
    <x v="1"/>
  </r>
  <r>
    <s v="SM_101994"/>
    <x v="1"/>
    <s v="image"/>
    <s v="Technology"/>
    <s v="en"/>
    <s v="UK"/>
    <d v="2024-07-04T00:00:00"/>
    <s v="#ai #trending #fyp #news"/>
    <n v="1996860"/>
    <n v="166405"/>
    <n v="16309"/>
    <n v="11295"/>
    <n v="9.7199999999999995E-2"/>
    <n v="-0.99299999999999999"/>
    <n v="0"/>
    <x v="1"/>
    <x v="1"/>
  </r>
  <r>
    <s v="SM_101995"/>
    <x v="1"/>
    <s v="text"/>
    <s v="Sports"/>
    <s v="es"/>
    <s v="US"/>
    <d v="2024-02-11T00:00:00"/>
    <s v="#funny #music #ai"/>
    <n v="14112183"/>
    <n v="486627"/>
    <n v="9430"/>
    <n v="91550"/>
    <n v="4.1599999999999998E-2"/>
    <n v="-0.54100000000000004"/>
    <n v="1"/>
    <x v="0"/>
    <x v="1"/>
  </r>
  <r>
    <s v="SM_101996"/>
    <x v="0"/>
    <s v="text"/>
    <s v="Politics"/>
    <s v="en"/>
    <s v="Brazil"/>
    <d v="2024-02-12T00:00:00"/>
    <s v="#viral #trending"/>
    <n v="5604744"/>
    <n v="467062"/>
    <n v="2764"/>
    <n v="16092"/>
    <n v="8.6699999999999999E-2"/>
    <n v="0.28699999999999998"/>
    <n v="1"/>
    <x v="0"/>
    <x v="0"/>
  </r>
  <r>
    <s v="SM_101997"/>
    <x v="2"/>
    <s v="carousel"/>
    <s v="Education"/>
    <s v="ur"/>
    <s v="UK"/>
    <d v="2024-05-01T00:00:00"/>
    <s v="#trending #fyp"/>
    <n v="2031920"/>
    <n v="253990"/>
    <n v="40963"/>
    <n v="95697"/>
    <n v="0.1923"/>
    <n v="0.60399999999999998"/>
    <n v="1"/>
    <x v="0"/>
    <x v="0"/>
  </r>
  <r>
    <s v="SM_101998"/>
    <x v="2"/>
    <s v="carousel"/>
    <s v="Sports"/>
    <s v="ur"/>
    <s v="UK"/>
    <d v="2024-12-23T00:00:00"/>
    <s v="#funny #trending #tech"/>
    <n v="5237350"/>
    <n v="209494"/>
    <n v="15042"/>
    <n v="67422"/>
    <n v="5.57E-2"/>
    <n v="-0.86099999999999999"/>
    <n v="1"/>
    <x v="0"/>
    <x v="1"/>
  </r>
  <r>
    <s v="SM_101999"/>
    <x v="2"/>
    <s v="carousel"/>
    <s v="Politics"/>
    <s v="ur"/>
    <s v="Pakistan"/>
    <d v="2024-11-04T00:00:00"/>
    <s v="#viral #funny"/>
    <n v="3369429"/>
    <n v="481347"/>
    <n v="13455"/>
    <n v="9492"/>
    <n v="0.1497"/>
    <n v="0.29699999999999999"/>
    <n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C21F6-FF9D-412E-A512-A0B7B4CB222B}" name="PivotTable15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44:AG57" firstHeaderRow="0" firstDataRow="1" firstDataCol="1"/>
  <pivotFields count="17">
    <pivotField dataField="1"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2">
    <field x="1"/>
    <field x="16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entiment_score" fld="13" subtotal="average" baseField="1" baseItem="0"/>
    <dataField name="Count of pos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8E9D6-837E-47AF-BD88-11CE6BCB9DF2}" name="PivotTable14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A44:AC47" firstHeaderRow="0" firstDataRow="1" firstDataCol="1"/>
  <pivotFields count="17">
    <pivotField dataField="1"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entiment_analysis" fld="16" subtotal="count" showDataAs="percentOfTotal" baseField="1" baseItem="0" numFmtId="10"/>
    <dataField name="Count of pos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6874E-D41B-4FE3-B2B5-07CC89C5F289}" name="PivotTable3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F31:AI34" firstHeaderRow="0" firstDataRow="1" firstDataCol="1"/>
  <pivotFields count="17">
    <pivotField dataField="1" showAll="0"/>
    <pivotField showAll="0"/>
    <pivotField showAll="0"/>
    <pivotField showAll="0"/>
    <pivotField showAll="0"/>
    <pivotField showAll="0"/>
    <pivotField numFmtId="22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ngagement_rate" fld="12" subtotal="average" baseField="15" baseItem="0"/>
    <dataField name="Sum of views" fld="8" baseField="15" baseItem="0"/>
    <dataField name="No of posts " fld="0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43691-CDF0-4EFE-B32E-87C86C92C6DF}" name="PivotTable2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A31:AD37" firstHeaderRow="1" firstDataRow="2" firstDataCol="1"/>
  <pivotFields count="17"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numFmtId="22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views" fld="8" subtotal="count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A5C779-F02E-4773-8D7B-25F258C1F3EA}" name="Table2" displayName="Table2" ref="A1:Q2001" totalsRowShown="0">
  <autoFilter ref="A1:Q2001" xr:uid="{FBA5C779-F02E-4773-8D7B-25F258C1F3EA}"/>
  <tableColumns count="17">
    <tableColumn id="1" xr3:uid="{17B645E7-CD16-45B5-ABD2-1DAA7E825751}" name="post_id"/>
    <tableColumn id="2" xr3:uid="{4E4FD583-A3F6-4239-8EE5-CF6E6BC09E67}" name="platform"/>
    <tableColumn id="3" xr3:uid="{BCFCBE34-4CA8-4EB5-B283-A3F853D85184}" name="content_type"/>
    <tableColumn id="4" xr3:uid="{9A75B685-9BC8-4F96-B3AE-913E570BB0C1}" name="topic"/>
    <tableColumn id="5" xr3:uid="{7C339410-076D-4478-9065-47415F35D3B9}" name="language"/>
    <tableColumn id="6" xr3:uid="{B8467916-7120-4A18-A5DC-C354C7B10178}" name="region"/>
    <tableColumn id="7" xr3:uid="{84C19BE8-EC66-4753-AC8D-C3D7A0439EC1}" name="post_datetime" dataDxfId="1"/>
    <tableColumn id="8" xr3:uid="{B06966F0-8D21-484D-8DF8-539CBB3779BE}" name="hashtags"/>
    <tableColumn id="9" xr3:uid="{927E73BF-6034-4B0A-B573-DBF2BB90E802}" name="views"/>
    <tableColumn id="10" xr3:uid="{4FF1A0B4-75CA-42F7-BA11-37FCB4D57665}" name="likes"/>
    <tableColumn id="11" xr3:uid="{91F67824-87AF-4876-A5BA-3D0C63E2924A}" name="comments"/>
    <tableColumn id="12" xr3:uid="{AD92EDBD-F330-478F-AE08-E24055C3FD40}" name="shares"/>
    <tableColumn id="13" xr3:uid="{7A84E000-2BB3-4E66-B478-DC76EB6B919D}" name="engagement_rate"/>
    <tableColumn id="14" xr3:uid="{2E67A63E-BD06-4A98-BB0A-CD948F4C9C40}" name="sentiment_score"/>
    <tableColumn id="15" xr3:uid="{689EB118-5B5E-4172-AC28-BE726CC94EBB}" name="is_viral"/>
    <tableColumn id="16" xr3:uid="{9B13D82F-B87D-4C0E-9EFD-1C8150AD8BAE}" name="is_viral_boolean">
      <calculatedColumnFormula>IF(O2=1,TRUE,FALSE)</calculatedColumnFormula>
    </tableColumn>
    <tableColumn id="17" xr3:uid="{77A61FA9-04D4-4484-AF25-39976CE1C812}" name="Sentiment_analysis" dataDxfId="0">
      <calculatedColumnFormula>IF(N2&gt;0,"Positive","Negative")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D557-4E56-451E-965E-68550AC8FC3E}">
  <dimension ref="A1:AI2001"/>
  <sheetViews>
    <sheetView tabSelected="1" zoomScale="86" workbookViewId="0">
      <selection activeCell="AA66" sqref="AA66"/>
    </sheetView>
  </sheetViews>
  <sheetFormatPr defaultRowHeight="14.4" x14ac:dyDescent="0.3"/>
  <cols>
    <col min="1" max="1" width="15.33203125" customWidth="1"/>
    <col min="2" max="2" width="15.77734375" customWidth="1"/>
    <col min="3" max="3" width="13.6640625" customWidth="1"/>
    <col min="5" max="5" width="10.21875" customWidth="1"/>
    <col min="7" max="7" width="20" customWidth="1"/>
    <col min="8" max="8" width="30.88671875" customWidth="1"/>
    <col min="9" max="9" width="13.21875" customWidth="1"/>
    <col min="11" max="11" width="11.77734375" customWidth="1"/>
    <col min="13" max="13" width="17.109375" customWidth="1"/>
    <col min="14" max="14" width="16.6640625" customWidth="1"/>
    <col min="15" max="15" width="13" customWidth="1"/>
    <col min="16" max="16" width="16.21875" customWidth="1"/>
    <col min="17" max="17" width="8.88671875" customWidth="1"/>
    <col min="27" max="27" width="13.77734375" bestFit="1" customWidth="1"/>
    <col min="28" max="28" width="16" bestFit="1" customWidth="1"/>
    <col min="29" max="29" width="7.109375" bestFit="1" customWidth="1"/>
    <col min="30" max="30" width="10.5546875" bestFit="1" customWidth="1"/>
    <col min="31" max="31" width="13.88671875" customWidth="1"/>
    <col min="32" max="32" width="12.88671875" bestFit="1" customWidth="1"/>
    <col min="33" max="33" width="24.88671875" bestFit="1" customWidth="1"/>
    <col min="34" max="34" width="12" bestFit="1" customWidth="1"/>
    <col min="35" max="35" width="10.5546875" bestFit="1" customWidth="1"/>
    <col min="36" max="36" width="14.44140625" bestFit="1" customWidth="1"/>
    <col min="37" max="38" width="12.33203125" bestFit="1" customWidth="1"/>
    <col min="39" max="39" width="29" bestFit="1" customWidth="1"/>
    <col min="40" max="40" width="19.109375" bestFit="1" customWidth="1"/>
    <col min="41" max="74" width="6.6640625" bestFit="1" customWidth="1"/>
    <col min="75" max="75" width="6" bestFit="1" customWidth="1"/>
    <col min="76" max="81" width="6.6640625" bestFit="1" customWidth="1"/>
    <col min="82" max="82" width="6" bestFit="1" customWidth="1"/>
    <col min="83" max="103" width="6.6640625" bestFit="1" customWidth="1"/>
    <col min="104" max="104" width="6" bestFit="1" customWidth="1"/>
    <col min="105" max="112" width="6.6640625" bestFit="1" customWidth="1"/>
    <col min="113" max="113" width="6" bestFit="1" customWidth="1"/>
    <col min="114" max="115" width="6.6640625" bestFit="1" customWidth="1"/>
    <col min="116" max="116" width="6" bestFit="1" customWidth="1"/>
    <col min="117" max="122" width="6.6640625" bestFit="1" customWidth="1"/>
    <col min="123" max="123" width="6" bestFit="1" customWidth="1"/>
    <col min="124" max="133" width="6.6640625" bestFit="1" customWidth="1"/>
    <col min="134" max="134" width="6" bestFit="1" customWidth="1"/>
    <col min="135" max="162" width="6.6640625" bestFit="1" customWidth="1"/>
    <col min="163" max="164" width="6" bestFit="1" customWidth="1"/>
    <col min="165" max="174" width="6.6640625" bestFit="1" customWidth="1"/>
    <col min="175" max="175" width="6" bestFit="1" customWidth="1"/>
    <col min="176" max="182" width="6.6640625" bestFit="1" customWidth="1"/>
    <col min="183" max="183" width="6" bestFit="1" customWidth="1"/>
    <col min="184" max="218" width="6.6640625" bestFit="1" customWidth="1"/>
    <col min="219" max="219" width="6" bestFit="1" customWidth="1"/>
    <col min="220" max="220" width="6.6640625" bestFit="1" customWidth="1"/>
    <col min="221" max="221" width="6" bestFit="1" customWidth="1"/>
    <col min="222" max="230" width="6.6640625" bestFit="1" customWidth="1"/>
    <col min="231" max="232" width="6" bestFit="1" customWidth="1"/>
    <col min="233" max="251" width="6.6640625" bestFit="1" customWidth="1"/>
    <col min="252" max="1031" width="7.109375" bestFit="1" customWidth="1"/>
    <col min="1032" max="1032" width="12.88671875" bestFit="1" customWidth="1"/>
    <col min="1033" max="1033" width="9.33203125" bestFit="1" customWidth="1"/>
    <col min="1034" max="1035" width="6" bestFit="1" customWidth="1"/>
    <col min="1036" max="1036" width="5" bestFit="1" customWidth="1"/>
    <col min="1037" max="1041" width="6" bestFit="1" customWidth="1"/>
    <col min="1042" max="1042" width="5" bestFit="1" customWidth="1"/>
    <col min="1043" max="1043" width="6" bestFit="1" customWidth="1"/>
    <col min="1044" max="1044" width="5" bestFit="1" customWidth="1"/>
    <col min="1045" max="1232" width="6" bestFit="1" customWidth="1"/>
    <col min="1233" max="2033" width="7.109375" bestFit="1" customWidth="1"/>
    <col min="2034" max="2034" width="12.21875" bestFit="1" customWidth="1"/>
    <col min="2035" max="2035" width="12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3271</v>
      </c>
      <c r="Q1" t="s">
        <v>3279</v>
      </c>
    </row>
    <row r="2" spans="1:17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v>45636</v>
      </c>
      <c r="H2" t="s">
        <v>21</v>
      </c>
      <c r="I2">
        <v>2319102</v>
      </c>
      <c r="J2">
        <v>122058</v>
      </c>
      <c r="K2">
        <v>15800</v>
      </c>
      <c r="L2">
        <v>861</v>
      </c>
      <c r="M2">
        <v>5.9799999999999999E-2</v>
      </c>
      <c r="N2">
        <v>0.46400000000000002</v>
      </c>
      <c r="O2">
        <v>1</v>
      </c>
      <c r="P2" t="b">
        <f>IF(O2=1,TRUE,FALSE)</f>
        <v>1</v>
      </c>
      <c r="Q2" t="str">
        <f t="shared" ref="Q2:Q65" si="0">IF(N2&gt;0,"Positive","Negative")</f>
        <v>Positive</v>
      </c>
    </row>
    <row r="3" spans="1:17" x14ac:dyDescent="0.3">
      <c r="A3" t="s">
        <v>22</v>
      </c>
      <c r="B3" t="s">
        <v>16</v>
      </c>
      <c r="C3" t="s">
        <v>23</v>
      </c>
      <c r="D3" t="s">
        <v>18</v>
      </c>
      <c r="E3" t="s">
        <v>19</v>
      </c>
      <c r="F3" t="s">
        <v>24</v>
      </c>
      <c r="G3" s="1">
        <v>45578</v>
      </c>
      <c r="H3" t="s">
        <v>25</v>
      </c>
      <c r="I3">
        <v>2538464</v>
      </c>
      <c r="J3">
        <v>110368</v>
      </c>
      <c r="K3">
        <v>11289</v>
      </c>
      <c r="L3">
        <v>54887</v>
      </c>
      <c r="M3">
        <v>6.9500000000000006E-2</v>
      </c>
      <c r="N3">
        <v>-0.8</v>
      </c>
      <c r="O3">
        <v>1</v>
      </c>
      <c r="P3" t="b">
        <f t="shared" ref="P3:P66" si="1">IF(O3=1,TRUE,FALSE)</f>
        <v>1</v>
      </c>
      <c r="Q3" t="str">
        <f t="shared" si="0"/>
        <v>Negative</v>
      </c>
    </row>
    <row r="4" spans="1:17" x14ac:dyDescent="0.3">
      <c r="A4" t="s">
        <v>26</v>
      </c>
      <c r="B4" t="s">
        <v>27</v>
      </c>
      <c r="C4" t="s">
        <v>28</v>
      </c>
      <c r="D4" t="s">
        <v>29</v>
      </c>
      <c r="E4" t="s">
        <v>19</v>
      </c>
      <c r="F4" t="s">
        <v>20</v>
      </c>
      <c r="G4" s="1">
        <v>45415</v>
      </c>
      <c r="H4" t="s">
        <v>30</v>
      </c>
      <c r="I4">
        <v>1051176</v>
      </c>
      <c r="J4">
        <v>87598</v>
      </c>
      <c r="K4">
        <v>47196</v>
      </c>
      <c r="L4">
        <v>44132</v>
      </c>
      <c r="M4">
        <v>0.17019999999999999</v>
      </c>
      <c r="N4">
        <v>0.41599999999999998</v>
      </c>
      <c r="O4">
        <v>0</v>
      </c>
      <c r="P4" t="b">
        <f t="shared" si="1"/>
        <v>0</v>
      </c>
      <c r="Q4" t="str">
        <f t="shared" si="0"/>
        <v>Positive</v>
      </c>
    </row>
    <row r="5" spans="1:17" x14ac:dyDescent="0.3">
      <c r="A5" t="s">
        <v>31</v>
      </c>
      <c r="B5" t="s">
        <v>32</v>
      </c>
      <c r="C5" t="s">
        <v>17</v>
      </c>
      <c r="D5" t="s">
        <v>33</v>
      </c>
      <c r="E5" t="s">
        <v>19</v>
      </c>
      <c r="F5" t="s">
        <v>34</v>
      </c>
      <c r="G5" s="1">
        <v>45508</v>
      </c>
      <c r="H5" t="s">
        <v>35</v>
      </c>
      <c r="I5">
        <v>5271440</v>
      </c>
      <c r="J5">
        <v>329465</v>
      </c>
      <c r="K5">
        <v>774</v>
      </c>
      <c r="L5">
        <v>59736</v>
      </c>
      <c r="M5">
        <v>7.3999999999999996E-2</v>
      </c>
      <c r="N5">
        <v>0.877</v>
      </c>
      <c r="O5">
        <v>1</v>
      </c>
      <c r="P5" t="b">
        <f t="shared" si="1"/>
        <v>1</v>
      </c>
      <c r="Q5" t="str">
        <f t="shared" si="0"/>
        <v>Positive</v>
      </c>
    </row>
    <row r="6" spans="1:17" x14ac:dyDescent="0.3">
      <c r="A6" t="s">
        <v>36</v>
      </c>
      <c r="B6" t="s">
        <v>27</v>
      </c>
      <c r="C6" t="s">
        <v>17</v>
      </c>
      <c r="D6" t="s">
        <v>37</v>
      </c>
      <c r="E6" t="s">
        <v>38</v>
      </c>
      <c r="F6" t="s">
        <v>34</v>
      </c>
      <c r="G6" s="1">
        <v>45379</v>
      </c>
      <c r="H6" t="s">
        <v>39</v>
      </c>
      <c r="I6">
        <v>3186256</v>
      </c>
      <c r="J6">
        <v>199141</v>
      </c>
      <c r="K6">
        <v>5316</v>
      </c>
      <c r="L6">
        <v>83105</v>
      </c>
      <c r="M6">
        <v>9.0300000000000005E-2</v>
      </c>
      <c r="N6">
        <v>0.223</v>
      </c>
      <c r="O6">
        <v>1</v>
      </c>
      <c r="P6" t="b">
        <f t="shared" si="1"/>
        <v>1</v>
      </c>
      <c r="Q6" t="str">
        <f t="shared" si="0"/>
        <v>Positive</v>
      </c>
    </row>
    <row r="7" spans="1:17" x14ac:dyDescent="0.3">
      <c r="A7" t="s">
        <v>40</v>
      </c>
      <c r="B7" t="s">
        <v>16</v>
      </c>
      <c r="C7" t="s">
        <v>23</v>
      </c>
      <c r="D7" t="s">
        <v>18</v>
      </c>
      <c r="E7" t="s">
        <v>41</v>
      </c>
      <c r="F7" t="s">
        <v>24</v>
      </c>
      <c r="G7" s="1">
        <v>45597</v>
      </c>
      <c r="H7" t="s">
        <v>42</v>
      </c>
      <c r="I7">
        <v>6513472</v>
      </c>
      <c r="J7">
        <v>465248</v>
      </c>
      <c r="K7">
        <v>27485</v>
      </c>
      <c r="L7">
        <v>25659</v>
      </c>
      <c r="M7">
        <v>7.9600000000000004E-2</v>
      </c>
      <c r="N7">
        <v>-0.90700000000000003</v>
      </c>
      <c r="O7">
        <v>1</v>
      </c>
      <c r="P7" t="b">
        <f t="shared" si="1"/>
        <v>1</v>
      </c>
      <c r="Q7" t="str">
        <f t="shared" si="0"/>
        <v>Negative</v>
      </c>
    </row>
    <row r="8" spans="1:17" x14ac:dyDescent="0.3">
      <c r="A8" t="s">
        <v>43</v>
      </c>
      <c r="B8" t="s">
        <v>32</v>
      </c>
      <c r="C8" t="s">
        <v>17</v>
      </c>
      <c r="D8" t="s">
        <v>37</v>
      </c>
      <c r="E8" t="s">
        <v>41</v>
      </c>
      <c r="F8" t="s">
        <v>20</v>
      </c>
      <c r="G8" s="1">
        <v>45452</v>
      </c>
      <c r="H8" t="s">
        <v>44</v>
      </c>
      <c r="I8">
        <v>65481</v>
      </c>
      <c r="J8">
        <v>2847</v>
      </c>
      <c r="K8">
        <v>194</v>
      </c>
      <c r="L8">
        <v>84655</v>
      </c>
      <c r="M8">
        <v>1.3392999999999999</v>
      </c>
      <c r="N8">
        <v>-0.23499999999999999</v>
      </c>
      <c r="O8">
        <v>0</v>
      </c>
      <c r="P8" t="b">
        <f t="shared" si="1"/>
        <v>0</v>
      </c>
      <c r="Q8" t="str">
        <f t="shared" si="0"/>
        <v>Negative</v>
      </c>
    </row>
    <row r="9" spans="1:17" x14ac:dyDescent="0.3">
      <c r="A9" t="s">
        <v>45</v>
      </c>
      <c r="B9" t="s">
        <v>32</v>
      </c>
      <c r="C9" t="s">
        <v>17</v>
      </c>
      <c r="D9" t="s">
        <v>29</v>
      </c>
      <c r="E9" t="s">
        <v>38</v>
      </c>
      <c r="F9" t="s">
        <v>46</v>
      </c>
      <c r="G9" s="1">
        <v>45499</v>
      </c>
      <c r="H9" t="s">
        <v>47</v>
      </c>
      <c r="I9">
        <v>2961423</v>
      </c>
      <c r="J9">
        <v>329047</v>
      </c>
      <c r="K9">
        <v>31556</v>
      </c>
      <c r="L9">
        <v>11395</v>
      </c>
      <c r="M9">
        <v>0.12559999999999999</v>
      </c>
      <c r="N9">
        <v>0.215</v>
      </c>
      <c r="O9">
        <v>1</v>
      </c>
      <c r="P9" t="b">
        <f t="shared" si="1"/>
        <v>1</v>
      </c>
      <c r="Q9" t="str">
        <f t="shared" si="0"/>
        <v>Positive</v>
      </c>
    </row>
    <row r="10" spans="1:17" x14ac:dyDescent="0.3">
      <c r="A10" t="s">
        <v>48</v>
      </c>
      <c r="B10" t="s">
        <v>27</v>
      </c>
      <c r="C10" t="s">
        <v>17</v>
      </c>
      <c r="D10" t="s">
        <v>18</v>
      </c>
      <c r="E10" t="s">
        <v>38</v>
      </c>
      <c r="F10" t="s">
        <v>46</v>
      </c>
      <c r="G10" s="1">
        <v>45354</v>
      </c>
      <c r="H10" t="s">
        <v>49</v>
      </c>
      <c r="I10">
        <v>3916736</v>
      </c>
      <c r="J10">
        <v>489592</v>
      </c>
      <c r="K10">
        <v>14507</v>
      </c>
      <c r="L10">
        <v>87314</v>
      </c>
      <c r="M10">
        <v>0.151</v>
      </c>
      <c r="N10">
        <v>0.88400000000000001</v>
      </c>
      <c r="O10">
        <v>1</v>
      </c>
      <c r="P10" t="b">
        <f t="shared" si="1"/>
        <v>1</v>
      </c>
      <c r="Q10" t="str">
        <f t="shared" si="0"/>
        <v>Positive</v>
      </c>
    </row>
    <row r="11" spans="1:17" x14ac:dyDescent="0.3">
      <c r="A11" t="s">
        <v>50</v>
      </c>
      <c r="B11" t="s">
        <v>27</v>
      </c>
      <c r="C11" t="s">
        <v>28</v>
      </c>
      <c r="D11" t="s">
        <v>33</v>
      </c>
      <c r="E11" t="s">
        <v>51</v>
      </c>
      <c r="F11" t="s">
        <v>34</v>
      </c>
      <c r="G11" s="1">
        <v>45570</v>
      </c>
      <c r="H11" t="s">
        <v>52</v>
      </c>
      <c r="I11">
        <v>3116477</v>
      </c>
      <c r="J11">
        <v>239729</v>
      </c>
      <c r="K11">
        <v>8438</v>
      </c>
      <c r="L11">
        <v>43002</v>
      </c>
      <c r="M11">
        <v>9.3399999999999997E-2</v>
      </c>
      <c r="N11">
        <v>-0.96799999999999997</v>
      </c>
      <c r="O11">
        <v>1</v>
      </c>
      <c r="P11" t="b">
        <f t="shared" si="1"/>
        <v>1</v>
      </c>
      <c r="Q11" t="str">
        <f t="shared" si="0"/>
        <v>Negative</v>
      </c>
    </row>
    <row r="12" spans="1:17" x14ac:dyDescent="0.3">
      <c r="A12" t="s">
        <v>53</v>
      </c>
      <c r="B12" t="s">
        <v>32</v>
      </c>
      <c r="C12" t="s">
        <v>17</v>
      </c>
      <c r="D12" t="s">
        <v>54</v>
      </c>
      <c r="E12" t="s">
        <v>41</v>
      </c>
      <c r="F12" t="s">
        <v>55</v>
      </c>
      <c r="G12" s="1">
        <v>45608</v>
      </c>
      <c r="H12" t="s">
        <v>56</v>
      </c>
      <c r="I12">
        <v>3034812</v>
      </c>
      <c r="J12">
        <v>252901</v>
      </c>
      <c r="K12">
        <v>23488</v>
      </c>
      <c r="L12">
        <v>48556</v>
      </c>
      <c r="M12">
        <v>0.1071</v>
      </c>
      <c r="N12">
        <v>-0.93100000000000005</v>
      </c>
      <c r="O12">
        <v>1</v>
      </c>
      <c r="P12" t="b">
        <f t="shared" si="1"/>
        <v>1</v>
      </c>
      <c r="Q12" t="str">
        <f t="shared" si="0"/>
        <v>Negative</v>
      </c>
    </row>
    <row r="13" spans="1:17" x14ac:dyDescent="0.3">
      <c r="A13" t="s">
        <v>57</v>
      </c>
      <c r="B13" t="s">
        <v>16</v>
      </c>
      <c r="C13" t="s">
        <v>17</v>
      </c>
      <c r="D13" t="s">
        <v>29</v>
      </c>
      <c r="E13" t="s">
        <v>58</v>
      </c>
      <c r="F13" t="s">
        <v>34</v>
      </c>
      <c r="G13" s="1">
        <v>45308</v>
      </c>
      <c r="H13" t="s">
        <v>59</v>
      </c>
      <c r="I13">
        <v>1763894</v>
      </c>
      <c r="J13">
        <v>80177</v>
      </c>
      <c r="K13">
        <v>35925</v>
      </c>
      <c r="L13">
        <v>92068</v>
      </c>
      <c r="M13">
        <v>0.11799999999999999</v>
      </c>
      <c r="N13">
        <v>0.32500000000000001</v>
      </c>
      <c r="O13">
        <v>0</v>
      </c>
      <c r="P13" t="b">
        <f t="shared" si="1"/>
        <v>0</v>
      </c>
      <c r="Q13" t="str">
        <f t="shared" si="0"/>
        <v>Positive</v>
      </c>
    </row>
    <row r="14" spans="1:17" x14ac:dyDescent="0.3">
      <c r="A14" t="s">
        <v>60</v>
      </c>
      <c r="B14" t="s">
        <v>27</v>
      </c>
      <c r="C14" t="s">
        <v>61</v>
      </c>
      <c r="D14" t="s">
        <v>29</v>
      </c>
      <c r="E14" t="s">
        <v>58</v>
      </c>
      <c r="F14" t="s">
        <v>24</v>
      </c>
      <c r="G14" s="1">
        <v>45292</v>
      </c>
      <c r="H14" t="s">
        <v>62</v>
      </c>
      <c r="I14">
        <v>7324226</v>
      </c>
      <c r="J14">
        <v>281701</v>
      </c>
      <c r="K14">
        <v>1026</v>
      </c>
      <c r="L14">
        <v>77190</v>
      </c>
      <c r="M14">
        <v>4.9099999999999998E-2</v>
      </c>
      <c r="N14">
        <v>9.2999999999999999E-2</v>
      </c>
      <c r="O14">
        <v>1</v>
      </c>
      <c r="P14" t="b">
        <f t="shared" si="1"/>
        <v>1</v>
      </c>
      <c r="Q14" t="str">
        <f t="shared" si="0"/>
        <v>Positive</v>
      </c>
    </row>
    <row r="15" spans="1:17" x14ac:dyDescent="0.3">
      <c r="A15" t="s">
        <v>63</v>
      </c>
      <c r="B15" t="s">
        <v>27</v>
      </c>
      <c r="C15" t="s">
        <v>28</v>
      </c>
      <c r="D15" t="s">
        <v>29</v>
      </c>
      <c r="E15" t="s">
        <v>19</v>
      </c>
      <c r="F15" t="s">
        <v>55</v>
      </c>
      <c r="G15" s="1">
        <v>45419</v>
      </c>
      <c r="H15" t="s">
        <v>64</v>
      </c>
      <c r="I15">
        <v>3782438</v>
      </c>
      <c r="J15">
        <v>171929</v>
      </c>
      <c r="K15">
        <v>9697</v>
      </c>
      <c r="L15">
        <v>45759</v>
      </c>
      <c r="M15">
        <v>6.0100000000000001E-2</v>
      </c>
      <c r="N15">
        <v>0.55000000000000004</v>
      </c>
      <c r="O15">
        <v>1</v>
      </c>
      <c r="P15" t="b">
        <f t="shared" si="1"/>
        <v>1</v>
      </c>
      <c r="Q15" t="str">
        <f t="shared" si="0"/>
        <v>Positive</v>
      </c>
    </row>
    <row r="16" spans="1:17" x14ac:dyDescent="0.3">
      <c r="A16" t="s">
        <v>65</v>
      </c>
      <c r="B16" t="s">
        <v>66</v>
      </c>
      <c r="C16" t="s">
        <v>17</v>
      </c>
      <c r="D16" t="s">
        <v>33</v>
      </c>
      <c r="E16" t="s">
        <v>38</v>
      </c>
      <c r="F16" t="s">
        <v>46</v>
      </c>
      <c r="G16" s="1">
        <v>45546</v>
      </c>
      <c r="H16" t="s">
        <v>67</v>
      </c>
      <c r="I16">
        <v>1574952</v>
      </c>
      <c r="J16">
        <v>196869</v>
      </c>
      <c r="K16">
        <v>37070</v>
      </c>
      <c r="L16">
        <v>92094</v>
      </c>
      <c r="M16">
        <v>0.20699999999999999</v>
      </c>
      <c r="N16">
        <v>0.19600000000000001</v>
      </c>
      <c r="O16">
        <v>0</v>
      </c>
      <c r="P16" t="b">
        <f t="shared" si="1"/>
        <v>0</v>
      </c>
      <c r="Q16" t="str">
        <f t="shared" si="0"/>
        <v>Positive</v>
      </c>
    </row>
    <row r="17" spans="1:35" x14ac:dyDescent="0.3">
      <c r="A17" t="s">
        <v>68</v>
      </c>
      <c r="B17" t="s">
        <v>66</v>
      </c>
      <c r="C17" t="s">
        <v>28</v>
      </c>
      <c r="D17" t="s">
        <v>29</v>
      </c>
      <c r="E17" t="s">
        <v>51</v>
      </c>
      <c r="F17" t="s">
        <v>24</v>
      </c>
      <c r="G17" s="1">
        <v>45320</v>
      </c>
      <c r="H17" t="s">
        <v>69</v>
      </c>
      <c r="I17">
        <v>314118</v>
      </c>
      <c r="J17">
        <v>11634</v>
      </c>
      <c r="K17">
        <v>29132</v>
      </c>
      <c r="L17">
        <v>40398</v>
      </c>
      <c r="M17">
        <v>0.25840000000000002</v>
      </c>
      <c r="N17">
        <v>4.2000000000000003E-2</v>
      </c>
      <c r="O17">
        <v>0</v>
      </c>
      <c r="P17" t="b">
        <f t="shared" si="1"/>
        <v>0</v>
      </c>
      <c r="Q17" t="str">
        <f t="shared" si="0"/>
        <v>Positive</v>
      </c>
    </row>
    <row r="18" spans="1:35" x14ac:dyDescent="0.3">
      <c r="A18" t="s">
        <v>70</v>
      </c>
      <c r="B18" t="s">
        <v>27</v>
      </c>
      <c r="C18" t="s">
        <v>17</v>
      </c>
      <c r="D18" t="s">
        <v>33</v>
      </c>
      <c r="E18" t="s">
        <v>19</v>
      </c>
      <c r="F18" t="s">
        <v>46</v>
      </c>
      <c r="G18" s="1">
        <v>45550</v>
      </c>
      <c r="H18" t="s">
        <v>71</v>
      </c>
      <c r="I18">
        <v>8212785</v>
      </c>
      <c r="J18">
        <v>483105</v>
      </c>
      <c r="K18">
        <v>24281</v>
      </c>
      <c r="L18">
        <v>23248</v>
      </c>
      <c r="M18">
        <v>6.4600000000000005E-2</v>
      </c>
      <c r="N18">
        <v>-0.45700000000000002</v>
      </c>
      <c r="O18">
        <v>1</v>
      </c>
      <c r="P18" t="b">
        <f t="shared" si="1"/>
        <v>1</v>
      </c>
      <c r="Q18" t="str">
        <f t="shared" si="0"/>
        <v>Negative</v>
      </c>
    </row>
    <row r="19" spans="1:35" x14ac:dyDescent="0.3">
      <c r="A19" t="s">
        <v>72</v>
      </c>
      <c r="B19" t="s">
        <v>16</v>
      </c>
      <c r="C19" t="s">
        <v>61</v>
      </c>
      <c r="D19" t="s">
        <v>73</v>
      </c>
      <c r="E19" t="s">
        <v>41</v>
      </c>
      <c r="F19" t="s">
        <v>55</v>
      </c>
      <c r="G19" s="1">
        <v>45366</v>
      </c>
      <c r="H19" t="s">
        <v>74</v>
      </c>
      <c r="I19">
        <v>271672</v>
      </c>
      <c r="J19">
        <v>9368</v>
      </c>
      <c r="K19">
        <v>21276</v>
      </c>
      <c r="L19">
        <v>12186</v>
      </c>
      <c r="M19">
        <v>0.15770000000000001</v>
      </c>
      <c r="N19">
        <v>-0.438</v>
      </c>
      <c r="O19">
        <v>0</v>
      </c>
      <c r="P19" t="b">
        <f t="shared" si="1"/>
        <v>0</v>
      </c>
      <c r="Q19" t="str">
        <f t="shared" si="0"/>
        <v>Negative</v>
      </c>
    </row>
    <row r="20" spans="1:35" x14ac:dyDescent="0.3">
      <c r="A20" t="s">
        <v>75</v>
      </c>
      <c r="B20" t="s">
        <v>27</v>
      </c>
      <c r="C20" t="s">
        <v>28</v>
      </c>
      <c r="D20" t="s">
        <v>29</v>
      </c>
      <c r="E20" t="s">
        <v>19</v>
      </c>
      <c r="F20" t="s">
        <v>46</v>
      </c>
      <c r="G20" s="1">
        <v>45353</v>
      </c>
      <c r="H20" t="s">
        <v>76</v>
      </c>
      <c r="I20">
        <v>7635853</v>
      </c>
      <c r="J20">
        <v>401887</v>
      </c>
      <c r="K20">
        <v>39981</v>
      </c>
      <c r="L20">
        <v>38045</v>
      </c>
      <c r="M20">
        <v>6.2799999999999995E-2</v>
      </c>
      <c r="N20">
        <v>-0.66900000000000004</v>
      </c>
      <c r="O20">
        <v>1</v>
      </c>
      <c r="P20" t="b">
        <f t="shared" si="1"/>
        <v>1</v>
      </c>
      <c r="Q20" t="str">
        <f t="shared" si="0"/>
        <v>Negative</v>
      </c>
    </row>
    <row r="21" spans="1:35" x14ac:dyDescent="0.3">
      <c r="A21" t="s">
        <v>77</v>
      </c>
      <c r="B21" t="s">
        <v>16</v>
      </c>
      <c r="C21" t="s">
        <v>17</v>
      </c>
      <c r="D21" t="s">
        <v>33</v>
      </c>
      <c r="E21" t="s">
        <v>38</v>
      </c>
      <c r="F21" t="s">
        <v>46</v>
      </c>
      <c r="G21" s="1">
        <v>45538</v>
      </c>
      <c r="H21" t="s">
        <v>78</v>
      </c>
      <c r="I21">
        <v>1374352</v>
      </c>
      <c r="J21">
        <v>49084</v>
      </c>
      <c r="K21">
        <v>40779</v>
      </c>
      <c r="L21">
        <v>2569</v>
      </c>
      <c r="M21">
        <v>6.7299999999999999E-2</v>
      </c>
      <c r="N21">
        <v>-0.21</v>
      </c>
      <c r="O21">
        <v>0</v>
      </c>
      <c r="P21" t="b">
        <f t="shared" si="1"/>
        <v>0</v>
      </c>
      <c r="Q21" t="str">
        <f t="shared" si="0"/>
        <v>Negative</v>
      </c>
    </row>
    <row r="22" spans="1:35" x14ac:dyDescent="0.3">
      <c r="A22" t="s">
        <v>79</v>
      </c>
      <c r="B22" t="s">
        <v>27</v>
      </c>
      <c r="C22" t="s">
        <v>23</v>
      </c>
      <c r="D22" t="s">
        <v>18</v>
      </c>
      <c r="E22" t="s">
        <v>41</v>
      </c>
      <c r="F22" t="s">
        <v>55</v>
      </c>
      <c r="G22" s="1">
        <v>45642</v>
      </c>
      <c r="H22" t="s">
        <v>80</v>
      </c>
      <c r="I22">
        <v>3078941</v>
      </c>
      <c r="J22">
        <v>133867</v>
      </c>
      <c r="K22">
        <v>48195</v>
      </c>
      <c r="L22">
        <v>5259</v>
      </c>
      <c r="M22">
        <v>6.08E-2</v>
      </c>
      <c r="N22">
        <v>0.41399999999999998</v>
      </c>
      <c r="O22">
        <v>1</v>
      </c>
      <c r="P22" t="b">
        <f t="shared" si="1"/>
        <v>1</v>
      </c>
      <c r="Q22" t="str">
        <f t="shared" si="0"/>
        <v>Positive</v>
      </c>
    </row>
    <row r="23" spans="1:35" x14ac:dyDescent="0.3">
      <c r="A23" t="s">
        <v>81</v>
      </c>
      <c r="B23" t="s">
        <v>66</v>
      </c>
      <c r="C23" t="s">
        <v>23</v>
      </c>
      <c r="D23" t="s">
        <v>73</v>
      </c>
      <c r="E23" t="s">
        <v>58</v>
      </c>
      <c r="F23" t="s">
        <v>46</v>
      </c>
      <c r="G23" s="1">
        <v>45312</v>
      </c>
      <c r="H23" t="s">
        <v>82</v>
      </c>
      <c r="I23">
        <v>197204</v>
      </c>
      <c r="J23">
        <v>14086</v>
      </c>
      <c r="K23">
        <v>12671</v>
      </c>
      <c r="L23">
        <v>38661</v>
      </c>
      <c r="M23">
        <v>0.33169999999999999</v>
      </c>
      <c r="N23">
        <v>-0.28299999999999997</v>
      </c>
      <c r="O23">
        <v>0</v>
      </c>
      <c r="P23" t="b">
        <f t="shared" si="1"/>
        <v>0</v>
      </c>
      <c r="Q23" t="str">
        <f t="shared" si="0"/>
        <v>Negative</v>
      </c>
    </row>
    <row r="24" spans="1:35" x14ac:dyDescent="0.3">
      <c r="A24" t="s">
        <v>83</v>
      </c>
      <c r="B24" t="s">
        <v>16</v>
      </c>
      <c r="C24" t="s">
        <v>61</v>
      </c>
      <c r="D24" t="s">
        <v>73</v>
      </c>
      <c r="E24" t="s">
        <v>58</v>
      </c>
      <c r="F24" t="s">
        <v>24</v>
      </c>
      <c r="G24" s="1">
        <v>45427</v>
      </c>
      <c r="H24" t="s">
        <v>30</v>
      </c>
      <c r="I24">
        <v>1255056</v>
      </c>
      <c r="J24">
        <v>104588</v>
      </c>
      <c r="K24">
        <v>22667</v>
      </c>
      <c r="L24">
        <v>8393</v>
      </c>
      <c r="M24">
        <v>0.1081</v>
      </c>
      <c r="N24">
        <v>-0.10100000000000001</v>
      </c>
      <c r="O24">
        <v>0</v>
      </c>
      <c r="P24" t="b">
        <f t="shared" si="1"/>
        <v>0</v>
      </c>
      <c r="Q24" t="str">
        <f t="shared" si="0"/>
        <v>Negative</v>
      </c>
    </row>
    <row r="25" spans="1:35" x14ac:dyDescent="0.3">
      <c r="A25" t="s">
        <v>84</v>
      </c>
      <c r="B25" t="s">
        <v>66</v>
      </c>
      <c r="C25" t="s">
        <v>61</v>
      </c>
      <c r="D25" t="s">
        <v>37</v>
      </c>
      <c r="E25" t="s">
        <v>58</v>
      </c>
      <c r="F25" t="s">
        <v>20</v>
      </c>
      <c r="G25" s="1">
        <v>45349</v>
      </c>
      <c r="H25" t="s">
        <v>85</v>
      </c>
      <c r="I25">
        <v>8806000</v>
      </c>
      <c r="J25">
        <v>314500</v>
      </c>
      <c r="K25">
        <v>23604</v>
      </c>
      <c r="L25">
        <v>35223</v>
      </c>
      <c r="M25">
        <v>4.24E-2</v>
      </c>
      <c r="N25">
        <v>0.33200000000000002</v>
      </c>
      <c r="O25">
        <v>1</v>
      </c>
      <c r="P25" t="b">
        <f t="shared" si="1"/>
        <v>1</v>
      </c>
      <c r="Q25" t="str">
        <f t="shared" si="0"/>
        <v>Positive</v>
      </c>
    </row>
    <row r="26" spans="1:35" x14ac:dyDescent="0.3">
      <c r="A26" t="s">
        <v>86</v>
      </c>
      <c r="B26" t="s">
        <v>27</v>
      </c>
      <c r="C26" t="s">
        <v>23</v>
      </c>
      <c r="D26" t="s">
        <v>37</v>
      </c>
      <c r="E26" t="s">
        <v>19</v>
      </c>
      <c r="F26" t="s">
        <v>20</v>
      </c>
      <c r="G26" s="1">
        <v>45516</v>
      </c>
      <c r="H26" t="s">
        <v>87</v>
      </c>
      <c r="I26">
        <v>3345769</v>
      </c>
      <c r="J26">
        <v>477967</v>
      </c>
      <c r="K26">
        <v>10970</v>
      </c>
      <c r="L26">
        <v>24539</v>
      </c>
      <c r="M26">
        <v>0.1535</v>
      </c>
      <c r="N26">
        <v>-5.6000000000000001E-2</v>
      </c>
      <c r="O26">
        <v>1</v>
      </c>
      <c r="P26" t="b">
        <f t="shared" si="1"/>
        <v>1</v>
      </c>
      <c r="Q26" t="str">
        <f t="shared" si="0"/>
        <v>Negative</v>
      </c>
    </row>
    <row r="27" spans="1:35" x14ac:dyDescent="0.3">
      <c r="A27" t="s">
        <v>88</v>
      </c>
      <c r="B27" t="s">
        <v>16</v>
      </c>
      <c r="C27" t="s">
        <v>17</v>
      </c>
      <c r="D27" t="s">
        <v>37</v>
      </c>
      <c r="E27" t="s">
        <v>51</v>
      </c>
      <c r="F27" t="s">
        <v>55</v>
      </c>
      <c r="G27" s="1">
        <v>45423</v>
      </c>
      <c r="H27" t="s">
        <v>89</v>
      </c>
      <c r="I27">
        <v>2628472</v>
      </c>
      <c r="J27">
        <v>375496</v>
      </c>
      <c r="K27">
        <v>8115</v>
      </c>
      <c r="L27">
        <v>79310</v>
      </c>
      <c r="M27">
        <v>0.17610000000000001</v>
      </c>
      <c r="N27">
        <v>0.52200000000000002</v>
      </c>
      <c r="O27">
        <v>1</v>
      </c>
      <c r="P27" t="b">
        <f t="shared" si="1"/>
        <v>1</v>
      </c>
      <c r="Q27" t="str">
        <f t="shared" si="0"/>
        <v>Positive</v>
      </c>
    </row>
    <row r="28" spans="1:35" x14ac:dyDescent="0.3">
      <c r="A28" t="s">
        <v>90</v>
      </c>
      <c r="B28" t="s">
        <v>66</v>
      </c>
      <c r="C28" t="s">
        <v>17</v>
      </c>
      <c r="D28" t="s">
        <v>18</v>
      </c>
      <c r="E28" t="s">
        <v>58</v>
      </c>
      <c r="F28" t="s">
        <v>34</v>
      </c>
      <c r="G28" s="1">
        <v>45299</v>
      </c>
      <c r="H28" t="s">
        <v>91</v>
      </c>
      <c r="I28">
        <v>1285778</v>
      </c>
      <c r="J28">
        <v>98906</v>
      </c>
      <c r="K28">
        <v>6915</v>
      </c>
      <c r="L28">
        <v>90983</v>
      </c>
      <c r="M28">
        <v>0.15310000000000001</v>
      </c>
      <c r="N28">
        <v>0.42099999999999999</v>
      </c>
      <c r="O28">
        <v>0</v>
      </c>
      <c r="P28" t="b">
        <f t="shared" si="1"/>
        <v>0</v>
      </c>
      <c r="Q28" t="str">
        <f t="shared" si="0"/>
        <v>Positive</v>
      </c>
    </row>
    <row r="29" spans="1:35" x14ac:dyDescent="0.3">
      <c r="A29" t="s">
        <v>92</v>
      </c>
      <c r="B29" t="s">
        <v>27</v>
      </c>
      <c r="C29" t="s">
        <v>23</v>
      </c>
      <c r="D29" t="s">
        <v>29</v>
      </c>
      <c r="E29" t="s">
        <v>58</v>
      </c>
      <c r="F29" t="s">
        <v>55</v>
      </c>
      <c r="G29" s="1">
        <v>45636</v>
      </c>
      <c r="H29" t="s">
        <v>93</v>
      </c>
      <c r="I29">
        <v>5038587</v>
      </c>
      <c r="J29">
        <v>219069</v>
      </c>
      <c r="K29">
        <v>23424</v>
      </c>
      <c r="L29">
        <v>50637</v>
      </c>
      <c r="M29">
        <v>5.8200000000000002E-2</v>
      </c>
      <c r="N29">
        <v>-0.93700000000000006</v>
      </c>
      <c r="O29">
        <v>1</v>
      </c>
      <c r="P29" t="b">
        <f t="shared" si="1"/>
        <v>1</v>
      </c>
      <c r="Q29" t="str">
        <f t="shared" si="0"/>
        <v>Negative</v>
      </c>
    </row>
    <row r="30" spans="1:35" x14ac:dyDescent="0.3">
      <c r="A30" t="s">
        <v>94</v>
      </c>
      <c r="B30" t="s">
        <v>27</v>
      </c>
      <c r="C30" t="s">
        <v>61</v>
      </c>
      <c r="D30" t="s">
        <v>33</v>
      </c>
      <c r="E30" t="s">
        <v>38</v>
      </c>
      <c r="F30" t="s">
        <v>46</v>
      </c>
      <c r="G30" s="1">
        <v>45538</v>
      </c>
      <c r="H30" t="s">
        <v>95</v>
      </c>
      <c r="I30">
        <v>1989200</v>
      </c>
      <c r="J30">
        <v>248650</v>
      </c>
      <c r="K30">
        <v>41528</v>
      </c>
      <c r="L30">
        <v>54269</v>
      </c>
      <c r="M30">
        <v>0.17319999999999999</v>
      </c>
      <c r="N30">
        <v>0.81499999999999995</v>
      </c>
      <c r="O30">
        <v>0</v>
      </c>
      <c r="P30" t="b">
        <f t="shared" si="1"/>
        <v>0</v>
      </c>
      <c r="Q30" t="str">
        <f t="shared" si="0"/>
        <v>Positive</v>
      </c>
    </row>
    <row r="31" spans="1:35" x14ac:dyDescent="0.3">
      <c r="A31" t="s">
        <v>96</v>
      </c>
      <c r="B31" t="s">
        <v>16</v>
      </c>
      <c r="C31" t="s">
        <v>28</v>
      </c>
      <c r="D31" t="s">
        <v>73</v>
      </c>
      <c r="E31" t="s">
        <v>58</v>
      </c>
      <c r="F31" t="s">
        <v>34</v>
      </c>
      <c r="G31" s="1">
        <v>45578</v>
      </c>
      <c r="H31" t="s">
        <v>97</v>
      </c>
      <c r="I31">
        <v>2013582</v>
      </c>
      <c r="J31">
        <v>105978</v>
      </c>
      <c r="K31">
        <v>6379</v>
      </c>
      <c r="L31">
        <v>56045</v>
      </c>
      <c r="M31">
        <v>8.3599999999999994E-2</v>
      </c>
      <c r="N31">
        <v>0.51100000000000001</v>
      </c>
      <c r="O31">
        <v>1</v>
      </c>
      <c r="P31" t="b">
        <f t="shared" si="1"/>
        <v>1</v>
      </c>
      <c r="Q31" t="str">
        <f t="shared" si="0"/>
        <v>Positive</v>
      </c>
      <c r="AA31" s="2" t="s">
        <v>3276</v>
      </c>
      <c r="AB31" s="2" t="s">
        <v>3275</v>
      </c>
      <c r="AF31" s="2" t="s">
        <v>3268</v>
      </c>
      <c r="AG31" t="s">
        <v>3274</v>
      </c>
      <c r="AH31" t="s">
        <v>3270</v>
      </c>
      <c r="AI31" t="s">
        <v>3278</v>
      </c>
    </row>
    <row r="32" spans="1:35" x14ac:dyDescent="0.3">
      <c r="A32" t="s">
        <v>98</v>
      </c>
      <c r="B32" t="s">
        <v>27</v>
      </c>
      <c r="C32" t="s">
        <v>23</v>
      </c>
      <c r="D32" t="s">
        <v>73</v>
      </c>
      <c r="E32" t="s">
        <v>19</v>
      </c>
      <c r="F32" t="s">
        <v>46</v>
      </c>
      <c r="G32" s="1">
        <v>45320</v>
      </c>
      <c r="H32" t="s">
        <v>99</v>
      </c>
      <c r="I32">
        <v>3794977</v>
      </c>
      <c r="J32">
        <v>164999</v>
      </c>
      <c r="K32">
        <v>16203</v>
      </c>
      <c r="L32">
        <v>75451</v>
      </c>
      <c r="M32">
        <v>6.7599999999999993E-2</v>
      </c>
      <c r="N32">
        <v>-0.67800000000000005</v>
      </c>
      <c r="O32">
        <v>1</v>
      </c>
      <c r="P32" t="b">
        <f t="shared" si="1"/>
        <v>1</v>
      </c>
      <c r="Q32" t="str">
        <f t="shared" si="0"/>
        <v>Negative</v>
      </c>
      <c r="AA32" s="2" t="s">
        <v>3268</v>
      </c>
      <c r="AB32" t="s">
        <v>3272</v>
      </c>
      <c r="AC32" t="s">
        <v>3273</v>
      </c>
      <c r="AD32" t="s">
        <v>3269</v>
      </c>
      <c r="AF32" s="3" t="s">
        <v>3272</v>
      </c>
      <c r="AG32" s="4">
        <v>0.33971146179401973</v>
      </c>
      <c r="AH32" s="4">
        <v>609930198</v>
      </c>
      <c r="AI32" s="4">
        <v>602</v>
      </c>
    </row>
    <row r="33" spans="1:35" x14ac:dyDescent="0.3">
      <c r="A33" t="s">
        <v>100</v>
      </c>
      <c r="B33" t="s">
        <v>16</v>
      </c>
      <c r="C33" t="s">
        <v>61</v>
      </c>
      <c r="D33" t="s">
        <v>18</v>
      </c>
      <c r="E33" t="s">
        <v>51</v>
      </c>
      <c r="F33" t="s">
        <v>20</v>
      </c>
      <c r="G33" s="1">
        <v>45467</v>
      </c>
      <c r="H33" t="s">
        <v>101</v>
      </c>
      <c r="I33">
        <v>1266865</v>
      </c>
      <c r="J33">
        <v>43685</v>
      </c>
      <c r="K33">
        <v>43694</v>
      </c>
      <c r="L33">
        <v>64045</v>
      </c>
      <c r="M33">
        <v>0.1195</v>
      </c>
      <c r="N33">
        <v>-0.78900000000000003</v>
      </c>
      <c r="O33">
        <v>0</v>
      </c>
      <c r="P33" t="b">
        <f t="shared" si="1"/>
        <v>0</v>
      </c>
      <c r="Q33" t="str">
        <f t="shared" si="0"/>
        <v>Negative</v>
      </c>
      <c r="AA33" s="3" t="s">
        <v>16</v>
      </c>
      <c r="AB33" s="5">
        <v>7.85E-2</v>
      </c>
      <c r="AC33" s="5">
        <v>0.191</v>
      </c>
      <c r="AD33" s="5">
        <v>0.26950000000000002</v>
      </c>
      <c r="AF33" s="3" t="s">
        <v>3273</v>
      </c>
      <c r="AG33" s="4">
        <v>7.9540414878397678E-2</v>
      </c>
      <c r="AH33" s="4">
        <v>7959788945</v>
      </c>
      <c r="AI33" s="4">
        <v>1398</v>
      </c>
    </row>
    <row r="34" spans="1:35" x14ac:dyDescent="0.3">
      <c r="A34" t="s">
        <v>102</v>
      </c>
      <c r="B34" t="s">
        <v>16</v>
      </c>
      <c r="C34" t="s">
        <v>17</v>
      </c>
      <c r="D34" t="s">
        <v>54</v>
      </c>
      <c r="E34" t="s">
        <v>19</v>
      </c>
      <c r="F34" t="s">
        <v>20</v>
      </c>
      <c r="G34" s="1">
        <v>45589</v>
      </c>
      <c r="H34" t="s">
        <v>44</v>
      </c>
      <c r="I34">
        <v>11719656</v>
      </c>
      <c r="J34">
        <v>488319</v>
      </c>
      <c r="K34">
        <v>29728</v>
      </c>
      <c r="L34">
        <v>69164</v>
      </c>
      <c r="M34">
        <v>5.0099999999999999E-2</v>
      </c>
      <c r="N34">
        <v>0.78500000000000003</v>
      </c>
      <c r="O34">
        <v>1</v>
      </c>
      <c r="P34" t="b">
        <f t="shared" si="1"/>
        <v>1</v>
      </c>
      <c r="Q34" t="str">
        <f t="shared" si="0"/>
        <v>Positive</v>
      </c>
      <c r="AA34" s="3" t="s">
        <v>66</v>
      </c>
      <c r="AB34" s="5">
        <v>7.0999999999999994E-2</v>
      </c>
      <c r="AC34" s="5">
        <v>0.16750000000000001</v>
      </c>
      <c r="AD34" s="5">
        <v>0.23849999999999999</v>
      </c>
      <c r="AF34" s="3" t="s">
        <v>3269</v>
      </c>
      <c r="AG34" s="4">
        <v>0.15785189999999988</v>
      </c>
      <c r="AH34" s="4">
        <v>8569719143</v>
      </c>
      <c r="AI34" s="4">
        <v>2000</v>
      </c>
    </row>
    <row r="35" spans="1:35" x14ac:dyDescent="0.3">
      <c r="A35" t="s">
        <v>103</v>
      </c>
      <c r="B35" t="s">
        <v>16</v>
      </c>
      <c r="C35" t="s">
        <v>28</v>
      </c>
      <c r="D35" t="s">
        <v>37</v>
      </c>
      <c r="E35" t="s">
        <v>51</v>
      </c>
      <c r="F35" t="s">
        <v>34</v>
      </c>
      <c r="G35" s="1">
        <v>45617</v>
      </c>
      <c r="H35" t="s">
        <v>104</v>
      </c>
      <c r="I35">
        <v>4131162</v>
      </c>
      <c r="J35">
        <v>153006</v>
      </c>
      <c r="K35">
        <v>18052</v>
      </c>
      <c r="L35">
        <v>26106</v>
      </c>
      <c r="M35">
        <v>4.7699999999999999E-2</v>
      </c>
      <c r="N35">
        <v>0.79200000000000004</v>
      </c>
      <c r="O35">
        <v>1</v>
      </c>
      <c r="P35" t="b">
        <f t="shared" si="1"/>
        <v>1</v>
      </c>
      <c r="Q35" t="str">
        <f t="shared" si="0"/>
        <v>Positive</v>
      </c>
      <c r="AA35" s="3" t="s">
        <v>32</v>
      </c>
      <c r="AB35" s="5">
        <v>7.3499999999999996E-2</v>
      </c>
      <c r="AC35" s="5">
        <v>0.16900000000000001</v>
      </c>
      <c r="AD35" s="5">
        <v>0.24249999999999999</v>
      </c>
    </row>
    <row r="36" spans="1:35" x14ac:dyDescent="0.3">
      <c r="A36" t="s">
        <v>105</v>
      </c>
      <c r="B36" t="s">
        <v>16</v>
      </c>
      <c r="C36" t="s">
        <v>23</v>
      </c>
      <c r="D36" t="s">
        <v>37</v>
      </c>
      <c r="E36" t="s">
        <v>51</v>
      </c>
      <c r="F36" t="s">
        <v>20</v>
      </c>
      <c r="G36" s="1">
        <v>45419</v>
      </c>
      <c r="H36" t="s">
        <v>106</v>
      </c>
      <c r="I36">
        <v>1286498</v>
      </c>
      <c r="J36">
        <v>44362</v>
      </c>
      <c r="K36">
        <v>23781</v>
      </c>
      <c r="L36">
        <v>30081</v>
      </c>
      <c r="M36">
        <v>7.6300000000000007E-2</v>
      </c>
      <c r="N36">
        <v>0.29499999999999998</v>
      </c>
      <c r="O36">
        <v>0</v>
      </c>
      <c r="P36" t="b">
        <f t="shared" si="1"/>
        <v>0</v>
      </c>
      <c r="Q36" t="str">
        <f t="shared" si="0"/>
        <v>Positive</v>
      </c>
      <c r="AA36" s="3" t="s">
        <v>27</v>
      </c>
      <c r="AB36" s="5">
        <v>7.8E-2</v>
      </c>
      <c r="AC36" s="5">
        <v>0.17150000000000001</v>
      </c>
      <c r="AD36" s="5">
        <v>0.2495</v>
      </c>
    </row>
    <row r="37" spans="1:35" x14ac:dyDescent="0.3">
      <c r="A37" t="s">
        <v>107</v>
      </c>
      <c r="B37" t="s">
        <v>66</v>
      </c>
      <c r="C37" t="s">
        <v>61</v>
      </c>
      <c r="D37" t="s">
        <v>54</v>
      </c>
      <c r="E37" t="s">
        <v>38</v>
      </c>
      <c r="F37" t="s">
        <v>55</v>
      </c>
      <c r="G37" s="1">
        <v>45292</v>
      </c>
      <c r="H37" t="s">
        <v>108</v>
      </c>
      <c r="I37">
        <v>965636</v>
      </c>
      <c r="J37">
        <v>137948</v>
      </c>
      <c r="K37">
        <v>27256</v>
      </c>
      <c r="L37">
        <v>55017</v>
      </c>
      <c r="M37">
        <v>0.2281</v>
      </c>
      <c r="N37">
        <v>-0.98599999999999999</v>
      </c>
      <c r="O37">
        <v>0</v>
      </c>
      <c r="P37" t="b">
        <f t="shared" si="1"/>
        <v>0</v>
      </c>
      <c r="Q37" t="str">
        <f t="shared" si="0"/>
        <v>Negative</v>
      </c>
      <c r="AA37" s="3" t="s">
        <v>3269</v>
      </c>
      <c r="AB37" s="5">
        <v>0.30099999999999999</v>
      </c>
      <c r="AC37" s="5">
        <v>0.69899999999999995</v>
      </c>
      <c r="AD37" s="5">
        <v>1</v>
      </c>
    </row>
    <row r="38" spans="1:35" x14ac:dyDescent="0.3">
      <c r="A38" t="s">
        <v>109</v>
      </c>
      <c r="B38" t="s">
        <v>16</v>
      </c>
      <c r="C38" t="s">
        <v>28</v>
      </c>
      <c r="D38" t="s">
        <v>54</v>
      </c>
      <c r="E38" t="s">
        <v>58</v>
      </c>
      <c r="F38" t="s">
        <v>20</v>
      </c>
      <c r="G38" s="1">
        <v>45606</v>
      </c>
      <c r="H38" t="s">
        <v>110</v>
      </c>
      <c r="I38">
        <v>198531</v>
      </c>
      <c r="J38">
        <v>22059</v>
      </c>
      <c r="K38">
        <v>5535</v>
      </c>
      <c r="L38">
        <v>94857</v>
      </c>
      <c r="M38">
        <v>0.61680000000000001</v>
      </c>
      <c r="N38">
        <v>0.38500000000000001</v>
      </c>
      <c r="O38">
        <v>0</v>
      </c>
      <c r="P38" t="b">
        <f t="shared" si="1"/>
        <v>0</v>
      </c>
      <c r="Q38" t="str">
        <f t="shared" si="0"/>
        <v>Positive</v>
      </c>
    </row>
    <row r="39" spans="1:35" x14ac:dyDescent="0.3">
      <c r="A39" t="s">
        <v>111</v>
      </c>
      <c r="B39" t="s">
        <v>27</v>
      </c>
      <c r="C39" t="s">
        <v>28</v>
      </c>
      <c r="D39" t="s">
        <v>73</v>
      </c>
      <c r="E39" t="s">
        <v>41</v>
      </c>
      <c r="F39" t="s">
        <v>20</v>
      </c>
      <c r="G39" s="1">
        <v>45557</v>
      </c>
      <c r="H39" t="s">
        <v>112</v>
      </c>
      <c r="I39">
        <v>354770</v>
      </c>
      <c r="J39">
        <v>13645</v>
      </c>
      <c r="K39">
        <v>668</v>
      </c>
      <c r="L39">
        <v>34767</v>
      </c>
      <c r="M39">
        <v>0.13830000000000001</v>
      </c>
      <c r="N39">
        <v>-0.56200000000000006</v>
      </c>
      <c r="O39">
        <v>0</v>
      </c>
      <c r="P39" t="b">
        <f t="shared" si="1"/>
        <v>0</v>
      </c>
      <c r="Q39" t="str">
        <f t="shared" si="0"/>
        <v>Negative</v>
      </c>
    </row>
    <row r="40" spans="1:35" x14ac:dyDescent="0.3">
      <c r="A40" t="s">
        <v>113</v>
      </c>
      <c r="B40" t="s">
        <v>16</v>
      </c>
      <c r="C40" t="s">
        <v>28</v>
      </c>
      <c r="D40" t="s">
        <v>73</v>
      </c>
      <c r="E40" t="s">
        <v>19</v>
      </c>
      <c r="F40" t="s">
        <v>24</v>
      </c>
      <c r="G40" s="1">
        <v>45407</v>
      </c>
      <c r="H40" t="s">
        <v>114</v>
      </c>
      <c r="I40">
        <v>1654560</v>
      </c>
      <c r="J40">
        <v>68940</v>
      </c>
      <c r="K40">
        <v>46581</v>
      </c>
      <c r="L40">
        <v>39354</v>
      </c>
      <c r="M40">
        <v>9.3600000000000003E-2</v>
      </c>
      <c r="N40">
        <v>-0.50600000000000001</v>
      </c>
      <c r="O40">
        <v>0</v>
      </c>
      <c r="P40" t="b">
        <f t="shared" si="1"/>
        <v>0</v>
      </c>
      <c r="Q40" t="str">
        <f t="shared" si="0"/>
        <v>Negative</v>
      </c>
    </row>
    <row r="41" spans="1:35" x14ac:dyDescent="0.3">
      <c r="A41" t="s">
        <v>115</v>
      </c>
      <c r="B41" t="s">
        <v>16</v>
      </c>
      <c r="C41" t="s">
        <v>61</v>
      </c>
      <c r="D41" t="s">
        <v>33</v>
      </c>
      <c r="E41" t="s">
        <v>51</v>
      </c>
      <c r="F41" t="s">
        <v>46</v>
      </c>
      <c r="G41" s="1">
        <v>45367</v>
      </c>
      <c r="H41" t="s">
        <v>116</v>
      </c>
      <c r="I41">
        <v>1373778</v>
      </c>
      <c r="J41">
        <v>65418</v>
      </c>
      <c r="K41">
        <v>44422</v>
      </c>
      <c r="L41">
        <v>89475</v>
      </c>
      <c r="M41">
        <v>0.14510000000000001</v>
      </c>
      <c r="N41">
        <v>-0.70399999999999996</v>
      </c>
      <c r="O41">
        <v>0</v>
      </c>
      <c r="P41" t="b">
        <f t="shared" si="1"/>
        <v>0</v>
      </c>
      <c r="Q41" t="str">
        <f t="shared" si="0"/>
        <v>Negative</v>
      </c>
    </row>
    <row r="42" spans="1:35" x14ac:dyDescent="0.3">
      <c r="A42" t="s">
        <v>117</v>
      </c>
      <c r="B42" t="s">
        <v>66</v>
      </c>
      <c r="C42" t="s">
        <v>17</v>
      </c>
      <c r="D42" t="s">
        <v>29</v>
      </c>
      <c r="E42" t="s">
        <v>58</v>
      </c>
      <c r="F42" t="s">
        <v>34</v>
      </c>
      <c r="G42" s="1">
        <v>45358</v>
      </c>
      <c r="H42" t="s">
        <v>118</v>
      </c>
      <c r="I42">
        <v>1542306</v>
      </c>
      <c r="J42">
        <v>257051</v>
      </c>
      <c r="K42">
        <v>27733</v>
      </c>
      <c r="L42">
        <v>26737</v>
      </c>
      <c r="M42">
        <v>0.20200000000000001</v>
      </c>
      <c r="N42">
        <v>5.0000000000000001E-3</v>
      </c>
      <c r="O42">
        <v>0</v>
      </c>
      <c r="P42" t="b">
        <f t="shared" si="1"/>
        <v>0</v>
      </c>
      <c r="Q42" t="str">
        <f t="shared" si="0"/>
        <v>Positive</v>
      </c>
    </row>
    <row r="43" spans="1:35" x14ac:dyDescent="0.3">
      <c r="A43" t="s">
        <v>119</v>
      </c>
      <c r="B43" t="s">
        <v>27</v>
      </c>
      <c r="C43" t="s">
        <v>17</v>
      </c>
      <c r="D43" t="s">
        <v>29</v>
      </c>
      <c r="E43" t="s">
        <v>58</v>
      </c>
      <c r="F43" t="s">
        <v>24</v>
      </c>
      <c r="G43" s="1">
        <v>45557</v>
      </c>
      <c r="H43" t="s">
        <v>120</v>
      </c>
      <c r="I43">
        <v>1872125</v>
      </c>
      <c r="J43">
        <v>374425</v>
      </c>
      <c r="K43">
        <v>859</v>
      </c>
      <c r="L43">
        <v>90085</v>
      </c>
      <c r="M43">
        <v>0.24859999999999999</v>
      </c>
      <c r="N43">
        <v>0.26900000000000002</v>
      </c>
      <c r="O43">
        <v>0</v>
      </c>
      <c r="P43" t="b">
        <f t="shared" si="1"/>
        <v>0</v>
      </c>
      <c r="Q43" t="str">
        <f t="shared" si="0"/>
        <v>Positive</v>
      </c>
    </row>
    <row r="44" spans="1:35" x14ac:dyDescent="0.3">
      <c r="A44" t="s">
        <v>121</v>
      </c>
      <c r="B44" t="s">
        <v>66</v>
      </c>
      <c r="C44" t="s">
        <v>28</v>
      </c>
      <c r="D44" t="s">
        <v>73</v>
      </c>
      <c r="E44" t="s">
        <v>51</v>
      </c>
      <c r="F44" t="s">
        <v>55</v>
      </c>
      <c r="G44" s="1">
        <v>45357</v>
      </c>
      <c r="H44" t="s">
        <v>122</v>
      </c>
      <c r="I44">
        <v>1778890</v>
      </c>
      <c r="J44">
        <v>177889</v>
      </c>
      <c r="K44">
        <v>21561</v>
      </c>
      <c r="L44">
        <v>50860</v>
      </c>
      <c r="M44">
        <v>0.14069999999999999</v>
      </c>
      <c r="N44">
        <v>-0.51600000000000001</v>
      </c>
      <c r="O44">
        <v>0</v>
      </c>
      <c r="P44" t="b">
        <f t="shared" si="1"/>
        <v>0</v>
      </c>
      <c r="Q44" t="str">
        <f t="shared" si="0"/>
        <v>Negative</v>
      </c>
      <c r="AA44" s="2" t="s">
        <v>3268</v>
      </c>
      <c r="AB44" t="s">
        <v>3282</v>
      </c>
      <c r="AC44" t="s">
        <v>3277</v>
      </c>
      <c r="AE44" s="2" t="s">
        <v>3268</v>
      </c>
      <c r="AF44" t="s">
        <v>3283</v>
      </c>
      <c r="AG44" t="s">
        <v>3277</v>
      </c>
      <c r="AH44" t="s">
        <v>3284</v>
      </c>
    </row>
    <row r="45" spans="1:35" x14ac:dyDescent="0.3">
      <c r="A45" t="s">
        <v>123</v>
      </c>
      <c r="B45" t="s">
        <v>66</v>
      </c>
      <c r="C45" t="s">
        <v>17</v>
      </c>
      <c r="D45" t="s">
        <v>18</v>
      </c>
      <c r="E45" t="s">
        <v>58</v>
      </c>
      <c r="F45" t="s">
        <v>34</v>
      </c>
      <c r="G45" s="1">
        <v>45454</v>
      </c>
      <c r="H45" t="s">
        <v>124</v>
      </c>
      <c r="I45">
        <v>705670</v>
      </c>
      <c r="J45">
        <v>70567</v>
      </c>
      <c r="K45">
        <v>32975</v>
      </c>
      <c r="L45">
        <v>12689</v>
      </c>
      <c r="M45">
        <v>0.16470000000000001</v>
      </c>
      <c r="N45">
        <v>-0.26400000000000001</v>
      </c>
      <c r="O45">
        <v>0</v>
      </c>
      <c r="P45" t="b">
        <f t="shared" si="1"/>
        <v>0</v>
      </c>
      <c r="Q45" t="str">
        <f t="shared" si="0"/>
        <v>Negative</v>
      </c>
      <c r="AA45" s="3" t="s">
        <v>3280</v>
      </c>
      <c r="AB45" s="5">
        <v>0.4995</v>
      </c>
      <c r="AC45" s="4">
        <v>999</v>
      </c>
      <c r="AE45" s="3" t="s">
        <v>16</v>
      </c>
      <c r="AF45" s="4">
        <v>-7.4063079777365688E-3</v>
      </c>
      <c r="AG45" s="4">
        <v>539</v>
      </c>
      <c r="AH45" t="str">
        <f>IF(GETPIVOTDATA("Average of sentiment_score",$AE$44,"platform","Instagram")&gt;0,"Positive","Negative")</f>
        <v>Negative</v>
      </c>
    </row>
    <row r="46" spans="1:35" x14ac:dyDescent="0.3">
      <c r="A46" t="s">
        <v>125</v>
      </c>
      <c r="B46" t="s">
        <v>32</v>
      </c>
      <c r="C46" t="s">
        <v>23</v>
      </c>
      <c r="D46" t="s">
        <v>29</v>
      </c>
      <c r="E46" t="s">
        <v>19</v>
      </c>
      <c r="F46" t="s">
        <v>20</v>
      </c>
      <c r="G46" s="1">
        <v>45377</v>
      </c>
      <c r="H46" t="s">
        <v>126</v>
      </c>
      <c r="I46">
        <v>11580374</v>
      </c>
      <c r="J46">
        <v>445399</v>
      </c>
      <c r="K46">
        <v>40550</v>
      </c>
      <c r="L46">
        <v>65734</v>
      </c>
      <c r="M46">
        <v>4.7600000000000003E-2</v>
      </c>
      <c r="N46">
        <v>7.1999999999999995E-2</v>
      </c>
      <c r="O46">
        <v>1</v>
      </c>
      <c r="P46" t="b">
        <f t="shared" si="1"/>
        <v>1</v>
      </c>
      <c r="Q46" t="str">
        <f t="shared" si="0"/>
        <v>Positive</v>
      </c>
      <c r="AA46" s="3" t="s">
        <v>3281</v>
      </c>
      <c r="AB46" s="5">
        <v>0.50049999999999994</v>
      </c>
      <c r="AC46" s="4">
        <v>1001</v>
      </c>
      <c r="AE46" s="6" t="s">
        <v>3280</v>
      </c>
      <c r="AF46" s="4">
        <v>-0.48940143369175632</v>
      </c>
      <c r="AG46" s="4">
        <v>279</v>
      </c>
      <c r="AH46" t="str">
        <f>IF(GETPIVOTDATA("Average of sentiment_score",$AE$44,"platform","Instagram")&gt;0,"Positive","Negative")</f>
        <v>Negative</v>
      </c>
    </row>
    <row r="47" spans="1:35" x14ac:dyDescent="0.3">
      <c r="A47" t="s">
        <v>127</v>
      </c>
      <c r="B47" t="s">
        <v>32</v>
      </c>
      <c r="C47" t="s">
        <v>28</v>
      </c>
      <c r="D47" t="s">
        <v>37</v>
      </c>
      <c r="E47" t="s">
        <v>51</v>
      </c>
      <c r="F47" t="s">
        <v>20</v>
      </c>
      <c r="G47" s="1">
        <v>45308</v>
      </c>
      <c r="H47" t="s">
        <v>128</v>
      </c>
      <c r="I47">
        <v>4457271</v>
      </c>
      <c r="J47">
        <v>342867</v>
      </c>
      <c r="K47">
        <v>22676</v>
      </c>
      <c r="L47">
        <v>25185</v>
      </c>
      <c r="M47">
        <v>8.77E-2</v>
      </c>
      <c r="N47">
        <v>-0.35799999999999998</v>
      </c>
      <c r="O47">
        <v>1</v>
      </c>
      <c r="P47" t="b">
        <f t="shared" si="1"/>
        <v>1</v>
      </c>
      <c r="Q47" t="str">
        <f t="shared" si="0"/>
        <v>Negative</v>
      </c>
      <c r="AA47" s="3" t="s">
        <v>3269</v>
      </c>
      <c r="AB47" s="5">
        <v>1</v>
      </c>
      <c r="AC47" s="4">
        <v>2000</v>
      </c>
      <c r="AE47" s="6" t="s">
        <v>3281</v>
      </c>
      <c r="AF47" s="4">
        <v>0.50981153846153859</v>
      </c>
      <c r="AG47" s="4">
        <v>260</v>
      </c>
      <c r="AH47" t="str">
        <f>IF(GETPIVOTDATA("Average of sentiment_score",$AE$44,"platform","Instagram")&gt;0,"Positive","Negative")</f>
        <v>Negative</v>
      </c>
    </row>
    <row r="48" spans="1:35" x14ac:dyDescent="0.3">
      <c r="A48" t="s">
        <v>129</v>
      </c>
      <c r="B48" t="s">
        <v>66</v>
      </c>
      <c r="C48" t="s">
        <v>17</v>
      </c>
      <c r="D48" t="s">
        <v>29</v>
      </c>
      <c r="E48" t="s">
        <v>51</v>
      </c>
      <c r="F48" t="s">
        <v>20</v>
      </c>
      <c r="G48" s="1">
        <v>45446</v>
      </c>
      <c r="H48" t="s">
        <v>130</v>
      </c>
      <c r="I48">
        <v>1242312</v>
      </c>
      <c r="J48">
        <v>51763</v>
      </c>
      <c r="K48">
        <v>15713</v>
      </c>
      <c r="L48">
        <v>91907</v>
      </c>
      <c r="M48">
        <v>0.1283</v>
      </c>
      <c r="N48">
        <v>-0.34799999999999998</v>
      </c>
      <c r="O48">
        <v>0</v>
      </c>
      <c r="P48" t="b">
        <f t="shared" si="1"/>
        <v>0</v>
      </c>
      <c r="Q48" t="str">
        <f t="shared" si="0"/>
        <v>Negative</v>
      </c>
      <c r="AE48" s="3" t="s">
        <v>66</v>
      </c>
      <c r="AF48" s="4">
        <v>2.6039832285115559E-2</v>
      </c>
      <c r="AG48" s="4">
        <v>477</v>
      </c>
      <c r="AH48" t="str">
        <f>IF(GETPIVOTDATA("Average of sentiment_score",$AE$44,"platform","Instagram")&gt;0,"Positive","Negative")</f>
        <v>Negative</v>
      </c>
    </row>
    <row r="49" spans="1:34" x14ac:dyDescent="0.3">
      <c r="A49" t="s">
        <v>131</v>
      </c>
      <c r="B49" t="s">
        <v>27</v>
      </c>
      <c r="C49" t="s">
        <v>23</v>
      </c>
      <c r="D49" t="s">
        <v>29</v>
      </c>
      <c r="E49" t="s">
        <v>58</v>
      </c>
      <c r="F49" t="s">
        <v>55</v>
      </c>
      <c r="G49" s="1">
        <v>45387</v>
      </c>
      <c r="H49" t="s">
        <v>132</v>
      </c>
      <c r="I49">
        <v>2590881</v>
      </c>
      <c r="J49">
        <v>112647</v>
      </c>
      <c r="K49">
        <v>6551</v>
      </c>
      <c r="L49">
        <v>34755</v>
      </c>
      <c r="M49">
        <v>5.9400000000000001E-2</v>
      </c>
      <c r="N49">
        <v>-0.30299999999999999</v>
      </c>
      <c r="O49">
        <v>1</v>
      </c>
      <c r="P49" t="b">
        <f t="shared" si="1"/>
        <v>1</v>
      </c>
      <c r="Q49" t="str">
        <f t="shared" si="0"/>
        <v>Negative</v>
      </c>
      <c r="AE49" s="6" t="s">
        <v>3280</v>
      </c>
      <c r="AF49" s="4">
        <v>-0.49908108108108051</v>
      </c>
      <c r="AG49" s="4">
        <v>222</v>
      </c>
      <c r="AH49" t="str">
        <f>IF(GETPIVOTDATA("Average of sentiment_score",$AE$44,"platform","Instagram")&gt;0,"Positive","Negative")</f>
        <v>Negative</v>
      </c>
    </row>
    <row r="50" spans="1:34" x14ac:dyDescent="0.3">
      <c r="A50" t="s">
        <v>133</v>
      </c>
      <c r="B50" t="s">
        <v>66</v>
      </c>
      <c r="C50" t="s">
        <v>23</v>
      </c>
      <c r="D50" t="s">
        <v>33</v>
      </c>
      <c r="E50" t="s">
        <v>51</v>
      </c>
      <c r="F50" t="s">
        <v>34</v>
      </c>
      <c r="G50" s="1">
        <v>45311</v>
      </c>
      <c r="H50" t="s">
        <v>134</v>
      </c>
      <c r="I50">
        <v>2302930</v>
      </c>
      <c r="J50">
        <v>460586</v>
      </c>
      <c r="K50">
        <v>18232</v>
      </c>
      <c r="L50">
        <v>8681</v>
      </c>
      <c r="M50">
        <v>0.2117</v>
      </c>
      <c r="N50">
        <v>-0.20499999999999999</v>
      </c>
      <c r="O50">
        <v>1</v>
      </c>
      <c r="P50" t="b">
        <f t="shared" si="1"/>
        <v>1</v>
      </c>
      <c r="Q50" t="str">
        <f t="shared" si="0"/>
        <v>Negative</v>
      </c>
      <c r="AE50" s="6" t="s">
        <v>3281</v>
      </c>
      <c r="AF50" s="4">
        <v>0.48320392156862751</v>
      </c>
      <c r="AG50" s="4">
        <v>255</v>
      </c>
      <c r="AH50" t="str">
        <f>IF(GETPIVOTDATA("Average of sentiment_score",$AE$44,"platform","Instagram")&gt;0,"Positive","Negative")</f>
        <v>Negative</v>
      </c>
    </row>
    <row r="51" spans="1:34" x14ac:dyDescent="0.3">
      <c r="A51" t="s">
        <v>135</v>
      </c>
      <c r="B51" t="s">
        <v>66</v>
      </c>
      <c r="C51" t="s">
        <v>28</v>
      </c>
      <c r="D51" t="s">
        <v>29</v>
      </c>
      <c r="E51" t="s">
        <v>19</v>
      </c>
      <c r="F51" t="s">
        <v>34</v>
      </c>
      <c r="G51" s="1">
        <v>45336</v>
      </c>
      <c r="H51" t="s">
        <v>136</v>
      </c>
      <c r="I51">
        <v>1098930</v>
      </c>
      <c r="J51">
        <v>219786</v>
      </c>
      <c r="K51">
        <v>35158</v>
      </c>
      <c r="L51">
        <v>11112</v>
      </c>
      <c r="M51">
        <v>0.24210000000000001</v>
      </c>
      <c r="N51">
        <v>0.35099999999999998</v>
      </c>
      <c r="O51">
        <v>0</v>
      </c>
      <c r="P51" t="b">
        <f t="shared" si="1"/>
        <v>0</v>
      </c>
      <c r="Q51" t="str">
        <f t="shared" si="0"/>
        <v>Positive</v>
      </c>
      <c r="AE51" s="3" t="s">
        <v>32</v>
      </c>
      <c r="AF51" s="4">
        <v>-3.4453608247421406E-3</v>
      </c>
      <c r="AG51" s="4">
        <v>485</v>
      </c>
      <c r="AH51" t="str">
        <f>IF(GETPIVOTDATA("Average of sentiment_score",$AE$44,"platform","Instagram")&gt;0,"Positive","Negative")</f>
        <v>Negative</v>
      </c>
    </row>
    <row r="52" spans="1:34" x14ac:dyDescent="0.3">
      <c r="A52" t="s">
        <v>137</v>
      </c>
      <c r="B52" t="s">
        <v>32</v>
      </c>
      <c r="C52" t="s">
        <v>23</v>
      </c>
      <c r="D52" t="s">
        <v>54</v>
      </c>
      <c r="E52" t="s">
        <v>41</v>
      </c>
      <c r="F52" t="s">
        <v>24</v>
      </c>
      <c r="G52" s="1">
        <v>45402</v>
      </c>
      <c r="H52" t="s">
        <v>138</v>
      </c>
      <c r="I52">
        <v>6537608</v>
      </c>
      <c r="J52">
        <v>466972</v>
      </c>
      <c r="K52">
        <v>39389</v>
      </c>
      <c r="L52">
        <v>47255</v>
      </c>
      <c r="M52">
        <v>8.4699999999999998E-2</v>
      </c>
      <c r="N52">
        <v>-0.48399999999999999</v>
      </c>
      <c r="O52">
        <v>1</v>
      </c>
      <c r="P52" t="b">
        <f t="shared" si="1"/>
        <v>1</v>
      </c>
      <c r="Q52" t="str">
        <f t="shared" si="0"/>
        <v>Negative</v>
      </c>
      <c r="AE52" s="6" t="s">
        <v>3280</v>
      </c>
      <c r="AF52" s="4">
        <v>-0.51076033057851222</v>
      </c>
      <c r="AG52" s="4">
        <v>242</v>
      </c>
      <c r="AH52" t="str">
        <f>IF(GETPIVOTDATA("Average of sentiment_score",$AE$44,"platform","Instagram")&gt;0,"Positive","Negative")</f>
        <v>Negative</v>
      </c>
    </row>
    <row r="53" spans="1:34" x14ac:dyDescent="0.3">
      <c r="A53" t="s">
        <v>139</v>
      </c>
      <c r="B53" t="s">
        <v>27</v>
      </c>
      <c r="C53" t="s">
        <v>61</v>
      </c>
      <c r="D53" t="s">
        <v>37</v>
      </c>
      <c r="E53" t="s">
        <v>19</v>
      </c>
      <c r="F53" t="s">
        <v>34</v>
      </c>
      <c r="G53" s="1">
        <v>45608</v>
      </c>
      <c r="H53" t="s">
        <v>140</v>
      </c>
      <c r="I53">
        <v>8963523</v>
      </c>
      <c r="J53">
        <v>309087</v>
      </c>
      <c r="K53">
        <v>31070</v>
      </c>
      <c r="L53">
        <v>90736</v>
      </c>
      <c r="M53">
        <v>4.8099999999999997E-2</v>
      </c>
      <c r="N53">
        <v>3.3000000000000002E-2</v>
      </c>
      <c r="O53">
        <v>1</v>
      </c>
      <c r="P53" t="b">
        <f t="shared" si="1"/>
        <v>1</v>
      </c>
      <c r="Q53" t="str">
        <f t="shared" si="0"/>
        <v>Positive</v>
      </c>
      <c r="AE53" s="6" t="s">
        <v>3281</v>
      </c>
      <c r="AF53" s="4">
        <v>0.50178189300411535</v>
      </c>
      <c r="AG53" s="4">
        <v>243</v>
      </c>
      <c r="AH53" t="str">
        <f>IF(GETPIVOTDATA("Average of sentiment_score",$AE$44,"platform","Instagram")&gt;0,"Positive","Negative")</f>
        <v>Negative</v>
      </c>
    </row>
    <row r="54" spans="1:34" x14ac:dyDescent="0.3">
      <c r="A54" t="s">
        <v>141</v>
      </c>
      <c r="B54" t="s">
        <v>32</v>
      </c>
      <c r="C54" t="s">
        <v>28</v>
      </c>
      <c r="D54" t="s">
        <v>73</v>
      </c>
      <c r="E54" t="s">
        <v>58</v>
      </c>
      <c r="F54" t="s">
        <v>34</v>
      </c>
      <c r="G54" s="1">
        <v>45399</v>
      </c>
      <c r="H54" t="s">
        <v>142</v>
      </c>
      <c r="I54">
        <v>7474320</v>
      </c>
      <c r="J54">
        <v>373716</v>
      </c>
      <c r="K54">
        <v>2054</v>
      </c>
      <c r="L54">
        <v>31617</v>
      </c>
      <c r="M54">
        <v>5.45E-2</v>
      </c>
      <c r="N54">
        <v>0.93100000000000005</v>
      </c>
      <c r="O54">
        <v>1</v>
      </c>
      <c r="P54" t="b">
        <f t="shared" si="1"/>
        <v>1</v>
      </c>
      <c r="Q54" t="str">
        <f t="shared" si="0"/>
        <v>Positive</v>
      </c>
      <c r="AE54" s="3" t="s">
        <v>27</v>
      </c>
      <c r="AF54" s="4">
        <v>-1.5813627254509015E-2</v>
      </c>
      <c r="AG54" s="4">
        <v>499</v>
      </c>
      <c r="AH54" t="str">
        <f>IF(GETPIVOTDATA("Average of sentiment_score",$AE$44,"platform","Instagram")&gt;0,"Positive","Negative")</f>
        <v>Negative</v>
      </c>
    </row>
    <row r="55" spans="1:34" x14ac:dyDescent="0.3">
      <c r="A55" t="s">
        <v>143</v>
      </c>
      <c r="B55" t="s">
        <v>66</v>
      </c>
      <c r="C55" t="s">
        <v>61</v>
      </c>
      <c r="D55" t="s">
        <v>18</v>
      </c>
      <c r="E55" t="s">
        <v>41</v>
      </c>
      <c r="F55" t="s">
        <v>24</v>
      </c>
      <c r="G55" s="1">
        <v>45476</v>
      </c>
      <c r="H55" t="s">
        <v>144</v>
      </c>
      <c r="I55">
        <v>7645752</v>
      </c>
      <c r="J55">
        <v>283176</v>
      </c>
      <c r="K55">
        <v>29860</v>
      </c>
      <c r="L55">
        <v>61435</v>
      </c>
      <c r="M55">
        <v>4.9000000000000002E-2</v>
      </c>
      <c r="N55">
        <v>-0.32200000000000001</v>
      </c>
      <c r="O55">
        <v>1</v>
      </c>
      <c r="P55" t="b">
        <f t="shared" si="1"/>
        <v>1</v>
      </c>
      <c r="Q55" t="str">
        <f t="shared" si="0"/>
        <v>Negative</v>
      </c>
      <c r="AE55" s="6" t="s">
        <v>3280</v>
      </c>
      <c r="AF55" s="4">
        <v>-0.49650390624999996</v>
      </c>
      <c r="AG55" s="4">
        <v>256</v>
      </c>
      <c r="AH55" t="str">
        <f>IF(GETPIVOTDATA("Average of sentiment_score",$AE$44,"platform","Instagram")&gt;0,"Positive","Negative")</f>
        <v>Negative</v>
      </c>
    </row>
    <row r="56" spans="1:34" x14ac:dyDescent="0.3">
      <c r="A56" t="s">
        <v>145</v>
      </c>
      <c r="B56" t="s">
        <v>66</v>
      </c>
      <c r="C56" t="s">
        <v>28</v>
      </c>
      <c r="D56" t="s">
        <v>33</v>
      </c>
      <c r="E56" t="s">
        <v>38</v>
      </c>
      <c r="F56" t="s">
        <v>46</v>
      </c>
      <c r="G56" s="1">
        <v>45321</v>
      </c>
      <c r="H56" t="s">
        <v>146</v>
      </c>
      <c r="I56">
        <v>7602040</v>
      </c>
      <c r="J56">
        <v>380102</v>
      </c>
      <c r="K56">
        <v>42647</v>
      </c>
      <c r="L56">
        <v>15152</v>
      </c>
      <c r="M56">
        <v>5.7599999999999998E-2</v>
      </c>
      <c r="N56">
        <v>0.79400000000000004</v>
      </c>
      <c r="O56">
        <v>1</v>
      </c>
      <c r="P56" t="b">
        <f t="shared" si="1"/>
        <v>1</v>
      </c>
      <c r="Q56" t="str">
        <f t="shared" si="0"/>
        <v>Positive</v>
      </c>
      <c r="AE56" s="6" t="s">
        <v>3281</v>
      </c>
      <c r="AF56" s="4">
        <v>0.49059259259259247</v>
      </c>
      <c r="AG56" s="4">
        <v>243</v>
      </c>
      <c r="AH56" t="str">
        <f>IF(GETPIVOTDATA("Average of sentiment_score",$AE$44,"platform","Instagram")&gt;0,"Positive","Negative")</f>
        <v>Negative</v>
      </c>
    </row>
    <row r="57" spans="1:34" x14ac:dyDescent="0.3">
      <c r="A57" t="s">
        <v>147</v>
      </c>
      <c r="B57" t="s">
        <v>32</v>
      </c>
      <c r="C57" t="s">
        <v>17</v>
      </c>
      <c r="D57" t="s">
        <v>54</v>
      </c>
      <c r="E57" t="s">
        <v>38</v>
      </c>
      <c r="F57" t="s">
        <v>55</v>
      </c>
      <c r="G57" s="1">
        <v>45349</v>
      </c>
      <c r="H57" t="s">
        <v>148</v>
      </c>
      <c r="I57">
        <v>95925</v>
      </c>
      <c r="J57">
        <v>6395</v>
      </c>
      <c r="K57">
        <v>12188</v>
      </c>
      <c r="L57">
        <v>29300</v>
      </c>
      <c r="M57">
        <v>0.49919999999999998</v>
      </c>
      <c r="N57">
        <v>0.871</v>
      </c>
      <c r="O57">
        <v>0</v>
      </c>
      <c r="P57" t="b">
        <f t="shared" si="1"/>
        <v>0</v>
      </c>
      <c r="Q57" t="str">
        <f t="shared" si="0"/>
        <v>Positive</v>
      </c>
      <c r="AE57" s="3" t="s">
        <v>3269</v>
      </c>
      <c r="AF57" s="4">
        <v>-5.6649999999996113E-4</v>
      </c>
      <c r="AG57" s="4">
        <v>2000</v>
      </c>
      <c r="AH57" t="str">
        <f>IF(GETPIVOTDATA("Average of sentiment_score",$AE$44,"platform","Instagram")&gt;0,"Positive","Negative")</f>
        <v>Negative</v>
      </c>
    </row>
    <row r="58" spans="1:34" x14ac:dyDescent="0.3">
      <c r="A58" t="s">
        <v>149</v>
      </c>
      <c r="B58" t="s">
        <v>66</v>
      </c>
      <c r="C58" t="s">
        <v>61</v>
      </c>
      <c r="D58" t="s">
        <v>54</v>
      </c>
      <c r="E58" t="s">
        <v>19</v>
      </c>
      <c r="F58" t="s">
        <v>24</v>
      </c>
      <c r="G58" s="1">
        <v>45298</v>
      </c>
      <c r="H58" t="s">
        <v>150</v>
      </c>
      <c r="I58">
        <v>6426792</v>
      </c>
      <c r="J58">
        <v>267783</v>
      </c>
      <c r="K58">
        <v>42410</v>
      </c>
      <c r="L58">
        <v>53352</v>
      </c>
      <c r="M58">
        <v>5.6599999999999998E-2</v>
      </c>
      <c r="N58">
        <v>0.161</v>
      </c>
      <c r="O58">
        <v>1</v>
      </c>
      <c r="P58" t="b">
        <f t="shared" si="1"/>
        <v>1</v>
      </c>
      <c r="Q58" t="str">
        <f t="shared" si="0"/>
        <v>Positive</v>
      </c>
    </row>
    <row r="59" spans="1:34" x14ac:dyDescent="0.3">
      <c r="A59" t="s">
        <v>151</v>
      </c>
      <c r="B59" t="s">
        <v>32</v>
      </c>
      <c r="C59" t="s">
        <v>23</v>
      </c>
      <c r="D59" t="s">
        <v>18</v>
      </c>
      <c r="E59" t="s">
        <v>41</v>
      </c>
      <c r="F59" t="s">
        <v>20</v>
      </c>
      <c r="G59" s="1">
        <v>45602</v>
      </c>
      <c r="H59" t="s">
        <v>152</v>
      </c>
      <c r="I59">
        <v>2718149</v>
      </c>
      <c r="J59">
        <v>388307</v>
      </c>
      <c r="K59">
        <v>2562</v>
      </c>
      <c r="L59">
        <v>38361</v>
      </c>
      <c r="M59">
        <v>0.15790000000000001</v>
      </c>
      <c r="N59">
        <v>0.94699999999999995</v>
      </c>
      <c r="O59">
        <v>1</v>
      </c>
      <c r="P59" t="b">
        <f t="shared" si="1"/>
        <v>1</v>
      </c>
      <c r="Q59" t="str">
        <f t="shared" si="0"/>
        <v>Positive</v>
      </c>
    </row>
    <row r="60" spans="1:34" x14ac:dyDescent="0.3">
      <c r="A60" t="s">
        <v>153</v>
      </c>
      <c r="B60" t="s">
        <v>27</v>
      </c>
      <c r="C60" t="s">
        <v>23</v>
      </c>
      <c r="D60" t="s">
        <v>73</v>
      </c>
      <c r="E60" t="s">
        <v>41</v>
      </c>
      <c r="F60" t="s">
        <v>20</v>
      </c>
      <c r="G60" s="1">
        <v>45554</v>
      </c>
      <c r="H60" t="s">
        <v>154</v>
      </c>
      <c r="I60">
        <v>10159886</v>
      </c>
      <c r="J60">
        <v>461813</v>
      </c>
      <c r="K60">
        <v>46980</v>
      </c>
      <c r="L60">
        <v>21358</v>
      </c>
      <c r="M60">
        <v>5.2200000000000003E-2</v>
      </c>
      <c r="N60">
        <v>-2.9000000000000001E-2</v>
      </c>
      <c r="O60">
        <v>1</v>
      </c>
      <c r="P60" t="b">
        <f t="shared" si="1"/>
        <v>1</v>
      </c>
      <c r="Q60" t="str">
        <f t="shared" si="0"/>
        <v>Negative</v>
      </c>
    </row>
    <row r="61" spans="1:34" x14ac:dyDescent="0.3">
      <c r="A61" t="s">
        <v>155</v>
      </c>
      <c r="B61" t="s">
        <v>27</v>
      </c>
      <c r="C61" t="s">
        <v>28</v>
      </c>
      <c r="D61" t="s">
        <v>33</v>
      </c>
      <c r="E61" t="s">
        <v>41</v>
      </c>
      <c r="F61" t="s">
        <v>20</v>
      </c>
      <c r="G61" s="1">
        <v>45341</v>
      </c>
      <c r="H61" t="s">
        <v>156</v>
      </c>
      <c r="I61">
        <v>1286430</v>
      </c>
      <c r="J61">
        <v>257286</v>
      </c>
      <c r="K61">
        <v>46765</v>
      </c>
      <c r="L61">
        <v>94180</v>
      </c>
      <c r="M61">
        <v>0.30959999999999999</v>
      </c>
      <c r="N61">
        <v>-0.96399999999999997</v>
      </c>
      <c r="O61">
        <v>0</v>
      </c>
      <c r="P61" t="b">
        <f t="shared" si="1"/>
        <v>0</v>
      </c>
      <c r="Q61" t="str">
        <f t="shared" si="0"/>
        <v>Negative</v>
      </c>
    </row>
    <row r="62" spans="1:34" x14ac:dyDescent="0.3">
      <c r="A62" t="s">
        <v>157</v>
      </c>
      <c r="B62" t="s">
        <v>32</v>
      </c>
      <c r="C62" t="s">
        <v>61</v>
      </c>
      <c r="D62" t="s">
        <v>29</v>
      </c>
      <c r="E62" t="s">
        <v>19</v>
      </c>
      <c r="F62" t="s">
        <v>55</v>
      </c>
      <c r="G62" s="1">
        <v>45545</v>
      </c>
      <c r="H62" t="s">
        <v>158</v>
      </c>
      <c r="I62">
        <v>9902368</v>
      </c>
      <c r="J62">
        <v>353656</v>
      </c>
      <c r="K62">
        <v>21300</v>
      </c>
      <c r="L62">
        <v>3988</v>
      </c>
      <c r="M62">
        <v>3.8300000000000001E-2</v>
      </c>
      <c r="N62">
        <v>0.29899999999999999</v>
      </c>
      <c r="O62">
        <v>1</v>
      </c>
      <c r="P62" t="b">
        <f t="shared" si="1"/>
        <v>1</v>
      </c>
      <c r="Q62" t="str">
        <f t="shared" si="0"/>
        <v>Positive</v>
      </c>
    </row>
    <row r="63" spans="1:34" x14ac:dyDescent="0.3">
      <c r="A63" t="s">
        <v>159</v>
      </c>
      <c r="B63" t="s">
        <v>32</v>
      </c>
      <c r="C63" t="s">
        <v>23</v>
      </c>
      <c r="D63" t="s">
        <v>54</v>
      </c>
      <c r="E63" t="s">
        <v>19</v>
      </c>
      <c r="F63" t="s">
        <v>34</v>
      </c>
      <c r="G63" s="1">
        <v>45549</v>
      </c>
      <c r="H63" t="s">
        <v>160</v>
      </c>
      <c r="I63">
        <v>2197650</v>
      </c>
      <c r="J63">
        <v>439530</v>
      </c>
      <c r="K63">
        <v>33991</v>
      </c>
      <c r="L63">
        <v>86417</v>
      </c>
      <c r="M63">
        <v>0.25480000000000003</v>
      </c>
      <c r="N63">
        <v>8.5000000000000006E-2</v>
      </c>
      <c r="O63">
        <v>1</v>
      </c>
      <c r="P63" t="b">
        <f t="shared" si="1"/>
        <v>1</v>
      </c>
      <c r="Q63" t="str">
        <f t="shared" si="0"/>
        <v>Positive</v>
      </c>
    </row>
    <row r="64" spans="1:34" x14ac:dyDescent="0.3">
      <c r="A64" t="s">
        <v>161</v>
      </c>
      <c r="B64" t="s">
        <v>66</v>
      </c>
      <c r="C64" t="s">
        <v>28</v>
      </c>
      <c r="D64" t="s">
        <v>37</v>
      </c>
      <c r="E64" t="s">
        <v>51</v>
      </c>
      <c r="F64" t="s">
        <v>55</v>
      </c>
      <c r="G64" s="1">
        <v>45554</v>
      </c>
      <c r="H64" t="s">
        <v>82</v>
      </c>
      <c r="I64">
        <v>2903850</v>
      </c>
      <c r="J64">
        <v>107550</v>
      </c>
      <c r="K64">
        <v>40823</v>
      </c>
      <c r="L64">
        <v>45526</v>
      </c>
      <c r="M64">
        <v>6.6799999999999998E-2</v>
      </c>
      <c r="N64">
        <v>-0.499</v>
      </c>
      <c r="O64">
        <v>1</v>
      </c>
      <c r="P64" t="b">
        <f t="shared" si="1"/>
        <v>1</v>
      </c>
      <c r="Q64" t="str">
        <f t="shared" si="0"/>
        <v>Negative</v>
      </c>
    </row>
    <row r="65" spans="1:17" x14ac:dyDescent="0.3">
      <c r="A65" t="s">
        <v>162</v>
      </c>
      <c r="B65" t="s">
        <v>16</v>
      </c>
      <c r="C65" t="s">
        <v>17</v>
      </c>
      <c r="D65" t="s">
        <v>29</v>
      </c>
      <c r="E65" t="s">
        <v>58</v>
      </c>
      <c r="F65" t="s">
        <v>55</v>
      </c>
      <c r="G65" s="1">
        <v>45457</v>
      </c>
      <c r="H65" t="s">
        <v>163</v>
      </c>
      <c r="I65">
        <v>1980177</v>
      </c>
      <c r="J65">
        <v>116481</v>
      </c>
      <c r="K65">
        <v>14378</v>
      </c>
      <c r="L65">
        <v>47334</v>
      </c>
      <c r="M65">
        <v>0.09</v>
      </c>
      <c r="N65">
        <v>-2.7E-2</v>
      </c>
      <c r="O65">
        <v>0</v>
      </c>
      <c r="P65" t="b">
        <f t="shared" si="1"/>
        <v>0</v>
      </c>
      <c r="Q65" t="str">
        <f t="shared" si="0"/>
        <v>Negative</v>
      </c>
    </row>
    <row r="66" spans="1:17" x14ac:dyDescent="0.3">
      <c r="A66" t="s">
        <v>164</v>
      </c>
      <c r="B66" t="s">
        <v>16</v>
      </c>
      <c r="C66" t="s">
        <v>23</v>
      </c>
      <c r="D66" t="s">
        <v>54</v>
      </c>
      <c r="E66" t="s">
        <v>58</v>
      </c>
      <c r="F66" t="s">
        <v>55</v>
      </c>
      <c r="G66" s="1">
        <v>45639</v>
      </c>
      <c r="H66" t="s">
        <v>165</v>
      </c>
      <c r="I66">
        <v>2395266</v>
      </c>
      <c r="J66">
        <v>399211</v>
      </c>
      <c r="K66">
        <v>19743</v>
      </c>
      <c r="L66">
        <v>30747</v>
      </c>
      <c r="M66">
        <v>0.18770000000000001</v>
      </c>
      <c r="N66">
        <v>-0.3</v>
      </c>
      <c r="O66">
        <v>1</v>
      </c>
      <c r="P66" t="b">
        <f t="shared" si="1"/>
        <v>1</v>
      </c>
      <c r="Q66" t="str">
        <f t="shared" ref="Q66:Q129" si="2">IF(N66&gt;0,"Positive","Negative")</f>
        <v>Negative</v>
      </c>
    </row>
    <row r="67" spans="1:17" x14ac:dyDescent="0.3">
      <c r="A67" t="s">
        <v>166</v>
      </c>
      <c r="B67" t="s">
        <v>66</v>
      </c>
      <c r="C67" t="s">
        <v>23</v>
      </c>
      <c r="D67" t="s">
        <v>33</v>
      </c>
      <c r="E67" t="s">
        <v>58</v>
      </c>
      <c r="F67" t="s">
        <v>55</v>
      </c>
      <c r="G67" s="1">
        <v>45573</v>
      </c>
      <c r="H67" t="s">
        <v>167</v>
      </c>
      <c r="I67">
        <v>3241188</v>
      </c>
      <c r="J67">
        <v>360132</v>
      </c>
      <c r="K67">
        <v>39795</v>
      </c>
      <c r="L67">
        <v>5601</v>
      </c>
      <c r="M67">
        <v>0.12509999999999999</v>
      </c>
      <c r="N67">
        <v>-0.54</v>
      </c>
      <c r="O67">
        <v>1</v>
      </c>
      <c r="P67" t="b">
        <f t="shared" ref="P67:P130" si="3">IF(O67=1,TRUE,FALSE)</f>
        <v>1</v>
      </c>
      <c r="Q67" t="str">
        <f t="shared" si="2"/>
        <v>Negative</v>
      </c>
    </row>
    <row r="68" spans="1:17" x14ac:dyDescent="0.3">
      <c r="A68" t="s">
        <v>168</v>
      </c>
      <c r="B68" t="s">
        <v>66</v>
      </c>
      <c r="C68" t="s">
        <v>28</v>
      </c>
      <c r="D68" t="s">
        <v>73</v>
      </c>
      <c r="E68" t="s">
        <v>51</v>
      </c>
      <c r="F68" t="s">
        <v>34</v>
      </c>
      <c r="G68" s="1">
        <v>45489</v>
      </c>
      <c r="H68" t="s">
        <v>169</v>
      </c>
      <c r="I68">
        <v>1440005</v>
      </c>
      <c r="J68">
        <v>205715</v>
      </c>
      <c r="K68">
        <v>45719</v>
      </c>
      <c r="L68">
        <v>56836</v>
      </c>
      <c r="M68">
        <v>0.21410000000000001</v>
      </c>
      <c r="N68">
        <v>0.53700000000000003</v>
      </c>
      <c r="O68">
        <v>0</v>
      </c>
      <c r="P68" t="b">
        <f t="shared" si="3"/>
        <v>0</v>
      </c>
      <c r="Q68" t="str">
        <f t="shared" si="2"/>
        <v>Positive</v>
      </c>
    </row>
    <row r="69" spans="1:17" x14ac:dyDescent="0.3">
      <c r="A69" t="s">
        <v>170</v>
      </c>
      <c r="B69" t="s">
        <v>66</v>
      </c>
      <c r="C69" t="s">
        <v>61</v>
      </c>
      <c r="D69" t="s">
        <v>37</v>
      </c>
      <c r="E69" t="s">
        <v>19</v>
      </c>
      <c r="F69" t="s">
        <v>46</v>
      </c>
      <c r="G69" s="1">
        <v>45486</v>
      </c>
      <c r="H69" t="s">
        <v>171</v>
      </c>
      <c r="I69">
        <v>1909494</v>
      </c>
      <c r="J69">
        <v>106083</v>
      </c>
      <c r="K69">
        <v>8213</v>
      </c>
      <c r="L69">
        <v>56492</v>
      </c>
      <c r="M69">
        <v>8.9399999999999993E-2</v>
      </c>
      <c r="N69">
        <v>0.83</v>
      </c>
      <c r="O69">
        <v>0</v>
      </c>
      <c r="P69" t="b">
        <f t="shared" si="3"/>
        <v>0</v>
      </c>
      <c r="Q69" t="str">
        <f t="shared" si="2"/>
        <v>Positive</v>
      </c>
    </row>
    <row r="70" spans="1:17" x14ac:dyDescent="0.3">
      <c r="A70" t="s">
        <v>172</v>
      </c>
      <c r="B70" t="s">
        <v>16</v>
      </c>
      <c r="C70" t="s">
        <v>17</v>
      </c>
      <c r="D70" t="s">
        <v>37</v>
      </c>
      <c r="E70" t="s">
        <v>51</v>
      </c>
      <c r="F70" t="s">
        <v>46</v>
      </c>
      <c r="G70" s="1">
        <v>45402</v>
      </c>
      <c r="H70" t="s">
        <v>173</v>
      </c>
      <c r="I70">
        <v>1605366</v>
      </c>
      <c r="J70">
        <v>178374</v>
      </c>
      <c r="K70">
        <v>32640</v>
      </c>
      <c r="L70">
        <v>63209</v>
      </c>
      <c r="M70">
        <v>0.17080000000000001</v>
      </c>
      <c r="N70">
        <v>0.85699999999999998</v>
      </c>
      <c r="O70">
        <v>0</v>
      </c>
      <c r="P70" t="b">
        <f t="shared" si="3"/>
        <v>0</v>
      </c>
      <c r="Q70" t="str">
        <f t="shared" si="2"/>
        <v>Positive</v>
      </c>
    </row>
    <row r="71" spans="1:17" x14ac:dyDescent="0.3">
      <c r="A71" t="s">
        <v>174</v>
      </c>
      <c r="B71" t="s">
        <v>66</v>
      </c>
      <c r="C71" t="s">
        <v>61</v>
      </c>
      <c r="D71" t="s">
        <v>73</v>
      </c>
      <c r="E71" t="s">
        <v>41</v>
      </c>
      <c r="F71" t="s">
        <v>55</v>
      </c>
      <c r="G71" s="1">
        <v>45413</v>
      </c>
      <c r="H71" t="s">
        <v>175</v>
      </c>
      <c r="I71">
        <v>2512972</v>
      </c>
      <c r="J71">
        <v>358996</v>
      </c>
      <c r="K71">
        <v>306</v>
      </c>
      <c r="L71">
        <v>45237</v>
      </c>
      <c r="M71">
        <v>0.161</v>
      </c>
      <c r="N71">
        <v>0.96099999999999997</v>
      </c>
      <c r="O71">
        <v>1</v>
      </c>
      <c r="P71" t="b">
        <f t="shared" si="3"/>
        <v>1</v>
      </c>
      <c r="Q71" t="str">
        <f t="shared" si="2"/>
        <v>Positive</v>
      </c>
    </row>
    <row r="72" spans="1:17" x14ac:dyDescent="0.3">
      <c r="A72" t="s">
        <v>176</v>
      </c>
      <c r="B72" t="s">
        <v>16</v>
      </c>
      <c r="C72" t="s">
        <v>28</v>
      </c>
      <c r="D72" t="s">
        <v>37</v>
      </c>
      <c r="E72" t="s">
        <v>38</v>
      </c>
      <c r="F72" t="s">
        <v>24</v>
      </c>
      <c r="G72" s="1">
        <v>45594</v>
      </c>
      <c r="H72" t="s">
        <v>177</v>
      </c>
      <c r="I72">
        <v>3102975</v>
      </c>
      <c r="J72">
        <v>124119</v>
      </c>
      <c r="K72">
        <v>195</v>
      </c>
      <c r="L72">
        <v>10493</v>
      </c>
      <c r="M72">
        <v>4.3400000000000001E-2</v>
      </c>
      <c r="N72">
        <v>-0.61799999999999999</v>
      </c>
      <c r="O72">
        <v>1</v>
      </c>
      <c r="P72" t="b">
        <f t="shared" si="3"/>
        <v>1</v>
      </c>
      <c r="Q72" t="str">
        <f t="shared" si="2"/>
        <v>Negative</v>
      </c>
    </row>
    <row r="73" spans="1:17" x14ac:dyDescent="0.3">
      <c r="A73" t="s">
        <v>178</v>
      </c>
      <c r="B73" t="s">
        <v>16</v>
      </c>
      <c r="C73" t="s">
        <v>17</v>
      </c>
      <c r="D73" t="s">
        <v>33</v>
      </c>
      <c r="E73" t="s">
        <v>51</v>
      </c>
      <c r="F73" t="s">
        <v>46</v>
      </c>
      <c r="G73" s="1">
        <v>45495</v>
      </c>
      <c r="H73" t="s">
        <v>179</v>
      </c>
      <c r="I73">
        <v>5263732</v>
      </c>
      <c r="J73">
        <v>181508</v>
      </c>
      <c r="K73">
        <v>19783</v>
      </c>
      <c r="L73">
        <v>26642</v>
      </c>
      <c r="M73">
        <v>4.3299999999999998E-2</v>
      </c>
      <c r="N73">
        <v>-0.21099999999999999</v>
      </c>
      <c r="O73">
        <v>1</v>
      </c>
      <c r="P73" t="b">
        <f t="shared" si="3"/>
        <v>1</v>
      </c>
      <c r="Q73" t="str">
        <f t="shared" si="2"/>
        <v>Negative</v>
      </c>
    </row>
    <row r="74" spans="1:17" x14ac:dyDescent="0.3">
      <c r="A74" t="s">
        <v>180</v>
      </c>
      <c r="B74" t="s">
        <v>27</v>
      </c>
      <c r="C74" t="s">
        <v>17</v>
      </c>
      <c r="D74" t="s">
        <v>33</v>
      </c>
      <c r="E74" t="s">
        <v>51</v>
      </c>
      <c r="F74" t="s">
        <v>46</v>
      </c>
      <c r="G74" s="1">
        <v>45449</v>
      </c>
      <c r="H74" t="s">
        <v>181</v>
      </c>
      <c r="I74">
        <v>11659452</v>
      </c>
      <c r="J74">
        <v>416409</v>
      </c>
      <c r="K74">
        <v>574</v>
      </c>
      <c r="L74">
        <v>51886</v>
      </c>
      <c r="M74">
        <v>4.02E-2</v>
      </c>
      <c r="N74">
        <v>-0.58199999999999996</v>
      </c>
      <c r="O74">
        <v>1</v>
      </c>
      <c r="P74" t="b">
        <f t="shared" si="3"/>
        <v>1</v>
      </c>
      <c r="Q74" t="str">
        <f t="shared" si="2"/>
        <v>Negative</v>
      </c>
    </row>
    <row r="75" spans="1:17" x14ac:dyDescent="0.3">
      <c r="A75" t="s">
        <v>182</v>
      </c>
      <c r="B75" t="s">
        <v>32</v>
      </c>
      <c r="C75" t="s">
        <v>28</v>
      </c>
      <c r="D75" t="s">
        <v>54</v>
      </c>
      <c r="E75" t="s">
        <v>41</v>
      </c>
      <c r="F75" t="s">
        <v>34</v>
      </c>
      <c r="G75" s="1">
        <v>45355</v>
      </c>
      <c r="H75" t="s">
        <v>183</v>
      </c>
      <c r="I75">
        <v>24684</v>
      </c>
      <c r="J75">
        <v>4114</v>
      </c>
      <c r="K75">
        <v>11098</v>
      </c>
      <c r="L75">
        <v>18071</v>
      </c>
      <c r="M75">
        <v>1.3484</v>
      </c>
      <c r="N75">
        <v>-0.49199999999999999</v>
      </c>
      <c r="O75">
        <v>0</v>
      </c>
      <c r="P75" t="b">
        <f t="shared" si="3"/>
        <v>0</v>
      </c>
      <c r="Q75" t="str">
        <f t="shared" si="2"/>
        <v>Negative</v>
      </c>
    </row>
    <row r="76" spans="1:17" x14ac:dyDescent="0.3">
      <c r="A76" t="s">
        <v>184</v>
      </c>
      <c r="B76" t="s">
        <v>16</v>
      </c>
      <c r="C76" t="s">
        <v>61</v>
      </c>
      <c r="D76" t="s">
        <v>29</v>
      </c>
      <c r="E76" t="s">
        <v>19</v>
      </c>
      <c r="F76" t="s">
        <v>34</v>
      </c>
      <c r="G76" s="1">
        <v>45445</v>
      </c>
      <c r="H76" t="s">
        <v>185</v>
      </c>
      <c r="I76">
        <v>227409</v>
      </c>
      <c r="J76">
        <v>10829</v>
      </c>
      <c r="K76">
        <v>34182</v>
      </c>
      <c r="L76">
        <v>45018</v>
      </c>
      <c r="M76">
        <v>0.39589999999999997</v>
      </c>
      <c r="N76">
        <v>0.69699999999999995</v>
      </c>
      <c r="O76">
        <v>0</v>
      </c>
      <c r="P76" t="b">
        <f t="shared" si="3"/>
        <v>0</v>
      </c>
      <c r="Q76" t="str">
        <f t="shared" si="2"/>
        <v>Positive</v>
      </c>
    </row>
    <row r="77" spans="1:17" x14ac:dyDescent="0.3">
      <c r="A77" t="s">
        <v>186</v>
      </c>
      <c r="B77" t="s">
        <v>32</v>
      </c>
      <c r="C77" t="s">
        <v>28</v>
      </c>
      <c r="D77" t="s">
        <v>73</v>
      </c>
      <c r="E77" t="s">
        <v>19</v>
      </c>
      <c r="F77" t="s">
        <v>46</v>
      </c>
      <c r="G77" s="1">
        <v>45560</v>
      </c>
      <c r="H77" t="s">
        <v>187</v>
      </c>
      <c r="I77">
        <v>1483496</v>
      </c>
      <c r="J77">
        <v>105964</v>
      </c>
      <c r="K77">
        <v>12538</v>
      </c>
      <c r="L77">
        <v>54749</v>
      </c>
      <c r="M77">
        <v>0.1168</v>
      </c>
      <c r="N77">
        <v>0.61899999999999999</v>
      </c>
      <c r="O77">
        <v>0</v>
      </c>
      <c r="P77" t="b">
        <f t="shared" si="3"/>
        <v>0</v>
      </c>
      <c r="Q77" t="str">
        <f t="shared" si="2"/>
        <v>Positive</v>
      </c>
    </row>
    <row r="78" spans="1:17" x14ac:dyDescent="0.3">
      <c r="A78" t="s">
        <v>188</v>
      </c>
      <c r="B78" t="s">
        <v>27</v>
      </c>
      <c r="C78" t="s">
        <v>23</v>
      </c>
      <c r="D78" t="s">
        <v>33</v>
      </c>
      <c r="E78" t="s">
        <v>58</v>
      </c>
      <c r="F78" t="s">
        <v>34</v>
      </c>
      <c r="G78" s="1">
        <v>45464</v>
      </c>
      <c r="H78" t="s">
        <v>189</v>
      </c>
      <c r="I78">
        <v>4002854</v>
      </c>
      <c r="J78">
        <v>235462</v>
      </c>
      <c r="K78">
        <v>29597</v>
      </c>
      <c r="L78">
        <v>10648</v>
      </c>
      <c r="M78">
        <v>6.8900000000000003E-2</v>
      </c>
      <c r="N78">
        <v>-0.83699999999999997</v>
      </c>
      <c r="O78">
        <v>1</v>
      </c>
      <c r="P78" t="b">
        <f t="shared" si="3"/>
        <v>1</v>
      </c>
      <c r="Q78" t="str">
        <f t="shared" si="2"/>
        <v>Negative</v>
      </c>
    </row>
    <row r="79" spans="1:17" x14ac:dyDescent="0.3">
      <c r="A79" t="s">
        <v>190</v>
      </c>
      <c r="B79" t="s">
        <v>32</v>
      </c>
      <c r="C79" t="s">
        <v>28</v>
      </c>
      <c r="D79" t="s">
        <v>54</v>
      </c>
      <c r="E79" t="s">
        <v>38</v>
      </c>
      <c r="F79" t="s">
        <v>55</v>
      </c>
      <c r="G79" s="1">
        <v>45476</v>
      </c>
      <c r="H79" t="s">
        <v>191</v>
      </c>
      <c r="I79">
        <v>5971440</v>
      </c>
      <c r="J79">
        <v>248810</v>
      </c>
      <c r="K79">
        <v>24381</v>
      </c>
      <c r="L79">
        <v>70317</v>
      </c>
      <c r="M79">
        <v>5.7500000000000002E-2</v>
      </c>
      <c r="N79">
        <v>0.3</v>
      </c>
      <c r="O79">
        <v>1</v>
      </c>
      <c r="P79" t="b">
        <f t="shared" si="3"/>
        <v>1</v>
      </c>
      <c r="Q79" t="str">
        <f t="shared" si="2"/>
        <v>Positive</v>
      </c>
    </row>
    <row r="80" spans="1:17" x14ac:dyDescent="0.3">
      <c r="A80" t="s">
        <v>192</v>
      </c>
      <c r="B80" t="s">
        <v>66</v>
      </c>
      <c r="C80" t="s">
        <v>23</v>
      </c>
      <c r="D80" t="s">
        <v>33</v>
      </c>
      <c r="E80" t="s">
        <v>51</v>
      </c>
      <c r="F80" t="s">
        <v>46</v>
      </c>
      <c r="G80" s="1">
        <v>45366</v>
      </c>
      <c r="H80" t="s">
        <v>171</v>
      </c>
      <c r="I80">
        <v>4840182</v>
      </c>
      <c r="J80">
        <v>268899</v>
      </c>
      <c r="K80">
        <v>40946</v>
      </c>
      <c r="L80">
        <v>70032</v>
      </c>
      <c r="M80">
        <v>7.85E-2</v>
      </c>
      <c r="N80">
        <v>0.78</v>
      </c>
      <c r="O80">
        <v>1</v>
      </c>
      <c r="P80" t="b">
        <f t="shared" si="3"/>
        <v>1</v>
      </c>
      <c r="Q80" t="str">
        <f t="shared" si="2"/>
        <v>Positive</v>
      </c>
    </row>
    <row r="81" spans="1:17" x14ac:dyDescent="0.3">
      <c r="A81" t="s">
        <v>193</v>
      </c>
      <c r="B81" t="s">
        <v>16</v>
      </c>
      <c r="C81" t="s">
        <v>23</v>
      </c>
      <c r="D81" t="s">
        <v>18</v>
      </c>
      <c r="E81" t="s">
        <v>58</v>
      </c>
      <c r="F81" t="s">
        <v>24</v>
      </c>
      <c r="G81" s="1">
        <v>45500</v>
      </c>
      <c r="H81" t="s">
        <v>185</v>
      </c>
      <c r="I81">
        <v>2694492</v>
      </c>
      <c r="J81">
        <v>449082</v>
      </c>
      <c r="K81">
        <v>13408</v>
      </c>
      <c r="L81">
        <v>32098</v>
      </c>
      <c r="M81">
        <v>0.18360000000000001</v>
      </c>
      <c r="N81">
        <v>-0.123</v>
      </c>
      <c r="O81">
        <v>1</v>
      </c>
      <c r="P81" t="b">
        <f t="shared" si="3"/>
        <v>1</v>
      </c>
      <c r="Q81" t="str">
        <f t="shared" si="2"/>
        <v>Negative</v>
      </c>
    </row>
    <row r="82" spans="1:17" x14ac:dyDescent="0.3">
      <c r="A82" t="s">
        <v>194</v>
      </c>
      <c r="B82" t="s">
        <v>27</v>
      </c>
      <c r="C82" t="s">
        <v>23</v>
      </c>
      <c r="D82" t="s">
        <v>29</v>
      </c>
      <c r="E82" t="s">
        <v>19</v>
      </c>
      <c r="F82" t="s">
        <v>46</v>
      </c>
      <c r="G82" s="1">
        <v>45547</v>
      </c>
      <c r="H82" t="s">
        <v>195</v>
      </c>
      <c r="I82">
        <v>3249012</v>
      </c>
      <c r="J82">
        <v>124962</v>
      </c>
      <c r="K82">
        <v>33626</v>
      </c>
      <c r="L82">
        <v>93849</v>
      </c>
      <c r="M82">
        <v>7.7700000000000005E-2</v>
      </c>
      <c r="N82">
        <v>0.182</v>
      </c>
      <c r="O82">
        <v>1</v>
      </c>
      <c r="P82" t="b">
        <f t="shared" si="3"/>
        <v>1</v>
      </c>
      <c r="Q82" t="str">
        <f t="shared" si="2"/>
        <v>Positive</v>
      </c>
    </row>
    <row r="83" spans="1:17" x14ac:dyDescent="0.3">
      <c r="A83" t="s">
        <v>196</v>
      </c>
      <c r="B83" t="s">
        <v>16</v>
      </c>
      <c r="C83" t="s">
        <v>23</v>
      </c>
      <c r="D83" t="s">
        <v>73</v>
      </c>
      <c r="E83" t="s">
        <v>19</v>
      </c>
      <c r="F83" t="s">
        <v>34</v>
      </c>
      <c r="G83" s="1">
        <v>45530</v>
      </c>
      <c r="H83" t="s">
        <v>197</v>
      </c>
      <c r="I83">
        <v>4499770</v>
      </c>
      <c r="J83">
        <v>449977</v>
      </c>
      <c r="K83">
        <v>31029</v>
      </c>
      <c r="L83">
        <v>70314</v>
      </c>
      <c r="M83">
        <v>0.1225</v>
      </c>
      <c r="N83">
        <v>-0.39300000000000002</v>
      </c>
      <c r="O83">
        <v>1</v>
      </c>
      <c r="P83" t="b">
        <f t="shared" si="3"/>
        <v>1</v>
      </c>
      <c r="Q83" t="str">
        <f t="shared" si="2"/>
        <v>Negative</v>
      </c>
    </row>
    <row r="84" spans="1:17" x14ac:dyDescent="0.3">
      <c r="A84" t="s">
        <v>198</v>
      </c>
      <c r="B84" t="s">
        <v>16</v>
      </c>
      <c r="C84" t="s">
        <v>61</v>
      </c>
      <c r="D84" t="s">
        <v>37</v>
      </c>
      <c r="E84" t="s">
        <v>19</v>
      </c>
      <c r="F84" t="s">
        <v>46</v>
      </c>
      <c r="G84" s="1">
        <v>45509</v>
      </c>
      <c r="H84" t="s">
        <v>199</v>
      </c>
      <c r="I84">
        <v>2043270</v>
      </c>
      <c r="J84">
        <v>408654</v>
      </c>
      <c r="K84">
        <v>2496</v>
      </c>
      <c r="L84">
        <v>92773</v>
      </c>
      <c r="M84">
        <v>0.24660000000000001</v>
      </c>
      <c r="N84">
        <v>0.65600000000000003</v>
      </c>
      <c r="O84">
        <v>1</v>
      </c>
      <c r="P84" t="b">
        <f t="shared" si="3"/>
        <v>1</v>
      </c>
      <c r="Q84" t="str">
        <f t="shared" si="2"/>
        <v>Positive</v>
      </c>
    </row>
    <row r="85" spans="1:17" x14ac:dyDescent="0.3">
      <c r="A85" t="s">
        <v>200</v>
      </c>
      <c r="B85" t="s">
        <v>27</v>
      </c>
      <c r="C85" t="s">
        <v>28</v>
      </c>
      <c r="D85" t="s">
        <v>73</v>
      </c>
      <c r="E85" t="s">
        <v>41</v>
      </c>
      <c r="F85" t="s">
        <v>20</v>
      </c>
      <c r="G85" s="1">
        <v>45316</v>
      </c>
      <c r="H85" t="s">
        <v>201</v>
      </c>
      <c r="I85">
        <v>2263959</v>
      </c>
      <c r="J85">
        <v>251551</v>
      </c>
      <c r="K85">
        <v>3056</v>
      </c>
      <c r="L85">
        <v>48748</v>
      </c>
      <c r="M85">
        <v>0.13400000000000001</v>
      </c>
      <c r="N85">
        <v>-8.5000000000000006E-2</v>
      </c>
      <c r="O85">
        <v>1</v>
      </c>
      <c r="P85" t="b">
        <f t="shared" si="3"/>
        <v>1</v>
      </c>
      <c r="Q85" t="str">
        <f t="shared" si="2"/>
        <v>Negative</v>
      </c>
    </row>
    <row r="86" spans="1:17" x14ac:dyDescent="0.3">
      <c r="A86" t="s">
        <v>202</v>
      </c>
      <c r="B86" t="s">
        <v>32</v>
      </c>
      <c r="C86" t="s">
        <v>17</v>
      </c>
      <c r="D86" t="s">
        <v>73</v>
      </c>
      <c r="E86" t="s">
        <v>41</v>
      </c>
      <c r="F86" t="s">
        <v>24</v>
      </c>
      <c r="G86" s="1">
        <v>45537</v>
      </c>
      <c r="H86" t="s">
        <v>203</v>
      </c>
      <c r="I86">
        <v>10736088</v>
      </c>
      <c r="J86">
        <v>447337</v>
      </c>
      <c r="K86">
        <v>881</v>
      </c>
      <c r="L86">
        <v>58336</v>
      </c>
      <c r="M86">
        <v>4.7199999999999999E-2</v>
      </c>
      <c r="N86">
        <v>-0.17699999999999999</v>
      </c>
      <c r="O86">
        <v>1</v>
      </c>
      <c r="P86" t="b">
        <f t="shared" si="3"/>
        <v>1</v>
      </c>
      <c r="Q86" t="str">
        <f t="shared" si="2"/>
        <v>Negative</v>
      </c>
    </row>
    <row r="87" spans="1:17" x14ac:dyDescent="0.3">
      <c r="A87" t="s">
        <v>204</v>
      </c>
      <c r="B87" t="s">
        <v>32</v>
      </c>
      <c r="C87" t="s">
        <v>17</v>
      </c>
      <c r="D87" t="s">
        <v>73</v>
      </c>
      <c r="E87" t="s">
        <v>38</v>
      </c>
      <c r="F87" t="s">
        <v>46</v>
      </c>
      <c r="G87" s="1">
        <v>45487</v>
      </c>
      <c r="H87" t="s">
        <v>205</v>
      </c>
      <c r="I87">
        <v>5085840</v>
      </c>
      <c r="J87">
        <v>211910</v>
      </c>
      <c r="K87">
        <v>39739</v>
      </c>
      <c r="L87">
        <v>72616</v>
      </c>
      <c r="M87">
        <v>6.3799999999999996E-2</v>
      </c>
      <c r="N87">
        <v>-0.73499999999999999</v>
      </c>
      <c r="O87">
        <v>1</v>
      </c>
      <c r="P87" t="b">
        <f t="shared" si="3"/>
        <v>1</v>
      </c>
      <c r="Q87" t="str">
        <f t="shared" si="2"/>
        <v>Negative</v>
      </c>
    </row>
    <row r="88" spans="1:17" x14ac:dyDescent="0.3">
      <c r="A88" t="s">
        <v>206</v>
      </c>
      <c r="B88" t="s">
        <v>16</v>
      </c>
      <c r="C88" t="s">
        <v>23</v>
      </c>
      <c r="D88" t="s">
        <v>54</v>
      </c>
      <c r="E88" t="s">
        <v>58</v>
      </c>
      <c r="F88" t="s">
        <v>24</v>
      </c>
      <c r="G88" s="1">
        <v>45566</v>
      </c>
      <c r="H88" t="s">
        <v>207</v>
      </c>
      <c r="I88">
        <v>5380643</v>
      </c>
      <c r="J88">
        <v>233941</v>
      </c>
      <c r="K88">
        <v>17024</v>
      </c>
      <c r="L88">
        <v>83614</v>
      </c>
      <c r="M88">
        <v>6.2199999999999998E-2</v>
      </c>
      <c r="N88">
        <v>0.59</v>
      </c>
      <c r="O88">
        <v>1</v>
      </c>
      <c r="P88" t="b">
        <f t="shared" si="3"/>
        <v>1</v>
      </c>
      <c r="Q88" t="str">
        <f t="shared" si="2"/>
        <v>Positive</v>
      </c>
    </row>
    <row r="89" spans="1:17" x14ac:dyDescent="0.3">
      <c r="A89" t="s">
        <v>208</v>
      </c>
      <c r="B89" t="s">
        <v>16</v>
      </c>
      <c r="C89" t="s">
        <v>61</v>
      </c>
      <c r="D89" t="s">
        <v>54</v>
      </c>
      <c r="E89" t="s">
        <v>51</v>
      </c>
      <c r="F89" t="s">
        <v>20</v>
      </c>
      <c r="G89" s="1">
        <v>45375</v>
      </c>
      <c r="H89" t="s">
        <v>209</v>
      </c>
      <c r="I89">
        <v>9314838</v>
      </c>
      <c r="J89">
        <v>344994</v>
      </c>
      <c r="K89">
        <v>14103</v>
      </c>
      <c r="L89">
        <v>28252</v>
      </c>
      <c r="M89">
        <v>4.1599999999999998E-2</v>
      </c>
      <c r="N89">
        <v>-0.498</v>
      </c>
      <c r="O89">
        <v>1</v>
      </c>
      <c r="P89" t="b">
        <f t="shared" si="3"/>
        <v>1</v>
      </c>
      <c r="Q89" t="str">
        <f t="shared" si="2"/>
        <v>Negative</v>
      </c>
    </row>
    <row r="90" spans="1:17" x14ac:dyDescent="0.3">
      <c r="A90" t="s">
        <v>210</v>
      </c>
      <c r="B90" t="s">
        <v>27</v>
      </c>
      <c r="C90" t="s">
        <v>61</v>
      </c>
      <c r="D90" t="s">
        <v>18</v>
      </c>
      <c r="E90" t="s">
        <v>58</v>
      </c>
      <c r="F90" t="s">
        <v>46</v>
      </c>
      <c r="G90" s="1">
        <v>45550</v>
      </c>
      <c r="H90" t="s">
        <v>211</v>
      </c>
      <c r="I90">
        <v>872559</v>
      </c>
      <c r="J90">
        <v>32317</v>
      </c>
      <c r="K90">
        <v>8313</v>
      </c>
      <c r="L90">
        <v>5950</v>
      </c>
      <c r="M90">
        <v>5.3400000000000003E-2</v>
      </c>
      <c r="N90">
        <v>-0.14299999999999999</v>
      </c>
      <c r="O90">
        <v>0</v>
      </c>
      <c r="P90" t="b">
        <f t="shared" si="3"/>
        <v>0</v>
      </c>
      <c r="Q90" t="str">
        <f t="shared" si="2"/>
        <v>Negative</v>
      </c>
    </row>
    <row r="91" spans="1:17" x14ac:dyDescent="0.3">
      <c r="A91" t="s">
        <v>212</v>
      </c>
      <c r="B91" t="s">
        <v>32</v>
      </c>
      <c r="C91" t="s">
        <v>17</v>
      </c>
      <c r="D91" t="s">
        <v>73</v>
      </c>
      <c r="E91" t="s">
        <v>58</v>
      </c>
      <c r="F91" t="s">
        <v>46</v>
      </c>
      <c r="G91" s="1">
        <v>45518</v>
      </c>
      <c r="H91" t="s">
        <v>213</v>
      </c>
      <c r="I91">
        <v>501675</v>
      </c>
      <c r="J91">
        <v>100335</v>
      </c>
      <c r="K91">
        <v>9209</v>
      </c>
      <c r="L91">
        <v>66618</v>
      </c>
      <c r="M91">
        <v>0.35110000000000002</v>
      </c>
      <c r="N91">
        <v>-0.115</v>
      </c>
      <c r="O91">
        <v>0</v>
      </c>
      <c r="P91" t="b">
        <f t="shared" si="3"/>
        <v>0</v>
      </c>
      <c r="Q91" t="str">
        <f t="shared" si="2"/>
        <v>Negative</v>
      </c>
    </row>
    <row r="92" spans="1:17" x14ac:dyDescent="0.3">
      <c r="A92" t="s">
        <v>214</v>
      </c>
      <c r="B92" t="s">
        <v>66</v>
      </c>
      <c r="C92" t="s">
        <v>61</v>
      </c>
      <c r="D92" t="s">
        <v>29</v>
      </c>
      <c r="E92" t="s">
        <v>51</v>
      </c>
      <c r="F92" t="s">
        <v>34</v>
      </c>
      <c r="G92" s="1">
        <v>45394</v>
      </c>
      <c r="H92" t="s">
        <v>215</v>
      </c>
      <c r="I92">
        <v>3546940</v>
      </c>
      <c r="J92">
        <v>177347</v>
      </c>
      <c r="K92">
        <v>7810</v>
      </c>
      <c r="L92">
        <v>5238</v>
      </c>
      <c r="M92">
        <v>5.3699999999999998E-2</v>
      </c>
      <c r="N92">
        <v>-0.63400000000000001</v>
      </c>
      <c r="O92">
        <v>1</v>
      </c>
      <c r="P92" t="b">
        <f t="shared" si="3"/>
        <v>1</v>
      </c>
      <c r="Q92" t="str">
        <f t="shared" si="2"/>
        <v>Negative</v>
      </c>
    </row>
    <row r="93" spans="1:17" x14ac:dyDescent="0.3">
      <c r="A93" t="s">
        <v>216</v>
      </c>
      <c r="B93" t="s">
        <v>32</v>
      </c>
      <c r="C93" t="s">
        <v>28</v>
      </c>
      <c r="D93" t="s">
        <v>54</v>
      </c>
      <c r="E93" t="s">
        <v>41</v>
      </c>
      <c r="F93" t="s">
        <v>34</v>
      </c>
      <c r="G93" s="1">
        <v>45487</v>
      </c>
      <c r="H93" t="s">
        <v>217</v>
      </c>
      <c r="I93">
        <v>2065008</v>
      </c>
      <c r="J93">
        <v>187728</v>
      </c>
      <c r="K93">
        <v>49017</v>
      </c>
      <c r="L93">
        <v>3344</v>
      </c>
      <c r="M93">
        <v>0.1163</v>
      </c>
      <c r="N93">
        <v>0.314</v>
      </c>
      <c r="O93">
        <v>1</v>
      </c>
      <c r="P93" t="b">
        <f t="shared" si="3"/>
        <v>1</v>
      </c>
      <c r="Q93" t="str">
        <f t="shared" si="2"/>
        <v>Positive</v>
      </c>
    </row>
    <row r="94" spans="1:17" x14ac:dyDescent="0.3">
      <c r="A94" t="s">
        <v>218</v>
      </c>
      <c r="B94" t="s">
        <v>32</v>
      </c>
      <c r="C94" t="s">
        <v>28</v>
      </c>
      <c r="D94" t="s">
        <v>33</v>
      </c>
      <c r="E94" t="s">
        <v>38</v>
      </c>
      <c r="F94" t="s">
        <v>46</v>
      </c>
      <c r="G94" s="1">
        <v>45333</v>
      </c>
      <c r="H94" t="s">
        <v>219</v>
      </c>
      <c r="I94">
        <v>119448</v>
      </c>
      <c r="J94">
        <v>17064</v>
      </c>
      <c r="K94">
        <v>47898</v>
      </c>
      <c r="L94">
        <v>59639</v>
      </c>
      <c r="M94">
        <v>1.0430999999999999</v>
      </c>
      <c r="N94">
        <v>-0.505</v>
      </c>
      <c r="O94">
        <v>0</v>
      </c>
      <c r="P94" t="b">
        <f t="shared" si="3"/>
        <v>0</v>
      </c>
      <c r="Q94" t="str">
        <f t="shared" si="2"/>
        <v>Negative</v>
      </c>
    </row>
    <row r="95" spans="1:17" x14ac:dyDescent="0.3">
      <c r="A95" t="s">
        <v>220</v>
      </c>
      <c r="B95" t="s">
        <v>32</v>
      </c>
      <c r="C95" t="s">
        <v>23</v>
      </c>
      <c r="D95" t="s">
        <v>54</v>
      </c>
      <c r="E95" t="s">
        <v>51</v>
      </c>
      <c r="F95" t="s">
        <v>55</v>
      </c>
      <c r="G95" s="1">
        <v>45296</v>
      </c>
      <c r="H95" t="s">
        <v>221</v>
      </c>
      <c r="I95">
        <v>1750190</v>
      </c>
      <c r="J95">
        <v>67315</v>
      </c>
      <c r="K95">
        <v>3511</v>
      </c>
      <c r="L95">
        <v>13285</v>
      </c>
      <c r="M95">
        <v>4.8099999999999997E-2</v>
      </c>
      <c r="N95">
        <v>-0.97099999999999997</v>
      </c>
      <c r="O95">
        <v>0</v>
      </c>
      <c r="P95" t="b">
        <f t="shared" si="3"/>
        <v>0</v>
      </c>
      <c r="Q95" t="str">
        <f t="shared" si="2"/>
        <v>Negative</v>
      </c>
    </row>
    <row r="96" spans="1:17" x14ac:dyDescent="0.3">
      <c r="A96" t="s">
        <v>222</v>
      </c>
      <c r="B96" t="s">
        <v>66</v>
      </c>
      <c r="C96" t="s">
        <v>17</v>
      </c>
      <c r="D96" t="s">
        <v>37</v>
      </c>
      <c r="E96" t="s">
        <v>58</v>
      </c>
      <c r="F96" t="s">
        <v>34</v>
      </c>
      <c r="G96" s="1">
        <v>45565</v>
      </c>
      <c r="H96" t="s">
        <v>223</v>
      </c>
      <c r="I96">
        <v>8639395</v>
      </c>
      <c r="J96">
        <v>454705</v>
      </c>
      <c r="K96">
        <v>9440</v>
      </c>
      <c r="L96">
        <v>54341</v>
      </c>
      <c r="M96">
        <v>0.06</v>
      </c>
      <c r="N96">
        <v>-0.91900000000000004</v>
      </c>
      <c r="O96">
        <v>1</v>
      </c>
      <c r="P96" t="b">
        <f t="shared" si="3"/>
        <v>1</v>
      </c>
      <c r="Q96" t="str">
        <f t="shared" si="2"/>
        <v>Negative</v>
      </c>
    </row>
    <row r="97" spans="1:17" x14ac:dyDescent="0.3">
      <c r="A97" t="s">
        <v>224</v>
      </c>
      <c r="B97" t="s">
        <v>16</v>
      </c>
      <c r="C97" t="s">
        <v>17</v>
      </c>
      <c r="D97" t="s">
        <v>54</v>
      </c>
      <c r="E97" t="s">
        <v>38</v>
      </c>
      <c r="F97" t="s">
        <v>24</v>
      </c>
      <c r="G97" s="1">
        <v>45444</v>
      </c>
      <c r="H97" t="s">
        <v>225</v>
      </c>
      <c r="I97">
        <v>4403673</v>
      </c>
      <c r="J97">
        <v>489297</v>
      </c>
      <c r="K97">
        <v>13250</v>
      </c>
      <c r="L97">
        <v>60404</v>
      </c>
      <c r="M97">
        <v>0.1278</v>
      </c>
      <c r="N97">
        <v>-5.1999999999999998E-2</v>
      </c>
      <c r="O97">
        <v>1</v>
      </c>
      <c r="P97" t="b">
        <f t="shared" si="3"/>
        <v>1</v>
      </c>
      <c r="Q97" t="str">
        <f t="shared" si="2"/>
        <v>Negative</v>
      </c>
    </row>
    <row r="98" spans="1:17" x14ac:dyDescent="0.3">
      <c r="A98" t="s">
        <v>226</v>
      </c>
      <c r="B98" t="s">
        <v>27</v>
      </c>
      <c r="C98" t="s">
        <v>23</v>
      </c>
      <c r="D98" t="s">
        <v>73</v>
      </c>
      <c r="E98" t="s">
        <v>51</v>
      </c>
      <c r="F98" t="s">
        <v>20</v>
      </c>
      <c r="G98" s="1">
        <v>45478</v>
      </c>
      <c r="H98" t="s">
        <v>227</v>
      </c>
      <c r="I98">
        <v>1919464</v>
      </c>
      <c r="J98">
        <v>239933</v>
      </c>
      <c r="K98">
        <v>35252</v>
      </c>
      <c r="L98">
        <v>94759</v>
      </c>
      <c r="M98">
        <v>0.19270000000000001</v>
      </c>
      <c r="N98">
        <v>-0.65400000000000003</v>
      </c>
      <c r="O98">
        <v>0</v>
      </c>
      <c r="P98" t="b">
        <f t="shared" si="3"/>
        <v>0</v>
      </c>
      <c r="Q98" t="str">
        <f t="shared" si="2"/>
        <v>Negative</v>
      </c>
    </row>
    <row r="99" spans="1:17" x14ac:dyDescent="0.3">
      <c r="A99" t="s">
        <v>228</v>
      </c>
      <c r="B99" t="s">
        <v>66</v>
      </c>
      <c r="C99" t="s">
        <v>61</v>
      </c>
      <c r="D99" t="s">
        <v>29</v>
      </c>
      <c r="E99" t="s">
        <v>58</v>
      </c>
      <c r="F99" t="s">
        <v>46</v>
      </c>
      <c r="G99" s="1">
        <v>45380</v>
      </c>
      <c r="H99" t="s">
        <v>229</v>
      </c>
      <c r="I99">
        <v>828814</v>
      </c>
      <c r="J99">
        <v>59201</v>
      </c>
      <c r="K99">
        <v>37225</v>
      </c>
      <c r="L99">
        <v>26647</v>
      </c>
      <c r="M99">
        <v>0.14849999999999999</v>
      </c>
      <c r="N99">
        <v>0.89800000000000002</v>
      </c>
      <c r="O99">
        <v>0</v>
      </c>
      <c r="P99" t="b">
        <f t="shared" si="3"/>
        <v>0</v>
      </c>
      <c r="Q99" t="str">
        <f t="shared" si="2"/>
        <v>Positive</v>
      </c>
    </row>
    <row r="100" spans="1:17" x14ac:dyDescent="0.3">
      <c r="A100" t="s">
        <v>230</v>
      </c>
      <c r="B100" t="s">
        <v>16</v>
      </c>
      <c r="C100" t="s">
        <v>23</v>
      </c>
      <c r="D100" t="s">
        <v>54</v>
      </c>
      <c r="E100" t="s">
        <v>58</v>
      </c>
      <c r="F100" t="s">
        <v>34</v>
      </c>
      <c r="G100" s="1">
        <v>45563</v>
      </c>
      <c r="H100" t="s">
        <v>231</v>
      </c>
      <c r="I100">
        <v>5034722</v>
      </c>
      <c r="J100">
        <v>359623</v>
      </c>
      <c r="K100">
        <v>2854</v>
      </c>
      <c r="L100">
        <v>40159</v>
      </c>
      <c r="M100">
        <v>0.08</v>
      </c>
      <c r="N100">
        <v>0.252</v>
      </c>
      <c r="O100">
        <v>1</v>
      </c>
      <c r="P100" t="b">
        <f t="shared" si="3"/>
        <v>1</v>
      </c>
      <c r="Q100" t="str">
        <f t="shared" si="2"/>
        <v>Positive</v>
      </c>
    </row>
    <row r="101" spans="1:17" x14ac:dyDescent="0.3">
      <c r="A101" t="s">
        <v>232</v>
      </c>
      <c r="B101" t="s">
        <v>16</v>
      </c>
      <c r="C101" t="s">
        <v>28</v>
      </c>
      <c r="D101" t="s">
        <v>33</v>
      </c>
      <c r="E101" t="s">
        <v>58</v>
      </c>
      <c r="F101" t="s">
        <v>46</v>
      </c>
      <c r="G101" s="1">
        <v>45462</v>
      </c>
      <c r="H101" t="s">
        <v>233</v>
      </c>
      <c r="I101">
        <v>10165036</v>
      </c>
      <c r="J101">
        <v>363037</v>
      </c>
      <c r="K101">
        <v>9828</v>
      </c>
      <c r="L101">
        <v>60161</v>
      </c>
      <c r="M101">
        <v>4.2599999999999999E-2</v>
      </c>
      <c r="N101">
        <v>0.317</v>
      </c>
      <c r="O101">
        <v>1</v>
      </c>
      <c r="P101" t="b">
        <f t="shared" si="3"/>
        <v>1</v>
      </c>
      <c r="Q101" t="str">
        <f t="shared" si="2"/>
        <v>Positive</v>
      </c>
    </row>
    <row r="102" spans="1:17" x14ac:dyDescent="0.3">
      <c r="A102" t="s">
        <v>234</v>
      </c>
      <c r="B102" t="s">
        <v>27</v>
      </c>
      <c r="C102" t="s">
        <v>23</v>
      </c>
      <c r="D102" t="s">
        <v>18</v>
      </c>
      <c r="E102" t="s">
        <v>58</v>
      </c>
      <c r="F102" t="s">
        <v>46</v>
      </c>
      <c r="G102" s="1">
        <v>45353</v>
      </c>
      <c r="H102" t="s">
        <v>104</v>
      </c>
      <c r="I102">
        <v>7958540</v>
      </c>
      <c r="J102">
        <v>397927</v>
      </c>
      <c r="K102">
        <v>27668</v>
      </c>
      <c r="L102">
        <v>51992</v>
      </c>
      <c r="M102">
        <v>0.06</v>
      </c>
      <c r="N102">
        <v>0.28499999999999998</v>
      </c>
      <c r="O102">
        <v>1</v>
      </c>
      <c r="P102" t="b">
        <f t="shared" si="3"/>
        <v>1</v>
      </c>
      <c r="Q102" t="str">
        <f t="shared" si="2"/>
        <v>Positive</v>
      </c>
    </row>
    <row r="103" spans="1:17" x14ac:dyDescent="0.3">
      <c r="A103" t="s">
        <v>235</v>
      </c>
      <c r="B103" t="s">
        <v>32</v>
      </c>
      <c r="C103" t="s">
        <v>28</v>
      </c>
      <c r="D103" t="s">
        <v>33</v>
      </c>
      <c r="E103" t="s">
        <v>51</v>
      </c>
      <c r="F103" t="s">
        <v>20</v>
      </c>
      <c r="G103" s="1">
        <v>45469</v>
      </c>
      <c r="H103" t="s">
        <v>236</v>
      </c>
      <c r="I103">
        <v>2275296</v>
      </c>
      <c r="J103">
        <v>94804</v>
      </c>
      <c r="K103">
        <v>49120</v>
      </c>
      <c r="L103">
        <v>91008</v>
      </c>
      <c r="M103">
        <v>0.1033</v>
      </c>
      <c r="N103">
        <v>0.151</v>
      </c>
      <c r="O103">
        <v>1</v>
      </c>
      <c r="P103" t="b">
        <f t="shared" si="3"/>
        <v>1</v>
      </c>
      <c r="Q103" t="str">
        <f t="shared" si="2"/>
        <v>Positive</v>
      </c>
    </row>
    <row r="104" spans="1:17" x14ac:dyDescent="0.3">
      <c r="A104" t="s">
        <v>237</v>
      </c>
      <c r="B104" t="s">
        <v>27</v>
      </c>
      <c r="C104" t="s">
        <v>28</v>
      </c>
      <c r="D104" t="s">
        <v>73</v>
      </c>
      <c r="E104" t="s">
        <v>38</v>
      </c>
      <c r="F104" t="s">
        <v>55</v>
      </c>
      <c r="G104" s="1">
        <v>45414</v>
      </c>
      <c r="H104" t="s">
        <v>238</v>
      </c>
      <c r="I104">
        <v>2328425</v>
      </c>
      <c r="J104">
        <v>465685</v>
      </c>
      <c r="K104">
        <v>11943</v>
      </c>
      <c r="L104">
        <v>35196</v>
      </c>
      <c r="M104">
        <v>0.22020000000000001</v>
      </c>
      <c r="N104">
        <v>-8.3000000000000004E-2</v>
      </c>
      <c r="O104">
        <v>1</v>
      </c>
      <c r="P104" t="b">
        <f t="shared" si="3"/>
        <v>1</v>
      </c>
      <c r="Q104" t="str">
        <f t="shared" si="2"/>
        <v>Negative</v>
      </c>
    </row>
    <row r="105" spans="1:17" x14ac:dyDescent="0.3">
      <c r="A105" t="s">
        <v>239</v>
      </c>
      <c r="B105" t="s">
        <v>16</v>
      </c>
      <c r="C105" t="s">
        <v>28</v>
      </c>
      <c r="D105" t="s">
        <v>29</v>
      </c>
      <c r="E105" t="s">
        <v>38</v>
      </c>
      <c r="F105" t="s">
        <v>46</v>
      </c>
      <c r="G105" s="1">
        <v>45610</v>
      </c>
      <c r="H105" t="s">
        <v>240</v>
      </c>
      <c r="I105">
        <v>1816430</v>
      </c>
      <c r="J105">
        <v>363286</v>
      </c>
      <c r="K105">
        <v>28079</v>
      </c>
      <c r="L105">
        <v>97857</v>
      </c>
      <c r="M105">
        <v>0.26929999999999998</v>
      </c>
      <c r="N105">
        <v>0.30299999999999999</v>
      </c>
      <c r="O105">
        <v>0</v>
      </c>
      <c r="P105" t="b">
        <f t="shared" si="3"/>
        <v>0</v>
      </c>
      <c r="Q105" t="str">
        <f t="shared" si="2"/>
        <v>Positive</v>
      </c>
    </row>
    <row r="106" spans="1:17" x14ac:dyDescent="0.3">
      <c r="A106" t="s">
        <v>241</v>
      </c>
      <c r="B106" t="s">
        <v>16</v>
      </c>
      <c r="C106" t="s">
        <v>17</v>
      </c>
      <c r="D106" t="s">
        <v>37</v>
      </c>
      <c r="E106" t="s">
        <v>58</v>
      </c>
      <c r="F106" t="s">
        <v>34</v>
      </c>
      <c r="G106" s="1">
        <v>45454</v>
      </c>
      <c r="H106" t="s">
        <v>242</v>
      </c>
      <c r="I106">
        <v>1412462</v>
      </c>
      <c r="J106">
        <v>83086</v>
      </c>
      <c r="K106">
        <v>24112</v>
      </c>
      <c r="L106">
        <v>20765</v>
      </c>
      <c r="M106">
        <v>9.06E-2</v>
      </c>
      <c r="N106">
        <v>-0.57099999999999995</v>
      </c>
      <c r="O106">
        <v>0</v>
      </c>
      <c r="P106" t="b">
        <f t="shared" si="3"/>
        <v>0</v>
      </c>
      <c r="Q106" t="str">
        <f t="shared" si="2"/>
        <v>Negative</v>
      </c>
    </row>
    <row r="107" spans="1:17" x14ac:dyDescent="0.3">
      <c r="A107" t="s">
        <v>243</v>
      </c>
      <c r="B107" t="s">
        <v>66</v>
      </c>
      <c r="C107" t="s">
        <v>28</v>
      </c>
      <c r="D107" t="s">
        <v>54</v>
      </c>
      <c r="E107" t="s">
        <v>58</v>
      </c>
      <c r="F107" t="s">
        <v>20</v>
      </c>
      <c r="G107" s="1">
        <v>45639</v>
      </c>
      <c r="H107" t="s">
        <v>244</v>
      </c>
      <c r="I107">
        <v>6109191</v>
      </c>
      <c r="J107">
        <v>265617</v>
      </c>
      <c r="K107">
        <v>12166</v>
      </c>
      <c r="L107">
        <v>97533</v>
      </c>
      <c r="M107">
        <v>6.1400000000000003E-2</v>
      </c>
      <c r="N107">
        <v>0.23699999999999999</v>
      </c>
      <c r="O107">
        <v>1</v>
      </c>
      <c r="P107" t="b">
        <f t="shared" si="3"/>
        <v>1</v>
      </c>
      <c r="Q107" t="str">
        <f t="shared" si="2"/>
        <v>Positive</v>
      </c>
    </row>
    <row r="108" spans="1:17" x14ac:dyDescent="0.3">
      <c r="A108" t="s">
        <v>245</v>
      </c>
      <c r="B108" t="s">
        <v>16</v>
      </c>
      <c r="C108" t="s">
        <v>61</v>
      </c>
      <c r="D108" t="s">
        <v>73</v>
      </c>
      <c r="E108" t="s">
        <v>38</v>
      </c>
      <c r="F108" t="s">
        <v>46</v>
      </c>
      <c r="G108" s="1">
        <v>45466</v>
      </c>
      <c r="H108" t="s">
        <v>246</v>
      </c>
      <c r="I108">
        <v>329400</v>
      </c>
      <c r="J108">
        <v>27450</v>
      </c>
      <c r="K108">
        <v>27477</v>
      </c>
      <c r="L108">
        <v>94298</v>
      </c>
      <c r="M108">
        <v>0.45300000000000001</v>
      </c>
      <c r="N108">
        <v>-0.22900000000000001</v>
      </c>
      <c r="O108">
        <v>0</v>
      </c>
      <c r="P108" t="b">
        <f t="shared" si="3"/>
        <v>0</v>
      </c>
      <c r="Q108" t="str">
        <f t="shared" si="2"/>
        <v>Negative</v>
      </c>
    </row>
    <row r="109" spans="1:17" x14ac:dyDescent="0.3">
      <c r="A109" t="s">
        <v>247</v>
      </c>
      <c r="B109" t="s">
        <v>16</v>
      </c>
      <c r="C109" t="s">
        <v>23</v>
      </c>
      <c r="D109" t="s">
        <v>73</v>
      </c>
      <c r="E109" t="s">
        <v>19</v>
      </c>
      <c r="F109" t="s">
        <v>24</v>
      </c>
      <c r="G109" s="1">
        <v>45396</v>
      </c>
      <c r="H109" t="s">
        <v>248</v>
      </c>
      <c r="I109">
        <v>2451726</v>
      </c>
      <c r="J109">
        <v>408621</v>
      </c>
      <c r="K109">
        <v>9822</v>
      </c>
      <c r="L109">
        <v>76798</v>
      </c>
      <c r="M109">
        <v>0.20200000000000001</v>
      </c>
      <c r="N109">
        <v>-0.47899999999999998</v>
      </c>
      <c r="O109">
        <v>1</v>
      </c>
      <c r="P109" t="b">
        <f t="shared" si="3"/>
        <v>1</v>
      </c>
      <c r="Q109" t="str">
        <f t="shared" si="2"/>
        <v>Negative</v>
      </c>
    </row>
    <row r="110" spans="1:17" x14ac:dyDescent="0.3">
      <c r="A110" t="s">
        <v>249</v>
      </c>
      <c r="B110" t="s">
        <v>16</v>
      </c>
      <c r="C110" t="s">
        <v>61</v>
      </c>
      <c r="D110" t="s">
        <v>33</v>
      </c>
      <c r="E110" t="s">
        <v>19</v>
      </c>
      <c r="F110" t="s">
        <v>55</v>
      </c>
      <c r="G110" s="1">
        <v>45415</v>
      </c>
      <c r="H110" t="s">
        <v>250</v>
      </c>
      <c r="I110">
        <v>7065050</v>
      </c>
      <c r="J110">
        <v>282602</v>
      </c>
      <c r="K110">
        <v>3272</v>
      </c>
      <c r="L110">
        <v>82746</v>
      </c>
      <c r="M110">
        <v>5.2200000000000003E-2</v>
      </c>
      <c r="N110">
        <v>-0.30299999999999999</v>
      </c>
      <c r="O110">
        <v>1</v>
      </c>
      <c r="P110" t="b">
        <f t="shared" si="3"/>
        <v>1</v>
      </c>
      <c r="Q110" t="str">
        <f t="shared" si="2"/>
        <v>Negative</v>
      </c>
    </row>
    <row r="111" spans="1:17" x14ac:dyDescent="0.3">
      <c r="A111" t="s">
        <v>251</v>
      </c>
      <c r="B111" t="s">
        <v>66</v>
      </c>
      <c r="C111" t="s">
        <v>17</v>
      </c>
      <c r="D111" t="s">
        <v>18</v>
      </c>
      <c r="E111" t="s">
        <v>51</v>
      </c>
      <c r="F111" t="s">
        <v>55</v>
      </c>
      <c r="G111" s="1">
        <v>45606</v>
      </c>
      <c r="H111" t="s">
        <v>252</v>
      </c>
      <c r="I111">
        <v>91504</v>
      </c>
      <c r="J111">
        <v>11438</v>
      </c>
      <c r="K111">
        <v>417</v>
      </c>
      <c r="L111">
        <v>7544</v>
      </c>
      <c r="M111">
        <v>0.21199999999999999</v>
      </c>
      <c r="N111">
        <v>-0.16400000000000001</v>
      </c>
      <c r="O111">
        <v>0</v>
      </c>
      <c r="P111" t="b">
        <f t="shared" si="3"/>
        <v>0</v>
      </c>
      <c r="Q111" t="str">
        <f t="shared" si="2"/>
        <v>Negative</v>
      </c>
    </row>
    <row r="112" spans="1:17" x14ac:dyDescent="0.3">
      <c r="A112" t="s">
        <v>253</v>
      </c>
      <c r="B112" t="s">
        <v>27</v>
      </c>
      <c r="C112" t="s">
        <v>23</v>
      </c>
      <c r="D112" t="s">
        <v>33</v>
      </c>
      <c r="E112" t="s">
        <v>41</v>
      </c>
      <c r="F112" t="s">
        <v>20</v>
      </c>
      <c r="G112" s="1">
        <v>45579</v>
      </c>
      <c r="H112" t="s">
        <v>254</v>
      </c>
      <c r="I112">
        <v>1982304</v>
      </c>
      <c r="J112">
        <v>220256</v>
      </c>
      <c r="K112">
        <v>27389</v>
      </c>
      <c r="L112">
        <v>44426</v>
      </c>
      <c r="M112">
        <v>0.14729999999999999</v>
      </c>
      <c r="N112">
        <v>0.501</v>
      </c>
      <c r="O112">
        <v>0</v>
      </c>
      <c r="P112" t="b">
        <f t="shared" si="3"/>
        <v>0</v>
      </c>
      <c r="Q112" t="str">
        <f t="shared" si="2"/>
        <v>Positive</v>
      </c>
    </row>
    <row r="113" spans="1:17" x14ac:dyDescent="0.3">
      <c r="A113" t="s">
        <v>255</v>
      </c>
      <c r="B113" t="s">
        <v>27</v>
      </c>
      <c r="C113" t="s">
        <v>28</v>
      </c>
      <c r="D113" t="s">
        <v>18</v>
      </c>
      <c r="E113" t="s">
        <v>38</v>
      </c>
      <c r="F113" t="s">
        <v>55</v>
      </c>
      <c r="G113" s="1">
        <v>45351</v>
      </c>
      <c r="H113" t="s">
        <v>256</v>
      </c>
      <c r="I113">
        <v>6190780</v>
      </c>
      <c r="J113">
        <v>309539</v>
      </c>
      <c r="K113">
        <v>48821</v>
      </c>
      <c r="L113">
        <v>83043</v>
      </c>
      <c r="M113">
        <v>7.1300000000000002E-2</v>
      </c>
      <c r="N113">
        <v>-0.745</v>
      </c>
      <c r="O113">
        <v>1</v>
      </c>
      <c r="P113" t="b">
        <f t="shared" si="3"/>
        <v>1</v>
      </c>
      <c r="Q113" t="str">
        <f t="shared" si="2"/>
        <v>Negative</v>
      </c>
    </row>
    <row r="114" spans="1:17" x14ac:dyDescent="0.3">
      <c r="A114" t="s">
        <v>257</v>
      </c>
      <c r="B114" t="s">
        <v>66</v>
      </c>
      <c r="C114" t="s">
        <v>23</v>
      </c>
      <c r="D114" t="s">
        <v>18</v>
      </c>
      <c r="E114" t="s">
        <v>41</v>
      </c>
      <c r="F114" t="s">
        <v>46</v>
      </c>
      <c r="G114" s="1">
        <v>45617</v>
      </c>
      <c r="H114" t="s">
        <v>258</v>
      </c>
      <c r="I114">
        <v>1909980</v>
      </c>
      <c r="J114">
        <v>70740</v>
      </c>
      <c r="K114">
        <v>34916</v>
      </c>
      <c r="L114">
        <v>59032</v>
      </c>
      <c r="M114">
        <v>8.6199999999999999E-2</v>
      </c>
      <c r="N114">
        <v>0.86199999999999999</v>
      </c>
      <c r="O114">
        <v>0</v>
      </c>
      <c r="P114" t="b">
        <f t="shared" si="3"/>
        <v>0</v>
      </c>
      <c r="Q114" t="str">
        <f t="shared" si="2"/>
        <v>Positive</v>
      </c>
    </row>
    <row r="115" spans="1:17" x14ac:dyDescent="0.3">
      <c r="A115" t="s">
        <v>259</v>
      </c>
      <c r="B115" t="s">
        <v>16</v>
      </c>
      <c r="C115" t="s">
        <v>28</v>
      </c>
      <c r="D115" t="s">
        <v>29</v>
      </c>
      <c r="E115" t="s">
        <v>38</v>
      </c>
      <c r="F115" t="s">
        <v>55</v>
      </c>
      <c r="G115" s="1">
        <v>45507</v>
      </c>
      <c r="H115" t="s">
        <v>35</v>
      </c>
      <c r="I115">
        <v>1662552</v>
      </c>
      <c r="J115">
        <v>61576</v>
      </c>
      <c r="K115">
        <v>44816</v>
      </c>
      <c r="L115">
        <v>36209</v>
      </c>
      <c r="M115">
        <v>8.5800000000000001E-2</v>
      </c>
      <c r="N115">
        <v>0.502</v>
      </c>
      <c r="O115">
        <v>0</v>
      </c>
      <c r="P115" t="b">
        <f t="shared" si="3"/>
        <v>0</v>
      </c>
      <c r="Q115" t="str">
        <f t="shared" si="2"/>
        <v>Positive</v>
      </c>
    </row>
    <row r="116" spans="1:17" x14ac:dyDescent="0.3">
      <c r="A116" t="s">
        <v>260</v>
      </c>
      <c r="B116" t="s">
        <v>16</v>
      </c>
      <c r="C116" t="s">
        <v>28</v>
      </c>
      <c r="D116" t="s">
        <v>29</v>
      </c>
      <c r="E116" t="s">
        <v>41</v>
      </c>
      <c r="F116" t="s">
        <v>34</v>
      </c>
      <c r="G116" s="1">
        <v>45546</v>
      </c>
      <c r="H116" t="s">
        <v>261</v>
      </c>
      <c r="I116">
        <v>2372076</v>
      </c>
      <c r="J116">
        <v>112956</v>
      </c>
      <c r="K116">
        <v>2919</v>
      </c>
      <c r="L116">
        <v>21353</v>
      </c>
      <c r="M116">
        <v>5.79E-2</v>
      </c>
      <c r="N116">
        <v>6.9000000000000006E-2</v>
      </c>
      <c r="O116">
        <v>1</v>
      </c>
      <c r="P116" t="b">
        <f t="shared" si="3"/>
        <v>1</v>
      </c>
      <c r="Q116" t="str">
        <f t="shared" si="2"/>
        <v>Positive</v>
      </c>
    </row>
    <row r="117" spans="1:17" x14ac:dyDescent="0.3">
      <c r="A117" t="s">
        <v>262</v>
      </c>
      <c r="B117" t="s">
        <v>32</v>
      </c>
      <c r="C117" t="s">
        <v>23</v>
      </c>
      <c r="D117" t="s">
        <v>73</v>
      </c>
      <c r="E117" t="s">
        <v>41</v>
      </c>
      <c r="F117" t="s">
        <v>24</v>
      </c>
      <c r="G117" s="1">
        <v>45517</v>
      </c>
      <c r="H117" t="s">
        <v>263</v>
      </c>
      <c r="I117">
        <v>11306646</v>
      </c>
      <c r="J117">
        <v>434871</v>
      </c>
      <c r="K117">
        <v>46964</v>
      </c>
      <c r="L117">
        <v>729</v>
      </c>
      <c r="M117">
        <v>4.2700000000000002E-2</v>
      </c>
      <c r="N117">
        <v>-0.40500000000000003</v>
      </c>
      <c r="O117">
        <v>1</v>
      </c>
      <c r="P117" t="b">
        <f t="shared" si="3"/>
        <v>1</v>
      </c>
      <c r="Q117" t="str">
        <f t="shared" si="2"/>
        <v>Negative</v>
      </c>
    </row>
    <row r="118" spans="1:17" x14ac:dyDescent="0.3">
      <c r="A118" t="s">
        <v>264</v>
      </c>
      <c r="B118" t="s">
        <v>32</v>
      </c>
      <c r="C118" t="s">
        <v>23</v>
      </c>
      <c r="D118" t="s">
        <v>73</v>
      </c>
      <c r="E118" t="s">
        <v>58</v>
      </c>
      <c r="F118" t="s">
        <v>24</v>
      </c>
      <c r="G118" s="1">
        <v>45614</v>
      </c>
      <c r="H118" t="s">
        <v>265</v>
      </c>
      <c r="I118">
        <v>640864</v>
      </c>
      <c r="J118">
        <v>40054</v>
      </c>
      <c r="K118">
        <v>47285</v>
      </c>
      <c r="L118">
        <v>79460</v>
      </c>
      <c r="M118">
        <v>0.26029999999999998</v>
      </c>
      <c r="N118">
        <v>0.91700000000000004</v>
      </c>
      <c r="O118">
        <v>0</v>
      </c>
      <c r="P118" t="b">
        <f t="shared" si="3"/>
        <v>0</v>
      </c>
      <c r="Q118" t="str">
        <f t="shared" si="2"/>
        <v>Positive</v>
      </c>
    </row>
    <row r="119" spans="1:17" x14ac:dyDescent="0.3">
      <c r="A119" t="s">
        <v>266</v>
      </c>
      <c r="B119" t="s">
        <v>66</v>
      </c>
      <c r="C119" t="s">
        <v>61</v>
      </c>
      <c r="D119" t="s">
        <v>54</v>
      </c>
      <c r="E119" t="s">
        <v>51</v>
      </c>
      <c r="F119" t="s">
        <v>55</v>
      </c>
      <c r="G119" s="1">
        <v>45339</v>
      </c>
      <c r="H119" t="s">
        <v>267</v>
      </c>
      <c r="I119">
        <v>4595602</v>
      </c>
      <c r="J119">
        <v>417782</v>
      </c>
      <c r="K119">
        <v>36944</v>
      </c>
      <c r="L119">
        <v>69897</v>
      </c>
      <c r="M119">
        <v>0.1142</v>
      </c>
      <c r="N119">
        <v>0.91400000000000003</v>
      </c>
      <c r="O119">
        <v>1</v>
      </c>
      <c r="P119" t="b">
        <f t="shared" si="3"/>
        <v>1</v>
      </c>
      <c r="Q119" t="str">
        <f t="shared" si="2"/>
        <v>Positive</v>
      </c>
    </row>
    <row r="120" spans="1:17" x14ac:dyDescent="0.3">
      <c r="A120" t="s">
        <v>268</v>
      </c>
      <c r="B120" t="s">
        <v>32</v>
      </c>
      <c r="C120" t="s">
        <v>23</v>
      </c>
      <c r="D120" t="s">
        <v>54</v>
      </c>
      <c r="E120" t="s">
        <v>19</v>
      </c>
      <c r="F120" t="s">
        <v>24</v>
      </c>
      <c r="G120" s="1">
        <v>45348</v>
      </c>
      <c r="H120" t="s">
        <v>269</v>
      </c>
      <c r="I120">
        <v>988646</v>
      </c>
      <c r="J120">
        <v>52034</v>
      </c>
      <c r="K120">
        <v>32312</v>
      </c>
      <c r="L120">
        <v>54099</v>
      </c>
      <c r="M120">
        <v>0.14000000000000001</v>
      </c>
      <c r="N120">
        <v>-0.83299999999999996</v>
      </c>
      <c r="O120">
        <v>0</v>
      </c>
      <c r="P120" t="b">
        <f t="shared" si="3"/>
        <v>0</v>
      </c>
      <c r="Q120" t="str">
        <f t="shared" si="2"/>
        <v>Negative</v>
      </c>
    </row>
    <row r="121" spans="1:17" x14ac:dyDescent="0.3">
      <c r="A121" t="s">
        <v>270</v>
      </c>
      <c r="B121" t="s">
        <v>32</v>
      </c>
      <c r="C121" t="s">
        <v>28</v>
      </c>
      <c r="D121" t="s">
        <v>18</v>
      </c>
      <c r="E121" t="s">
        <v>38</v>
      </c>
      <c r="F121" t="s">
        <v>55</v>
      </c>
      <c r="G121" s="1">
        <v>45351</v>
      </c>
      <c r="H121" t="s">
        <v>30</v>
      </c>
      <c r="I121">
        <v>3026880</v>
      </c>
      <c r="J121">
        <v>126120</v>
      </c>
      <c r="K121">
        <v>37264</v>
      </c>
      <c r="L121">
        <v>89113</v>
      </c>
      <c r="M121">
        <v>8.3400000000000002E-2</v>
      </c>
      <c r="N121">
        <v>0.34499999999999997</v>
      </c>
      <c r="O121">
        <v>1</v>
      </c>
      <c r="P121" t="b">
        <f t="shared" si="3"/>
        <v>1</v>
      </c>
      <c r="Q121" t="str">
        <f t="shared" si="2"/>
        <v>Positive</v>
      </c>
    </row>
    <row r="122" spans="1:17" x14ac:dyDescent="0.3">
      <c r="A122" t="s">
        <v>271</v>
      </c>
      <c r="B122" t="s">
        <v>16</v>
      </c>
      <c r="C122" t="s">
        <v>61</v>
      </c>
      <c r="D122" t="s">
        <v>18</v>
      </c>
      <c r="E122" t="s">
        <v>51</v>
      </c>
      <c r="F122" t="s">
        <v>34</v>
      </c>
      <c r="G122" s="1">
        <v>45352</v>
      </c>
      <c r="H122" t="s">
        <v>272</v>
      </c>
      <c r="I122">
        <v>2608397</v>
      </c>
      <c r="J122">
        <v>237127</v>
      </c>
      <c r="K122">
        <v>1172</v>
      </c>
      <c r="L122">
        <v>27193</v>
      </c>
      <c r="M122">
        <v>0.1018</v>
      </c>
      <c r="N122">
        <v>-0.81799999999999995</v>
      </c>
      <c r="O122">
        <v>1</v>
      </c>
      <c r="P122" t="b">
        <f t="shared" si="3"/>
        <v>1</v>
      </c>
      <c r="Q122" t="str">
        <f t="shared" si="2"/>
        <v>Negative</v>
      </c>
    </row>
    <row r="123" spans="1:17" x14ac:dyDescent="0.3">
      <c r="A123" t="s">
        <v>273</v>
      </c>
      <c r="B123" t="s">
        <v>16</v>
      </c>
      <c r="C123" t="s">
        <v>23</v>
      </c>
      <c r="D123" t="s">
        <v>73</v>
      </c>
      <c r="E123" t="s">
        <v>38</v>
      </c>
      <c r="F123" t="s">
        <v>34</v>
      </c>
      <c r="G123" s="1">
        <v>45599</v>
      </c>
      <c r="H123" t="s">
        <v>244</v>
      </c>
      <c r="I123">
        <v>2748906</v>
      </c>
      <c r="J123">
        <v>152717</v>
      </c>
      <c r="K123">
        <v>21694</v>
      </c>
      <c r="L123">
        <v>11175</v>
      </c>
      <c r="M123">
        <v>6.7500000000000004E-2</v>
      </c>
      <c r="N123">
        <v>9.9000000000000005E-2</v>
      </c>
      <c r="O123">
        <v>1</v>
      </c>
      <c r="P123" t="b">
        <f t="shared" si="3"/>
        <v>1</v>
      </c>
      <c r="Q123" t="str">
        <f t="shared" si="2"/>
        <v>Positive</v>
      </c>
    </row>
    <row r="124" spans="1:17" x14ac:dyDescent="0.3">
      <c r="A124" t="s">
        <v>274</v>
      </c>
      <c r="B124" t="s">
        <v>16</v>
      </c>
      <c r="C124" t="s">
        <v>23</v>
      </c>
      <c r="D124" t="s">
        <v>18</v>
      </c>
      <c r="E124" t="s">
        <v>41</v>
      </c>
      <c r="F124" t="s">
        <v>55</v>
      </c>
      <c r="G124" s="1">
        <v>45454</v>
      </c>
      <c r="H124" t="s">
        <v>275</v>
      </c>
      <c r="I124">
        <v>141720</v>
      </c>
      <c r="J124">
        <v>9448</v>
      </c>
      <c r="K124">
        <v>23719</v>
      </c>
      <c r="L124">
        <v>38103</v>
      </c>
      <c r="M124">
        <v>0.50290000000000001</v>
      </c>
      <c r="N124">
        <v>0.41199999999999998</v>
      </c>
      <c r="O124">
        <v>0</v>
      </c>
      <c r="P124" t="b">
        <f t="shared" si="3"/>
        <v>0</v>
      </c>
      <c r="Q124" t="str">
        <f t="shared" si="2"/>
        <v>Positive</v>
      </c>
    </row>
    <row r="125" spans="1:17" x14ac:dyDescent="0.3">
      <c r="A125" t="s">
        <v>276</v>
      </c>
      <c r="B125" t="s">
        <v>16</v>
      </c>
      <c r="C125" t="s">
        <v>28</v>
      </c>
      <c r="D125" t="s">
        <v>33</v>
      </c>
      <c r="E125" t="s">
        <v>58</v>
      </c>
      <c r="F125" t="s">
        <v>55</v>
      </c>
      <c r="G125" s="1">
        <v>45649</v>
      </c>
      <c r="H125" t="s">
        <v>277</v>
      </c>
      <c r="I125">
        <v>1445500</v>
      </c>
      <c r="J125">
        <v>103250</v>
      </c>
      <c r="K125">
        <v>6736</v>
      </c>
      <c r="L125">
        <v>48137</v>
      </c>
      <c r="M125">
        <v>0.1094</v>
      </c>
      <c r="N125">
        <v>0.67400000000000004</v>
      </c>
      <c r="O125">
        <v>0</v>
      </c>
      <c r="P125" t="b">
        <f t="shared" si="3"/>
        <v>0</v>
      </c>
      <c r="Q125" t="str">
        <f t="shared" si="2"/>
        <v>Positive</v>
      </c>
    </row>
    <row r="126" spans="1:17" x14ac:dyDescent="0.3">
      <c r="A126" t="s">
        <v>278</v>
      </c>
      <c r="B126" t="s">
        <v>16</v>
      </c>
      <c r="C126" t="s">
        <v>23</v>
      </c>
      <c r="D126" t="s">
        <v>18</v>
      </c>
      <c r="E126" t="s">
        <v>19</v>
      </c>
      <c r="F126" t="s">
        <v>20</v>
      </c>
      <c r="G126" s="1">
        <v>45376</v>
      </c>
      <c r="H126" t="s">
        <v>279</v>
      </c>
      <c r="I126">
        <v>2241404</v>
      </c>
      <c r="J126">
        <v>203764</v>
      </c>
      <c r="K126">
        <v>11521</v>
      </c>
      <c r="L126">
        <v>44262</v>
      </c>
      <c r="M126">
        <v>0.1158</v>
      </c>
      <c r="N126">
        <v>-0.14799999999999999</v>
      </c>
      <c r="O126">
        <v>1</v>
      </c>
      <c r="P126" t="b">
        <f t="shared" si="3"/>
        <v>1</v>
      </c>
      <c r="Q126" t="str">
        <f t="shared" si="2"/>
        <v>Negative</v>
      </c>
    </row>
    <row r="127" spans="1:17" x14ac:dyDescent="0.3">
      <c r="A127" t="s">
        <v>280</v>
      </c>
      <c r="B127" t="s">
        <v>66</v>
      </c>
      <c r="C127" t="s">
        <v>61</v>
      </c>
      <c r="D127" t="s">
        <v>37</v>
      </c>
      <c r="E127" t="s">
        <v>38</v>
      </c>
      <c r="F127" t="s">
        <v>24</v>
      </c>
      <c r="G127" s="1">
        <v>45379</v>
      </c>
      <c r="H127" t="s">
        <v>281</v>
      </c>
      <c r="I127">
        <v>3993330</v>
      </c>
      <c r="J127">
        <v>181515</v>
      </c>
      <c r="K127">
        <v>39086</v>
      </c>
      <c r="L127">
        <v>62857</v>
      </c>
      <c r="M127">
        <v>7.0999999999999994E-2</v>
      </c>
      <c r="N127">
        <v>0.78400000000000003</v>
      </c>
      <c r="O127">
        <v>1</v>
      </c>
      <c r="P127" t="b">
        <f t="shared" si="3"/>
        <v>1</v>
      </c>
      <c r="Q127" t="str">
        <f t="shared" si="2"/>
        <v>Positive</v>
      </c>
    </row>
    <row r="128" spans="1:17" x14ac:dyDescent="0.3">
      <c r="A128" t="s">
        <v>282</v>
      </c>
      <c r="B128" t="s">
        <v>16</v>
      </c>
      <c r="C128" t="s">
        <v>28</v>
      </c>
      <c r="D128" t="s">
        <v>54</v>
      </c>
      <c r="E128" t="s">
        <v>38</v>
      </c>
      <c r="F128" t="s">
        <v>34</v>
      </c>
      <c r="G128" s="1">
        <v>45472</v>
      </c>
      <c r="H128" t="s">
        <v>201</v>
      </c>
      <c r="I128">
        <v>4936536</v>
      </c>
      <c r="J128">
        <v>214632</v>
      </c>
      <c r="K128">
        <v>22561</v>
      </c>
      <c r="L128">
        <v>54694</v>
      </c>
      <c r="M128">
        <v>5.91E-2</v>
      </c>
      <c r="N128">
        <v>0.16300000000000001</v>
      </c>
      <c r="O128">
        <v>1</v>
      </c>
      <c r="P128" t="b">
        <f t="shared" si="3"/>
        <v>1</v>
      </c>
      <c r="Q128" t="str">
        <f t="shared" si="2"/>
        <v>Positive</v>
      </c>
    </row>
    <row r="129" spans="1:17" x14ac:dyDescent="0.3">
      <c r="A129" t="s">
        <v>283</v>
      </c>
      <c r="B129" t="s">
        <v>27</v>
      </c>
      <c r="C129" t="s">
        <v>61</v>
      </c>
      <c r="D129" t="s">
        <v>37</v>
      </c>
      <c r="E129" t="s">
        <v>51</v>
      </c>
      <c r="F129" t="s">
        <v>34</v>
      </c>
      <c r="G129" s="1">
        <v>45437</v>
      </c>
      <c r="H129" t="s">
        <v>284</v>
      </c>
      <c r="I129">
        <v>10455936</v>
      </c>
      <c r="J129">
        <v>435664</v>
      </c>
      <c r="K129">
        <v>26437</v>
      </c>
      <c r="L129">
        <v>83286</v>
      </c>
      <c r="M129">
        <v>5.2200000000000003E-2</v>
      </c>
      <c r="N129">
        <v>-0.52700000000000002</v>
      </c>
      <c r="O129">
        <v>1</v>
      </c>
      <c r="P129" t="b">
        <f t="shared" si="3"/>
        <v>1</v>
      </c>
      <c r="Q129" t="str">
        <f t="shared" si="2"/>
        <v>Negative</v>
      </c>
    </row>
    <row r="130" spans="1:17" x14ac:dyDescent="0.3">
      <c r="A130" t="s">
        <v>285</v>
      </c>
      <c r="B130" t="s">
        <v>66</v>
      </c>
      <c r="C130" t="s">
        <v>28</v>
      </c>
      <c r="D130" t="s">
        <v>18</v>
      </c>
      <c r="E130" t="s">
        <v>38</v>
      </c>
      <c r="F130" t="s">
        <v>55</v>
      </c>
      <c r="G130" s="1">
        <v>45374</v>
      </c>
      <c r="H130" t="s">
        <v>286</v>
      </c>
      <c r="I130">
        <v>3468624</v>
      </c>
      <c r="J130">
        <v>433578</v>
      </c>
      <c r="K130">
        <v>37085</v>
      </c>
      <c r="L130">
        <v>1325</v>
      </c>
      <c r="M130">
        <v>0.1361</v>
      </c>
      <c r="N130">
        <v>-0.3</v>
      </c>
      <c r="O130">
        <v>1</v>
      </c>
      <c r="P130" t="b">
        <f t="shared" si="3"/>
        <v>1</v>
      </c>
      <c r="Q130" t="str">
        <f t="shared" ref="Q130:Q193" si="4">IF(N130&gt;0,"Positive","Negative")</f>
        <v>Negative</v>
      </c>
    </row>
    <row r="131" spans="1:17" x14ac:dyDescent="0.3">
      <c r="A131" t="s">
        <v>287</v>
      </c>
      <c r="B131" t="s">
        <v>27</v>
      </c>
      <c r="C131" t="s">
        <v>17</v>
      </c>
      <c r="D131" t="s">
        <v>33</v>
      </c>
      <c r="E131" t="s">
        <v>51</v>
      </c>
      <c r="F131" t="s">
        <v>46</v>
      </c>
      <c r="G131" s="1">
        <v>45572</v>
      </c>
      <c r="H131" t="s">
        <v>288</v>
      </c>
      <c r="I131">
        <v>3528176</v>
      </c>
      <c r="J131">
        <v>220511</v>
      </c>
      <c r="K131">
        <v>19875</v>
      </c>
      <c r="L131">
        <v>34579</v>
      </c>
      <c r="M131">
        <v>7.7899999999999997E-2</v>
      </c>
      <c r="N131">
        <v>0.11700000000000001</v>
      </c>
      <c r="O131">
        <v>1</v>
      </c>
      <c r="P131" t="b">
        <f t="shared" ref="P131:P194" si="5">IF(O131=1,TRUE,FALSE)</f>
        <v>1</v>
      </c>
      <c r="Q131" t="str">
        <f t="shared" si="4"/>
        <v>Positive</v>
      </c>
    </row>
    <row r="132" spans="1:17" x14ac:dyDescent="0.3">
      <c r="A132" t="s">
        <v>289</v>
      </c>
      <c r="B132" t="s">
        <v>16</v>
      </c>
      <c r="C132" t="s">
        <v>23</v>
      </c>
      <c r="D132" t="s">
        <v>29</v>
      </c>
      <c r="E132" t="s">
        <v>41</v>
      </c>
      <c r="F132" t="s">
        <v>20</v>
      </c>
      <c r="G132" s="1">
        <v>45511</v>
      </c>
      <c r="H132" t="s">
        <v>290</v>
      </c>
      <c r="I132">
        <v>2736402</v>
      </c>
      <c r="J132">
        <v>118974</v>
      </c>
      <c r="K132">
        <v>25294</v>
      </c>
      <c r="L132">
        <v>55130</v>
      </c>
      <c r="M132">
        <v>7.2900000000000006E-2</v>
      </c>
      <c r="N132">
        <v>-0.77800000000000002</v>
      </c>
      <c r="O132">
        <v>1</v>
      </c>
      <c r="P132" t="b">
        <f t="shared" si="5"/>
        <v>1</v>
      </c>
      <c r="Q132" t="str">
        <f t="shared" si="4"/>
        <v>Negative</v>
      </c>
    </row>
    <row r="133" spans="1:17" x14ac:dyDescent="0.3">
      <c r="A133" t="s">
        <v>291</v>
      </c>
      <c r="B133" t="s">
        <v>16</v>
      </c>
      <c r="C133" t="s">
        <v>23</v>
      </c>
      <c r="D133" t="s">
        <v>37</v>
      </c>
      <c r="E133" t="s">
        <v>58</v>
      </c>
      <c r="F133" t="s">
        <v>46</v>
      </c>
      <c r="G133" s="1">
        <v>45320</v>
      </c>
      <c r="H133" t="s">
        <v>292</v>
      </c>
      <c r="I133">
        <v>6747972</v>
      </c>
      <c r="J133">
        <v>306726</v>
      </c>
      <c r="K133">
        <v>20657</v>
      </c>
      <c r="L133">
        <v>4749</v>
      </c>
      <c r="M133">
        <v>4.9200000000000001E-2</v>
      </c>
      <c r="N133">
        <v>-6.3E-2</v>
      </c>
      <c r="O133">
        <v>1</v>
      </c>
      <c r="P133" t="b">
        <f t="shared" si="5"/>
        <v>1</v>
      </c>
      <c r="Q133" t="str">
        <f t="shared" si="4"/>
        <v>Negative</v>
      </c>
    </row>
    <row r="134" spans="1:17" x14ac:dyDescent="0.3">
      <c r="A134" t="s">
        <v>293</v>
      </c>
      <c r="B134" t="s">
        <v>32</v>
      </c>
      <c r="C134" t="s">
        <v>61</v>
      </c>
      <c r="D134" t="s">
        <v>37</v>
      </c>
      <c r="E134" t="s">
        <v>51</v>
      </c>
      <c r="F134" t="s">
        <v>55</v>
      </c>
      <c r="G134" s="1">
        <v>45419</v>
      </c>
      <c r="H134" t="s">
        <v>294</v>
      </c>
      <c r="I134">
        <v>1488732</v>
      </c>
      <c r="J134">
        <v>124061</v>
      </c>
      <c r="K134">
        <v>30360</v>
      </c>
      <c r="L134">
        <v>55772</v>
      </c>
      <c r="M134">
        <v>0.14119999999999999</v>
      </c>
      <c r="N134">
        <v>-0.76500000000000001</v>
      </c>
      <c r="O134">
        <v>0</v>
      </c>
      <c r="P134" t="b">
        <f t="shared" si="5"/>
        <v>0</v>
      </c>
      <c r="Q134" t="str">
        <f t="shared" si="4"/>
        <v>Negative</v>
      </c>
    </row>
    <row r="135" spans="1:17" x14ac:dyDescent="0.3">
      <c r="A135" t="s">
        <v>295</v>
      </c>
      <c r="B135" t="s">
        <v>32</v>
      </c>
      <c r="C135" t="s">
        <v>17</v>
      </c>
      <c r="D135" t="s">
        <v>37</v>
      </c>
      <c r="E135" t="s">
        <v>19</v>
      </c>
      <c r="F135" t="s">
        <v>46</v>
      </c>
      <c r="G135" s="1">
        <v>45405</v>
      </c>
      <c r="H135" t="s">
        <v>296</v>
      </c>
      <c r="I135">
        <v>1214612</v>
      </c>
      <c r="J135">
        <v>173516</v>
      </c>
      <c r="K135">
        <v>42923</v>
      </c>
      <c r="L135">
        <v>52225</v>
      </c>
      <c r="M135">
        <v>0.22120000000000001</v>
      </c>
      <c r="N135">
        <v>0.16700000000000001</v>
      </c>
      <c r="O135">
        <v>0</v>
      </c>
      <c r="P135" t="b">
        <f t="shared" si="5"/>
        <v>0</v>
      </c>
      <c r="Q135" t="str">
        <f t="shared" si="4"/>
        <v>Positive</v>
      </c>
    </row>
    <row r="136" spans="1:17" x14ac:dyDescent="0.3">
      <c r="A136" t="s">
        <v>297</v>
      </c>
      <c r="B136" t="s">
        <v>66</v>
      </c>
      <c r="C136" t="s">
        <v>23</v>
      </c>
      <c r="D136" t="s">
        <v>29</v>
      </c>
      <c r="E136" t="s">
        <v>19</v>
      </c>
      <c r="F136" t="s">
        <v>24</v>
      </c>
      <c r="G136" s="1">
        <v>45481</v>
      </c>
      <c r="H136" t="s">
        <v>298</v>
      </c>
      <c r="I136">
        <v>1296309</v>
      </c>
      <c r="J136">
        <v>61729</v>
      </c>
      <c r="K136">
        <v>509</v>
      </c>
      <c r="L136">
        <v>99519</v>
      </c>
      <c r="M136">
        <v>0.12479999999999999</v>
      </c>
      <c r="N136">
        <v>-0.83399999999999996</v>
      </c>
      <c r="O136">
        <v>0</v>
      </c>
      <c r="P136" t="b">
        <f t="shared" si="5"/>
        <v>0</v>
      </c>
      <c r="Q136" t="str">
        <f t="shared" si="4"/>
        <v>Negative</v>
      </c>
    </row>
    <row r="137" spans="1:17" x14ac:dyDescent="0.3">
      <c r="A137" t="s">
        <v>299</v>
      </c>
      <c r="B137" t="s">
        <v>66</v>
      </c>
      <c r="C137" t="s">
        <v>23</v>
      </c>
      <c r="D137" t="s">
        <v>54</v>
      </c>
      <c r="E137" t="s">
        <v>58</v>
      </c>
      <c r="F137" t="s">
        <v>55</v>
      </c>
      <c r="G137" s="1">
        <v>45301</v>
      </c>
      <c r="H137" t="s">
        <v>300</v>
      </c>
      <c r="I137">
        <v>3424320</v>
      </c>
      <c r="J137">
        <v>214020</v>
      </c>
      <c r="K137">
        <v>37802</v>
      </c>
      <c r="L137">
        <v>67642</v>
      </c>
      <c r="M137">
        <v>9.3299999999999994E-2</v>
      </c>
      <c r="N137">
        <v>0.95599999999999996</v>
      </c>
      <c r="O137">
        <v>1</v>
      </c>
      <c r="P137" t="b">
        <f t="shared" si="5"/>
        <v>1</v>
      </c>
      <c r="Q137" t="str">
        <f t="shared" si="4"/>
        <v>Positive</v>
      </c>
    </row>
    <row r="138" spans="1:17" x14ac:dyDescent="0.3">
      <c r="A138" t="s">
        <v>301</v>
      </c>
      <c r="B138" t="s">
        <v>66</v>
      </c>
      <c r="C138" t="s">
        <v>23</v>
      </c>
      <c r="D138" t="s">
        <v>73</v>
      </c>
      <c r="E138" t="s">
        <v>19</v>
      </c>
      <c r="F138" t="s">
        <v>24</v>
      </c>
      <c r="G138" s="1">
        <v>45629</v>
      </c>
      <c r="H138" t="s">
        <v>201</v>
      </c>
      <c r="I138">
        <v>10816416</v>
      </c>
      <c r="J138">
        <v>416016</v>
      </c>
      <c r="K138">
        <v>34625</v>
      </c>
      <c r="L138">
        <v>20560</v>
      </c>
      <c r="M138">
        <v>4.36E-2</v>
      </c>
      <c r="N138">
        <v>0.84899999999999998</v>
      </c>
      <c r="O138">
        <v>1</v>
      </c>
      <c r="P138" t="b">
        <f t="shared" si="5"/>
        <v>1</v>
      </c>
      <c r="Q138" t="str">
        <f t="shared" si="4"/>
        <v>Positive</v>
      </c>
    </row>
    <row r="139" spans="1:17" x14ac:dyDescent="0.3">
      <c r="A139" t="s">
        <v>302</v>
      </c>
      <c r="B139" t="s">
        <v>27</v>
      </c>
      <c r="C139" t="s">
        <v>17</v>
      </c>
      <c r="D139" t="s">
        <v>33</v>
      </c>
      <c r="E139" t="s">
        <v>41</v>
      </c>
      <c r="F139" t="s">
        <v>20</v>
      </c>
      <c r="G139" s="1">
        <v>45473</v>
      </c>
      <c r="H139" t="s">
        <v>303</v>
      </c>
      <c r="I139">
        <v>4777353</v>
      </c>
      <c r="J139">
        <v>207711</v>
      </c>
      <c r="K139">
        <v>21737</v>
      </c>
      <c r="L139">
        <v>91363</v>
      </c>
      <c r="M139">
        <v>6.7199999999999996E-2</v>
      </c>
      <c r="N139">
        <v>0.93899999999999995</v>
      </c>
      <c r="O139">
        <v>1</v>
      </c>
      <c r="P139" t="b">
        <f t="shared" si="5"/>
        <v>1</v>
      </c>
      <c r="Q139" t="str">
        <f t="shared" si="4"/>
        <v>Positive</v>
      </c>
    </row>
    <row r="140" spans="1:17" x14ac:dyDescent="0.3">
      <c r="A140" t="s">
        <v>304</v>
      </c>
      <c r="B140" t="s">
        <v>27</v>
      </c>
      <c r="C140" t="s">
        <v>17</v>
      </c>
      <c r="D140" t="s">
        <v>37</v>
      </c>
      <c r="E140" t="s">
        <v>58</v>
      </c>
      <c r="F140" t="s">
        <v>20</v>
      </c>
      <c r="G140" s="1">
        <v>45392</v>
      </c>
      <c r="H140" t="s">
        <v>305</v>
      </c>
      <c r="I140">
        <v>2397465</v>
      </c>
      <c r="J140">
        <v>114165</v>
      </c>
      <c r="K140">
        <v>6195</v>
      </c>
      <c r="L140">
        <v>17641</v>
      </c>
      <c r="M140">
        <v>5.7599999999999998E-2</v>
      </c>
      <c r="N140">
        <v>0.39100000000000001</v>
      </c>
      <c r="O140">
        <v>1</v>
      </c>
      <c r="P140" t="b">
        <f t="shared" si="5"/>
        <v>1</v>
      </c>
      <c r="Q140" t="str">
        <f t="shared" si="4"/>
        <v>Positive</v>
      </c>
    </row>
    <row r="141" spans="1:17" x14ac:dyDescent="0.3">
      <c r="A141" t="s">
        <v>306</v>
      </c>
      <c r="B141" t="s">
        <v>66</v>
      </c>
      <c r="C141" t="s">
        <v>61</v>
      </c>
      <c r="D141" t="s">
        <v>33</v>
      </c>
      <c r="E141" t="s">
        <v>51</v>
      </c>
      <c r="F141" t="s">
        <v>24</v>
      </c>
      <c r="G141" s="1">
        <v>45409</v>
      </c>
      <c r="H141" t="s">
        <v>307</v>
      </c>
      <c r="I141">
        <v>6297640</v>
      </c>
      <c r="J141">
        <v>314882</v>
      </c>
      <c r="K141">
        <v>42361</v>
      </c>
      <c r="L141">
        <v>68867</v>
      </c>
      <c r="M141">
        <v>6.7699999999999996E-2</v>
      </c>
      <c r="N141">
        <v>0.47399999999999998</v>
      </c>
      <c r="O141">
        <v>1</v>
      </c>
      <c r="P141" t="b">
        <f t="shared" si="5"/>
        <v>1</v>
      </c>
      <c r="Q141" t="str">
        <f t="shared" si="4"/>
        <v>Positive</v>
      </c>
    </row>
    <row r="142" spans="1:17" x14ac:dyDescent="0.3">
      <c r="A142" t="s">
        <v>308</v>
      </c>
      <c r="B142" t="s">
        <v>66</v>
      </c>
      <c r="C142" t="s">
        <v>23</v>
      </c>
      <c r="D142" t="s">
        <v>73</v>
      </c>
      <c r="E142" t="s">
        <v>19</v>
      </c>
      <c r="F142" t="s">
        <v>46</v>
      </c>
      <c r="G142" s="1">
        <v>45457</v>
      </c>
      <c r="H142" t="s">
        <v>309</v>
      </c>
      <c r="I142">
        <v>8008600</v>
      </c>
      <c r="J142">
        <v>400430</v>
      </c>
      <c r="K142">
        <v>13328</v>
      </c>
      <c r="L142">
        <v>99658</v>
      </c>
      <c r="M142">
        <v>6.4100000000000004E-2</v>
      </c>
      <c r="N142">
        <v>0.78100000000000003</v>
      </c>
      <c r="O142">
        <v>1</v>
      </c>
      <c r="P142" t="b">
        <f t="shared" si="5"/>
        <v>1</v>
      </c>
      <c r="Q142" t="str">
        <f t="shared" si="4"/>
        <v>Positive</v>
      </c>
    </row>
    <row r="143" spans="1:17" x14ac:dyDescent="0.3">
      <c r="A143" t="s">
        <v>310</v>
      </c>
      <c r="B143" t="s">
        <v>66</v>
      </c>
      <c r="C143" t="s">
        <v>61</v>
      </c>
      <c r="D143" t="s">
        <v>33</v>
      </c>
      <c r="E143" t="s">
        <v>58</v>
      </c>
      <c r="F143" t="s">
        <v>34</v>
      </c>
      <c r="G143" s="1">
        <v>45430</v>
      </c>
      <c r="H143" t="s">
        <v>311</v>
      </c>
      <c r="I143">
        <v>9703575</v>
      </c>
      <c r="J143">
        <v>388143</v>
      </c>
      <c r="K143">
        <v>23964</v>
      </c>
      <c r="L143">
        <v>66204</v>
      </c>
      <c r="M143">
        <v>4.9299999999999997E-2</v>
      </c>
      <c r="N143">
        <v>-0.44500000000000001</v>
      </c>
      <c r="O143">
        <v>1</v>
      </c>
      <c r="P143" t="b">
        <f t="shared" si="5"/>
        <v>1</v>
      </c>
      <c r="Q143" t="str">
        <f t="shared" si="4"/>
        <v>Negative</v>
      </c>
    </row>
    <row r="144" spans="1:17" x14ac:dyDescent="0.3">
      <c r="A144" t="s">
        <v>312</v>
      </c>
      <c r="B144" t="s">
        <v>32</v>
      </c>
      <c r="C144" t="s">
        <v>17</v>
      </c>
      <c r="D144" t="s">
        <v>33</v>
      </c>
      <c r="E144" t="s">
        <v>38</v>
      </c>
      <c r="F144" t="s">
        <v>34</v>
      </c>
      <c r="G144" s="1">
        <v>45338</v>
      </c>
      <c r="H144" t="s">
        <v>313</v>
      </c>
      <c r="I144">
        <v>1023594</v>
      </c>
      <c r="J144">
        <v>46527</v>
      </c>
      <c r="K144">
        <v>36492</v>
      </c>
      <c r="L144">
        <v>84666</v>
      </c>
      <c r="M144">
        <v>0.1638</v>
      </c>
      <c r="N144">
        <v>-0.46800000000000003</v>
      </c>
      <c r="O144">
        <v>0</v>
      </c>
      <c r="P144" t="b">
        <f t="shared" si="5"/>
        <v>0</v>
      </c>
      <c r="Q144" t="str">
        <f t="shared" si="4"/>
        <v>Negative</v>
      </c>
    </row>
    <row r="145" spans="1:17" x14ac:dyDescent="0.3">
      <c r="A145" t="s">
        <v>314</v>
      </c>
      <c r="B145" t="s">
        <v>27</v>
      </c>
      <c r="C145" t="s">
        <v>61</v>
      </c>
      <c r="D145" t="s">
        <v>29</v>
      </c>
      <c r="E145" t="s">
        <v>51</v>
      </c>
      <c r="F145" t="s">
        <v>24</v>
      </c>
      <c r="G145" s="1">
        <v>45472</v>
      </c>
      <c r="H145" t="s">
        <v>315</v>
      </c>
      <c r="I145">
        <v>12911184</v>
      </c>
      <c r="J145">
        <v>496584</v>
      </c>
      <c r="K145">
        <v>4840</v>
      </c>
      <c r="L145">
        <v>20160</v>
      </c>
      <c r="M145">
        <v>4.0399999999999998E-2</v>
      </c>
      <c r="N145">
        <v>-0.93500000000000005</v>
      </c>
      <c r="O145">
        <v>1</v>
      </c>
      <c r="P145" t="b">
        <f t="shared" si="5"/>
        <v>1</v>
      </c>
      <c r="Q145" t="str">
        <f t="shared" si="4"/>
        <v>Negative</v>
      </c>
    </row>
    <row r="146" spans="1:17" x14ac:dyDescent="0.3">
      <c r="A146" t="s">
        <v>316</v>
      </c>
      <c r="B146" t="s">
        <v>66</v>
      </c>
      <c r="C146" t="s">
        <v>23</v>
      </c>
      <c r="D146" t="s">
        <v>73</v>
      </c>
      <c r="E146" t="s">
        <v>19</v>
      </c>
      <c r="F146" t="s">
        <v>55</v>
      </c>
      <c r="G146" s="1">
        <v>45402</v>
      </c>
      <c r="H146" t="s">
        <v>317</v>
      </c>
      <c r="I146">
        <v>10353696</v>
      </c>
      <c r="J146">
        <v>431404</v>
      </c>
      <c r="K146">
        <v>13221</v>
      </c>
      <c r="L146">
        <v>55285</v>
      </c>
      <c r="M146">
        <v>4.8300000000000003E-2</v>
      </c>
      <c r="N146">
        <v>0.20599999999999999</v>
      </c>
      <c r="O146">
        <v>1</v>
      </c>
      <c r="P146" t="b">
        <f t="shared" si="5"/>
        <v>1</v>
      </c>
      <c r="Q146" t="str">
        <f t="shared" si="4"/>
        <v>Positive</v>
      </c>
    </row>
    <row r="147" spans="1:17" x14ac:dyDescent="0.3">
      <c r="A147" t="s">
        <v>318</v>
      </c>
      <c r="B147" t="s">
        <v>27</v>
      </c>
      <c r="C147" t="s">
        <v>17</v>
      </c>
      <c r="D147" t="s">
        <v>54</v>
      </c>
      <c r="E147" t="s">
        <v>19</v>
      </c>
      <c r="F147" t="s">
        <v>46</v>
      </c>
      <c r="G147" s="1">
        <v>45640</v>
      </c>
      <c r="H147" t="s">
        <v>319</v>
      </c>
      <c r="I147">
        <v>6466518</v>
      </c>
      <c r="J147">
        <v>359251</v>
      </c>
      <c r="K147">
        <v>17313</v>
      </c>
      <c r="L147">
        <v>27533</v>
      </c>
      <c r="M147">
        <v>6.25E-2</v>
      </c>
      <c r="N147">
        <v>-0.84799999999999998</v>
      </c>
      <c r="O147">
        <v>1</v>
      </c>
      <c r="P147" t="b">
        <f t="shared" si="5"/>
        <v>1</v>
      </c>
      <c r="Q147" t="str">
        <f t="shared" si="4"/>
        <v>Negative</v>
      </c>
    </row>
    <row r="148" spans="1:17" x14ac:dyDescent="0.3">
      <c r="A148" t="s">
        <v>320</v>
      </c>
      <c r="B148" t="s">
        <v>32</v>
      </c>
      <c r="C148" t="s">
        <v>28</v>
      </c>
      <c r="D148" t="s">
        <v>54</v>
      </c>
      <c r="E148" t="s">
        <v>58</v>
      </c>
      <c r="F148" t="s">
        <v>55</v>
      </c>
      <c r="G148" s="1">
        <v>45524</v>
      </c>
      <c r="H148" t="s">
        <v>298</v>
      </c>
      <c r="I148">
        <v>3948849</v>
      </c>
      <c r="J148">
        <v>438761</v>
      </c>
      <c r="K148">
        <v>5718</v>
      </c>
      <c r="L148">
        <v>56179</v>
      </c>
      <c r="M148">
        <v>0.1268</v>
      </c>
      <c r="N148">
        <v>0.22700000000000001</v>
      </c>
      <c r="O148">
        <v>1</v>
      </c>
      <c r="P148" t="b">
        <f t="shared" si="5"/>
        <v>1</v>
      </c>
      <c r="Q148" t="str">
        <f t="shared" si="4"/>
        <v>Positive</v>
      </c>
    </row>
    <row r="149" spans="1:17" x14ac:dyDescent="0.3">
      <c r="A149" t="s">
        <v>321</v>
      </c>
      <c r="B149" t="s">
        <v>66</v>
      </c>
      <c r="C149" t="s">
        <v>61</v>
      </c>
      <c r="D149" t="s">
        <v>18</v>
      </c>
      <c r="E149" t="s">
        <v>51</v>
      </c>
      <c r="F149" t="s">
        <v>20</v>
      </c>
      <c r="G149" s="1">
        <v>45340</v>
      </c>
      <c r="H149" t="s">
        <v>322</v>
      </c>
      <c r="I149">
        <v>2850606</v>
      </c>
      <c r="J149">
        <v>129573</v>
      </c>
      <c r="K149">
        <v>14</v>
      </c>
      <c r="L149">
        <v>84792</v>
      </c>
      <c r="M149">
        <v>7.5200000000000003E-2</v>
      </c>
      <c r="N149">
        <v>0.10299999999999999</v>
      </c>
      <c r="O149">
        <v>1</v>
      </c>
      <c r="P149" t="b">
        <f t="shared" si="5"/>
        <v>1</v>
      </c>
      <c r="Q149" t="str">
        <f t="shared" si="4"/>
        <v>Positive</v>
      </c>
    </row>
    <row r="150" spans="1:17" x14ac:dyDescent="0.3">
      <c r="A150" t="s">
        <v>323</v>
      </c>
      <c r="B150" t="s">
        <v>66</v>
      </c>
      <c r="C150" t="s">
        <v>28</v>
      </c>
      <c r="D150" t="s">
        <v>18</v>
      </c>
      <c r="E150" t="s">
        <v>51</v>
      </c>
      <c r="F150" t="s">
        <v>55</v>
      </c>
      <c r="G150" s="1">
        <v>45409</v>
      </c>
      <c r="H150" t="s">
        <v>324</v>
      </c>
      <c r="I150">
        <v>845320</v>
      </c>
      <c r="J150">
        <v>169064</v>
      </c>
      <c r="K150">
        <v>1020</v>
      </c>
      <c r="L150">
        <v>61814</v>
      </c>
      <c r="M150">
        <v>0.27429999999999999</v>
      </c>
      <c r="N150">
        <v>-3.9E-2</v>
      </c>
      <c r="O150">
        <v>0</v>
      </c>
      <c r="P150" t="b">
        <f t="shared" si="5"/>
        <v>0</v>
      </c>
      <c r="Q150" t="str">
        <f t="shared" si="4"/>
        <v>Negative</v>
      </c>
    </row>
    <row r="151" spans="1:17" x14ac:dyDescent="0.3">
      <c r="A151" t="s">
        <v>325</v>
      </c>
      <c r="B151" t="s">
        <v>66</v>
      </c>
      <c r="C151" t="s">
        <v>61</v>
      </c>
      <c r="D151" t="s">
        <v>73</v>
      </c>
      <c r="E151" t="s">
        <v>38</v>
      </c>
      <c r="F151" t="s">
        <v>24</v>
      </c>
      <c r="G151" s="1">
        <v>45470</v>
      </c>
      <c r="H151" t="s">
        <v>326</v>
      </c>
      <c r="I151">
        <v>7047754</v>
      </c>
      <c r="J151">
        <v>243026</v>
      </c>
      <c r="K151">
        <v>47285</v>
      </c>
      <c r="L151">
        <v>62293</v>
      </c>
      <c r="M151">
        <v>0.05</v>
      </c>
      <c r="N151">
        <v>0.94</v>
      </c>
      <c r="O151">
        <v>1</v>
      </c>
      <c r="P151" t="b">
        <f t="shared" si="5"/>
        <v>1</v>
      </c>
      <c r="Q151" t="str">
        <f t="shared" si="4"/>
        <v>Positive</v>
      </c>
    </row>
    <row r="152" spans="1:17" x14ac:dyDescent="0.3">
      <c r="A152" t="s">
        <v>327</v>
      </c>
      <c r="B152" t="s">
        <v>32</v>
      </c>
      <c r="C152" t="s">
        <v>61</v>
      </c>
      <c r="D152" t="s">
        <v>54</v>
      </c>
      <c r="E152" t="s">
        <v>19</v>
      </c>
      <c r="F152" t="s">
        <v>34</v>
      </c>
      <c r="G152" s="1">
        <v>45489</v>
      </c>
      <c r="H152" t="s">
        <v>328</v>
      </c>
      <c r="I152">
        <v>1673590</v>
      </c>
      <c r="J152">
        <v>334718</v>
      </c>
      <c r="K152">
        <v>21173</v>
      </c>
      <c r="L152">
        <v>46541</v>
      </c>
      <c r="M152">
        <v>0.24049999999999999</v>
      </c>
      <c r="N152">
        <v>-6.3E-2</v>
      </c>
      <c r="O152">
        <v>0</v>
      </c>
      <c r="P152" t="b">
        <f t="shared" si="5"/>
        <v>0</v>
      </c>
      <c r="Q152" t="str">
        <f t="shared" si="4"/>
        <v>Negative</v>
      </c>
    </row>
    <row r="153" spans="1:17" x14ac:dyDescent="0.3">
      <c r="A153" t="s">
        <v>329</v>
      </c>
      <c r="B153" t="s">
        <v>27</v>
      </c>
      <c r="C153" t="s">
        <v>17</v>
      </c>
      <c r="D153" t="s">
        <v>18</v>
      </c>
      <c r="E153" t="s">
        <v>58</v>
      </c>
      <c r="F153" t="s">
        <v>20</v>
      </c>
      <c r="G153" s="1">
        <v>45585</v>
      </c>
      <c r="H153" t="s">
        <v>91</v>
      </c>
      <c r="I153">
        <v>2641750</v>
      </c>
      <c r="J153">
        <v>105670</v>
      </c>
      <c r="K153">
        <v>8707</v>
      </c>
      <c r="L153">
        <v>385</v>
      </c>
      <c r="M153">
        <v>4.3400000000000001E-2</v>
      </c>
      <c r="N153">
        <v>-0.88700000000000001</v>
      </c>
      <c r="O153">
        <v>1</v>
      </c>
      <c r="P153" t="b">
        <f t="shared" si="5"/>
        <v>1</v>
      </c>
      <c r="Q153" t="str">
        <f t="shared" si="4"/>
        <v>Negative</v>
      </c>
    </row>
    <row r="154" spans="1:17" x14ac:dyDescent="0.3">
      <c r="A154" t="s">
        <v>330</v>
      </c>
      <c r="B154" t="s">
        <v>16</v>
      </c>
      <c r="C154" t="s">
        <v>17</v>
      </c>
      <c r="D154" t="s">
        <v>37</v>
      </c>
      <c r="E154" t="s">
        <v>51</v>
      </c>
      <c r="F154" t="s">
        <v>34</v>
      </c>
      <c r="G154" s="1">
        <v>45358</v>
      </c>
      <c r="H154" t="s">
        <v>331</v>
      </c>
      <c r="I154">
        <v>3802545</v>
      </c>
      <c r="J154">
        <v>422505</v>
      </c>
      <c r="K154">
        <v>12768</v>
      </c>
      <c r="L154">
        <v>18385</v>
      </c>
      <c r="M154">
        <v>0.1193</v>
      </c>
      <c r="N154">
        <v>0.999</v>
      </c>
      <c r="O154">
        <v>1</v>
      </c>
      <c r="P154" t="b">
        <f t="shared" si="5"/>
        <v>1</v>
      </c>
      <c r="Q154" t="str">
        <f t="shared" si="4"/>
        <v>Positive</v>
      </c>
    </row>
    <row r="155" spans="1:17" x14ac:dyDescent="0.3">
      <c r="A155" t="s">
        <v>332</v>
      </c>
      <c r="B155" t="s">
        <v>66</v>
      </c>
      <c r="C155" t="s">
        <v>17</v>
      </c>
      <c r="D155" t="s">
        <v>33</v>
      </c>
      <c r="E155" t="s">
        <v>51</v>
      </c>
      <c r="F155" t="s">
        <v>20</v>
      </c>
      <c r="G155" s="1">
        <v>45554</v>
      </c>
      <c r="H155" t="s">
        <v>171</v>
      </c>
      <c r="I155">
        <v>6357555</v>
      </c>
      <c r="J155">
        <v>235465</v>
      </c>
      <c r="K155">
        <v>15111</v>
      </c>
      <c r="L155">
        <v>50613</v>
      </c>
      <c r="M155">
        <v>4.7399999999999998E-2</v>
      </c>
      <c r="N155">
        <v>0.53800000000000003</v>
      </c>
      <c r="O155">
        <v>1</v>
      </c>
      <c r="P155" t="b">
        <f t="shared" si="5"/>
        <v>1</v>
      </c>
      <c r="Q155" t="str">
        <f t="shared" si="4"/>
        <v>Positive</v>
      </c>
    </row>
    <row r="156" spans="1:17" x14ac:dyDescent="0.3">
      <c r="A156" t="s">
        <v>333</v>
      </c>
      <c r="B156" t="s">
        <v>32</v>
      </c>
      <c r="C156" t="s">
        <v>61</v>
      </c>
      <c r="D156" t="s">
        <v>33</v>
      </c>
      <c r="E156" t="s">
        <v>51</v>
      </c>
      <c r="F156" t="s">
        <v>55</v>
      </c>
      <c r="G156" s="1">
        <v>45562</v>
      </c>
      <c r="H156" t="s">
        <v>334</v>
      </c>
      <c r="I156">
        <v>6282680</v>
      </c>
      <c r="J156">
        <v>273160</v>
      </c>
      <c r="K156">
        <v>4814</v>
      </c>
      <c r="L156">
        <v>32202</v>
      </c>
      <c r="M156">
        <v>4.9399999999999999E-2</v>
      </c>
      <c r="N156">
        <v>-0.505</v>
      </c>
      <c r="O156">
        <v>1</v>
      </c>
      <c r="P156" t="b">
        <f t="shared" si="5"/>
        <v>1</v>
      </c>
      <c r="Q156" t="str">
        <f t="shared" si="4"/>
        <v>Negative</v>
      </c>
    </row>
    <row r="157" spans="1:17" x14ac:dyDescent="0.3">
      <c r="A157" t="s">
        <v>335</v>
      </c>
      <c r="B157" t="s">
        <v>16</v>
      </c>
      <c r="C157" t="s">
        <v>28</v>
      </c>
      <c r="D157" t="s">
        <v>54</v>
      </c>
      <c r="E157" t="s">
        <v>51</v>
      </c>
      <c r="F157" t="s">
        <v>34</v>
      </c>
      <c r="G157" s="1">
        <v>45305</v>
      </c>
      <c r="H157" t="s">
        <v>93</v>
      </c>
      <c r="I157">
        <v>10343399</v>
      </c>
      <c r="J157">
        <v>449713</v>
      </c>
      <c r="K157">
        <v>38770</v>
      </c>
      <c r="L157">
        <v>34817</v>
      </c>
      <c r="M157">
        <v>5.0599999999999999E-2</v>
      </c>
      <c r="N157">
        <v>-0.45100000000000001</v>
      </c>
      <c r="O157">
        <v>1</v>
      </c>
      <c r="P157" t="b">
        <f t="shared" si="5"/>
        <v>1</v>
      </c>
      <c r="Q157" t="str">
        <f t="shared" si="4"/>
        <v>Negative</v>
      </c>
    </row>
    <row r="158" spans="1:17" x14ac:dyDescent="0.3">
      <c r="A158" t="s">
        <v>336</v>
      </c>
      <c r="B158" t="s">
        <v>66</v>
      </c>
      <c r="C158" t="s">
        <v>17</v>
      </c>
      <c r="D158" t="s">
        <v>73</v>
      </c>
      <c r="E158" t="s">
        <v>58</v>
      </c>
      <c r="F158" t="s">
        <v>20</v>
      </c>
      <c r="G158" s="1">
        <v>45405</v>
      </c>
      <c r="H158" t="s">
        <v>337</v>
      </c>
      <c r="I158">
        <v>6706035</v>
      </c>
      <c r="J158">
        <v>319335</v>
      </c>
      <c r="K158">
        <v>21954</v>
      </c>
      <c r="L158">
        <v>70081</v>
      </c>
      <c r="M158">
        <v>6.13E-2</v>
      </c>
      <c r="N158">
        <v>0.51400000000000001</v>
      </c>
      <c r="O158">
        <v>1</v>
      </c>
      <c r="P158" t="b">
        <f t="shared" si="5"/>
        <v>1</v>
      </c>
      <c r="Q158" t="str">
        <f t="shared" si="4"/>
        <v>Positive</v>
      </c>
    </row>
    <row r="159" spans="1:17" x14ac:dyDescent="0.3">
      <c r="A159" t="s">
        <v>338</v>
      </c>
      <c r="B159" t="s">
        <v>32</v>
      </c>
      <c r="C159" t="s">
        <v>17</v>
      </c>
      <c r="D159" t="s">
        <v>37</v>
      </c>
      <c r="E159" t="s">
        <v>19</v>
      </c>
      <c r="F159" t="s">
        <v>34</v>
      </c>
      <c r="G159" s="1">
        <v>45466</v>
      </c>
      <c r="H159" t="s">
        <v>144</v>
      </c>
      <c r="I159">
        <v>1015223</v>
      </c>
      <c r="J159">
        <v>92293</v>
      </c>
      <c r="K159">
        <v>36192</v>
      </c>
      <c r="L159">
        <v>7240</v>
      </c>
      <c r="M159">
        <v>0.13370000000000001</v>
      </c>
      <c r="N159">
        <v>0.34300000000000003</v>
      </c>
      <c r="O159">
        <v>0</v>
      </c>
      <c r="P159" t="b">
        <f t="shared" si="5"/>
        <v>0</v>
      </c>
      <c r="Q159" t="str">
        <f t="shared" si="4"/>
        <v>Positive</v>
      </c>
    </row>
    <row r="160" spans="1:17" x14ac:dyDescent="0.3">
      <c r="A160" t="s">
        <v>339</v>
      </c>
      <c r="B160" t="s">
        <v>16</v>
      </c>
      <c r="C160" t="s">
        <v>23</v>
      </c>
      <c r="D160" t="s">
        <v>29</v>
      </c>
      <c r="E160" t="s">
        <v>51</v>
      </c>
      <c r="F160" t="s">
        <v>46</v>
      </c>
      <c r="G160" s="1">
        <v>45328</v>
      </c>
      <c r="H160" t="s">
        <v>340</v>
      </c>
      <c r="I160">
        <v>4162158</v>
      </c>
      <c r="J160">
        <v>189189</v>
      </c>
      <c r="K160">
        <v>43130</v>
      </c>
      <c r="L160">
        <v>49923</v>
      </c>
      <c r="M160">
        <v>6.7799999999999999E-2</v>
      </c>
      <c r="N160">
        <v>0.70399999999999996</v>
      </c>
      <c r="O160">
        <v>1</v>
      </c>
      <c r="P160" t="b">
        <f t="shared" si="5"/>
        <v>1</v>
      </c>
      <c r="Q160" t="str">
        <f t="shared" si="4"/>
        <v>Positive</v>
      </c>
    </row>
    <row r="161" spans="1:17" x14ac:dyDescent="0.3">
      <c r="A161" t="s">
        <v>341</v>
      </c>
      <c r="B161" t="s">
        <v>66</v>
      </c>
      <c r="C161" t="s">
        <v>23</v>
      </c>
      <c r="D161" t="s">
        <v>37</v>
      </c>
      <c r="E161" t="s">
        <v>19</v>
      </c>
      <c r="F161" t="s">
        <v>55</v>
      </c>
      <c r="G161" s="1">
        <v>45479</v>
      </c>
      <c r="H161" t="s">
        <v>342</v>
      </c>
      <c r="I161">
        <v>3360085</v>
      </c>
      <c r="J161">
        <v>115865</v>
      </c>
      <c r="K161">
        <v>8432</v>
      </c>
      <c r="L161">
        <v>24286</v>
      </c>
      <c r="M161">
        <v>4.4200000000000003E-2</v>
      </c>
      <c r="N161">
        <v>0.18</v>
      </c>
      <c r="O161">
        <v>1</v>
      </c>
      <c r="P161" t="b">
        <f t="shared" si="5"/>
        <v>1</v>
      </c>
      <c r="Q161" t="str">
        <f t="shared" si="4"/>
        <v>Positive</v>
      </c>
    </row>
    <row r="162" spans="1:17" x14ac:dyDescent="0.3">
      <c r="A162" t="s">
        <v>343</v>
      </c>
      <c r="B162" t="s">
        <v>27</v>
      </c>
      <c r="C162" t="s">
        <v>23</v>
      </c>
      <c r="D162" t="s">
        <v>29</v>
      </c>
      <c r="E162" t="s">
        <v>41</v>
      </c>
      <c r="F162" t="s">
        <v>20</v>
      </c>
      <c r="G162" s="1">
        <v>45505</v>
      </c>
      <c r="H162" t="s">
        <v>344</v>
      </c>
      <c r="I162">
        <v>5347398</v>
      </c>
      <c r="J162">
        <v>281442</v>
      </c>
      <c r="K162">
        <v>19763</v>
      </c>
      <c r="L162">
        <v>15255</v>
      </c>
      <c r="M162">
        <v>5.9200000000000003E-2</v>
      </c>
      <c r="N162">
        <v>0.56899999999999995</v>
      </c>
      <c r="O162">
        <v>1</v>
      </c>
      <c r="P162" t="b">
        <f t="shared" si="5"/>
        <v>1</v>
      </c>
      <c r="Q162" t="str">
        <f t="shared" si="4"/>
        <v>Positive</v>
      </c>
    </row>
    <row r="163" spans="1:17" x14ac:dyDescent="0.3">
      <c r="A163" t="s">
        <v>345</v>
      </c>
      <c r="B163" t="s">
        <v>32</v>
      </c>
      <c r="C163" t="s">
        <v>61</v>
      </c>
      <c r="D163" t="s">
        <v>37</v>
      </c>
      <c r="E163" t="s">
        <v>41</v>
      </c>
      <c r="F163" t="s">
        <v>55</v>
      </c>
      <c r="G163" s="1">
        <v>45417</v>
      </c>
      <c r="H163" t="s">
        <v>346</v>
      </c>
      <c r="I163">
        <v>7818919</v>
      </c>
      <c r="J163">
        <v>339953</v>
      </c>
      <c r="K163">
        <v>37446</v>
      </c>
      <c r="L163">
        <v>92235</v>
      </c>
      <c r="M163">
        <v>6.0100000000000001E-2</v>
      </c>
      <c r="N163">
        <v>0.80600000000000005</v>
      </c>
      <c r="O163">
        <v>1</v>
      </c>
      <c r="P163" t="b">
        <f t="shared" si="5"/>
        <v>1</v>
      </c>
      <c r="Q163" t="str">
        <f t="shared" si="4"/>
        <v>Positive</v>
      </c>
    </row>
    <row r="164" spans="1:17" x14ac:dyDescent="0.3">
      <c r="A164" t="s">
        <v>347</v>
      </c>
      <c r="B164" t="s">
        <v>66</v>
      </c>
      <c r="C164" t="s">
        <v>28</v>
      </c>
      <c r="D164" t="s">
        <v>29</v>
      </c>
      <c r="E164" t="s">
        <v>41</v>
      </c>
      <c r="F164" t="s">
        <v>34</v>
      </c>
      <c r="G164" s="1">
        <v>45377</v>
      </c>
      <c r="H164" t="s">
        <v>348</v>
      </c>
      <c r="I164">
        <v>7204098</v>
      </c>
      <c r="J164">
        <v>327459</v>
      </c>
      <c r="K164">
        <v>13056</v>
      </c>
      <c r="L164">
        <v>6950</v>
      </c>
      <c r="M164">
        <v>4.82E-2</v>
      </c>
      <c r="N164">
        <v>0.18</v>
      </c>
      <c r="O164">
        <v>1</v>
      </c>
      <c r="P164" t="b">
        <f t="shared" si="5"/>
        <v>1</v>
      </c>
      <c r="Q164" t="str">
        <f t="shared" si="4"/>
        <v>Positive</v>
      </c>
    </row>
    <row r="165" spans="1:17" x14ac:dyDescent="0.3">
      <c r="A165" t="s">
        <v>349</v>
      </c>
      <c r="B165" t="s">
        <v>16</v>
      </c>
      <c r="C165" t="s">
        <v>61</v>
      </c>
      <c r="D165" t="s">
        <v>54</v>
      </c>
      <c r="E165" t="s">
        <v>51</v>
      </c>
      <c r="F165" t="s">
        <v>55</v>
      </c>
      <c r="G165" s="1">
        <v>45494</v>
      </c>
      <c r="H165" t="s">
        <v>350</v>
      </c>
      <c r="I165">
        <v>3176599</v>
      </c>
      <c r="J165">
        <v>138113</v>
      </c>
      <c r="K165">
        <v>25939</v>
      </c>
      <c r="L165">
        <v>23387</v>
      </c>
      <c r="M165">
        <v>5.8999999999999997E-2</v>
      </c>
      <c r="N165">
        <v>0.80800000000000005</v>
      </c>
      <c r="O165">
        <v>1</v>
      </c>
      <c r="P165" t="b">
        <f t="shared" si="5"/>
        <v>1</v>
      </c>
      <c r="Q165" t="str">
        <f t="shared" si="4"/>
        <v>Positive</v>
      </c>
    </row>
    <row r="166" spans="1:17" x14ac:dyDescent="0.3">
      <c r="A166" t="s">
        <v>351</v>
      </c>
      <c r="B166" t="s">
        <v>32</v>
      </c>
      <c r="C166" t="s">
        <v>17</v>
      </c>
      <c r="D166" t="s">
        <v>33</v>
      </c>
      <c r="E166" t="s">
        <v>41</v>
      </c>
      <c r="F166" t="s">
        <v>46</v>
      </c>
      <c r="G166" s="1">
        <v>45578</v>
      </c>
      <c r="H166" t="s">
        <v>116</v>
      </c>
      <c r="I166">
        <v>2382835</v>
      </c>
      <c r="J166">
        <v>476567</v>
      </c>
      <c r="K166">
        <v>28925</v>
      </c>
      <c r="L166">
        <v>53414</v>
      </c>
      <c r="M166">
        <v>0.2346</v>
      </c>
      <c r="N166">
        <v>0.56699999999999995</v>
      </c>
      <c r="O166">
        <v>1</v>
      </c>
      <c r="P166" t="b">
        <f t="shared" si="5"/>
        <v>1</v>
      </c>
      <c r="Q166" t="str">
        <f t="shared" si="4"/>
        <v>Positive</v>
      </c>
    </row>
    <row r="167" spans="1:17" x14ac:dyDescent="0.3">
      <c r="A167" t="s">
        <v>352</v>
      </c>
      <c r="B167" t="s">
        <v>27</v>
      </c>
      <c r="C167" t="s">
        <v>23</v>
      </c>
      <c r="D167" t="s">
        <v>18</v>
      </c>
      <c r="E167" t="s">
        <v>19</v>
      </c>
      <c r="F167" t="s">
        <v>24</v>
      </c>
      <c r="G167" s="1">
        <v>45444</v>
      </c>
      <c r="H167" t="s">
        <v>134</v>
      </c>
      <c r="I167">
        <v>3513650</v>
      </c>
      <c r="J167">
        <v>250975</v>
      </c>
      <c r="K167">
        <v>4642</v>
      </c>
      <c r="L167">
        <v>70391</v>
      </c>
      <c r="M167">
        <v>9.2799999999999994E-2</v>
      </c>
      <c r="N167">
        <v>0.72499999999999998</v>
      </c>
      <c r="O167">
        <v>1</v>
      </c>
      <c r="P167" t="b">
        <f t="shared" si="5"/>
        <v>1</v>
      </c>
      <c r="Q167" t="str">
        <f t="shared" si="4"/>
        <v>Positive</v>
      </c>
    </row>
    <row r="168" spans="1:17" x14ac:dyDescent="0.3">
      <c r="A168" t="s">
        <v>353</v>
      </c>
      <c r="B168" t="s">
        <v>66</v>
      </c>
      <c r="C168" t="s">
        <v>61</v>
      </c>
      <c r="D168" t="s">
        <v>37</v>
      </c>
      <c r="E168" t="s">
        <v>19</v>
      </c>
      <c r="F168" t="s">
        <v>24</v>
      </c>
      <c r="G168" s="1">
        <v>45552</v>
      </c>
      <c r="H168" t="s">
        <v>354</v>
      </c>
      <c r="I168">
        <v>3472560</v>
      </c>
      <c r="J168">
        <v>248040</v>
      </c>
      <c r="K168">
        <v>37665</v>
      </c>
      <c r="L168">
        <v>39812</v>
      </c>
      <c r="M168">
        <v>9.3700000000000006E-2</v>
      </c>
      <c r="N168">
        <v>0.85299999999999998</v>
      </c>
      <c r="O168">
        <v>1</v>
      </c>
      <c r="P168" t="b">
        <f t="shared" si="5"/>
        <v>1</v>
      </c>
      <c r="Q168" t="str">
        <f t="shared" si="4"/>
        <v>Positive</v>
      </c>
    </row>
    <row r="169" spans="1:17" x14ac:dyDescent="0.3">
      <c r="A169" t="s">
        <v>355</v>
      </c>
      <c r="B169" t="s">
        <v>27</v>
      </c>
      <c r="C169" t="s">
        <v>61</v>
      </c>
      <c r="D169" t="s">
        <v>54</v>
      </c>
      <c r="E169" t="s">
        <v>58</v>
      </c>
      <c r="F169" t="s">
        <v>55</v>
      </c>
      <c r="G169" s="1">
        <v>45500</v>
      </c>
      <c r="H169" t="s">
        <v>356</v>
      </c>
      <c r="I169">
        <v>6119148</v>
      </c>
      <c r="J169">
        <v>218541</v>
      </c>
      <c r="K169">
        <v>19968</v>
      </c>
      <c r="L169">
        <v>55124</v>
      </c>
      <c r="M169">
        <v>4.8000000000000001E-2</v>
      </c>
      <c r="N169">
        <v>-0.90800000000000003</v>
      </c>
      <c r="O169">
        <v>1</v>
      </c>
      <c r="P169" t="b">
        <f t="shared" si="5"/>
        <v>1</v>
      </c>
      <c r="Q169" t="str">
        <f t="shared" si="4"/>
        <v>Negative</v>
      </c>
    </row>
    <row r="170" spans="1:17" x14ac:dyDescent="0.3">
      <c r="A170" t="s">
        <v>357</v>
      </c>
      <c r="B170" t="s">
        <v>16</v>
      </c>
      <c r="C170" t="s">
        <v>28</v>
      </c>
      <c r="D170" t="s">
        <v>18</v>
      </c>
      <c r="E170" t="s">
        <v>51</v>
      </c>
      <c r="F170" t="s">
        <v>24</v>
      </c>
      <c r="G170" s="1">
        <v>45492</v>
      </c>
      <c r="H170" t="s">
        <v>358</v>
      </c>
      <c r="I170">
        <v>5707257</v>
      </c>
      <c r="J170">
        <v>335721</v>
      </c>
      <c r="K170">
        <v>14393</v>
      </c>
      <c r="L170">
        <v>5570</v>
      </c>
      <c r="M170">
        <v>6.2300000000000001E-2</v>
      </c>
      <c r="N170">
        <v>-0.58199999999999996</v>
      </c>
      <c r="O170">
        <v>1</v>
      </c>
      <c r="P170" t="b">
        <f t="shared" si="5"/>
        <v>1</v>
      </c>
      <c r="Q170" t="str">
        <f t="shared" si="4"/>
        <v>Negative</v>
      </c>
    </row>
    <row r="171" spans="1:17" x14ac:dyDescent="0.3">
      <c r="A171" t="s">
        <v>359</v>
      </c>
      <c r="B171" t="s">
        <v>66</v>
      </c>
      <c r="C171" t="s">
        <v>61</v>
      </c>
      <c r="D171" t="s">
        <v>37</v>
      </c>
      <c r="E171" t="s">
        <v>38</v>
      </c>
      <c r="F171" t="s">
        <v>20</v>
      </c>
      <c r="G171" s="1">
        <v>45321</v>
      </c>
      <c r="H171" t="s">
        <v>360</v>
      </c>
      <c r="I171">
        <v>5938370</v>
      </c>
      <c r="J171">
        <v>258190</v>
      </c>
      <c r="K171">
        <v>12020</v>
      </c>
      <c r="L171">
        <v>45003</v>
      </c>
      <c r="M171">
        <v>5.3100000000000001E-2</v>
      </c>
      <c r="N171">
        <v>7.4999999999999997E-2</v>
      </c>
      <c r="O171">
        <v>1</v>
      </c>
      <c r="P171" t="b">
        <f t="shared" si="5"/>
        <v>1</v>
      </c>
      <c r="Q171" t="str">
        <f t="shared" si="4"/>
        <v>Positive</v>
      </c>
    </row>
    <row r="172" spans="1:17" x14ac:dyDescent="0.3">
      <c r="A172" t="s">
        <v>361</v>
      </c>
      <c r="B172" t="s">
        <v>27</v>
      </c>
      <c r="C172" t="s">
        <v>28</v>
      </c>
      <c r="D172" t="s">
        <v>29</v>
      </c>
      <c r="E172" t="s">
        <v>58</v>
      </c>
      <c r="F172" t="s">
        <v>34</v>
      </c>
      <c r="G172" s="1">
        <v>45630</v>
      </c>
      <c r="H172" t="s">
        <v>362</v>
      </c>
      <c r="I172">
        <v>2330790</v>
      </c>
      <c r="J172">
        <v>155386</v>
      </c>
      <c r="K172">
        <v>40123</v>
      </c>
      <c r="L172">
        <v>80720</v>
      </c>
      <c r="M172">
        <v>0.11849999999999999</v>
      </c>
      <c r="N172">
        <v>-0.72199999999999998</v>
      </c>
      <c r="O172">
        <v>1</v>
      </c>
      <c r="P172" t="b">
        <f t="shared" si="5"/>
        <v>1</v>
      </c>
      <c r="Q172" t="str">
        <f t="shared" si="4"/>
        <v>Negative</v>
      </c>
    </row>
    <row r="173" spans="1:17" x14ac:dyDescent="0.3">
      <c r="A173" t="s">
        <v>363</v>
      </c>
      <c r="B173" t="s">
        <v>66</v>
      </c>
      <c r="C173" t="s">
        <v>17</v>
      </c>
      <c r="D173" t="s">
        <v>29</v>
      </c>
      <c r="E173" t="s">
        <v>41</v>
      </c>
      <c r="F173" t="s">
        <v>20</v>
      </c>
      <c r="G173" s="1">
        <v>45560</v>
      </c>
      <c r="H173" t="s">
        <v>364</v>
      </c>
      <c r="I173">
        <v>169197</v>
      </c>
      <c r="J173">
        <v>24171</v>
      </c>
      <c r="K173">
        <v>45420</v>
      </c>
      <c r="L173">
        <v>41241</v>
      </c>
      <c r="M173">
        <v>0.65500000000000003</v>
      </c>
      <c r="N173">
        <v>0.749</v>
      </c>
      <c r="O173">
        <v>0</v>
      </c>
      <c r="P173" t="b">
        <f t="shared" si="5"/>
        <v>0</v>
      </c>
      <c r="Q173" t="str">
        <f t="shared" si="4"/>
        <v>Positive</v>
      </c>
    </row>
    <row r="174" spans="1:17" x14ac:dyDescent="0.3">
      <c r="A174" t="s">
        <v>365</v>
      </c>
      <c r="B174" t="s">
        <v>16</v>
      </c>
      <c r="C174" t="s">
        <v>61</v>
      </c>
      <c r="D174" t="s">
        <v>33</v>
      </c>
      <c r="E174" t="s">
        <v>41</v>
      </c>
      <c r="F174" t="s">
        <v>34</v>
      </c>
      <c r="G174" s="1">
        <v>45547</v>
      </c>
      <c r="H174" t="s">
        <v>366</v>
      </c>
      <c r="I174">
        <v>9815250</v>
      </c>
      <c r="J174">
        <v>426750</v>
      </c>
      <c r="K174">
        <v>4193</v>
      </c>
      <c r="L174">
        <v>75698</v>
      </c>
      <c r="M174">
        <v>5.16E-2</v>
      </c>
      <c r="N174">
        <v>-0.91800000000000004</v>
      </c>
      <c r="O174">
        <v>1</v>
      </c>
      <c r="P174" t="b">
        <f t="shared" si="5"/>
        <v>1</v>
      </c>
      <c r="Q174" t="str">
        <f t="shared" si="4"/>
        <v>Negative</v>
      </c>
    </row>
    <row r="175" spans="1:17" x14ac:dyDescent="0.3">
      <c r="A175" t="s">
        <v>367</v>
      </c>
      <c r="B175" t="s">
        <v>32</v>
      </c>
      <c r="C175" t="s">
        <v>17</v>
      </c>
      <c r="D175" t="s">
        <v>73</v>
      </c>
      <c r="E175" t="s">
        <v>38</v>
      </c>
      <c r="F175" t="s">
        <v>46</v>
      </c>
      <c r="G175" s="1">
        <v>45472</v>
      </c>
      <c r="H175" t="s">
        <v>368</v>
      </c>
      <c r="I175">
        <v>12489360</v>
      </c>
      <c r="J175">
        <v>480360</v>
      </c>
      <c r="K175">
        <v>21974</v>
      </c>
      <c r="L175">
        <v>36669</v>
      </c>
      <c r="M175">
        <v>4.3200000000000002E-2</v>
      </c>
      <c r="N175">
        <v>-0.82299999999999995</v>
      </c>
      <c r="O175">
        <v>1</v>
      </c>
      <c r="P175" t="b">
        <f t="shared" si="5"/>
        <v>1</v>
      </c>
      <c r="Q175" t="str">
        <f t="shared" si="4"/>
        <v>Negative</v>
      </c>
    </row>
    <row r="176" spans="1:17" x14ac:dyDescent="0.3">
      <c r="A176" t="s">
        <v>369</v>
      </c>
      <c r="B176" t="s">
        <v>16</v>
      </c>
      <c r="C176" t="s">
        <v>61</v>
      </c>
      <c r="D176" t="s">
        <v>18</v>
      </c>
      <c r="E176" t="s">
        <v>19</v>
      </c>
      <c r="F176" t="s">
        <v>55</v>
      </c>
      <c r="G176" s="1">
        <v>45311</v>
      </c>
      <c r="H176" t="s">
        <v>132</v>
      </c>
      <c r="I176">
        <v>2351880</v>
      </c>
      <c r="J176">
        <v>130660</v>
      </c>
      <c r="K176">
        <v>39149</v>
      </c>
      <c r="L176">
        <v>16908</v>
      </c>
      <c r="M176">
        <v>7.9399999999999998E-2</v>
      </c>
      <c r="N176">
        <v>-0.27100000000000002</v>
      </c>
      <c r="O176">
        <v>1</v>
      </c>
      <c r="P176" t="b">
        <f t="shared" si="5"/>
        <v>1</v>
      </c>
      <c r="Q176" t="str">
        <f t="shared" si="4"/>
        <v>Negative</v>
      </c>
    </row>
    <row r="177" spans="1:17" x14ac:dyDescent="0.3">
      <c r="A177" t="s">
        <v>370</v>
      </c>
      <c r="B177" t="s">
        <v>27</v>
      </c>
      <c r="C177" t="s">
        <v>23</v>
      </c>
      <c r="D177" t="s">
        <v>54</v>
      </c>
      <c r="E177" t="s">
        <v>58</v>
      </c>
      <c r="F177" t="s">
        <v>55</v>
      </c>
      <c r="G177" s="1">
        <v>45566</v>
      </c>
      <c r="H177" t="s">
        <v>371</v>
      </c>
      <c r="I177">
        <v>1195545</v>
      </c>
      <c r="J177">
        <v>91965</v>
      </c>
      <c r="K177">
        <v>46897</v>
      </c>
      <c r="L177">
        <v>81819</v>
      </c>
      <c r="M177">
        <v>0.18459999999999999</v>
      </c>
      <c r="N177">
        <v>-0.81499999999999995</v>
      </c>
      <c r="O177">
        <v>0</v>
      </c>
      <c r="P177" t="b">
        <f t="shared" si="5"/>
        <v>0</v>
      </c>
      <c r="Q177" t="str">
        <f t="shared" si="4"/>
        <v>Negative</v>
      </c>
    </row>
    <row r="178" spans="1:17" x14ac:dyDescent="0.3">
      <c r="A178" t="s">
        <v>372</v>
      </c>
      <c r="B178" t="s">
        <v>66</v>
      </c>
      <c r="C178" t="s">
        <v>23</v>
      </c>
      <c r="D178" t="s">
        <v>37</v>
      </c>
      <c r="E178" t="s">
        <v>51</v>
      </c>
      <c r="F178" t="s">
        <v>20</v>
      </c>
      <c r="G178" s="1">
        <v>45502</v>
      </c>
      <c r="H178" t="s">
        <v>373</v>
      </c>
      <c r="I178">
        <v>5411542</v>
      </c>
      <c r="J178">
        <v>284818</v>
      </c>
      <c r="K178">
        <v>5245</v>
      </c>
      <c r="L178">
        <v>43222</v>
      </c>
      <c r="M178">
        <v>6.1600000000000002E-2</v>
      </c>
      <c r="N178">
        <v>2.3E-2</v>
      </c>
      <c r="O178">
        <v>1</v>
      </c>
      <c r="P178" t="b">
        <f t="shared" si="5"/>
        <v>1</v>
      </c>
      <c r="Q178" t="str">
        <f t="shared" si="4"/>
        <v>Positive</v>
      </c>
    </row>
    <row r="179" spans="1:17" x14ac:dyDescent="0.3">
      <c r="A179" t="s">
        <v>374</v>
      </c>
      <c r="B179" t="s">
        <v>32</v>
      </c>
      <c r="C179" t="s">
        <v>28</v>
      </c>
      <c r="D179" t="s">
        <v>54</v>
      </c>
      <c r="E179" t="s">
        <v>51</v>
      </c>
      <c r="F179" t="s">
        <v>24</v>
      </c>
      <c r="G179" s="1">
        <v>45514</v>
      </c>
      <c r="H179" t="s">
        <v>169</v>
      </c>
      <c r="I179">
        <v>3300624</v>
      </c>
      <c r="J179">
        <v>412578</v>
      </c>
      <c r="K179">
        <v>4437</v>
      </c>
      <c r="L179">
        <v>95258</v>
      </c>
      <c r="M179">
        <v>0.1552</v>
      </c>
      <c r="N179">
        <v>0.61199999999999999</v>
      </c>
      <c r="O179">
        <v>1</v>
      </c>
      <c r="P179" t="b">
        <f t="shared" si="5"/>
        <v>1</v>
      </c>
      <c r="Q179" t="str">
        <f t="shared" si="4"/>
        <v>Positive</v>
      </c>
    </row>
    <row r="180" spans="1:17" x14ac:dyDescent="0.3">
      <c r="A180" t="s">
        <v>375</v>
      </c>
      <c r="B180" t="s">
        <v>66</v>
      </c>
      <c r="C180" t="s">
        <v>61</v>
      </c>
      <c r="D180" t="s">
        <v>37</v>
      </c>
      <c r="E180" t="s">
        <v>41</v>
      </c>
      <c r="F180" t="s">
        <v>24</v>
      </c>
      <c r="G180" s="1">
        <v>45518</v>
      </c>
      <c r="H180" t="s">
        <v>376</v>
      </c>
      <c r="I180">
        <v>9356256</v>
      </c>
      <c r="J180">
        <v>389844</v>
      </c>
      <c r="K180">
        <v>14183</v>
      </c>
      <c r="L180">
        <v>50429</v>
      </c>
      <c r="M180">
        <v>4.8599999999999997E-2</v>
      </c>
      <c r="N180">
        <v>-0.58099999999999996</v>
      </c>
      <c r="O180">
        <v>1</v>
      </c>
      <c r="P180" t="b">
        <f t="shared" si="5"/>
        <v>1</v>
      </c>
      <c r="Q180" t="str">
        <f t="shared" si="4"/>
        <v>Negative</v>
      </c>
    </row>
    <row r="181" spans="1:17" x14ac:dyDescent="0.3">
      <c r="A181" t="s">
        <v>377</v>
      </c>
      <c r="B181" t="s">
        <v>66</v>
      </c>
      <c r="C181" t="s">
        <v>17</v>
      </c>
      <c r="D181" t="s">
        <v>33</v>
      </c>
      <c r="E181" t="s">
        <v>58</v>
      </c>
      <c r="F181" t="s">
        <v>55</v>
      </c>
      <c r="G181" s="1">
        <v>45498</v>
      </c>
      <c r="H181" t="s">
        <v>378</v>
      </c>
      <c r="I181">
        <v>12848598</v>
      </c>
      <c r="J181">
        <v>475874</v>
      </c>
      <c r="K181">
        <v>60</v>
      </c>
      <c r="L181">
        <v>8718</v>
      </c>
      <c r="M181">
        <v>3.7699999999999997E-2</v>
      </c>
      <c r="N181">
        <v>6.3E-2</v>
      </c>
      <c r="O181">
        <v>1</v>
      </c>
      <c r="P181" t="b">
        <f t="shared" si="5"/>
        <v>1</v>
      </c>
      <c r="Q181" t="str">
        <f t="shared" si="4"/>
        <v>Positive</v>
      </c>
    </row>
    <row r="182" spans="1:17" x14ac:dyDescent="0.3">
      <c r="A182" t="s">
        <v>379</v>
      </c>
      <c r="B182" t="s">
        <v>27</v>
      </c>
      <c r="C182" t="s">
        <v>17</v>
      </c>
      <c r="D182" t="s">
        <v>18</v>
      </c>
      <c r="E182" t="s">
        <v>19</v>
      </c>
      <c r="F182" t="s">
        <v>55</v>
      </c>
      <c r="G182" s="1">
        <v>45351</v>
      </c>
      <c r="H182" t="s">
        <v>380</v>
      </c>
      <c r="I182">
        <v>6866188</v>
      </c>
      <c r="J182">
        <v>245221</v>
      </c>
      <c r="K182">
        <v>16753</v>
      </c>
      <c r="L182">
        <v>4622</v>
      </c>
      <c r="M182">
        <v>3.8800000000000001E-2</v>
      </c>
      <c r="N182">
        <v>-0.73399999999999999</v>
      </c>
      <c r="O182">
        <v>1</v>
      </c>
      <c r="P182" t="b">
        <f t="shared" si="5"/>
        <v>1</v>
      </c>
      <c r="Q182" t="str">
        <f t="shared" si="4"/>
        <v>Negative</v>
      </c>
    </row>
    <row r="183" spans="1:17" x14ac:dyDescent="0.3">
      <c r="A183" t="s">
        <v>381</v>
      </c>
      <c r="B183" t="s">
        <v>66</v>
      </c>
      <c r="C183" t="s">
        <v>61</v>
      </c>
      <c r="D183" t="s">
        <v>29</v>
      </c>
      <c r="E183" t="s">
        <v>41</v>
      </c>
      <c r="F183" t="s">
        <v>55</v>
      </c>
      <c r="G183" s="1">
        <v>45647</v>
      </c>
      <c r="H183" t="s">
        <v>382</v>
      </c>
      <c r="I183">
        <v>2453292</v>
      </c>
      <c r="J183">
        <v>136294</v>
      </c>
      <c r="K183">
        <v>18035</v>
      </c>
      <c r="L183">
        <v>82839</v>
      </c>
      <c r="M183">
        <v>9.6699999999999994E-2</v>
      </c>
      <c r="N183">
        <v>0.499</v>
      </c>
      <c r="O183">
        <v>1</v>
      </c>
      <c r="P183" t="b">
        <f t="shared" si="5"/>
        <v>1</v>
      </c>
      <c r="Q183" t="str">
        <f t="shared" si="4"/>
        <v>Positive</v>
      </c>
    </row>
    <row r="184" spans="1:17" x14ac:dyDescent="0.3">
      <c r="A184" t="s">
        <v>383</v>
      </c>
      <c r="B184" t="s">
        <v>16</v>
      </c>
      <c r="C184" t="s">
        <v>23</v>
      </c>
      <c r="D184" t="s">
        <v>29</v>
      </c>
      <c r="E184" t="s">
        <v>58</v>
      </c>
      <c r="F184" t="s">
        <v>34</v>
      </c>
      <c r="G184" s="1">
        <v>45649</v>
      </c>
      <c r="H184" t="s">
        <v>384</v>
      </c>
      <c r="I184">
        <v>2305177</v>
      </c>
      <c r="J184">
        <v>329311</v>
      </c>
      <c r="K184">
        <v>40945</v>
      </c>
      <c r="L184">
        <v>88870</v>
      </c>
      <c r="M184">
        <v>0.19919999999999999</v>
      </c>
      <c r="N184">
        <v>-0.20599999999999999</v>
      </c>
      <c r="O184">
        <v>1</v>
      </c>
      <c r="P184" t="b">
        <f t="shared" si="5"/>
        <v>1</v>
      </c>
      <c r="Q184" t="str">
        <f t="shared" si="4"/>
        <v>Negative</v>
      </c>
    </row>
    <row r="185" spans="1:17" x14ac:dyDescent="0.3">
      <c r="A185" t="s">
        <v>385</v>
      </c>
      <c r="B185" t="s">
        <v>66</v>
      </c>
      <c r="C185" t="s">
        <v>61</v>
      </c>
      <c r="D185" t="s">
        <v>18</v>
      </c>
      <c r="E185" t="s">
        <v>38</v>
      </c>
      <c r="F185" t="s">
        <v>34</v>
      </c>
      <c r="G185" s="1">
        <v>45337</v>
      </c>
      <c r="H185" t="s">
        <v>386</v>
      </c>
      <c r="I185">
        <v>417339</v>
      </c>
      <c r="J185">
        <v>46371</v>
      </c>
      <c r="K185">
        <v>8157</v>
      </c>
      <c r="L185">
        <v>38519</v>
      </c>
      <c r="M185">
        <v>0.223</v>
      </c>
      <c r="N185">
        <v>-0.63500000000000001</v>
      </c>
      <c r="O185">
        <v>0</v>
      </c>
      <c r="P185" t="b">
        <f t="shared" si="5"/>
        <v>0</v>
      </c>
      <c r="Q185" t="str">
        <f t="shared" si="4"/>
        <v>Negative</v>
      </c>
    </row>
    <row r="186" spans="1:17" x14ac:dyDescent="0.3">
      <c r="A186" t="s">
        <v>387</v>
      </c>
      <c r="B186" t="s">
        <v>16</v>
      </c>
      <c r="C186" t="s">
        <v>17</v>
      </c>
      <c r="D186" t="s">
        <v>73</v>
      </c>
      <c r="E186" t="s">
        <v>51</v>
      </c>
      <c r="F186" t="s">
        <v>34</v>
      </c>
      <c r="G186" s="1">
        <v>45506</v>
      </c>
      <c r="H186" t="s">
        <v>388</v>
      </c>
      <c r="I186">
        <v>18592</v>
      </c>
      <c r="J186">
        <v>1162</v>
      </c>
      <c r="K186">
        <v>29931</v>
      </c>
      <c r="L186">
        <v>6230</v>
      </c>
      <c r="M186">
        <v>2.0074999999999998</v>
      </c>
      <c r="N186">
        <v>-0.53400000000000003</v>
      </c>
      <c r="O186">
        <v>0</v>
      </c>
      <c r="P186" t="b">
        <f t="shared" si="5"/>
        <v>0</v>
      </c>
      <c r="Q186" t="str">
        <f t="shared" si="4"/>
        <v>Negative</v>
      </c>
    </row>
    <row r="187" spans="1:17" x14ac:dyDescent="0.3">
      <c r="A187" t="s">
        <v>389</v>
      </c>
      <c r="B187" t="s">
        <v>66</v>
      </c>
      <c r="C187" t="s">
        <v>23</v>
      </c>
      <c r="D187" t="s">
        <v>33</v>
      </c>
      <c r="E187" t="s">
        <v>41</v>
      </c>
      <c r="F187" t="s">
        <v>46</v>
      </c>
      <c r="G187" s="1">
        <v>45351</v>
      </c>
      <c r="H187" t="s">
        <v>390</v>
      </c>
      <c r="I187">
        <v>1078144</v>
      </c>
      <c r="J187">
        <v>134768</v>
      </c>
      <c r="K187">
        <v>44248</v>
      </c>
      <c r="L187">
        <v>6169</v>
      </c>
      <c r="M187">
        <v>0.17180000000000001</v>
      </c>
      <c r="N187">
        <v>-0.28999999999999998</v>
      </c>
      <c r="O187">
        <v>0</v>
      </c>
      <c r="P187" t="b">
        <f t="shared" si="5"/>
        <v>0</v>
      </c>
      <c r="Q187" t="str">
        <f t="shared" si="4"/>
        <v>Negative</v>
      </c>
    </row>
    <row r="188" spans="1:17" x14ac:dyDescent="0.3">
      <c r="A188" t="s">
        <v>391</v>
      </c>
      <c r="B188" t="s">
        <v>32</v>
      </c>
      <c r="C188" t="s">
        <v>23</v>
      </c>
      <c r="D188" t="s">
        <v>18</v>
      </c>
      <c r="E188" t="s">
        <v>51</v>
      </c>
      <c r="F188" t="s">
        <v>55</v>
      </c>
      <c r="G188" s="1">
        <v>45327</v>
      </c>
      <c r="H188" t="s">
        <v>392</v>
      </c>
      <c r="I188">
        <v>1562788</v>
      </c>
      <c r="J188">
        <v>82252</v>
      </c>
      <c r="K188">
        <v>26739</v>
      </c>
      <c r="L188">
        <v>6372</v>
      </c>
      <c r="M188">
        <v>7.3800000000000004E-2</v>
      </c>
      <c r="N188">
        <v>0.47399999999999998</v>
      </c>
      <c r="O188">
        <v>0</v>
      </c>
      <c r="P188" t="b">
        <f t="shared" si="5"/>
        <v>0</v>
      </c>
      <c r="Q188" t="str">
        <f t="shared" si="4"/>
        <v>Positive</v>
      </c>
    </row>
    <row r="189" spans="1:17" x14ac:dyDescent="0.3">
      <c r="A189" t="s">
        <v>393</v>
      </c>
      <c r="B189" t="s">
        <v>66</v>
      </c>
      <c r="C189" t="s">
        <v>17</v>
      </c>
      <c r="D189" t="s">
        <v>33</v>
      </c>
      <c r="E189" t="s">
        <v>51</v>
      </c>
      <c r="F189" t="s">
        <v>55</v>
      </c>
      <c r="G189" s="1">
        <v>45398</v>
      </c>
      <c r="H189" t="s">
        <v>394</v>
      </c>
      <c r="I189">
        <v>273210</v>
      </c>
      <c r="J189">
        <v>13010</v>
      </c>
      <c r="K189">
        <v>7948</v>
      </c>
      <c r="L189">
        <v>77736</v>
      </c>
      <c r="M189">
        <v>0.36120000000000002</v>
      </c>
      <c r="N189">
        <v>0.129</v>
      </c>
      <c r="O189">
        <v>0</v>
      </c>
      <c r="P189" t="b">
        <f t="shared" si="5"/>
        <v>0</v>
      </c>
      <c r="Q189" t="str">
        <f t="shared" si="4"/>
        <v>Positive</v>
      </c>
    </row>
    <row r="190" spans="1:17" x14ac:dyDescent="0.3">
      <c r="A190" t="s">
        <v>395</v>
      </c>
      <c r="B190" t="s">
        <v>16</v>
      </c>
      <c r="C190" t="s">
        <v>61</v>
      </c>
      <c r="D190" t="s">
        <v>73</v>
      </c>
      <c r="E190" t="s">
        <v>38</v>
      </c>
      <c r="F190" t="s">
        <v>46</v>
      </c>
      <c r="G190" s="1">
        <v>45577</v>
      </c>
      <c r="H190" t="s">
        <v>298</v>
      </c>
      <c r="I190">
        <v>4747650</v>
      </c>
      <c r="J190">
        <v>474765</v>
      </c>
      <c r="K190">
        <v>35245</v>
      </c>
      <c r="L190">
        <v>60005</v>
      </c>
      <c r="M190">
        <v>0.1201</v>
      </c>
      <c r="N190">
        <v>0.79900000000000004</v>
      </c>
      <c r="O190">
        <v>1</v>
      </c>
      <c r="P190" t="b">
        <f t="shared" si="5"/>
        <v>1</v>
      </c>
      <c r="Q190" t="str">
        <f t="shared" si="4"/>
        <v>Positive</v>
      </c>
    </row>
    <row r="191" spans="1:17" x14ac:dyDescent="0.3">
      <c r="A191" t="s">
        <v>396</v>
      </c>
      <c r="B191" t="s">
        <v>16</v>
      </c>
      <c r="C191" t="s">
        <v>23</v>
      </c>
      <c r="D191" t="s">
        <v>54</v>
      </c>
      <c r="E191" t="s">
        <v>38</v>
      </c>
      <c r="F191" t="s">
        <v>34</v>
      </c>
      <c r="G191" s="1">
        <v>45352</v>
      </c>
      <c r="H191" t="s">
        <v>397</v>
      </c>
      <c r="I191">
        <v>825299</v>
      </c>
      <c r="J191">
        <v>48547</v>
      </c>
      <c r="K191">
        <v>34534</v>
      </c>
      <c r="L191">
        <v>75704</v>
      </c>
      <c r="M191">
        <v>0.19239999999999999</v>
      </c>
      <c r="N191">
        <v>-0.33900000000000002</v>
      </c>
      <c r="O191">
        <v>0</v>
      </c>
      <c r="P191" t="b">
        <f t="shared" si="5"/>
        <v>0</v>
      </c>
      <c r="Q191" t="str">
        <f t="shared" si="4"/>
        <v>Negative</v>
      </c>
    </row>
    <row r="192" spans="1:17" x14ac:dyDescent="0.3">
      <c r="A192" t="s">
        <v>398</v>
      </c>
      <c r="B192" t="s">
        <v>32</v>
      </c>
      <c r="C192" t="s">
        <v>61</v>
      </c>
      <c r="D192" t="s">
        <v>37</v>
      </c>
      <c r="E192" t="s">
        <v>58</v>
      </c>
      <c r="F192" t="s">
        <v>55</v>
      </c>
      <c r="G192" s="1">
        <v>45513</v>
      </c>
      <c r="H192" t="s">
        <v>399</v>
      </c>
      <c r="I192">
        <v>4213400</v>
      </c>
      <c r="J192">
        <v>421340</v>
      </c>
      <c r="K192">
        <v>27290</v>
      </c>
      <c r="L192">
        <v>92437</v>
      </c>
      <c r="M192">
        <v>0.12839999999999999</v>
      </c>
      <c r="N192">
        <v>-0.26900000000000002</v>
      </c>
      <c r="O192">
        <v>1</v>
      </c>
      <c r="P192" t="b">
        <f t="shared" si="5"/>
        <v>1</v>
      </c>
      <c r="Q192" t="str">
        <f t="shared" si="4"/>
        <v>Negative</v>
      </c>
    </row>
    <row r="193" spans="1:17" x14ac:dyDescent="0.3">
      <c r="A193" t="s">
        <v>400</v>
      </c>
      <c r="B193" t="s">
        <v>16</v>
      </c>
      <c r="C193" t="s">
        <v>23</v>
      </c>
      <c r="D193" t="s">
        <v>29</v>
      </c>
      <c r="E193" t="s">
        <v>38</v>
      </c>
      <c r="F193" t="s">
        <v>46</v>
      </c>
      <c r="G193" s="1">
        <v>45504</v>
      </c>
      <c r="H193" t="s">
        <v>401</v>
      </c>
      <c r="I193">
        <v>1086045</v>
      </c>
      <c r="J193">
        <v>72403</v>
      </c>
      <c r="K193">
        <v>27144</v>
      </c>
      <c r="L193">
        <v>77150</v>
      </c>
      <c r="M193">
        <v>0.16270000000000001</v>
      </c>
      <c r="N193">
        <v>-0.82399999999999995</v>
      </c>
      <c r="O193">
        <v>0</v>
      </c>
      <c r="P193" t="b">
        <f t="shared" si="5"/>
        <v>0</v>
      </c>
      <c r="Q193" t="str">
        <f t="shared" si="4"/>
        <v>Negative</v>
      </c>
    </row>
    <row r="194" spans="1:17" x14ac:dyDescent="0.3">
      <c r="A194" t="s">
        <v>402</v>
      </c>
      <c r="B194" t="s">
        <v>32</v>
      </c>
      <c r="C194" t="s">
        <v>23</v>
      </c>
      <c r="D194" t="s">
        <v>54</v>
      </c>
      <c r="E194" t="s">
        <v>41</v>
      </c>
      <c r="F194" t="s">
        <v>46</v>
      </c>
      <c r="G194" s="1">
        <v>45635</v>
      </c>
      <c r="H194" t="s">
        <v>403</v>
      </c>
      <c r="I194">
        <v>9135963</v>
      </c>
      <c r="J194">
        <v>338369</v>
      </c>
      <c r="K194">
        <v>13923</v>
      </c>
      <c r="L194">
        <v>85656</v>
      </c>
      <c r="M194">
        <v>4.7899999999999998E-2</v>
      </c>
      <c r="N194">
        <v>0.68500000000000005</v>
      </c>
      <c r="O194">
        <v>1</v>
      </c>
      <c r="P194" t="b">
        <f t="shared" si="5"/>
        <v>1</v>
      </c>
      <c r="Q194" t="str">
        <f t="shared" ref="Q194:Q257" si="6">IF(N194&gt;0,"Positive","Negative")</f>
        <v>Positive</v>
      </c>
    </row>
    <row r="195" spans="1:17" x14ac:dyDescent="0.3">
      <c r="A195" t="s">
        <v>404</v>
      </c>
      <c r="B195" t="s">
        <v>66</v>
      </c>
      <c r="C195" t="s">
        <v>17</v>
      </c>
      <c r="D195" t="s">
        <v>37</v>
      </c>
      <c r="E195" t="s">
        <v>58</v>
      </c>
      <c r="F195" t="s">
        <v>46</v>
      </c>
      <c r="G195" s="1">
        <v>45619</v>
      </c>
      <c r="H195" t="s">
        <v>405</v>
      </c>
      <c r="I195">
        <v>3345072</v>
      </c>
      <c r="J195">
        <v>418134</v>
      </c>
      <c r="K195">
        <v>35363</v>
      </c>
      <c r="L195">
        <v>4325</v>
      </c>
      <c r="M195">
        <v>0.13689999999999999</v>
      </c>
      <c r="N195">
        <v>0.995</v>
      </c>
      <c r="O195">
        <v>1</v>
      </c>
      <c r="P195" t="b">
        <f t="shared" ref="P195:P258" si="7">IF(O195=1,TRUE,FALSE)</f>
        <v>1</v>
      </c>
      <c r="Q195" t="str">
        <f t="shared" si="6"/>
        <v>Positive</v>
      </c>
    </row>
    <row r="196" spans="1:17" x14ac:dyDescent="0.3">
      <c r="A196" t="s">
        <v>406</v>
      </c>
      <c r="B196" t="s">
        <v>16</v>
      </c>
      <c r="C196" t="s">
        <v>23</v>
      </c>
      <c r="D196" t="s">
        <v>54</v>
      </c>
      <c r="E196" t="s">
        <v>58</v>
      </c>
      <c r="F196" t="s">
        <v>34</v>
      </c>
      <c r="G196" s="1">
        <v>45594</v>
      </c>
      <c r="H196" t="s">
        <v>407</v>
      </c>
      <c r="I196">
        <v>247335</v>
      </c>
      <c r="J196">
        <v>16489</v>
      </c>
      <c r="K196">
        <v>41432</v>
      </c>
      <c r="L196">
        <v>79580</v>
      </c>
      <c r="M196">
        <v>0.55589999999999995</v>
      </c>
      <c r="N196">
        <v>0.73099999999999998</v>
      </c>
      <c r="O196">
        <v>0</v>
      </c>
      <c r="P196" t="b">
        <f t="shared" si="7"/>
        <v>0</v>
      </c>
      <c r="Q196" t="str">
        <f t="shared" si="6"/>
        <v>Positive</v>
      </c>
    </row>
    <row r="197" spans="1:17" x14ac:dyDescent="0.3">
      <c r="A197" t="s">
        <v>408</v>
      </c>
      <c r="B197" t="s">
        <v>32</v>
      </c>
      <c r="C197" t="s">
        <v>28</v>
      </c>
      <c r="D197" t="s">
        <v>37</v>
      </c>
      <c r="E197" t="s">
        <v>19</v>
      </c>
      <c r="F197" t="s">
        <v>20</v>
      </c>
      <c r="G197" s="1">
        <v>45323</v>
      </c>
      <c r="H197" t="s">
        <v>409</v>
      </c>
      <c r="I197">
        <v>2383130</v>
      </c>
      <c r="J197">
        <v>238313</v>
      </c>
      <c r="K197">
        <v>122</v>
      </c>
      <c r="L197">
        <v>84472</v>
      </c>
      <c r="M197">
        <v>0.13550000000000001</v>
      </c>
      <c r="N197">
        <v>0.33700000000000002</v>
      </c>
      <c r="O197">
        <v>1</v>
      </c>
      <c r="P197" t="b">
        <f t="shared" si="7"/>
        <v>1</v>
      </c>
      <c r="Q197" t="str">
        <f t="shared" si="6"/>
        <v>Positive</v>
      </c>
    </row>
    <row r="198" spans="1:17" x14ac:dyDescent="0.3">
      <c r="A198" t="s">
        <v>410</v>
      </c>
      <c r="B198" t="s">
        <v>16</v>
      </c>
      <c r="C198" t="s">
        <v>23</v>
      </c>
      <c r="D198" t="s">
        <v>37</v>
      </c>
      <c r="E198" t="s">
        <v>38</v>
      </c>
      <c r="F198" t="s">
        <v>34</v>
      </c>
      <c r="G198" s="1">
        <v>45342</v>
      </c>
      <c r="H198" t="s">
        <v>42</v>
      </c>
      <c r="I198">
        <v>2820432</v>
      </c>
      <c r="J198">
        <v>235036</v>
      </c>
      <c r="K198">
        <v>851</v>
      </c>
      <c r="L198">
        <v>10955</v>
      </c>
      <c r="M198">
        <v>8.7499999999999994E-2</v>
      </c>
      <c r="N198">
        <v>-4.7E-2</v>
      </c>
      <c r="O198">
        <v>1</v>
      </c>
      <c r="P198" t="b">
        <f t="shared" si="7"/>
        <v>1</v>
      </c>
      <c r="Q198" t="str">
        <f t="shared" si="6"/>
        <v>Negative</v>
      </c>
    </row>
    <row r="199" spans="1:17" x14ac:dyDescent="0.3">
      <c r="A199" t="s">
        <v>411</v>
      </c>
      <c r="B199" t="s">
        <v>32</v>
      </c>
      <c r="C199" t="s">
        <v>17</v>
      </c>
      <c r="D199" t="s">
        <v>29</v>
      </c>
      <c r="E199" t="s">
        <v>51</v>
      </c>
      <c r="F199" t="s">
        <v>55</v>
      </c>
      <c r="G199" s="1">
        <v>45646</v>
      </c>
      <c r="H199" t="s">
        <v>412</v>
      </c>
      <c r="I199">
        <v>9112480</v>
      </c>
      <c r="J199">
        <v>350480</v>
      </c>
      <c r="K199">
        <v>32048</v>
      </c>
      <c r="L199">
        <v>6470</v>
      </c>
      <c r="M199">
        <v>4.2700000000000002E-2</v>
      </c>
      <c r="N199">
        <v>0.42199999999999999</v>
      </c>
      <c r="O199">
        <v>1</v>
      </c>
      <c r="P199" t="b">
        <f t="shared" si="7"/>
        <v>1</v>
      </c>
      <c r="Q199" t="str">
        <f t="shared" si="6"/>
        <v>Positive</v>
      </c>
    </row>
    <row r="200" spans="1:17" x14ac:dyDescent="0.3">
      <c r="A200" t="s">
        <v>413</v>
      </c>
      <c r="B200" t="s">
        <v>32</v>
      </c>
      <c r="C200" t="s">
        <v>17</v>
      </c>
      <c r="D200" t="s">
        <v>33</v>
      </c>
      <c r="E200" t="s">
        <v>51</v>
      </c>
      <c r="F200" t="s">
        <v>55</v>
      </c>
      <c r="G200" s="1">
        <v>45510</v>
      </c>
      <c r="H200" t="s">
        <v>414</v>
      </c>
      <c r="I200">
        <v>3974019</v>
      </c>
      <c r="J200">
        <v>189239</v>
      </c>
      <c r="K200">
        <v>49381</v>
      </c>
      <c r="L200">
        <v>45588</v>
      </c>
      <c r="M200">
        <v>7.1499999999999994E-2</v>
      </c>
      <c r="N200">
        <v>0.06</v>
      </c>
      <c r="O200">
        <v>1</v>
      </c>
      <c r="P200" t="b">
        <f t="shared" si="7"/>
        <v>1</v>
      </c>
      <c r="Q200" t="str">
        <f t="shared" si="6"/>
        <v>Positive</v>
      </c>
    </row>
    <row r="201" spans="1:17" x14ac:dyDescent="0.3">
      <c r="A201" t="s">
        <v>415</v>
      </c>
      <c r="B201" t="s">
        <v>27</v>
      </c>
      <c r="C201" t="s">
        <v>23</v>
      </c>
      <c r="D201" t="s">
        <v>33</v>
      </c>
      <c r="E201" t="s">
        <v>19</v>
      </c>
      <c r="F201" t="s">
        <v>20</v>
      </c>
      <c r="G201" s="1">
        <v>45406</v>
      </c>
      <c r="H201" t="s">
        <v>116</v>
      </c>
      <c r="I201">
        <v>3298280</v>
      </c>
      <c r="J201">
        <v>329828</v>
      </c>
      <c r="K201">
        <v>39006</v>
      </c>
      <c r="L201">
        <v>78478</v>
      </c>
      <c r="M201">
        <v>0.1356</v>
      </c>
      <c r="N201">
        <v>0.16200000000000001</v>
      </c>
      <c r="O201">
        <v>1</v>
      </c>
      <c r="P201" t="b">
        <f t="shared" si="7"/>
        <v>1</v>
      </c>
      <c r="Q201" t="str">
        <f t="shared" si="6"/>
        <v>Positive</v>
      </c>
    </row>
    <row r="202" spans="1:17" x14ac:dyDescent="0.3">
      <c r="A202" t="s">
        <v>416</v>
      </c>
      <c r="B202" t="s">
        <v>16</v>
      </c>
      <c r="C202" t="s">
        <v>17</v>
      </c>
      <c r="D202" t="s">
        <v>54</v>
      </c>
      <c r="E202" t="s">
        <v>41</v>
      </c>
      <c r="F202" t="s">
        <v>46</v>
      </c>
      <c r="G202" s="1">
        <v>45594</v>
      </c>
      <c r="H202" t="s">
        <v>417</v>
      </c>
      <c r="I202">
        <v>1414310</v>
      </c>
      <c r="J202">
        <v>282862</v>
      </c>
      <c r="K202">
        <v>32259</v>
      </c>
      <c r="L202">
        <v>47363</v>
      </c>
      <c r="M202">
        <v>0.25629999999999997</v>
      </c>
      <c r="N202">
        <v>-0.26200000000000001</v>
      </c>
      <c r="O202">
        <v>0</v>
      </c>
      <c r="P202" t="b">
        <f t="shared" si="7"/>
        <v>0</v>
      </c>
      <c r="Q202" t="str">
        <f t="shared" si="6"/>
        <v>Negative</v>
      </c>
    </row>
    <row r="203" spans="1:17" x14ac:dyDescent="0.3">
      <c r="A203" t="s">
        <v>418</v>
      </c>
      <c r="B203" t="s">
        <v>16</v>
      </c>
      <c r="C203" t="s">
        <v>23</v>
      </c>
      <c r="D203" t="s">
        <v>54</v>
      </c>
      <c r="E203" t="s">
        <v>58</v>
      </c>
      <c r="F203" t="s">
        <v>24</v>
      </c>
      <c r="G203" s="1">
        <v>45637</v>
      </c>
      <c r="H203" t="s">
        <v>419</v>
      </c>
      <c r="I203">
        <v>5144985</v>
      </c>
      <c r="J203">
        <v>190555</v>
      </c>
      <c r="K203">
        <v>14</v>
      </c>
      <c r="L203">
        <v>82181</v>
      </c>
      <c r="M203">
        <v>5.2999999999999999E-2</v>
      </c>
      <c r="N203">
        <v>9.8000000000000004E-2</v>
      </c>
      <c r="O203">
        <v>1</v>
      </c>
      <c r="P203" t="b">
        <f t="shared" si="7"/>
        <v>1</v>
      </c>
      <c r="Q203" t="str">
        <f t="shared" si="6"/>
        <v>Positive</v>
      </c>
    </row>
    <row r="204" spans="1:17" x14ac:dyDescent="0.3">
      <c r="A204" t="s">
        <v>420</v>
      </c>
      <c r="B204" t="s">
        <v>16</v>
      </c>
      <c r="C204" t="s">
        <v>23</v>
      </c>
      <c r="D204" t="s">
        <v>37</v>
      </c>
      <c r="E204" t="s">
        <v>58</v>
      </c>
      <c r="F204" t="s">
        <v>20</v>
      </c>
      <c r="G204" s="1">
        <v>45400</v>
      </c>
      <c r="H204" t="s">
        <v>263</v>
      </c>
      <c r="I204">
        <v>1510265</v>
      </c>
      <c r="J204">
        <v>302053</v>
      </c>
      <c r="K204">
        <v>5292</v>
      </c>
      <c r="L204">
        <v>34388</v>
      </c>
      <c r="M204">
        <v>0.2263</v>
      </c>
      <c r="N204">
        <v>-0.72199999999999998</v>
      </c>
      <c r="O204">
        <v>0</v>
      </c>
      <c r="P204" t="b">
        <f t="shared" si="7"/>
        <v>0</v>
      </c>
      <c r="Q204" t="str">
        <f t="shared" si="6"/>
        <v>Negative</v>
      </c>
    </row>
    <row r="205" spans="1:17" x14ac:dyDescent="0.3">
      <c r="A205" t="s">
        <v>421</v>
      </c>
      <c r="B205" t="s">
        <v>16</v>
      </c>
      <c r="C205" t="s">
        <v>23</v>
      </c>
      <c r="D205" t="s">
        <v>18</v>
      </c>
      <c r="E205" t="s">
        <v>58</v>
      </c>
      <c r="F205" t="s">
        <v>34</v>
      </c>
      <c r="G205" s="1">
        <v>45448</v>
      </c>
      <c r="H205" t="s">
        <v>422</v>
      </c>
      <c r="I205">
        <v>3051216</v>
      </c>
      <c r="J205">
        <v>108972</v>
      </c>
      <c r="K205">
        <v>19221</v>
      </c>
      <c r="L205">
        <v>93071</v>
      </c>
      <c r="M205">
        <v>7.2499999999999995E-2</v>
      </c>
      <c r="N205">
        <v>0.21199999999999999</v>
      </c>
      <c r="O205">
        <v>1</v>
      </c>
      <c r="P205" t="b">
        <f t="shared" si="7"/>
        <v>1</v>
      </c>
      <c r="Q205" t="str">
        <f t="shared" si="6"/>
        <v>Positive</v>
      </c>
    </row>
    <row r="206" spans="1:17" x14ac:dyDescent="0.3">
      <c r="A206" t="s">
        <v>423</v>
      </c>
      <c r="B206" t="s">
        <v>16</v>
      </c>
      <c r="C206" t="s">
        <v>28</v>
      </c>
      <c r="D206" t="s">
        <v>37</v>
      </c>
      <c r="E206" t="s">
        <v>58</v>
      </c>
      <c r="F206" t="s">
        <v>20</v>
      </c>
      <c r="G206" s="1">
        <v>45560</v>
      </c>
      <c r="H206" t="s">
        <v>424</v>
      </c>
      <c r="I206">
        <v>9021054</v>
      </c>
      <c r="J206">
        <v>429574</v>
      </c>
      <c r="K206">
        <v>28258</v>
      </c>
      <c r="L206">
        <v>42079</v>
      </c>
      <c r="M206">
        <v>5.5399999999999998E-2</v>
      </c>
      <c r="N206">
        <v>0.70099999999999996</v>
      </c>
      <c r="O206">
        <v>1</v>
      </c>
      <c r="P206" t="b">
        <f t="shared" si="7"/>
        <v>1</v>
      </c>
      <c r="Q206" t="str">
        <f t="shared" si="6"/>
        <v>Positive</v>
      </c>
    </row>
    <row r="207" spans="1:17" x14ac:dyDescent="0.3">
      <c r="A207" t="s">
        <v>425</v>
      </c>
      <c r="B207" t="s">
        <v>27</v>
      </c>
      <c r="C207" t="s">
        <v>28</v>
      </c>
      <c r="D207" t="s">
        <v>29</v>
      </c>
      <c r="E207" t="s">
        <v>51</v>
      </c>
      <c r="F207" t="s">
        <v>34</v>
      </c>
      <c r="G207" s="1">
        <v>45629</v>
      </c>
      <c r="H207" t="s">
        <v>426</v>
      </c>
      <c r="I207">
        <v>221742</v>
      </c>
      <c r="J207">
        <v>12319</v>
      </c>
      <c r="K207">
        <v>240</v>
      </c>
      <c r="L207">
        <v>42930</v>
      </c>
      <c r="M207">
        <v>0.25019999999999998</v>
      </c>
      <c r="N207">
        <v>0.86599999999999999</v>
      </c>
      <c r="O207">
        <v>0</v>
      </c>
      <c r="P207" t="b">
        <f t="shared" si="7"/>
        <v>0</v>
      </c>
      <c r="Q207" t="str">
        <f t="shared" si="6"/>
        <v>Positive</v>
      </c>
    </row>
    <row r="208" spans="1:17" x14ac:dyDescent="0.3">
      <c r="A208" t="s">
        <v>427</v>
      </c>
      <c r="B208" t="s">
        <v>32</v>
      </c>
      <c r="C208" t="s">
        <v>17</v>
      </c>
      <c r="D208" t="s">
        <v>73</v>
      </c>
      <c r="E208" t="s">
        <v>38</v>
      </c>
      <c r="F208" t="s">
        <v>24</v>
      </c>
      <c r="G208" s="1">
        <v>45546</v>
      </c>
      <c r="H208" t="s">
        <v>428</v>
      </c>
      <c r="I208">
        <v>5825248</v>
      </c>
      <c r="J208">
        <v>364078</v>
      </c>
      <c r="K208">
        <v>5261</v>
      </c>
      <c r="L208">
        <v>65442</v>
      </c>
      <c r="M208">
        <v>7.46E-2</v>
      </c>
      <c r="N208">
        <v>-0.24199999999999999</v>
      </c>
      <c r="O208">
        <v>1</v>
      </c>
      <c r="P208" t="b">
        <f t="shared" si="7"/>
        <v>1</v>
      </c>
      <c r="Q208" t="str">
        <f t="shared" si="6"/>
        <v>Negative</v>
      </c>
    </row>
    <row r="209" spans="1:17" x14ac:dyDescent="0.3">
      <c r="A209" t="s">
        <v>429</v>
      </c>
      <c r="B209" t="s">
        <v>16</v>
      </c>
      <c r="C209" t="s">
        <v>17</v>
      </c>
      <c r="D209" t="s">
        <v>33</v>
      </c>
      <c r="E209" t="s">
        <v>58</v>
      </c>
      <c r="F209" t="s">
        <v>55</v>
      </c>
      <c r="G209" s="1">
        <v>45580</v>
      </c>
      <c r="H209" t="s">
        <v>430</v>
      </c>
      <c r="I209">
        <v>6458920</v>
      </c>
      <c r="J209">
        <v>248420</v>
      </c>
      <c r="K209">
        <v>5420</v>
      </c>
      <c r="L209">
        <v>36160</v>
      </c>
      <c r="M209">
        <v>4.4900000000000002E-2</v>
      </c>
      <c r="N209">
        <v>-0.90400000000000003</v>
      </c>
      <c r="O209">
        <v>1</v>
      </c>
      <c r="P209" t="b">
        <f t="shared" si="7"/>
        <v>1</v>
      </c>
      <c r="Q209" t="str">
        <f t="shared" si="6"/>
        <v>Negative</v>
      </c>
    </row>
    <row r="210" spans="1:17" x14ac:dyDescent="0.3">
      <c r="A210" t="s">
        <v>431</v>
      </c>
      <c r="B210" t="s">
        <v>16</v>
      </c>
      <c r="C210" t="s">
        <v>23</v>
      </c>
      <c r="D210" t="s">
        <v>29</v>
      </c>
      <c r="E210" t="s">
        <v>41</v>
      </c>
      <c r="F210" t="s">
        <v>46</v>
      </c>
      <c r="G210" s="1">
        <v>45477</v>
      </c>
      <c r="H210" t="s">
        <v>432</v>
      </c>
      <c r="I210">
        <v>787392</v>
      </c>
      <c r="J210">
        <v>87488</v>
      </c>
      <c r="K210">
        <v>8012</v>
      </c>
      <c r="L210">
        <v>41833</v>
      </c>
      <c r="M210">
        <v>0.1744</v>
      </c>
      <c r="N210">
        <v>-0.59699999999999998</v>
      </c>
      <c r="O210">
        <v>0</v>
      </c>
      <c r="P210" t="b">
        <f t="shared" si="7"/>
        <v>0</v>
      </c>
      <c r="Q210" t="str">
        <f t="shared" si="6"/>
        <v>Negative</v>
      </c>
    </row>
    <row r="211" spans="1:17" x14ac:dyDescent="0.3">
      <c r="A211" t="s">
        <v>433</v>
      </c>
      <c r="B211" t="s">
        <v>66</v>
      </c>
      <c r="C211" t="s">
        <v>23</v>
      </c>
      <c r="D211" t="s">
        <v>54</v>
      </c>
      <c r="E211" t="s">
        <v>19</v>
      </c>
      <c r="F211" t="s">
        <v>20</v>
      </c>
      <c r="G211" s="1">
        <v>45652</v>
      </c>
      <c r="H211" t="s">
        <v>434</v>
      </c>
      <c r="I211">
        <v>3159945</v>
      </c>
      <c r="J211">
        <v>351105</v>
      </c>
      <c r="K211">
        <v>21209</v>
      </c>
      <c r="L211">
        <v>15525</v>
      </c>
      <c r="M211">
        <v>0.1227</v>
      </c>
      <c r="N211">
        <v>-0.52900000000000003</v>
      </c>
      <c r="O211">
        <v>1</v>
      </c>
      <c r="P211" t="b">
        <f t="shared" si="7"/>
        <v>1</v>
      </c>
      <c r="Q211" t="str">
        <f t="shared" si="6"/>
        <v>Negative</v>
      </c>
    </row>
    <row r="212" spans="1:17" x14ac:dyDescent="0.3">
      <c r="A212" t="s">
        <v>435</v>
      </c>
      <c r="B212" t="s">
        <v>27</v>
      </c>
      <c r="C212" t="s">
        <v>28</v>
      </c>
      <c r="D212" t="s">
        <v>73</v>
      </c>
      <c r="E212" t="s">
        <v>51</v>
      </c>
      <c r="F212" t="s">
        <v>20</v>
      </c>
      <c r="G212" s="1">
        <v>45314</v>
      </c>
      <c r="H212" t="s">
        <v>436</v>
      </c>
      <c r="I212">
        <v>11408397</v>
      </c>
      <c r="J212">
        <v>393393</v>
      </c>
      <c r="K212">
        <v>40350</v>
      </c>
      <c r="L212">
        <v>20612</v>
      </c>
      <c r="M212">
        <v>3.9800000000000002E-2</v>
      </c>
      <c r="N212">
        <v>0.754</v>
      </c>
      <c r="O212">
        <v>1</v>
      </c>
      <c r="P212" t="b">
        <f t="shared" si="7"/>
        <v>1</v>
      </c>
      <c r="Q212" t="str">
        <f t="shared" si="6"/>
        <v>Positive</v>
      </c>
    </row>
    <row r="213" spans="1:17" x14ac:dyDescent="0.3">
      <c r="A213" t="s">
        <v>437</v>
      </c>
      <c r="B213" t="s">
        <v>16</v>
      </c>
      <c r="C213" t="s">
        <v>23</v>
      </c>
      <c r="D213" t="s">
        <v>54</v>
      </c>
      <c r="E213" t="s">
        <v>38</v>
      </c>
      <c r="F213" t="s">
        <v>20</v>
      </c>
      <c r="G213" s="1">
        <v>45599</v>
      </c>
      <c r="H213" t="s">
        <v>438</v>
      </c>
      <c r="I213">
        <v>5251092</v>
      </c>
      <c r="J213">
        <v>477372</v>
      </c>
      <c r="K213">
        <v>43308</v>
      </c>
      <c r="L213">
        <v>59208</v>
      </c>
      <c r="M213">
        <v>0.1104</v>
      </c>
      <c r="N213">
        <v>0.42799999999999999</v>
      </c>
      <c r="O213">
        <v>1</v>
      </c>
      <c r="P213" t="b">
        <f t="shared" si="7"/>
        <v>1</v>
      </c>
      <c r="Q213" t="str">
        <f t="shared" si="6"/>
        <v>Positive</v>
      </c>
    </row>
    <row r="214" spans="1:17" x14ac:dyDescent="0.3">
      <c r="A214" t="s">
        <v>439</v>
      </c>
      <c r="B214" t="s">
        <v>32</v>
      </c>
      <c r="C214" t="s">
        <v>28</v>
      </c>
      <c r="D214" t="s">
        <v>37</v>
      </c>
      <c r="E214" t="s">
        <v>19</v>
      </c>
      <c r="F214" t="s">
        <v>20</v>
      </c>
      <c r="G214" s="1">
        <v>45616</v>
      </c>
      <c r="H214" t="s">
        <v>440</v>
      </c>
      <c r="I214">
        <v>398110</v>
      </c>
      <c r="J214">
        <v>39811</v>
      </c>
      <c r="K214">
        <v>11959</v>
      </c>
      <c r="L214">
        <v>73341</v>
      </c>
      <c r="M214">
        <v>0.31430000000000002</v>
      </c>
      <c r="N214">
        <v>0.08</v>
      </c>
      <c r="O214">
        <v>0</v>
      </c>
      <c r="P214" t="b">
        <f t="shared" si="7"/>
        <v>0</v>
      </c>
      <c r="Q214" t="str">
        <f t="shared" si="6"/>
        <v>Positive</v>
      </c>
    </row>
    <row r="215" spans="1:17" x14ac:dyDescent="0.3">
      <c r="A215" t="s">
        <v>441</v>
      </c>
      <c r="B215" t="s">
        <v>32</v>
      </c>
      <c r="C215" t="s">
        <v>17</v>
      </c>
      <c r="D215" t="s">
        <v>54</v>
      </c>
      <c r="E215" t="s">
        <v>38</v>
      </c>
      <c r="F215" t="s">
        <v>55</v>
      </c>
      <c r="G215" s="1">
        <v>45618</v>
      </c>
      <c r="H215" t="s">
        <v>442</v>
      </c>
      <c r="I215">
        <v>2989146</v>
      </c>
      <c r="J215">
        <v>103074</v>
      </c>
      <c r="K215">
        <v>18579</v>
      </c>
      <c r="L215">
        <v>9185</v>
      </c>
      <c r="M215">
        <v>4.3799999999999999E-2</v>
      </c>
      <c r="N215">
        <v>-0.28899999999999998</v>
      </c>
      <c r="O215">
        <v>1</v>
      </c>
      <c r="P215" t="b">
        <f t="shared" si="7"/>
        <v>1</v>
      </c>
      <c r="Q215" t="str">
        <f t="shared" si="6"/>
        <v>Negative</v>
      </c>
    </row>
    <row r="216" spans="1:17" x14ac:dyDescent="0.3">
      <c r="A216" t="s">
        <v>443</v>
      </c>
      <c r="B216" t="s">
        <v>66</v>
      </c>
      <c r="C216" t="s">
        <v>61</v>
      </c>
      <c r="D216" t="s">
        <v>29</v>
      </c>
      <c r="E216" t="s">
        <v>58</v>
      </c>
      <c r="F216" t="s">
        <v>24</v>
      </c>
      <c r="G216" s="1">
        <v>45462</v>
      </c>
      <c r="H216" t="s">
        <v>444</v>
      </c>
      <c r="I216">
        <v>283650</v>
      </c>
      <c r="J216">
        <v>11346</v>
      </c>
      <c r="K216">
        <v>45563</v>
      </c>
      <c r="L216">
        <v>18382</v>
      </c>
      <c r="M216">
        <v>0.26540000000000002</v>
      </c>
      <c r="N216">
        <v>0.81299999999999994</v>
      </c>
      <c r="O216">
        <v>0</v>
      </c>
      <c r="P216" t="b">
        <f t="shared" si="7"/>
        <v>0</v>
      </c>
      <c r="Q216" t="str">
        <f t="shared" si="6"/>
        <v>Positive</v>
      </c>
    </row>
    <row r="217" spans="1:17" x14ac:dyDescent="0.3">
      <c r="A217" t="s">
        <v>445</v>
      </c>
      <c r="B217" t="s">
        <v>16</v>
      </c>
      <c r="C217" t="s">
        <v>17</v>
      </c>
      <c r="D217" t="s">
        <v>29</v>
      </c>
      <c r="E217" t="s">
        <v>58</v>
      </c>
      <c r="F217" t="s">
        <v>55</v>
      </c>
      <c r="G217" s="1">
        <v>45309</v>
      </c>
      <c r="H217" t="s">
        <v>146</v>
      </c>
      <c r="I217">
        <v>3973340</v>
      </c>
      <c r="J217">
        <v>397334</v>
      </c>
      <c r="K217">
        <v>11307</v>
      </c>
      <c r="L217">
        <v>67507</v>
      </c>
      <c r="M217">
        <v>0.1198</v>
      </c>
      <c r="N217">
        <v>0.88</v>
      </c>
      <c r="O217">
        <v>1</v>
      </c>
      <c r="P217" t="b">
        <f t="shared" si="7"/>
        <v>1</v>
      </c>
      <c r="Q217" t="str">
        <f t="shared" si="6"/>
        <v>Positive</v>
      </c>
    </row>
    <row r="218" spans="1:17" x14ac:dyDescent="0.3">
      <c r="A218" t="s">
        <v>446</v>
      </c>
      <c r="B218" t="s">
        <v>27</v>
      </c>
      <c r="C218" t="s">
        <v>28</v>
      </c>
      <c r="D218" t="s">
        <v>29</v>
      </c>
      <c r="E218" t="s">
        <v>51</v>
      </c>
      <c r="F218" t="s">
        <v>24</v>
      </c>
      <c r="G218" s="1">
        <v>45365</v>
      </c>
      <c r="H218" t="s">
        <v>447</v>
      </c>
      <c r="I218">
        <v>1354444</v>
      </c>
      <c r="J218">
        <v>96746</v>
      </c>
      <c r="K218">
        <v>17591</v>
      </c>
      <c r="L218">
        <v>24520</v>
      </c>
      <c r="M218">
        <v>0.10249999999999999</v>
      </c>
      <c r="N218">
        <v>-0.72099999999999997</v>
      </c>
      <c r="O218">
        <v>0</v>
      </c>
      <c r="P218" t="b">
        <f t="shared" si="7"/>
        <v>0</v>
      </c>
      <c r="Q218" t="str">
        <f t="shared" si="6"/>
        <v>Negative</v>
      </c>
    </row>
    <row r="219" spans="1:17" x14ac:dyDescent="0.3">
      <c r="A219" t="s">
        <v>448</v>
      </c>
      <c r="B219" t="s">
        <v>16</v>
      </c>
      <c r="C219" t="s">
        <v>17</v>
      </c>
      <c r="D219" t="s">
        <v>73</v>
      </c>
      <c r="E219" t="s">
        <v>51</v>
      </c>
      <c r="F219" t="s">
        <v>24</v>
      </c>
      <c r="G219" s="1">
        <v>45501</v>
      </c>
      <c r="H219" t="s">
        <v>449</v>
      </c>
      <c r="I219">
        <v>8235696</v>
      </c>
      <c r="J219">
        <v>343154</v>
      </c>
      <c r="K219">
        <v>5793</v>
      </c>
      <c r="L219">
        <v>5409</v>
      </c>
      <c r="M219">
        <v>4.2999999999999997E-2</v>
      </c>
      <c r="N219">
        <v>0.48299999999999998</v>
      </c>
      <c r="O219">
        <v>1</v>
      </c>
      <c r="P219" t="b">
        <f t="shared" si="7"/>
        <v>1</v>
      </c>
      <c r="Q219" t="str">
        <f t="shared" si="6"/>
        <v>Positive</v>
      </c>
    </row>
    <row r="220" spans="1:17" x14ac:dyDescent="0.3">
      <c r="A220" t="s">
        <v>450</v>
      </c>
      <c r="B220" t="s">
        <v>16</v>
      </c>
      <c r="C220" t="s">
        <v>17</v>
      </c>
      <c r="D220" t="s">
        <v>29</v>
      </c>
      <c r="E220" t="s">
        <v>19</v>
      </c>
      <c r="F220" t="s">
        <v>34</v>
      </c>
      <c r="G220" s="1">
        <v>45526</v>
      </c>
      <c r="H220" t="s">
        <v>451</v>
      </c>
      <c r="I220">
        <v>1320940</v>
      </c>
      <c r="J220">
        <v>132094</v>
      </c>
      <c r="K220">
        <v>33192</v>
      </c>
      <c r="L220">
        <v>51357</v>
      </c>
      <c r="M220">
        <v>0.16400000000000001</v>
      </c>
      <c r="N220">
        <v>0.505</v>
      </c>
      <c r="O220">
        <v>0</v>
      </c>
      <c r="P220" t="b">
        <f t="shared" si="7"/>
        <v>0</v>
      </c>
      <c r="Q220" t="str">
        <f t="shared" si="6"/>
        <v>Positive</v>
      </c>
    </row>
    <row r="221" spans="1:17" x14ac:dyDescent="0.3">
      <c r="A221" t="s">
        <v>452</v>
      </c>
      <c r="B221" t="s">
        <v>27</v>
      </c>
      <c r="C221" t="s">
        <v>17</v>
      </c>
      <c r="D221" t="s">
        <v>29</v>
      </c>
      <c r="E221" t="s">
        <v>51</v>
      </c>
      <c r="F221" t="s">
        <v>34</v>
      </c>
      <c r="G221" s="1">
        <v>45330</v>
      </c>
      <c r="H221" t="s">
        <v>453</v>
      </c>
      <c r="I221">
        <v>1531360</v>
      </c>
      <c r="J221">
        <v>306272</v>
      </c>
      <c r="K221">
        <v>32159</v>
      </c>
      <c r="L221">
        <v>82871</v>
      </c>
      <c r="M221">
        <v>0.27510000000000001</v>
      </c>
      <c r="N221">
        <v>-0.93300000000000005</v>
      </c>
      <c r="O221">
        <v>0</v>
      </c>
      <c r="P221" t="b">
        <f t="shared" si="7"/>
        <v>0</v>
      </c>
      <c r="Q221" t="str">
        <f t="shared" si="6"/>
        <v>Negative</v>
      </c>
    </row>
    <row r="222" spans="1:17" x14ac:dyDescent="0.3">
      <c r="A222" t="s">
        <v>454</v>
      </c>
      <c r="B222" t="s">
        <v>27</v>
      </c>
      <c r="C222" t="s">
        <v>23</v>
      </c>
      <c r="D222" t="s">
        <v>54</v>
      </c>
      <c r="E222" t="s">
        <v>38</v>
      </c>
      <c r="F222" t="s">
        <v>34</v>
      </c>
      <c r="G222" s="1">
        <v>45551</v>
      </c>
      <c r="H222" t="s">
        <v>122</v>
      </c>
      <c r="I222">
        <v>7313098</v>
      </c>
      <c r="J222">
        <v>281273</v>
      </c>
      <c r="K222">
        <v>32270</v>
      </c>
      <c r="L222">
        <v>43873</v>
      </c>
      <c r="M222">
        <v>4.8899999999999999E-2</v>
      </c>
      <c r="N222">
        <v>0.64300000000000002</v>
      </c>
      <c r="O222">
        <v>1</v>
      </c>
      <c r="P222" t="b">
        <f t="shared" si="7"/>
        <v>1</v>
      </c>
      <c r="Q222" t="str">
        <f t="shared" si="6"/>
        <v>Positive</v>
      </c>
    </row>
    <row r="223" spans="1:17" x14ac:dyDescent="0.3">
      <c r="A223" t="s">
        <v>455</v>
      </c>
      <c r="B223" t="s">
        <v>27</v>
      </c>
      <c r="C223" t="s">
        <v>61</v>
      </c>
      <c r="D223" t="s">
        <v>18</v>
      </c>
      <c r="E223" t="s">
        <v>58</v>
      </c>
      <c r="F223" t="s">
        <v>55</v>
      </c>
      <c r="G223" s="1">
        <v>45330</v>
      </c>
      <c r="H223" t="s">
        <v>456</v>
      </c>
      <c r="I223">
        <v>2632994</v>
      </c>
      <c r="J223">
        <v>154882</v>
      </c>
      <c r="K223">
        <v>29491</v>
      </c>
      <c r="L223">
        <v>71908</v>
      </c>
      <c r="M223">
        <v>9.7299999999999998E-2</v>
      </c>
      <c r="N223">
        <v>-0.745</v>
      </c>
      <c r="O223">
        <v>1</v>
      </c>
      <c r="P223" t="b">
        <f t="shared" si="7"/>
        <v>1</v>
      </c>
      <c r="Q223" t="str">
        <f t="shared" si="6"/>
        <v>Negative</v>
      </c>
    </row>
    <row r="224" spans="1:17" x14ac:dyDescent="0.3">
      <c r="A224" t="s">
        <v>457</v>
      </c>
      <c r="B224" t="s">
        <v>32</v>
      </c>
      <c r="C224" t="s">
        <v>23</v>
      </c>
      <c r="D224" t="s">
        <v>29</v>
      </c>
      <c r="E224" t="s">
        <v>38</v>
      </c>
      <c r="F224" t="s">
        <v>24</v>
      </c>
      <c r="G224" s="1">
        <v>45542</v>
      </c>
      <c r="H224" t="s">
        <v>458</v>
      </c>
      <c r="I224">
        <v>2725875</v>
      </c>
      <c r="J224">
        <v>302875</v>
      </c>
      <c r="K224">
        <v>36001</v>
      </c>
      <c r="L224">
        <v>20104</v>
      </c>
      <c r="M224">
        <v>0.13170000000000001</v>
      </c>
      <c r="N224">
        <v>-2.7E-2</v>
      </c>
      <c r="O224">
        <v>1</v>
      </c>
      <c r="P224" t="b">
        <f t="shared" si="7"/>
        <v>1</v>
      </c>
      <c r="Q224" t="str">
        <f t="shared" si="6"/>
        <v>Negative</v>
      </c>
    </row>
    <row r="225" spans="1:17" x14ac:dyDescent="0.3">
      <c r="A225" t="s">
        <v>459</v>
      </c>
      <c r="B225" t="s">
        <v>16</v>
      </c>
      <c r="C225" t="s">
        <v>61</v>
      </c>
      <c r="D225" t="s">
        <v>73</v>
      </c>
      <c r="E225" t="s">
        <v>58</v>
      </c>
      <c r="F225" t="s">
        <v>34</v>
      </c>
      <c r="G225" s="1">
        <v>45342</v>
      </c>
      <c r="H225" t="s">
        <v>460</v>
      </c>
      <c r="I225">
        <v>506346</v>
      </c>
      <c r="J225">
        <v>84391</v>
      </c>
      <c r="K225">
        <v>35664</v>
      </c>
      <c r="L225">
        <v>3757</v>
      </c>
      <c r="M225">
        <v>0.2445</v>
      </c>
      <c r="N225">
        <v>-0.97599999999999998</v>
      </c>
      <c r="O225">
        <v>0</v>
      </c>
      <c r="P225" t="b">
        <f t="shared" si="7"/>
        <v>0</v>
      </c>
      <c r="Q225" t="str">
        <f t="shared" si="6"/>
        <v>Negative</v>
      </c>
    </row>
    <row r="226" spans="1:17" x14ac:dyDescent="0.3">
      <c r="A226" t="s">
        <v>461</v>
      </c>
      <c r="B226" t="s">
        <v>32</v>
      </c>
      <c r="C226" t="s">
        <v>17</v>
      </c>
      <c r="D226" t="s">
        <v>73</v>
      </c>
      <c r="E226" t="s">
        <v>19</v>
      </c>
      <c r="F226" t="s">
        <v>55</v>
      </c>
      <c r="G226" s="1">
        <v>45298</v>
      </c>
      <c r="H226" t="s">
        <v>462</v>
      </c>
      <c r="I226">
        <v>1857200</v>
      </c>
      <c r="J226">
        <v>232150</v>
      </c>
      <c r="K226">
        <v>39671</v>
      </c>
      <c r="L226">
        <v>75684</v>
      </c>
      <c r="M226">
        <v>0.18709999999999999</v>
      </c>
      <c r="N226">
        <v>0.432</v>
      </c>
      <c r="O226">
        <v>0</v>
      </c>
      <c r="P226" t="b">
        <f t="shared" si="7"/>
        <v>0</v>
      </c>
      <c r="Q226" t="str">
        <f t="shared" si="6"/>
        <v>Positive</v>
      </c>
    </row>
    <row r="227" spans="1:17" x14ac:dyDescent="0.3">
      <c r="A227" t="s">
        <v>463</v>
      </c>
      <c r="B227" t="s">
        <v>16</v>
      </c>
      <c r="C227" t="s">
        <v>28</v>
      </c>
      <c r="D227" t="s">
        <v>33</v>
      </c>
      <c r="E227" t="s">
        <v>51</v>
      </c>
      <c r="F227" t="s">
        <v>46</v>
      </c>
      <c r="G227" s="1">
        <v>45515</v>
      </c>
      <c r="H227" t="s">
        <v>464</v>
      </c>
      <c r="I227">
        <v>1956450</v>
      </c>
      <c r="J227">
        <v>130430</v>
      </c>
      <c r="K227">
        <v>34889</v>
      </c>
      <c r="L227">
        <v>71316</v>
      </c>
      <c r="M227">
        <v>0.121</v>
      </c>
      <c r="N227">
        <v>0.91800000000000004</v>
      </c>
      <c r="O227">
        <v>0</v>
      </c>
      <c r="P227" t="b">
        <f t="shared" si="7"/>
        <v>0</v>
      </c>
      <c r="Q227" t="str">
        <f t="shared" si="6"/>
        <v>Positive</v>
      </c>
    </row>
    <row r="228" spans="1:17" x14ac:dyDescent="0.3">
      <c r="A228" t="s">
        <v>465</v>
      </c>
      <c r="B228" t="s">
        <v>16</v>
      </c>
      <c r="C228" t="s">
        <v>17</v>
      </c>
      <c r="D228" t="s">
        <v>29</v>
      </c>
      <c r="E228" t="s">
        <v>38</v>
      </c>
      <c r="F228" t="s">
        <v>55</v>
      </c>
      <c r="G228" s="1">
        <v>45531</v>
      </c>
      <c r="H228" t="s">
        <v>466</v>
      </c>
      <c r="I228">
        <v>2063475</v>
      </c>
      <c r="J228">
        <v>76425</v>
      </c>
      <c r="K228">
        <v>44170</v>
      </c>
      <c r="L228">
        <v>13000</v>
      </c>
      <c r="M228">
        <v>6.4699999999999994E-2</v>
      </c>
      <c r="N228">
        <v>-7.5999999999999998E-2</v>
      </c>
      <c r="O228">
        <v>1</v>
      </c>
      <c r="P228" t="b">
        <f t="shared" si="7"/>
        <v>1</v>
      </c>
      <c r="Q228" t="str">
        <f t="shared" si="6"/>
        <v>Negative</v>
      </c>
    </row>
    <row r="229" spans="1:17" x14ac:dyDescent="0.3">
      <c r="A229" t="s">
        <v>467</v>
      </c>
      <c r="B229" t="s">
        <v>66</v>
      </c>
      <c r="C229" t="s">
        <v>61</v>
      </c>
      <c r="D229" t="s">
        <v>18</v>
      </c>
      <c r="E229" t="s">
        <v>19</v>
      </c>
      <c r="F229" t="s">
        <v>46</v>
      </c>
      <c r="G229" s="1">
        <v>45598</v>
      </c>
      <c r="H229" t="s">
        <v>468</v>
      </c>
      <c r="I229">
        <v>1295009</v>
      </c>
      <c r="J229">
        <v>76177</v>
      </c>
      <c r="K229">
        <v>24943</v>
      </c>
      <c r="L229">
        <v>2444</v>
      </c>
      <c r="M229">
        <v>0.08</v>
      </c>
      <c r="N229">
        <v>-0.72199999999999998</v>
      </c>
      <c r="O229">
        <v>0</v>
      </c>
      <c r="P229" t="b">
        <f t="shared" si="7"/>
        <v>0</v>
      </c>
      <c r="Q229" t="str">
        <f t="shared" si="6"/>
        <v>Negative</v>
      </c>
    </row>
    <row r="230" spans="1:17" x14ac:dyDescent="0.3">
      <c r="A230" t="s">
        <v>469</v>
      </c>
      <c r="B230" t="s">
        <v>27</v>
      </c>
      <c r="C230" t="s">
        <v>17</v>
      </c>
      <c r="D230" t="s">
        <v>37</v>
      </c>
      <c r="E230" t="s">
        <v>51</v>
      </c>
      <c r="F230" t="s">
        <v>24</v>
      </c>
      <c r="G230" s="1">
        <v>45373</v>
      </c>
      <c r="H230" t="s">
        <v>470</v>
      </c>
      <c r="I230">
        <v>7068399</v>
      </c>
      <c r="J230">
        <v>372021</v>
      </c>
      <c r="K230">
        <v>17373</v>
      </c>
      <c r="L230">
        <v>15329</v>
      </c>
      <c r="M230">
        <v>5.7299999999999997E-2</v>
      </c>
      <c r="N230">
        <v>0.45200000000000001</v>
      </c>
      <c r="O230">
        <v>1</v>
      </c>
      <c r="P230" t="b">
        <f t="shared" si="7"/>
        <v>1</v>
      </c>
      <c r="Q230" t="str">
        <f t="shared" si="6"/>
        <v>Positive</v>
      </c>
    </row>
    <row r="231" spans="1:17" x14ac:dyDescent="0.3">
      <c r="A231" t="s">
        <v>471</v>
      </c>
      <c r="B231" t="s">
        <v>27</v>
      </c>
      <c r="C231" t="s">
        <v>17</v>
      </c>
      <c r="D231" t="s">
        <v>29</v>
      </c>
      <c r="E231" t="s">
        <v>51</v>
      </c>
      <c r="F231" t="s">
        <v>20</v>
      </c>
      <c r="G231" s="1">
        <v>45657</v>
      </c>
      <c r="H231" t="s">
        <v>472</v>
      </c>
      <c r="I231">
        <v>2316400</v>
      </c>
      <c r="J231">
        <v>289550</v>
      </c>
      <c r="K231">
        <v>19920</v>
      </c>
      <c r="L231">
        <v>39916</v>
      </c>
      <c r="M231">
        <v>0.15079999999999999</v>
      </c>
      <c r="N231">
        <v>0.83799999999999997</v>
      </c>
      <c r="O231">
        <v>1</v>
      </c>
      <c r="P231" t="b">
        <f t="shared" si="7"/>
        <v>1</v>
      </c>
      <c r="Q231" t="str">
        <f t="shared" si="6"/>
        <v>Positive</v>
      </c>
    </row>
    <row r="232" spans="1:17" x14ac:dyDescent="0.3">
      <c r="A232" t="s">
        <v>473</v>
      </c>
      <c r="B232" t="s">
        <v>66</v>
      </c>
      <c r="C232" t="s">
        <v>23</v>
      </c>
      <c r="D232" t="s">
        <v>18</v>
      </c>
      <c r="E232" t="s">
        <v>38</v>
      </c>
      <c r="F232" t="s">
        <v>34</v>
      </c>
      <c r="G232" s="1">
        <v>45369</v>
      </c>
      <c r="H232" t="s">
        <v>474</v>
      </c>
      <c r="I232">
        <v>2741424</v>
      </c>
      <c r="J232">
        <v>195816</v>
      </c>
      <c r="K232">
        <v>38732</v>
      </c>
      <c r="L232">
        <v>127</v>
      </c>
      <c r="M232">
        <v>8.5599999999999996E-2</v>
      </c>
      <c r="N232">
        <v>0.54200000000000004</v>
      </c>
      <c r="O232">
        <v>1</v>
      </c>
      <c r="P232" t="b">
        <f t="shared" si="7"/>
        <v>1</v>
      </c>
      <c r="Q232" t="str">
        <f t="shared" si="6"/>
        <v>Positive</v>
      </c>
    </row>
    <row r="233" spans="1:17" x14ac:dyDescent="0.3">
      <c r="A233" t="s">
        <v>475</v>
      </c>
      <c r="B233" t="s">
        <v>16</v>
      </c>
      <c r="C233" t="s">
        <v>17</v>
      </c>
      <c r="D233" t="s">
        <v>73</v>
      </c>
      <c r="E233" t="s">
        <v>19</v>
      </c>
      <c r="F233" t="s">
        <v>46</v>
      </c>
      <c r="G233" s="1">
        <v>45614</v>
      </c>
      <c r="H233" t="s">
        <v>476</v>
      </c>
      <c r="I233">
        <v>5108532</v>
      </c>
      <c r="J233">
        <v>196482</v>
      </c>
      <c r="K233">
        <v>44414</v>
      </c>
      <c r="L233">
        <v>55177</v>
      </c>
      <c r="M233">
        <v>5.8000000000000003E-2</v>
      </c>
      <c r="N233">
        <v>-0.84499999999999997</v>
      </c>
      <c r="O233">
        <v>1</v>
      </c>
      <c r="P233" t="b">
        <f t="shared" si="7"/>
        <v>1</v>
      </c>
      <c r="Q233" t="str">
        <f t="shared" si="6"/>
        <v>Negative</v>
      </c>
    </row>
    <row r="234" spans="1:17" x14ac:dyDescent="0.3">
      <c r="A234" t="s">
        <v>477</v>
      </c>
      <c r="B234" t="s">
        <v>32</v>
      </c>
      <c r="C234" t="s">
        <v>23</v>
      </c>
      <c r="D234" t="s">
        <v>73</v>
      </c>
      <c r="E234" t="s">
        <v>41</v>
      </c>
      <c r="F234" t="s">
        <v>34</v>
      </c>
      <c r="G234" s="1">
        <v>45415</v>
      </c>
      <c r="H234" t="s">
        <v>478</v>
      </c>
      <c r="I234">
        <v>2632485</v>
      </c>
      <c r="J234">
        <v>175499</v>
      </c>
      <c r="K234">
        <v>3373</v>
      </c>
      <c r="L234">
        <v>3798</v>
      </c>
      <c r="M234">
        <v>6.9400000000000003E-2</v>
      </c>
      <c r="N234">
        <v>-9.8000000000000004E-2</v>
      </c>
      <c r="O234">
        <v>1</v>
      </c>
      <c r="P234" t="b">
        <f t="shared" si="7"/>
        <v>1</v>
      </c>
      <c r="Q234" t="str">
        <f t="shared" si="6"/>
        <v>Negative</v>
      </c>
    </row>
    <row r="235" spans="1:17" x14ac:dyDescent="0.3">
      <c r="A235" t="s">
        <v>479</v>
      </c>
      <c r="B235" t="s">
        <v>16</v>
      </c>
      <c r="C235" t="s">
        <v>23</v>
      </c>
      <c r="D235" t="s">
        <v>33</v>
      </c>
      <c r="E235" t="s">
        <v>58</v>
      </c>
      <c r="F235" t="s">
        <v>24</v>
      </c>
      <c r="G235" s="1">
        <v>45618</v>
      </c>
      <c r="H235" t="s">
        <v>447</v>
      </c>
      <c r="I235">
        <v>6098994</v>
      </c>
      <c r="J235">
        <v>338833</v>
      </c>
      <c r="K235">
        <v>22121</v>
      </c>
      <c r="L235">
        <v>36245</v>
      </c>
      <c r="M235">
        <v>6.5100000000000005E-2</v>
      </c>
      <c r="N235">
        <v>-0.627</v>
      </c>
      <c r="O235">
        <v>1</v>
      </c>
      <c r="P235" t="b">
        <f t="shared" si="7"/>
        <v>1</v>
      </c>
      <c r="Q235" t="str">
        <f t="shared" si="6"/>
        <v>Negative</v>
      </c>
    </row>
    <row r="236" spans="1:17" x14ac:dyDescent="0.3">
      <c r="A236" t="s">
        <v>480</v>
      </c>
      <c r="B236" t="s">
        <v>66</v>
      </c>
      <c r="C236" t="s">
        <v>61</v>
      </c>
      <c r="D236" t="s">
        <v>54</v>
      </c>
      <c r="E236" t="s">
        <v>58</v>
      </c>
      <c r="F236" t="s">
        <v>34</v>
      </c>
      <c r="G236" s="1">
        <v>45561</v>
      </c>
      <c r="H236" t="s">
        <v>434</v>
      </c>
      <c r="I236">
        <v>10258974</v>
      </c>
      <c r="J236">
        <v>379962</v>
      </c>
      <c r="K236">
        <v>19261</v>
      </c>
      <c r="L236">
        <v>53174</v>
      </c>
      <c r="M236">
        <v>4.41E-2</v>
      </c>
      <c r="N236">
        <v>-0.54500000000000004</v>
      </c>
      <c r="O236">
        <v>1</v>
      </c>
      <c r="P236" t="b">
        <f t="shared" si="7"/>
        <v>1</v>
      </c>
      <c r="Q236" t="str">
        <f t="shared" si="6"/>
        <v>Negative</v>
      </c>
    </row>
    <row r="237" spans="1:17" x14ac:dyDescent="0.3">
      <c r="A237" t="s">
        <v>481</v>
      </c>
      <c r="B237" t="s">
        <v>27</v>
      </c>
      <c r="C237" t="s">
        <v>17</v>
      </c>
      <c r="D237" t="s">
        <v>37</v>
      </c>
      <c r="E237" t="s">
        <v>41</v>
      </c>
      <c r="F237" t="s">
        <v>20</v>
      </c>
      <c r="G237" s="1">
        <v>45294</v>
      </c>
      <c r="H237" t="s">
        <v>482</v>
      </c>
      <c r="I237">
        <v>5936970</v>
      </c>
      <c r="J237">
        <v>456690</v>
      </c>
      <c r="K237">
        <v>2713</v>
      </c>
      <c r="L237">
        <v>11695</v>
      </c>
      <c r="M237">
        <v>7.9299999999999995E-2</v>
      </c>
      <c r="N237">
        <v>0.48799999999999999</v>
      </c>
      <c r="O237">
        <v>1</v>
      </c>
      <c r="P237" t="b">
        <f t="shared" si="7"/>
        <v>1</v>
      </c>
      <c r="Q237" t="str">
        <f t="shared" si="6"/>
        <v>Positive</v>
      </c>
    </row>
    <row r="238" spans="1:17" x14ac:dyDescent="0.3">
      <c r="A238" t="s">
        <v>483</v>
      </c>
      <c r="B238" t="s">
        <v>27</v>
      </c>
      <c r="C238" t="s">
        <v>61</v>
      </c>
      <c r="D238" t="s">
        <v>29</v>
      </c>
      <c r="E238" t="s">
        <v>41</v>
      </c>
      <c r="F238" t="s">
        <v>24</v>
      </c>
      <c r="G238" s="1">
        <v>45310</v>
      </c>
      <c r="H238" t="s">
        <v>484</v>
      </c>
      <c r="I238">
        <v>749385</v>
      </c>
      <c r="J238">
        <v>57645</v>
      </c>
      <c r="K238">
        <v>39229</v>
      </c>
      <c r="L238">
        <v>97946</v>
      </c>
      <c r="M238">
        <v>0.26</v>
      </c>
      <c r="N238">
        <v>-0.77100000000000002</v>
      </c>
      <c r="O238">
        <v>0</v>
      </c>
      <c r="P238" t="b">
        <f t="shared" si="7"/>
        <v>0</v>
      </c>
      <c r="Q238" t="str">
        <f t="shared" si="6"/>
        <v>Negative</v>
      </c>
    </row>
    <row r="239" spans="1:17" x14ac:dyDescent="0.3">
      <c r="A239" t="s">
        <v>485</v>
      </c>
      <c r="B239" t="s">
        <v>16</v>
      </c>
      <c r="C239" t="s">
        <v>28</v>
      </c>
      <c r="D239" t="s">
        <v>54</v>
      </c>
      <c r="E239" t="s">
        <v>51</v>
      </c>
      <c r="F239" t="s">
        <v>24</v>
      </c>
      <c r="G239" s="1">
        <v>45336</v>
      </c>
      <c r="H239" t="s">
        <v>486</v>
      </c>
      <c r="I239">
        <v>4889625</v>
      </c>
      <c r="J239">
        <v>325975</v>
      </c>
      <c r="K239">
        <v>49693</v>
      </c>
      <c r="L239">
        <v>99930</v>
      </c>
      <c r="M239">
        <v>9.7299999999999998E-2</v>
      </c>
      <c r="N239">
        <v>0.84599999999999997</v>
      </c>
      <c r="O239">
        <v>1</v>
      </c>
      <c r="P239" t="b">
        <f t="shared" si="7"/>
        <v>1</v>
      </c>
      <c r="Q239" t="str">
        <f t="shared" si="6"/>
        <v>Positive</v>
      </c>
    </row>
    <row r="240" spans="1:17" x14ac:dyDescent="0.3">
      <c r="A240" t="s">
        <v>487</v>
      </c>
      <c r="B240" t="s">
        <v>27</v>
      </c>
      <c r="C240" t="s">
        <v>28</v>
      </c>
      <c r="D240" t="s">
        <v>54</v>
      </c>
      <c r="E240" t="s">
        <v>19</v>
      </c>
      <c r="F240" t="s">
        <v>34</v>
      </c>
      <c r="G240" s="1">
        <v>45308</v>
      </c>
      <c r="H240" t="s">
        <v>488</v>
      </c>
      <c r="I240">
        <v>171570</v>
      </c>
      <c r="J240">
        <v>8170</v>
      </c>
      <c r="K240">
        <v>8671</v>
      </c>
      <c r="L240">
        <v>57762</v>
      </c>
      <c r="M240">
        <v>0.43480000000000002</v>
      </c>
      <c r="N240">
        <v>0.17399999999999999</v>
      </c>
      <c r="O240">
        <v>0</v>
      </c>
      <c r="P240" t="b">
        <f t="shared" si="7"/>
        <v>0</v>
      </c>
      <c r="Q240" t="str">
        <f t="shared" si="6"/>
        <v>Positive</v>
      </c>
    </row>
    <row r="241" spans="1:17" x14ac:dyDescent="0.3">
      <c r="A241" t="s">
        <v>489</v>
      </c>
      <c r="B241" t="s">
        <v>16</v>
      </c>
      <c r="C241" t="s">
        <v>61</v>
      </c>
      <c r="D241" t="s">
        <v>54</v>
      </c>
      <c r="E241" t="s">
        <v>38</v>
      </c>
      <c r="F241" t="s">
        <v>20</v>
      </c>
      <c r="G241" s="1">
        <v>45373</v>
      </c>
      <c r="H241" t="s">
        <v>490</v>
      </c>
      <c r="I241">
        <v>1092364</v>
      </c>
      <c r="J241">
        <v>42014</v>
      </c>
      <c r="K241">
        <v>4976</v>
      </c>
      <c r="L241">
        <v>79027</v>
      </c>
      <c r="M241">
        <v>0.1154</v>
      </c>
      <c r="N241">
        <v>-0.64700000000000002</v>
      </c>
      <c r="O241">
        <v>0</v>
      </c>
      <c r="P241" t="b">
        <f t="shared" si="7"/>
        <v>0</v>
      </c>
      <c r="Q241" t="str">
        <f t="shared" si="6"/>
        <v>Negative</v>
      </c>
    </row>
    <row r="242" spans="1:17" x14ac:dyDescent="0.3">
      <c r="A242" t="s">
        <v>491</v>
      </c>
      <c r="B242" t="s">
        <v>27</v>
      </c>
      <c r="C242" t="s">
        <v>23</v>
      </c>
      <c r="D242" t="s">
        <v>54</v>
      </c>
      <c r="E242" t="s">
        <v>19</v>
      </c>
      <c r="F242" t="s">
        <v>46</v>
      </c>
      <c r="G242" s="1">
        <v>45443</v>
      </c>
      <c r="H242" t="s">
        <v>492</v>
      </c>
      <c r="I242">
        <v>8244250</v>
      </c>
      <c r="J242">
        <v>329770</v>
      </c>
      <c r="K242">
        <v>5304</v>
      </c>
      <c r="L242">
        <v>45766</v>
      </c>
      <c r="M242">
        <v>4.6199999999999998E-2</v>
      </c>
      <c r="N242">
        <v>0.83</v>
      </c>
      <c r="O242">
        <v>1</v>
      </c>
      <c r="P242" t="b">
        <f t="shared" si="7"/>
        <v>1</v>
      </c>
      <c r="Q242" t="str">
        <f t="shared" si="6"/>
        <v>Positive</v>
      </c>
    </row>
    <row r="243" spans="1:17" x14ac:dyDescent="0.3">
      <c r="A243" t="s">
        <v>493</v>
      </c>
      <c r="B243" t="s">
        <v>16</v>
      </c>
      <c r="C243" t="s">
        <v>61</v>
      </c>
      <c r="D243" t="s">
        <v>54</v>
      </c>
      <c r="E243" t="s">
        <v>19</v>
      </c>
      <c r="F243" t="s">
        <v>24</v>
      </c>
      <c r="G243" s="1">
        <v>45318</v>
      </c>
      <c r="H243" t="s">
        <v>494</v>
      </c>
      <c r="I243">
        <v>5748780</v>
      </c>
      <c r="J243">
        <v>383252</v>
      </c>
      <c r="K243">
        <v>37153</v>
      </c>
      <c r="L243">
        <v>94271</v>
      </c>
      <c r="M243">
        <v>8.9499999999999996E-2</v>
      </c>
      <c r="N243">
        <v>0.26500000000000001</v>
      </c>
      <c r="O243">
        <v>1</v>
      </c>
      <c r="P243" t="b">
        <f t="shared" si="7"/>
        <v>1</v>
      </c>
      <c r="Q243" t="str">
        <f t="shared" si="6"/>
        <v>Positive</v>
      </c>
    </row>
    <row r="244" spans="1:17" x14ac:dyDescent="0.3">
      <c r="A244" t="s">
        <v>495</v>
      </c>
      <c r="B244" t="s">
        <v>66</v>
      </c>
      <c r="C244" t="s">
        <v>17</v>
      </c>
      <c r="D244" t="s">
        <v>18</v>
      </c>
      <c r="E244" t="s">
        <v>51</v>
      </c>
      <c r="F244" t="s">
        <v>46</v>
      </c>
      <c r="G244" s="1">
        <v>45354</v>
      </c>
      <c r="H244" t="s">
        <v>453</v>
      </c>
      <c r="I244">
        <v>1557237</v>
      </c>
      <c r="J244">
        <v>141567</v>
      </c>
      <c r="K244">
        <v>16246</v>
      </c>
      <c r="L244">
        <v>27697</v>
      </c>
      <c r="M244">
        <v>0.1191</v>
      </c>
      <c r="N244">
        <v>0.95099999999999996</v>
      </c>
      <c r="O244">
        <v>0</v>
      </c>
      <c r="P244" t="b">
        <f t="shared" si="7"/>
        <v>0</v>
      </c>
      <c r="Q244" t="str">
        <f t="shared" si="6"/>
        <v>Positive</v>
      </c>
    </row>
    <row r="245" spans="1:17" x14ac:dyDescent="0.3">
      <c r="A245" t="s">
        <v>496</v>
      </c>
      <c r="B245" t="s">
        <v>16</v>
      </c>
      <c r="C245" t="s">
        <v>28</v>
      </c>
      <c r="D245" t="s">
        <v>18</v>
      </c>
      <c r="E245" t="s">
        <v>38</v>
      </c>
      <c r="F245" t="s">
        <v>46</v>
      </c>
      <c r="G245" s="1">
        <v>45312</v>
      </c>
      <c r="H245" t="s">
        <v>497</v>
      </c>
      <c r="I245">
        <v>517816</v>
      </c>
      <c r="J245">
        <v>19916</v>
      </c>
      <c r="K245">
        <v>49845</v>
      </c>
      <c r="L245">
        <v>52854</v>
      </c>
      <c r="M245">
        <v>0.23680000000000001</v>
      </c>
      <c r="N245">
        <v>-0.82899999999999996</v>
      </c>
      <c r="O245">
        <v>0</v>
      </c>
      <c r="P245" t="b">
        <f t="shared" si="7"/>
        <v>0</v>
      </c>
      <c r="Q245" t="str">
        <f t="shared" si="6"/>
        <v>Negative</v>
      </c>
    </row>
    <row r="246" spans="1:17" x14ac:dyDescent="0.3">
      <c r="A246" t="s">
        <v>498</v>
      </c>
      <c r="B246" t="s">
        <v>27</v>
      </c>
      <c r="C246" t="s">
        <v>61</v>
      </c>
      <c r="D246" t="s">
        <v>54</v>
      </c>
      <c r="E246" t="s">
        <v>41</v>
      </c>
      <c r="F246" t="s">
        <v>24</v>
      </c>
      <c r="G246" s="1">
        <v>45425</v>
      </c>
      <c r="H246" t="s">
        <v>499</v>
      </c>
      <c r="I246">
        <v>3512608</v>
      </c>
      <c r="J246">
        <v>206624</v>
      </c>
      <c r="K246">
        <v>20811</v>
      </c>
      <c r="L246">
        <v>75521</v>
      </c>
      <c r="M246">
        <v>8.6199999999999999E-2</v>
      </c>
      <c r="N246">
        <v>-0.20499999999999999</v>
      </c>
      <c r="O246">
        <v>1</v>
      </c>
      <c r="P246" t="b">
        <f t="shared" si="7"/>
        <v>1</v>
      </c>
      <c r="Q246" t="str">
        <f t="shared" si="6"/>
        <v>Negative</v>
      </c>
    </row>
    <row r="247" spans="1:17" x14ac:dyDescent="0.3">
      <c r="A247" t="s">
        <v>500</v>
      </c>
      <c r="B247" t="s">
        <v>16</v>
      </c>
      <c r="C247" t="s">
        <v>61</v>
      </c>
      <c r="D247" t="s">
        <v>18</v>
      </c>
      <c r="E247" t="s">
        <v>38</v>
      </c>
      <c r="F247" t="s">
        <v>55</v>
      </c>
      <c r="G247" s="1">
        <v>45569</v>
      </c>
      <c r="H247" t="s">
        <v>501</v>
      </c>
      <c r="I247">
        <v>3074042</v>
      </c>
      <c r="J247">
        <v>133654</v>
      </c>
      <c r="K247">
        <v>24447</v>
      </c>
      <c r="L247">
        <v>33720</v>
      </c>
      <c r="M247">
        <v>6.2399999999999997E-2</v>
      </c>
      <c r="N247">
        <v>-0.30099999999999999</v>
      </c>
      <c r="O247">
        <v>1</v>
      </c>
      <c r="P247" t="b">
        <f t="shared" si="7"/>
        <v>1</v>
      </c>
      <c r="Q247" t="str">
        <f t="shared" si="6"/>
        <v>Negative</v>
      </c>
    </row>
    <row r="248" spans="1:17" x14ac:dyDescent="0.3">
      <c r="A248" t="s">
        <v>502</v>
      </c>
      <c r="B248" t="s">
        <v>27</v>
      </c>
      <c r="C248" t="s">
        <v>23</v>
      </c>
      <c r="D248" t="s">
        <v>54</v>
      </c>
      <c r="E248" t="s">
        <v>51</v>
      </c>
      <c r="F248" t="s">
        <v>24</v>
      </c>
      <c r="G248" s="1">
        <v>45575</v>
      </c>
      <c r="H248" t="s">
        <v>503</v>
      </c>
      <c r="I248">
        <v>7920660</v>
      </c>
      <c r="J248">
        <v>396033</v>
      </c>
      <c r="K248">
        <v>27957</v>
      </c>
      <c r="L248">
        <v>86445</v>
      </c>
      <c r="M248">
        <v>6.4399999999999999E-2</v>
      </c>
      <c r="N248">
        <v>0.13</v>
      </c>
      <c r="O248">
        <v>1</v>
      </c>
      <c r="P248" t="b">
        <f t="shared" si="7"/>
        <v>1</v>
      </c>
      <c r="Q248" t="str">
        <f t="shared" si="6"/>
        <v>Positive</v>
      </c>
    </row>
    <row r="249" spans="1:17" x14ac:dyDescent="0.3">
      <c r="A249" t="s">
        <v>504</v>
      </c>
      <c r="B249" t="s">
        <v>16</v>
      </c>
      <c r="C249" t="s">
        <v>61</v>
      </c>
      <c r="D249" t="s">
        <v>54</v>
      </c>
      <c r="E249" t="s">
        <v>41</v>
      </c>
      <c r="F249" t="s">
        <v>34</v>
      </c>
      <c r="G249" s="1">
        <v>45361</v>
      </c>
      <c r="H249" t="s">
        <v>122</v>
      </c>
      <c r="I249">
        <v>3441283</v>
      </c>
      <c r="J249">
        <v>149621</v>
      </c>
      <c r="K249">
        <v>33541</v>
      </c>
      <c r="L249">
        <v>64078</v>
      </c>
      <c r="M249">
        <v>7.1800000000000003E-2</v>
      </c>
      <c r="N249">
        <v>-9.2999999999999999E-2</v>
      </c>
      <c r="O249">
        <v>1</v>
      </c>
      <c r="P249" t="b">
        <f t="shared" si="7"/>
        <v>1</v>
      </c>
      <c r="Q249" t="str">
        <f t="shared" si="6"/>
        <v>Negative</v>
      </c>
    </row>
    <row r="250" spans="1:17" x14ac:dyDescent="0.3">
      <c r="A250" t="s">
        <v>505</v>
      </c>
      <c r="B250" t="s">
        <v>66</v>
      </c>
      <c r="C250" t="s">
        <v>17</v>
      </c>
      <c r="D250" t="s">
        <v>33</v>
      </c>
      <c r="E250" t="s">
        <v>41</v>
      </c>
      <c r="F250" t="s">
        <v>55</v>
      </c>
      <c r="G250" s="1">
        <v>45376</v>
      </c>
      <c r="H250" t="s">
        <v>290</v>
      </c>
      <c r="I250">
        <v>9287982</v>
      </c>
      <c r="J250">
        <v>422181</v>
      </c>
      <c r="K250">
        <v>6650</v>
      </c>
      <c r="L250">
        <v>38001</v>
      </c>
      <c r="M250">
        <v>5.0299999999999997E-2</v>
      </c>
      <c r="N250">
        <v>-6.0000000000000001E-3</v>
      </c>
      <c r="O250">
        <v>1</v>
      </c>
      <c r="P250" t="b">
        <f t="shared" si="7"/>
        <v>1</v>
      </c>
      <c r="Q250" t="str">
        <f t="shared" si="6"/>
        <v>Negative</v>
      </c>
    </row>
    <row r="251" spans="1:17" x14ac:dyDescent="0.3">
      <c r="A251" t="s">
        <v>506</v>
      </c>
      <c r="B251" t="s">
        <v>27</v>
      </c>
      <c r="C251" t="s">
        <v>23</v>
      </c>
      <c r="D251" t="s">
        <v>29</v>
      </c>
      <c r="E251" t="s">
        <v>51</v>
      </c>
      <c r="F251" t="s">
        <v>24</v>
      </c>
      <c r="G251" s="1">
        <v>45611</v>
      </c>
      <c r="H251" t="s">
        <v>507</v>
      </c>
      <c r="I251">
        <v>2931866</v>
      </c>
      <c r="J251">
        <v>418838</v>
      </c>
      <c r="K251">
        <v>12347</v>
      </c>
      <c r="L251">
        <v>40807</v>
      </c>
      <c r="M251">
        <v>0.161</v>
      </c>
      <c r="N251">
        <v>-0.253</v>
      </c>
      <c r="O251">
        <v>1</v>
      </c>
      <c r="P251" t="b">
        <f t="shared" si="7"/>
        <v>1</v>
      </c>
      <c r="Q251" t="str">
        <f t="shared" si="6"/>
        <v>Negative</v>
      </c>
    </row>
    <row r="252" spans="1:17" x14ac:dyDescent="0.3">
      <c r="A252" t="s">
        <v>508</v>
      </c>
      <c r="B252" t="s">
        <v>27</v>
      </c>
      <c r="C252" t="s">
        <v>28</v>
      </c>
      <c r="D252" t="s">
        <v>18</v>
      </c>
      <c r="E252" t="s">
        <v>58</v>
      </c>
      <c r="F252" t="s">
        <v>46</v>
      </c>
      <c r="G252" s="1">
        <v>45548</v>
      </c>
      <c r="H252" t="s">
        <v>509</v>
      </c>
      <c r="I252">
        <v>2465505</v>
      </c>
      <c r="J252">
        <v>493101</v>
      </c>
      <c r="K252">
        <v>10098</v>
      </c>
      <c r="L252">
        <v>52604</v>
      </c>
      <c r="M252">
        <v>0.22539999999999999</v>
      </c>
      <c r="N252">
        <v>-0.94899999999999995</v>
      </c>
      <c r="O252">
        <v>1</v>
      </c>
      <c r="P252" t="b">
        <f t="shared" si="7"/>
        <v>1</v>
      </c>
      <c r="Q252" t="str">
        <f t="shared" si="6"/>
        <v>Negative</v>
      </c>
    </row>
    <row r="253" spans="1:17" x14ac:dyDescent="0.3">
      <c r="A253" t="s">
        <v>510</v>
      </c>
      <c r="B253" t="s">
        <v>16</v>
      </c>
      <c r="C253" t="s">
        <v>17</v>
      </c>
      <c r="D253" t="s">
        <v>18</v>
      </c>
      <c r="E253" t="s">
        <v>19</v>
      </c>
      <c r="F253" t="s">
        <v>46</v>
      </c>
      <c r="G253" s="1">
        <v>45621</v>
      </c>
      <c r="H253" t="s">
        <v>511</v>
      </c>
      <c r="I253">
        <v>1272564</v>
      </c>
      <c r="J253">
        <v>106047</v>
      </c>
      <c r="K253">
        <v>26404</v>
      </c>
      <c r="L253">
        <v>85383</v>
      </c>
      <c r="M253">
        <v>0.17119999999999999</v>
      </c>
      <c r="N253">
        <v>-0.94599999999999995</v>
      </c>
      <c r="O253">
        <v>0</v>
      </c>
      <c r="P253" t="b">
        <f t="shared" si="7"/>
        <v>0</v>
      </c>
      <c r="Q253" t="str">
        <f t="shared" si="6"/>
        <v>Negative</v>
      </c>
    </row>
    <row r="254" spans="1:17" x14ac:dyDescent="0.3">
      <c r="A254" t="s">
        <v>512</v>
      </c>
      <c r="B254" t="s">
        <v>32</v>
      </c>
      <c r="C254" t="s">
        <v>23</v>
      </c>
      <c r="D254" t="s">
        <v>18</v>
      </c>
      <c r="E254" t="s">
        <v>41</v>
      </c>
      <c r="F254" t="s">
        <v>46</v>
      </c>
      <c r="G254" s="1">
        <v>45340</v>
      </c>
      <c r="H254" t="s">
        <v>513</v>
      </c>
      <c r="I254">
        <v>2492472</v>
      </c>
      <c r="J254">
        <v>207706</v>
      </c>
      <c r="K254">
        <v>47068</v>
      </c>
      <c r="L254">
        <v>30679</v>
      </c>
      <c r="M254">
        <v>0.1145</v>
      </c>
      <c r="N254">
        <v>-0.79200000000000004</v>
      </c>
      <c r="O254">
        <v>1</v>
      </c>
      <c r="P254" t="b">
        <f t="shared" si="7"/>
        <v>1</v>
      </c>
      <c r="Q254" t="str">
        <f t="shared" si="6"/>
        <v>Negative</v>
      </c>
    </row>
    <row r="255" spans="1:17" x14ac:dyDescent="0.3">
      <c r="A255" t="s">
        <v>514</v>
      </c>
      <c r="B255" t="s">
        <v>16</v>
      </c>
      <c r="C255" t="s">
        <v>23</v>
      </c>
      <c r="D255" t="s">
        <v>29</v>
      </c>
      <c r="E255" t="s">
        <v>51</v>
      </c>
      <c r="F255" t="s">
        <v>24</v>
      </c>
      <c r="G255" s="1">
        <v>45636</v>
      </c>
      <c r="H255" t="s">
        <v>294</v>
      </c>
      <c r="I255">
        <v>11006558</v>
      </c>
      <c r="J255">
        <v>478546</v>
      </c>
      <c r="K255">
        <v>3305</v>
      </c>
      <c r="L255">
        <v>72259</v>
      </c>
      <c r="M255">
        <v>5.0299999999999997E-2</v>
      </c>
      <c r="N255">
        <v>0.30499999999999999</v>
      </c>
      <c r="O255">
        <v>1</v>
      </c>
      <c r="P255" t="b">
        <f t="shared" si="7"/>
        <v>1</v>
      </c>
      <c r="Q255" t="str">
        <f t="shared" si="6"/>
        <v>Positive</v>
      </c>
    </row>
    <row r="256" spans="1:17" x14ac:dyDescent="0.3">
      <c r="A256" t="s">
        <v>515</v>
      </c>
      <c r="B256" t="s">
        <v>32</v>
      </c>
      <c r="C256" t="s">
        <v>17</v>
      </c>
      <c r="D256" t="s">
        <v>54</v>
      </c>
      <c r="E256" t="s">
        <v>51</v>
      </c>
      <c r="F256" t="s">
        <v>34</v>
      </c>
      <c r="G256" s="1">
        <v>45631</v>
      </c>
      <c r="H256" t="s">
        <v>516</v>
      </c>
      <c r="I256">
        <v>710206</v>
      </c>
      <c r="J256">
        <v>101458</v>
      </c>
      <c r="K256">
        <v>13580</v>
      </c>
      <c r="L256">
        <v>64930</v>
      </c>
      <c r="M256">
        <v>0.25340000000000001</v>
      </c>
      <c r="N256">
        <v>-0.51400000000000001</v>
      </c>
      <c r="O256">
        <v>0</v>
      </c>
      <c r="P256" t="b">
        <f t="shared" si="7"/>
        <v>0</v>
      </c>
      <c r="Q256" t="str">
        <f t="shared" si="6"/>
        <v>Negative</v>
      </c>
    </row>
    <row r="257" spans="1:17" x14ac:dyDescent="0.3">
      <c r="A257" t="s">
        <v>517</v>
      </c>
      <c r="B257" t="s">
        <v>16</v>
      </c>
      <c r="C257" t="s">
        <v>61</v>
      </c>
      <c r="D257" t="s">
        <v>54</v>
      </c>
      <c r="E257" t="s">
        <v>38</v>
      </c>
      <c r="F257" t="s">
        <v>24</v>
      </c>
      <c r="G257" s="1">
        <v>45547</v>
      </c>
      <c r="H257" t="s">
        <v>518</v>
      </c>
      <c r="I257">
        <v>7652466</v>
      </c>
      <c r="J257">
        <v>425137</v>
      </c>
      <c r="K257">
        <v>9508</v>
      </c>
      <c r="L257">
        <v>60536</v>
      </c>
      <c r="M257">
        <v>6.4699999999999994E-2</v>
      </c>
      <c r="N257">
        <v>0.66</v>
      </c>
      <c r="O257">
        <v>1</v>
      </c>
      <c r="P257" t="b">
        <f t="shared" si="7"/>
        <v>1</v>
      </c>
      <c r="Q257" t="str">
        <f t="shared" si="6"/>
        <v>Positive</v>
      </c>
    </row>
    <row r="258" spans="1:17" x14ac:dyDescent="0.3">
      <c r="A258" t="s">
        <v>519</v>
      </c>
      <c r="B258" t="s">
        <v>32</v>
      </c>
      <c r="C258" t="s">
        <v>28</v>
      </c>
      <c r="D258" t="s">
        <v>37</v>
      </c>
      <c r="E258" t="s">
        <v>58</v>
      </c>
      <c r="F258" t="s">
        <v>55</v>
      </c>
      <c r="G258" s="1">
        <v>45329</v>
      </c>
      <c r="H258" t="s">
        <v>78</v>
      </c>
      <c r="I258">
        <v>10299933</v>
      </c>
      <c r="J258">
        <v>381479</v>
      </c>
      <c r="K258">
        <v>41129</v>
      </c>
      <c r="L258">
        <v>86926</v>
      </c>
      <c r="M258">
        <v>4.9500000000000002E-2</v>
      </c>
      <c r="N258">
        <v>0.79300000000000004</v>
      </c>
      <c r="O258">
        <v>1</v>
      </c>
      <c r="P258" t="b">
        <f t="shared" si="7"/>
        <v>1</v>
      </c>
      <c r="Q258" t="str">
        <f t="shared" ref="Q258:Q321" si="8">IF(N258&gt;0,"Positive","Negative")</f>
        <v>Positive</v>
      </c>
    </row>
    <row r="259" spans="1:17" x14ac:dyDescent="0.3">
      <c r="A259" t="s">
        <v>520</v>
      </c>
      <c r="B259" t="s">
        <v>32</v>
      </c>
      <c r="C259" t="s">
        <v>23</v>
      </c>
      <c r="D259" t="s">
        <v>54</v>
      </c>
      <c r="E259" t="s">
        <v>38</v>
      </c>
      <c r="F259" t="s">
        <v>46</v>
      </c>
      <c r="G259" s="1">
        <v>45481</v>
      </c>
      <c r="H259" t="s">
        <v>521</v>
      </c>
      <c r="I259">
        <v>7246638</v>
      </c>
      <c r="J259">
        <v>268394</v>
      </c>
      <c r="K259">
        <v>4430</v>
      </c>
      <c r="L259">
        <v>16033</v>
      </c>
      <c r="M259">
        <v>3.9899999999999998E-2</v>
      </c>
      <c r="N259">
        <v>0.69599999999999995</v>
      </c>
      <c r="O259">
        <v>1</v>
      </c>
      <c r="P259" t="b">
        <f t="shared" ref="P259:P322" si="9">IF(O259=1,TRUE,FALSE)</f>
        <v>1</v>
      </c>
      <c r="Q259" t="str">
        <f t="shared" si="8"/>
        <v>Positive</v>
      </c>
    </row>
    <row r="260" spans="1:17" x14ac:dyDescent="0.3">
      <c r="A260" t="s">
        <v>522</v>
      </c>
      <c r="B260" t="s">
        <v>32</v>
      </c>
      <c r="C260" t="s">
        <v>17</v>
      </c>
      <c r="D260" t="s">
        <v>18</v>
      </c>
      <c r="E260" t="s">
        <v>51</v>
      </c>
      <c r="F260" t="s">
        <v>24</v>
      </c>
      <c r="G260" s="1">
        <v>45603</v>
      </c>
      <c r="H260" t="s">
        <v>523</v>
      </c>
      <c r="I260">
        <v>3307160</v>
      </c>
      <c r="J260">
        <v>413395</v>
      </c>
      <c r="K260">
        <v>36225</v>
      </c>
      <c r="L260">
        <v>41875</v>
      </c>
      <c r="M260">
        <v>0.14860000000000001</v>
      </c>
      <c r="N260">
        <v>0.28599999999999998</v>
      </c>
      <c r="O260">
        <v>1</v>
      </c>
      <c r="P260" t="b">
        <f t="shared" si="9"/>
        <v>1</v>
      </c>
      <c r="Q260" t="str">
        <f t="shared" si="8"/>
        <v>Positive</v>
      </c>
    </row>
    <row r="261" spans="1:17" x14ac:dyDescent="0.3">
      <c r="A261" t="s">
        <v>524</v>
      </c>
      <c r="B261" t="s">
        <v>32</v>
      </c>
      <c r="C261" t="s">
        <v>23</v>
      </c>
      <c r="D261" t="s">
        <v>33</v>
      </c>
      <c r="E261" t="s">
        <v>41</v>
      </c>
      <c r="F261" t="s">
        <v>34</v>
      </c>
      <c r="G261" s="1">
        <v>45439</v>
      </c>
      <c r="H261" t="s">
        <v>525</v>
      </c>
      <c r="I261">
        <v>7241071</v>
      </c>
      <c r="J261">
        <v>381109</v>
      </c>
      <c r="K261">
        <v>8710</v>
      </c>
      <c r="L261">
        <v>42881</v>
      </c>
      <c r="M261">
        <v>5.9799999999999999E-2</v>
      </c>
      <c r="N261">
        <v>0.25</v>
      </c>
      <c r="O261">
        <v>1</v>
      </c>
      <c r="P261" t="b">
        <f t="shared" si="9"/>
        <v>1</v>
      </c>
      <c r="Q261" t="str">
        <f t="shared" si="8"/>
        <v>Positive</v>
      </c>
    </row>
    <row r="262" spans="1:17" x14ac:dyDescent="0.3">
      <c r="A262" t="s">
        <v>526</v>
      </c>
      <c r="B262" t="s">
        <v>16</v>
      </c>
      <c r="C262" t="s">
        <v>23</v>
      </c>
      <c r="D262" t="s">
        <v>37</v>
      </c>
      <c r="E262" t="s">
        <v>41</v>
      </c>
      <c r="F262" t="s">
        <v>34</v>
      </c>
      <c r="G262" s="1">
        <v>45479</v>
      </c>
      <c r="H262" t="s">
        <v>527</v>
      </c>
      <c r="I262">
        <v>1300116</v>
      </c>
      <c r="J262">
        <v>216686</v>
      </c>
      <c r="K262">
        <v>37614</v>
      </c>
      <c r="L262">
        <v>15359</v>
      </c>
      <c r="M262">
        <v>0.2074</v>
      </c>
      <c r="N262">
        <v>-0.27400000000000002</v>
      </c>
      <c r="O262">
        <v>0</v>
      </c>
      <c r="P262" t="b">
        <f t="shared" si="9"/>
        <v>0</v>
      </c>
      <c r="Q262" t="str">
        <f t="shared" si="8"/>
        <v>Negative</v>
      </c>
    </row>
    <row r="263" spans="1:17" x14ac:dyDescent="0.3">
      <c r="A263" t="s">
        <v>528</v>
      </c>
      <c r="B263" t="s">
        <v>66</v>
      </c>
      <c r="C263" t="s">
        <v>61</v>
      </c>
      <c r="D263" t="s">
        <v>33</v>
      </c>
      <c r="E263" t="s">
        <v>19</v>
      </c>
      <c r="F263" t="s">
        <v>20</v>
      </c>
      <c r="G263" s="1">
        <v>45518</v>
      </c>
      <c r="H263" t="s">
        <v>298</v>
      </c>
      <c r="I263">
        <v>2080900</v>
      </c>
      <c r="J263">
        <v>208090</v>
      </c>
      <c r="K263">
        <v>14601</v>
      </c>
      <c r="L263">
        <v>33573</v>
      </c>
      <c r="M263">
        <v>0.1232</v>
      </c>
      <c r="N263">
        <v>0.54800000000000004</v>
      </c>
      <c r="O263">
        <v>1</v>
      </c>
      <c r="P263" t="b">
        <f t="shared" si="9"/>
        <v>1</v>
      </c>
      <c r="Q263" t="str">
        <f t="shared" si="8"/>
        <v>Positive</v>
      </c>
    </row>
    <row r="264" spans="1:17" x14ac:dyDescent="0.3">
      <c r="A264" t="s">
        <v>529</v>
      </c>
      <c r="B264" t="s">
        <v>16</v>
      </c>
      <c r="C264" t="s">
        <v>61</v>
      </c>
      <c r="D264" t="s">
        <v>29</v>
      </c>
      <c r="E264" t="s">
        <v>38</v>
      </c>
      <c r="F264" t="s">
        <v>55</v>
      </c>
      <c r="G264" s="1">
        <v>45640</v>
      </c>
      <c r="H264" t="s">
        <v>340</v>
      </c>
      <c r="I264">
        <v>10464720</v>
      </c>
      <c r="J264">
        <v>373740</v>
      </c>
      <c r="K264">
        <v>7088</v>
      </c>
      <c r="L264">
        <v>17772</v>
      </c>
      <c r="M264">
        <v>3.8100000000000002E-2</v>
      </c>
      <c r="N264">
        <v>-0.77200000000000002</v>
      </c>
      <c r="O264">
        <v>1</v>
      </c>
      <c r="P264" t="b">
        <f t="shared" si="9"/>
        <v>1</v>
      </c>
      <c r="Q264" t="str">
        <f t="shared" si="8"/>
        <v>Negative</v>
      </c>
    </row>
    <row r="265" spans="1:17" x14ac:dyDescent="0.3">
      <c r="A265" t="s">
        <v>530</v>
      </c>
      <c r="B265" t="s">
        <v>66</v>
      </c>
      <c r="C265" t="s">
        <v>28</v>
      </c>
      <c r="D265" t="s">
        <v>73</v>
      </c>
      <c r="E265" t="s">
        <v>51</v>
      </c>
      <c r="F265" t="s">
        <v>34</v>
      </c>
      <c r="G265" s="1">
        <v>45595</v>
      </c>
      <c r="H265" t="s">
        <v>531</v>
      </c>
      <c r="I265">
        <v>7948818</v>
      </c>
      <c r="J265">
        <v>441601</v>
      </c>
      <c r="K265">
        <v>19068</v>
      </c>
      <c r="L265">
        <v>67643</v>
      </c>
      <c r="M265">
        <v>6.6500000000000004E-2</v>
      </c>
      <c r="N265">
        <v>-5.8000000000000003E-2</v>
      </c>
      <c r="O265">
        <v>1</v>
      </c>
      <c r="P265" t="b">
        <f t="shared" si="9"/>
        <v>1</v>
      </c>
      <c r="Q265" t="str">
        <f t="shared" si="8"/>
        <v>Negative</v>
      </c>
    </row>
    <row r="266" spans="1:17" x14ac:dyDescent="0.3">
      <c r="A266" t="s">
        <v>532</v>
      </c>
      <c r="B266" t="s">
        <v>27</v>
      </c>
      <c r="C266" t="s">
        <v>28</v>
      </c>
      <c r="D266" t="s">
        <v>29</v>
      </c>
      <c r="E266" t="s">
        <v>51</v>
      </c>
      <c r="F266" t="s">
        <v>34</v>
      </c>
      <c r="G266" s="1">
        <v>45450</v>
      </c>
      <c r="H266" t="s">
        <v>533</v>
      </c>
      <c r="I266">
        <v>9049215</v>
      </c>
      <c r="J266">
        <v>430915</v>
      </c>
      <c r="K266">
        <v>28534</v>
      </c>
      <c r="L266">
        <v>35955</v>
      </c>
      <c r="M266">
        <v>5.4699999999999999E-2</v>
      </c>
      <c r="N266">
        <v>-0.46300000000000002</v>
      </c>
      <c r="O266">
        <v>1</v>
      </c>
      <c r="P266" t="b">
        <f t="shared" si="9"/>
        <v>1</v>
      </c>
      <c r="Q266" t="str">
        <f t="shared" si="8"/>
        <v>Negative</v>
      </c>
    </row>
    <row r="267" spans="1:17" x14ac:dyDescent="0.3">
      <c r="A267" t="s">
        <v>534</v>
      </c>
      <c r="B267" t="s">
        <v>16</v>
      </c>
      <c r="C267" t="s">
        <v>17</v>
      </c>
      <c r="D267" t="s">
        <v>33</v>
      </c>
      <c r="E267" t="s">
        <v>51</v>
      </c>
      <c r="F267" t="s">
        <v>55</v>
      </c>
      <c r="G267" s="1">
        <v>45414</v>
      </c>
      <c r="H267" t="s">
        <v>354</v>
      </c>
      <c r="I267">
        <v>390137</v>
      </c>
      <c r="J267">
        <v>35467</v>
      </c>
      <c r="K267">
        <v>36806</v>
      </c>
      <c r="L267">
        <v>99609</v>
      </c>
      <c r="M267">
        <v>0.44059999999999999</v>
      </c>
      <c r="N267">
        <v>-0.56399999999999995</v>
      </c>
      <c r="O267">
        <v>0</v>
      </c>
      <c r="P267" t="b">
        <f t="shared" si="9"/>
        <v>0</v>
      </c>
      <c r="Q267" t="str">
        <f t="shared" si="8"/>
        <v>Negative</v>
      </c>
    </row>
    <row r="268" spans="1:17" x14ac:dyDescent="0.3">
      <c r="A268" t="s">
        <v>535</v>
      </c>
      <c r="B268" t="s">
        <v>32</v>
      </c>
      <c r="C268" t="s">
        <v>17</v>
      </c>
      <c r="D268" t="s">
        <v>29</v>
      </c>
      <c r="E268" t="s">
        <v>19</v>
      </c>
      <c r="F268" t="s">
        <v>24</v>
      </c>
      <c r="G268" s="1">
        <v>45633</v>
      </c>
      <c r="H268" t="s">
        <v>536</v>
      </c>
      <c r="I268">
        <v>893142</v>
      </c>
      <c r="J268">
        <v>148857</v>
      </c>
      <c r="K268">
        <v>41406</v>
      </c>
      <c r="L268">
        <v>76909</v>
      </c>
      <c r="M268">
        <v>0.29909999999999998</v>
      </c>
      <c r="N268">
        <v>-0.45500000000000002</v>
      </c>
      <c r="O268">
        <v>0</v>
      </c>
      <c r="P268" t="b">
        <f t="shared" si="9"/>
        <v>0</v>
      </c>
      <c r="Q268" t="str">
        <f t="shared" si="8"/>
        <v>Negative</v>
      </c>
    </row>
    <row r="269" spans="1:17" x14ac:dyDescent="0.3">
      <c r="A269" t="s">
        <v>537</v>
      </c>
      <c r="B269" t="s">
        <v>32</v>
      </c>
      <c r="C269" t="s">
        <v>23</v>
      </c>
      <c r="D269" t="s">
        <v>37</v>
      </c>
      <c r="E269" t="s">
        <v>41</v>
      </c>
      <c r="F269" t="s">
        <v>20</v>
      </c>
      <c r="G269" s="1">
        <v>45623</v>
      </c>
      <c r="H269" t="s">
        <v>538</v>
      </c>
      <c r="I269">
        <v>4819332</v>
      </c>
      <c r="J269">
        <v>344238</v>
      </c>
      <c r="K269">
        <v>31894</v>
      </c>
      <c r="L269">
        <v>61269</v>
      </c>
      <c r="M269">
        <v>9.0800000000000006E-2</v>
      </c>
      <c r="N269">
        <v>0.153</v>
      </c>
      <c r="O269">
        <v>1</v>
      </c>
      <c r="P269" t="b">
        <f t="shared" si="9"/>
        <v>1</v>
      </c>
      <c r="Q269" t="str">
        <f t="shared" si="8"/>
        <v>Positive</v>
      </c>
    </row>
    <row r="270" spans="1:17" x14ac:dyDescent="0.3">
      <c r="A270" t="s">
        <v>539</v>
      </c>
      <c r="B270" t="s">
        <v>32</v>
      </c>
      <c r="C270" t="s">
        <v>17</v>
      </c>
      <c r="D270" t="s">
        <v>18</v>
      </c>
      <c r="E270" t="s">
        <v>41</v>
      </c>
      <c r="F270" t="s">
        <v>46</v>
      </c>
      <c r="G270" s="1">
        <v>45541</v>
      </c>
      <c r="H270" t="s">
        <v>540</v>
      </c>
      <c r="I270">
        <v>285777</v>
      </c>
      <c r="J270">
        <v>31753</v>
      </c>
      <c r="K270">
        <v>26662</v>
      </c>
      <c r="L270">
        <v>39953</v>
      </c>
      <c r="M270">
        <v>0.34420000000000001</v>
      </c>
      <c r="N270">
        <v>0.30299999999999999</v>
      </c>
      <c r="O270">
        <v>0</v>
      </c>
      <c r="P270" t="b">
        <f t="shared" si="9"/>
        <v>0</v>
      </c>
      <c r="Q270" t="str">
        <f t="shared" si="8"/>
        <v>Positive</v>
      </c>
    </row>
    <row r="271" spans="1:17" x14ac:dyDescent="0.3">
      <c r="A271" t="s">
        <v>541</v>
      </c>
      <c r="B271" t="s">
        <v>27</v>
      </c>
      <c r="C271" t="s">
        <v>23</v>
      </c>
      <c r="D271" t="s">
        <v>33</v>
      </c>
      <c r="E271" t="s">
        <v>51</v>
      </c>
      <c r="F271" t="s">
        <v>55</v>
      </c>
      <c r="G271" s="1">
        <v>45457</v>
      </c>
      <c r="H271" t="s">
        <v>76</v>
      </c>
      <c r="I271">
        <v>3211925</v>
      </c>
      <c r="J271">
        <v>128477</v>
      </c>
      <c r="K271">
        <v>12880</v>
      </c>
      <c r="L271">
        <v>1623</v>
      </c>
      <c r="M271">
        <v>4.4499999999999998E-2</v>
      </c>
      <c r="N271">
        <v>-0.97799999999999998</v>
      </c>
      <c r="O271">
        <v>1</v>
      </c>
      <c r="P271" t="b">
        <f t="shared" si="9"/>
        <v>1</v>
      </c>
      <c r="Q271" t="str">
        <f t="shared" si="8"/>
        <v>Negative</v>
      </c>
    </row>
    <row r="272" spans="1:17" x14ac:dyDescent="0.3">
      <c r="A272" t="s">
        <v>542</v>
      </c>
      <c r="B272" t="s">
        <v>32</v>
      </c>
      <c r="C272" t="s">
        <v>61</v>
      </c>
      <c r="D272" t="s">
        <v>33</v>
      </c>
      <c r="E272" t="s">
        <v>19</v>
      </c>
      <c r="F272" t="s">
        <v>55</v>
      </c>
      <c r="G272" s="1">
        <v>45398</v>
      </c>
      <c r="H272" t="s">
        <v>543</v>
      </c>
      <c r="I272">
        <v>1925680</v>
      </c>
      <c r="J272">
        <v>192568</v>
      </c>
      <c r="K272">
        <v>40765</v>
      </c>
      <c r="L272">
        <v>81183</v>
      </c>
      <c r="M272">
        <v>0.1633</v>
      </c>
      <c r="N272">
        <v>0.46400000000000002</v>
      </c>
      <c r="O272">
        <v>0</v>
      </c>
      <c r="P272" t="b">
        <f t="shared" si="9"/>
        <v>0</v>
      </c>
      <c r="Q272" t="str">
        <f t="shared" si="8"/>
        <v>Positive</v>
      </c>
    </row>
    <row r="273" spans="1:17" x14ac:dyDescent="0.3">
      <c r="A273" t="s">
        <v>544</v>
      </c>
      <c r="B273" t="s">
        <v>16</v>
      </c>
      <c r="C273" t="s">
        <v>61</v>
      </c>
      <c r="D273" t="s">
        <v>33</v>
      </c>
      <c r="E273" t="s">
        <v>51</v>
      </c>
      <c r="F273" t="s">
        <v>24</v>
      </c>
      <c r="G273" s="1">
        <v>45510</v>
      </c>
      <c r="H273" t="s">
        <v>130</v>
      </c>
      <c r="I273">
        <v>2504645</v>
      </c>
      <c r="J273">
        <v>227695</v>
      </c>
      <c r="K273">
        <v>46833</v>
      </c>
      <c r="L273">
        <v>47925</v>
      </c>
      <c r="M273">
        <v>0.12870000000000001</v>
      </c>
      <c r="N273">
        <v>0.14699999999999999</v>
      </c>
      <c r="O273">
        <v>1</v>
      </c>
      <c r="P273" t="b">
        <f t="shared" si="9"/>
        <v>1</v>
      </c>
      <c r="Q273" t="str">
        <f t="shared" si="8"/>
        <v>Positive</v>
      </c>
    </row>
    <row r="274" spans="1:17" x14ac:dyDescent="0.3">
      <c r="A274" t="s">
        <v>545</v>
      </c>
      <c r="B274" t="s">
        <v>27</v>
      </c>
      <c r="C274" t="s">
        <v>28</v>
      </c>
      <c r="D274" t="s">
        <v>54</v>
      </c>
      <c r="E274" t="s">
        <v>19</v>
      </c>
      <c r="F274" t="s">
        <v>46</v>
      </c>
      <c r="G274" s="1">
        <v>45612</v>
      </c>
      <c r="H274" t="s">
        <v>546</v>
      </c>
      <c r="I274">
        <v>7289640</v>
      </c>
      <c r="J274">
        <v>404980</v>
      </c>
      <c r="K274">
        <v>35742</v>
      </c>
      <c r="L274">
        <v>89564</v>
      </c>
      <c r="M274">
        <v>7.2700000000000001E-2</v>
      </c>
      <c r="N274">
        <v>-0.90600000000000003</v>
      </c>
      <c r="O274">
        <v>1</v>
      </c>
      <c r="P274" t="b">
        <f t="shared" si="9"/>
        <v>1</v>
      </c>
      <c r="Q274" t="str">
        <f t="shared" si="8"/>
        <v>Negative</v>
      </c>
    </row>
    <row r="275" spans="1:17" x14ac:dyDescent="0.3">
      <c r="A275" t="s">
        <v>547</v>
      </c>
      <c r="B275" t="s">
        <v>16</v>
      </c>
      <c r="C275" t="s">
        <v>23</v>
      </c>
      <c r="D275" t="s">
        <v>54</v>
      </c>
      <c r="E275" t="s">
        <v>19</v>
      </c>
      <c r="F275" t="s">
        <v>20</v>
      </c>
      <c r="G275" s="1">
        <v>45431</v>
      </c>
      <c r="H275" t="s">
        <v>548</v>
      </c>
      <c r="I275">
        <v>2333833</v>
      </c>
      <c r="J275">
        <v>101471</v>
      </c>
      <c r="K275">
        <v>38714</v>
      </c>
      <c r="L275">
        <v>61121</v>
      </c>
      <c r="M275">
        <v>8.6300000000000002E-2</v>
      </c>
      <c r="N275">
        <v>-0.81899999999999995</v>
      </c>
      <c r="O275">
        <v>1</v>
      </c>
      <c r="P275" t="b">
        <f t="shared" si="9"/>
        <v>1</v>
      </c>
      <c r="Q275" t="str">
        <f t="shared" si="8"/>
        <v>Negative</v>
      </c>
    </row>
    <row r="276" spans="1:17" x14ac:dyDescent="0.3">
      <c r="A276" t="s">
        <v>549</v>
      </c>
      <c r="B276" t="s">
        <v>27</v>
      </c>
      <c r="C276" t="s">
        <v>17</v>
      </c>
      <c r="D276" t="s">
        <v>73</v>
      </c>
      <c r="E276" t="s">
        <v>19</v>
      </c>
      <c r="F276" t="s">
        <v>55</v>
      </c>
      <c r="G276" s="1">
        <v>45630</v>
      </c>
      <c r="H276" t="s">
        <v>550</v>
      </c>
      <c r="I276">
        <v>12018150</v>
      </c>
      <c r="J276">
        <v>480726</v>
      </c>
      <c r="K276">
        <v>13086</v>
      </c>
      <c r="L276">
        <v>53277</v>
      </c>
      <c r="M276">
        <v>4.5499999999999999E-2</v>
      </c>
      <c r="N276">
        <v>0.67400000000000004</v>
      </c>
      <c r="O276">
        <v>1</v>
      </c>
      <c r="P276" t="b">
        <f t="shared" si="9"/>
        <v>1</v>
      </c>
      <c r="Q276" t="str">
        <f t="shared" si="8"/>
        <v>Positive</v>
      </c>
    </row>
    <row r="277" spans="1:17" x14ac:dyDescent="0.3">
      <c r="A277" t="s">
        <v>551</v>
      </c>
      <c r="B277" t="s">
        <v>16</v>
      </c>
      <c r="C277" t="s">
        <v>17</v>
      </c>
      <c r="D277" t="s">
        <v>73</v>
      </c>
      <c r="E277" t="s">
        <v>38</v>
      </c>
      <c r="F277" t="s">
        <v>24</v>
      </c>
      <c r="G277" s="1">
        <v>45365</v>
      </c>
      <c r="H277" t="s">
        <v>552</v>
      </c>
      <c r="I277">
        <v>5378310</v>
      </c>
      <c r="J277">
        <v>256110</v>
      </c>
      <c r="K277">
        <v>24068</v>
      </c>
      <c r="L277">
        <v>72356</v>
      </c>
      <c r="M277">
        <v>6.5500000000000003E-2</v>
      </c>
      <c r="N277">
        <v>0.443</v>
      </c>
      <c r="O277">
        <v>1</v>
      </c>
      <c r="P277" t="b">
        <f t="shared" si="9"/>
        <v>1</v>
      </c>
      <c r="Q277" t="str">
        <f t="shared" si="8"/>
        <v>Positive</v>
      </c>
    </row>
    <row r="278" spans="1:17" x14ac:dyDescent="0.3">
      <c r="A278" t="s">
        <v>553</v>
      </c>
      <c r="B278" t="s">
        <v>32</v>
      </c>
      <c r="C278" t="s">
        <v>28</v>
      </c>
      <c r="D278" t="s">
        <v>54</v>
      </c>
      <c r="E278" t="s">
        <v>58</v>
      </c>
      <c r="F278" t="s">
        <v>20</v>
      </c>
      <c r="G278" s="1">
        <v>45358</v>
      </c>
      <c r="H278" t="s">
        <v>554</v>
      </c>
      <c r="I278">
        <v>4335249</v>
      </c>
      <c r="J278">
        <v>228171</v>
      </c>
      <c r="K278">
        <v>28774</v>
      </c>
      <c r="L278">
        <v>53303</v>
      </c>
      <c r="M278">
        <v>7.1599999999999997E-2</v>
      </c>
      <c r="N278">
        <v>0.90800000000000003</v>
      </c>
      <c r="O278">
        <v>1</v>
      </c>
      <c r="P278" t="b">
        <f t="shared" si="9"/>
        <v>1</v>
      </c>
      <c r="Q278" t="str">
        <f t="shared" si="8"/>
        <v>Positive</v>
      </c>
    </row>
    <row r="279" spans="1:17" x14ac:dyDescent="0.3">
      <c r="A279" t="s">
        <v>555</v>
      </c>
      <c r="B279" t="s">
        <v>66</v>
      </c>
      <c r="C279" t="s">
        <v>23</v>
      </c>
      <c r="D279" t="s">
        <v>29</v>
      </c>
      <c r="E279" t="s">
        <v>58</v>
      </c>
      <c r="F279" t="s">
        <v>46</v>
      </c>
      <c r="G279" s="1">
        <v>45484</v>
      </c>
      <c r="H279" t="s">
        <v>556</v>
      </c>
      <c r="I279">
        <v>3903432</v>
      </c>
      <c r="J279">
        <v>487929</v>
      </c>
      <c r="K279">
        <v>23868</v>
      </c>
      <c r="L279">
        <v>21793</v>
      </c>
      <c r="M279">
        <v>0.13669999999999999</v>
      </c>
      <c r="N279">
        <v>0.08</v>
      </c>
      <c r="O279">
        <v>1</v>
      </c>
      <c r="P279" t="b">
        <f t="shared" si="9"/>
        <v>1</v>
      </c>
      <c r="Q279" t="str">
        <f t="shared" si="8"/>
        <v>Positive</v>
      </c>
    </row>
    <row r="280" spans="1:17" x14ac:dyDescent="0.3">
      <c r="A280" t="s">
        <v>557</v>
      </c>
      <c r="B280" t="s">
        <v>66</v>
      </c>
      <c r="C280" t="s">
        <v>17</v>
      </c>
      <c r="D280" t="s">
        <v>29</v>
      </c>
      <c r="E280" t="s">
        <v>58</v>
      </c>
      <c r="F280" t="s">
        <v>46</v>
      </c>
      <c r="G280" s="1">
        <v>45407</v>
      </c>
      <c r="H280" t="s">
        <v>558</v>
      </c>
      <c r="I280">
        <v>1713450</v>
      </c>
      <c r="J280">
        <v>114230</v>
      </c>
      <c r="K280">
        <v>1767</v>
      </c>
      <c r="L280">
        <v>31988</v>
      </c>
      <c r="M280">
        <v>8.6400000000000005E-2</v>
      </c>
      <c r="N280">
        <v>0.69299999999999995</v>
      </c>
      <c r="O280">
        <v>0</v>
      </c>
      <c r="P280" t="b">
        <f t="shared" si="9"/>
        <v>0</v>
      </c>
      <c r="Q280" t="str">
        <f t="shared" si="8"/>
        <v>Positive</v>
      </c>
    </row>
    <row r="281" spans="1:17" x14ac:dyDescent="0.3">
      <c r="A281" t="s">
        <v>559</v>
      </c>
      <c r="B281" t="s">
        <v>32</v>
      </c>
      <c r="C281" t="s">
        <v>28</v>
      </c>
      <c r="D281" t="s">
        <v>54</v>
      </c>
      <c r="E281" t="s">
        <v>38</v>
      </c>
      <c r="F281" t="s">
        <v>55</v>
      </c>
      <c r="G281" s="1">
        <v>45580</v>
      </c>
      <c r="H281" t="s">
        <v>112</v>
      </c>
      <c r="I281">
        <v>931380</v>
      </c>
      <c r="J281">
        <v>155230</v>
      </c>
      <c r="K281">
        <v>45425</v>
      </c>
      <c r="L281">
        <v>38891</v>
      </c>
      <c r="M281">
        <v>0.25719999999999998</v>
      </c>
      <c r="N281">
        <v>0.247</v>
      </c>
      <c r="O281">
        <v>0</v>
      </c>
      <c r="P281" t="b">
        <f t="shared" si="9"/>
        <v>0</v>
      </c>
      <c r="Q281" t="str">
        <f t="shared" si="8"/>
        <v>Positive</v>
      </c>
    </row>
    <row r="282" spans="1:17" x14ac:dyDescent="0.3">
      <c r="A282" t="s">
        <v>560</v>
      </c>
      <c r="B282" t="s">
        <v>32</v>
      </c>
      <c r="C282" t="s">
        <v>28</v>
      </c>
      <c r="D282" t="s">
        <v>73</v>
      </c>
      <c r="E282" t="s">
        <v>58</v>
      </c>
      <c r="F282" t="s">
        <v>34</v>
      </c>
      <c r="G282" s="1">
        <v>45608</v>
      </c>
      <c r="H282" t="s">
        <v>561</v>
      </c>
      <c r="I282">
        <v>5990844</v>
      </c>
      <c r="J282">
        <v>499237</v>
      </c>
      <c r="K282">
        <v>1529</v>
      </c>
      <c r="L282">
        <v>15049</v>
      </c>
      <c r="M282">
        <v>8.6099999999999996E-2</v>
      </c>
      <c r="N282">
        <v>0.45600000000000002</v>
      </c>
      <c r="O282">
        <v>1</v>
      </c>
      <c r="P282" t="b">
        <f t="shared" si="9"/>
        <v>1</v>
      </c>
      <c r="Q282" t="str">
        <f t="shared" si="8"/>
        <v>Positive</v>
      </c>
    </row>
    <row r="283" spans="1:17" x14ac:dyDescent="0.3">
      <c r="A283" t="s">
        <v>562</v>
      </c>
      <c r="B283" t="s">
        <v>32</v>
      </c>
      <c r="C283" t="s">
        <v>61</v>
      </c>
      <c r="D283" t="s">
        <v>73</v>
      </c>
      <c r="E283" t="s">
        <v>41</v>
      </c>
      <c r="F283" t="s">
        <v>55</v>
      </c>
      <c r="G283" s="1">
        <v>45572</v>
      </c>
      <c r="H283" t="s">
        <v>563</v>
      </c>
      <c r="I283">
        <v>409296</v>
      </c>
      <c r="J283">
        <v>34108</v>
      </c>
      <c r="K283">
        <v>65</v>
      </c>
      <c r="L283">
        <v>74667</v>
      </c>
      <c r="M283">
        <v>0.26590000000000003</v>
      </c>
      <c r="N283">
        <v>-0.13</v>
      </c>
      <c r="O283">
        <v>0</v>
      </c>
      <c r="P283" t="b">
        <f t="shared" si="9"/>
        <v>0</v>
      </c>
      <c r="Q283" t="str">
        <f t="shared" si="8"/>
        <v>Negative</v>
      </c>
    </row>
    <row r="284" spans="1:17" x14ac:dyDescent="0.3">
      <c r="A284" t="s">
        <v>564</v>
      </c>
      <c r="B284" t="s">
        <v>16</v>
      </c>
      <c r="C284" t="s">
        <v>61</v>
      </c>
      <c r="D284" t="s">
        <v>33</v>
      </c>
      <c r="E284" t="s">
        <v>38</v>
      </c>
      <c r="F284" t="s">
        <v>24</v>
      </c>
      <c r="G284" s="1">
        <v>45522</v>
      </c>
      <c r="H284" t="s">
        <v>156</v>
      </c>
      <c r="I284">
        <v>6063068</v>
      </c>
      <c r="J284">
        <v>275594</v>
      </c>
      <c r="K284">
        <v>24359</v>
      </c>
      <c r="L284">
        <v>45187</v>
      </c>
      <c r="M284">
        <v>5.6899999999999999E-2</v>
      </c>
      <c r="N284">
        <v>0.59899999999999998</v>
      </c>
      <c r="O284">
        <v>1</v>
      </c>
      <c r="P284" t="b">
        <f t="shared" si="9"/>
        <v>1</v>
      </c>
      <c r="Q284" t="str">
        <f t="shared" si="8"/>
        <v>Positive</v>
      </c>
    </row>
    <row r="285" spans="1:17" x14ac:dyDescent="0.3">
      <c r="A285" t="s">
        <v>565</v>
      </c>
      <c r="B285" t="s">
        <v>16</v>
      </c>
      <c r="C285" t="s">
        <v>28</v>
      </c>
      <c r="D285" t="s">
        <v>73</v>
      </c>
      <c r="E285" t="s">
        <v>19</v>
      </c>
      <c r="F285" t="s">
        <v>20</v>
      </c>
      <c r="G285" s="1">
        <v>45545</v>
      </c>
      <c r="H285" t="s">
        <v>197</v>
      </c>
      <c r="I285">
        <v>4999830</v>
      </c>
      <c r="J285">
        <v>499983</v>
      </c>
      <c r="K285">
        <v>9655</v>
      </c>
      <c r="L285">
        <v>85470</v>
      </c>
      <c r="M285">
        <v>0.11899999999999999</v>
      </c>
      <c r="N285">
        <v>0.18</v>
      </c>
      <c r="O285">
        <v>1</v>
      </c>
      <c r="P285" t="b">
        <f t="shared" si="9"/>
        <v>1</v>
      </c>
      <c r="Q285" t="str">
        <f t="shared" si="8"/>
        <v>Positive</v>
      </c>
    </row>
    <row r="286" spans="1:17" x14ac:dyDescent="0.3">
      <c r="A286" t="s">
        <v>566</v>
      </c>
      <c r="B286" t="s">
        <v>27</v>
      </c>
      <c r="C286" t="s">
        <v>61</v>
      </c>
      <c r="D286" t="s">
        <v>54</v>
      </c>
      <c r="E286" t="s">
        <v>51</v>
      </c>
      <c r="F286" t="s">
        <v>46</v>
      </c>
      <c r="G286" s="1">
        <v>45487</v>
      </c>
      <c r="H286" t="s">
        <v>567</v>
      </c>
      <c r="I286">
        <v>1083054</v>
      </c>
      <c r="J286">
        <v>51574</v>
      </c>
      <c r="K286">
        <v>26217</v>
      </c>
      <c r="L286">
        <v>69627</v>
      </c>
      <c r="M286">
        <v>0.1361</v>
      </c>
      <c r="N286">
        <v>-0.72599999999999998</v>
      </c>
      <c r="O286">
        <v>0</v>
      </c>
      <c r="P286" t="b">
        <f t="shared" si="9"/>
        <v>0</v>
      </c>
      <c r="Q286" t="str">
        <f t="shared" si="8"/>
        <v>Negative</v>
      </c>
    </row>
    <row r="287" spans="1:17" x14ac:dyDescent="0.3">
      <c r="A287" t="s">
        <v>568</v>
      </c>
      <c r="B287" t="s">
        <v>16</v>
      </c>
      <c r="C287" t="s">
        <v>23</v>
      </c>
      <c r="D287" t="s">
        <v>33</v>
      </c>
      <c r="E287" t="s">
        <v>38</v>
      </c>
      <c r="F287" t="s">
        <v>24</v>
      </c>
      <c r="G287" s="1">
        <v>45638</v>
      </c>
      <c r="H287" t="s">
        <v>569</v>
      </c>
      <c r="I287">
        <v>3793713</v>
      </c>
      <c r="J287">
        <v>180653</v>
      </c>
      <c r="K287">
        <v>36413</v>
      </c>
      <c r="L287">
        <v>94007</v>
      </c>
      <c r="M287">
        <v>8.2000000000000003E-2</v>
      </c>
      <c r="N287">
        <v>-0.63</v>
      </c>
      <c r="O287">
        <v>1</v>
      </c>
      <c r="P287" t="b">
        <f t="shared" si="9"/>
        <v>1</v>
      </c>
      <c r="Q287" t="str">
        <f t="shared" si="8"/>
        <v>Negative</v>
      </c>
    </row>
    <row r="288" spans="1:17" x14ac:dyDescent="0.3">
      <c r="A288" t="s">
        <v>570</v>
      </c>
      <c r="B288" t="s">
        <v>27</v>
      </c>
      <c r="C288" t="s">
        <v>17</v>
      </c>
      <c r="D288" t="s">
        <v>37</v>
      </c>
      <c r="E288" t="s">
        <v>41</v>
      </c>
      <c r="F288" t="s">
        <v>34</v>
      </c>
      <c r="G288" s="1">
        <v>45330</v>
      </c>
      <c r="H288" t="s">
        <v>571</v>
      </c>
      <c r="I288">
        <v>3047799</v>
      </c>
      <c r="J288">
        <v>132513</v>
      </c>
      <c r="K288">
        <v>44628</v>
      </c>
      <c r="L288">
        <v>90328</v>
      </c>
      <c r="M288">
        <v>8.7800000000000003E-2</v>
      </c>
      <c r="N288">
        <v>0.46400000000000002</v>
      </c>
      <c r="O288">
        <v>1</v>
      </c>
      <c r="P288" t="b">
        <f t="shared" si="9"/>
        <v>1</v>
      </c>
      <c r="Q288" t="str">
        <f t="shared" si="8"/>
        <v>Positive</v>
      </c>
    </row>
    <row r="289" spans="1:17" x14ac:dyDescent="0.3">
      <c r="A289" t="s">
        <v>572</v>
      </c>
      <c r="B289" t="s">
        <v>27</v>
      </c>
      <c r="C289" t="s">
        <v>61</v>
      </c>
      <c r="D289" t="s">
        <v>37</v>
      </c>
      <c r="E289" t="s">
        <v>51</v>
      </c>
      <c r="F289" t="s">
        <v>55</v>
      </c>
      <c r="G289" s="1">
        <v>45329</v>
      </c>
      <c r="H289" t="s">
        <v>573</v>
      </c>
      <c r="I289">
        <v>1647288</v>
      </c>
      <c r="J289">
        <v>183032</v>
      </c>
      <c r="K289">
        <v>11349</v>
      </c>
      <c r="L289">
        <v>1751</v>
      </c>
      <c r="M289">
        <v>0.1191</v>
      </c>
      <c r="N289">
        <v>0.38500000000000001</v>
      </c>
      <c r="O289">
        <v>0</v>
      </c>
      <c r="P289" t="b">
        <f t="shared" si="9"/>
        <v>0</v>
      </c>
      <c r="Q289" t="str">
        <f t="shared" si="8"/>
        <v>Positive</v>
      </c>
    </row>
    <row r="290" spans="1:17" x14ac:dyDescent="0.3">
      <c r="A290" t="s">
        <v>574</v>
      </c>
      <c r="B290" t="s">
        <v>27</v>
      </c>
      <c r="C290" t="s">
        <v>28</v>
      </c>
      <c r="D290" t="s">
        <v>73</v>
      </c>
      <c r="E290" t="s">
        <v>38</v>
      </c>
      <c r="F290" t="s">
        <v>55</v>
      </c>
      <c r="G290" s="1">
        <v>45610</v>
      </c>
      <c r="H290" t="s">
        <v>575</v>
      </c>
      <c r="I290">
        <v>7046534</v>
      </c>
      <c r="J290">
        <v>320297</v>
      </c>
      <c r="K290">
        <v>5324</v>
      </c>
      <c r="L290">
        <v>15897</v>
      </c>
      <c r="M290">
        <v>4.8500000000000001E-2</v>
      </c>
      <c r="N290">
        <v>-2.1000000000000001E-2</v>
      </c>
      <c r="O290">
        <v>1</v>
      </c>
      <c r="P290" t="b">
        <f t="shared" si="9"/>
        <v>1</v>
      </c>
      <c r="Q290" t="str">
        <f t="shared" si="8"/>
        <v>Negative</v>
      </c>
    </row>
    <row r="291" spans="1:17" x14ac:dyDescent="0.3">
      <c r="A291" t="s">
        <v>576</v>
      </c>
      <c r="B291" t="s">
        <v>66</v>
      </c>
      <c r="C291" t="s">
        <v>28</v>
      </c>
      <c r="D291" t="s">
        <v>73</v>
      </c>
      <c r="E291" t="s">
        <v>58</v>
      </c>
      <c r="F291" t="s">
        <v>46</v>
      </c>
      <c r="G291" s="1">
        <v>45579</v>
      </c>
      <c r="H291" t="s">
        <v>577</v>
      </c>
      <c r="I291">
        <v>1085756</v>
      </c>
      <c r="J291">
        <v>77554</v>
      </c>
      <c r="K291">
        <v>25069</v>
      </c>
      <c r="L291">
        <v>27936</v>
      </c>
      <c r="M291">
        <v>0.1202</v>
      </c>
      <c r="N291">
        <v>0.17699999999999999</v>
      </c>
      <c r="O291">
        <v>0</v>
      </c>
      <c r="P291" t="b">
        <f t="shared" si="9"/>
        <v>0</v>
      </c>
      <c r="Q291" t="str">
        <f t="shared" si="8"/>
        <v>Positive</v>
      </c>
    </row>
    <row r="292" spans="1:17" x14ac:dyDescent="0.3">
      <c r="A292" t="s">
        <v>578</v>
      </c>
      <c r="B292" t="s">
        <v>32</v>
      </c>
      <c r="C292" t="s">
        <v>28</v>
      </c>
      <c r="D292" t="s">
        <v>73</v>
      </c>
      <c r="E292" t="s">
        <v>38</v>
      </c>
      <c r="F292" t="s">
        <v>20</v>
      </c>
      <c r="G292" s="1">
        <v>45297</v>
      </c>
      <c r="H292" t="s">
        <v>579</v>
      </c>
      <c r="I292">
        <v>9228500</v>
      </c>
      <c r="J292">
        <v>369140</v>
      </c>
      <c r="K292">
        <v>12187</v>
      </c>
      <c r="L292">
        <v>87834</v>
      </c>
      <c r="M292">
        <v>5.0799999999999998E-2</v>
      </c>
      <c r="N292">
        <v>-5.3999999999999999E-2</v>
      </c>
      <c r="O292">
        <v>1</v>
      </c>
      <c r="P292" t="b">
        <f t="shared" si="9"/>
        <v>1</v>
      </c>
      <c r="Q292" t="str">
        <f t="shared" si="8"/>
        <v>Negative</v>
      </c>
    </row>
    <row r="293" spans="1:17" x14ac:dyDescent="0.3">
      <c r="A293" t="s">
        <v>580</v>
      </c>
      <c r="B293" t="s">
        <v>66</v>
      </c>
      <c r="C293" t="s">
        <v>61</v>
      </c>
      <c r="D293" t="s">
        <v>18</v>
      </c>
      <c r="E293" t="s">
        <v>58</v>
      </c>
      <c r="F293" t="s">
        <v>46</v>
      </c>
      <c r="G293" s="1">
        <v>45655</v>
      </c>
      <c r="H293" t="s">
        <v>581</v>
      </c>
      <c r="I293">
        <v>11890650</v>
      </c>
      <c r="J293">
        <v>475626</v>
      </c>
      <c r="K293">
        <v>44818</v>
      </c>
      <c r="L293">
        <v>37199</v>
      </c>
      <c r="M293">
        <v>4.6899999999999997E-2</v>
      </c>
      <c r="N293">
        <v>0.46200000000000002</v>
      </c>
      <c r="O293">
        <v>1</v>
      </c>
      <c r="P293" t="b">
        <f t="shared" si="9"/>
        <v>1</v>
      </c>
      <c r="Q293" t="str">
        <f t="shared" si="8"/>
        <v>Positive</v>
      </c>
    </row>
    <row r="294" spans="1:17" x14ac:dyDescent="0.3">
      <c r="A294" t="s">
        <v>582</v>
      </c>
      <c r="B294" t="s">
        <v>66</v>
      </c>
      <c r="C294" t="s">
        <v>17</v>
      </c>
      <c r="D294" t="s">
        <v>29</v>
      </c>
      <c r="E294" t="s">
        <v>41</v>
      </c>
      <c r="F294" t="s">
        <v>34</v>
      </c>
      <c r="G294" s="1">
        <v>45642</v>
      </c>
      <c r="H294" t="s">
        <v>583</v>
      </c>
      <c r="I294">
        <v>8897636</v>
      </c>
      <c r="J294">
        <v>404438</v>
      </c>
      <c r="K294">
        <v>15028</v>
      </c>
      <c r="L294">
        <v>73544</v>
      </c>
      <c r="M294">
        <v>5.5399999999999998E-2</v>
      </c>
      <c r="N294">
        <v>-0.156</v>
      </c>
      <c r="O294">
        <v>1</v>
      </c>
      <c r="P294" t="b">
        <f t="shared" si="9"/>
        <v>1</v>
      </c>
      <c r="Q294" t="str">
        <f t="shared" si="8"/>
        <v>Negative</v>
      </c>
    </row>
    <row r="295" spans="1:17" x14ac:dyDescent="0.3">
      <c r="A295" t="s">
        <v>584</v>
      </c>
      <c r="B295" t="s">
        <v>16</v>
      </c>
      <c r="C295" t="s">
        <v>61</v>
      </c>
      <c r="D295" t="s">
        <v>73</v>
      </c>
      <c r="E295" t="s">
        <v>38</v>
      </c>
      <c r="F295" t="s">
        <v>46</v>
      </c>
      <c r="G295" s="1">
        <v>45549</v>
      </c>
      <c r="H295" t="s">
        <v>199</v>
      </c>
      <c r="I295">
        <v>5543424</v>
      </c>
      <c r="J295">
        <v>230976</v>
      </c>
      <c r="K295">
        <v>6742</v>
      </c>
      <c r="L295">
        <v>36063</v>
      </c>
      <c r="M295">
        <v>4.9399999999999999E-2</v>
      </c>
      <c r="N295">
        <v>0.68899999999999995</v>
      </c>
      <c r="O295">
        <v>1</v>
      </c>
      <c r="P295" t="b">
        <f t="shared" si="9"/>
        <v>1</v>
      </c>
      <c r="Q295" t="str">
        <f t="shared" si="8"/>
        <v>Positive</v>
      </c>
    </row>
    <row r="296" spans="1:17" x14ac:dyDescent="0.3">
      <c r="A296" t="s">
        <v>585</v>
      </c>
      <c r="B296" t="s">
        <v>16</v>
      </c>
      <c r="C296" t="s">
        <v>28</v>
      </c>
      <c r="D296" t="s">
        <v>18</v>
      </c>
      <c r="E296" t="s">
        <v>19</v>
      </c>
      <c r="F296" t="s">
        <v>55</v>
      </c>
      <c r="G296" s="1">
        <v>45575</v>
      </c>
      <c r="H296" t="s">
        <v>586</v>
      </c>
      <c r="I296">
        <v>784665</v>
      </c>
      <c r="J296">
        <v>37365</v>
      </c>
      <c r="K296">
        <v>17855</v>
      </c>
      <c r="L296">
        <v>66151</v>
      </c>
      <c r="M296">
        <v>0.1547</v>
      </c>
      <c r="N296">
        <v>0.3</v>
      </c>
      <c r="O296">
        <v>0</v>
      </c>
      <c r="P296" t="b">
        <f t="shared" si="9"/>
        <v>0</v>
      </c>
      <c r="Q296" t="str">
        <f t="shared" si="8"/>
        <v>Positive</v>
      </c>
    </row>
    <row r="297" spans="1:17" x14ac:dyDescent="0.3">
      <c r="A297" t="s">
        <v>587</v>
      </c>
      <c r="B297" t="s">
        <v>27</v>
      </c>
      <c r="C297" t="s">
        <v>61</v>
      </c>
      <c r="D297" t="s">
        <v>18</v>
      </c>
      <c r="E297" t="s">
        <v>41</v>
      </c>
      <c r="F297" t="s">
        <v>34</v>
      </c>
      <c r="G297" s="1">
        <v>45363</v>
      </c>
      <c r="H297" t="s">
        <v>229</v>
      </c>
      <c r="I297">
        <v>5348523</v>
      </c>
      <c r="J297">
        <v>314619</v>
      </c>
      <c r="K297">
        <v>35440</v>
      </c>
      <c r="L297">
        <v>96444</v>
      </c>
      <c r="M297">
        <v>8.3500000000000005E-2</v>
      </c>
      <c r="N297">
        <v>-0.84599999999999997</v>
      </c>
      <c r="O297">
        <v>1</v>
      </c>
      <c r="P297" t="b">
        <f t="shared" si="9"/>
        <v>1</v>
      </c>
      <c r="Q297" t="str">
        <f t="shared" si="8"/>
        <v>Negative</v>
      </c>
    </row>
    <row r="298" spans="1:17" x14ac:dyDescent="0.3">
      <c r="A298" t="s">
        <v>588</v>
      </c>
      <c r="B298" t="s">
        <v>27</v>
      </c>
      <c r="C298" t="s">
        <v>17</v>
      </c>
      <c r="D298" t="s">
        <v>54</v>
      </c>
      <c r="E298" t="s">
        <v>58</v>
      </c>
      <c r="F298" t="s">
        <v>20</v>
      </c>
      <c r="G298" s="1">
        <v>45345</v>
      </c>
      <c r="H298" t="s">
        <v>589</v>
      </c>
      <c r="I298">
        <v>13195386</v>
      </c>
      <c r="J298">
        <v>488718</v>
      </c>
      <c r="K298">
        <v>2988</v>
      </c>
      <c r="L298">
        <v>97242</v>
      </c>
      <c r="M298">
        <v>4.4600000000000001E-2</v>
      </c>
      <c r="N298">
        <v>-0.191</v>
      </c>
      <c r="O298">
        <v>1</v>
      </c>
      <c r="P298" t="b">
        <f t="shared" si="9"/>
        <v>1</v>
      </c>
      <c r="Q298" t="str">
        <f t="shared" si="8"/>
        <v>Negative</v>
      </c>
    </row>
    <row r="299" spans="1:17" x14ac:dyDescent="0.3">
      <c r="A299" t="s">
        <v>590</v>
      </c>
      <c r="B299" t="s">
        <v>16</v>
      </c>
      <c r="C299" t="s">
        <v>61</v>
      </c>
      <c r="D299" t="s">
        <v>73</v>
      </c>
      <c r="E299" t="s">
        <v>19</v>
      </c>
      <c r="F299" t="s">
        <v>34</v>
      </c>
      <c r="G299" s="1">
        <v>45580</v>
      </c>
      <c r="H299" t="s">
        <v>591</v>
      </c>
      <c r="I299">
        <v>1377360</v>
      </c>
      <c r="J299">
        <v>172170</v>
      </c>
      <c r="K299">
        <v>28540</v>
      </c>
      <c r="L299">
        <v>6641</v>
      </c>
      <c r="M299">
        <v>0.15049999999999999</v>
      </c>
      <c r="N299">
        <v>0.58099999999999996</v>
      </c>
      <c r="O299">
        <v>0</v>
      </c>
      <c r="P299" t="b">
        <f t="shared" si="9"/>
        <v>0</v>
      </c>
      <c r="Q299" t="str">
        <f t="shared" si="8"/>
        <v>Positive</v>
      </c>
    </row>
    <row r="300" spans="1:17" x14ac:dyDescent="0.3">
      <c r="A300" t="s">
        <v>592</v>
      </c>
      <c r="B300" t="s">
        <v>16</v>
      </c>
      <c r="C300" t="s">
        <v>61</v>
      </c>
      <c r="D300" t="s">
        <v>18</v>
      </c>
      <c r="E300" t="s">
        <v>51</v>
      </c>
      <c r="F300" t="s">
        <v>24</v>
      </c>
      <c r="G300" s="1">
        <v>45542</v>
      </c>
      <c r="H300" t="s">
        <v>593</v>
      </c>
      <c r="I300">
        <v>578540</v>
      </c>
      <c r="J300">
        <v>115708</v>
      </c>
      <c r="K300">
        <v>7569</v>
      </c>
      <c r="L300">
        <v>27346</v>
      </c>
      <c r="M300">
        <v>0.26040000000000002</v>
      </c>
      <c r="N300">
        <v>0.77200000000000002</v>
      </c>
      <c r="O300">
        <v>0</v>
      </c>
      <c r="P300" t="b">
        <f t="shared" si="9"/>
        <v>0</v>
      </c>
      <c r="Q300" t="str">
        <f t="shared" si="8"/>
        <v>Positive</v>
      </c>
    </row>
    <row r="301" spans="1:17" x14ac:dyDescent="0.3">
      <c r="A301" t="s">
        <v>594</v>
      </c>
      <c r="B301" t="s">
        <v>27</v>
      </c>
      <c r="C301" t="s">
        <v>28</v>
      </c>
      <c r="D301" t="s">
        <v>18</v>
      </c>
      <c r="E301" t="s">
        <v>38</v>
      </c>
      <c r="F301" t="s">
        <v>55</v>
      </c>
      <c r="G301" s="1">
        <v>45326</v>
      </c>
      <c r="H301" t="s">
        <v>595</v>
      </c>
      <c r="I301">
        <v>476238</v>
      </c>
      <c r="J301">
        <v>79373</v>
      </c>
      <c r="K301">
        <v>9328</v>
      </c>
      <c r="L301">
        <v>80766</v>
      </c>
      <c r="M301">
        <v>0.35580000000000001</v>
      </c>
      <c r="N301">
        <v>-0.95099999999999996</v>
      </c>
      <c r="O301">
        <v>0</v>
      </c>
      <c r="P301" t="b">
        <f t="shared" si="9"/>
        <v>0</v>
      </c>
      <c r="Q301" t="str">
        <f t="shared" si="8"/>
        <v>Negative</v>
      </c>
    </row>
    <row r="302" spans="1:17" x14ac:dyDescent="0.3">
      <c r="A302" t="s">
        <v>596</v>
      </c>
      <c r="B302" t="s">
        <v>66</v>
      </c>
      <c r="C302" t="s">
        <v>61</v>
      </c>
      <c r="D302" t="s">
        <v>33</v>
      </c>
      <c r="E302" t="s">
        <v>51</v>
      </c>
      <c r="F302" t="s">
        <v>34</v>
      </c>
      <c r="G302" s="1">
        <v>45407</v>
      </c>
      <c r="H302" t="s">
        <v>597</v>
      </c>
      <c r="I302">
        <v>7577053</v>
      </c>
      <c r="J302">
        <v>445709</v>
      </c>
      <c r="K302">
        <v>550</v>
      </c>
      <c r="L302">
        <v>29431</v>
      </c>
      <c r="M302">
        <v>6.2799999999999995E-2</v>
      </c>
      <c r="N302">
        <v>5.8000000000000003E-2</v>
      </c>
      <c r="O302">
        <v>1</v>
      </c>
      <c r="P302" t="b">
        <f t="shared" si="9"/>
        <v>1</v>
      </c>
      <c r="Q302" t="str">
        <f t="shared" si="8"/>
        <v>Positive</v>
      </c>
    </row>
    <row r="303" spans="1:17" x14ac:dyDescent="0.3">
      <c r="A303" t="s">
        <v>598</v>
      </c>
      <c r="B303" t="s">
        <v>66</v>
      </c>
      <c r="C303" t="s">
        <v>17</v>
      </c>
      <c r="D303" t="s">
        <v>33</v>
      </c>
      <c r="E303" t="s">
        <v>41</v>
      </c>
      <c r="F303" t="s">
        <v>46</v>
      </c>
      <c r="G303" s="1">
        <v>45369</v>
      </c>
      <c r="H303" t="s">
        <v>599</v>
      </c>
      <c r="I303">
        <v>4860449</v>
      </c>
      <c r="J303">
        <v>441859</v>
      </c>
      <c r="K303">
        <v>13924</v>
      </c>
      <c r="L303">
        <v>69347</v>
      </c>
      <c r="M303">
        <v>0.108</v>
      </c>
      <c r="N303">
        <v>-0.98099999999999998</v>
      </c>
      <c r="O303">
        <v>1</v>
      </c>
      <c r="P303" t="b">
        <f t="shared" si="9"/>
        <v>1</v>
      </c>
      <c r="Q303" t="str">
        <f t="shared" si="8"/>
        <v>Negative</v>
      </c>
    </row>
    <row r="304" spans="1:17" x14ac:dyDescent="0.3">
      <c r="A304" t="s">
        <v>600</v>
      </c>
      <c r="B304" t="s">
        <v>27</v>
      </c>
      <c r="C304" t="s">
        <v>61</v>
      </c>
      <c r="D304" t="s">
        <v>29</v>
      </c>
      <c r="E304" t="s">
        <v>41</v>
      </c>
      <c r="F304" t="s">
        <v>46</v>
      </c>
      <c r="G304" s="1">
        <v>45450</v>
      </c>
      <c r="H304" t="s">
        <v>601</v>
      </c>
      <c r="I304">
        <v>7683200</v>
      </c>
      <c r="J304">
        <v>307328</v>
      </c>
      <c r="K304">
        <v>29634</v>
      </c>
      <c r="L304">
        <v>51185</v>
      </c>
      <c r="M304">
        <v>5.0500000000000003E-2</v>
      </c>
      <c r="N304">
        <v>-0.04</v>
      </c>
      <c r="O304">
        <v>1</v>
      </c>
      <c r="P304" t="b">
        <f t="shared" si="9"/>
        <v>1</v>
      </c>
      <c r="Q304" t="str">
        <f t="shared" si="8"/>
        <v>Negative</v>
      </c>
    </row>
    <row r="305" spans="1:17" x14ac:dyDescent="0.3">
      <c r="A305" t="s">
        <v>602</v>
      </c>
      <c r="B305" t="s">
        <v>66</v>
      </c>
      <c r="C305" t="s">
        <v>61</v>
      </c>
      <c r="D305" t="s">
        <v>54</v>
      </c>
      <c r="E305" t="s">
        <v>19</v>
      </c>
      <c r="F305" t="s">
        <v>46</v>
      </c>
      <c r="G305" s="1">
        <v>45395</v>
      </c>
      <c r="H305" t="s">
        <v>603</v>
      </c>
      <c r="I305">
        <v>5610377</v>
      </c>
      <c r="J305">
        <v>295283</v>
      </c>
      <c r="K305">
        <v>19900</v>
      </c>
      <c r="L305">
        <v>83692</v>
      </c>
      <c r="M305">
        <v>7.1099999999999997E-2</v>
      </c>
      <c r="N305">
        <v>-0.20300000000000001</v>
      </c>
      <c r="O305">
        <v>1</v>
      </c>
      <c r="P305" t="b">
        <f t="shared" si="9"/>
        <v>1</v>
      </c>
      <c r="Q305" t="str">
        <f t="shared" si="8"/>
        <v>Negative</v>
      </c>
    </row>
    <row r="306" spans="1:17" x14ac:dyDescent="0.3">
      <c r="A306" t="s">
        <v>604</v>
      </c>
      <c r="B306" t="s">
        <v>32</v>
      </c>
      <c r="C306" t="s">
        <v>23</v>
      </c>
      <c r="D306" t="s">
        <v>29</v>
      </c>
      <c r="E306" t="s">
        <v>58</v>
      </c>
      <c r="F306" t="s">
        <v>24</v>
      </c>
      <c r="G306" s="1">
        <v>45605</v>
      </c>
      <c r="H306" t="s">
        <v>605</v>
      </c>
      <c r="I306">
        <v>2531352</v>
      </c>
      <c r="J306">
        <v>105473</v>
      </c>
      <c r="K306">
        <v>24579</v>
      </c>
      <c r="L306">
        <v>3431</v>
      </c>
      <c r="M306">
        <v>5.2699999999999997E-2</v>
      </c>
      <c r="N306">
        <v>0.47499999999999998</v>
      </c>
      <c r="O306">
        <v>1</v>
      </c>
      <c r="P306" t="b">
        <f t="shared" si="9"/>
        <v>1</v>
      </c>
      <c r="Q306" t="str">
        <f t="shared" si="8"/>
        <v>Positive</v>
      </c>
    </row>
    <row r="307" spans="1:17" x14ac:dyDescent="0.3">
      <c r="A307" t="s">
        <v>606</v>
      </c>
      <c r="B307" t="s">
        <v>32</v>
      </c>
      <c r="C307" t="s">
        <v>23</v>
      </c>
      <c r="D307" t="s">
        <v>18</v>
      </c>
      <c r="E307" t="s">
        <v>41</v>
      </c>
      <c r="F307" t="s">
        <v>55</v>
      </c>
      <c r="G307" s="1">
        <v>45512</v>
      </c>
      <c r="H307" t="s">
        <v>607</v>
      </c>
      <c r="I307">
        <v>558161</v>
      </c>
      <c r="J307">
        <v>32833</v>
      </c>
      <c r="K307">
        <v>20149</v>
      </c>
      <c r="L307">
        <v>2051</v>
      </c>
      <c r="M307">
        <v>9.8599999999999993E-2</v>
      </c>
      <c r="N307">
        <v>-0.29099999999999998</v>
      </c>
      <c r="O307">
        <v>0</v>
      </c>
      <c r="P307" t="b">
        <f t="shared" si="9"/>
        <v>0</v>
      </c>
      <c r="Q307" t="str">
        <f t="shared" si="8"/>
        <v>Negative</v>
      </c>
    </row>
    <row r="308" spans="1:17" x14ac:dyDescent="0.3">
      <c r="A308" t="s">
        <v>608</v>
      </c>
      <c r="B308" t="s">
        <v>32</v>
      </c>
      <c r="C308" t="s">
        <v>61</v>
      </c>
      <c r="D308" t="s">
        <v>54</v>
      </c>
      <c r="E308" t="s">
        <v>19</v>
      </c>
      <c r="F308" t="s">
        <v>24</v>
      </c>
      <c r="G308" s="1">
        <v>45464</v>
      </c>
      <c r="H308" t="s">
        <v>290</v>
      </c>
      <c r="I308">
        <v>715286</v>
      </c>
      <c r="J308">
        <v>32513</v>
      </c>
      <c r="K308">
        <v>34806</v>
      </c>
      <c r="L308">
        <v>55620</v>
      </c>
      <c r="M308">
        <v>0.1719</v>
      </c>
      <c r="N308">
        <v>-0.53300000000000003</v>
      </c>
      <c r="O308">
        <v>0</v>
      </c>
      <c r="P308" t="b">
        <f t="shared" si="9"/>
        <v>0</v>
      </c>
      <c r="Q308" t="str">
        <f t="shared" si="8"/>
        <v>Negative</v>
      </c>
    </row>
    <row r="309" spans="1:17" x14ac:dyDescent="0.3">
      <c r="A309" t="s">
        <v>609</v>
      </c>
      <c r="B309" t="s">
        <v>32</v>
      </c>
      <c r="C309" t="s">
        <v>23</v>
      </c>
      <c r="D309" t="s">
        <v>18</v>
      </c>
      <c r="E309" t="s">
        <v>19</v>
      </c>
      <c r="F309" t="s">
        <v>20</v>
      </c>
      <c r="G309" s="1">
        <v>45497</v>
      </c>
      <c r="H309" t="s">
        <v>610</v>
      </c>
      <c r="I309">
        <v>8244404</v>
      </c>
      <c r="J309">
        <v>433916</v>
      </c>
      <c r="K309">
        <v>25285</v>
      </c>
      <c r="L309">
        <v>90094</v>
      </c>
      <c r="M309">
        <v>6.6600000000000006E-2</v>
      </c>
      <c r="N309">
        <v>-0.14399999999999999</v>
      </c>
      <c r="O309">
        <v>1</v>
      </c>
      <c r="P309" t="b">
        <f t="shared" si="9"/>
        <v>1</v>
      </c>
      <c r="Q309" t="str">
        <f t="shared" si="8"/>
        <v>Negative</v>
      </c>
    </row>
    <row r="310" spans="1:17" x14ac:dyDescent="0.3">
      <c r="A310" t="s">
        <v>611</v>
      </c>
      <c r="B310" t="s">
        <v>27</v>
      </c>
      <c r="C310" t="s">
        <v>61</v>
      </c>
      <c r="D310" t="s">
        <v>54</v>
      </c>
      <c r="E310" t="s">
        <v>58</v>
      </c>
      <c r="F310" t="s">
        <v>24</v>
      </c>
      <c r="G310" s="1">
        <v>45598</v>
      </c>
      <c r="H310" t="s">
        <v>612</v>
      </c>
      <c r="I310">
        <v>3389760</v>
      </c>
      <c r="J310">
        <v>211860</v>
      </c>
      <c r="K310">
        <v>23900</v>
      </c>
      <c r="L310">
        <v>74692</v>
      </c>
      <c r="M310">
        <v>9.1600000000000001E-2</v>
      </c>
      <c r="N310">
        <v>0.91300000000000003</v>
      </c>
      <c r="O310">
        <v>1</v>
      </c>
      <c r="P310" t="b">
        <f t="shared" si="9"/>
        <v>1</v>
      </c>
      <c r="Q310" t="str">
        <f t="shared" si="8"/>
        <v>Positive</v>
      </c>
    </row>
    <row r="311" spans="1:17" x14ac:dyDescent="0.3">
      <c r="A311" t="s">
        <v>613</v>
      </c>
      <c r="B311" t="s">
        <v>16</v>
      </c>
      <c r="C311" t="s">
        <v>61</v>
      </c>
      <c r="D311" t="s">
        <v>33</v>
      </c>
      <c r="E311" t="s">
        <v>51</v>
      </c>
      <c r="F311" t="s">
        <v>34</v>
      </c>
      <c r="G311" s="1">
        <v>45293</v>
      </c>
      <c r="H311" t="s">
        <v>614</v>
      </c>
      <c r="I311">
        <v>674640</v>
      </c>
      <c r="J311">
        <v>67464</v>
      </c>
      <c r="K311">
        <v>45033</v>
      </c>
      <c r="L311">
        <v>97660</v>
      </c>
      <c r="M311">
        <v>0.3115</v>
      </c>
      <c r="N311">
        <v>0.96499999999999997</v>
      </c>
      <c r="O311">
        <v>0</v>
      </c>
      <c r="P311" t="b">
        <f t="shared" si="9"/>
        <v>0</v>
      </c>
      <c r="Q311" t="str">
        <f t="shared" si="8"/>
        <v>Positive</v>
      </c>
    </row>
    <row r="312" spans="1:17" x14ac:dyDescent="0.3">
      <c r="A312" t="s">
        <v>615</v>
      </c>
      <c r="B312" t="s">
        <v>66</v>
      </c>
      <c r="C312" t="s">
        <v>17</v>
      </c>
      <c r="D312" t="s">
        <v>73</v>
      </c>
      <c r="E312" t="s">
        <v>58</v>
      </c>
      <c r="F312" t="s">
        <v>34</v>
      </c>
      <c r="G312" s="1">
        <v>45305</v>
      </c>
      <c r="H312" t="s">
        <v>616</v>
      </c>
      <c r="I312">
        <v>3192770</v>
      </c>
      <c r="J312">
        <v>187810</v>
      </c>
      <c r="K312">
        <v>40975</v>
      </c>
      <c r="L312">
        <v>29758</v>
      </c>
      <c r="M312">
        <v>8.1000000000000003E-2</v>
      </c>
      <c r="N312">
        <v>0.97799999999999998</v>
      </c>
      <c r="O312">
        <v>1</v>
      </c>
      <c r="P312" t="b">
        <f t="shared" si="9"/>
        <v>1</v>
      </c>
      <c r="Q312" t="str">
        <f t="shared" si="8"/>
        <v>Positive</v>
      </c>
    </row>
    <row r="313" spans="1:17" x14ac:dyDescent="0.3">
      <c r="A313" t="s">
        <v>617</v>
      </c>
      <c r="B313" t="s">
        <v>32</v>
      </c>
      <c r="C313" t="s">
        <v>61</v>
      </c>
      <c r="D313" t="s">
        <v>18</v>
      </c>
      <c r="E313" t="s">
        <v>19</v>
      </c>
      <c r="F313" t="s">
        <v>24</v>
      </c>
      <c r="G313" s="1">
        <v>45600</v>
      </c>
      <c r="H313" t="s">
        <v>618</v>
      </c>
      <c r="I313">
        <v>3438072</v>
      </c>
      <c r="J313">
        <v>286506</v>
      </c>
      <c r="K313">
        <v>14904</v>
      </c>
      <c r="L313">
        <v>62212</v>
      </c>
      <c r="M313">
        <v>0.10580000000000001</v>
      </c>
      <c r="N313">
        <v>0.88500000000000001</v>
      </c>
      <c r="O313">
        <v>1</v>
      </c>
      <c r="P313" t="b">
        <f t="shared" si="9"/>
        <v>1</v>
      </c>
      <c r="Q313" t="str">
        <f t="shared" si="8"/>
        <v>Positive</v>
      </c>
    </row>
    <row r="314" spans="1:17" x14ac:dyDescent="0.3">
      <c r="A314" t="s">
        <v>619</v>
      </c>
      <c r="B314" t="s">
        <v>66</v>
      </c>
      <c r="C314" t="s">
        <v>17</v>
      </c>
      <c r="D314" t="s">
        <v>29</v>
      </c>
      <c r="E314" t="s">
        <v>51</v>
      </c>
      <c r="F314" t="s">
        <v>46</v>
      </c>
      <c r="G314" s="1">
        <v>45501</v>
      </c>
      <c r="H314" t="s">
        <v>620</v>
      </c>
      <c r="I314">
        <v>10920078</v>
      </c>
      <c r="J314">
        <v>474786</v>
      </c>
      <c r="K314">
        <v>38202</v>
      </c>
      <c r="L314">
        <v>41845</v>
      </c>
      <c r="M314">
        <v>5.0799999999999998E-2</v>
      </c>
      <c r="N314">
        <v>2.5000000000000001E-2</v>
      </c>
      <c r="O314">
        <v>1</v>
      </c>
      <c r="P314" t="b">
        <f t="shared" si="9"/>
        <v>1</v>
      </c>
      <c r="Q314" t="str">
        <f t="shared" si="8"/>
        <v>Positive</v>
      </c>
    </row>
    <row r="315" spans="1:17" x14ac:dyDescent="0.3">
      <c r="A315" t="s">
        <v>621</v>
      </c>
      <c r="B315" t="s">
        <v>66</v>
      </c>
      <c r="C315" t="s">
        <v>61</v>
      </c>
      <c r="D315" t="s">
        <v>18</v>
      </c>
      <c r="E315" t="s">
        <v>38</v>
      </c>
      <c r="F315" t="s">
        <v>55</v>
      </c>
      <c r="G315" s="1">
        <v>45629</v>
      </c>
      <c r="H315" t="s">
        <v>622</v>
      </c>
      <c r="I315">
        <v>9841817</v>
      </c>
      <c r="J315">
        <v>339373</v>
      </c>
      <c r="K315">
        <v>40047</v>
      </c>
      <c r="L315">
        <v>61666</v>
      </c>
      <c r="M315">
        <v>4.48E-2</v>
      </c>
      <c r="N315">
        <v>-0.55900000000000005</v>
      </c>
      <c r="O315">
        <v>1</v>
      </c>
      <c r="P315" t="b">
        <f t="shared" si="9"/>
        <v>1</v>
      </c>
      <c r="Q315" t="str">
        <f t="shared" si="8"/>
        <v>Negative</v>
      </c>
    </row>
    <row r="316" spans="1:17" x14ac:dyDescent="0.3">
      <c r="A316" t="s">
        <v>623</v>
      </c>
      <c r="B316" t="s">
        <v>16</v>
      </c>
      <c r="C316" t="s">
        <v>17</v>
      </c>
      <c r="D316" t="s">
        <v>54</v>
      </c>
      <c r="E316" t="s">
        <v>38</v>
      </c>
      <c r="F316" t="s">
        <v>55</v>
      </c>
      <c r="G316" s="1">
        <v>45653</v>
      </c>
      <c r="H316" t="s">
        <v>624</v>
      </c>
      <c r="I316">
        <v>4439344</v>
      </c>
      <c r="J316">
        <v>158548</v>
      </c>
      <c r="K316">
        <v>43518</v>
      </c>
      <c r="L316">
        <v>55555</v>
      </c>
      <c r="M316">
        <v>5.8000000000000003E-2</v>
      </c>
      <c r="N316">
        <v>-0.3</v>
      </c>
      <c r="O316">
        <v>1</v>
      </c>
      <c r="P316" t="b">
        <f t="shared" si="9"/>
        <v>1</v>
      </c>
      <c r="Q316" t="str">
        <f t="shared" si="8"/>
        <v>Negative</v>
      </c>
    </row>
    <row r="317" spans="1:17" x14ac:dyDescent="0.3">
      <c r="A317" t="s">
        <v>625</v>
      </c>
      <c r="B317" t="s">
        <v>66</v>
      </c>
      <c r="C317" t="s">
        <v>28</v>
      </c>
      <c r="D317" t="s">
        <v>73</v>
      </c>
      <c r="E317" t="s">
        <v>19</v>
      </c>
      <c r="F317" t="s">
        <v>24</v>
      </c>
      <c r="G317" s="1">
        <v>45404</v>
      </c>
      <c r="H317" t="s">
        <v>626</v>
      </c>
      <c r="I317">
        <v>11995128</v>
      </c>
      <c r="J317">
        <v>444264</v>
      </c>
      <c r="K317">
        <v>8250</v>
      </c>
      <c r="L317">
        <v>72751</v>
      </c>
      <c r="M317">
        <v>4.3799999999999999E-2</v>
      </c>
      <c r="N317">
        <v>0.76800000000000002</v>
      </c>
      <c r="O317">
        <v>1</v>
      </c>
      <c r="P317" t="b">
        <f t="shared" si="9"/>
        <v>1</v>
      </c>
      <c r="Q317" t="str">
        <f t="shared" si="8"/>
        <v>Positive</v>
      </c>
    </row>
    <row r="318" spans="1:17" x14ac:dyDescent="0.3">
      <c r="A318" t="s">
        <v>627</v>
      </c>
      <c r="B318" t="s">
        <v>32</v>
      </c>
      <c r="C318" t="s">
        <v>23</v>
      </c>
      <c r="D318" t="s">
        <v>33</v>
      </c>
      <c r="E318" t="s">
        <v>38</v>
      </c>
      <c r="F318" t="s">
        <v>20</v>
      </c>
      <c r="G318" s="1">
        <v>45545</v>
      </c>
      <c r="H318" t="s">
        <v>628</v>
      </c>
      <c r="I318">
        <v>1077972</v>
      </c>
      <c r="J318">
        <v>76998</v>
      </c>
      <c r="K318">
        <v>18302</v>
      </c>
      <c r="L318">
        <v>30449</v>
      </c>
      <c r="M318">
        <v>0.1167</v>
      </c>
      <c r="N318">
        <v>0.03</v>
      </c>
      <c r="O318">
        <v>0</v>
      </c>
      <c r="P318" t="b">
        <f t="shared" si="9"/>
        <v>0</v>
      </c>
      <c r="Q318" t="str">
        <f t="shared" si="8"/>
        <v>Positive</v>
      </c>
    </row>
    <row r="319" spans="1:17" x14ac:dyDescent="0.3">
      <c r="A319" t="s">
        <v>629</v>
      </c>
      <c r="B319" t="s">
        <v>16</v>
      </c>
      <c r="C319" t="s">
        <v>23</v>
      </c>
      <c r="D319" t="s">
        <v>33</v>
      </c>
      <c r="E319" t="s">
        <v>19</v>
      </c>
      <c r="F319" t="s">
        <v>55</v>
      </c>
      <c r="G319" s="1">
        <v>45365</v>
      </c>
      <c r="H319" t="s">
        <v>630</v>
      </c>
      <c r="I319">
        <v>2931187</v>
      </c>
      <c r="J319">
        <v>418741</v>
      </c>
      <c r="K319">
        <v>26690</v>
      </c>
      <c r="L319">
        <v>24579</v>
      </c>
      <c r="M319">
        <v>0.1603</v>
      </c>
      <c r="N319">
        <v>-0.55100000000000005</v>
      </c>
      <c r="O319">
        <v>1</v>
      </c>
      <c r="P319" t="b">
        <f t="shared" si="9"/>
        <v>1</v>
      </c>
      <c r="Q319" t="str">
        <f t="shared" si="8"/>
        <v>Negative</v>
      </c>
    </row>
    <row r="320" spans="1:17" x14ac:dyDescent="0.3">
      <c r="A320" t="s">
        <v>631</v>
      </c>
      <c r="B320" t="s">
        <v>27</v>
      </c>
      <c r="C320" t="s">
        <v>28</v>
      </c>
      <c r="D320" t="s">
        <v>37</v>
      </c>
      <c r="E320" t="s">
        <v>41</v>
      </c>
      <c r="F320" t="s">
        <v>46</v>
      </c>
      <c r="G320" s="1">
        <v>45359</v>
      </c>
      <c r="H320" t="s">
        <v>632</v>
      </c>
      <c r="I320">
        <v>7816399</v>
      </c>
      <c r="J320">
        <v>269531</v>
      </c>
      <c r="K320">
        <v>33665</v>
      </c>
      <c r="L320">
        <v>75759</v>
      </c>
      <c r="M320">
        <v>4.8500000000000001E-2</v>
      </c>
      <c r="N320">
        <v>0.186</v>
      </c>
      <c r="O320">
        <v>1</v>
      </c>
      <c r="P320" t="b">
        <f t="shared" si="9"/>
        <v>1</v>
      </c>
      <c r="Q320" t="str">
        <f t="shared" si="8"/>
        <v>Positive</v>
      </c>
    </row>
    <row r="321" spans="1:17" x14ac:dyDescent="0.3">
      <c r="A321" t="s">
        <v>633</v>
      </c>
      <c r="B321" t="s">
        <v>16</v>
      </c>
      <c r="C321" t="s">
        <v>28</v>
      </c>
      <c r="D321" t="s">
        <v>73</v>
      </c>
      <c r="E321" t="s">
        <v>51</v>
      </c>
      <c r="F321" t="s">
        <v>24</v>
      </c>
      <c r="G321" s="1">
        <v>45388</v>
      </c>
      <c r="H321" t="s">
        <v>334</v>
      </c>
      <c r="I321">
        <v>452413</v>
      </c>
      <c r="J321">
        <v>34801</v>
      </c>
      <c r="K321">
        <v>17769</v>
      </c>
      <c r="L321">
        <v>17675</v>
      </c>
      <c r="M321">
        <v>0.15529999999999999</v>
      </c>
      <c r="N321">
        <v>-0.218</v>
      </c>
      <c r="O321">
        <v>0</v>
      </c>
      <c r="P321" t="b">
        <f t="shared" si="9"/>
        <v>0</v>
      </c>
      <c r="Q321" t="str">
        <f t="shared" si="8"/>
        <v>Negative</v>
      </c>
    </row>
    <row r="322" spans="1:17" x14ac:dyDescent="0.3">
      <c r="A322" t="s">
        <v>634</v>
      </c>
      <c r="B322" t="s">
        <v>32</v>
      </c>
      <c r="C322" t="s">
        <v>23</v>
      </c>
      <c r="D322" t="s">
        <v>29</v>
      </c>
      <c r="E322" t="s">
        <v>58</v>
      </c>
      <c r="F322" t="s">
        <v>34</v>
      </c>
      <c r="G322" s="1">
        <v>45336</v>
      </c>
      <c r="H322" t="s">
        <v>635</v>
      </c>
      <c r="I322">
        <v>306194</v>
      </c>
      <c r="J322">
        <v>43742</v>
      </c>
      <c r="K322">
        <v>32289</v>
      </c>
      <c r="L322">
        <v>65161</v>
      </c>
      <c r="M322">
        <v>0.46110000000000001</v>
      </c>
      <c r="N322">
        <v>0.91100000000000003</v>
      </c>
      <c r="O322">
        <v>0</v>
      </c>
      <c r="P322" t="b">
        <f t="shared" si="9"/>
        <v>0</v>
      </c>
      <c r="Q322" t="str">
        <f t="shared" ref="Q322:Q385" si="10">IF(N322&gt;0,"Positive","Negative")</f>
        <v>Positive</v>
      </c>
    </row>
    <row r="323" spans="1:17" x14ac:dyDescent="0.3">
      <c r="A323" t="s">
        <v>636</v>
      </c>
      <c r="B323" t="s">
        <v>27</v>
      </c>
      <c r="C323" t="s">
        <v>28</v>
      </c>
      <c r="D323" t="s">
        <v>73</v>
      </c>
      <c r="E323" t="s">
        <v>51</v>
      </c>
      <c r="F323" t="s">
        <v>46</v>
      </c>
      <c r="G323" s="1">
        <v>45408</v>
      </c>
      <c r="H323" t="s">
        <v>637</v>
      </c>
      <c r="I323">
        <v>5475325</v>
      </c>
      <c r="J323">
        <v>288175</v>
      </c>
      <c r="K323">
        <v>28846</v>
      </c>
      <c r="L323">
        <v>29193</v>
      </c>
      <c r="M323">
        <v>6.3200000000000006E-2</v>
      </c>
      <c r="N323">
        <v>0.31</v>
      </c>
      <c r="O323">
        <v>1</v>
      </c>
      <c r="P323" t="b">
        <f t="shared" ref="P323:P386" si="11">IF(O323=1,TRUE,FALSE)</f>
        <v>1</v>
      </c>
      <c r="Q323" t="str">
        <f t="shared" si="10"/>
        <v>Positive</v>
      </c>
    </row>
    <row r="324" spans="1:17" x14ac:dyDescent="0.3">
      <c r="A324" t="s">
        <v>638</v>
      </c>
      <c r="B324" t="s">
        <v>16</v>
      </c>
      <c r="C324" t="s">
        <v>28</v>
      </c>
      <c r="D324" t="s">
        <v>18</v>
      </c>
      <c r="E324" t="s">
        <v>41</v>
      </c>
      <c r="F324" t="s">
        <v>24</v>
      </c>
      <c r="G324" s="1">
        <v>45639</v>
      </c>
      <c r="H324" t="s">
        <v>639</v>
      </c>
      <c r="I324">
        <v>6213304</v>
      </c>
      <c r="J324">
        <v>327016</v>
      </c>
      <c r="K324">
        <v>15590</v>
      </c>
      <c r="L324">
        <v>25560</v>
      </c>
      <c r="M324">
        <v>5.9299999999999999E-2</v>
      </c>
      <c r="N324">
        <v>-0.99</v>
      </c>
      <c r="O324">
        <v>1</v>
      </c>
      <c r="P324" t="b">
        <f t="shared" si="11"/>
        <v>1</v>
      </c>
      <c r="Q324" t="str">
        <f t="shared" si="10"/>
        <v>Negative</v>
      </c>
    </row>
    <row r="325" spans="1:17" x14ac:dyDescent="0.3">
      <c r="A325" t="s">
        <v>640</v>
      </c>
      <c r="B325" t="s">
        <v>66</v>
      </c>
      <c r="C325" t="s">
        <v>61</v>
      </c>
      <c r="D325" t="s">
        <v>37</v>
      </c>
      <c r="E325" t="s">
        <v>19</v>
      </c>
      <c r="F325" t="s">
        <v>55</v>
      </c>
      <c r="G325" s="1">
        <v>45640</v>
      </c>
      <c r="H325" t="s">
        <v>641</v>
      </c>
      <c r="I325">
        <v>3364372</v>
      </c>
      <c r="J325">
        <v>152926</v>
      </c>
      <c r="K325">
        <v>3977</v>
      </c>
      <c r="L325">
        <v>70832</v>
      </c>
      <c r="M325">
        <v>6.7699999999999996E-2</v>
      </c>
      <c r="N325">
        <v>-0.83799999999999997</v>
      </c>
      <c r="O325">
        <v>1</v>
      </c>
      <c r="P325" t="b">
        <f t="shared" si="11"/>
        <v>1</v>
      </c>
      <c r="Q325" t="str">
        <f t="shared" si="10"/>
        <v>Negative</v>
      </c>
    </row>
    <row r="326" spans="1:17" x14ac:dyDescent="0.3">
      <c r="A326" t="s">
        <v>642</v>
      </c>
      <c r="B326" t="s">
        <v>16</v>
      </c>
      <c r="C326" t="s">
        <v>61</v>
      </c>
      <c r="D326" t="s">
        <v>29</v>
      </c>
      <c r="E326" t="s">
        <v>19</v>
      </c>
      <c r="F326" t="s">
        <v>46</v>
      </c>
      <c r="G326" s="1">
        <v>45399</v>
      </c>
      <c r="H326" t="s">
        <v>643</v>
      </c>
      <c r="I326">
        <v>3496599</v>
      </c>
      <c r="J326">
        <v>388511</v>
      </c>
      <c r="K326">
        <v>9908</v>
      </c>
      <c r="L326">
        <v>3021</v>
      </c>
      <c r="M326">
        <v>0.1148</v>
      </c>
      <c r="N326">
        <v>0.98299999999999998</v>
      </c>
      <c r="O326">
        <v>1</v>
      </c>
      <c r="P326" t="b">
        <f t="shared" si="11"/>
        <v>1</v>
      </c>
      <c r="Q326" t="str">
        <f t="shared" si="10"/>
        <v>Positive</v>
      </c>
    </row>
    <row r="327" spans="1:17" x14ac:dyDescent="0.3">
      <c r="A327" t="s">
        <v>644</v>
      </c>
      <c r="B327" t="s">
        <v>32</v>
      </c>
      <c r="C327" t="s">
        <v>23</v>
      </c>
      <c r="D327" t="s">
        <v>33</v>
      </c>
      <c r="E327" t="s">
        <v>19</v>
      </c>
      <c r="F327" t="s">
        <v>20</v>
      </c>
      <c r="G327" s="1">
        <v>45341</v>
      </c>
      <c r="H327" t="s">
        <v>645</v>
      </c>
      <c r="I327">
        <v>11427619</v>
      </c>
      <c r="J327">
        <v>496853</v>
      </c>
      <c r="K327">
        <v>9521</v>
      </c>
      <c r="L327">
        <v>2397</v>
      </c>
      <c r="M327">
        <v>4.4499999999999998E-2</v>
      </c>
      <c r="N327">
        <v>0.64900000000000002</v>
      </c>
      <c r="O327">
        <v>1</v>
      </c>
      <c r="P327" t="b">
        <f t="shared" si="11"/>
        <v>1</v>
      </c>
      <c r="Q327" t="str">
        <f t="shared" si="10"/>
        <v>Positive</v>
      </c>
    </row>
    <row r="328" spans="1:17" x14ac:dyDescent="0.3">
      <c r="A328" t="s">
        <v>646</v>
      </c>
      <c r="B328" t="s">
        <v>32</v>
      </c>
      <c r="C328" t="s">
        <v>23</v>
      </c>
      <c r="D328" t="s">
        <v>54</v>
      </c>
      <c r="E328" t="s">
        <v>41</v>
      </c>
      <c r="F328" t="s">
        <v>55</v>
      </c>
      <c r="G328" s="1">
        <v>45590</v>
      </c>
      <c r="H328" t="s">
        <v>35</v>
      </c>
      <c r="I328">
        <v>1593156</v>
      </c>
      <c r="J328">
        <v>132763</v>
      </c>
      <c r="K328">
        <v>11308</v>
      </c>
      <c r="L328">
        <v>30562</v>
      </c>
      <c r="M328">
        <v>0.1096</v>
      </c>
      <c r="N328">
        <v>0.13100000000000001</v>
      </c>
      <c r="O328">
        <v>0</v>
      </c>
      <c r="P328" t="b">
        <f t="shared" si="11"/>
        <v>0</v>
      </c>
      <c r="Q328" t="str">
        <f t="shared" si="10"/>
        <v>Positive</v>
      </c>
    </row>
    <row r="329" spans="1:17" x14ac:dyDescent="0.3">
      <c r="A329" t="s">
        <v>647</v>
      </c>
      <c r="B329" t="s">
        <v>27</v>
      </c>
      <c r="C329" t="s">
        <v>61</v>
      </c>
      <c r="D329" t="s">
        <v>73</v>
      </c>
      <c r="E329" t="s">
        <v>58</v>
      </c>
      <c r="F329" t="s">
        <v>55</v>
      </c>
      <c r="G329" s="1">
        <v>45541</v>
      </c>
      <c r="H329" t="s">
        <v>648</v>
      </c>
      <c r="I329">
        <v>5978160</v>
      </c>
      <c r="J329">
        <v>259920</v>
      </c>
      <c r="K329">
        <v>34085</v>
      </c>
      <c r="L329">
        <v>86232</v>
      </c>
      <c r="M329">
        <v>6.3600000000000004E-2</v>
      </c>
      <c r="N329">
        <v>0.73599999999999999</v>
      </c>
      <c r="O329">
        <v>1</v>
      </c>
      <c r="P329" t="b">
        <f t="shared" si="11"/>
        <v>1</v>
      </c>
      <c r="Q329" t="str">
        <f t="shared" si="10"/>
        <v>Positive</v>
      </c>
    </row>
    <row r="330" spans="1:17" x14ac:dyDescent="0.3">
      <c r="A330" t="s">
        <v>649</v>
      </c>
      <c r="B330" t="s">
        <v>66</v>
      </c>
      <c r="C330" t="s">
        <v>17</v>
      </c>
      <c r="D330" t="s">
        <v>37</v>
      </c>
      <c r="E330" t="s">
        <v>19</v>
      </c>
      <c r="F330" t="s">
        <v>46</v>
      </c>
      <c r="G330" s="1">
        <v>45384</v>
      </c>
      <c r="H330" t="s">
        <v>650</v>
      </c>
      <c r="I330">
        <v>3976940</v>
      </c>
      <c r="J330">
        <v>198847</v>
      </c>
      <c r="K330">
        <v>47461</v>
      </c>
      <c r="L330">
        <v>96827</v>
      </c>
      <c r="M330">
        <v>8.6300000000000002E-2</v>
      </c>
      <c r="N330">
        <v>0.41699999999999998</v>
      </c>
      <c r="O330">
        <v>1</v>
      </c>
      <c r="P330" t="b">
        <f t="shared" si="11"/>
        <v>1</v>
      </c>
      <c r="Q330" t="str">
        <f t="shared" si="10"/>
        <v>Positive</v>
      </c>
    </row>
    <row r="331" spans="1:17" x14ac:dyDescent="0.3">
      <c r="A331" t="s">
        <v>651</v>
      </c>
      <c r="B331" t="s">
        <v>66</v>
      </c>
      <c r="C331" t="s">
        <v>23</v>
      </c>
      <c r="D331" t="s">
        <v>54</v>
      </c>
      <c r="E331" t="s">
        <v>58</v>
      </c>
      <c r="F331" t="s">
        <v>20</v>
      </c>
      <c r="G331" s="1">
        <v>45497</v>
      </c>
      <c r="H331" t="s">
        <v>652</v>
      </c>
      <c r="I331">
        <v>5970244</v>
      </c>
      <c r="J331">
        <v>426446</v>
      </c>
      <c r="K331">
        <v>32093</v>
      </c>
      <c r="L331">
        <v>26293</v>
      </c>
      <c r="M331">
        <v>8.1199999999999994E-2</v>
      </c>
      <c r="N331">
        <v>-0.78800000000000003</v>
      </c>
      <c r="O331">
        <v>1</v>
      </c>
      <c r="P331" t="b">
        <f t="shared" si="11"/>
        <v>1</v>
      </c>
      <c r="Q331" t="str">
        <f t="shared" si="10"/>
        <v>Negative</v>
      </c>
    </row>
    <row r="332" spans="1:17" x14ac:dyDescent="0.3">
      <c r="A332" t="s">
        <v>653</v>
      </c>
      <c r="B332" t="s">
        <v>66</v>
      </c>
      <c r="C332" t="s">
        <v>61</v>
      </c>
      <c r="D332" t="s">
        <v>18</v>
      </c>
      <c r="E332" t="s">
        <v>41</v>
      </c>
      <c r="F332" t="s">
        <v>20</v>
      </c>
      <c r="G332" s="1">
        <v>45583</v>
      </c>
      <c r="H332" t="s">
        <v>654</v>
      </c>
      <c r="I332">
        <v>763114</v>
      </c>
      <c r="J332">
        <v>69374</v>
      </c>
      <c r="K332">
        <v>2474</v>
      </c>
      <c r="L332">
        <v>53948</v>
      </c>
      <c r="M332">
        <v>0.1648</v>
      </c>
      <c r="N332">
        <v>0.76300000000000001</v>
      </c>
      <c r="O332">
        <v>0</v>
      </c>
      <c r="P332" t="b">
        <f t="shared" si="11"/>
        <v>0</v>
      </c>
      <c r="Q332" t="str">
        <f t="shared" si="10"/>
        <v>Positive</v>
      </c>
    </row>
    <row r="333" spans="1:17" x14ac:dyDescent="0.3">
      <c r="A333" t="s">
        <v>655</v>
      </c>
      <c r="B333" t="s">
        <v>27</v>
      </c>
      <c r="C333" t="s">
        <v>28</v>
      </c>
      <c r="D333" t="s">
        <v>29</v>
      </c>
      <c r="E333" t="s">
        <v>38</v>
      </c>
      <c r="F333" t="s">
        <v>46</v>
      </c>
      <c r="G333" s="1">
        <v>45382</v>
      </c>
      <c r="H333" t="s">
        <v>187</v>
      </c>
      <c r="I333">
        <v>1145584</v>
      </c>
      <c r="J333">
        <v>49808</v>
      </c>
      <c r="K333">
        <v>9022</v>
      </c>
      <c r="L333">
        <v>68345</v>
      </c>
      <c r="M333">
        <v>0.111</v>
      </c>
      <c r="N333">
        <v>0.75800000000000001</v>
      </c>
      <c r="O333">
        <v>0</v>
      </c>
      <c r="P333" t="b">
        <f t="shared" si="11"/>
        <v>0</v>
      </c>
      <c r="Q333" t="str">
        <f t="shared" si="10"/>
        <v>Positive</v>
      </c>
    </row>
    <row r="334" spans="1:17" x14ac:dyDescent="0.3">
      <c r="A334" t="s">
        <v>656</v>
      </c>
      <c r="B334" t="s">
        <v>66</v>
      </c>
      <c r="C334" t="s">
        <v>23</v>
      </c>
      <c r="D334" t="s">
        <v>29</v>
      </c>
      <c r="E334" t="s">
        <v>51</v>
      </c>
      <c r="F334" t="s">
        <v>34</v>
      </c>
      <c r="G334" s="1">
        <v>45333</v>
      </c>
      <c r="H334" t="s">
        <v>657</v>
      </c>
      <c r="I334">
        <v>1175235</v>
      </c>
      <c r="J334">
        <v>78349</v>
      </c>
      <c r="K334">
        <v>40334</v>
      </c>
      <c r="L334">
        <v>2720</v>
      </c>
      <c r="M334">
        <v>0.1033</v>
      </c>
      <c r="N334">
        <v>-0.54300000000000004</v>
      </c>
      <c r="O334">
        <v>0</v>
      </c>
      <c r="P334" t="b">
        <f t="shared" si="11"/>
        <v>0</v>
      </c>
      <c r="Q334" t="str">
        <f t="shared" si="10"/>
        <v>Negative</v>
      </c>
    </row>
    <row r="335" spans="1:17" x14ac:dyDescent="0.3">
      <c r="A335" t="s">
        <v>658</v>
      </c>
      <c r="B335" t="s">
        <v>27</v>
      </c>
      <c r="C335" t="s">
        <v>23</v>
      </c>
      <c r="D335" t="s">
        <v>18</v>
      </c>
      <c r="E335" t="s">
        <v>41</v>
      </c>
      <c r="F335" t="s">
        <v>34</v>
      </c>
      <c r="G335" s="1">
        <v>45536</v>
      </c>
      <c r="H335" t="s">
        <v>659</v>
      </c>
      <c r="I335">
        <v>341072</v>
      </c>
      <c r="J335">
        <v>42634</v>
      </c>
      <c r="K335">
        <v>36771</v>
      </c>
      <c r="L335">
        <v>92242</v>
      </c>
      <c r="M335">
        <v>0.50329999999999997</v>
      </c>
      <c r="N335">
        <v>0.112</v>
      </c>
      <c r="O335">
        <v>0</v>
      </c>
      <c r="P335" t="b">
        <f t="shared" si="11"/>
        <v>0</v>
      </c>
      <c r="Q335" t="str">
        <f t="shared" si="10"/>
        <v>Positive</v>
      </c>
    </row>
    <row r="336" spans="1:17" x14ac:dyDescent="0.3">
      <c r="A336" t="s">
        <v>660</v>
      </c>
      <c r="B336" t="s">
        <v>27</v>
      </c>
      <c r="C336" t="s">
        <v>23</v>
      </c>
      <c r="D336" t="s">
        <v>18</v>
      </c>
      <c r="E336" t="s">
        <v>38</v>
      </c>
      <c r="F336" t="s">
        <v>34</v>
      </c>
      <c r="G336" s="1">
        <v>45550</v>
      </c>
      <c r="H336" t="s">
        <v>661</v>
      </c>
      <c r="I336">
        <v>2080144</v>
      </c>
      <c r="J336">
        <v>189104</v>
      </c>
      <c r="K336">
        <v>26593</v>
      </c>
      <c r="L336">
        <v>91660</v>
      </c>
      <c r="M336">
        <v>0.14779999999999999</v>
      </c>
      <c r="N336">
        <v>-0.61399999999999999</v>
      </c>
      <c r="O336">
        <v>1</v>
      </c>
      <c r="P336" t="b">
        <f t="shared" si="11"/>
        <v>1</v>
      </c>
      <c r="Q336" t="str">
        <f t="shared" si="10"/>
        <v>Negative</v>
      </c>
    </row>
    <row r="337" spans="1:17" x14ac:dyDescent="0.3">
      <c r="A337" t="s">
        <v>662</v>
      </c>
      <c r="B337" t="s">
        <v>66</v>
      </c>
      <c r="C337" t="s">
        <v>17</v>
      </c>
      <c r="D337" t="s">
        <v>18</v>
      </c>
      <c r="E337" t="s">
        <v>58</v>
      </c>
      <c r="F337" t="s">
        <v>55</v>
      </c>
      <c r="G337" s="1">
        <v>45380</v>
      </c>
      <c r="H337" t="s">
        <v>663</v>
      </c>
      <c r="I337">
        <v>6357936</v>
      </c>
      <c r="J337">
        <v>489072</v>
      </c>
      <c r="K337">
        <v>9887</v>
      </c>
      <c r="L337">
        <v>66673</v>
      </c>
      <c r="M337">
        <v>8.8999999999999996E-2</v>
      </c>
      <c r="N337">
        <v>0.26400000000000001</v>
      </c>
      <c r="O337">
        <v>1</v>
      </c>
      <c r="P337" t="b">
        <f t="shared" si="11"/>
        <v>1</v>
      </c>
      <c r="Q337" t="str">
        <f t="shared" si="10"/>
        <v>Positive</v>
      </c>
    </row>
    <row r="338" spans="1:17" x14ac:dyDescent="0.3">
      <c r="A338" t="s">
        <v>664</v>
      </c>
      <c r="B338" t="s">
        <v>27</v>
      </c>
      <c r="C338" t="s">
        <v>28</v>
      </c>
      <c r="D338" t="s">
        <v>33</v>
      </c>
      <c r="E338" t="s">
        <v>58</v>
      </c>
      <c r="F338" t="s">
        <v>20</v>
      </c>
      <c r="G338" s="1">
        <v>45371</v>
      </c>
      <c r="H338" t="s">
        <v>665</v>
      </c>
      <c r="I338">
        <v>4567864</v>
      </c>
      <c r="J338">
        <v>163138</v>
      </c>
      <c r="K338">
        <v>7014</v>
      </c>
      <c r="L338">
        <v>12988</v>
      </c>
      <c r="M338">
        <v>4.0099999999999997E-2</v>
      </c>
      <c r="N338">
        <v>0.63700000000000001</v>
      </c>
      <c r="O338">
        <v>1</v>
      </c>
      <c r="P338" t="b">
        <f t="shared" si="11"/>
        <v>1</v>
      </c>
      <c r="Q338" t="str">
        <f t="shared" si="10"/>
        <v>Positive</v>
      </c>
    </row>
    <row r="339" spans="1:17" x14ac:dyDescent="0.3">
      <c r="A339" t="s">
        <v>666</v>
      </c>
      <c r="B339" t="s">
        <v>27</v>
      </c>
      <c r="C339" t="s">
        <v>17</v>
      </c>
      <c r="D339" t="s">
        <v>37</v>
      </c>
      <c r="E339" t="s">
        <v>41</v>
      </c>
      <c r="F339" t="s">
        <v>20</v>
      </c>
      <c r="G339" s="1">
        <v>45343</v>
      </c>
      <c r="H339" t="s">
        <v>667</v>
      </c>
      <c r="I339">
        <v>1453969</v>
      </c>
      <c r="J339">
        <v>132179</v>
      </c>
      <c r="K339">
        <v>5450</v>
      </c>
      <c r="L339">
        <v>76243</v>
      </c>
      <c r="M339">
        <v>0.14710000000000001</v>
      </c>
      <c r="N339">
        <v>8.3000000000000004E-2</v>
      </c>
      <c r="O339">
        <v>0</v>
      </c>
      <c r="P339" t="b">
        <f t="shared" si="11"/>
        <v>0</v>
      </c>
      <c r="Q339" t="str">
        <f t="shared" si="10"/>
        <v>Positive</v>
      </c>
    </row>
    <row r="340" spans="1:17" x14ac:dyDescent="0.3">
      <c r="A340" t="s">
        <v>668</v>
      </c>
      <c r="B340" t="s">
        <v>32</v>
      </c>
      <c r="C340" t="s">
        <v>23</v>
      </c>
      <c r="D340" t="s">
        <v>29</v>
      </c>
      <c r="E340" t="s">
        <v>38</v>
      </c>
      <c r="F340" t="s">
        <v>24</v>
      </c>
      <c r="G340" s="1">
        <v>45414</v>
      </c>
      <c r="H340" t="s">
        <v>669</v>
      </c>
      <c r="I340">
        <v>8274937</v>
      </c>
      <c r="J340">
        <v>435523</v>
      </c>
      <c r="K340">
        <v>13286</v>
      </c>
      <c r="L340">
        <v>61247</v>
      </c>
      <c r="M340">
        <v>6.1600000000000002E-2</v>
      </c>
      <c r="N340">
        <v>0.86399999999999999</v>
      </c>
      <c r="O340">
        <v>1</v>
      </c>
      <c r="P340" t="b">
        <f t="shared" si="11"/>
        <v>1</v>
      </c>
      <c r="Q340" t="str">
        <f t="shared" si="10"/>
        <v>Positive</v>
      </c>
    </row>
    <row r="341" spans="1:17" x14ac:dyDescent="0.3">
      <c r="A341" t="s">
        <v>670</v>
      </c>
      <c r="B341" t="s">
        <v>27</v>
      </c>
      <c r="C341" t="s">
        <v>28</v>
      </c>
      <c r="D341" t="s">
        <v>37</v>
      </c>
      <c r="E341" t="s">
        <v>51</v>
      </c>
      <c r="F341" t="s">
        <v>34</v>
      </c>
      <c r="G341" s="1">
        <v>45352</v>
      </c>
      <c r="H341" t="s">
        <v>671</v>
      </c>
      <c r="I341">
        <v>9561600</v>
      </c>
      <c r="J341">
        <v>398400</v>
      </c>
      <c r="K341">
        <v>16666</v>
      </c>
      <c r="L341">
        <v>13508</v>
      </c>
      <c r="M341">
        <v>4.48E-2</v>
      </c>
      <c r="N341">
        <v>0.376</v>
      </c>
      <c r="O341">
        <v>1</v>
      </c>
      <c r="P341" t="b">
        <f t="shared" si="11"/>
        <v>1</v>
      </c>
      <c r="Q341" t="str">
        <f t="shared" si="10"/>
        <v>Positive</v>
      </c>
    </row>
    <row r="342" spans="1:17" x14ac:dyDescent="0.3">
      <c r="A342" t="s">
        <v>672</v>
      </c>
      <c r="B342" t="s">
        <v>32</v>
      </c>
      <c r="C342" t="s">
        <v>61</v>
      </c>
      <c r="D342" t="s">
        <v>54</v>
      </c>
      <c r="E342" t="s">
        <v>51</v>
      </c>
      <c r="F342" t="s">
        <v>55</v>
      </c>
      <c r="G342" s="1">
        <v>45514</v>
      </c>
      <c r="H342" t="s">
        <v>673</v>
      </c>
      <c r="I342">
        <v>6051152</v>
      </c>
      <c r="J342">
        <v>378197</v>
      </c>
      <c r="K342">
        <v>7496</v>
      </c>
      <c r="L342">
        <v>50193</v>
      </c>
      <c r="M342">
        <v>7.1999999999999995E-2</v>
      </c>
      <c r="N342">
        <v>-0.86499999999999999</v>
      </c>
      <c r="O342">
        <v>1</v>
      </c>
      <c r="P342" t="b">
        <f t="shared" si="11"/>
        <v>1</v>
      </c>
      <c r="Q342" t="str">
        <f t="shared" si="10"/>
        <v>Negative</v>
      </c>
    </row>
    <row r="343" spans="1:17" x14ac:dyDescent="0.3">
      <c r="A343" t="s">
        <v>674</v>
      </c>
      <c r="B343" t="s">
        <v>66</v>
      </c>
      <c r="C343" t="s">
        <v>23</v>
      </c>
      <c r="D343" t="s">
        <v>29</v>
      </c>
      <c r="E343" t="s">
        <v>51</v>
      </c>
      <c r="F343" t="s">
        <v>46</v>
      </c>
      <c r="G343" s="1">
        <v>45479</v>
      </c>
      <c r="H343" t="s">
        <v>675</v>
      </c>
      <c r="I343">
        <v>2063852</v>
      </c>
      <c r="J343">
        <v>73709</v>
      </c>
      <c r="K343">
        <v>9082</v>
      </c>
      <c r="L343">
        <v>20954</v>
      </c>
      <c r="M343">
        <v>5.0299999999999997E-2</v>
      </c>
      <c r="N343">
        <v>-0.90900000000000003</v>
      </c>
      <c r="O343">
        <v>1</v>
      </c>
      <c r="P343" t="b">
        <f t="shared" si="11"/>
        <v>1</v>
      </c>
      <c r="Q343" t="str">
        <f t="shared" si="10"/>
        <v>Negative</v>
      </c>
    </row>
    <row r="344" spans="1:17" x14ac:dyDescent="0.3">
      <c r="A344" t="s">
        <v>676</v>
      </c>
      <c r="B344" t="s">
        <v>32</v>
      </c>
      <c r="C344" t="s">
        <v>28</v>
      </c>
      <c r="D344" t="s">
        <v>73</v>
      </c>
      <c r="E344" t="s">
        <v>51</v>
      </c>
      <c r="F344" t="s">
        <v>55</v>
      </c>
      <c r="G344" s="1">
        <v>45633</v>
      </c>
      <c r="H344" t="s">
        <v>677</v>
      </c>
      <c r="I344">
        <v>6272527</v>
      </c>
      <c r="J344">
        <v>330133</v>
      </c>
      <c r="K344">
        <v>23826</v>
      </c>
      <c r="L344">
        <v>37568</v>
      </c>
      <c r="M344">
        <v>6.2399999999999997E-2</v>
      </c>
      <c r="N344">
        <v>0.93799999999999994</v>
      </c>
      <c r="O344">
        <v>1</v>
      </c>
      <c r="P344" t="b">
        <f t="shared" si="11"/>
        <v>1</v>
      </c>
      <c r="Q344" t="str">
        <f t="shared" si="10"/>
        <v>Positive</v>
      </c>
    </row>
    <row r="345" spans="1:17" x14ac:dyDescent="0.3">
      <c r="A345" t="s">
        <v>678</v>
      </c>
      <c r="B345" t="s">
        <v>32</v>
      </c>
      <c r="C345" t="s">
        <v>61</v>
      </c>
      <c r="D345" t="s">
        <v>33</v>
      </c>
      <c r="E345" t="s">
        <v>51</v>
      </c>
      <c r="F345" t="s">
        <v>24</v>
      </c>
      <c r="G345" s="1">
        <v>45535</v>
      </c>
      <c r="H345" t="s">
        <v>679</v>
      </c>
      <c r="I345">
        <v>1861800</v>
      </c>
      <c r="J345">
        <v>77575</v>
      </c>
      <c r="K345">
        <v>25343</v>
      </c>
      <c r="L345">
        <v>87267</v>
      </c>
      <c r="M345">
        <v>0.1022</v>
      </c>
      <c r="N345">
        <v>0.51700000000000002</v>
      </c>
      <c r="O345">
        <v>0</v>
      </c>
      <c r="P345" t="b">
        <f t="shared" si="11"/>
        <v>0</v>
      </c>
      <c r="Q345" t="str">
        <f t="shared" si="10"/>
        <v>Positive</v>
      </c>
    </row>
    <row r="346" spans="1:17" x14ac:dyDescent="0.3">
      <c r="A346" t="s">
        <v>680</v>
      </c>
      <c r="B346" t="s">
        <v>32</v>
      </c>
      <c r="C346" t="s">
        <v>23</v>
      </c>
      <c r="D346" t="s">
        <v>29</v>
      </c>
      <c r="E346" t="s">
        <v>58</v>
      </c>
      <c r="F346" t="s">
        <v>34</v>
      </c>
      <c r="G346" s="1">
        <v>45405</v>
      </c>
      <c r="H346" t="s">
        <v>681</v>
      </c>
      <c r="I346">
        <v>4146142</v>
      </c>
      <c r="J346">
        <v>218218</v>
      </c>
      <c r="K346">
        <v>44069</v>
      </c>
      <c r="L346">
        <v>7814</v>
      </c>
      <c r="M346">
        <v>6.5100000000000005E-2</v>
      </c>
      <c r="N346">
        <v>-2.3E-2</v>
      </c>
      <c r="O346">
        <v>1</v>
      </c>
      <c r="P346" t="b">
        <f t="shared" si="11"/>
        <v>1</v>
      </c>
      <c r="Q346" t="str">
        <f t="shared" si="10"/>
        <v>Negative</v>
      </c>
    </row>
    <row r="347" spans="1:17" x14ac:dyDescent="0.3">
      <c r="A347" t="s">
        <v>682</v>
      </c>
      <c r="B347" t="s">
        <v>16</v>
      </c>
      <c r="C347" t="s">
        <v>23</v>
      </c>
      <c r="D347" t="s">
        <v>33</v>
      </c>
      <c r="E347" t="s">
        <v>51</v>
      </c>
      <c r="F347" t="s">
        <v>55</v>
      </c>
      <c r="G347" s="1">
        <v>45462</v>
      </c>
      <c r="H347" t="s">
        <v>683</v>
      </c>
      <c r="I347">
        <v>2516562</v>
      </c>
      <c r="J347">
        <v>93206</v>
      </c>
      <c r="K347">
        <v>27087</v>
      </c>
      <c r="L347">
        <v>29242</v>
      </c>
      <c r="M347">
        <v>5.9400000000000001E-2</v>
      </c>
      <c r="N347">
        <v>-0.108</v>
      </c>
      <c r="O347">
        <v>1</v>
      </c>
      <c r="P347" t="b">
        <f t="shared" si="11"/>
        <v>1</v>
      </c>
      <c r="Q347" t="str">
        <f t="shared" si="10"/>
        <v>Negative</v>
      </c>
    </row>
    <row r="348" spans="1:17" x14ac:dyDescent="0.3">
      <c r="A348" t="s">
        <v>684</v>
      </c>
      <c r="B348" t="s">
        <v>27</v>
      </c>
      <c r="C348" t="s">
        <v>17</v>
      </c>
      <c r="D348" t="s">
        <v>33</v>
      </c>
      <c r="E348" t="s">
        <v>58</v>
      </c>
      <c r="F348" t="s">
        <v>24</v>
      </c>
      <c r="G348" s="1">
        <v>45326</v>
      </c>
      <c r="H348" t="s">
        <v>142</v>
      </c>
      <c r="I348">
        <v>2017911</v>
      </c>
      <c r="J348">
        <v>288273</v>
      </c>
      <c r="K348">
        <v>13030</v>
      </c>
      <c r="L348">
        <v>14289</v>
      </c>
      <c r="M348">
        <v>0.15640000000000001</v>
      </c>
      <c r="N348">
        <v>-9.7000000000000003E-2</v>
      </c>
      <c r="O348">
        <v>1</v>
      </c>
      <c r="P348" t="b">
        <f t="shared" si="11"/>
        <v>1</v>
      </c>
      <c r="Q348" t="str">
        <f t="shared" si="10"/>
        <v>Negative</v>
      </c>
    </row>
    <row r="349" spans="1:17" x14ac:dyDescent="0.3">
      <c r="A349" t="s">
        <v>685</v>
      </c>
      <c r="B349" t="s">
        <v>32</v>
      </c>
      <c r="C349" t="s">
        <v>23</v>
      </c>
      <c r="D349" t="s">
        <v>29</v>
      </c>
      <c r="E349" t="s">
        <v>51</v>
      </c>
      <c r="F349" t="s">
        <v>46</v>
      </c>
      <c r="G349" s="1">
        <v>45407</v>
      </c>
      <c r="H349" t="s">
        <v>686</v>
      </c>
      <c r="I349">
        <v>3196950</v>
      </c>
      <c r="J349">
        <v>213130</v>
      </c>
      <c r="K349">
        <v>3347</v>
      </c>
      <c r="L349">
        <v>41847</v>
      </c>
      <c r="M349">
        <v>8.0799999999999997E-2</v>
      </c>
      <c r="N349">
        <v>-0.55800000000000005</v>
      </c>
      <c r="O349">
        <v>1</v>
      </c>
      <c r="P349" t="b">
        <f t="shared" si="11"/>
        <v>1</v>
      </c>
      <c r="Q349" t="str">
        <f t="shared" si="10"/>
        <v>Negative</v>
      </c>
    </row>
    <row r="350" spans="1:17" x14ac:dyDescent="0.3">
      <c r="A350" t="s">
        <v>687</v>
      </c>
      <c r="B350" t="s">
        <v>16</v>
      </c>
      <c r="C350" t="s">
        <v>61</v>
      </c>
      <c r="D350" t="s">
        <v>54</v>
      </c>
      <c r="E350" t="s">
        <v>58</v>
      </c>
      <c r="F350" t="s">
        <v>24</v>
      </c>
      <c r="G350" s="1">
        <v>45348</v>
      </c>
      <c r="H350" t="s">
        <v>688</v>
      </c>
      <c r="I350">
        <v>10892664</v>
      </c>
      <c r="J350">
        <v>453861</v>
      </c>
      <c r="K350">
        <v>46771</v>
      </c>
      <c r="L350">
        <v>78798</v>
      </c>
      <c r="M350">
        <v>5.3199999999999997E-2</v>
      </c>
      <c r="N350">
        <v>0.309</v>
      </c>
      <c r="O350">
        <v>1</v>
      </c>
      <c r="P350" t="b">
        <f t="shared" si="11"/>
        <v>1</v>
      </c>
      <c r="Q350" t="str">
        <f t="shared" si="10"/>
        <v>Positive</v>
      </c>
    </row>
    <row r="351" spans="1:17" x14ac:dyDescent="0.3">
      <c r="A351" t="s">
        <v>689</v>
      </c>
      <c r="B351" t="s">
        <v>66</v>
      </c>
      <c r="C351" t="s">
        <v>28</v>
      </c>
      <c r="D351" t="s">
        <v>33</v>
      </c>
      <c r="E351" t="s">
        <v>58</v>
      </c>
      <c r="F351" t="s">
        <v>46</v>
      </c>
      <c r="G351" s="1">
        <v>45407</v>
      </c>
      <c r="H351" t="s">
        <v>690</v>
      </c>
      <c r="I351">
        <v>7107150</v>
      </c>
      <c r="J351">
        <v>284286</v>
      </c>
      <c r="K351">
        <v>44418</v>
      </c>
      <c r="L351">
        <v>93624</v>
      </c>
      <c r="M351">
        <v>5.9400000000000001E-2</v>
      </c>
      <c r="N351">
        <v>0.81899999999999995</v>
      </c>
      <c r="O351">
        <v>1</v>
      </c>
      <c r="P351" t="b">
        <f t="shared" si="11"/>
        <v>1</v>
      </c>
      <c r="Q351" t="str">
        <f t="shared" si="10"/>
        <v>Positive</v>
      </c>
    </row>
    <row r="352" spans="1:17" x14ac:dyDescent="0.3">
      <c r="A352" t="s">
        <v>691</v>
      </c>
      <c r="B352" t="s">
        <v>27</v>
      </c>
      <c r="C352" t="s">
        <v>28</v>
      </c>
      <c r="D352" t="s">
        <v>37</v>
      </c>
      <c r="E352" t="s">
        <v>51</v>
      </c>
      <c r="F352" t="s">
        <v>46</v>
      </c>
      <c r="G352" s="1">
        <v>45539</v>
      </c>
      <c r="H352" t="s">
        <v>692</v>
      </c>
      <c r="I352">
        <v>2590160</v>
      </c>
      <c r="J352">
        <v>259016</v>
      </c>
      <c r="K352">
        <v>28607</v>
      </c>
      <c r="L352">
        <v>53332</v>
      </c>
      <c r="M352">
        <v>0.13159999999999999</v>
      </c>
      <c r="N352">
        <v>0.52</v>
      </c>
      <c r="O352">
        <v>1</v>
      </c>
      <c r="P352" t="b">
        <f t="shared" si="11"/>
        <v>1</v>
      </c>
      <c r="Q352" t="str">
        <f t="shared" si="10"/>
        <v>Positive</v>
      </c>
    </row>
    <row r="353" spans="1:17" x14ac:dyDescent="0.3">
      <c r="A353" t="s">
        <v>693</v>
      </c>
      <c r="B353" t="s">
        <v>32</v>
      </c>
      <c r="C353" t="s">
        <v>61</v>
      </c>
      <c r="D353" t="s">
        <v>18</v>
      </c>
      <c r="E353" t="s">
        <v>58</v>
      </c>
      <c r="F353" t="s">
        <v>20</v>
      </c>
      <c r="G353" s="1">
        <v>45556</v>
      </c>
      <c r="H353" t="s">
        <v>185</v>
      </c>
      <c r="I353">
        <v>1633680</v>
      </c>
      <c r="J353">
        <v>163368</v>
      </c>
      <c r="K353">
        <v>5631</v>
      </c>
      <c r="L353">
        <v>7425</v>
      </c>
      <c r="M353">
        <v>0.108</v>
      </c>
      <c r="N353">
        <v>-0.54</v>
      </c>
      <c r="O353">
        <v>0</v>
      </c>
      <c r="P353" t="b">
        <f t="shared" si="11"/>
        <v>0</v>
      </c>
      <c r="Q353" t="str">
        <f t="shared" si="10"/>
        <v>Negative</v>
      </c>
    </row>
    <row r="354" spans="1:17" x14ac:dyDescent="0.3">
      <c r="A354" t="s">
        <v>694</v>
      </c>
      <c r="B354" t="s">
        <v>66</v>
      </c>
      <c r="C354" t="s">
        <v>17</v>
      </c>
      <c r="D354" t="s">
        <v>73</v>
      </c>
      <c r="E354" t="s">
        <v>38</v>
      </c>
      <c r="F354" t="s">
        <v>55</v>
      </c>
      <c r="G354" s="1">
        <v>45606</v>
      </c>
      <c r="H354" t="s">
        <v>695</v>
      </c>
      <c r="I354">
        <v>8301216</v>
      </c>
      <c r="J354">
        <v>395296</v>
      </c>
      <c r="K354">
        <v>48295</v>
      </c>
      <c r="L354">
        <v>26432</v>
      </c>
      <c r="M354">
        <v>5.6599999999999998E-2</v>
      </c>
      <c r="N354">
        <v>0.30299999999999999</v>
      </c>
      <c r="O354">
        <v>1</v>
      </c>
      <c r="P354" t="b">
        <f t="shared" si="11"/>
        <v>1</v>
      </c>
      <c r="Q354" t="str">
        <f t="shared" si="10"/>
        <v>Positive</v>
      </c>
    </row>
    <row r="355" spans="1:17" x14ac:dyDescent="0.3">
      <c r="A355" t="s">
        <v>696</v>
      </c>
      <c r="B355" t="s">
        <v>27</v>
      </c>
      <c r="C355" t="s">
        <v>28</v>
      </c>
      <c r="D355" t="s">
        <v>18</v>
      </c>
      <c r="E355" t="s">
        <v>41</v>
      </c>
      <c r="F355" t="s">
        <v>55</v>
      </c>
      <c r="G355" s="1">
        <v>45532</v>
      </c>
      <c r="H355" t="s">
        <v>697</v>
      </c>
      <c r="I355">
        <v>529700</v>
      </c>
      <c r="J355">
        <v>26485</v>
      </c>
      <c r="K355">
        <v>38163</v>
      </c>
      <c r="L355">
        <v>23020</v>
      </c>
      <c r="M355">
        <v>0.16550000000000001</v>
      </c>
      <c r="N355">
        <v>8.5999999999999993E-2</v>
      </c>
      <c r="O355">
        <v>0</v>
      </c>
      <c r="P355" t="b">
        <f t="shared" si="11"/>
        <v>0</v>
      </c>
      <c r="Q355" t="str">
        <f t="shared" si="10"/>
        <v>Positive</v>
      </c>
    </row>
    <row r="356" spans="1:17" x14ac:dyDescent="0.3">
      <c r="A356" t="s">
        <v>698</v>
      </c>
      <c r="B356" t="s">
        <v>66</v>
      </c>
      <c r="C356" t="s">
        <v>28</v>
      </c>
      <c r="D356" t="s">
        <v>37</v>
      </c>
      <c r="E356" t="s">
        <v>38</v>
      </c>
      <c r="F356" t="s">
        <v>20</v>
      </c>
      <c r="G356" s="1">
        <v>45396</v>
      </c>
      <c r="H356" t="s">
        <v>699</v>
      </c>
      <c r="I356">
        <v>7095175</v>
      </c>
      <c r="J356">
        <v>283807</v>
      </c>
      <c r="K356">
        <v>39346</v>
      </c>
      <c r="L356">
        <v>5777</v>
      </c>
      <c r="M356">
        <v>4.6399999999999997E-2</v>
      </c>
      <c r="N356">
        <v>-0.69299999999999995</v>
      </c>
      <c r="O356">
        <v>1</v>
      </c>
      <c r="P356" t="b">
        <f t="shared" si="11"/>
        <v>1</v>
      </c>
      <c r="Q356" t="str">
        <f t="shared" si="10"/>
        <v>Negative</v>
      </c>
    </row>
    <row r="357" spans="1:17" x14ac:dyDescent="0.3">
      <c r="A357" t="s">
        <v>700</v>
      </c>
      <c r="B357" t="s">
        <v>27</v>
      </c>
      <c r="C357" t="s">
        <v>23</v>
      </c>
      <c r="D357" t="s">
        <v>73</v>
      </c>
      <c r="E357" t="s">
        <v>51</v>
      </c>
      <c r="F357" t="s">
        <v>55</v>
      </c>
      <c r="G357" s="1">
        <v>45614</v>
      </c>
      <c r="H357" t="s">
        <v>112</v>
      </c>
      <c r="I357">
        <v>8285136</v>
      </c>
      <c r="J357">
        <v>345214</v>
      </c>
      <c r="K357">
        <v>46770</v>
      </c>
      <c r="L357">
        <v>85554</v>
      </c>
      <c r="M357">
        <v>5.7599999999999998E-2</v>
      </c>
      <c r="N357">
        <v>-0.96399999999999997</v>
      </c>
      <c r="O357">
        <v>1</v>
      </c>
      <c r="P357" t="b">
        <f t="shared" si="11"/>
        <v>1</v>
      </c>
      <c r="Q357" t="str">
        <f t="shared" si="10"/>
        <v>Negative</v>
      </c>
    </row>
    <row r="358" spans="1:17" x14ac:dyDescent="0.3">
      <c r="A358" t="s">
        <v>701</v>
      </c>
      <c r="B358" t="s">
        <v>16</v>
      </c>
      <c r="C358" t="s">
        <v>17</v>
      </c>
      <c r="D358" t="s">
        <v>33</v>
      </c>
      <c r="E358" t="s">
        <v>38</v>
      </c>
      <c r="F358" t="s">
        <v>46</v>
      </c>
      <c r="G358" s="1">
        <v>45594</v>
      </c>
      <c r="H358" t="s">
        <v>702</v>
      </c>
      <c r="I358">
        <v>4824000</v>
      </c>
      <c r="J358">
        <v>192960</v>
      </c>
      <c r="K358">
        <v>17348</v>
      </c>
      <c r="L358">
        <v>38828</v>
      </c>
      <c r="M358">
        <v>5.16E-2</v>
      </c>
      <c r="N358">
        <v>0.82399999999999995</v>
      </c>
      <c r="O358">
        <v>1</v>
      </c>
      <c r="P358" t="b">
        <f t="shared" si="11"/>
        <v>1</v>
      </c>
      <c r="Q358" t="str">
        <f t="shared" si="10"/>
        <v>Positive</v>
      </c>
    </row>
    <row r="359" spans="1:17" x14ac:dyDescent="0.3">
      <c r="A359" t="s">
        <v>703</v>
      </c>
      <c r="B359" t="s">
        <v>16</v>
      </c>
      <c r="C359" t="s">
        <v>23</v>
      </c>
      <c r="D359" t="s">
        <v>37</v>
      </c>
      <c r="E359" t="s">
        <v>19</v>
      </c>
      <c r="F359" t="s">
        <v>20</v>
      </c>
      <c r="G359" s="1">
        <v>45471</v>
      </c>
      <c r="H359" t="s">
        <v>392</v>
      </c>
      <c r="I359">
        <v>12961289</v>
      </c>
      <c r="J359">
        <v>446941</v>
      </c>
      <c r="K359">
        <v>15256</v>
      </c>
      <c r="L359">
        <v>527</v>
      </c>
      <c r="M359">
        <v>3.5700000000000003E-2</v>
      </c>
      <c r="N359">
        <v>-0.998</v>
      </c>
      <c r="O359">
        <v>1</v>
      </c>
      <c r="P359" t="b">
        <f t="shared" si="11"/>
        <v>1</v>
      </c>
      <c r="Q359" t="str">
        <f t="shared" si="10"/>
        <v>Negative</v>
      </c>
    </row>
    <row r="360" spans="1:17" x14ac:dyDescent="0.3">
      <c r="A360" t="s">
        <v>704</v>
      </c>
      <c r="B360" t="s">
        <v>66</v>
      </c>
      <c r="C360" t="s">
        <v>61</v>
      </c>
      <c r="D360" t="s">
        <v>33</v>
      </c>
      <c r="E360" t="s">
        <v>51</v>
      </c>
      <c r="F360" t="s">
        <v>34</v>
      </c>
      <c r="G360" s="1">
        <v>45323</v>
      </c>
      <c r="H360" t="s">
        <v>705</v>
      </c>
      <c r="I360">
        <v>4170400</v>
      </c>
      <c r="J360">
        <v>260650</v>
      </c>
      <c r="K360">
        <v>11541</v>
      </c>
      <c r="L360">
        <v>28542</v>
      </c>
      <c r="M360">
        <v>7.2099999999999997E-2</v>
      </c>
      <c r="N360">
        <v>-0.505</v>
      </c>
      <c r="O360">
        <v>1</v>
      </c>
      <c r="P360" t="b">
        <f t="shared" si="11"/>
        <v>1</v>
      </c>
      <c r="Q360" t="str">
        <f t="shared" si="10"/>
        <v>Negative</v>
      </c>
    </row>
    <row r="361" spans="1:17" x14ac:dyDescent="0.3">
      <c r="A361" t="s">
        <v>706</v>
      </c>
      <c r="B361" t="s">
        <v>66</v>
      </c>
      <c r="C361" t="s">
        <v>23</v>
      </c>
      <c r="D361" t="s">
        <v>37</v>
      </c>
      <c r="E361" t="s">
        <v>58</v>
      </c>
      <c r="F361" t="s">
        <v>24</v>
      </c>
      <c r="G361" s="1">
        <v>45487</v>
      </c>
      <c r="H361" t="s">
        <v>447</v>
      </c>
      <c r="I361">
        <v>7857724</v>
      </c>
      <c r="J361">
        <v>270956</v>
      </c>
      <c r="K361">
        <v>38570</v>
      </c>
      <c r="L361">
        <v>65456</v>
      </c>
      <c r="M361">
        <v>4.7699999999999999E-2</v>
      </c>
      <c r="N361">
        <v>-0.67800000000000005</v>
      </c>
      <c r="O361">
        <v>1</v>
      </c>
      <c r="P361" t="b">
        <f t="shared" si="11"/>
        <v>1</v>
      </c>
      <c r="Q361" t="str">
        <f t="shared" si="10"/>
        <v>Negative</v>
      </c>
    </row>
    <row r="362" spans="1:17" x14ac:dyDescent="0.3">
      <c r="A362" t="s">
        <v>707</v>
      </c>
      <c r="B362" t="s">
        <v>66</v>
      </c>
      <c r="C362" t="s">
        <v>28</v>
      </c>
      <c r="D362" t="s">
        <v>37</v>
      </c>
      <c r="E362" t="s">
        <v>19</v>
      </c>
      <c r="F362" t="s">
        <v>34</v>
      </c>
      <c r="G362" s="1">
        <v>45466</v>
      </c>
      <c r="H362" t="s">
        <v>708</v>
      </c>
      <c r="I362">
        <v>779094</v>
      </c>
      <c r="J362">
        <v>129849</v>
      </c>
      <c r="K362">
        <v>5114</v>
      </c>
      <c r="L362">
        <v>49269</v>
      </c>
      <c r="M362">
        <v>0.23649999999999999</v>
      </c>
      <c r="N362">
        <v>0.59499999999999997</v>
      </c>
      <c r="O362">
        <v>0</v>
      </c>
      <c r="P362" t="b">
        <f t="shared" si="11"/>
        <v>0</v>
      </c>
      <c r="Q362" t="str">
        <f t="shared" si="10"/>
        <v>Positive</v>
      </c>
    </row>
    <row r="363" spans="1:17" x14ac:dyDescent="0.3">
      <c r="A363" t="s">
        <v>709</v>
      </c>
      <c r="B363" t="s">
        <v>16</v>
      </c>
      <c r="C363" t="s">
        <v>61</v>
      </c>
      <c r="D363" t="s">
        <v>18</v>
      </c>
      <c r="E363" t="s">
        <v>19</v>
      </c>
      <c r="F363" t="s">
        <v>24</v>
      </c>
      <c r="G363" s="1">
        <v>45307</v>
      </c>
      <c r="H363" t="s">
        <v>171</v>
      </c>
      <c r="I363">
        <v>5343366</v>
      </c>
      <c r="J363">
        <v>254446</v>
      </c>
      <c r="K363">
        <v>29764</v>
      </c>
      <c r="L363">
        <v>85709</v>
      </c>
      <c r="M363">
        <v>6.9199999999999998E-2</v>
      </c>
      <c r="N363">
        <v>-0.97699999999999998</v>
      </c>
      <c r="O363">
        <v>1</v>
      </c>
      <c r="P363" t="b">
        <f t="shared" si="11"/>
        <v>1</v>
      </c>
      <c r="Q363" t="str">
        <f t="shared" si="10"/>
        <v>Negative</v>
      </c>
    </row>
    <row r="364" spans="1:17" x14ac:dyDescent="0.3">
      <c r="A364" t="s">
        <v>710</v>
      </c>
      <c r="B364" t="s">
        <v>66</v>
      </c>
      <c r="C364" t="s">
        <v>17</v>
      </c>
      <c r="D364" t="s">
        <v>18</v>
      </c>
      <c r="E364" t="s">
        <v>41</v>
      </c>
      <c r="F364" t="s">
        <v>34</v>
      </c>
      <c r="G364" s="1">
        <v>45488</v>
      </c>
      <c r="H364" t="s">
        <v>711</v>
      </c>
      <c r="I364">
        <v>5595150</v>
      </c>
      <c r="J364">
        <v>254325</v>
      </c>
      <c r="K364">
        <v>26594</v>
      </c>
      <c r="L364">
        <v>30016</v>
      </c>
      <c r="M364">
        <v>5.5599999999999997E-2</v>
      </c>
      <c r="N364">
        <v>-0.04</v>
      </c>
      <c r="O364">
        <v>1</v>
      </c>
      <c r="P364" t="b">
        <f t="shared" si="11"/>
        <v>1</v>
      </c>
      <c r="Q364" t="str">
        <f t="shared" si="10"/>
        <v>Negative</v>
      </c>
    </row>
    <row r="365" spans="1:17" x14ac:dyDescent="0.3">
      <c r="A365" t="s">
        <v>712</v>
      </c>
      <c r="B365" t="s">
        <v>66</v>
      </c>
      <c r="C365" t="s">
        <v>61</v>
      </c>
      <c r="D365" t="s">
        <v>54</v>
      </c>
      <c r="E365" t="s">
        <v>19</v>
      </c>
      <c r="F365" t="s">
        <v>46</v>
      </c>
      <c r="G365" s="1">
        <v>45405</v>
      </c>
      <c r="H365" t="s">
        <v>87</v>
      </c>
      <c r="I365">
        <v>2898270</v>
      </c>
      <c r="J365">
        <v>193218</v>
      </c>
      <c r="K365">
        <v>41130</v>
      </c>
      <c r="L365">
        <v>26144</v>
      </c>
      <c r="M365">
        <v>8.9899999999999994E-2</v>
      </c>
      <c r="N365">
        <v>0.39</v>
      </c>
      <c r="O365">
        <v>1</v>
      </c>
      <c r="P365" t="b">
        <f t="shared" si="11"/>
        <v>1</v>
      </c>
      <c r="Q365" t="str">
        <f t="shared" si="10"/>
        <v>Positive</v>
      </c>
    </row>
    <row r="366" spans="1:17" x14ac:dyDescent="0.3">
      <c r="A366" t="s">
        <v>713</v>
      </c>
      <c r="B366" t="s">
        <v>16</v>
      </c>
      <c r="C366" t="s">
        <v>61</v>
      </c>
      <c r="D366" t="s">
        <v>54</v>
      </c>
      <c r="E366" t="s">
        <v>51</v>
      </c>
      <c r="F366" t="s">
        <v>24</v>
      </c>
      <c r="G366" s="1">
        <v>45366</v>
      </c>
      <c r="H366" t="s">
        <v>714</v>
      </c>
      <c r="I366">
        <v>772656</v>
      </c>
      <c r="J366">
        <v>64388</v>
      </c>
      <c r="K366">
        <v>20586</v>
      </c>
      <c r="L366">
        <v>52649</v>
      </c>
      <c r="M366">
        <v>0.17810000000000001</v>
      </c>
      <c r="N366">
        <v>0.44900000000000001</v>
      </c>
      <c r="O366">
        <v>0</v>
      </c>
      <c r="P366" t="b">
        <f t="shared" si="11"/>
        <v>0</v>
      </c>
      <c r="Q366" t="str">
        <f t="shared" si="10"/>
        <v>Positive</v>
      </c>
    </row>
    <row r="367" spans="1:17" x14ac:dyDescent="0.3">
      <c r="A367" t="s">
        <v>715</v>
      </c>
      <c r="B367" t="s">
        <v>32</v>
      </c>
      <c r="C367" t="s">
        <v>61</v>
      </c>
      <c r="D367" t="s">
        <v>18</v>
      </c>
      <c r="E367" t="s">
        <v>51</v>
      </c>
      <c r="F367" t="s">
        <v>55</v>
      </c>
      <c r="G367" s="1">
        <v>45310</v>
      </c>
      <c r="H367" t="s">
        <v>35</v>
      </c>
      <c r="I367">
        <v>1457358</v>
      </c>
      <c r="J367">
        <v>69398</v>
      </c>
      <c r="K367">
        <v>46172</v>
      </c>
      <c r="L367">
        <v>75305</v>
      </c>
      <c r="M367">
        <v>0.13100000000000001</v>
      </c>
      <c r="N367">
        <v>-0.79400000000000004</v>
      </c>
      <c r="O367">
        <v>0</v>
      </c>
      <c r="P367" t="b">
        <f t="shared" si="11"/>
        <v>0</v>
      </c>
      <c r="Q367" t="str">
        <f t="shared" si="10"/>
        <v>Negative</v>
      </c>
    </row>
    <row r="368" spans="1:17" x14ac:dyDescent="0.3">
      <c r="A368" t="s">
        <v>716</v>
      </c>
      <c r="B368" t="s">
        <v>32</v>
      </c>
      <c r="C368" t="s">
        <v>23</v>
      </c>
      <c r="D368" t="s">
        <v>18</v>
      </c>
      <c r="E368" t="s">
        <v>51</v>
      </c>
      <c r="F368" t="s">
        <v>34</v>
      </c>
      <c r="G368" s="1">
        <v>45613</v>
      </c>
      <c r="H368" t="s">
        <v>44</v>
      </c>
      <c r="I368">
        <v>11585210</v>
      </c>
      <c r="J368">
        <v>445585</v>
      </c>
      <c r="K368">
        <v>38564</v>
      </c>
      <c r="L368">
        <v>74320</v>
      </c>
      <c r="M368">
        <v>4.82E-2</v>
      </c>
      <c r="N368">
        <v>0.23599999999999999</v>
      </c>
      <c r="O368">
        <v>1</v>
      </c>
      <c r="P368" t="b">
        <f t="shared" si="11"/>
        <v>1</v>
      </c>
      <c r="Q368" t="str">
        <f t="shared" si="10"/>
        <v>Positive</v>
      </c>
    </row>
    <row r="369" spans="1:17" x14ac:dyDescent="0.3">
      <c r="A369" t="s">
        <v>717</v>
      </c>
      <c r="B369" t="s">
        <v>16</v>
      </c>
      <c r="C369" t="s">
        <v>23</v>
      </c>
      <c r="D369" t="s">
        <v>33</v>
      </c>
      <c r="E369" t="s">
        <v>41</v>
      </c>
      <c r="F369" t="s">
        <v>34</v>
      </c>
      <c r="G369" s="1">
        <v>45347</v>
      </c>
      <c r="H369" t="s">
        <v>718</v>
      </c>
      <c r="I369">
        <v>3732372</v>
      </c>
      <c r="J369">
        <v>311031</v>
      </c>
      <c r="K369">
        <v>35493</v>
      </c>
      <c r="L369">
        <v>74442</v>
      </c>
      <c r="M369">
        <v>0.1128</v>
      </c>
      <c r="N369">
        <v>-0.98</v>
      </c>
      <c r="O369">
        <v>1</v>
      </c>
      <c r="P369" t="b">
        <f t="shared" si="11"/>
        <v>1</v>
      </c>
      <c r="Q369" t="str">
        <f t="shared" si="10"/>
        <v>Negative</v>
      </c>
    </row>
    <row r="370" spans="1:17" x14ac:dyDescent="0.3">
      <c r="A370" t="s">
        <v>719</v>
      </c>
      <c r="B370" t="s">
        <v>27</v>
      </c>
      <c r="C370" t="s">
        <v>23</v>
      </c>
      <c r="D370" t="s">
        <v>37</v>
      </c>
      <c r="E370" t="s">
        <v>41</v>
      </c>
      <c r="F370" t="s">
        <v>24</v>
      </c>
      <c r="G370" s="1">
        <v>45294</v>
      </c>
      <c r="H370" t="s">
        <v>130</v>
      </c>
      <c r="I370">
        <v>973275</v>
      </c>
      <c r="J370">
        <v>194655</v>
      </c>
      <c r="K370">
        <v>49158</v>
      </c>
      <c r="L370">
        <v>6369</v>
      </c>
      <c r="M370">
        <v>0.2571</v>
      </c>
      <c r="N370">
        <v>0.76500000000000001</v>
      </c>
      <c r="O370">
        <v>0</v>
      </c>
      <c r="P370" t="b">
        <f t="shared" si="11"/>
        <v>0</v>
      </c>
      <c r="Q370" t="str">
        <f t="shared" si="10"/>
        <v>Positive</v>
      </c>
    </row>
    <row r="371" spans="1:17" x14ac:dyDescent="0.3">
      <c r="A371" t="s">
        <v>720</v>
      </c>
      <c r="B371" t="s">
        <v>16</v>
      </c>
      <c r="C371" t="s">
        <v>17</v>
      </c>
      <c r="D371" t="s">
        <v>29</v>
      </c>
      <c r="E371" t="s">
        <v>51</v>
      </c>
      <c r="F371" t="s">
        <v>34</v>
      </c>
      <c r="G371" s="1">
        <v>45496</v>
      </c>
      <c r="H371" t="s">
        <v>721</v>
      </c>
      <c r="I371">
        <v>12406810</v>
      </c>
      <c r="J371">
        <v>477185</v>
      </c>
      <c r="K371">
        <v>23121</v>
      </c>
      <c r="L371">
        <v>56986</v>
      </c>
      <c r="M371">
        <v>4.4900000000000002E-2</v>
      </c>
      <c r="N371">
        <v>-0.35599999999999998</v>
      </c>
      <c r="O371">
        <v>1</v>
      </c>
      <c r="P371" t="b">
        <f t="shared" si="11"/>
        <v>1</v>
      </c>
      <c r="Q371" t="str">
        <f t="shared" si="10"/>
        <v>Negative</v>
      </c>
    </row>
    <row r="372" spans="1:17" x14ac:dyDescent="0.3">
      <c r="A372" t="s">
        <v>722</v>
      </c>
      <c r="B372" t="s">
        <v>27</v>
      </c>
      <c r="C372" t="s">
        <v>28</v>
      </c>
      <c r="D372" t="s">
        <v>29</v>
      </c>
      <c r="E372" t="s">
        <v>38</v>
      </c>
      <c r="F372" t="s">
        <v>55</v>
      </c>
      <c r="G372" s="1">
        <v>45488</v>
      </c>
      <c r="H372" t="s">
        <v>723</v>
      </c>
      <c r="I372">
        <v>3820194</v>
      </c>
      <c r="J372">
        <v>212233</v>
      </c>
      <c r="K372">
        <v>23403</v>
      </c>
      <c r="L372">
        <v>98394</v>
      </c>
      <c r="M372">
        <v>8.7400000000000005E-2</v>
      </c>
      <c r="N372">
        <v>0.38600000000000001</v>
      </c>
      <c r="O372">
        <v>1</v>
      </c>
      <c r="P372" t="b">
        <f t="shared" si="11"/>
        <v>1</v>
      </c>
      <c r="Q372" t="str">
        <f t="shared" si="10"/>
        <v>Positive</v>
      </c>
    </row>
    <row r="373" spans="1:17" x14ac:dyDescent="0.3">
      <c r="A373" t="s">
        <v>724</v>
      </c>
      <c r="B373" t="s">
        <v>32</v>
      </c>
      <c r="C373" t="s">
        <v>28</v>
      </c>
      <c r="D373" t="s">
        <v>29</v>
      </c>
      <c r="E373" t="s">
        <v>58</v>
      </c>
      <c r="F373" t="s">
        <v>55</v>
      </c>
      <c r="G373" s="1">
        <v>45464</v>
      </c>
      <c r="H373" t="s">
        <v>725</v>
      </c>
      <c r="I373">
        <v>3434886</v>
      </c>
      <c r="J373">
        <v>127218</v>
      </c>
      <c r="K373">
        <v>3046</v>
      </c>
      <c r="L373">
        <v>65642</v>
      </c>
      <c r="M373">
        <v>5.7000000000000002E-2</v>
      </c>
      <c r="N373">
        <v>0.34100000000000003</v>
      </c>
      <c r="O373">
        <v>1</v>
      </c>
      <c r="P373" t="b">
        <f t="shared" si="11"/>
        <v>1</v>
      </c>
      <c r="Q373" t="str">
        <f t="shared" si="10"/>
        <v>Positive</v>
      </c>
    </row>
    <row r="374" spans="1:17" x14ac:dyDescent="0.3">
      <c r="A374" t="s">
        <v>726</v>
      </c>
      <c r="B374" t="s">
        <v>16</v>
      </c>
      <c r="C374" t="s">
        <v>23</v>
      </c>
      <c r="D374" t="s">
        <v>33</v>
      </c>
      <c r="E374" t="s">
        <v>19</v>
      </c>
      <c r="F374" t="s">
        <v>34</v>
      </c>
      <c r="G374" s="1">
        <v>45627</v>
      </c>
      <c r="H374" t="s">
        <v>727</v>
      </c>
      <c r="I374">
        <v>358029</v>
      </c>
      <c r="J374">
        <v>51147</v>
      </c>
      <c r="K374">
        <v>6095</v>
      </c>
      <c r="L374">
        <v>57661</v>
      </c>
      <c r="M374">
        <v>0.32090000000000002</v>
      </c>
      <c r="N374">
        <v>0.79200000000000004</v>
      </c>
      <c r="O374">
        <v>0</v>
      </c>
      <c r="P374" t="b">
        <f t="shared" si="11"/>
        <v>0</v>
      </c>
      <c r="Q374" t="str">
        <f t="shared" si="10"/>
        <v>Positive</v>
      </c>
    </row>
    <row r="375" spans="1:17" x14ac:dyDescent="0.3">
      <c r="A375" t="s">
        <v>728</v>
      </c>
      <c r="B375" t="s">
        <v>16</v>
      </c>
      <c r="C375" t="s">
        <v>17</v>
      </c>
      <c r="D375" t="s">
        <v>18</v>
      </c>
      <c r="E375" t="s">
        <v>58</v>
      </c>
      <c r="F375" t="s">
        <v>46</v>
      </c>
      <c r="G375" s="1">
        <v>45543</v>
      </c>
      <c r="H375" t="s">
        <v>729</v>
      </c>
      <c r="I375">
        <v>2796924</v>
      </c>
      <c r="J375">
        <v>215148</v>
      </c>
      <c r="K375">
        <v>39690</v>
      </c>
      <c r="L375">
        <v>26016</v>
      </c>
      <c r="M375">
        <v>0.1004</v>
      </c>
      <c r="N375">
        <v>0.41799999999999998</v>
      </c>
      <c r="O375">
        <v>1</v>
      </c>
      <c r="P375" t="b">
        <f t="shared" si="11"/>
        <v>1</v>
      </c>
      <c r="Q375" t="str">
        <f t="shared" si="10"/>
        <v>Positive</v>
      </c>
    </row>
    <row r="376" spans="1:17" x14ac:dyDescent="0.3">
      <c r="A376" t="s">
        <v>730</v>
      </c>
      <c r="B376" t="s">
        <v>16</v>
      </c>
      <c r="C376" t="s">
        <v>28</v>
      </c>
      <c r="D376" t="s">
        <v>54</v>
      </c>
      <c r="E376" t="s">
        <v>19</v>
      </c>
      <c r="F376" t="s">
        <v>20</v>
      </c>
      <c r="G376" s="1">
        <v>45588</v>
      </c>
      <c r="H376" t="s">
        <v>731</v>
      </c>
      <c r="I376">
        <v>8747016</v>
      </c>
      <c r="J376">
        <v>364459</v>
      </c>
      <c r="K376">
        <v>26294</v>
      </c>
      <c r="L376">
        <v>3390</v>
      </c>
      <c r="M376">
        <v>4.5100000000000001E-2</v>
      </c>
      <c r="N376">
        <v>-0.32100000000000001</v>
      </c>
      <c r="O376">
        <v>1</v>
      </c>
      <c r="P376" t="b">
        <f t="shared" si="11"/>
        <v>1</v>
      </c>
      <c r="Q376" t="str">
        <f t="shared" si="10"/>
        <v>Negative</v>
      </c>
    </row>
    <row r="377" spans="1:17" x14ac:dyDescent="0.3">
      <c r="A377" t="s">
        <v>732</v>
      </c>
      <c r="B377" t="s">
        <v>16</v>
      </c>
      <c r="C377" t="s">
        <v>17</v>
      </c>
      <c r="D377" t="s">
        <v>37</v>
      </c>
      <c r="E377" t="s">
        <v>58</v>
      </c>
      <c r="F377" t="s">
        <v>24</v>
      </c>
      <c r="G377" s="1">
        <v>45545</v>
      </c>
      <c r="H377" t="s">
        <v>733</v>
      </c>
      <c r="I377">
        <v>373890</v>
      </c>
      <c r="J377">
        <v>24926</v>
      </c>
      <c r="K377">
        <v>35203</v>
      </c>
      <c r="L377">
        <v>26631</v>
      </c>
      <c r="M377">
        <v>0.23200000000000001</v>
      </c>
      <c r="N377">
        <v>0.79</v>
      </c>
      <c r="O377">
        <v>0</v>
      </c>
      <c r="P377" t="b">
        <f t="shared" si="11"/>
        <v>0</v>
      </c>
      <c r="Q377" t="str">
        <f t="shared" si="10"/>
        <v>Positive</v>
      </c>
    </row>
    <row r="378" spans="1:17" x14ac:dyDescent="0.3">
      <c r="A378" t="s">
        <v>734</v>
      </c>
      <c r="B378" t="s">
        <v>66</v>
      </c>
      <c r="C378" t="s">
        <v>17</v>
      </c>
      <c r="D378" t="s">
        <v>33</v>
      </c>
      <c r="E378" t="s">
        <v>51</v>
      </c>
      <c r="F378" t="s">
        <v>34</v>
      </c>
      <c r="G378" s="1">
        <v>45360</v>
      </c>
      <c r="H378" t="s">
        <v>735</v>
      </c>
      <c r="I378">
        <v>11953526</v>
      </c>
      <c r="J378">
        <v>459751</v>
      </c>
      <c r="K378">
        <v>11658</v>
      </c>
      <c r="L378">
        <v>27962</v>
      </c>
      <c r="M378">
        <v>4.1799999999999997E-2</v>
      </c>
      <c r="N378">
        <v>-9.5000000000000001E-2</v>
      </c>
      <c r="O378">
        <v>1</v>
      </c>
      <c r="P378" t="b">
        <f t="shared" si="11"/>
        <v>1</v>
      </c>
      <c r="Q378" t="str">
        <f t="shared" si="10"/>
        <v>Negative</v>
      </c>
    </row>
    <row r="379" spans="1:17" x14ac:dyDescent="0.3">
      <c r="A379" t="s">
        <v>736</v>
      </c>
      <c r="B379" t="s">
        <v>27</v>
      </c>
      <c r="C379" t="s">
        <v>17</v>
      </c>
      <c r="D379" t="s">
        <v>37</v>
      </c>
      <c r="E379" t="s">
        <v>19</v>
      </c>
      <c r="F379" t="s">
        <v>20</v>
      </c>
      <c r="G379" s="1">
        <v>45601</v>
      </c>
      <c r="H379" t="s">
        <v>737</v>
      </c>
      <c r="I379">
        <v>1780524</v>
      </c>
      <c r="J379">
        <v>98918</v>
      </c>
      <c r="K379">
        <v>21293</v>
      </c>
      <c r="L379">
        <v>95082</v>
      </c>
      <c r="M379">
        <v>0.12089999999999999</v>
      </c>
      <c r="N379">
        <v>-0.83699999999999997</v>
      </c>
      <c r="O379">
        <v>0</v>
      </c>
      <c r="P379" t="b">
        <f t="shared" si="11"/>
        <v>0</v>
      </c>
      <c r="Q379" t="str">
        <f t="shared" si="10"/>
        <v>Negative</v>
      </c>
    </row>
    <row r="380" spans="1:17" x14ac:dyDescent="0.3">
      <c r="A380" t="s">
        <v>738</v>
      </c>
      <c r="B380" t="s">
        <v>66</v>
      </c>
      <c r="C380" t="s">
        <v>61</v>
      </c>
      <c r="D380" t="s">
        <v>29</v>
      </c>
      <c r="E380" t="s">
        <v>38</v>
      </c>
      <c r="F380" t="s">
        <v>46</v>
      </c>
      <c r="G380" s="1">
        <v>45389</v>
      </c>
      <c r="H380" t="s">
        <v>112</v>
      </c>
      <c r="I380">
        <v>3392912</v>
      </c>
      <c r="J380">
        <v>212057</v>
      </c>
      <c r="K380">
        <v>7184</v>
      </c>
      <c r="L380">
        <v>10327</v>
      </c>
      <c r="M380">
        <v>6.7699999999999996E-2</v>
      </c>
      <c r="N380">
        <v>-0.68100000000000005</v>
      </c>
      <c r="O380">
        <v>1</v>
      </c>
      <c r="P380" t="b">
        <f t="shared" si="11"/>
        <v>1</v>
      </c>
      <c r="Q380" t="str">
        <f t="shared" si="10"/>
        <v>Negative</v>
      </c>
    </row>
    <row r="381" spans="1:17" x14ac:dyDescent="0.3">
      <c r="A381" t="s">
        <v>739</v>
      </c>
      <c r="B381" t="s">
        <v>27</v>
      </c>
      <c r="C381" t="s">
        <v>61</v>
      </c>
      <c r="D381" t="s">
        <v>73</v>
      </c>
      <c r="E381" t="s">
        <v>41</v>
      </c>
      <c r="F381" t="s">
        <v>34</v>
      </c>
      <c r="G381" s="1">
        <v>45514</v>
      </c>
      <c r="H381" t="s">
        <v>740</v>
      </c>
      <c r="I381">
        <v>7852016</v>
      </c>
      <c r="J381">
        <v>341392</v>
      </c>
      <c r="K381">
        <v>17655</v>
      </c>
      <c r="L381">
        <v>26746</v>
      </c>
      <c r="M381">
        <v>4.9099999999999998E-2</v>
      </c>
      <c r="N381">
        <v>0.95199999999999996</v>
      </c>
      <c r="O381">
        <v>1</v>
      </c>
      <c r="P381" t="b">
        <f t="shared" si="11"/>
        <v>1</v>
      </c>
      <c r="Q381" t="str">
        <f t="shared" si="10"/>
        <v>Positive</v>
      </c>
    </row>
    <row r="382" spans="1:17" x14ac:dyDescent="0.3">
      <c r="A382" t="s">
        <v>741</v>
      </c>
      <c r="B382" t="s">
        <v>32</v>
      </c>
      <c r="C382" t="s">
        <v>61</v>
      </c>
      <c r="D382" t="s">
        <v>37</v>
      </c>
      <c r="E382" t="s">
        <v>19</v>
      </c>
      <c r="F382" t="s">
        <v>24</v>
      </c>
      <c r="G382" s="1">
        <v>45294</v>
      </c>
      <c r="H382" t="s">
        <v>319</v>
      </c>
      <c r="I382">
        <v>12039165</v>
      </c>
      <c r="J382">
        <v>445895</v>
      </c>
      <c r="K382">
        <v>4785</v>
      </c>
      <c r="L382">
        <v>83848</v>
      </c>
      <c r="M382">
        <v>4.4400000000000002E-2</v>
      </c>
      <c r="N382">
        <v>-0.13300000000000001</v>
      </c>
      <c r="O382">
        <v>1</v>
      </c>
      <c r="P382" t="b">
        <f t="shared" si="11"/>
        <v>1</v>
      </c>
      <c r="Q382" t="str">
        <f t="shared" si="10"/>
        <v>Negative</v>
      </c>
    </row>
    <row r="383" spans="1:17" x14ac:dyDescent="0.3">
      <c r="A383" t="s">
        <v>742</v>
      </c>
      <c r="B383" t="s">
        <v>27</v>
      </c>
      <c r="C383" t="s">
        <v>61</v>
      </c>
      <c r="D383" t="s">
        <v>37</v>
      </c>
      <c r="E383" t="s">
        <v>58</v>
      </c>
      <c r="F383" t="s">
        <v>20</v>
      </c>
      <c r="G383" s="1">
        <v>45509</v>
      </c>
      <c r="H383" t="s">
        <v>743</v>
      </c>
      <c r="I383">
        <v>7803202</v>
      </c>
      <c r="J383">
        <v>354691</v>
      </c>
      <c r="K383">
        <v>49463</v>
      </c>
      <c r="L383">
        <v>89900</v>
      </c>
      <c r="M383">
        <v>6.3299999999999995E-2</v>
      </c>
      <c r="N383">
        <v>-0.95799999999999996</v>
      </c>
      <c r="O383">
        <v>1</v>
      </c>
      <c r="P383" t="b">
        <f t="shared" si="11"/>
        <v>1</v>
      </c>
      <c r="Q383" t="str">
        <f t="shared" si="10"/>
        <v>Negative</v>
      </c>
    </row>
    <row r="384" spans="1:17" x14ac:dyDescent="0.3">
      <c r="A384" t="s">
        <v>744</v>
      </c>
      <c r="B384" t="s">
        <v>32</v>
      </c>
      <c r="C384" t="s">
        <v>28</v>
      </c>
      <c r="D384" t="s">
        <v>54</v>
      </c>
      <c r="E384" t="s">
        <v>38</v>
      </c>
      <c r="F384" t="s">
        <v>20</v>
      </c>
      <c r="G384" s="1">
        <v>45324</v>
      </c>
      <c r="H384" t="s">
        <v>745</v>
      </c>
      <c r="I384">
        <v>7793128</v>
      </c>
      <c r="J384">
        <v>278326</v>
      </c>
      <c r="K384">
        <v>666</v>
      </c>
      <c r="L384">
        <v>37413</v>
      </c>
      <c r="M384">
        <v>4.0599999999999997E-2</v>
      </c>
      <c r="N384">
        <v>0.95</v>
      </c>
      <c r="O384">
        <v>1</v>
      </c>
      <c r="P384" t="b">
        <f t="shared" si="11"/>
        <v>1</v>
      </c>
      <c r="Q384" t="str">
        <f t="shared" si="10"/>
        <v>Positive</v>
      </c>
    </row>
    <row r="385" spans="1:17" x14ac:dyDescent="0.3">
      <c r="A385" t="s">
        <v>746</v>
      </c>
      <c r="B385" t="s">
        <v>27</v>
      </c>
      <c r="C385" t="s">
        <v>23</v>
      </c>
      <c r="D385" t="s">
        <v>37</v>
      </c>
      <c r="E385" t="s">
        <v>41</v>
      </c>
      <c r="F385" t="s">
        <v>20</v>
      </c>
      <c r="G385" s="1">
        <v>45512</v>
      </c>
      <c r="H385" t="s">
        <v>747</v>
      </c>
      <c r="I385">
        <v>1718346</v>
      </c>
      <c r="J385">
        <v>245478</v>
      </c>
      <c r="K385">
        <v>14030</v>
      </c>
      <c r="L385">
        <v>8947</v>
      </c>
      <c r="M385">
        <v>0.15620000000000001</v>
      </c>
      <c r="N385">
        <v>-0.55900000000000005</v>
      </c>
      <c r="O385">
        <v>0</v>
      </c>
      <c r="P385" t="b">
        <f t="shared" si="11"/>
        <v>0</v>
      </c>
      <c r="Q385" t="str">
        <f t="shared" si="10"/>
        <v>Negative</v>
      </c>
    </row>
    <row r="386" spans="1:17" x14ac:dyDescent="0.3">
      <c r="A386" t="s">
        <v>748</v>
      </c>
      <c r="B386" t="s">
        <v>16</v>
      </c>
      <c r="C386" t="s">
        <v>28</v>
      </c>
      <c r="D386" t="s">
        <v>73</v>
      </c>
      <c r="E386" t="s">
        <v>58</v>
      </c>
      <c r="F386" t="s">
        <v>55</v>
      </c>
      <c r="G386" s="1">
        <v>45479</v>
      </c>
      <c r="H386" t="s">
        <v>749</v>
      </c>
      <c r="I386">
        <v>3064083</v>
      </c>
      <c r="J386">
        <v>278553</v>
      </c>
      <c r="K386">
        <v>46291</v>
      </c>
      <c r="L386">
        <v>98657</v>
      </c>
      <c r="M386">
        <v>0.13819999999999999</v>
      </c>
      <c r="N386">
        <v>-7.4999999999999997E-2</v>
      </c>
      <c r="O386">
        <v>1</v>
      </c>
      <c r="P386" t="b">
        <f t="shared" si="11"/>
        <v>1</v>
      </c>
      <c r="Q386" t="str">
        <f t="shared" ref="Q386:Q449" si="12">IF(N386&gt;0,"Positive","Negative")</f>
        <v>Negative</v>
      </c>
    </row>
    <row r="387" spans="1:17" x14ac:dyDescent="0.3">
      <c r="A387" t="s">
        <v>750</v>
      </c>
      <c r="B387" t="s">
        <v>16</v>
      </c>
      <c r="C387" t="s">
        <v>61</v>
      </c>
      <c r="D387" t="s">
        <v>54</v>
      </c>
      <c r="E387" t="s">
        <v>38</v>
      </c>
      <c r="F387" t="s">
        <v>55</v>
      </c>
      <c r="G387" s="1">
        <v>45333</v>
      </c>
      <c r="H387" t="s">
        <v>130</v>
      </c>
      <c r="I387">
        <v>13043996</v>
      </c>
      <c r="J387">
        <v>465857</v>
      </c>
      <c r="K387">
        <v>46809</v>
      </c>
      <c r="L387">
        <v>59322</v>
      </c>
      <c r="M387">
        <v>4.3900000000000002E-2</v>
      </c>
      <c r="N387">
        <v>-0.14899999999999999</v>
      </c>
      <c r="O387">
        <v>1</v>
      </c>
      <c r="P387" t="b">
        <f t="shared" ref="P387:P450" si="13">IF(O387=1,TRUE,FALSE)</f>
        <v>1</v>
      </c>
      <c r="Q387" t="str">
        <f t="shared" si="12"/>
        <v>Negative</v>
      </c>
    </row>
    <row r="388" spans="1:17" x14ac:dyDescent="0.3">
      <c r="A388" t="s">
        <v>751</v>
      </c>
      <c r="B388" t="s">
        <v>32</v>
      </c>
      <c r="C388" t="s">
        <v>23</v>
      </c>
      <c r="D388" t="s">
        <v>33</v>
      </c>
      <c r="E388" t="s">
        <v>58</v>
      </c>
      <c r="F388" t="s">
        <v>55</v>
      </c>
      <c r="G388" s="1">
        <v>45650</v>
      </c>
      <c r="H388" t="s">
        <v>752</v>
      </c>
      <c r="I388">
        <v>13206340</v>
      </c>
      <c r="J388">
        <v>471655</v>
      </c>
      <c r="K388">
        <v>25968</v>
      </c>
      <c r="L388">
        <v>39444</v>
      </c>
      <c r="M388">
        <v>4.07E-2</v>
      </c>
      <c r="N388">
        <v>8.6999999999999994E-2</v>
      </c>
      <c r="O388">
        <v>1</v>
      </c>
      <c r="P388" t="b">
        <f t="shared" si="13"/>
        <v>1</v>
      </c>
      <c r="Q388" t="str">
        <f t="shared" si="12"/>
        <v>Positive</v>
      </c>
    </row>
    <row r="389" spans="1:17" x14ac:dyDescent="0.3">
      <c r="A389" t="s">
        <v>753</v>
      </c>
      <c r="B389" t="s">
        <v>16</v>
      </c>
      <c r="C389" t="s">
        <v>23</v>
      </c>
      <c r="D389" t="s">
        <v>37</v>
      </c>
      <c r="E389" t="s">
        <v>51</v>
      </c>
      <c r="F389" t="s">
        <v>34</v>
      </c>
      <c r="G389" s="1">
        <v>45570</v>
      </c>
      <c r="H389" t="s">
        <v>754</v>
      </c>
      <c r="I389">
        <v>2744496</v>
      </c>
      <c r="J389">
        <v>343062</v>
      </c>
      <c r="K389">
        <v>4708</v>
      </c>
      <c r="L389">
        <v>65129</v>
      </c>
      <c r="M389">
        <v>0.15040000000000001</v>
      </c>
      <c r="N389">
        <v>-0.94099999999999995</v>
      </c>
      <c r="O389">
        <v>1</v>
      </c>
      <c r="P389" t="b">
        <f t="shared" si="13"/>
        <v>1</v>
      </c>
      <c r="Q389" t="str">
        <f t="shared" si="12"/>
        <v>Negative</v>
      </c>
    </row>
    <row r="390" spans="1:17" x14ac:dyDescent="0.3">
      <c r="A390" t="s">
        <v>755</v>
      </c>
      <c r="B390" t="s">
        <v>27</v>
      </c>
      <c r="C390" t="s">
        <v>23</v>
      </c>
      <c r="D390" t="s">
        <v>54</v>
      </c>
      <c r="E390" t="s">
        <v>19</v>
      </c>
      <c r="F390" t="s">
        <v>55</v>
      </c>
      <c r="G390" s="1">
        <v>45397</v>
      </c>
      <c r="H390" t="s">
        <v>673</v>
      </c>
      <c r="I390">
        <v>190110</v>
      </c>
      <c r="J390">
        <v>31685</v>
      </c>
      <c r="K390">
        <v>22020</v>
      </c>
      <c r="L390">
        <v>77540</v>
      </c>
      <c r="M390">
        <v>0.69040000000000001</v>
      </c>
      <c r="N390">
        <v>0.19500000000000001</v>
      </c>
      <c r="O390">
        <v>0</v>
      </c>
      <c r="P390" t="b">
        <f t="shared" si="13"/>
        <v>0</v>
      </c>
      <c r="Q390" t="str">
        <f t="shared" si="12"/>
        <v>Positive</v>
      </c>
    </row>
    <row r="391" spans="1:17" x14ac:dyDescent="0.3">
      <c r="A391" t="s">
        <v>756</v>
      </c>
      <c r="B391" t="s">
        <v>32</v>
      </c>
      <c r="C391" t="s">
        <v>17</v>
      </c>
      <c r="D391" t="s">
        <v>37</v>
      </c>
      <c r="E391" t="s">
        <v>51</v>
      </c>
      <c r="F391" t="s">
        <v>24</v>
      </c>
      <c r="G391" s="1">
        <v>45501</v>
      </c>
      <c r="H391" t="s">
        <v>757</v>
      </c>
      <c r="I391">
        <v>10810529</v>
      </c>
      <c r="J391">
        <v>470023</v>
      </c>
      <c r="K391">
        <v>45355</v>
      </c>
      <c r="L391">
        <v>12202</v>
      </c>
      <c r="M391">
        <v>4.8800000000000003E-2</v>
      </c>
      <c r="N391">
        <v>0.185</v>
      </c>
      <c r="O391">
        <v>1</v>
      </c>
      <c r="P391" t="b">
        <f t="shared" si="13"/>
        <v>1</v>
      </c>
      <c r="Q391" t="str">
        <f t="shared" si="12"/>
        <v>Positive</v>
      </c>
    </row>
    <row r="392" spans="1:17" x14ac:dyDescent="0.3">
      <c r="A392" t="s">
        <v>758</v>
      </c>
      <c r="B392" t="s">
        <v>27</v>
      </c>
      <c r="C392" t="s">
        <v>23</v>
      </c>
      <c r="D392" t="s">
        <v>18</v>
      </c>
      <c r="E392" t="s">
        <v>19</v>
      </c>
      <c r="F392" t="s">
        <v>20</v>
      </c>
      <c r="G392" s="1">
        <v>45525</v>
      </c>
      <c r="H392" t="s">
        <v>201</v>
      </c>
      <c r="I392">
        <v>931238</v>
      </c>
      <c r="J392">
        <v>42329</v>
      </c>
      <c r="K392">
        <v>21121</v>
      </c>
      <c r="L392">
        <v>48365</v>
      </c>
      <c r="M392">
        <v>0.1201</v>
      </c>
      <c r="N392">
        <v>0.26300000000000001</v>
      </c>
      <c r="O392">
        <v>0</v>
      </c>
      <c r="P392" t="b">
        <f t="shared" si="13"/>
        <v>0</v>
      </c>
      <c r="Q392" t="str">
        <f t="shared" si="12"/>
        <v>Positive</v>
      </c>
    </row>
    <row r="393" spans="1:17" x14ac:dyDescent="0.3">
      <c r="A393" t="s">
        <v>759</v>
      </c>
      <c r="B393" t="s">
        <v>27</v>
      </c>
      <c r="C393" t="s">
        <v>61</v>
      </c>
      <c r="D393" t="s">
        <v>37</v>
      </c>
      <c r="E393" t="s">
        <v>58</v>
      </c>
      <c r="F393" t="s">
        <v>20</v>
      </c>
      <c r="G393" s="1">
        <v>45605</v>
      </c>
      <c r="H393" t="s">
        <v>760</v>
      </c>
      <c r="I393">
        <v>2776976</v>
      </c>
      <c r="J393">
        <v>347122</v>
      </c>
      <c r="K393">
        <v>27495</v>
      </c>
      <c r="L393">
        <v>19976</v>
      </c>
      <c r="M393">
        <v>0.1421</v>
      </c>
      <c r="N393">
        <v>0.81799999999999995</v>
      </c>
      <c r="O393">
        <v>1</v>
      </c>
      <c r="P393" t="b">
        <f t="shared" si="13"/>
        <v>1</v>
      </c>
      <c r="Q393" t="str">
        <f t="shared" si="12"/>
        <v>Positive</v>
      </c>
    </row>
    <row r="394" spans="1:17" x14ac:dyDescent="0.3">
      <c r="A394" t="s">
        <v>761</v>
      </c>
      <c r="B394" t="s">
        <v>27</v>
      </c>
      <c r="C394" t="s">
        <v>17</v>
      </c>
      <c r="D394" t="s">
        <v>54</v>
      </c>
      <c r="E394" t="s">
        <v>58</v>
      </c>
      <c r="F394" t="s">
        <v>24</v>
      </c>
      <c r="G394" s="1">
        <v>45369</v>
      </c>
      <c r="H394" t="s">
        <v>762</v>
      </c>
      <c r="I394">
        <v>7287786</v>
      </c>
      <c r="J394">
        <v>404877</v>
      </c>
      <c r="K394">
        <v>41904</v>
      </c>
      <c r="L394">
        <v>66062</v>
      </c>
      <c r="M394">
        <v>7.0400000000000004E-2</v>
      </c>
      <c r="N394">
        <v>2.5000000000000001E-2</v>
      </c>
      <c r="O394">
        <v>1</v>
      </c>
      <c r="P394" t="b">
        <f t="shared" si="13"/>
        <v>1</v>
      </c>
      <c r="Q394" t="str">
        <f t="shared" si="12"/>
        <v>Positive</v>
      </c>
    </row>
    <row r="395" spans="1:17" x14ac:dyDescent="0.3">
      <c r="A395" t="s">
        <v>763</v>
      </c>
      <c r="B395" t="s">
        <v>32</v>
      </c>
      <c r="C395" t="s">
        <v>17</v>
      </c>
      <c r="D395" t="s">
        <v>54</v>
      </c>
      <c r="E395" t="s">
        <v>19</v>
      </c>
      <c r="F395" t="s">
        <v>55</v>
      </c>
      <c r="G395" s="1">
        <v>45580</v>
      </c>
      <c r="H395" t="s">
        <v>764</v>
      </c>
      <c r="I395">
        <v>7518160</v>
      </c>
      <c r="J395">
        <v>289160</v>
      </c>
      <c r="K395">
        <v>44970</v>
      </c>
      <c r="L395">
        <v>4649</v>
      </c>
      <c r="M395">
        <v>4.5100000000000001E-2</v>
      </c>
      <c r="N395">
        <v>0.74099999999999999</v>
      </c>
      <c r="O395">
        <v>1</v>
      </c>
      <c r="P395" t="b">
        <f t="shared" si="13"/>
        <v>1</v>
      </c>
      <c r="Q395" t="str">
        <f t="shared" si="12"/>
        <v>Positive</v>
      </c>
    </row>
    <row r="396" spans="1:17" x14ac:dyDescent="0.3">
      <c r="A396" t="s">
        <v>765</v>
      </c>
      <c r="B396" t="s">
        <v>32</v>
      </c>
      <c r="C396" t="s">
        <v>23</v>
      </c>
      <c r="D396" t="s">
        <v>37</v>
      </c>
      <c r="E396" t="s">
        <v>38</v>
      </c>
      <c r="F396" t="s">
        <v>24</v>
      </c>
      <c r="G396" s="1">
        <v>45492</v>
      </c>
      <c r="H396" t="s">
        <v>766</v>
      </c>
      <c r="I396">
        <v>5425926</v>
      </c>
      <c r="J396">
        <v>493266</v>
      </c>
      <c r="K396">
        <v>32786</v>
      </c>
      <c r="L396">
        <v>70136</v>
      </c>
      <c r="M396">
        <v>0.1099</v>
      </c>
      <c r="N396">
        <v>-0.28199999999999997</v>
      </c>
      <c r="O396">
        <v>1</v>
      </c>
      <c r="P396" t="b">
        <f t="shared" si="13"/>
        <v>1</v>
      </c>
      <c r="Q396" t="str">
        <f t="shared" si="12"/>
        <v>Negative</v>
      </c>
    </row>
    <row r="397" spans="1:17" x14ac:dyDescent="0.3">
      <c r="A397" t="s">
        <v>767</v>
      </c>
      <c r="B397" t="s">
        <v>27</v>
      </c>
      <c r="C397" t="s">
        <v>17</v>
      </c>
      <c r="D397" t="s">
        <v>33</v>
      </c>
      <c r="E397" t="s">
        <v>38</v>
      </c>
      <c r="F397" t="s">
        <v>34</v>
      </c>
      <c r="G397" s="1">
        <v>45656</v>
      </c>
      <c r="H397" t="s">
        <v>768</v>
      </c>
      <c r="I397">
        <v>4993737</v>
      </c>
      <c r="J397">
        <v>237797</v>
      </c>
      <c r="K397">
        <v>3819</v>
      </c>
      <c r="L397">
        <v>45894</v>
      </c>
      <c r="M397">
        <v>5.7599999999999998E-2</v>
      </c>
      <c r="N397">
        <v>-0.218</v>
      </c>
      <c r="O397">
        <v>1</v>
      </c>
      <c r="P397" t="b">
        <f t="shared" si="13"/>
        <v>1</v>
      </c>
      <c r="Q397" t="str">
        <f t="shared" si="12"/>
        <v>Negative</v>
      </c>
    </row>
    <row r="398" spans="1:17" x14ac:dyDescent="0.3">
      <c r="A398" t="s">
        <v>769</v>
      </c>
      <c r="B398" t="s">
        <v>32</v>
      </c>
      <c r="C398" t="s">
        <v>23</v>
      </c>
      <c r="D398" t="s">
        <v>73</v>
      </c>
      <c r="E398" t="s">
        <v>58</v>
      </c>
      <c r="F398" t="s">
        <v>20</v>
      </c>
      <c r="G398" s="1">
        <v>45323</v>
      </c>
      <c r="H398" t="s">
        <v>354</v>
      </c>
      <c r="I398">
        <v>2009916</v>
      </c>
      <c r="J398">
        <v>223324</v>
      </c>
      <c r="K398">
        <v>2118</v>
      </c>
      <c r="L398">
        <v>64675</v>
      </c>
      <c r="M398">
        <v>0.14430000000000001</v>
      </c>
      <c r="N398">
        <v>-0.98199999999999998</v>
      </c>
      <c r="O398">
        <v>1</v>
      </c>
      <c r="P398" t="b">
        <f t="shared" si="13"/>
        <v>1</v>
      </c>
      <c r="Q398" t="str">
        <f t="shared" si="12"/>
        <v>Negative</v>
      </c>
    </row>
    <row r="399" spans="1:17" x14ac:dyDescent="0.3">
      <c r="A399" t="s">
        <v>770</v>
      </c>
      <c r="B399" t="s">
        <v>27</v>
      </c>
      <c r="C399" t="s">
        <v>28</v>
      </c>
      <c r="D399" t="s">
        <v>18</v>
      </c>
      <c r="E399" t="s">
        <v>19</v>
      </c>
      <c r="F399" t="s">
        <v>34</v>
      </c>
      <c r="G399" s="1">
        <v>45328</v>
      </c>
      <c r="H399" t="s">
        <v>771</v>
      </c>
      <c r="I399">
        <v>4058096</v>
      </c>
      <c r="J399">
        <v>144932</v>
      </c>
      <c r="K399">
        <v>21932</v>
      </c>
      <c r="L399">
        <v>86476</v>
      </c>
      <c r="M399">
        <v>6.2399999999999997E-2</v>
      </c>
      <c r="N399">
        <v>-0.20699999999999999</v>
      </c>
      <c r="O399">
        <v>1</v>
      </c>
      <c r="P399" t="b">
        <f t="shared" si="13"/>
        <v>1</v>
      </c>
      <c r="Q399" t="str">
        <f t="shared" si="12"/>
        <v>Negative</v>
      </c>
    </row>
    <row r="400" spans="1:17" x14ac:dyDescent="0.3">
      <c r="A400" t="s">
        <v>772</v>
      </c>
      <c r="B400" t="s">
        <v>16</v>
      </c>
      <c r="C400" t="s">
        <v>61</v>
      </c>
      <c r="D400" t="s">
        <v>33</v>
      </c>
      <c r="E400" t="s">
        <v>19</v>
      </c>
      <c r="F400" t="s">
        <v>24</v>
      </c>
      <c r="G400" s="1">
        <v>45395</v>
      </c>
      <c r="H400" t="s">
        <v>773</v>
      </c>
      <c r="I400">
        <v>2687958</v>
      </c>
      <c r="J400">
        <v>383994</v>
      </c>
      <c r="K400">
        <v>36147</v>
      </c>
      <c r="L400">
        <v>52234</v>
      </c>
      <c r="M400">
        <v>0.1757</v>
      </c>
      <c r="N400">
        <v>-0.11600000000000001</v>
      </c>
      <c r="O400">
        <v>1</v>
      </c>
      <c r="P400" t="b">
        <f t="shared" si="13"/>
        <v>1</v>
      </c>
      <c r="Q400" t="str">
        <f t="shared" si="12"/>
        <v>Negative</v>
      </c>
    </row>
    <row r="401" spans="1:17" x14ac:dyDescent="0.3">
      <c r="A401" t="s">
        <v>774</v>
      </c>
      <c r="B401" t="s">
        <v>16</v>
      </c>
      <c r="C401" t="s">
        <v>23</v>
      </c>
      <c r="D401" t="s">
        <v>33</v>
      </c>
      <c r="E401" t="s">
        <v>41</v>
      </c>
      <c r="F401" t="s">
        <v>34</v>
      </c>
      <c r="G401" s="1">
        <v>45296</v>
      </c>
      <c r="H401" t="s">
        <v>775</v>
      </c>
      <c r="I401">
        <v>4401943</v>
      </c>
      <c r="J401">
        <v>338611</v>
      </c>
      <c r="K401">
        <v>5729</v>
      </c>
      <c r="L401">
        <v>76620</v>
      </c>
      <c r="M401">
        <v>9.5600000000000004E-2</v>
      </c>
      <c r="N401">
        <v>-0.13800000000000001</v>
      </c>
      <c r="O401">
        <v>1</v>
      </c>
      <c r="P401" t="b">
        <f t="shared" si="13"/>
        <v>1</v>
      </c>
      <c r="Q401" t="str">
        <f t="shared" si="12"/>
        <v>Negative</v>
      </c>
    </row>
    <row r="402" spans="1:17" x14ac:dyDescent="0.3">
      <c r="A402" t="s">
        <v>776</v>
      </c>
      <c r="B402" t="s">
        <v>27</v>
      </c>
      <c r="C402" t="s">
        <v>17</v>
      </c>
      <c r="D402" t="s">
        <v>18</v>
      </c>
      <c r="E402" t="s">
        <v>41</v>
      </c>
      <c r="F402" t="s">
        <v>46</v>
      </c>
      <c r="G402" s="1">
        <v>45621</v>
      </c>
      <c r="H402" t="s">
        <v>777</v>
      </c>
      <c r="I402">
        <v>3921776</v>
      </c>
      <c r="J402">
        <v>245111</v>
      </c>
      <c r="K402">
        <v>38668</v>
      </c>
      <c r="L402">
        <v>79531</v>
      </c>
      <c r="M402">
        <v>9.2600000000000002E-2</v>
      </c>
      <c r="N402">
        <v>0.41399999999999998</v>
      </c>
      <c r="O402">
        <v>1</v>
      </c>
      <c r="P402" t="b">
        <f t="shared" si="13"/>
        <v>1</v>
      </c>
      <c r="Q402" t="str">
        <f t="shared" si="12"/>
        <v>Positive</v>
      </c>
    </row>
    <row r="403" spans="1:17" x14ac:dyDescent="0.3">
      <c r="A403" t="s">
        <v>778</v>
      </c>
      <c r="B403" t="s">
        <v>16</v>
      </c>
      <c r="C403" t="s">
        <v>23</v>
      </c>
      <c r="D403" t="s">
        <v>29</v>
      </c>
      <c r="E403" t="s">
        <v>38</v>
      </c>
      <c r="F403" t="s">
        <v>55</v>
      </c>
      <c r="G403" s="1">
        <v>45343</v>
      </c>
      <c r="H403" t="s">
        <v>779</v>
      </c>
      <c r="I403">
        <v>3205005</v>
      </c>
      <c r="J403">
        <v>213667</v>
      </c>
      <c r="K403">
        <v>6104</v>
      </c>
      <c r="L403">
        <v>85113</v>
      </c>
      <c r="M403">
        <v>9.5100000000000004E-2</v>
      </c>
      <c r="N403">
        <v>0.47299999999999998</v>
      </c>
      <c r="O403">
        <v>1</v>
      </c>
      <c r="P403" t="b">
        <f t="shared" si="13"/>
        <v>1</v>
      </c>
      <c r="Q403" t="str">
        <f t="shared" si="12"/>
        <v>Positive</v>
      </c>
    </row>
    <row r="404" spans="1:17" x14ac:dyDescent="0.3">
      <c r="A404" t="s">
        <v>780</v>
      </c>
      <c r="B404" t="s">
        <v>27</v>
      </c>
      <c r="C404" t="s">
        <v>23</v>
      </c>
      <c r="D404" t="s">
        <v>54</v>
      </c>
      <c r="E404" t="s">
        <v>41</v>
      </c>
      <c r="F404" t="s">
        <v>46</v>
      </c>
      <c r="G404" s="1">
        <v>45601</v>
      </c>
      <c r="H404" t="s">
        <v>781</v>
      </c>
      <c r="I404">
        <v>9764328</v>
      </c>
      <c r="J404">
        <v>464968</v>
      </c>
      <c r="K404">
        <v>15568</v>
      </c>
      <c r="L404">
        <v>92325</v>
      </c>
      <c r="M404">
        <v>5.8700000000000002E-2</v>
      </c>
      <c r="N404">
        <v>0.68799999999999994</v>
      </c>
      <c r="O404">
        <v>1</v>
      </c>
      <c r="P404" t="b">
        <f t="shared" si="13"/>
        <v>1</v>
      </c>
      <c r="Q404" t="str">
        <f t="shared" si="12"/>
        <v>Positive</v>
      </c>
    </row>
    <row r="405" spans="1:17" x14ac:dyDescent="0.3">
      <c r="A405" t="s">
        <v>782</v>
      </c>
      <c r="B405" t="s">
        <v>16</v>
      </c>
      <c r="C405" t="s">
        <v>28</v>
      </c>
      <c r="D405" t="s">
        <v>33</v>
      </c>
      <c r="E405" t="s">
        <v>58</v>
      </c>
      <c r="F405" t="s">
        <v>24</v>
      </c>
      <c r="G405" s="1">
        <v>45479</v>
      </c>
      <c r="H405" t="s">
        <v>783</v>
      </c>
      <c r="I405">
        <v>498845</v>
      </c>
      <c r="J405">
        <v>26255</v>
      </c>
      <c r="K405">
        <v>14140</v>
      </c>
      <c r="L405">
        <v>83311</v>
      </c>
      <c r="M405">
        <v>0.248</v>
      </c>
      <c r="N405">
        <v>0.11600000000000001</v>
      </c>
      <c r="O405">
        <v>0</v>
      </c>
      <c r="P405" t="b">
        <f t="shared" si="13"/>
        <v>0</v>
      </c>
      <c r="Q405" t="str">
        <f t="shared" si="12"/>
        <v>Positive</v>
      </c>
    </row>
    <row r="406" spans="1:17" x14ac:dyDescent="0.3">
      <c r="A406" t="s">
        <v>784</v>
      </c>
      <c r="B406" t="s">
        <v>27</v>
      </c>
      <c r="C406" t="s">
        <v>23</v>
      </c>
      <c r="D406" t="s">
        <v>29</v>
      </c>
      <c r="E406" t="s">
        <v>19</v>
      </c>
      <c r="F406" t="s">
        <v>55</v>
      </c>
      <c r="G406" s="1">
        <v>45402</v>
      </c>
      <c r="H406" t="s">
        <v>785</v>
      </c>
      <c r="I406">
        <v>8577180</v>
      </c>
      <c r="J406">
        <v>476510</v>
      </c>
      <c r="K406">
        <v>34712</v>
      </c>
      <c r="L406">
        <v>20338</v>
      </c>
      <c r="M406">
        <v>6.2E-2</v>
      </c>
      <c r="N406">
        <v>-0.88600000000000001</v>
      </c>
      <c r="O406">
        <v>1</v>
      </c>
      <c r="P406" t="b">
        <f t="shared" si="13"/>
        <v>1</v>
      </c>
      <c r="Q406" t="str">
        <f t="shared" si="12"/>
        <v>Negative</v>
      </c>
    </row>
    <row r="407" spans="1:17" x14ac:dyDescent="0.3">
      <c r="A407" t="s">
        <v>786</v>
      </c>
      <c r="B407" t="s">
        <v>66</v>
      </c>
      <c r="C407" t="s">
        <v>23</v>
      </c>
      <c r="D407" t="s">
        <v>54</v>
      </c>
      <c r="E407" t="s">
        <v>58</v>
      </c>
      <c r="F407" t="s">
        <v>34</v>
      </c>
      <c r="G407" s="1">
        <v>45628</v>
      </c>
      <c r="H407" t="s">
        <v>787</v>
      </c>
      <c r="I407">
        <v>893930</v>
      </c>
      <c r="J407">
        <v>178786</v>
      </c>
      <c r="K407">
        <v>25897</v>
      </c>
      <c r="L407">
        <v>91156</v>
      </c>
      <c r="M407">
        <v>0.33090000000000003</v>
      </c>
      <c r="N407">
        <v>-0.75600000000000001</v>
      </c>
      <c r="O407">
        <v>0</v>
      </c>
      <c r="P407" t="b">
        <f t="shared" si="13"/>
        <v>0</v>
      </c>
      <c r="Q407" t="str">
        <f t="shared" si="12"/>
        <v>Negative</v>
      </c>
    </row>
    <row r="408" spans="1:17" x14ac:dyDescent="0.3">
      <c r="A408" t="s">
        <v>788</v>
      </c>
      <c r="B408" t="s">
        <v>16</v>
      </c>
      <c r="C408" t="s">
        <v>61</v>
      </c>
      <c r="D408" t="s">
        <v>54</v>
      </c>
      <c r="E408" t="s">
        <v>38</v>
      </c>
      <c r="F408" t="s">
        <v>55</v>
      </c>
      <c r="G408" s="1">
        <v>45332</v>
      </c>
      <c r="H408" t="s">
        <v>789</v>
      </c>
      <c r="I408">
        <v>1956465</v>
      </c>
      <c r="J408">
        <v>217385</v>
      </c>
      <c r="K408">
        <v>10729</v>
      </c>
      <c r="L408">
        <v>28405</v>
      </c>
      <c r="M408">
        <v>0.13109999999999999</v>
      </c>
      <c r="N408">
        <v>-0.79300000000000004</v>
      </c>
      <c r="O408">
        <v>0</v>
      </c>
      <c r="P408" t="b">
        <f t="shared" si="13"/>
        <v>0</v>
      </c>
      <c r="Q408" t="str">
        <f t="shared" si="12"/>
        <v>Negative</v>
      </c>
    </row>
    <row r="409" spans="1:17" x14ac:dyDescent="0.3">
      <c r="A409" t="s">
        <v>790</v>
      </c>
      <c r="B409" t="s">
        <v>32</v>
      </c>
      <c r="C409" t="s">
        <v>61</v>
      </c>
      <c r="D409" t="s">
        <v>37</v>
      </c>
      <c r="E409" t="s">
        <v>58</v>
      </c>
      <c r="F409" t="s">
        <v>46</v>
      </c>
      <c r="G409" s="1">
        <v>45418</v>
      </c>
      <c r="H409" t="s">
        <v>791</v>
      </c>
      <c r="I409">
        <v>4569908</v>
      </c>
      <c r="J409">
        <v>326422</v>
      </c>
      <c r="K409">
        <v>34002</v>
      </c>
      <c r="L409">
        <v>25612</v>
      </c>
      <c r="M409">
        <v>8.4500000000000006E-2</v>
      </c>
      <c r="N409">
        <v>-0.20499999999999999</v>
      </c>
      <c r="O409">
        <v>1</v>
      </c>
      <c r="P409" t="b">
        <f t="shared" si="13"/>
        <v>1</v>
      </c>
      <c r="Q409" t="str">
        <f t="shared" si="12"/>
        <v>Negative</v>
      </c>
    </row>
    <row r="410" spans="1:17" x14ac:dyDescent="0.3">
      <c r="A410" t="s">
        <v>792</v>
      </c>
      <c r="B410" t="s">
        <v>16</v>
      </c>
      <c r="C410" t="s">
        <v>17</v>
      </c>
      <c r="D410" t="s">
        <v>33</v>
      </c>
      <c r="E410" t="s">
        <v>58</v>
      </c>
      <c r="F410" t="s">
        <v>24</v>
      </c>
      <c r="G410" s="1">
        <v>45513</v>
      </c>
      <c r="H410" t="s">
        <v>80</v>
      </c>
      <c r="I410">
        <v>997374</v>
      </c>
      <c r="J410">
        <v>166229</v>
      </c>
      <c r="K410">
        <v>1244</v>
      </c>
      <c r="L410">
        <v>65662</v>
      </c>
      <c r="M410">
        <v>0.23369999999999999</v>
      </c>
      <c r="N410">
        <v>-0.35399999999999998</v>
      </c>
      <c r="O410">
        <v>0</v>
      </c>
      <c r="P410" t="b">
        <f t="shared" si="13"/>
        <v>0</v>
      </c>
      <c r="Q410" t="str">
        <f t="shared" si="12"/>
        <v>Negative</v>
      </c>
    </row>
    <row r="411" spans="1:17" x14ac:dyDescent="0.3">
      <c r="A411" t="s">
        <v>793</v>
      </c>
      <c r="B411" t="s">
        <v>27</v>
      </c>
      <c r="C411" t="s">
        <v>28</v>
      </c>
      <c r="D411" t="s">
        <v>37</v>
      </c>
      <c r="E411" t="s">
        <v>41</v>
      </c>
      <c r="F411" t="s">
        <v>55</v>
      </c>
      <c r="G411" s="1">
        <v>45615</v>
      </c>
      <c r="H411" t="s">
        <v>169</v>
      </c>
      <c r="I411">
        <v>6145664</v>
      </c>
      <c r="J411">
        <v>323456</v>
      </c>
      <c r="K411">
        <v>15403</v>
      </c>
      <c r="L411">
        <v>56504</v>
      </c>
      <c r="M411">
        <v>6.4299999999999996E-2</v>
      </c>
      <c r="N411">
        <v>4.2999999999999997E-2</v>
      </c>
      <c r="O411">
        <v>1</v>
      </c>
      <c r="P411" t="b">
        <f t="shared" si="13"/>
        <v>1</v>
      </c>
      <c r="Q411" t="str">
        <f t="shared" si="12"/>
        <v>Positive</v>
      </c>
    </row>
    <row r="412" spans="1:17" x14ac:dyDescent="0.3">
      <c r="A412" t="s">
        <v>794</v>
      </c>
      <c r="B412" t="s">
        <v>16</v>
      </c>
      <c r="C412" t="s">
        <v>23</v>
      </c>
      <c r="D412" t="s">
        <v>73</v>
      </c>
      <c r="E412" t="s">
        <v>51</v>
      </c>
      <c r="F412" t="s">
        <v>55</v>
      </c>
      <c r="G412" s="1">
        <v>45590</v>
      </c>
      <c r="H412" t="s">
        <v>171</v>
      </c>
      <c r="I412">
        <v>221040</v>
      </c>
      <c r="J412">
        <v>9210</v>
      </c>
      <c r="K412">
        <v>40368</v>
      </c>
      <c r="L412">
        <v>79142</v>
      </c>
      <c r="M412">
        <v>0.58230000000000004</v>
      </c>
      <c r="N412">
        <v>-0.749</v>
      </c>
      <c r="O412">
        <v>0</v>
      </c>
      <c r="P412" t="b">
        <f t="shared" si="13"/>
        <v>0</v>
      </c>
      <c r="Q412" t="str">
        <f t="shared" si="12"/>
        <v>Negative</v>
      </c>
    </row>
    <row r="413" spans="1:17" x14ac:dyDescent="0.3">
      <c r="A413" t="s">
        <v>795</v>
      </c>
      <c r="B413" t="s">
        <v>27</v>
      </c>
      <c r="C413" t="s">
        <v>61</v>
      </c>
      <c r="D413" t="s">
        <v>18</v>
      </c>
      <c r="E413" t="s">
        <v>51</v>
      </c>
      <c r="F413" t="s">
        <v>24</v>
      </c>
      <c r="G413" s="1">
        <v>45365</v>
      </c>
      <c r="H413" t="s">
        <v>35</v>
      </c>
      <c r="I413">
        <v>2083220</v>
      </c>
      <c r="J413">
        <v>104161</v>
      </c>
      <c r="K413">
        <v>32561</v>
      </c>
      <c r="L413">
        <v>78132</v>
      </c>
      <c r="M413">
        <v>0.1031</v>
      </c>
      <c r="N413">
        <v>0.88</v>
      </c>
      <c r="O413">
        <v>1</v>
      </c>
      <c r="P413" t="b">
        <f t="shared" si="13"/>
        <v>1</v>
      </c>
      <c r="Q413" t="str">
        <f t="shared" si="12"/>
        <v>Positive</v>
      </c>
    </row>
    <row r="414" spans="1:17" x14ac:dyDescent="0.3">
      <c r="A414" t="s">
        <v>796</v>
      </c>
      <c r="B414" t="s">
        <v>27</v>
      </c>
      <c r="C414" t="s">
        <v>17</v>
      </c>
      <c r="D414" t="s">
        <v>73</v>
      </c>
      <c r="E414" t="s">
        <v>38</v>
      </c>
      <c r="F414" t="s">
        <v>20</v>
      </c>
      <c r="G414" s="1">
        <v>45440</v>
      </c>
      <c r="H414" t="s">
        <v>797</v>
      </c>
      <c r="I414">
        <v>11903175</v>
      </c>
      <c r="J414">
        <v>476127</v>
      </c>
      <c r="K414">
        <v>4475</v>
      </c>
      <c r="L414">
        <v>10226</v>
      </c>
      <c r="M414">
        <v>4.1200000000000001E-2</v>
      </c>
      <c r="N414">
        <v>-0.81200000000000006</v>
      </c>
      <c r="O414">
        <v>1</v>
      </c>
      <c r="P414" t="b">
        <f t="shared" si="13"/>
        <v>1</v>
      </c>
      <c r="Q414" t="str">
        <f t="shared" si="12"/>
        <v>Negative</v>
      </c>
    </row>
    <row r="415" spans="1:17" x14ac:dyDescent="0.3">
      <c r="A415" t="s">
        <v>798</v>
      </c>
      <c r="B415" t="s">
        <v>16</v>
      </c>
      <c r="C415" t="s">
        <v>61</v>
      </c>
      <c r="D415" t="s">
        <v>29</v>
      </c>
      <c r="E415" t="s">
        <v>41</v>
      </c>
      <c r="F415" t="s">
        <v>34</v>
      </c>
      <c r="G415" s="1">
        <v>45446</v>
      </c>
      <c r="H415" t="s">
        <v>392</v>
      </c>
      <c r="I415">
        <v>1389312</v>
      </c>
      <c r="J415">
        <v>154368</v>
      </c>
      <c r="K415">
        <v>40292</v>
      </c>
      <c r="L415">
        <v>13670</v>
      </c>
      <c r="M415">
        <v>0.15</v>
      </c>
      <c r="N415">
        <v>0.92700000000000005</v>
      </c>
      <c r="O415">
        <v>0</v>
      </c>
      <c r="P415" t="b">
        <f t="shared" si="13"/>
        <v>0</v>
      </c>
      <c r="Q415" t="str">
        <f t="shared" si="12"/>
        <v>Positive</v>
      </c>
    </row>
    <row r="416" spans="1:17" x14ac:dyDescent="0.3">
      <c r="A416" t="s">
        <v>799</v>
      </c>
      <c r="B416" t="s">
        <v>32</v>
      </c>
      <c r="C416" t="s">
        <v>61</v>
      </c>
      <c r="D416" t="s">
        <v>18</v>
      </c>
      <c r="E416" t="s">
        <v>58</v>
      </c>
      <c r="F416" t="s">
        <v>55</v>
      </c>
      <c r="G416" s="1">
        <v>45569</v>
      </c>
      <c r="H416" t="s">
        <v>800</v>
      </c>
      <c r="I416">
        <v>6670566</v>
      </c>
      <c r="J416">
        <v>247058</v>
      </c>
      <c r="K416">
        <v>48325</v>
      </c>
      <c r="L416">
        <v>47415</v>
      </c>
      <c r="M416">
        <v>5.1400000000000001E-2</v>
      </c>
      <c r="N416">
        <v>0.88900000000000001</v>
      </c>
      <c r="O416">
        <v>1</v>
      </c>
      <c r="P416" t="b">
        <f t="shared" si="13"/>
        <v>1</v>
      </c>
      <c r="Q416" t="str">
        <f t="shared" si="12"/>
        <v>Positive</v>
      </c>
    </row>
    <row r="417" spans="1:17" x14ac:dyDescent="0.3">
      <c r="A417" t="s">
        <v>801</v>
      </c>
      <c r="B417" t="s">
        <v>16</v>
      </c>
      <c r="C417" t="s">
        <v>28</v>
      </c>
      <c r="D417" t="s">
        <v>37</v>
      </c>
      <c r="E417" t="s">
        <v>51</v>
      </c>
      <c r="F417" t="s">
        <v>46</v>
      </c>
      <c r="G417" s="1">
        <v>45295</v>
      </c>
      <c r="H417" t="s">
        <v>802</v>
      </c>
      <c r="I417">
        <v>1057308</v>
      </c>
      <c r="J417">
        <v>88109</v>
      </c>
      <c r="K417">
        <v>28630</v>
      </c>
      <c r="L417">
        <v>81041</v>
      </c>
      <c r="M417">
        <v>0.18709999999999999</v>
      </c>
      <c r="N417">
        <v>0.72899999999999998</v>
      </c>
      <c r="O417">
        <v>0</v>
      </c>
      <c r="P417" t="b">
        <f t="shared" si="13"/>
        <v>0</v>
      </c>
      <c r="Q417" t="str">
        <f t="shared" si="12"/>
        <v>Positive</v>
      </c>
    </row>
    <row r="418" spans="1:17" x14ac:dyDescent="0.3">
      <c r="A418" t="s">
        <v>803</v>
      </c>
      <c r="B418" t="s">
        <v>16</v>
      </c>
      <c r="C418" t="s">
        <v>17</v>
      </c>
      <c r="D418" t="s">
        <v>29</v>
      </c>
      <c r="E418" t="s">
        <v>38</v>
      </c>
      <c r="F418" t="s">
        <v>34</v>
      </c>
      <c r="G418" s="1">
        <v>45574</v>
      </c>
      <c r="H418" t="s">
        <v>804</v>
      </c>
      <c r="I418">
        <v>4472304</v>
      </c>
      <c r="J418">
        <v>372692</v>
      </c>
      <c r="K418">
        <v>29264</v>
      </c>
      <c r="L418">
        <v>50139</v>
      </c>
      <c r="M418">
        <v>0.1011</v>
      </c>
      <c r="N418">
        <v>0.59099999999999997</v>
      </c>
      <c r="O418">
        <v>1</v>
      </c>
      <c r="P418" t="b">
        <f t="shared" si="13"/>
        <v>1</v>
      </c>
      <c r="Q418" t="str">
        <f t="shared" si="12"/>
        <v>Positive</v>
      </c>
    </row>
    <row r="419" spans="1:17" x14ac:dyDescent="0.3">
      <c r="A419" t="s">
        <v>805</v>
      </c>
      <c r="B419" t="s">
        <v>16</v>
      </c>
      <c r="C419" t="s">
        <v>23</v>
      </c>
      <c r="D419" t="s">
        <v>18</v>
      </c>
      <c r="E419" t="s">
        <v>51</v>
      </c>
      <c r="F419" t="s">
        <v>46</v>
      </c>
      <c r="G419" s="1">
        <v>45477</v>
      </c>
      <c r="H419" t="s">
        <v>122</v>
      </c>
      <c r="I419">
        <v>8479500</v>
      </c>
      <c r="J419">
        <v>423975</v>
      </c>
      <c r="K419">
        <v>35845</v>
      </c>
      <c r="L419">
        <v>31891</v>
      </c>
      <c r="M419">
        <v>5.8000000000000003E-2</v>
      </c>
      <c r="N419">
        <v>0.65400000000000003</v>
      </c>
      <c r="O419">
        <v>1</v>
      </c>
      <c r="P419" t="b">
        <f t="shared" si="13"/>
        <v>1</v>
      </c>
      <c r="Q419" t="str">
        <f t="shared" si="12"/>
        <v>Positive</v>
      </c>
    </row>
    <row r="420" spans="1:17" x14ac:dyDescent="0.3">
      <c r="A420" t="s">
        <v>806</v>
      </c>
      <c r="B420" t="s">
        <v>32</v>
      </c>
      <c r="C420" t="s">
        <v>61</v>
      </c>
      <c r="D420" t="s">
        <v>54</v>
      </c>
      <c r="E420" t="s">
        <v>51</v>
      </c>
      <c r="F420" t="s">
        <v>55</v>
      </c>
      <c r="G420" s="1">
        <v>45356</v>
      </c>
      <c r="H420" t="s">
        <v>807</v>
      </c>
      <c r="I420">
        <v>2613618</v>
      </c>
      <c r="J420">
        <v>435603</v>
      </c>
      <c r="K420">
        <v>13385</v>
      </c>
      <c r="L420">
        <v>26985</v>
      </c>
      <c r="M420">
        <v>0.18210000000000001</v>
      </c>
      <c r="N420">
        <v>0.999</v>
      </c>
      <c r="O420">
        <v>1</v>
      </c>
      <c r="P420" t="b">
        <f t="shared" si="13"/>
        <v>1</v>
      </c>
      <c r="Q420" t="str">
        <f t="shared" si="12"/>
        <v>Positive</v>
      </c>
    </row>
    <row r="421" spans="1:17" x14ac:dyDescent="0.3">
      <c r="A421" t="s">
        <v>808</v>
      </c>
      <c r="B421" t="s">
        <v>32</v>
      </c>
      <c r="C421" t="s">
        <v>23</v>
      </c>
      <c r="D421" t="s">
        <v>33</v>
      </c>
      <c r="E421" t="s">
        <v>51</v>
      </c>
      <c r="F421" t="s">
        <v>46</v>
      </c>
      <c r="G421" s="1">
        <v>45624</v>
      </c>
      <c r="H421" t="s">
        <v>809</v>
      </c>
      <c r="I421">
        <v>2498765</v>
      </c>
      <c r="J421">
        <v>499753</v>
      </c>
      <c r="K421">
        <v>49731</v>
      </c>
      <c r="L421">
        <v>5705</v>
      </c>
      <c r="M421">
        <v>0.22220000000000001</v>
      </c>
      <c r="N421">
        <v>-0.186</v>
      </c>
      <c r="O421">
        <v>1</v>
      </c>
      <c r="P421" t="b">
        <f t="shared" si="13"/>
        <v>1</v>
      </c>
      <c r="Q421" t="str">
        <f t="shared" si="12"/>
        <v>Negative</v>
      </c>
    </row>
    <row r="422" spans="1:17" x14ac:dyDescent="0.3">
      <c r="A422" t="s">
        <v>810</v>
      </c>
      <c r="B422" t="s">
        <v>66</v>
      </c>
      <c r="C422" t="s">
        <v>61</v>
      </c>
      <c r="D422" t="s">
        <v>54</v>
      </c>
      <c r="E422" t="s">
        <v>19</v>
      </c>
      <c r="F422" t="s">
        <v>55</v>
      </c>
      <c r="G422" s="1">
        <v>45437</v>
      </c>
      <c r="H422" t="s">
        <v>811</v>
      </c>
      <c r="I422">
        <v>2784475</v>
      </c>
      <c r="J422">
        <v>111379</v>
      </c>
      <c r="K422">
        <v>6929</v>
      </c>
      <c r="L422">
        <v>27209</v>
      </c>
      <c r="M422">
        <v>5.2299999999999999E-2</v>
      </c>
      <c r="N422">
        <v>0.13400000000000001</v>
      </c>
      <c r="O422">
        <v>1</v>
      </c>
      <c r="P422" t="b">
        <f t="shared" si="13"/>
        <v>1</v>
      </c>
      <c r="Q422" t="str">
        <f t="shared" si="12"/>
        <v>Positive</v>
      </c>
    </row>
    <row r="423" spans="1:17" x14ac:dyDescent="0.3">
      <c r="A423" t="s">
        <v>812</v>
      </c>
      <c r="B423" t="s">
        <v>27</v>
      </c>
      <c r="C423" t="s">
        <v>17</v>
      </c>
      <c r="D423" t="s">
        <v>54</v>
      </c>
      <c r="E423" t="s">
        <v>58</v>
      </c>
      <c r="F423" t="s">
        <v>20</v>
      </c>
      <c r="G423" s="1">
        <v>45443</v>
      </c>
      <c r="H423" t="s">
        <v>813</v>
      </c>
      <c r="I423">
        <v>1183176</v>
      </c>
      <c r="J423">
        <v>197196</v>
      </c>
      <c r="K423">
        <v>39887</v>
      </c>
      <c r="L423">
        <v>25924</v>
      </c>
      <c r="M423">
        <v>0.2223</v>
      </c>
      <c r="N423">
        <v>-0.192</v>
      </c>
      <c r="O423">
        <v>0</v>
      </c>
      <c r="P423" t="b">
        <f t="shared" si="13"/>
        <v>0</v>
      </c>
      <c r="Q423" t="str">
        <f t="shared" si="12"/>
        <v>Negative</v>
      </c>
    </row>
    <row r="424" spans="1:17" x14ac:dyDescent="0.3">
      <c r="A424" t="s">
        <v>814</v>
      </c>
      <c r="B424" t="s">
        <v>66</v>
      </c>
      <c r="C424" t="s">
        <v>23</v>
      </c>
      <c r="D424" t="s">
        <v>73</v>
      </c>
      <c r="E424" t="s">
        <v>51</v>
      </c>
      <c r="F424" t="s">
        <v>55</v>
      </c>
      <c r="G424" s="1">
        <v>45514</v>
      </c>
      <c r="H424" t="s">
        <v>815</v>
      </c>
      <c r="I424">
        <v>673095</v>
      </c>
      <c r="J424">
        <v>29265</v>
      </c>
      <c r="K424">
        <v>1672</v>
      </c>
      <c r="L424">
        <v>91750</v>
      </c>
      <c r="M424">
        <v>0.18229999999999999</v>
      </c>
      <c r="N424">
        <v>0.61599999999999999</v>
      </c>
      <c r="O424">
        <v>0</v>
      </c>
      <c r="P424" t="b">
        <f t="shared" si="13"/>
        <v>0</v>
      </c>
      <c r="Q424" t="str">
        <f t="shared" si="12"/>
        <v>Positive</v>
      </c>
    </row>
    <row r="425" spans="1:17" x14ac:dyDescent="0.3">
      <c r="A425" t="s">
        <v>816</v>
      </c>
      <c r="B425" t="s">
        <v>66</v>
      </c>
      <c r="C425" t="s">
        <v>61</v>
      </c>
      <c r="D425" t="s">
        <v>73</v>
      </c>
      <c r="E425" t="s">
        <v>51</v>
      </c>
      <c r="F425" t="s">
        <v>46</v>
      </c>
      <c r="G425" s="1">
        <v>45462</v>
      </c>
      <c r="H425" t="s">
        <v>199</v>
      </c>
      <c r="I425">
        <v>9059607</v>
      </c>
      <c r="J425">
        <v>335541</v>
      </c>
      <c r="K425">
        <v>31121</v>
      </c>
      <c r="L425">
        <v>99305</v>
      </c>
      <c r="M425">
        <v>5.1400000000000001E-2</v>
      </c>
      <c r="N425">
        <v>-0.129</v>
      </c>
      <c r="O425">
        <v>1</v>
      </c>
      <c r="P425" t="b">
        <f t="shared" si="13"/>
        <v>1</v>
      </c>
      <c r="Q425" t="str">
        <f t="shared" si="12"/>
        <v>Negative</v>
      </c>
    </row>
    <row r="426" spans="1:17" x14ac:dyDescent="0.3">
      <c r="A426" t="s">
        <v>817</v>
      </c>
      <c r="B426" t="s">
        <v>16</v>
      </c>
      <c r="C426" t="s">
        <v>17</v>
      </c>
      <c r="D426" t="s">
        <v>18</v>
      </c>
      <c r="E426" t="s">
        <v>38</v>
      </c>
      <c r="F426" t="s">
        <v>34</v>
      </c>
      <c r="G426" s="1">
        <v>45405</v>
      </c>
      <c r="H426" t="s">
        <v>818</v>
      </c>
      <c r="I426">
        <v>9515948</v>
      </c>
      <c r="J426">
        <v>365998</v>
      </c>
      <c r="K426">
        <v>3717</v>
      </c>
      <c r="L426">
        <v>1368</v>
      </c>
      <c r="M426">
        <v>3.9E-2</v>
      </c>
      <c r="N426">
        <v>0.29799999999999999</v>
      </c>
      <c r="O426">
        <v>1</v>
      </c>
      <c r="P426" t="b">
        <f t="shared" si="13"/>
        <v>1</v>
      </c>
      <c r="Q426" t="str">
        <f t="shared" si="12"/>
        <v>Positive</v>
      </c>
    </row>
    <row r="427" spans="1:17" x14ac:dyDescent="0.3">
      <c r="A427" t="s">
        <v>819</v>
      </c>
      <c r="B427" t="s">
        <v>27</v>
      </c>
      <c r="C427" t="s">
        <v>17</v>
      </c>
      <c r="D427" t="s">
        <v>73</v>
      </c>
      <c r="E427" t="s">
        <v>51</v>
      </c>
      <c r="F427" t="s">
        <v>34</v>
      </c>
      <c r="G427" s="1">
        <v>45310</v>
      </c>
      <c r="H427" t="s">
        <v>820</v>
      </c>
      <c r="I427">
        <v>832384</v>
      </c>
      <c r="J427">
        <v>52024</v>
      </c>
      <c r="K427">
        <v>3731</v>
      </c>
      <c r="L427">
        <v>89153</v>
      </c>
      <c r="M427">
        <v>0.1741</v>
      </c>
      <c r="N427">
        <v>0.22</v>
      </c>
      <c r="O427">
        <v>0</v>
      </c>
      <c r="P427" t="b">
        <f t="shared" si="13"/>
        <v>0</v>
      </c>
      <c r="Q427" t="str">
        <f t="shared" si="12"/>
        <v>Positive</v>
      </c>
    </row>
    <row r="428" spans="1:17" x14ac:dyDescent="0.3">
      <c r="A428" t="s">
        <v>821</v>
      </c>
      <c r="B428" t="s">
        <v>32</v>
      </c>
      <c r="C428" t="s">
        <v>17</v>
      </c>
      <c r="D428" t="s">
        <v>73</v>
      </c>
      <c r="E428" t="s">
        <v>58</v>
      </c>
      <c r="F428" t="s">
        <v>24</v>
      </c>
      <c r="G428" s="1">
        <v>45656</v>
      </c>
      <c r="H428" t="s">
        <v>822</v>
      </c>
      <c r="I428">
        <v>10519402</v>
      </c>
      <c r="J428">
        <v>362738</v>
      </c>
      <c r="K428">
        <v>9113</v>
      </c>
      <c r="L428">
        <v>77715</v>
      </c>
      <c r="M428">
        <v>4.2700000000000002E-2</v>
      </c>
      <c r="N428">
        <v>0.193</v>
      </c>
      <c r="O428">
        <v>1</v>
      </c>
      <c r="P428" t="b">
        <f t="shared" si="13"/>
        <v>1</v>
      </c>
      <c r="Q428" t="str">
        <f t="shared" si="12"/>
        <v>Positive</v>
      </c>
    </row>
    <row r="429" spans="1:17" x14ac:dyDescent="0.3">
      <c r="A429" t="s">
        <v>823</v>
      </c>
      <c r="B429" t="s">
        <v>32</v>
      </c>
      <c r="C429" t="s">
        <v>28</v>
      </c>
      <c r="D429" t="s">
        <v>37</v>
      </c>
      <c r="E429" t="s">
        <v>58</v>
      </c>
      <c r="F429" t="s">
        <v>55</v>
      </c>
      <c r="G429" s="1">
        <v>45439</v>
      </c>
      <c r="H429" t="s">
        <v>824</v>
      </c>
      <c r="I429">
        <v>2241584</v>
      </c>
      <c r="J429">
        <v>140099</v>
      </c>
      <c r="K429">
        <v>28149</v>
      </c>
      <c r="L429">
        <v>96547</v>
      </c>
      <c r="M429">
        <v>0.1181</v>
      </c>
      <c r="N429">
        <v>-0.97099999999999997</v>
      </c>
      <c r="O429">
        <v>1</v>
      </c>
      <c r="P429" t="b">
        <f t="shared" si="13"/>
        <v>1</v>
      </c>
      <c r="Q429" t="str">
        <f t="shared" si="12"/>
        <v>Negative</v>
      </c>
    </row>
    <row r="430" spans="1:17" x14ac:dyDescent="0.3">
      <c r="A430" t="s">
        <v>825</v>
      </c>
      <c r="B430" t="s">
        <v>66</v>
      </c>
      <c r="C430" t="s">
        <v>23</v>
      </c>
      <c r="D430" t="s">
        <v>54</v>
      </c>
      <c r="E430" t="s">
        <v>38</v>
      </c>
      <c r="F430" t="s">
        <v>24</v>
      </c>
      <c r="G430" s="1">
        <v>45616</v>
      </c>
      <c r="H430" t="s">
        <v>641</v>
      </c>
      <c r="I430">
        <v>1978812</v>
      </c>
      <c r="J430">
        <v>109934</v>
      </c>
      <c r="K430">
        <v>39783</v>
      </c>
      <c r="L430">
        <v>76744</v>
      </c>
      <c r="M430">
        <v>0.1144</v>
      </c>
      <c r="N430">
        <v>0.28499999999999998</v>
      </c>
      <c r="O430">
        <v>0</v>
      </c>
      <c r="P430" t="b">
        <f t="shared" si="13"/>
        <v>0</v>
      </c>
      <c r="Q430" t="str">
        <f t="shared" si="12"/>
        <v>Positive</v>
      </c>
    </row>
    <row r="431" spans="1:17" x14ac:dyDescent="0.3">
      <c r="A431" t="s">
        <v>826</v>
      </c>
      <c r="B431" t="s">
        <v>27</v>
      </c>
      <c r="C431" t="s">
        <v>17</v>
      </c>
      <c r="D431" t="s">
        <v>29</v>
      </c>
      <c r="E431" t="s">
        <v>38</v>
      </c>
      <c r="F431" t="s">
        <v>20</v>
      </c>
      <c r="G431" s="1">
        <v>45348</v>
      </c>
      <c r="H431" t="s">
        <v>827</v>
      </c>
      <c r="I431">
        <v>2014467</v>
      </c>
      <c r="J431">
        <v>287781</v>
      </c>
      <c r="K431">
        <v>35762</v>
      </c>
      <c r="L431">
        <v>77577</v>
      </c>
      <c r="M431">
        <v>0.1991</v>
      </c>
      <c r="N431">
        <v>8.5000000000000006E-2</v>
      </c>
      <c r="O431">
        <v>1</v>
      </c>
      <c r="P431" t="b">
        <f t="shared" si="13"/>
        <v>1</v>
      </c>
      <c r="Q431" t="str">
        <f t="shared" si="12"/>
        <v>Positive</v>
      </c>
    </row>
    <row r="432" spans="1:17" x14ac:dyDescent="0.3">
      <c r="A432" t="s">
        <v>828</v>
      </c>
      <c r="B432" t="s">
        <v>66</v>
      </c>
      <c r="C432" t="s">
        <v>28</v>
      </c>
      <c r="D432" t="s">
        <v>37</v>
      </c>
      <c r="E432" t="s">
        <v>19</v>
      </c>
      <c r="F432" t="s">
        <v>46</v>
      </c>
      <c r="G432" s="1">
        <v>45479</v>
      </c>
      <c r="H432" t="s">
        <v>829</v>
      </c>
      <c r="I432">
        <v>6717875</v>
      </c>
      <c r="J432">
        <v>268715</v>
      </c>
      <c r="K432">
        <v>35636</v>
      </c>
      <c r="L432">
        <v>92060</v>
      </c>
      <c r="M432">
        <v>5.8999999999999997E-2</v>
      </c>
      <c r="N432">
        <v>0.628</v>
      </c>
      <c r="O432">
        <v>1</v>
      </c>
      <c r="P432" t="b">
        <f t="shared" si="13"/>
        <v>1</v>
      </c>
      <c r="Q432" t="str">
        <f t="shared" si="12"/>
        <v>Positive</v>
      </c>
    </row>
    <row r="433" spans="1:17" x14ac:dyDescent="0.3">
      <c r="A433" t="s">
        <v>830</v>
      </c>
      <c r="B433" t="s">
        <v>27</v>
      </c>
      <c r="C433" t="s">
        <v>17</v>
      </c>
      <c r="D433" t="s">
        <v>73</v>
      </c>
      <c r="E433" t="s">
        <v>19</v>
      </c>
      <c r="F433" t="s">
        <v>46</v>
      </c>
      <c r="G433" s="1">
        <v>45626</v>
      </c>
      <c r="H433" t="s">
        <v>831</v>
      </c>
      <c r="I433">
        <v>815592</v>
      </c>
      <c r="J433">
        <v>135932</v>
      </c>
      <c r="K433">
        <v>32784</v>
      </c>
      <c r="L433">
        <v>21637</v>
      </c>
      <c r="M433">
        <v>0.2334</v>
      </c>
      <c r="N433">
        <v>5.2999999999999999E-2</v>
      </c>
      <c r="O433">
        <v>0</v>
      </c>
      <c r="P433" t="b">
        <f t="shared" si="13"/>
        <v>0</v>
      </c>
      <c r="Q433" t="str">
        <f t="shared" si="12"/>
        <v>Positive</v>
      </c>
    </row>
    <row r="434" spans="1:17" x14ac:dyDescent="0.3">
      <c r="A434" t="s">
        <v>832</v>
      </c>
      <c r="B434" t="s">
        <v>16</v>
      </c>
      <c r="C434" t="s">
        <v>17</v>
      </c>
      <c r="D434" t="s">
        <v>73</v>
      </c>
      <c r="E434" t="s">
        <v>41</v>
      </c>
      <c r="F434" t="s">
        <v>34</v>
      </c>
      <c r="G434" s="1">
        <v>45532</v>
      </c>
      <c r="H434" t="s">
        <v>833</v>
      </c>
      <c r="I434">
        <v>7997366</v>
      </c>
      <c r="J434">
        <v>420914</v>
      </c>
      <c r="K434">
        <v>11568</v>
      </c>
      <c r="L434">
        <v>46820</v>
      </c>
      <c r="M434">
        <v>5.9900000000000002E-2</v>
      </c>
      <c r="N434">
        <v>-0.21099999999999999</v>
      </c>
      <c r="O434">
        <v>1</v>
      </c>
      <c r="P434" t="b">
        <f t="shared" si="13"/>
        <v>1</v>
      </c>
      <c r="Q434" t="str">
        <f t="shared" si="12"/>
        <v>Negative</v>
      </c>
    </row>
    <row r="435" spans="1:17" x14ac:dyDescent="0.3">
      <c r="A435" t="s">
        <v>834</v>
      </c>
      <c r="B435" t="s">
        <v>27</v>
      </c>
      <c r="C435" t="s">
        <v>61</v>
      </c>
      <c r="D435" t="s">
        <v>33</v>
      </c>
      <c r="E435" t="s">
        <v>51</v>
      </c>
      <c r="F435" t="s">
        <v>24</v>
      </c>
      <c r="G435" s="1">
        <v>45315</v>
      </c>
      <c r="H435" t="s">
        <v>835</v>
      </c>
      <c r="I435">
        <v>6724512</v>
      </c>
      <c r="J435">
        <v>420282</v>
      </c>
      <c r="K435">
        <v>16178</v>
      </c>
      <c r="L435">
        <v>59890</v>
      </c>
      <c r="M435">
        <v>7.3800000000000004E-2</v>
      </c>
      <c r="N435">
        <v>0.91100000000000003</v>
      </c>
      <c r="O435">
        <v>1</v>
      </c>
      <c r="P435" t="b">
        <f t="shared" si="13"/>
        <v>1</v>
      </c>
      <c r="Q435" t="str">
        <f t="shared" si="12"/>
        <v>Positive</v>
      </c>
    </row>
    <row r="436" spans="1:17" x14ac:dyDescent="0.3">
      <c r="A436" t="s">
        <v>836</v>
      </c>
      <c r="B436" t="s">
        <v>16</v>
      </c>
      <c r="C436" t="s">
        <v>61</v>
      </c>
      <c r="D436" t="s">
        <v>18</v>
      </c>
      <c r="E436" t="s">
        <v>58</v>
      </c>
      <c r="F436" t="s">
        <v>34</v>
      </c>
      <c r="G436" s="1">
        <v>45495</v>
      </c>
      <c r="H436" t="s">
        <v>837</v>
      </c>
      <c r="I436">
        <v>2842800</v>
      </c>
      <c r="J436">
        <v>189520</v>
      </c>
      <c r="K436">
        <v>24601</v>
      </c>
      <c r="L436">
        <v>33175</v>
      </c>
      <c r="M436">
        <v>8.6999999999999994E-2</v>
      </c>
      <c r="N436">
        <v>-0.98499999999999999</v>
      </c>
      <c r="O436">
        <v>1</v>
      </c>
      <c r="P436" t="b">
        <f t="shared" si="13"/>
        <v>1</v>
      </c>
      <c r="Q436" t="str">
        <f t="shared" si="12"/>
        <v>Negative</v>
      </c>
    </row>
    <row r="437" spans="1:17" x14ac:dyDescent="0.3">
      <c r="A437" t="s">
        <v>838</v>
      </c>
      <c r="B437" t="s">
        <v>27</v>
      </c>
      <c r="C437" t="s">
        <v>23</v>
      </c>
      <c r="D437" t="s">
        <v>37</v>
      </c>
      <c r="E437" t="s">
        <v>19</v>
      </c>
      <c r="F437" t="s">
        <v>46</v>
      </c>
      <c r="G437" s="1">
        <v>45371</v>
      </c>
      <c r="H437" t="s">
        <v>97</v>
      </c>
      <c r="I437">
        <v>1126358</v>
      </c>
      <c r="J437">
        <v>59282</v>
      </c>
      <c r="K437">
        <v>27769</v>
      </c>
      <c r="L437">
        <v>87164</v>
      </c>
      <c r="M437">
        <v>0.1547</v>
      </c>
      <c r="N437">
        <v>-0.51300000000000001</v>
      </c>
      <c r="O437">
        <v>0</v>
      </c>
      <c r="P437" t="b">
        <f t="shared" si="13"/>
        <v>0</v>
      </c>
      <c r="Q437" t="str">
        <f t="shared" si="12"/>
        <v>Negative</v>
      </c>
    </row>
    <row r="438" spans="1:17" x14ac:dyDescent="0.3">
      <c r="A438" t="s">
        <v>839</v>
      </c>
      <c r="B438" t="s">
        <v>27</v>
      </c>
      <c r="C438" t="s">
        <v>17</v>
      </c>
      <c r="D438" t="s">
        <v>73</v>
      </c>
      <c r="E438" t="s">
        <v>38</v>
      </c>
      <c r="F438" t="s">
        <v>34</v>
      </c>
      <c r="G438" s="1">
        <v>45430</v>
      </c>
      <c r="H438" t="s">
        <v>840</v>
      </c>
      <c r="I438">
        <v>3501950</v>
      </c>
      <c r="J438">
        <v>140078</v>
      </c>
      <c r="K438">
        <v>36919</v>
      </c>
      <c r="L438">
        <v>45380</v>
      </c>
      <c r="M438">
        <v>6.3500000000000001E-2</v>
      </c>
      <c r="N438">
        <v>-4.2000000000000003E-2</v>
      </c>
      <c r="O438">
        <v>1</v>
      </c>
      <c r="P438" t="b">
        <f t="shared" si="13"/>
        <v>1</v>
      </c>
      <c r="Q438" t="str">
        <f t="shared" si="12"/>
        <v>Negative</v>
      </c>
    </row>
    <row r="439" spans="1:17" x14ac:dyDescent="0.3">
      <c r="A439" t="s">
        <v>841</v>
      </c>
      <c r="B439" t="s">
        <v>66</v>
      </c>
      <c r="C439" t="s">
        <v>23</v>
      </c>
      <c r="D439" t="s">
        <v>33</v>
      </c>
      <c r="E439" t="s">
        <v>51</v>
      </c>
      <c r="F439" t="s">
        <v>34</v>
      </c>
      <c r="G439" s="1">
        <v>45342</v>
      </c>
      <c r="H439" t="s">
        <v>842</v>
      </c>
      <c r="I439">
        <v>3447728</v>
      </c>
      <c r="J439">
        <v>430966</v>
      </c>
      <c r="K439">
        <v>46886</v>
      </c>
      <c r="L439">
        <v>46414</v>
      </c>
      <c r="M439">
        <v>0.15210000000000001</v>
      </c>
      <c r="N439">
        <v>-0.48599999999999999</v>
      </c>
      <c r="O439">
        <v>1</v>
      </c>
      <c r="P439" t="b">
        <f t="shared" si="13"/>
        <v>1</v>
      </c>
      <c r="Q439" t="str">
        <f t="shared" si="12"/>
        <v>Negative</v>
      </c>
    </row>
    <row r="440" spans="1:17" x14ac:dyDescent="0.3">
      <c r="A440" t="s">
        <v>843</v>
      </c>
      <c r="B440" t="s">
        <v>16</v>
      </c>
      <c r="C440" t="s">
        <v>28</v>
      </c>
      <c r="D440" t="s">
        <v>73</v>
      </c>
      <c r="E440" t="s">
        <v>41</v>
      </c>
      <c r="F440" t="s">
        <v>20</v>
      </c>
      <c r="G440" s="1">
        <v>45531</v>
      </c>
      <c r="H440" t="s">
        <v>575</v>
      </c>
      <c r="I440">
        <v>6763829</v>
      </c>
      <c r="J440">
        <v>355991</v>
      </c>
      <c r="K440">
        <v>27122</v>
      </c>
      <c r="L440">
        <v>36379</v>
      </c>
      <c r="M440">
        <v>6.2E-2</v>
      </c>
      <c r="N440">
        <v>6.5000000000000002E-2</v>
      </c>
      <c r="O440">
        <v>1</v>
      </c>
      <c r="P440" t="b">
        <f t="shared" si="13"/>
        <v>1</v>
      </c>
      <c r="Q440" t="str">
        <f t="shared" si="12"/>
        <v>Positive</v>
      </c>
    </row>
    <row r="441" spans="1:17" x14ac:dyDescent="0.3">
      <c r="A441" t="s">
        <v>844</v>
      </c>
      <c r="B441" t="s">
        <v>27</v>
      </c>
      <c r="C441" t="s">
        <v>23</v>
      </c>
      <c r="D441" t="s">
        <v>37</v>
      </c>
      <c r="E441" t="s">
        <v>58</v>
      </c>
      <c r="F441" t="s">
        <v>55</v>
      </c>
      <c r="G441" s="1">
        <v>45546</v>
      </c>
      <c r="H441" t="s">
        <v>845</v>
      </c>
      <c r="I441">
        <v>2686178</v>
      </c>
      <c r="J441">
        <v>122099</v>
      </c>
      <c r="K441">
        <v>49262</v>
      </c>
      <c r="L441">
        <v>54692</v>
      </c>
      <c r="M441">
        <v>8.4199999999999997E-2</v>
      </c>
      <c r="N441">
        <v>-0.2</v>
      </c>
      <c r="O441">
        <v>1</v>
      </c>
      <c r="P441" t="b">
        <f t="shared" si="13"/>
        <v>1</v>
      </c>
      <c r="Q441" t="str">
        <f t="shared" si="12"/>
        <v>Negative</v>
      </c>
    </row>
    <row r="442" spans="1:17" x14ac:dyDescent="0.3">
      <c r="A442" t="s">
        <v>846</v>
      </c>
      <c r="B442" t="s">
        <v>66</v>
      </c>
      <c r="C442" t="s">
        <v>61</v>
      </c>
      <c r="D442" t="s">
        <v>73</v>
      </c>
      <c r="E442" t="s">
        <v>58</v>
      </c>
      <c r="F442" t="s">
        <v>46</v>
      </c>
      <c r="G442" s="1">
        <v>45400</v>
      </c>
      <c r="H442" t="s">
        <v>104</v>
      </c>
      <c r="I442">
        <v>2621520</v>
      </c>
      <c r="J442">
        <v>174768</v>
      </c>
      <c r="K442">
        <v>23176</v>
      </c>
      <c r="L442">
        <v>86366</v>
      </c>
      <c r="M442">
        <v>0.1085</v>
      </c>
      <c r="N442">
        <v>-0.754</v>
      </c>
      <c r="O442">
        <v>1</v>
      </c>
      <c r="P442" t="b">
        <f t="shared" si="13"/>
        <v>1</v>
      </c>
      <c r="Q442" t="str">
        <f t="shared" si="12"/>
        <v>Negative</v>
      </c>
    </row>
    <row r="443" spans="1:17" x14ac:dyDescent="0.3">
      <c r="A443" t="s">
        <v>847</v>
      </c>
      <c r="B443" t="s">
        <v>27</v>
      </c>
      <c r="C443" t="s">
        <v>61</v>
      </c>
      <c r="D443" t="s">
        <v>18</v>
      </c>
      <c r="E443" t="s">
        <v>38</v>
      </c>
      <c r="F443" t="s">
        <v>46</v>
      </c>
      <c r="G443" s="1">
        <v>45358</v>
      </c>
      <c r="H443" t="s">
        <v>848</v>
      </c>
      <c r="I443">
        <v>2980287</v>
      </c>
      <c r="J443">
        <v>175311</v>
      </c>
      <c r="K443">
        <v>48718</v>
      </c>
      <c r="L443">
        <v>29735</v>
      </c>
      <c r="M443">
        <v>8.5099999999999995E-2</v>
      </c>
      <c r="N443">
        <v>-0.63100000000000001</v>
      </c>
      <c r="O443">
        <v>1</v>
      </c>
      <c r="P443" t="b">
        <f t="shared" si="13"/>
        <v>1</v>
      </c>
      <c r="Q443" t="str">
        <f t="shared" si="12"/>
        <v>Negative</v>
      </c>
    </row>
    <row r="444" spans="1:17" x14ac:dyDescent="0.3">
      <c r="A444" t="s">
        <v>849</v>
      </c>
      <c r="B444" t="s">
        <v>32</v>
      </c>
      <c r="C444" t="s">
        <v>23</v>
      </c>
      <c r="D444" t="s">
        <v>18</v>
      </c>
      <c r="E444" t="s">
        <v>58</v>
      </c>
      <c r="F444" t="s">
        <v>46</v>
      </c>
      <c r="G444" s="1">
        <v>45655</v>
      </c>
      <c r="H444" t="s">
        <v>850</v>
      </c>
      <c r="I444">
        <v>6752732</v>
      </c>
      <c r="J444">
        <v>482338</v>
      </c>
      <c r="K444">
        <v>18748</v>
      </c>
      <c r="L444">
        <v>48369</v>
      </c>
      <c r="M444">
        <v>8.14E-2</v>
      </c>
      <c r="N444">
        <v>-0.63</v>
      </c>
      <c r="O444">
        <v>1</v>
      </c>
      <c r="P444" t="b">
        <f t="shared" si="13"/>
        <v>1</v>
      </c>
      <c r="Q444" t="str">
        <f t="shared" si="12"/>
        <v>Negative</v>
      </c>
    </row>
    <row r="445" spans="1:17" x14ac:dyDescent="0.3">
      <c r="A445" t="s">
        <v>851</v>
      </c>
      <c r="B445" t="s">
        <v>66</v>
      </c>
      <c r="C445" t="s">
        <v>61</v>
      </c>
      <c r="D445" t="s">
        <v>18</v>
      </c>
      <c r="E445" t="s">
        <v>19</v>
      </c>
      <c r="F445" t="s">
        <v>24</v>
      </c>
      <c r="G445" s="1">
        <v>45389</v>
      </c>
      <c r="H445" t="s">
        <v>852</v>
      </c>
      <c r="I445">
        <v>1318185</v>
      </c>
      <c r="J445">
        <v>119835</v>
      </c>
      <c r="K445">
        <v>24616</v>
      </c>
      <c r="L445">
        <v>12150</v>
      </c>
      <c r="M445">
        <v>0.1188</v>
      </c>
      <c r="N445">
        <v>0.63100000000000001</v>
      </c>
      <c r="O445">
        <v>0</v>
      </c>
      <c r="P445" t="b">
        <f t="shared" si="13"/>
        <v>0</v>
      </c>
      <c r="Q445" t="str">
        <f t="shared" si="12"/>
        <v>Positive</v>
      </c>
    </row>
    <row r="446" spans="1:17" x14ac:dyDescent="0.3">
      <c r="A446" t="s">
        <v>853</v>
      </c>
      <c r="B446" t="s">
        <v>16</v>
      </c>
      <c r="C446" t="s">
        <v>61</v>
      </c>
      <c r="D446" t="s">
        <v>37</v>
      </c>
      <c r="E446" t="s">
        <v>51</v>
      </c>
      <c r="F446" t="s">
        <v>34</v>
      </c>
      <c r="G446" s="1">
        <v>45302</v>
      </c>
      <c r="H446" t="s">
        <v>171</v>
      </c>
      <c r="I446">
        <v>5809874</v>
      </c>
      <c r="J446">
        <v>414991</v>
      </c>
      <c r="K446">
        <v>5500</v>
      </c>
      <c r="L446">
        <v>42669</v>
      </c>
      <c r="M446">
        <v>7.9699999999999993E-2</v>
      </c>
      <c r="N446">
        <v>-0.77500000000000002</v>
      </c>
      <c r="O446">
        <v>1</v>
      </c>
      <c r="P446" t="b">
        <f t="shared" si="13"/>
        <v>1</v>
      </c>
      <c r="Q446" t="str">
        <f t="shared" si="12"/>
        <v>Negative</v>
      </c>
    </row>
    <row r="447" spans="1:17" x14ac:dyDescent="0.3">
      <c r="A447" t="s">
        <v>854</v>
      </c>
      <c r="B447" t="s">
        <v>32</v>
      </c>
      <c r="C447" t="s">
        <v>23</v>
      </c>
      <c r="D447" t="s">
        <v>73</v>
      </c>
      <c r="E447" t="s">
        <v>51</v>
      </c>
      <c r="F447" t="s">
        <v>24</v>
      </c>
      <c r="G447" s="1">
        <v>45542</v>
      </c>
      <c r="H447" t="s">
        <v>855</v>
      </c>
      <c r="I447">
        <v>2295904</v>
      </c>
      <c r="J447">
        <v>88304</v>
      </c>
      <c r="K447">
        <v>15227</v>
      </c>
      <c r="L447">
        <v>65430</v>
      </c>
      <c r="M447">
        <v>7.3599999999999999E-2</v>
      </c>
      <c r="N447">
        <v>0.03</v>
      </c>
      <c r="O447">
        <v>1</v>
      </c>
      <c r="P447" t="b">
        <f t="shared" si="13"/>
        <v>1</v>
      </c>
      <c r="Q447" t="str">
        <f t="shared" si="12"/>
        <v>Positive</v>
      </c>
    </row>
    <row r="448" spans="1:17" x14ac:dyDescent="0.3">
      <c r="A448" t="s">
        <v>856</v>
      </c>
      <c r="B448" t="s">
        <v>32</v>
      </c>
      <c r="C448" t="s">
        <v>61</v>
      </c>
      <c r="D448" t="s">
        <v>54</v>
      </c>
      <c r="E448" t="s">
        <v>58</v>
      </c>
      <c r="F448" t="s">
        <v>46</v>
      </c>
      <c r="G448" s="1">
        <v>45519</v>
      </c>
      <c r="H448" t="s">
        <v>857</v>
      </c>
      <c r="I448">
        <v>1827891</v>
      </c>
      <c r="J448">
        <v>140607</v>
      </c>
      <c r="K448">
        <v>28557</v>
      </c>
      <c r="L448">
        <v>52250</v>
      </c>
      <c r="M448">
        <v>0.1211</v>
      </c>
      <c r="N448">
        <v>0.29299999999999998</v>
      </c>
      <c r="O448">
        <v>0</v>
      </c>
      <c r="P448" t="b">
        <f t="shared" si="13"/>
        <v>0</v>
      </c>
      <c r="Q448" t="str">
        <f t="shared" si="12"/>
        <v>Positive</v>
      </c>
    </row>
    <row r="449" spans="1:17" x14ac:dyDescent="0.3">
      <c r="A449" t="s">
        <v>858</v>
      </c>
      <c r="B449" t="s">
        <v>27</v>
      </c>
      <c r="C449" t="s">
        <v>17</v>
      </c>
      <c r="D449" t="s">
        <v>54</v>
      </c>
      <c r="E449" t="s">
        <v>58</v>
      </c>
      <c r="F449" t="s">
        <v>55</v>
      </c>
      <c r="G449" s="1">
        <v>45599</v>
      </c>
      <c r="H449" t="s">
        <v>859</v>
      </c>
      <c r="I449">
        <v>5462842</v>
      </c>
      <c r="J449">
        <v>390203</v>
      </c>
      <c r="K449">
        <v>10622</v>
      </c>
      <c r="L449">
        <v>75389</v>
      </c>
      <c r="M449">
        <v>8.72E-2</v>
      </c>
      <c r="N449">
        <v>0.8</v>
      </c>
      <c r="O449">
        <v>1</v>
      </c>
      <c r="P449" t="b">
        <f t="shared" si="13"/>
        <v>1</v>
      </c>
      <c r="Q449" t="str">
        <f t="shared" si="12"/>
        <v>Positive</v>
      </c>
    </row>
    <row r="450" spans="1:17" x14ac:dyDescent="0.3">
      <c r="A450" t="s">
        <v>860</v>
      </c>
      <c r="B450" t="s">
        <v>27</v>
      </c>
      <c r="C450" t="s">
        <v>23</v>
      </c>
      <c r="D450" t="s">
        <v>37</v>
      </c>
      <c r="E450" t="s">
        <v>51</v>
      </c>
      <c r="F450" t="s">
        <v>34</v>
      </c>
      <c r="G450" s="1">
        <v>45334</v>
      </c>
      <c r="H450" t="s">
        <v>154</v>
      </c>
      <c r="I450">
        <v>956824</v>
      </c>
      <c r="J450">
        <v>119603</v>
      </c>
      <c r="K450">
        <v>35998</v>
      </c>
      <c r="L450">
        <v>34085</v>
      </c>
      <c r="M450">
        <v>0.19819999999999999</v>
      </c>
      <c r="N450">
        <v>-0.45</v>
      </c>
      <c r="O450">
        <v>0</v>
      </c>
      <c r="P450" t="b">
        <f t="shared" si="13"/>
        <v>0</v>
      </c>
      <c r="Q450" t="str">
        <f t="shared" ref="Q450:Q513" si="14">IF(N450&gt;0,"Positive","Negative")</f>
        <v>Negative</v>
      </c>
    </row>
    <row r="451" spans="1:17" x14ac:dyDescent="0.3">
      <c r="A451" t="s">
        <v>861</v>
      </c>
      <c r="B451" t="s">
        <v>66</v>
      </c>
      <c r="C451" t="s">
        <v>28</v>
      </c>
      <c r="D451" t="s">
        <v>37</v>
      </c>
      <c r="E451" t="s">
        <v>38</v>
      </c>
      <c r="F451" t="s">
        <v>55</v>
      </c>
      <c r="G451" s="1">
        <v>45407</v>
      </c>
      <c r="H451" t="s">
        <v>862</v>
      </c>
      <c r="I451">
        <v>4940562</v>
      </c>
      <c r="J451">
        <v>449142</v>
      </c>
      <c r="K451">
        <v>36456</v>
      </c>
      <c r="L451">
        <v>7228</v>
      </c>
      <c r="M451">
        <v>9.98E-2</v>
      </c>
      <c r="N451">
        <v>0.33500000000000002</v>
      </c>
      <c r="O451">
        <v>1</v>
      </c>
      <c r="P451" t="b">
        <f t="shared" ref="P451:P514" si="15">IF(O451=1,TRUE,FALSE)</f>
        <v>1</v>
      </c>
      <c r="Q451" t="str">
        <f t="shared" si="14"/>
        <v>Positive</v>
      </c>
    </row>
    <row r="452" spans="1:17" x14ac:dyDescent="0.3">
      <c r="A452" t="s">
        <v>863</v>
      </c>
      <c r="B452" t="s">
        <v>66</v>
      </c>
      <c r="C452" t="s">
        <v>28</v>
      </c>
      <c r="D452" t="s">
        <v>73</v>
      </c>
      <c r="E452" t="s">
        <v>41</v>
      </c>
      <c r="F452" t="s">
        <v>34</v>
      </c>
      <c r="G452" s="1">
        <v>45450</v>
      </c>
      <c r="H452" t="s">
        <v>324</v>
      </c>
      <c r="I452">
        <v>4590950</v>
      </c>
      <c r="J452">
        <v>327925</v>
      </c>
      <c r="K452">
        <v>37783</v>
      </c>
      <c r="L452">
        <v>81572</v>
      </c>
      <c r="M452">
        <v>9.74E-2</v>
      </c>
      <c r="N452">
        <v>-9.6000000000000002E-2</v>
      </c>
      <c r="O452">
        <v>1</v>
      </c>
      <c r="P452" t="b">
        <f t="shared" si="15"/>
        <v>1</v>
      </c>
      <c r="Q452" t="str">
        <f t="shared" si="14"/>
        <v>Negative</v>
      </c>
    </row>
    <row r="453" spans="1:17" x14ac:dyDescent="0.3">
      <c r="A453" t="s">
        <v>864</v>
      </c>
      <c r="B453" t="s">
        <v>16</v>
      </c>
      <c r="C453" t="s">
        <v>23</v>
      </c>
      <c r="D453" t="s">
        <v>33</v>
      </c>
      <c r="E453" t="s">
        <v>51</v>
      </c>
      <c r="F453" t="s">
        <v>24</v>
      </c>
      <c r="G453" s="1">
        <v>45639</v>
      </c>
      <c r="H453" t="s">
        <v>554</v>
      </c>
      <c r="I453">
        <v>1302185</v>
      </c>
      <c r="J453">
        <v>260437</v>
      </c>
      <c r="K453">
        <v>26165</v>
      </c>
      <c r="L453">
        <v>17634</v>
      </c>
      <c r="M453">
        <v>0.2336</v>
      </c>
      <c r="N453">
        <v>-0.56699999999999995</v>
      </c>
      <c r="O453">
        <v>0</v>
      </c>
      <c r="P453" t="b">
        <f t="shared" si="15"/>
        <v>0</v>
      </c>
      <c r="Q453" t="str">
        <f t="shared" si="14"/>
        <v>Negative</v>
      </c>
    </row>
    <row r="454" spans="1:17" x14ac:dyDescent="0.3">
      <c r="A454" t="s">
        <v>865</v>
      </c>
      <c r="B454" t="s">
        <v>66</v>
      </c>
      <c r="C454" t="s">
        <v>17</v>
      </c>
      <c r="D454" t="s">
        <v>54</v>
      </c>
      <c r="E454" t="s">
        <v>58</v>
      </c>
      <c r="F454" t="s">
        <v>34</v>
      </c>
      <c r="G454" s="1">
        <v>45413</v>
      </c>
      <c r="H454" t="s">
        <v>866</v>
      </c>
      <c r="I454">
        <v>442836</v>
      </c>
      <c r="J454">
        <v>49204</v>
      </c>
      <c r="K454">
        <v>41626</v>
      </c>
      <c r="L454">
        <v>77232</v>
      </c>
      <c r="M454">
        <v>0.3795</v>
      </c>
      <c r="N454">
        <v>0.28399999999999997</v>
      </c>
      <c r="O454">
        <v>0</v>
      </c>
      <c r="P454" t="b">
        <f t="shared" si="15"/>
        <v>0</v>
      </c>
      <c r="Q454" t="str">
        <f t="shared" si="14"/>
        <v>Positive</v>
      </c>
    </row>
    <row r="455" spans="1:17" x14ac:dyDescent="0.3">
      <c r="A455" t="s">
        <v>867</v>
      </c>
      <c r="B455" t="s">
        <v>27</v>
      </c>
      <c r="C455" t="s">
        <v>17</v>
      </c>
      <c r="D455" t="s">
        <v>18</v>
      </c>
      <c r="E455" t="s">
        <v>38</v>
      </c>
      <c r="F455" t="s">
        <v>34</v>
      </c>
      <c r="G455" s="1">
        <v>45488</v>
      </c>
      <c r="H455" t="s">
        <v>244</v>
      </c>
      <c r="I455">
        <v>2473905</v>
      </c>
      <c r="J455">
        <v>164927</v>
      </c>
      <c r="K455">
        <v>40395</v>
      </c>
      <c r="L455">
        <v>23712</v>
      </c>
      <c r="M455">
        <v>9.2600000000000002E-2</v>
      </c>
      <c r="N455">
        <v>-0.53600000000000003</v>
      </c>
      <c r="O455">
        <v>1</v>
      </c>
      <c r="P455" t="b">
        <f t="shared" si="15"/>
        <v>1</v>
      </c>
      <c r="Q455" t="str">
        <f t="shared" si="14"/>
        <v>Negative</v>
      </c>
    </row>
    <row r="456" spans="1:17" x14ac:dyDescent="0.3">
      <c r="A456" t="s">
        <v>868</v>
      </c>
      <c r="B456" t="s">
        <v>32</v>
      </c>
      <c r="C456" t="s">
        <v>28</v>
      </c>
      <c r="D456" t="s">
        <v>33</v>
      </c>
      <c r="E456" t="s">
        <v>38</v>
      </c>
      <c r="F456" t="s">
        <v>46</v>
      </c>
      <c r="G456" s="1">
        <v>45386</v>
      </c>
      <c r="H456" t="s">
        <v>869</v>
      </c>
      <c r="I456">
        <v>4593165</v>
      </c>
      <c r="J456">
        <v>158385</v>
      </c>
      <c r="K456">
        <v>39425</v>
      </c>
      <c r="L456">
        <v>57785</v>
      </c>
      <c r="M456">
        <v>5.5599999999999997E-2</v>
      </c>
      <c r="N456">
        <v>0.97599999999999998</v>
      </c>
      <c r="O456">
        <v>1</v>
      </c>
      <c r="P456" t="b">
        <f t="shared" si="15"/>
        <v>1</v>
      </c>
      <c r="Q456" t="str">
        <f t="shared" si="14"/>
        <v>Positive</v>
      </c>
    </row>
    <row r="457" spans="1:17" x14ac:dyDescent="0.3">
      <c r="A457" t="s">
        <v>870</v>
      </c>
      <c r="B457" t="s">
        <v>16</v>
      </c>
      <c r="C457" t="s">
        <v>28</v>
      </c>
      <c r="D457" t="s">
        <v>54</v>
      </c>
      <c r="E457" t="s">
        <v>51</v>
      </c>
      <c r="F457" t="s">
        <v>55</v>
      </c>
      <c r="G457" s="1">
        <v>45474</v>
      </c>
      <c r="H457" t="s">
        <v>871</v>
      </c>
      <c r="I457">
        <v>8242564</v>
      </c>
      <c r="J457">
        <v>374662</v>
      </c>
      <c r="K457">
        <v>4363</v>
      </c>
      <c r="L457">
        <v>65109</v>
      </c>
      <c r="M457">
        <v>5.3900000000000003E-2</v>
      </c>
      <c r="N457">
        <v>-0.191</v>
      </c>
      <c r="O457">
        <v>1</v>
      </c>
      <c r="P457" t="b">
        <f t="shared" si="15"/>
        <v>1</v>
      </c>
      <c r="Q457" t="str">
        <f t="shared" si="14"/>
        <v>Negative</v>
      </c>
    </row>
    <row r="458" spans="1:17" x14ac:dyDescent="0.3">
      <c r="A458" t="s">
        <v>872</v>
      </c>
      <c r="B458" t="s">
        <v>16</v>
      </c>
      <c r="C458" t="s">
        <v>61</v>
      </c>
      <c r="D458" t="s">
        <v>37</v>
      </c>
      <c r="E458" t="s">
        <v>38</v>
      </c>
      <c r="F458" t="s">
        <v>20</v>
      </c>
      <c r="G458" s="1">
        <v>45650</v>
      </c>
      <c r="H458" t="s">
        <v>244</v>
      </c>
      <c r="I458">
        <v>5530629</v>
      </c>
      <c r="J458">
        <v>425433</v>
      </c>
      <c r="K458">
        <v>23169</v>
      </c>
      <c r="L458">
        <v>31911</v>
      </c>
      <c r="M458">
        <v>8.6900000000000005E-2</v>
      </c>
      <c r="N458">
        <v>0.38500000000000001</v>
      </c>
      <c r="O458">
        <v>1</v>
      </c>
      <c r="P458" t="b">
        <f t="shared" si="15"/>
        <v>1</v>
      </c>
      <c r="Q458" t="str">
        <f t="shared" si="14"/>
        <v>Positive</v>
      </c>
    </row>
    <row r="459" spans="1:17" x14ac:dyDescent="0.3">
      <c r="A459" t="s">
        <v>873</v>
      </c>
      <c r="B459" t="s">
        <v>27</v>
      </c>
      <c r="C459" t="s">
        <v>61</v>
      </c>
      <c r="D459" t="s">
        <v>73</v>
      </c>
      <c r="E459" t="s">
        <v>41</v>
      </c>
      <c r="F459" t="s">
        <v>46</v>
      </c>
      <c r="G459" s="1">
        <v>45351</v>
      </c>
      <c r="H459" t="s">
        <v>874</v>
      </c>
      <c r="I459">
        <v>3484980</v>
      </c>
      <c r="J459">
        <v>193610</v>
      </c>
      <c r="K459">
        <v>44316</v>
      </c>
      <c r="L459">
        <v>29372</v>
      </c>
      <c r="M459">
        <v>7.6700000000000004E-2</v>
      </c>
      <c r="N459">
        <v>-0.79200000000000004</v>
      </c>
      <c r="O459">
        <v>1</v>
      </c>
      <c r="P459" t="b">
        <f t="shared" si="15"/>
        <v>1</v>
      </c>
      <c r="Q459" t="str">
        <f t="shared" si="14"/>
        <v>Negative</v>
      </c>
    </row>
    <row r="460" spans="1:17" x14ac:dyDescent="0.3">
      <c r="A460" t="s">
        <v>875</v>
      </c>
      <c r="B460" t="s">
        <v>27</v>
      </c>
      <c r="C460" t="s">
        <v>28</v>
      </c>
      <c r="D460" t="s">
        <v>37</v>
      </c>
      <c r="E460" t="s">
        <v>58</v>
      </c>
      <c r="F460" t="s">
        <v>20</v>
      </c>
      <c r="G460" s="1">
        <v>45423</v>
      </c>
      <c r="H460" t="s">
        <v>876</v>
      </c>
      <c r="I460">
        <v>4520351</v>
      </c>
      <c r="J460">
        <v>410941</v>
      </c>
      <c r="K460">
        <v>33898</v>
      </c>
      <c r="L460">
        <v>76330</v>
      </c>
      <c r="M460">
        <v>0.1153</v>
      </c>
      <c r="N460">
        <v>0.54500000000000004</v>
      </c>
      <c r="O460">
        <v>1</v>
      </c>
      <c r="P460" t="b">
        <f t="shared" si="15"/>
        <v>1</v>
      </c>
      <c r="Q460" t="str">
        <f t="shared" si="14"/>
        <v>Positive</v>
      </c>
    </row>
    <row r="461" spans="1:17" x14ac:dyDescent="0.3">
      <c r="A461" t="s">
        <v>877</v>
      </c>
      <c r="B461" t="s">
        <v>66</v>
      </c>
      <c r="C461" t="s">
        <v>61</v>
      </c>
      <c r="D461" t="s">
        <v>73</v>
      </c>
      <c r="E461" t="s">
        <v>19</v>
      </c>
      <c r="F461" t="s">
        <v>34</v>
      </c>
      <c r="G461" s="1">
        <v>45509</v>
      </c>
      <c r="H461" t="s">
        <v>878</v>
      </c>
      <c r="I461">
        <v>86961</v>
      </c>
      <c r="J461">
        <v>12423</v>
      </c>
      <c r="K461">
        <v>45804</v>
      </c>
      <c r="L461">
        <v>73380</v>
      </c>
      <c r="M461">
        <v>1.5134000000000001</v>
      </c>
      <c r="N461">
        <v>-0.19800000000000001</v>
      </c>
      <c r="O461">
        <v>0</v>
      </c>
      <c r="P461" t="b">
        <f t="shared" si="15"/>
        <v>0</v>
      </c>
      <c r="Q461" t="str">
        <f t="shared" si="14"/>
        <v>Negative</v>
      </c>
    </row>
    <row r="462" spans="1:17" x14ac:dyDescent="0.3">
      <c r="A462" t="s">
        <v>879</v>
      </c>
      <c r="B462" t="s">
        <v>66</v>
      </c>
      <c r="C462" t="s">
        <v>17</v>
      </c>
      <c r="D462" t="s">
        <v>18</v>
      </c>
      <c r="E462" t="s">
        <v>51</v>
      </c>
      <c r="F462" t="s">
        <v>34</v>
      </c>
      <c r="G462" s="1">
        <v>45323</v>
      </c>
      <c r="H462" t="s">
        <v>880</v>
      </c>
      <c r="I462">
        <v>601964</v>
      </c>
      <c r="J462">
        <v>54724</v>
      </c>
      <c r="K462">
        <v>10111</v>
      </c>
      <c r="L462">
        <v>68009</v>
      </c>
      <c r="M462">
        <v>0.22070000000000001</v>
      </c>
      <c r="N462">
        <v>-0.86099999999999999</v>
      </c>
      <c r="O462">
        <v>0</v>
      </c>
      <c r="P462" t="b">
        <f t="shared" si="15"/>
        <v>0</v>
      </c>
      <c r="Q462" t="str">
        <f t="shared" si="14"/>
        <v>Negative</v>
      </c>
    </row>
    <row r="463" spans="1:17" x14ac:dyDescent="0.3">
      <c r="A463" t="s">
        <v>881</v>
      </c>
      <c r="B463" t="s">
        <v>32</v>
      </c>
      <c r="C463" t="s">
        <v>28</v>
      </c>
      <c r="D463" t="s">
        <v>54</v>
      </c>
      <c r="E463" t="s">
        <v>58</v>
      </c>
      <c r="F463" t="s">
        <v>20</v>
      </c>
      <c r="G463" s="1">
        <v>45388</v>
      </c>
      <c r="H463" t="s">
        <v>882</v>
      </c>
      <c r="I463">
        <v>651060</v>
      </c>
      <c r="J463">
        <v>72340</v>
      </c>
      <c r="K463">
        <v>3718</v>
      </c>
      <c r="L463">
        <v>70588</v>
      </c>
      <c r="M463">
        <v>0.22520000000000001</v>
      </c>
      <c r="N463">
        <v>-0.86</v>
      </c>
      <c r="O463">
        <v>0</v>
      </c>
      <c r="P463" t="b">
        <f t="shared" si="15"/>
        <v>0</v>
      </c>
      <c r="Q463" t="str">
        <f t="shared" si="14"/>
        <v>Negative</v>
      </c>
    </row>
    <row r="464" spans="1:17" x14ac:dyDescent="0.3">
      <c r="A464" t="s">
        <v>883</v>
      </c>
      <c r="B464" t="s">
        <v>66</v>
      </c>
      <c r="C464" t="s">
        <v>17</v>
      </c>
      <c r="D464" t="s">
        <v>33</v>
      </c>
      <c r="E464" t="s">
        <v>38</v>
      </c>
      <c r="F464" t="s">
        <v>24</v>
      </c>
      <c r="G464" s="1">
        <v>45470</v>
      </c>
      <c r="H464" t="s">
        <v>358</v>
      </c>
      <c r="I464">
        <v>1625124</v>
      </c>
      <c r="J464">
        <v>135427</v>
      </c>
      <c r="K464">
        <v>14489</v>
      </c>
      <c r="L464">
        <v>56550</v>
      </c>
      <c r="M464">
        <v>0.127</v>
      </c>
      <c r="N464">
        <v>0.30199999999999999</v>
      </c>
      <c r="O464">
        <v>0</v>
      </c>
      <c r="P464" t="b">
        <f t="shared" si="15"/>
        <v>0</v>
      </c>
      <c r="Q464" t="str">
        <f t="shared" si="14"/>
        <v>Positive</v>
      </c>
    </row>
    <row r="465" spans="1:17" x14ac:dyDescent="0.3">
      <c r="A465" t="s">
        <v>884</v>
      </c>
      <c r="B465" t="s">
        <v>16</v>
      </c>
      <c r="C465" t="s">
        <v>17</v>
      </c>
      <c r="D465" t="s">
        <v>54</v>
      </c>
      <c r="E465" t="s">
        <v>41</v>
      </c>
      <c r="F465" t="s">
        <v>20</v>
      </c>
      <c r="G465" s="1">
        <v>45635</v>
      </c>
      <c r="H465" t="s">
        <v>885</v>
      </c>
      <c r="I465">
        <v>3497193</v>
      </c>
      <c r="J465">
        <v>499599</v>
      </c>
      <c r="K465">
        <v>35201</v>
      </c>
      <c r="L465">
        <v>45114</v>
      </c>
      <c r="M465">
        <v>0.1658</v>
      </c>
      <c r="N465">
        <v>-0.61899999999999999</v>
      </c>
      <c r="O465">
        <v>1</v>
      </c>
      <c r="P465" t="b">
        <f t="shared" si="15"/>
        <v>1</v>
      </c>
      <c r="Q465" t="str">
        <f t="shared" si="14"/>
        <v>Negative</v>
      </c>
    </row>
    <row r="466" spans="1:17" x14ac:dyDescent="0.3">
      <c r="A466" t="s">
        <v>886</v>
      </c>
      <c r="B466" t="s">
        <v>66</v>
      </c>
      <c r="C466" t="s">
        <v>28</v>
      </c>
      <c r="D466" t="s">
        <v>33</v>
      </c>
      <c r="E466" t="s">
        <v>58</v>
      </c>
      <c r="F466" t="s">
        <v>20</v>
      </c>
      <c r="G466" s="1">
        <v>45383</v>
      </c>
      <c r="H466" t="s">
        <v>887</v>
      </c>
      <c r="I466">
        <v>2789955</v>
      </c>
      <c r="J466">
        <v>398565</v>
      </c>
      <c r="K466">
        <v>19206</v>
      </c>
      <c r="L466">
        <v>58577</v>
      </c>
      <c r="M466">
        <v>0.17069999999999999</v>
      </c>
      <c r="N466">
        <v>0.46100000000000002</v>
      </c>
      <c r="O466">
        <v>1</v>
      </c>
      <c r="P466" t="b">
        <f t="shared" si="15"/>
        <v>1</v>
      </c>
      <c r="Q466" t="str">
        <f t="shared" si="14"/>
        <v>Positive</v>
      </c>
    </row>
    <row r="467" spans="1:17" x14ac:dyDescent="0.3">
      <c r="A467" t="s">
        <v>888</v>
      </c>
      <c r="B467" t="s">
        <v>32</v>
      </c>
      <c r="C467" t="s">
        <v>61</v>
      </c>
      <c r="D467" t="s">
        <v>33</v>
      </c>
      <c r="E467" t="s">
        <v>51</v>
      </c>
      <c r="F467" t="s">
        <v>46</v>
      </c>
      <c r="G467" s="1">
        <v>45457</v>
      </c>
      <c r="H467" t="s">
        <v>889</v>
      </c>
      <c r="I467">
        <v>5049712</v>
      </c>
      <c r="J467">
        <v>315607</v>
      </c>
      <c r="K467">
        <v>32012</v>
      </c>
      <c r="L467">
        <v>662</v>
      </c>
      <c r="M467">
        <v>6.9000000000000006E-2</v>
      </c>
      <c r="N467">
        <v>-0.82199999999999995</v>
      </c>
      <c r="O467">
        <v>1</v>
      </c>
      <c r="P467" t="b">
        <f t="shared" si="15"/>
        <v>1</v>
      </c>
      <c r="Q467" t="str">
        <f t="shared" si="14"/>
        <v>Negative</v>
      </c>
    </row>
    <row r="468" spans="1:17" x14ac:dyDescent="0.3">
      <c r="A468" t="s">
        <v>890</v>
      </c>
      <c r="B468" t="s">
        <v>66</v>
      </c>
      <c r="C468" t="s">
        <v>17</v>
      </c>
      <c r="D468" t="s">
        <v>73</v>
      </c>
      <c r="E468" t="s">
        <v>58</v>
      </c>
      <c r="F468" t="s">
        <v>24</v>
      </c>
      <c r="G468" s="1">
        <v>45648</v>
      </c>
      <c r="H468" t="s">
        <v>567</v>
      </c>
      <c r="I468">
        <v>815632</v>
      </c>
      <c r="J468">
        <v>42928</v>
      </c>
      <c r="K468">
        <v>48609</v>
      </c>
      <c r="L468">
        <v>10527</v>
      </c>
      <c r="M468">
        <v>0.12509999999999999</v>
      </c>
      <c r="N468">
        <v>-0.59799999999999998</v>
      </c>
      <c r="O468">
        <v>0</v>
      </c>
      <c r="P468" t="b">
        <f t="shared" si="15"/>
        <v>0</v>
      </c>
      <c r="Q468" t="str">
        <f t="shared" si="14"/>
        <v>Negative</v>
      </c>
    </row>
    <row r="469" spans="1:17" x14ac:dyDescent="0.3">
      <c r="A469" t="s">
        <v>891</v>
      </c>
      <c r="B469" t="s">
        <v>16</v>
      </c>
      <c r="C469" t="s">
        <v>17</v>
      </c>
      <c r="D469" t="s">
        <v>33</v>
      </c>
      <c r="E469" t="s">
        <v>41</v>
      </c>
      <c r="F469" t="s">
        <v>34</v>
      </c>
      <c r="G469" s="1">
        <v>45636</v>
      </c>
      <c r="H469" t="s">
        <v>892</v>
      </c>
      <c r="I469">
        <v>7611079</v>
      </c>
      <c r="J469">
        <v>262451</v>
      </c>
      <c r="K469">
        <v>35438</v>
      </c>
      <c r="L469">
        <v>88734</v>
      </c>
      <c r="M469">
        <v>5.0799999999999998E-2</v>
      </c>
      <c r="N469">
        <v>0.64400000000000002</v>
      </c>
      <c r="O469">
        <v>1</v>
      </c>
      <c r="P469" t="b">
        <f t="shared" si="15"/>
        <v>1</v>
      </c>
      <c r="Q469" t="str">
        <f t="shared" si="14"/>
        <v>Positive</v>
      </c>
    </row>
    <row r="470" spans="1:17" x14ac:dyDescent="0.3">
      <c r="A470" t="s">
        <v>893</v>
      </c>
      <c r="B470" t="s">
        <v>32</v>
      </c>
      <c r="C470" t="s">
        <v>17</v>
      </c>
      <c r="D470" t="s">
        <v>33</v>
      </c>
      <c r="E470" t="s">
        <v>51</v>
      </c>
      <c r="F470" t="s">
        <v>20</v>
      </c>
      <c r="G470" s="1">
        <v>45402</v>
      </c>
      <c r="H470" t="s">
        <v>894</v>
      </c>
      <c r="I470">
        <v>1099504</v>
      </c>
      <c r="J470">
        <v>68719</v>
      </c>
      <c r="K470">
        <v>29333</v>
      </c>
      <c r="L470">
        <v>46480</v>
      </c>
      <c r="M470">
        <v>0.13150000000000001</v>
      </c>
      <c r="N470">
        <v>0.96199999999999997</v>
      </c>
      <c r="O470">
        <v>0</v>
      </c>
      <c r="P470" t="b">
        <f t="shared" si="15"/>
        <v>0</v>
      </c>
      <c r="Q470" t="str">
        <f t="shared" si="14"/>
        <v>Positive</v>
      </c>
    </row>
    <row r="471" spans="1:17" x14ac:dyDescent="0.3">
      <c r="A471" t="s">
        <v>895</v>
      </c>
      <c r="B471" t="s">
        <v>27</v>
      </c>
      <c r="C471" t="s">
        <v>28</v>
      </c>
      <c r="D471" t="s">
        <v>18</v>
      </c>
      <c r="E471" t="s">
        <v>38</v>
      </c>
      <c r="F471" t="s">
        <v>34</v>
      </c>
      <c r="G471" s="1">
        <v>45576</v>
      </c>
      <c r="H471" t="s">
        <v>896</v>
      </c>
      <c r="I471">
        <v>2412742</v>
      </c>
      <c r="J471">
        <v>141926</v>
      </c>
      <c r="K471">
        <v>34452</v>
      </c>
      <c r="L471">
        <v>81438</v>
      </c>
      <c r="M471">
        <v>0.1069</v>
      </c>
      <c r="N471">
        <v>-0.76</v>
      </c>
      <c r="O471">
        <v>1</v>
      </c>
      <c r="P471" t="b">
        <f t="shared" si="15"/>
        <v>1</v>
      </c>
      <c r="Q471" t="str">
        <f t="shared" si="14"/>
        <v>Negative</v>
      </c>
    </row>
    <row r="472" spans="1:17" x14ac:dyDescent="0.3">
      <c r="A472" t="s">
        <v>897</v>
      </c>
      <c r="B472" t="s">
        <v>27</v>
      </c>
      <c r="C472" t="s">
        <v>61</v>
      </c>
      <c r="D472" t="s">
        <v>29</v>
      </c>
      <c r="E472" t="s">
        <v>38</v>
      </c>
      <c r="F472" t="s">
        <v>55</v>
      </c>
      <c r="G472" s="1">
        <v>45370</v>
      </c>
      <c r="H472" t="s">
        <v>898</v>
      </c>
      <c r="I472">
        <v>1683846</v>
      </c>
      <c r="J472">
        <v>187094</v>
      </c>
      <c r="K472">
        <v>48236</v>
      </c>
      <c r="L472">
        <v>29302</v>
      </c>
      <c r="M472">
        <v>0.15720000000000001</v>
      </c>
      <c r="N472">
        <v>0.47399999999999998</v>
      </c>
      <c r="O472">
        <v>0</v>
      </c>
      <c r="P472" t="b">
        <f t="shared" si="15"/>
        <v>0</v>
      </c>
      <c r="Q472" t="str">
        <f t="shared" si="14"/>
        <v>Positive</v>
      </c>
    </row>
    <row r="473" spans="1:17" x14ac:dyDescent="0.3">
      <c r="A473" t="s">
        <v>899</v>
      </c>
      <c r="B473" t="s">
        <v>27</v>
      </c>
      <c r="C473" t="s">
        <v>28</v>
      </c>
      <c r="D473" t="s">
        <v>73</v>
      </c>
      <c r="E473" t="s">
        <v>51</v>
      </c>
      <c r="F473" t="s">
        <v>20</v>
      </c>
      <c r="G473" s="1">
        <v>45440</v>
      </c>
      <c r="H473" t="s">
        <v>244</v>
      </c>
      <c r="I473">
        <v>5622607</v>
      </c>
      <c r="J473">
        <v>193883</v>
      </c>
      <c r="K473">
        <v>41328</v>
      </c>
      <c r="L473">
        <v>18753</v>
      </c>
      <c r="M473">
        <v>4.5199999999999997E-2</v>
      </c>
      <c r="N473">
        <v>0.34300000000000003</v>
      </c>
      <c r="O473">
        <v>1</v>
      </c>
      <c r="P473" t="b">
        <f t="shared" si="15"/>
        <v>1</v>
      </c>
      <c r="Q473" t="str">
        <f t="shared" si="14"/>
        <v>Positive</v>
      </c>
    </row>
    <row r="474" spans="1:17" x14ac:dyDescent="0.3">
      <c r="A474" t="s">
        <v>900</v>
      </c>
      <c r="B474" t="s">
        <v>27</v>
      </c>
      <c r="C474" t="s">
        <v>61</v>
      </c>
      <c r="D474" t="s">
        <v>73</v>
      </c>
      <c r="E474" t="s">
        <v>19</v>
      </c>
      <c r="F474" t="s">
        <v>24</v>
      </c>
      <c r="G474" s="1">
        <v>45379</v>
      </c>
      <c r="H474" t="s">
        <v>144</v>
      </c>
      <c r="I474">
        <v>1734804</v>
      </c>
      <c r="J474">
        <v>144567</v>
      </c>
      <c r="K474">
        <v>20426</v>
      </c>
      <c r="L474">
        <v>56274</v>
      </c>
      <c r="M474">
        <v>0.1275</v>
      </c>
      <c r="N474">
        <v>0.51100000000000001</v>
      </c>
      <c r="O474">
        <v>0</v>
      </c>
      <c r="P474" t="b">
        <f t="shared" si="15"/>
        <v>0</v>
      </c>
      <c r="Q474" t="str">
        <f t="shared" si="14"/>
        <v>Positive</v>
      </c>
    </row>
    <row r="475" spans="1:17" x14ac:dyDescent="0.3">
      <c r="A475" t="s">
        <v>901</v>
      </c>
      <c r="B475" t="s">
        <v>32</v>
      </c>
      <c r="C475" t="s">
        <v>17</v>
      </c>
      <c r="D475" t="s">
        <v>54</v>
      </c>
      <c r="E475" t="s">
        <v>41</v>
      </c>
      <c r="F475" t="s">
        <v>24</v>
      </c>
      <c r="G475" s="1">
        <v>45537</v>
      </c>
      <c r="H475" t="s">
        <v>902</v>
      </c>
      <c r="I475">
        <v>1200680</v>
      </c>
      <c r="J475">
        <v>120068</v>
      </c>
      <c r="K475">
        <v>11028</v>
      </c>
      <c r="L475">
        <v>10700</v>
      </c>
      <c r="M475">
        <v>0.1181</v>
      </c>
      <c r="N475">
        <v>-0.68100000000000005</v>
      </c>
      <c r="O475">
        <v>0</v>
      </c>
      <c r="P475" t="b">
        <f t="shared" si="15"/>
        <v>0</v>
      </c>
      <c r="Q475" t="str">
        <f t="shared" si="14"/>
        <v>Negative</v>
      </c>
    </row>
    <row r="476" spans="1:17" x14ac:dyDescent="0.3">
      <c r="A476" t="s">
        <v>903</v>
      </c>
      <c r="B476" t="s">
        <v>32</v>
      </c>
      <c r="C476" t="s">
        <v>28</v>
      </c>
      <c r="D476" t="s">
        <v>37</v>
      </c>
      <c r="E476" t="s">
        <v>58</v>
      </c>
      <c r="F476" t="s">
        <v>55</v>
      </c>
      <c r="G476" s="1">
        <v>45312</v>
      </c>
      <c r="H476" t="s">
        <v>575</v>
      </c>
      <c r="I476">
        <v>2607286</v>
      </c>
      <c r="J476">
        <v>118513</v>
      </c>
      <c r="K476">
        <v>16168</v>
      </c>
      <c r="L476">
        <v>5783</v>
      </c>
      <c r="M476">
        <v>5.3900000000000003E-2</v>
      </c>
      <c r="N476">
        <v>-0.317</v>
      </c>
      <c r="O476">
        <v>1</v>
      </c>
      <c r="P476" t="b">
        <f t="shared" si="15"/>
        <v>1</v>
      </c>
      <c r="Q476" t="str">
        <f t="shared" si="14"/>
        <v>Negative</v>
      </c>
    </row>
    <row r="477" spans="1:17" x14ac:dyDescent="0.3">
      <c r="A477" t="s">
        <v>904</v>
      </c>
      <c r="B477" t="s">
        <v>27</v>
      </c>
      <c r="C477" t="s">
        <v>28</v>
      </c>
      <c r="D477" t="s">
        <v>29</v>
      </c>
      <c r="E477" t="s">
        <v>41</v>
      </c>
      <c r="F477" t="s">
        <v>34</v>
      </c>
      <c r="G477" s="1">
        <v>45556</v>
      </c>
      <c r="H477" t="s">
        <v>686</v>
      </c>
      <c r="I477">
        <v>6249500</v>
      </c>
      <c r="J477">
        <v>215500</v>
      </c>
      <c r="K477">
        <v>49497</v>
      </c>
      <c r="L477">
        <v>35586</v>
      </c>
      <c r="M477">
        <v>4.8099999999999997E-2</v>
      </c>
      <c r="N477">
        <v>0.108</v>
      </c>
      <c r="O477">
        <v>1</v>
      </c>
      <c r="P477" t="b">
        <f t="shared" si="15"/>
        <v>1</v>
      </c>
      <c r="Q477" t="str">
        <f t="shared" si="14"/>
        <v>Positive</v>
      </c>
    </row>
    <row r="478" spans="1:17" x14ac:dyDescent="0.3">
      <c r="A478" t="s">
        <v>905</v>
      </c>
      <c r="B478" t="s">
        <v>16</v>
      </c>
      <c r="C478" t="s">
        <v>17</v>
      </c>
      <c r="D478" t="s">
        <v>54</v>
      </c>
      <c r="E478" t="s">
        <v>58</v>
      </c>
      <c r="F478" t="s">
        <v>20</v>
      </c>
      <c r="G478" s="1">
        <v>45369</v>
      </c>
      <c r="H478" t="s">
        <v>906</v>
      </c>
      <c r="I478">
        <v>12107610</v>
      </c>
      <c r="J478">
        <v>448430</v>
      </c>
      <c r="K478">
        <v>38072</v>
      </c>
      <c r="L478">
        <v>42686</v>
      </c>
      <c r="M478">
        <v>4.3700000000000003E-2</v>
      </c>
      <c r="N478">
        <v>0.88500000000000001</v>
      </c>
      <c r="O478">
        <v>1</v>
      </c>
      <c r="P478" t="b">
        <f t="shared" si="15"/>
        <v>1</v>
      </c>
      <c r="Q478" t="str">
        <f t="shared" si="14"/>
        <v>Positive</v>
      </c>
    </row>
    <row r="479" spans="1:17" x14ac:dyDescent="0.3">
      <c r="A479" t="s">
        <v>907</v>
      </c>
      <c r="B479" t="s">
        <v>32</v>
      </c>
      <c r="C479" t="s">
        <v>61</v>
      </c>
      <c r="D479" t="s">
        <v>29</v>
      </c>
      <c r="E479" t="s">
        <v>51</v>
      </c>
      <c r="F479" t="s">
        <v>24</v>
      </c>
      <c r="G479" s="1">
        <v>45334</v>
      </c>
      <c r="H479" t="s">
        <v>908</v>
      </c>
      <c r="I479">
        <v>1373043</v>
      </c>
      <c r="J479">
        <v>196149</v>
      </c>
      <c r="K479">
        <v>37179</v>
      </c>
      <c r="L479">
        <v>90374</v>
      </c>
      <c r="M479">
        <v>0.23580000000000001</v>
      </c>
      <c r="N479">
        <v>0.57299999999999995</v>
      </c>
      <c r="O479">
        <v>0</v>
      </c>
      <c r="P479" t="b">
        <f t="shared" si="15"/>
        <v>0</v>
      </c>
      <c r="Q479" t="str">
        <f t="shared" si="14"/>
        <v>Positive</v>
      </c>
    </row>
    <row r="480" spans="1:17" x14ac:dyDescent="0.3">
      <c r="A480" t="s">
        <v>909</v>
      </c>
      <c r="B480" t="s">
        <v>16</v>
      </c>
      <c r="C480" t="s">
        <v>23</v>
      </c>
      <c r="D480" t="s">
        <v>18</v>
      </c>
      <c r="E480" t="s">
        <v>19</v>
      </c>
      <c r="F480" t="s">
        <v>46</v>
      </c>
      <c r="G480" s="1">
        <v>45635</v>
      </c>
      <c r="H480" t="s">
        <v>910</v>
      </c>
      <c r="I480">
        <v>94338</v>
      </c>
      <c r="J480">
        <v>10482</v>
      </c>
      <c r="K480">
        <v>4442</v>
      </c>
      <c r="L480">
        <v>70972</v>
      </c>
      <c r="M480">
        <v>0.91049999999999998</v>
      </c>
      <c r="N480">
        <v>-0.218</v>
      </c>
      <c r="O480">
        <v>0</v>
      </c>
      <c r="P480" t="b">
        <f t="shared" si="15"/>
        <v>0</v>
      </c>
      <c r="Q480" t="str">
        <f t="shared" si="14"/>
        <v>Negative</v>
      </c>
    </row>
    <row r="481" spans="1:17" x14ac:dyDescent="0.3">
      <c r="A481" t="s">
        <v>911</v>
      </c>
      <c r="B481" t="s">
        <v>16</v>
      </c>
      <c r="C481" t="s">
        <v>17</v>
      </c>
      <c r="D481" t="s">
        <v>29</v>
      </c>
      <c r="E481" t="s">
        <v>58</v>
      </c>
      <c r="F481" t="s">
        <v>20</v>
      </c>
      <c r="G481" s="1">
        <v>45459</v>
      </c>
      <c r="H481" t="s">
        <v>912</v>
      </c>
      <c r="I481">
        <v>3270162</v>
      </c>
      <c r="J481">
        <v>233583</v>
      </c>
      <c r="K481">
        <v>31987</v>
      </c>
      <c r="L481">
        <v>98865</v>
      </c>
      <c r="M481">
        <v>0.1114</v>
      </c>
      <c r="N481">
        <v>7.9000000000000001E-2</v>
      </c>
      <c r="O481">
        <v>1</v>
      </c>
      <c r="P481" t="b">
        <f t="shared" si="15"/>
        <v>1</v>
      </c>
      <c r="Q481" t="str">
        <f t="shared" si="14"/>
        <v>Positive</v>
      </c>
    </row>
    <row r="482" spans="1:17" x14ac:dyDescent="0.3">
      <c r="A482" t="s">
        <v>913</v>
      </c>
      <c r="B482" t="s">
        <v>66</v>
      </c>
      <c r="C482" t="s">
        <v>23</v>
      </c>
      <c r="D482" t="s">
        <v>73</v>
      </c>
      <c r="E482" t="s">
        <v>58</v>
      </c>
      <c r="F482" t="s">
        <v>34</v>
      </c>
      <c r="G482" s="1">
        <v>45319</v>
      </c>
      <c r="H482" t="s">
        <v>914</v>
      </c>
      <c r="I482">
        <v>2451904</v>
      </c>
      <c r="J482">
        <v>87568</v>
      </c>
      <c r="K482">
        <v>34599</v>
      </c>
      <c r="L482">
        <v>76958</v>
      </c>
      <c r="M482">
        <v>8.1199999999999994E-2</v>
      </c>
      <c r="N482">
        <v>6.5000000000000002E-2</v>
      </c>
      <c r="O482">
        <v>1</v>
      </c>
      <c r="P482" t="b">
        <f t="shared" si="15"/>
        <v>1</v>
      </c>
      <c r="Q482" t="str">
        <f t="shared" si="14"/>
        <v>Positive</v>
      </c>
    </row>
    <row r="483" spans="1:17" x14ac:dyDescent="0.3">
      <c r="A483" t="s">
        <v>915</v>
      </c>
      <c r="B483" t="s">
        <v>66</v>
      </c>
      <c r="C483" t="s">
        <v>61</v>
      </c>
      <c r="D483" t="s">
        <v>73</v>
      </c>
      <c r="E483" t="s">
        <v>41</v>
      </c>
      <c r="F483" t="s">
        <v>20</v>
      </c>
      <c r="G483" s="1">
        <v>45609</v>
      </c>
      <c r="H483" t="s">
        <v>916</v>
      </c>
      <c r="I483">
        <v>9329620</v>
      </c>
      <c r="J483">
        <v>466481</v>
      </c>
      <c r="K483">
        <v>8330</v>
      </c>
      <c r="L483">
        <v>52291</v>
      </c>
      <c r="M483">
        <v>5.6500000000000002E-2</v>
      </c>
      <c r="N483">
        <v>-0.57599999999999996</v>
      </c>
      <c r="O483">
        <v>1</v>
      </c>
      <c r="P483" t="b">
        <f t="shared" si="15"/>
        <v>1</v>
      </c>
      <c r="Q483" t="str">
        <f t="shared" si="14"/>
        <v>Negative</v>
      </c>
    </row>
    <row r="484" spans="1:17" x14ac:dyDescent="0.3">
      <c r="A484" t="s">
        <v>917</v>
      </c>
      <c r="B484" t="s">
        <v>16</v>
      </c>
      <c r="C484" t="s">
        <v>17</v>
      </c>
      <c r="D484" t="s">
        <v>73</v>
      </c>
      <c r="E484" t="s">
        <v>41</v>
      </c>
      <c r="F484" t="s">
        <v>34</v>
      </c>
      <c r="G484" s="1">
        <v>45494</v>
      </c>
      <c r="H484" t="s">
        <v>663</v>
      </c>
      <c r="I484">
        <v>1014025</v>
      </c>
      <c r="J484">
        <v>40561</v>
      </c>
      <c r="K484">
        <v>8269</v>
      </c>
      <c r="L484">
        <v>78223</v>
      </c>
      <c r="M484">
        <v>0.12529999999999999</v>
      </c>
      <c r="N484">
        <v>-0.95399999999999996</v>
      </c>
      <c r="O484">
        <v>0</v>
      </c>
      <c r="P484" t="b">
        <f t="shared" si="15"/>
        <v>0</v>
      </c>
      <c r="Q484" t="str">
        <f t="shared" si="14"/>
        <v>Negative</v>
      </c>
    </row>
    <row r="485" spans="1:17" x14ac:dyDescent="0.3">
      <c r="A485" t="s">
        <v>918</v>
      </c>
      <c r="B485" t="s">
        <v>32</v>
      </c>
      <c r="C485" t="s">
        <v>28</v>
      </c>
      <c r="D485" t="s">
        <v>18</v>
      </c>
      <c r="E485" t="s">
        <v>38</v>
      </c>
      <c r="F485" t="s">
        <v>46</v>
      </c>
      <c r="G485" s="1">
        <v>45548</v>
      </c>
      <c r="H485" t="s">
        <v>919</v>
      </c>
      <c r="I485">
        <v>9888340</v>
      </c>
      <c r="J485">
        <v>449470</v>
      </c>
      <c r="K485">
        <v>20614</v>
      </c>
      <c r="L485">
        <v>52131</v>
      </c>
      <c r="M485">
        <v>5.28E-2</v>
      </c>
      <c r="N485">
        <v>0.91500000000000004</v>
      </c>
      <c r="O485">
        <v>1</v>
      </c>
      <c r="P485" t="b">
        <f t="shared" si="15"/>
        <v>1</v>
      </c>
      <c r="Q485" t="str">
        <f t="shared" si="14"/>
        <v>Positive</v>
      </c>
    </row>
    <row r="486" spans="1:17" x14ac:dyDescent="0.3">
      <c r="A486" t="s">
        <v>920</v>
      </c>
      <c r="B486" t="s">
        <v>27</v>
      </c>
      <c r="C486" t="s">
        <v>28</v>
      </c>
      <c r="D486" t="s">
        <v>29</v>
      </c>
      <c r="E486" t="s">
        <v>19</v>
      </c>
      <c r="F486" t="s">
        <v>20</v>
      </c>
      <c r="G486" s="1">
        <v>45623</v>
      </c>
      <c r="H486" t="s">
        <v>921</v>
      </c>
      <c r="I486">
        <v>5406209</v>
      </c>
      <c r="J486">
        <v>186421</v>
      </c>
      <c r="K486">
        <v>48900</v>
      </c>
      <c r="L486">
        <v>94474</v>
      </c>
      <c r="M486">
        <v>6.0999999999999999E-2</v>
      </c>
      <c r="N486">
        <v>0.15</v>
      </c>
      <c r="O486">
        <v>1</v>
      </c>
      <c r="P486" t="b">
        <f t="shared" si="15"/>
        <v>1</v>
      </c>
      <c r="Q486" t="str">
        <f t="shared" si="14"/>
        <v>Positive</v>
      </c>
    </row>
    <row r="487" spans="1:17" x14ac:dyDescent="0.3">
      <c r="A487" t="s">
        <v>922</v>
      </c>
      <c r="B487" t="s">
        <v>32</v>
      </c>
      <c r="C487" t="s">
        <v>61</v>
      </c>
      <c r="D487" t="s">
        <v>18</v>
      </c>
      <c r="E487" t="s">
        <v>41</v>
      </c>
      <c r="F487" t="s">
        <v>24</v>
      </c>
      <c r="G487" s="1">
        <v>45556</v>
      </c>
      <c r="H487" t="s">
        <v>76</v>
      </c>
      <c r="I487">
        <v>8227008</v>
      </c>
      <c r="J487">
        <v>457056</v>
      </c>
      <c r="K487">
        <v>29989</v>
      </c>
      <c r="L487">
        <v>73823</v>
      </c>
      <c r="M487">
        <v>6.8199999999999997E-2</v>
      </c>
      <c r="N487">
        <v>-0.72199999999999998</v>
      </c>
      <c r="O487">
        <v>1</v>
      </c>
      <c r="P487" t="b">
        <f t="shared" si="15"/>
        <v>1</v>
      </c>
      <c r="Q487" t="str">
        <f t="shared" si="14"/>
        <v>Negative</v>
      </c>
    </row>
    <row r="488" spans="1:17" x14ac:dyDescent="0.3">
      <c r="A488" t="s">
        <v>923</v>
      </c>
      <c r="B488" t="s">
        <v>32</v>
      </c>
      <c r="C488" t="s">
        <v>28</v>
      </c>
      <c r="D488" t="s">
        <v>18</v>
      </c>
      <c r="E488" t="s">
        <v>51</v>
      </c>
      <c r="F488" t="s">
        <v>55</v>
      </c>
      <c r="G488" s="1">
        <v>45302</v>
      </c>
      <c r="H488" t="s">
        <v>924</v>
      </c>
      <c r="I488">
        <v>7039176</v>
      </c>
      <c r="J488">
        <v>293299</v>
      </c>
      <c r="K488">
        <v>37690</v>
      </c>
      <c r="L488">
        <v>73966</v>
      </c>
      <c r="M488">
        <v>5.7500000000000002E-2</v>
      </c>
      <c r="N488">
        <v>5.0000000000000001E-3</v>
      </c>
      <c r="O488">
        <v>1</v>
      </c>
      <c r="P488" t="b">
        <f t="shared" si="15"/>
        <v>1</v>
      </c>
      <c r="Q488" t="str">
        <f t="shared" si="14"/>
        <v>Positive</v>
      </c>
    </row>
    <row r="489" spans="1:17" x14ac:dyDescent="0.3">
      <c r="A489" t="s">
        <v>925</v>
      </c>
      <c r="B489" t="s">
        <v>27</v>
      </c>
      <c r="C489" t="s">
        <v>23</v>
      </c>
      <c r="D489" t="s">
        <v>33</v>
      </c>
      <c r="E489" t="s">
        <v>38</v>
      </c>
      <c r="F489" t="s">
        <v>20</v>
      </c>
      <c r="G489" s="1">
        <v>45438</v>
      </c>
      <c r="H489" t="s">
        <v>725</v>
      </c>
      <c r="I489">
        <v>7555276</v>
      </c>
      <c r="J489">
        <v>444428</v>
      </c>
      <c r="K489">
        <v>23434</v>
      </c>
      <c r="L489">
        <v>50201</v>
      </c>
      <c r="M489">
        <v>6.8599999999999994E-2</v>
      </c>
      <c r="N489">
        <v>-0.26500000000000001</v>
      </c>
      <c r="O489">
        <v>1</v>
      </c>
      <c r="P489" t="b">
        <f t="shared" si="15"/>
        <v>1</v>
      </c>
      <c r="Q489" t="str">
        <f t="shared" si="14"/>
        <v>Negative</v>
      </c>
    </row>
    <row r="490" spans="1:17" x14ac:dyDescent="0.3">
      <c r="A490" t="s">
        <v>926</v>
      </c>
      <c r="B490" t="s">
        <v>16</v>
      </c>
      <c r="C490" t="s">
        <v>23</v>
      </c>
      <c r="D490" t="s">
        <v>37</v>
      </c>
      <c r="E490" t="s">
        <v>19</v>
      </c>
      <c r="F490" t="s">
        <v>20</v>
      </c>
      <c r="G490" s="1">
        <v>45327</v>
      </c>
      <c r="H490" t="s">
        <v>927</v>
      </c>
      <c r="I490">
        <v>7111583</v>
      </c>
      <c r="J490">
        <v>245227</v>
      </c>
      <c r="K490">
        <v>35737</v>
      </c>
      <c r="L490">
        <v>17348</v>
      </c>
      <c r="M490">
        <v>4.19E-2</v>
      </c>
      <c r="N490">
        <v>-0.53500000000000003</v>
      </c>
      <c r="O490">
        <v>1</v>
      </c>
      <c r="P490" t="b">
        <f t="shared" si="15"/>
        <v>1</v>
      </c>
      <c r="Q490" t="str">
        <f t="shared" si="14"/>
        <v>Negative</v>
      </c>
    </row>
    <row r="491" spans="1:17" x14ac:dyDescent="0.3">
      <c r="A491" t="s">
        <v>928</v>
      </c>
      <c r="B491" t="s">
        <v>32</v>
      </c>
      <c r="C491" t="s">
        <v>23</v>
      </c>
      <c r="D491" t="s">
        <v>37</v>
      </c>
      <c r="E491" t="s">
        <v>38</v>
      </c>
      <c r="F491" t="s">
        <v>46</v>
      </c>
      <c r="G491" s="1">
        <v>45511</v>
      </c>
      <c r="H491" t="s">
        <v>326</v>
      </c>
      <c r="I491">
        <v>683536</v>
      </c>
      <c r="J491">
        <v>40208</v>
      </c>
      <c r="K491">
        <v>23568</v>
      </c>
      <c r="L491">
        <v>7968</v>
      </c>
      <c r="M491">
        <v>0.105</v>
      </c>
      <c r="N491">
        <v>0.873</v>
      </c>
      <c r="O491">
        <v>0</v>
      </c>
      <c r="P491" t="b">
        <f t="shared" si="15"/>
        <v>0</v>
      </c>
      <c r="Q491" t="str">
        <f t="shared" si="14"/>
        <v>Positive</v>
      </c>
    </row>
    <row r="492" spans="1:17" x14ac:dyDescent="0.3">
      <c r="A492" t="s">
        <v>929</v>
      </c>
      <c r="B492" t="s">
        <v>27</v>
      </c>
      <c r="C492" t="s">
        <v>61</v>
      </c>
      <c r="D492" t="s">
        <v>37</v>
      </c>
      <c r="E492" t="s">
        <v>41</v>
      </c>
      <c r="F492" t="s">
        <v>34</v>
      </c>
      <c r="G492" s="1">
        <v>45473</v>
      </c>
      <c r="H492" t="s">
        <v>930</v>
      </c>
      <c r="I492">
        <v>424185</v>
      </c>
      <c r="J492">
        <v>28279</v>
      </c>
      <c r="K492">
        <v>35267</v>
      </c>
      <c r="L492">
        <v>78214</v>
      </c>
      <c r="M492">
        <v>0.3342</v>
      </c>
      <c r="N492">
        <v>0.23899999999999999</v>
      </c>
      <c r="O492">
        <v>0</v>
      </c>
      <c r="P492" t="b">
        <f t="shared" si="15"/>
        <v>0</v>
      </c>
      <c r="Q492" t="str">
        <f t="shared" si="14"/>
        <v>Positive</v>
      </c>
    </row>
    <row r="493" spans="1:17" x14ac:dyDescent="0.3">
      <c r="A493" t="s">
        <v>931</v>
      </c>
      <c r="B493" t="s">
        <v>32</v>
      </c>
      <c r="C493" t="s">
        <v>23</v>
      </c>
      <c r="D493" t="s">
        <v>33</v>
      </c>
      <c r="E493" t="s">
        <v>38</v>
      </c>
      <c r="F493" t="s">
        <v>46</v>
      </c>
      <c r="G493" s="1">
        <v>45427</v>
      </c>
      <c r="H493" t="s">
        <v>932</v>
      </c>
      <c r="I493">
        <v>5397065</v>
      </c>
      <c r="J493">
        <v>234655</v>
      </c>
      <c r="K493">
        <v>27291</v>
      </c>
      <c r="L493">
        <v>72147</v>
      </c>
      <c r="M493">
        <v>6.1899999999999997E-2</v>
      </c>
      <c r="N493">
        <v>0.129</v>
      </c>
      <c r="O493">
        <v>1</v>
      </c>
      <c r="P493" t="b">
        <f t="shared" si="15"/>
        <v>1</v>
      </c>
      <c r="Q493" t="str">
        <f t="shared" si="14"/>
        <v>Positive</v>
      </c>
    </row>
    <row r="494" spans="1:17" x14ac:dyDescent="0.3">
      <c r="A494" t="s">
        <v>933</v>
      </c>
      <c r="B494" t="s">
        <v>16</v>
      </c>
      <c r="C494" t="s">
        <v>17</v>
      </c>
      <c r="D494" t="s">
        <v>18</v>
      </c>
      <c r="E494" t="s">
        <v>38</v>
      </c>
      <c r="F494" t="s">
        <v>24</v>
      </c>
      <c r="G494" s="1">
        <v>45645</v>
      </c>
      <c r="H494" t="s">
        <v>934</v>
      </c>
      <c r="I494">
        <v>645195</v>
      </c>
      <c r="J494">
        <v>43013</v>
      </c>
      <c r="K494">
        <v>31502</v>
      </c>
      <c r="L494">
        <v>55678</v>
      </c>
      <c r="M494">
        <v>0.20180000000000001</v>
      </c>
      <c r="N494">
        <v>0.50900000000000001</v>
      </c>
      <c r="O494">
        <v>0</v>
      </c>
      <c r="P494" t="b">
        <f t="shared" si="15"/>
        <v>0</v>
      </c>
      <c r="Q494" t="str">
        <f t="shared" si="14"/>
        <v>Positive</v>
      </c>
    </row>
    <row r="495" spans="1:17" x14ac:dyDescent="0.3">
      <c r="A495" t="s">
        <v>935</v>
      </c>
      <c r="B495" t="s">
        <v>16</v>
      </c>
      <c r="C495" t="s">
        <v>61</v>
      </c>
      <c r="D495" t="s">
        <v>37</v>
      </c>
      <c r="E495" t="s">
        <v>51</v>
      </c>
      <c r="F495" t="s">
        <v>20</v>
      </c>
      <c r="G495" s="1">
        <v>45423</v>
      </c>
      <c r="H495" t="s">
        <v>936</v>
      </c>
      <c r="I495">
        <v>13105206</v>
      </c>
      <c r="J495">
        <v>485378</v>
      </c>
      <c r="K495">
        <v>30163</v>
      </c>
      <c r="L495">
        <v>25033</v>
      </c>
      <c r="M495">
        <v>4.1200000000000001E-2</v>
      </c>
      <c r="N495">
        <v>-0.52200000000000002</v>
      </c>
      <c r="O495">
        <v>1</v>
      </c>
      <c r="P495" t="b">
        <f t="shared" si="15"/>
        <v>1</v>
      </c>
      <c r="Q495" t="str">
        <f t="shared" si="14"/>
        <v>Negative</v>
      </c>
    </row>
    <row r="496" spans="1:17" x14ac:dyDescent="0.3">
      <c r="A496" t="s">
        <v>937</v>
      </c>
      <c r="B496" t="s">
        <v>32</v>
      </c>
      <c r="C496" t="s">
        <v>23</v>
      </c>
      <c r="D496" t="s">
        <v>37</v>
      </c>
      <c r="E496" t="s">
        <v>41</v>
      </c>
      <c r="F496" t="s">
        <v>20</v>
      </c>
      <c r="G496" s="1">
        <v>45379</v>
      </c>
      <c r="H496" t="s">
        <v>938</v>
      </c>
      <c r="I496">
        <v>2897388</v>
      </c>
      <c r="J496">
        <v>160966</v>
      </c>
      <c r="K496">
        <v>5453</v>
      </c>
      <c r="L496">
        <v>50332</v>
      </c>
      <c r="M496">
        <v>7.4800000000000005E-2</v>
      </c>
      <c r="N496">
        <v>-0.79800000000000004</v>
      </c>
      <c r="O496">
        <v>1</v>
      </c>
      <c r="P496" t="b">
        <f t="shared" si="15"/>
        <v>1</v>
      </c>
      <c r="Q496" t="str">
        <f t="shared" si="14"/>
        <v>Negative</v>
      </c>
    </row>
    <row r="497" spans="1:17" x14ac:dyDescent="0.3">
      <c r="A497" t="s">
        <v>939</v>
      </c>
      <c r="B497" t="s">
        <v>27</v>
      </c>
      <c r="C497" t="s">
        <v>23</v>
      </c>
      <c r="D497" t="s">
        <v>33</v>
      </c>
      <c r="E497" t="s">
        <v>19</v>
      </c>
      <c r="F497" t="s">
        <v>46</v>
      </c>
      <c r="G497" s="1">
        <v>45495</v>
      </c>
      <c r="H497" t="s">
        <v>470</v>
      </c>
      <c r="I497">
        <v>779672</v>
      </c>
      <c r="J497">
        <v>97459</v>
      </c>
      <c r="K497">
        <v>23296</v>
      </c>
      <c r="L497">
        <v>41569</v>
      </c>
      <c r="M497">
        <v>0.2082</v>
      </c>
      <c r="N497">
        <v>0.26600000000000001</v>
      </c>
      <c r="O497">
        <v>0</v>
      </c>
      <c r="P497" t="b">
        <f t="shared" si="15"/>
        <v>0</v>
      </c>
      <c r="Q497" t="str">
        <f t="shared" si="14"/>
        <v>Positive</v>
      </c>
    </row>
    <row r="498" spans="1:17" x14ac:dyDescent="0.3">
      <c r="A498" t="s">
        <v>940</v>
      </c>
      <c r="B498" t="s">
        <v>66</v>
      </c>
      <c r="C498" t="s">
        <v>28</v>
      </c>
      <c r="D498" t="s">
        <v>33</v>
      </c>
      <c r="E498" t="s">
        <v>51</v>
      </c>
      <c r="F498" t="s">
        <v>55</v>
      </c>
      <c r="G498" s="1">
        <v>45475</v>
      </c>
      <c r="H498" t="s">
        <v>941</v>
      </c>
      <c r="I498">
        <v>604153</v>
      </c>
      <c r="J498">
        <v>54923</v>
      </c>
      <c r="K498">
        <v>23317</v>
      </c>
      <c r="L498">
        <v>43109</v>
      </c>
      <c r="M498">
        <v>0.2009</v>
      </c>
      <c r="N498">
        <v>-0.55800000000000005</v>
      </c>
      <c r="O498">
        <v>0</v>
      </c>
      <c r="P498" t="b">
        <f t="shared" si="15"/>
        <v>0</v>
      </c>
      <c r="Q498" t="str">
        <f t="shared" si="14"/>
        <v>Negative</v>
      </c>
    </row>
    <row r="499" spans="1:17" x14ac:dyDescent="0.3">
      <c r="A499" t="s">
        <v>942</v>
      </c>
      <c r="B499" t="s">
        <v>16</v>
      </c>
      <c r="C499" t="s">
        <v>28</v>
      </c>
      <c r="D499" t="s">
        <v>54</v>
      </c>
      <c r="E499" t="s">
        <v>58</v>
      </c>
      <c r="F499" t="s">
        <v>55</v>
      </c>
      <c r="G499" s="1">
        <v>45654</v>
      </c>
      <c r="H499" t="s">
        <v>943</v>
      </c>
      <c r="I499">
        <v>2000000</v>
      </c>
      <c r="J499">
        <v>200000</v>
      </c>
      <c r="K499">
        <v>41784</v>
      </c>
      <c r="L499">
        <v>98724</v>
      </c>
      <c r="M499">
        <v>0.17030000000000001</v>
      </c>
      <c r="N499">
        <v>-0.14799999999999999</v>
      </c>
      <c r="O499">
        <v>0</v>
      </c>
      <c r="P499" t="b">
        <f t="shared" si="15"/>
        <v>0</v>
      </c>
      <c r="Q499" t="str">
        <f t="shared" si="14"/>
        <v>Negative</v>
      </c>
    </row>
    <row r="500" spans="1:17" x14ac:dyDescent="0.3">
      <c r="A500" t="s">
        <v>944</v>
      </c>
      <c r="B500" t="s">
        <v>32</v>
      </c>
      <c r="C500" t="s">
        <v>61</v>
      </c>
      <c r="D500" t="s">
        <v>33</v>
      </c>
      <c r="E500" t="s">
        <v>38</v>
      </c>
      <c r="F500" t="s">
        <v>55</v>
      </c>
      <c r="G500" s="1">
        <v>45380</v>
      </c>
      <c r="H500" t="s">
        <v>945</v>
      </c>
      <c r="I500">
        <v>2861166</v>
      </c>
      <c r="J500">
        <v>408738</v>
      </c>
      <c r="K500">
        <v>42473</v>
      </c>
      <c r="L500">
        <v>32372</v>
      </c>
      <c r="M500">
        <v>0.16900000000000001</v>
      </c>
      <c r="N500">
        <v>-0.26400000000000001</v>
      </c>
      <c r="O500">
        <v>1</v>
      </c>
      <c r="P500" t="b">
        <f t="shared" si="15"/>
        <v>1</v>
      </c>
      <c r="Q500" t="str">
        <f t="shared" si="14"/>
        <v>Negative</v>
      </c>
    </row>
    <row r="501" spans="1:17" x14ac:dyDescent="0.3">
      <c r="A501" t="s">
        <v>946</v>
      </c>
      <c r="B501" t="s">
        <v>16</v>
      </c>
      <c r="C501" t="s">
        <v>17</v>
      </c>
      <c r="D501" t="s">
        <v>29</v>
      </c>
      <c r="E501" t="s">
        <v>41</v>
      </c>
      <c r="F501" t="s">
        <v>34</v>
      </c>
      <c r="G501" s="1">
        <v>45304</v>
      </c>
      <c r="H501" t="s">
        <v>947</v>
      </c>
      <c r="I501">
        <v>3178549</v>
      </c>
      <c r="J501">
        <v>288959</v>
      </c>
      <c r="K501">
        <v>27610</v>
      </c>
      <c r="L501">
        <v>99854</v>
      </c>
      <c r="M501">
        <v>0.13100000000000001</v>
      </c>
      <c r="N501">
        <v>0.46700000000000003</v>
      </c>
      <c r="O501">
        <v>1</v>
      </c>
      <c r="P501" t="b">
        <f t="shared" si="15"/>
        <v>1</v>
      </c>
      <c r="Q501" t="str">
        <f t="shared" si="14"/>
        <v>Positive</v>
      </c>
    </row>
    <row r="502" spans="1:17" x14ac:dyDescent="0.3">
      <c r="A502" t="s">
        <v>948</v>
      </c>
      <c r="B502" t="s">
        <v>66</v>
      </c>
      <c r="C502" t="s">
        <v>61</v>
      </c>
      <c r="D502" t="s">
        <v>54</v>
      </c>
      <c r="E502" t="s">
        <v>41</v>
      </c>
      <c r="F502" t="s">
        <v>46</v>
      </c>
      <c r="G502" s="1">
        <v>45578</v>
      </c>
      <c r="H502" t="s">
        <v>949</v>
      </c>
      <c r="I502">
        <v>2064771</v>
      </c>
      <c r="J502">
        <v>76473</v>
      </c>
      <c r="K502">
        <v>3721</v>
      </c>
      <c r="L502">
        <v>61950</v>
      </c>
      <c r="M502">
        <v>6.88E-2</v>
      </c>
      <c r="N502">
        <v>-0.16800000000000001</v>
      </c>
      <c r="O502">
        <v>1</v>
      </c>
      <c r="P502" t="b">
        <f t="shared" si="15"/>
        <v>1</v>
      </c>
      <c r="Q502" t="str">
        <f t="shared" si="14"/>
        <v>Negative</v>
      </c>
    </row>
    <row r="503" spans="1:17" x14ac:dyDescent="0.3">
      <c r="A503" t="s">
        <v>950</v>
      </c>
      <c r="B503" t="s">
        <v>66</v>
      </c>
      <c r="C503" t="s">
        <v>61</v>
      </c>
      <c r="D503" t="s">
        <v>54</v>
      </c>
      <c r="E503" t="s">
        <v>51</v>
      </c>
      <c r="F503" t="s">
        <v>20</v>
      </c>
      <c r="G503" s="1">
        <v>45645</v>
      </c>
      <c r="H503" t="s">
        <v>30</v>
      </c>
      <c r="I503">
        <v>2247950</v>
      </c>
      <c r="J503">
        <v>89918</v>
      </c>
      <c r="K503">
        <v>6553</v>
      </c>
      <c r="L503">
        <v>73295</v>
      </c>
      <c r="M503">
        <v>7.5499999999999998E-2</v>
      </c>
      <c r="N503">
        <v>0.52100000000000002</v>
      </c>
      <c r="O503">
        <v>1</v>
      </c>
      <c r="P503" t="b">
        <f t="shared" si="15"/>
        <v>1</v>
      </c>
      <c r="Q503" t="str">
        <f t="shared" si="14"/>
        <v>Positive</v>
      </c>
    </row>
    <row r="504" spans="1:17" x14ac:dyDescent="0.3">
      <c r="A504" t="s">
        <v>951</v>
      </c>
      <c r="B504" t="s">
        <v>16</v>
      </c>
      <c r="C504" t="s">
        <v>23</v>
      </c>
      <c r="D504" t="s">
        <v>18</v>
      </c>
      <c r="E504" t="s">
        <v>38</v>
      </c>
      <c r="F504" t="s">
        <v>34</v>
      </c>
      <c r="G504" s="1">
        <v>45296</v>
      </c>
      <c r="H504" t="s">
        <v>952</v>
      </c>
      <c r="I504">
        <v>531985</v>
      </c>
      <c r="J504">
        <v>106397</v>
      </c>
      <c r="K504">
        <v>5547</v>
      </c>
      <c r="L504">
        <v>91013</v>
      </c>
      <c r="M504">
        <v>0.38150000000000001</v>
      </c>
      <c r="N504">
        <v>-0.35299999999999998</v>
      </c>
      <c r="O504">
        <v>0</v>
      </c>
      <c r="P504" t="b">
        <f t="shared" si="15"/>
        <v>0</v>
      </c>
      <c r="Q504" t="str">
        <f t="shared" si="14"/>
        <v>Negative</v>
      </c>
    </row>
    <row r="505" spans="1:17" x14ac:dyDescent="0.3">
      <c r="A505" t="s">
        <v>953</v>
      </c>
      <c r="B505" t="s">
        <v>66</v>
      </c>
      <c r="C505" t="s">
        <v>28</v>
      </c>
      <c r="D505" t="s">
        <v>37</v>
      </c>
      <c r="E505" t="s">
        <v>58</v>
      </c>
      <c r="F505" t="s">
        <v>34</v>
      </c>
      <c r="G505" s="1">
        <v>45553</v>
      </c>
      <c r="H505" t="s">
        <v>501</v>
      </c>
      <c r="I505">
        <v>8039925</v>
      </c>
      <c r="J505">
        <v>321597</v>
      </c>
      <c r="K505">
        <v>24822</v>
      </c>
      <c r="L505">
        <v>56533</v>
      </c>
      <c r="M505">
        <v>5.0099999999999999E-2</v>
      </c>
      <c r="N505">
        <v>0.60299999999999998</v>
      </c>
      <c r="O505">
        <v>1</v>
      </c>
      <c r="P505" t="b">
        <f t="shared" si="15"/>
        <v>1</v>
      </c>
      <c r="Q505" t="str">
        <f t="shared" si="14"/>
        <v>Positive</v>
      </c>
    </row>
    <row r="506" spans="1:17" x14ac:dyDescent="0.3">
      <c r="A506" t="s">
        <v>954</v>
      </c>
      <c r="B506" t="s">
        <v>66</v>
      </c>
      <c r="C506" t="s">
        <v>23</v>
      </c>
      <c r="D506" t="s">
        <v>18</v>
      </c>
      <c r="E506" t="s">
        <v>41</v>
      </c>
      <c r="F506" t="s">
        <v>46</v>
      </c>
      <c r="G506" s="1">
        <v>45334</v>
      </c>
      <c r="H506" t="s">
        <v>955</v>
      </c>
      <c r="I506">
        <v>9381456</v>
      </c>
      <c r="J506">
        <v>446736</v>
      </c>
      <c r="K506">
        <v>676</v>
      </c>
      <c r="L506">
        <v>164</v>
      </c>
      <c r="M506">
        <v>4.7699999999999999E-2</v>
      </c>
      <c r="N506">
        <v>-0.78100000000000003</v>
      </c>
      <c r="O506">
        <v>1</v>
      </c>
      <c r="P506" t="b">
        <f t="shared" si="15"/>
        <v>1</v>
      </c>
      <c r="Q506" t="str">
        <f t="shared" si="14"/>
        <v>Negative</v>
      </c>
    </row>
    <row r="507" spans="1:17" x14ac:dyDescent="0.3">
      <c r="A507" t="s">
        <v>956</v>
      </c>
      <c r="B507" t="s">
        <v>66</v>
      </c>
      <c r="C507" t="s">
        <v>61</v>
      </c>
      <c r="D507" t="s">
        <v>33</v>
      </c>
      <c r="E507" t="s">
        <v>38</v>
      </c>
      <c r="F507" t="s">
        <v>46</v>
      </c>
      <c r="G507" s="1">
        <v>45480</v>
      </c>
      <c r="H507" t="s">
        <v>447</v>
      </c>
      <c r="I507">
        <v>11591175</v>
      </c>
      <c r="J507">
        <v>463647</v>
      </c>
      <c r="K507">
        <v>10639</v>
      </c>
      <c r="L507">
        <v>4799</v>
      </c>
      <c r="M507">
        <v>4.1300000000000003E-2</v>
      </c>
      <c r="N507">
        <v>0.68899999999999995</v>
      </c>
      <c r="O507">
        <v>1</v>
      </c>
      <c r="P507" t="b">
        <f t="shared" si="15"/>
        <v>1</v>
      </c>
      <c r="Q507" t="str">
        <f t="shared" si="14"/>
        <v>Positive</v>
      </c>
    </row>
    <row r="508" spans="1:17" x14ac:dyDescent="0.3">
      <c r="A508" t="s">
        <v>957</v>
      </c>
      <c r="B508" t="s">
        <v>27</v>
      </c>
      <c r="C508" t="s">
        <v>61</v>
      </c>
      <c r="D508" t="s">
        <v>37</v>
      </c>
      <c r="E508" t="s">
        <v>38</v>
      </c>
      <c r="F508" t="s">
        <v>55</v>
      </c>
      <c r="G508" s="1">
        <v>45592</v>
      </c>
      <c r="H508" t="s">
        <v>958</v>
      </c>
      <c r="I508">
        <v>2066640</v>
      </c>
      <c r="J508">
        <v>258330</v>
      </c>
      <c r="K508">
        <v>29305</v>
      </c>
      <c r="L508">
        <v>89882</v>
      </c>
      <c r="M508">
        <v>0.1827</v>
      </c>
      <c r="N508">
        <v>0.72899999999999998</v>
      </c>
      <c r="O508">
        <v>1</v>
      </c>
      <c r="P508" t="b">
        <f t="shared" si="15"/>
        <v>1</v>
      </c>
      <c r="Q508" t="str">
        <f t="shared" si="14"/>
        <v>Positive</v>
      </c>
    </row>
    <row r="509" spans="1:17" x14ac:dyDescent="0.3">
      <c r="A509" t="s">
        <v>959</v>
      </c>
      <c r="B509" t="s">
        <v>32</v>
      </c>
      <c r="C509" t="s">
        <v>17</v>
      </c>
      <c r="D509" t="s">
        <v>29</v>
      </c>
      <c r="E509" t="s">
        <v>51</v>
      </c>
      <c r="F509" t="s">
        <v>55</v>
      </c>
      <c r="G509" s="1">
        <v>45588</v>
      </c>
      <c r="H509" t="s">
        <v>93</v>
      </c>
      <c r="I509">
        <v>3596772</v>
      </c>
      <c r="J509">
        <v>299731</v>
      </c>
      <c r="K509">
        <v>28416</v>
      </c>
      <c r="L509">
        <v>33362</v>
      </c>
      <c r="M509">
        <v>0.10050000000000001</v>
      </c>
      <c r="N509">
        <v>0.621</v>
      </c>
      <c r="O509">
        <v>1</v>
      </c>
      <c r="P509" t="b">
        <f t="shared" si="15"/>
        <v>1</v>
      </c>
      <c r="Q509" t="str">
        <f t="shared" si="14"/>
        <v>Positive</v>
      </c>
    </row>
    <row r="510" spans="1:17" x14ac:dyDescent="0.3">
      <c r="A510" t="s">
        <v>960</v>
      </c>
      <c r="B510" t="s">
        <v>27</v>
      </c>
      <c r="C510" t="s">
        <v>28</v>
      </c>
      <c r="D510" t="s">
        <v>54</v>
      </c>
      <c r="E510" t="s">
        <v>38</v>
      </c>
      <c r="F510" t="s">
        <v>34</v>
      </c>
      <c r="G510" s="1">
        <v>45620</v>
      </c>
      <c r="H510" t="s">
        <v>35</v>
      </c>
      <c r="I510">
        <v>2906240</v>
      </c>
      <c r="J510">
        <v>290624</v>
      </c>
      <c r="K510">
        <v>26040</v>
      </c>
      <c r="L510">
        <v>30621</v>
      </c>
      <c r="M510">
        <v>0.1195</v>
      </c>
      <c r="N510">
        <v>-0.215</v>
      </c>
      <c r="O510">
        <v>1</v>
      </c>
      <c r="P510" t="b">
        <f t="shared" si="15"/>
        <v>1</v>
      </c>
      <c r="Q510" t="str">
        <f t="shared" si="14"/>
        <v>Negative</v>
      </c>
    </row>
    <row r="511" spans="1:17" x14ac:dyDescent="0.3">
      <c r="A511" t="s">
        <v>961</v>
      </c>
      <c r="B511" t="s">
        <v>27</v>
      </c>
      <c r="C511" t="s">
        <v>23</v>
      </c>
      <c r="D511" t="s">
        <v>73</v>
      </c>
      <c r="E511" t="s">
        <v>58</v>
      </c>
      <c r="F511" t="s">
        <v>20</v>
      </c>
      <c r="G511" s="1">
        <v>45388</v>
      </c>
      <c r="H511" t="s">
        <v>962</v>
      </c>
      <c r="I511">
        <v>4099473</v>
      </c>
      <c r="J511">
        <v>195213</v>
      </c>
      <c r="K511">
        <v>43409</v>
      </c>
      <c r="L511">
        <v>53353</v>
      </c>
      <c r="M511">
        <v>7.1199999999999999E-2</v>
      </c>
      <c r="N511">
        <v>0.317</v>
      </c>
      <c r="O511">
        <v>1</v>
      </c>
      <c r="P511" t="b">
        <f t="shared" si="15"/>
        <v>1</v>
      </c>
      <c r="Q511" t="str">
        <f t="shared" si="14"/>
        <v>Positive</v>
      </c>
    </row>
    <row r="512" spans="1:17" x14ac:dyDescent="0.3">
      <c r="A512" t="s">
        <v>963</v>
      </c>
      <c r="B512" t="s">
        <v>66</v>
      </c>
      <c r="C512" t="s">
        <v>28</v>
      </c>
      <c r="D512" t="s">
        <v>33</v>
      </c>
      <c r="E512" t="s">
        <v>58</v>
      </c>
      <c r="F512" t="s">
        <v>46</v>
      </c>
      <c r="G512" s="1">
        <v>45296</v>
      </c>
      <c r="H512" t="s">
        <v>207</v>
      </c>
      <c r="I512">
        <v>7055600</v>
      </c>
      <c r="J512">
        <v>352780</v>
      </c>
      <c r="K512">
        <v>39045</v>
      </c>
      <c r="L512">
        <v>64642</v>
      </c>
      <c r="M512">
        <v>6.4699999999999994E-2</v>
      </c>
      <c r="N512">
        <v>-0.49099999999999999</v>
      </c>
      <c r="O512">
        <v>1</v>
      </c>
      <c r="P512" t="b">
        <f t="shared" si="15"/>
        <v>1</v>
      </c>
      <c r="Q512" t="str">
        <f t="shared" si="14"/>
        <v>Negative</v>
      </c>
    </row>
    <row r="513" spans="1:17" x14ac:dyDescent="0.3">
      <c r="A513" t="s">
        <v>964</v>
      </c>
      <c r="B513" t="s">
        <v>16</v>
      </c>
      <c r="C513" t="s">
        <v>28</v>
      </c>
      <c r="D513" t="s">
        <v>29</v>
      </c>
      <c r="E513" t="s">
        <v>19</v>
      </c>
      <c r="F513" t="s">
        <v>20</v>
      </c>
      <c r="G513" s="1">
        <v>45344</v>
      </c>
      <c r="H513" t="s">
        <v>104</v>
      </c>
      <c r="I513">
        <v>2643228</v>
      </c>
      <c r="J513">
        <v>220269</v>
      </c>
      <c r="K513">
        <v>24822</v>
      </c>
      <c r="L513">
        <v>20282</v>
      </c>
      <c r="M513">
        <v>0.1004</v>
      </c>
      <c r="N513">
        <v>-7.6999999999999999E-2</v>
      </c>
      <c r="O513">
        <v>1</v>
      </c>
      <c r="P513" t="b">
        <f t="shared" si="15"/>
        <v>1</v>
      </c>
      <c r="Q513" t="str">
        <f t="shared" si="14"/>
        <v>Negative</v>
      </c>
    </row>
    <row r="514" spans="1:17" x14ac:dyDescent="0.3">
      <c r="A514" t="s">
        <v>965</v>
      </c>
      <c r="B514" t="s">
        <v>27</v>
      </c>
      <c r="C514" t="s">
        <v>17</v>
      </c>
      <c r="D514" t="s">
        <v>37</v>
      </c>
      <c r="E514" t="s">
        <v>38</v>
      </c>
      <c r="F514" t="s">
        <v>20</v>
      </c>
      <c r="G514" s="1">
        <v>45313</v>
      </c>
      <c r="H514" t="s">
        <v>966</v>
      </c>
      <c r="I514">
        <v>10139428</v>
      </c>
      <c r="J514">
        <v>389978</v>
      </c>
      <c r="K514">
        <v>27430</v>
      </c>
      <c r="L514">
        <v>28603</v>
      </c>
      <c r="M514">
        <v>4.3999999999999997E-2</v>
      </c>
      <c r="N514">
        <v>0.27300000000000002</v>
      </c>
      <c r="O514">
        <v>1</v>
      </c>
      <c r="P514" t="b">
        <f t="shared" si="15"/>
        <v>1</v>
      </c>
      <c r="Q514" t="str">
        <f t="shared" ref="Q514:Q577" si="16">IF(N514&gt;0,"Positive","Negative")</f>
        <v>Positive</v>
      </c>
    </row>
    <row r="515" spans="1:17" x14ac:dyDescent="0.3">
      <c r="A515" t="s">
        <v>967</v>
      </c>
      <c r="B515" t="s">
        <v>16</v>
      </c>
      <c r="C515" t="s">
        <v>28</v>
      </c>
      <c r="D515" t="s">
        <v>54</v>
      </c>
      <c r="E515" t="s">
        <v>58</v>
      </c>
      <c r="F515" t="s">
        <v>34</v>
      </c>
      <c r="G515" s="1">
        <v>45458</v>
      </c>
      <c r="H515" t="s">
        <v>968</v>
      </c>
      <c r="I515">
        <v>4870854</v>
      </c>
      <c r="J515">
        <v>180402</v>
      </c>
      <c r="K515">
        <v>8085</v>
      </c>
      <c r="L515">
        <v>7100</v>
      </c>
      <c r="M515">
        <v>4.02E-2</v>
      </c>
      <c r="N515">
        <v>3.6999999999999998E-2</v>
      </c>
      <c r="O515">
        <v>1</v>
      </c>
      <c r="P515" t="b">
        <f t="shared" ref="P515:P578" si="17">IF(O515=1,TRUE,FALSE)</f>
        <v>1</v>
      </c>
      <c r="Q515" t="str">
        <f t="shared" si="16"/>
        <v>Positive</v>
      </c>
    </row>
    <row r="516" spans="1:17" x14ac:dyDescent="0.3">
      <c r="A516" t="s">
        <v>969</v>
      </c>
      <c r="B516" t="s">
        <v>66</v>
      </c>
      <c r="C516" t="s">
        <v>28</v>
      </c>
      <c r="D516" t="s">
        <v>54</v>
      </c>
      <c r="E516" t="s">
        <v>51</v>
      </c>
      <c r="F516" t="s">
        <v>24</v>
      </c>
      <c r="G516" s="1">
        <v>45436</v>
      </c>
      <c r="H516" t="s">
        <v>970</v>
      </c>
      <c r="I516">
        <v>1549152</v>
      </c>
      <c r="J516">
        <v>96822</v>
      </c>
      <c r="K516">
        <v>47689</v>
      </c>
      <c r="L516">
        <v>30112</v>
      </c>
      <c r="M516">
        <v>0.11269999999999999</v>
      </c>
      <c r="N516">
        <v>2.4E-2</v>
      </c>
      <c r="O516">
        <v>0</v>
      </c>
      <c r="P516" t="b">
        <f t="shared" si="17"/>
        <v>0</v>
      </c>
      <c r="Q516" t="str">
        <f t="shared" si="16"/>
        <v>Positive</v>
      </c>
    </row>
    <row r="517" spans="1:17" x14ac:dyDescent="0.3">
      <c r="A517" t="s">
        <v>971</v>
      </c>
      <c r="B517" t="s">
        <v>32</v>
      </c>
      <c r="C517" t="s">
        <v>28</v>
      </c>
      <c r="D517" t="s">
        <v>37</v>
      </c>
      <c r="E517" t="s">
        <v>58</v>
      </c>
      <c r="F517" t="s">
        <v>34</v>
      </c>
      <c r="G517" s="1">
        <v>45378</v>
      </c>
      <c r="H517" t="s">
        <v>154</v>
      </c>
      <c r="I517">
        <v>2681184</v>
      </c>
      <c r="J517">
        <v>223432</v>
      </c>
      <c r="K517">
        <v>41996</v>
      </c>
      <c r="L517">
        <v>70477</v>
      </c>
      <c r="M517">
        <v>0.12529999999999999</v>
      </c>
      <c r="N517">
        <v>-0.83</v>
      </c>
      <c r="O517">
        <v>1</v>
      </c>
      <c r="P517" t="b">
        <f t="shared" si="17"/>
        <v>1</v>
      </c>
      <c r="Q517" t="str">
        <f t="shared" si="16"/>
        <v>Negative</v>
      </c>
    </row>
    <row r="518" spans="1:17" x14ac:dyDescent="0.3">
      <c r="A518" t="s">
        <v>972</v>
      </c>
      <c r="B518" t="s">
        <v>32</v>
      </c>
      <c r="C518" t="s">
        <v>28</v>
      </c>
      <c r="D518" t="s">
        <v>54</v>
      </c>
      <c r="E518" t="s">
        <v>19</v>
      </c>
      <c r="F518" t="s">
        <v>24</v>
      </c>
      <c r="G518" s="1">
        <v>45504</v>
      </c>
      <c r="H518" t="s">
        <v>973</v>
      </c>
      <c r="I518">
        <v>1463490</v>
      </c>
      <c r="J518">
        <v>63630</v>
      </c>
      <c r="K518">
        <v>36229</v>
      </c>
      <c r="L518">
        <v>7789</v>
      </c>
      <c r="M518">
        <v>7.3599999999999999E-2</v>
      </c>
      <c r="N518">
        <v>-0.85699999999999998</v>
      </c>
      <c r="O518">
        <v>0</v>
      </c>
      <c r="P518" t="b">
        <f t="shared" si="17"/>
        <v>0</v>
      </c>
      <c r="Q518" t="str">
        <f t="shared" si="16"/>
        <v>Negative</v>
      </c>
    </row>
    <row r="519" spans="1:17" x14ac:dyDescent="0.3">
      <c r="A519" t="s">
        <v>974</v>
      </c>
      <c r="B519" t="s">
        <v>32</v>
      </c>
      <c r="C519" t="s">
        <v>61</v>
      </c>
      <c r="D519" t="s">
        <v>29</v>
      </c>
      <c r="E519" t="s">
        <v>41</v>
      </c>
      <c r="F519" t="s">
        <v>20</v>
      </c>
      <c r="G519" s="1">
        <v>45324</v>
      </c>
      <c r="H519" t="s">
        <v>187</v>
      </c>
      <c r="I519">
        <v>2426760</v>
      </c>
      <c r="J519">
        <v>101115</v>
      </c>
      <c r="K519">
        <v>11285</v>
      </c>
      <c r="L519">
        <v>83589</v>
      </c>
      <c r="M519">
        <v>8.0799999999999997E-2</v>
      </c>
      <c r="N519">
        <v>0.47499999999999998</v>
      </c>
      <c r="O519">
        <v>1</v>
      </c>
      <c r="P519" t="b">
        <f t="shared" si="17"/>
        <v>1</v>
      </c>
      <c r="Q519" t="str">
        <f t="shared" si="16"/>
        <v>Positive</v>
      </c>
    </row>
    <row r="520" spans="1:17" x14ac:dyDescent="0.3">
      <c r="A520" t="s">
        <v>975</v>
      </c>
      <c r="B520" t="s">
        <v>27</v>
      </c>
      <c r="C520" t="s">
        <v>17</v>
      </c>
      <c r="D520" t="s">
        <v>37</v>
      </c>
      <c r="E520" t="s">
        <v>38</v>
      </c>
      <c r="F520" t="s">
        <v>24</v>
      </c>
      <c r="G520" s="1">
        <v>45550</v>
      </c>
      <c r="H520" t="s">
        <v>607</v>
      </c>
      <c r="I520">
        <v>6572595</v>
      </c>
      <c r="J520">
        <v>438173</v>
      </c>
      <c r="K520">
        <v>10147</v>
      </c>
      <c r="L520">
        <v>48356</v>
      </c>
      <c r="M520">
        <v>7.5600000000000001E-2</v>
      </c>
      <c r="N520">
        <v>0.94099999999999995</v>
      </c>
      <c r="O520">
        <v>1</v>
      </c>
      <c r="P520" t="b">
        <f t="shared" si="17"/>
        <v>1</v>
      </c>
      <c r="Q520" t="str">
        <f t="shared" si="16"/>
        <v>Positive</v>
      </c>
    </row>
    <row r="521" spans="1:17" x14ac:dyDescent="0.3">
      <c r="A521" t="s">
        <v>976</v>
      </c>
      <c r="B521" t="s">
        <v>27</v>
      </c>
      <c r="C521" t="s">
        <v>61</v>
      </c>
      <c r="D521" t="s">
        <v>73</v>
      </c>
      <c r="E521" t="s">
        <v>19</v>
      </c>
      <c r="F521" t="s">
        <v>34</v>
      </c>
      <c r="G521" s="1">
        <v>45402</v>
      </c>
      <c r="H521" t="s">
        <v>977</v>
      </c>
      <c r="I521">
        <v>5400538</v>
      </c>
      <c r="J521">
        <v>234806</v>
      </c>
      <c r="K521">
        <v>38283</v>
      </c>
      <c r="L521">
        <v>64028</v>
      </c>
      <c r="M521">
        <v>6.2399999999999997E-2</v>
      </c>
      <c r="N521">
        <v>-0.65200000000000002</v>
      </c>
      <c r="O521">
        <v>1</v>
      </c>
      <c r="P521" t="b">
        <f t="shared" si="17"/>
        <v>1</v>
      </c>
      <c r="Q521" t="str">
        <f t="shared" si="16"/>
        <v>Negative</v>
      </c>
    </row>
    <row r="522" spans="1:17" x14ac:dyDescent="0.3">
      <c r="A522" t="s">
        <v>978</v>
      </c>
      <c r="B522" t="s">
        <v>32</v>
      </c>
      <c r="C522" t="s">
        <v>28</v>
      </c>
      <c r="D522" t="s">
        <v>37</v>
      </c>
      <c r="E522" t="s">
        <v>38</v>
      </c>
      <c r="F522" t="s">
        <v>20</v>
      </c>
      <c r="G522" s="1">
        <v>45527</v>
      </c>
      <c r="H522" t="s">
        <v>979</v>
      </c>
      <c r="I522">
        <v>420784</v>
      </c>
      <c r="J522">
        <v>30056</v>
      </c>
      <c r="K522">
        <v>41737</v>
      </c>
      <c r="L522">
        <v>76296</v>
      </c>
      <c r="M522">
        <v>0.35189999999999999</v>
      </c>
      <c r="N522">
        <v>-0.95799999999999996</v>
      </c>
      <c r="O522">
        <v>0</v>
      </c>
      <c r="P522" t="b">
        <f t="shared" si="17"/>
        <v>0</v>
      </c>
      <c r="Q522" t="str">
        <f t="shared" si="16"/>
        <v>Negative</v>
      </c>
    </row>
    <row r="523" spans="1:17" x14ac:dyDescent="0.3">
      <c r="A523" t="s">
        <v>980</v>
      </c>
      <c r="B523" t="s">
        <v>66</v>
      </c>
      <c r="C523" t="s">
        <v>61</v>
      </c>
      <c r="D523" t="s">
        <v>18</v>
      </c>
      <c r="E523" t="s">
        <v>51</v>
      </c>
      <c r="F523" t="s">
        <v>24</v>
      </c>
      <c r="G523" s="1">
        <v>45656</v>
      </c>
      <c r="H523" t="s">
        <v>981</v>
      </c>
      <c r="I523">
        <v>946980</v>
      </c>
      <c r="J523">
        <v>78915</v>
      </c>
      <c r="K523">
        <v>39284</v>
      </c>
      <c r="L523">
        <v>23889</v>
      </c>
      <c r="M523">
        <v>0.15</v>
      </c>
      <c r="N523">
        <v>0.53800000000000003</v>
      </c>
      <c r="O523">
        <v>0</v>
      </c>
      <c r="P523" t="b">
        <f t="shared" si="17"/>
        <v>0</v>
      </c>
      <c r="Q523" t="str">
        <f t="shared" si="16"/>
        <v>Positive</v>
      </c>
    </row>
    <row r="524" spans="1:17" x14ac:dyDescent="0.3">
      <c r="A524" t="s">
        <v>982</v>
      </c>
      <c r="B524" t="s">
        <v>32</v>
      </c>
      <c r="C524" t="s">
        <v>23</v>
      </c>
      <c r="D524" t="s">
        <v>73</v>
      </c>
      <c r="E524" t="s">
        <v>41</v>
      </c>
      <c r="F524" t="s">
        <v>34</v>
      </c>
      <c r="G524" s="1">
        <v>45542</v>
      </c>
      <c r="H524" t="s">
        <v>104</v>
      </c>
      <c r="I524">
        <v>2431924</v>
      </c>
      <c r="J524">
        <v>127996</v>
      </c>
      <c r="K524">
        <v>35149</v>
      </c>
      <c r="L524">
        <v>52162</v>
      </c>
      <c r="M524">
        <v>8.8499999999999995E-2</v>
      </c>
      <c r="N524">
        <v>-0.58899999999999997</v>
      </c>
      <c r="O524">
        <v>1</v>
      </c>
      <c r="P524" t="b">
        <f t="shared" si="17"/>
        <v>1</v>
      </c>
      <c r="Q524" t="str">
        <f t="shared" si="16"/>
        <v>Negative</v>
      </c>
    </row>
    <row r="525" spans="1:17" x14ac:dyDescent="0.3">
      <c r="A525" t="s">
        <v>983</v>
      </c>
      <c r="B525" t="s">
        <v>16</v>
      </c>
      <c r="C525" t="s">
        <v>61</v>
      </c>
      <c r="D525" t="s">
        <v>73</v>
      </c>
      <c r="E525" t="s">
        <v>38</v>
      </c>
      <c r="F525" t="s">
        <v>34</v>
      </c>
      <c r="G525" s="1">
        <v>45322</v>
      </c>
      <c r="H525" t="s">
        <v>984</v>
      </c>
      <c r="I525">
        <v>3753576</v>
      </c>
      <c r="J525">
        <v>208532</v>
      </c>
      <c r="K525">
        <v>32130</v>
      </c>
      <c r="L525">
        <v>6980</v>
      </c>
      <c r="M525">
        <v>6.6000000000000003E-2</v>
      </c>
      <c r="N525">
        <v>-0.86099999999999999</v>
      </c>
      <c r="O525">
        <v>1</v>
      </c>
      <c r="P525" t="b">
        <f t="shared" si="17"/>
        <v>1</v>
      </c>
      <c r="Q525" t="str">
        <f t="shared" si="16"/>
        <v>Negative</v>
      </c>
    </row>
    <row r="526" spans="1:17" x14ac:dyDescent="0.3">
      <c r="A526" t="s">
        <v>985</v>
      </c>
      <c r="B526" t="s">
        <v>27</v>
      </c>
      <c r="C526" t="s">
        <v>17</v>
      </c>
      <c r="D526" t="s">
        <v>29</v>
      </c>
      <c r="E526" t="s">
        <v>38</v>
      </c>
      <c r="F526" t="s">
        <v>24</v>
      </c>
      <c r="G526" s="1">
        <v>45538</v>
      </c>
      <c r="H526" t="s">
        <v>986</v>
      </c>
      <c r="I526">
        <v>10369832</v>
      </c>
      <c r="J526">
        <v>471356</v>
      </c>
      <c r="K526">
        <v>20674</v>
      </c>
      <c r="L526">
        <v>6911</v>
      </c>
      <c r="M526">
        <v>4.8099999999999997E-2</v>
      </c>
      <c r="N526">
        <v>-0.35599999999999998</v>
      </c>
      <c r="O526">
        <v>1</v>
      </c>
      <c r="P526" t="b">
        <f t="shared" si="17"/>
        <v>1</v>
      </c>
      <c r="Q526" t="str">
        <f t="shared" si="16"/>
        <v>Negative</v>
      </c>
    </row>
    <row r="527" spans="1:17" x14ac:dyDescent="0.3">
      <c r="A527" t="s">
        <v>987</v>
      </c>
      <c r="B527" t="s">
        <v>16</v>
      </c>
      <c r="C527" t="s">
        <v>23</v>
      </c>
      <c r="D527" t="s">
        <v>18</v>
      </c>
      <c r="E527" t="s">
        <v>41</v>
      </c>
      <c r="F527" t="s">
        <v>34</v>
      </c>
      <c r="G527" s="1">
        <v>45363</v>
      </c>
      <c r="H527" t="s">
        <v>988</v>
      </c>
      <c r="I527">
        <v>5747796</v>
      </c>
      <c r="J527">
        <v>478983</v>
      </c>
      <c r="K527">
        <v>25232</v>
      </c>
      <c r="L527">
        <v>5979</v>
      </c>
      <c r="M527">
        <v>8.8800000000000004E-2</v>
      </c>
      <c r="N527">
        <v>-0.77200000000000002</v>
      </c>
      <c r="O527">
        <v>1</v>
      </c>
      <c r="P527" t="b">
        <f t="shared" si="17"/>
        <v>1</v>
      </c>
      <c r="Q527" t="str">
        <f t="shared" si="16"/>
        <v>Negative</v>
      </c>
    </row>
    <row r="528" spans="1:17" x14ac:dyDescent="0.3">
      <c r="A528" t="s">
        <v>989</v>
      </c>
      <c r="B528" t="s">
        <v>27</v>
      </c>
      <c r="C528" t="s">
        <v>61</v>
      </c>
      <c r="D528" t="s">
        <v>18</v>
      </c>
      <c r="E528" t="s">
        <v>51</v>
      </c>
      <c r="F528" t="s">
        <v>55</v>
      </c>
      <c r="G528" s="1">
        <v>45304</v>
      </c>
      <c r="H528" t="s">
        <v>76</v>
      </c>
      <c r="I528">
        <v>4605120</v>
      </c>
      <c r="J528">
        <v>230256</v>
      </c>
      <c r="K528">
        <v>42681</v>
      </c>
      <c r="L528">
        <v>39072</v>
      </c>
      <c r="M528">
        <v>6.7799999999999999E-2</v>
      </c>
      <c r="N528">
        <v>0.624</v>
      </c>
      <c r="O528">
        <v>1</v>
      </c>
      <c r="P528" t="b">
        <f t="shared" si="17"/>
        <v>1</v>
      </c>
      <c r="Q528" t="str">
        <f t="shared" si="16"/>
        <v>Positive</v>
      </c>
    </row>
    <row r="529" spans="1:17" x14ac:dyDescent="0.3">
      <c r="A529" t="s">
        <v>990</v>
      </c>
      <c r="B529" t="s">
        <v>32</v>
      </c>
      <c r="C529" t="s">
        <v>23</v>
      </c>
      <c r="D529" t="s">
        <v>33</v>
      </c>
      <c r="E529" t="s">
        <v>38</v>
      </c>
      <c r="F529" t="s">
        <v>46</v>
      </c>
      <c r="G529" s="1">
        <v>45487</v>
      </c>
      <c r="H529" t="s">
        <v>35</v>
      </c>
      <c r="I529">
        <v>6407730</v>
      </c>
      <c r="J529">
        <v>457695</v>
      </c>
      <c r="K529">
        <v>29926</v>
      </c>
      <c r="L529">
        <v>57867</v>
      </c>
      <c r="M529">
        <v>8.5099999999999995E-2</v>
      </c>
      <c r="N529">
        <v>-0.32300000000000001</v>
      </c>
      <c r="O529">
        <v>1</v>
      </c>
      <c r="P529" t="b">
        <f t="shared" si="17"/>
        <v>1</v>
      </c>
      <c r="Q529" t="str">
        <f t="shared" si="16"/>
        <v>Negative</v>
      </c>
    </row>
    <row r="530" spans="1:17" x14ac:dyDescent="0.3">
      <c r="A530" t="s">
        <v>991</v>
      </c>
      <c r="B530" t="s">
        <v>66</v>
      </c>
      <c r="C530" t="s">
        <v>17</v>
      </c>
      <c r="D530" t="s">
        <v>73</v>
      </c>
      <c r="E530" t="s">
        <v>19</v>
      </c>
      <c r="F530" t="s">
        <v>34</v>
      </c>
      <c r="G530" s="1">
        <v>45312</v>
      </c>
      <c r="H530" t="s">
        <v>992</v>
      </c>
      <c r="I530">
        <v>5870735</v>
      </c>
      <c r="J530">
        <v>451595</v>
      </c>
      <c r="K530">
        <v>23958</v>
      </c>
      <c r="L530">
        <v>26807</v>
      </c>
      <c r="M530">
        <v>8.5599999999999996E-2</v>
      </c>
      <c r="N530">
        <v>-0.25600000000000001</v>
      </c>
      <c r="O530">
        <v>1</v>
      </c>
      <c r="P530" t="b">
        <f t="shared" si="17"/>
        <v>1</v>
      </c>
      <c r="Q530" t="str">
        <f t="shared" si="16"/>
        <v>Negative</v>
      </c>
    </row>
    <row r="531" spans="1:17" x14ac:dyDescent="0.3">
      <c r="A531" t="s">
        <v>993</v>
      </c>
      <c r="B531" t="s">
        <v>27</v>
      </c>
      <c r="C531" t="s">
        <v>28</v>
      </c>
      <c r="D531" t="s">
        <v>33</v>
      </c>
      <c r="E531" t="s">
        <v>51</v>
      </c>
      <c r="F531" t="s">
        <v>34</v>
      </c>
      <c r="G531" s="1">
        <v>45534</v>
      </c>
      <c r="H531" t="s">
        <v>994</v>
      </c>
      <c r="I531">
        <v>7824908</v>
      </c>
      <c r="J531">
        <v>300958</v>
      </c>
      <c r="K531">
        <v>49150</v>
      </c>
      <c r="L531">
        <v>77426</v>
      </c>
      <c r="M531">
        <v>5.4600000000000003E-2</v>
      </c>
      <c r="N531">
        <v>-0.45200000000000001</v>
      </c>
      <c r="O531">
        <v>1</v>
      </c>
      <c r="P531" t="b">
        <f t="shared" si="17"/>
        <v>1</v>
      </c>
      <c r="Q531" t="str">
        <f t="shared" si="16"/>
        <v>Negative</v>
      </c>
    </row>
    <row r="532" spans="1:17" x14ac:dyDescent="0.3">
      <c r="A532" t="s">
        <v>995</v>
      </c>
      <c r="B532" t="s">
        <v>27</v>
      </c>
      <c r="C532" t="s">
        <v>17</v>
      </c>
      <c r="D532" t="s">
        <v>29</v>
      </c>
      <c r="E532" t="s">
        <v>41</v>
      </c>
      <c r="F532" t="s">
        <v>34</v>
      </c>
      <c r="G532" s="1">
        <v>45359</v>
      </c>
      <c r="H532" t="s">
        <v>996</v>
      </c>
      <c r="I532">
        <v>9374961</v>
      </c>
      <c r="J532">
        <v>407607</v>
      </c>
      <c r="K532">
        <v>46809</v>
      </c>
      <c r="L532">
        <v>76972</v>
      </c>
      <c r="M532">
        <v>5.67E-2</v>
      </c>
      <c r="N532">
        <v>0.77400000000000002</v>
      </c>
      <c r="O532">
        <v>1</v>
      </c>
      <c r="P532" t="b">
        <f t="shared" si="17"/>
        <v>1</v>
      </c>
      <c r="Q532" t="str">
        <f t="shared" si="16"/>
        <v>Positive</v>
      </c>
    </row>
    <row r="533" spans="1:17" x14ac:dyDescent="0.3">
      <c r="A533" t="s">
        <v>997</v>
      </c>
      <c r="B533" t="s">
        <v>32</v>
      </c>
      <c r="C533" t="s">
        <v>28</v>
      </c>
      <c r="D533" t="s">
        <v>54</v>
      </c>
      <c r="E533" t="s">
        <v>41</v>
      </c>
      <c r="F533" t="s">
        <v>55</v>
      </c>
      <c r="G533" s="1">
        <v>45649</v>
      </c>
      <c r="H533" t="s">
        <v>998</v>
      </c>
      <c r="I533">
        <v>6828057</v>
      </c>
      <c r="J533">
        <v>252891</v>
      </c>
      <c r="K533">
        <v>12263</v>
      </c>
      <c r="L533">
        <v>30842</v>
      </c>
      <c r="M533">
        <v>4.3299999999999998E-2</v>
      </c>
      <c r="N533">
        <v>0.75900000000000001</v>
      </c>
      <c r="O533">
        <v>1</v>
      </c>
      <c r="P533" t="b">
        <f t="shared" si="17"/>
        <v>1</v>
      </c>
      <c r="Q533" t="str">
        <f t="shared" si="16"/>
        <v>Positive</v>
      </c>
    </row>
    <row r="534" spans="1:17" x14ac:dyDescent="0.3">
      <c r="A534" t="s">
        <v>999</v>
      </c>
      <c r="B534" t="s">
        <v>32</v>
      </c>
      <c r="C534" t="s">
        <v>28</v>
      </c>
      <c r="D534" t="s">
        <v>33</v>
      </c>
      <c r="E534" t="s">
        <v>41</v>
      </c>
      <c r="F534" t="s">
        <v>24</v>
      </c>
      <c r="G534" s="1">
        <v>45606</v>
      </c>
      <c r="H534" t="s">
        <v>1000</v>
      </c>
      <c r="I534">
        <v>943575</v>
      </c>
      <c r="J534">
        <v>37743</v>
      </c>
      <c r="K534">
        <v>43955</v>
      </c>
      <c r="L534">
        <v>56850</v>
      </c>
      <c r="M534">
        <v>0.14680000000000001</v>
      </c>
      <c r="N534">
        <v>0.51</v>
      </c>
      <c r="O534">
        <v>0</v>
      </c>
      <c r="P534" t="b">
        <f t="shared" si="17"/>
        <v>0</v>
      </c>
      <c r="Q534" t="str">
        <f t="shared" si="16"/>
        <v>Positive</v>
      </c>
    </row>
    <row r="535" spans="1:17" x14ac:dyDescent="0.3">
      <c r="A535" t="s">
        <v>1001</v>
      </c>
      <c r="B535" t="s">
        <v>66</v>
      </c>
      <c r="C535" t="s">
        <v>17</v>
      </c>
      <c r="D535" t="s">
        <v>73</v>
      </c>
      <c r="E535" t="s">
        <v>19</v>
      </c>
      <c r="F535" t="s">
        <v>24</v>
      </c>
      <c r="G535" s="1">
        <v>45627</v>
      </c>
      <c r="H535" t="s">
        <v>1002</v>
      </c>
      <c r="I535">
        <v>6980976</v>
      </c>
      <c r="J535">
        <v>387832</v>
      </c>
      <c r="K535">
        <v>16002</v>
      </c>
      <c r="L535">
        <v>79752</v>
      </c>
      <c r="M535">
        <v>6.93E-2</v>
      </c>
      <c r="N535">
        <v>0.45700000000000002</v>
      </c>
      <c r="O535">
        <v>1</v>
      </c>
      <c r="P535" t="b">
        <f t="shared" si="17"/>
        <v>1</v>
      </c>
      <c r="Q535" t="str">
        <f t="shared" si="16"/>
        <v>Positive</v>
      </c>
    </row>
    <row r="536" spans="1:17" x14ac:dyDescent="0.3">
      <c r="A536" t="s">
        <v>1003</v>
      </c>
      <c r="B536" t="s">
        <v>66</v>
      </c>
      <c r="C536" t="s">
        <v>28</v>
      </c>
      <c r="D536" t="s">
        <v>54</v>
      </c>
      <c r="E536" t="s">
        <v>38</v>
      </c>
      <c r="F536" t="s">
        <v>55</v>
      </c>
      <c r="G536" s="1">
        <v>45406</v>
      </c>
      <c r="H536" t="s">
        <v>1004</v>
      </c>
      <c r="I536">
        <v>5172150</v>
      </c>
      <c r="J536">
        <v>344810</v>
      </c>
      <c r="K536">
        <v>29339</v>
      </c>
      <c r="L536">
        <v>14572</v>
      </c>
      <c r="M536">
        <v>7.5200000000000003E-2</v>
      </c>
      <c r="N536">
        <v>-0.36</v>
      </c>
      <c r="O536">
        <v>1</v>
      </c>
      <c r="P536" t="b">
        <f t="shared" si="17"/>
        <v>1</v>
      </c>
      <c r="Q536" t="str">
        <f t="shared" si="16"/>
        <v>Negative</v>
      </c>
    </row>
    <row r="537" spans="1:17" x14ac:dyDescent="0.3">
      <c r="A537" t="s">
        <v>1005</v>
      </c>
      <c r="B537" t="s">
        <v>32</v>
      </c>
      <c r="C537" t="s">
        <v>28</v>
      </c>
      <c r="D537" t="s">
        <v>73</v>
      </c>
      <c r="E537" t="s">
        <v>41</v>
      </c>
      <c r="F537" t="s">
        <v>34</v>
      </c>
      <c r="G537" s="1">
        <v>45365</v>
      </c>
      <c r="H537" t="s">
        <v>187</v>
      </c>
      <c r="I537">
        <v>1510730</v>
      </c>
      <c r="J537">
        <v>58105</v>
      </c>
      <c r="K537">
        <v>20719</v>
      </c>
      <c r="L537">
        <v>58713</v>
      </c>
      <c r="M537">
        <v>9.0999999999999998E-2</v>
      </c>
      <c r="N537">
        <v>7.9000000000000001E-2</v>
      </c>
      <c r="O537">
        <v>0</v>
      </c>
      <c r="P537" t="b">
        <f t="shared" si="17"/>
        <v>0</v>
      </c>
      <c r="Q537" t="str">
        <f t="shared" si="16"/>
        <v>Positive</v>
      </c>
    </row>
    <row r="538" spans="1:17" x14ac:dyDescent="0.3">
      <c r="A538" t="s">
        <v>1006</v>
      </c>
      <c r="B538" t="s">
        <v>32</v>
      </c>
      <c r="C538" t="s">
        <v>28</v>
      </c>
      <c r="D538" t="s">
        <v>37</v>
      </c>
      <c r="E538" t="s">
        <v>38</v>
      </c>
      <c r="F538" t="s">
        <v>46</v>
      </c>
      <c r="G538" s="1">
        <v>45369</v>
      </c>
      <c r="H538" t="s">
        <v>169</v>
      </c>
      <c r="I538">
        <v>4502000</v>
      </c>
      <c r="J538">
        <v>180080</v>
      </c>
      <c r="K538">
        <v>19926</v>
      </c>
      <c r="L538">
        <v>13058</v>
      </c>
      <c r="M538">
        <v>4.7300000000000002E-2</v>
      </c>
      <c r="N538">
        <v>0.45200000000000001</v>
      </c>
      <c r="O538">
        <v>1</v>
      </c>
      <c r="P538" t="b">
        <f t="shared" si="17"/>
        <v>1</v>
      </c>
      <c r="Q538" t="str">
        <f t="shared" si="16"/>
        <v>Positive</v>
      </c>
    </row>
    <row r="539" spans="1:17" x14ac:dyDescent="0.3">
      <c r="A539" t="s">
        <v>1007</v>
      </c>
      <c r="B539" t="s">
        <v>32</v>
      </c>
      <c r="C539" t="s">
        <v>17</v>
      </c>
      <c r="D539" t="s">
        <v>29</v>
      </c>
      <c r="E539" t="s">
        <v>51</v>
      </c>
      <c r="F539" t="s">
        <v>20</v>
      </c>
      <c r="G539" s="1">
        <v>45567</v>
      </c>
      <c r="H539" t="s">
        <v>1008</v>
      </c>
      <c r="I539">
        <v>2964570</v>
      </c>
      <c r="J539">
        <v>156030</v>
      </c>
      <c r="K539">
        <v>48694</v>
      </c>
      <c r="L539">
        <v>44639</v>
      </c>
      <c r="M539">
        <v>8.4099999999999994E-2</v>
      </c>
      <c r="N539">
        <v>1.2E-2</v>
      </c>
      <c r="O539">
        <v>1</v>
      </c>
      <c r="P539" t="b">
        <f t="shared" si="17"/>
        <v>1</v>
      </c>
      <c r="Q539" t="str">
        <f t="shared" si="16"/>
        <v>Positive</v>
      </c>
    </row>
    <row r="540" spans="1:17" x14ac:dyDescent="0.3">
      <c r="A540" t="s">
        <v>1009</v>
      </c>
      <c r="B540" t="s">
        <v>27</v>
      </c>
      <c r="C540" t="s">
        <v>17</v>
      </c>
      <c r="D540" t="s">
        <v>33</v>
      </c>
      <c r="E540" t="s">
        <v>58</v>
      </c>
      <c r="F540" t="s">
        <v>55</v>
      </c>
      <c r="G540" s="1">
        <v>45449</v>
      </c>
      <c r="H540" t="s">
        <v>1010</v>
      </c>
      <c r="I540">
        <v>537342</v>
      </c>
      <c r="J540">
        <v>20667</v>
      </c>
      <c r="K540">
        <v>29744</v>
      </c>
      <c r="L540">
        <v>57805</v>
      </c>
      <c r="M540">
        <v>0.2014</v>
      </c>
      <c r="N540">
        <v>8.4000000000000005E-2</v>
      </c>
      <c r="O540">
        <v>0</v>
      </c>
      <c r="P540" t="b">
        <f t="shared" si="17"/>
        <v>0</v>
      </c>
      <c r="Q540" t="str">
        <f t="shared" si="16"/>
        <v>Positive</v>
      </c>
    </row>
    <row r="541" spans="1:17" x14ac:dyDescent="0.3">
      <c r="A541" t="s">
        <v>1011</v>
      </c>
      <c r="B541" t="s">
        <v>66</v>
      </c>
      <c r="C541" t="s">
        <v>61</v>
      </c>
      <c r="D541" t="s">
        <v>54</v>
      </c>
      <c r="E541" t="s">
        <v>51</v>
      </c>
      <c r="F541" t="s">
        <v>34</v>
      </c>
      <c r="G541" s="1">
        <v>45590</v>
      </c>
      <c r="H541" t="s">
        <v>1012</v>
      </c>
      <c r="I541">
        <v>1751360</v>
      </c>
      <c r="J541">
        <v>67360</v>
      </c>
      <c r="K541">
        <v>1381</v>
      </c>
      <c r="L541">
        <v>8707</v>
      </c>
      <c r="M541">
        <v>4.4200000000000003E-2</v>
      </c>
      <c r="N541">
        <v>0.13</v>
      </c>
      <c r="O541">
        <v>0</v>
      </c>
      <c r="P541" t="b">
        <f t="shared" si="17"/>
        <v>0</v>
      </c>
      <c r="Q541" t="str">
        <f t="shared" si="16"/>
        <v>Positive</v>
      </c>
    </row>
    <row r="542" spans="1:17" x14ac:dyDescent="0.3">
      <c r="A542" t="s">
        <v>1013</v>
      </c>
      <c r="B542" t="s">
        <v>16</v>
      </c>
      <c r="C542" t="s">
        <v>61</v>
      </c>
      <c r="D542" t="s">
        <v>73</v>
      </c>
      <c r="E542" t="s">
        <v>51</v>
      </c>
      <c r="F542" t="s">
        <v>34</v>
      </c>
      <c r="G542" s="1">
        <v>45611</v>
      </c>
      <c r="H542" t="s">
        <v>1014</v>
      </c>
      <c r="I542">
        <v>2924544</v>
      </c>
      <c r="J542">
        <v>182784</v>
      </c>
      <c r="K542">
        <v>29730</v>
      </c>
      <c r="L542">
        <v>5927</v>
      </c>
      <c r="M542">
        <v>7.4700000000000003E-2</v>
      </c>
      <c r="N542">
        <v>0.27300000000000002</v>
      </c>
      <c r="O542">
        <v>1</v>
      </c>
      <c r="P542" t="b">
        <f t="shared" si="17"/>
        <v>1</v>
      </c>
      <c r="Q542" t="str">
        <f t="shared" si="16"/>
        <v>Positive</v>
      </c>
    </row>
    <row r="543" spans="1:17" x14ac:dyDescent="0.3">
      <c r="A543" t="s">
        <v>1015</v>
      </c>
      <c r="B543" t="s">
        <v>27</v>
      </c>
      <c r="C543" t="s">
        <v>23</v>
      </c>
      <c r="D543" t="s">
        <v>18</v>
      </c>
      <c r="E543" t="s">
        <v>38</v>
      </c>
      <c r="F543" t="s">
        <v>24</v>
      </c>
      <c r="G543" s="1">
        <v>45469</v>
      </c>
      <c r="H543" t="s">
        <v>1016</v>
      </c>
      <c r="I543">
        <v>678564</v>
      </c>
      <c r="J543">
        <v>56547</v>
      </c>
      <c r="K543">
        <v>36073</v>
      </c>
      <c r="L543">
        <v>29807</v>
      </c>
      <c r="M543">
        <v>0.1804</v>
      </c>
      <c r="N543">
        <v>-7.6999999999999999E-2</v>
      </c>
      <c r="O543">
        <v>0</v>
      </c>
      <c r="P543" t="b">
        <f t="shared" si="17"/>
        <v>0</v>
      </c>
      <c r="Q543" t="str">
        <f t="shared" si="16"/>
        <v>Negative</v>
      </c>
    </row>
    <row r="544" spans="1:17" x14ac:dyDescent="0.3">
      <c r="A544" t="s">
        <v>1017</v>
      </c>
      <c r="B544" t="s">
        <v>66</v>
      </c>
      <c r="C544" t="s">
        <v>28</v>
      </c>
      <c r="D544" t="s">
        <v>18</v>
      </c>
      <c r="E544" t="s">
        <v>41</v>
      </c>
      <c r="F544" t="s">
        <v>20</v>
      </c>
      <c r="G544" s="1">
        <v>45412</v>
      </c>
      <c r="H544" t="s">
        <v>1018</v>
      </c>
      <c r="I544">
        <v>2098827</v>
      </c>
      <c r="J544">
        <v>233203</v>
      </c>
      <c r="K544">
        <v>22661</v>
      </c>
      <c r="L544">
        <v>55148</v>
      </c>
      <c r="M544">
        <v>0.1482</v>
      </c>
      <c r="N544">
        <v>0.76300000000000001</v>
      </c>
      <c r="O544">
        <v>1</v>
      </c>
      <c r="P544" t="b">
        <f t="shared" si="17"/>
        <v>1</v>
      </c>
      <c r="Q544" t="str">
        <f t="shared" si="16"/>
        <v>Positive</v>
      </c>
    </row>
    <row r="545" spans="1:17" x14ac:dyDescent="0.3">
      <c r="A545" t="s">
        <v>1019</v>
      </c>
      <c r="B545" t="s">
        <v>66</v>
      </c>
      <c r="C545" t="s">
        <v>23</v>
      </c>
      <c r="D545" t="s">
        <v>29</v>
      </c>
      <c r="E545" t="s">
        <v>41</v>
      </c>
      <c r="F545" t="s">
        <v>24</v>
      </c>
      <c r="G545" s="1">
        <v>45562</v>
      </c>
      <c r="H545" t="s">
        <v>250</v>
      </c>
      <c r="I545">
        <v>4214434</v>
      </c>
      <c r="J545">
        <v>301031</v>
      </c>
      <c r="K545">
        <v>48236</v>
      </c>
      <c r="L545">
        <v>62947</v>
      </c>
      <c r="M545">
        <v>9.7799999999999998E-2</v>
      </c>
      <c r="N545">
        <v>0.315</v>
      </c>
      <c r="O545">
        <v>1</v>
      </c>
      <c r="P545" t="b">
        <f t="shared" si="17"/>
        <v>1</v>
      </c>
      <c r="Q545" t="str">
        <f t="shared" si="16"/>
        <v>Positive</v>
      </c>
    </row>
    <row r="546" spans="1:17" x14ac:dyDescent="0.3">
      <c r="A546" t="s">
        <v>1020</v>
      </c>
      <c r="B546" t="s">
        <v>16</v>
      </c>
      <c r="C546" t="s">
        <v>23</v>
      </c>
      <c r="D546" t="s">
        <v>29</v>
      </c>
      <c r="E546" t="s">
        <v>41</v>
      </c>
      <c r="F546" t="s">
        <v>34</v>
      </c>
      <c r="G546" s="1">
        <v>45609</v>
      </c>
      <c r="H546" t="s">
        <v>1021</v>
      </c>
      <c r="I546">
        <v>1226808</v>
      </c>
      <c r="J546">
        <v>68156</v>
      </c>
      <c r="K546">
        <v>3086</v>
      </c>
      <c r="L546">
        <v>34197</v>
      </c>
      <c r="M546">
        <v>8.5900000000000004E-2</v>
      </c>
      <c r="N546">
        <v>0.23200000000000001</v>
      </c>
      <c r="O546">
        <v>0</v>
      </c>
      <c r="P546" t="b">
        <f t="shared" si="17"/>
        <v>0</v>
      </c>
      <c r="Q546" t="str">
        <f t="shared" si="16"/>
        <v>Positive</v>
      </c>
    </row>
    <row r="547" spans="1:17" x14ac:dyDescent="0.3">
      <c r="A547" t="s">
        <v>1022</v>
      </c>
      <c r="B547" t="s">
        <v>32</v>
      </c>
      <c r="C547" t="s">
        <v>61</v>
      </c>
      <c r="D547" t="s">
        <v>73</v>
      </c>
      <c r="E547" t="s">
        <v>19</v>
      </c>
      <c r="F547" t="s">
        <v>20</v>
      </c>
      <c r="G547" s="1">
        <v>45409</v>
      </c>
      <c r="H547" t="s">
        <v>447</v>
      </c>
      <c r="I547">
        <v>3133400</v>
      </c>
      <c r="J547">
        <v>156670</v>
      </c>
      <c r="K547">
        <v>11334</v>
      </c>
      <c r="L547">
        <v>31657</v>
      </c>
      <c r="M547">
        <v>6.3700000000000007E-2</v>
      </c>
      <c r="N547">
        <v>0.56799999999999995</v>
      </c>
      <c r="O547">
        <v>1</v>
      </c>
      <c r="P547" t="b">
        <f t="shared" si="17"/>
        <v>1</v>
      </c>
      <c r="Q547" t="str">
        <f t="shared" si="16"/>
        <v>Positive</v>
      </c>
    </row>
    <row r="548" spans="1:17" x14ac:dyDescent="0.3">
      <c r="A548" t="s">
        <v>1023</v>
      </c>
      <c r="B548" t="s">
        <v>66</v>
      </c>
      <c r="C548" t="s">
        <v>17</v>
      </c>
      <c r="D548" t="s">
        <v>29</v>
      </c>
      <c r="E548" t="s">
        <v>19</v>
      </c>
      <c r="F548" t="s">
        <v>46</v>
      </c>
      <c r="G548" s="1">
        <v>45361</v>
      </c>
      <c r="H548" t="s">
        <v>1024</v>
      </c>
      <c r="I548">
        <v>1642690</v>
      </c>
      <c r="J548">
        <v>117335</v>
      </c>
      <c r="K548">
        <v>19368</v>
      </c>
      <c r="L548">
        <v>47702</v>
      </c>
      <c r="M548">
        <v>0.1123</v>
      </c>
      <c r="N548">
        <v>0.52200000000000002</v>
      </c>
      <c r="O548">
        <v>0</v>
      </c>
      <c r="P548" t="b">
        <f t="shared" si="17"/>
        <v>0</v>
      </c>
      <c r="Q548" t="str">
        <f t="shared" si="16"/>
        <v>Positive</v>
      </c>
    </row>
    <row r="549" spans="1:17" x14ac:dyDescent="0.3">
      <c r="A549" t="s">
        <v>1025</v>
      </c>
      <c r="B549" t="s">
        <v>66</v>
      </c>
      <c r="C549" t="s">
        <v>23</v>
      </c>
      <c r="D549" t="s">
        <v>29</v>
      </c>
      <c r="E549" t="s">
        <v>41</v>
      </c>
      <c r="F549" t="s">
        <v>20</v>
      </c>
      <c r="G549" s="1">
        <v>45315</v>
      </c>
      <c r="H549" t="s">
        <v>1026</v>
      </c>
      <c r="I549">
        <v>2555586</v>
      </c>
      <c r="J549">
        <v>141977</v>
      </c>
      <c r="K549">
        <v>35856</v>
      </c>
      <c r="L549">
        <v>26833</v>
      </c>
      <c r="M549">
        <v>8.0100000000000005E-2</v>
      </c>
      <c r="N549">
        <v>-0.59499999999999997</v>
      </c>
      <c r="O549">
        <v>1</v>
      </c>
      <c r="P549" t="b">
        <f t="shared" si="17"/>
        <v>1</v>
      </c>
      <c r="Q549" t="str">
        <f t="shared" si="16"/>
        <v>Negative</v>
      </c>
    </row>
    <row r="550" spans="1:17" x14ac:dyDescent="0.3">
      <c r="A550" t="s">
        <v>1027</v>
      </c>
      <c r="B550" t="s">
        <v>66</v>
      </c>
      <c r="C550" t="s">
        <v>28</v>
      </c>
      <c r="D550" t="s">
        <v>18</v>
      </c>
      <c r="E550" t="s">
        <v>58</v>
      </c>
      <c r="F550" t="s">
        <v>55</v>
      </c>
      <c r="G550" s="1">
        <v>45496</v>
      </c>
      <c r="H550" t="s">
        <v>757</v>
      </c>
      <c r="I550">
        <v>6770808</v>
      </c>
      <c r="J550">
        <v>282117</v>
      </c>
      <c r="K550">
        <v>40377</v>
      </c>
      <c r="L550">
        <v>89465</v>
      </c>
      <c r="M550">
        <v>6.08E-2</v>
      </c>
      <c r="N550">
        <v>-0.34599999999999997</v>
      </c>
      <c r="O550">
        <v>1</v>
      </c>
      <c r="P550" t="b">
        <f t="shared" si="17"/>
        <v>1</v>
      </c>
      <c r="Q550" t="str">
        <f t="shared" si="16"/>
        <v>Negative</v>
      </c>
    </row>
    <row r="551" spans="1:17" x14ac:dyDescent="0.3">
      <c r="A551" t="s">
        <v>1028</v>
      </c>
      <c r="B551" t="s">
        <v>32</v>
      </c>
      <c r="C551" t="s">
        <v>23</v>
      </c>
      <c r="D551" t="s">
        <v>18</v>
      </c>
      <c r="E551" t="s">
        <v>41</v>
      </c>
      <c r="F551" t="s">
        <v>20</v>
      </c>
      <c r="G551" s="1">
        <v>45635</v>
      </c>
      <c r="H551" t="s">
        <v>1029</v>
      </c>
      <c r="I551">
        <v>3623260</v>
      </c>
      <c r="J551">
        <v>362326</v>
      </c>
      <c r="K551">
        <v>24291</v>
      </c>
      <c r="L551">
        <v>5111</v>
      </c>
      <c r="M551">
        <v>0.1081</v>
      </c>
      <c r="N551">
        <v>0.753</v>
      </c>
      <c r="O551">
        <v>1</v>
      </c>
      <c r="P551" t="b">
        <f t="shared" si="17"/>
        <v>1</v>
      </c>
      <c r="Q551" t="str">
        <f t="shared" si="16"/>
        <v>Positive</v>
      </c>
    </row>
    <row r="552" spans="1:17" x14ac:dyDescent="0.3">
      <c r="A552" t="s">
        <v>1030</v>
      </c>
      <c r="B552" t="s">
        <v>16</v>
      </c>
      <c r="C552" t="s">
        <v>61</v>
      </c>
      <c r="D552" t="s">
        <v>29</v>
      </c>
      <c r="E552" t="s">
        <v>41</v>
      </c>
      <c r="F552" t="s">
        <v>55</v>
      </c>
      <c r="G552" s="1">
        <v>45505</v>
      </c>
      <c r="H552" t="s">
        <v>1031</v>
      </c>
      <c r="I552">
        <v>2758888</v>
      </c>
      <c r="J552">
        <v>344861</v>
      </c>
      <c r="K552">
        <v>34952</v>
      </c>
      <c r="L552">
        <v>9597</v>
      </c>
      <c r="M552">
        <v>0.1411</v>
      </c>
      <c r="N552">
        <v>0.44400000000000001</v>
      </c>
      <c r="O552">
        <v>1</v>
      </c>
      <c r="P552" t="b">
        <f t="shared" si="17"/>
        <v>1</v>
      </c>
      <c r="Q552" t="str">
        <f t="shared" si="16"/>
        <v>Positive</v>
      </c>
    </row>
    <row r="553" spans="1:17" x14ac:dyDescent="0.3">
      <c r="A553" t="s">
        <v>1032</v>
      </c>
      <c r="B553" t="s">
        <v>16</v>
      </c>
      <c r="C553" t="s">
        <v>61</v>
      </c>
      <c r="D553" t="s">
        <v>54</v>
      </c>
      <c r="E553" t="s">
        <v>51</v>
      </c>
      <c r="F553" t="s">
        <v>24</v>
      </c>
      <c r="G553" s="1">
        <v>45491</v>
      </c>
      <c r="H553" t="s">
        <v>434</v>
      </c>
      <c r="I553">
        <v>3378771</v>
      </c>
      <c r="J553">
        <v>375419</v>
      </c>
      <c r="K553">
        <v>1018</v>
      </c>
      <c r="L553">
        <v>23706</v>
      </c>
      <c r="M553">
        <v>0.11840000000000001</v>
      </c>
      <c r="N553">
        <v>0.32600000000000001</v>
      </c>
      <c r="O553">
        <v>1</v>
      </c>
      <c r="P553" t="b">
        <f t="shared" si="17"/>
        <v>1</v>
      </c>
      <c r="Q553" t="str">
        <f t="shared" si="16"/>
        <v>Positive</v>
      </c>
    </row>
    <row r="554" spans="1:17" x14ac:dyDescent="0.3">
      <c r="A554" t="s">
        <v>1033</v>
      </c>
      <c r="B554" t="s">
        <v>16</v>
      </c>
      <c r="C554" t="s">
        <v>28</v>
      </c>
      <c r="D554" t="s">
        <v>18</v>
      </c>
      <c r="E554" t="s">
        <v>41</v>
      </c>
      <c r="F554" t="s">
        <v>34</v>
      </c>
      <c r="G554" s="1">
        <v>45645</v>
      </c>
      <c r="H554" t="s">
        <v>641</v>
      </c>
      <c r="I554">
        <v>2937438</v>
      </c>
      <c r="J554">
        <v>209817</v>
      </c>
      <c r="K554">
        <v>2028</v>
      </c>
      <c r="L554">
        <v>59797</v>
      </c>
      <c r="M554">
        <v>9.2499999999999999E-2</v>
      </c>
      <c r="N554">
        <v>0.23899999999999999</v>
      </c>
      <c r="O554">
        <v>1</v>
      </c>
      <c r="P554" t="b">
        <f t="shared" si="17"/>
        <v>1</v>
      </c>
      <c r="Q554" t="str">
        <f t="shared" si="16"/>
        <v>Positive</v>
      </c>
    </row>
    <row r="555" spans="1:17" x14ac:dyDescent="0.3">
      <c r="A555" t="s">
        <v>1034</v>
      </c>
      <c r="B555" t="s">
        <v>27</v>
      </c>
      <c r="C555" t="s">
        <v>17</v>
      </c>
      <c r="D555" t="s">
        <v>33</v>
      </c>
      <c r="E555" t="s">
        <v>19</v>
      </c>
      <c r="F555" t="s">
        <v>20</v>
      </c>
      <c r="G555" s="1">
        <v>45348</v>
      </c>
      <c r="H555" t="s">
        <v>1035</v>
      </c>
      <c r="I555">
        <v>2503080</v>
      </c>
      <c r="J555">
        <v>104295</v>
      </c>
      <c r="K555">
        <v>33853</v>
      </c>
      <c r="L555">
        <v>37805</v>
      </c>
      <c r="M555">
        <v>7.0300000000000001E-2</v>
      </c>
      <c r="N555">
        <v>-0.19500000000000001</v>
      </c>
      <c r="O555">
        <v>1</v>
      </c>
      <c r="P555" t="b">
        <f t="shared" si="17"/>
        <v>1</v>
      </c>
      <c r="Q555" t="str">
        <f t="shared" si="16"/>
        <v>Negative</v>
      </c>
    </row>
    <row r="556" spans="1:17" x14ac:dyDescent="0.3">
      <c r="A556" t="s">
        <v>1036</v>
      </c>
      <c r="B556" t="s">
        <v>32</v>
      </c>
      <c r="C556" t="s">
        <v>61</v>
      </c>
      <c r="D556" t="s">
        <v>29</v>
      </c>
      <c r="E556" t="s">
        <v>38</v>
      </c>
      <c r="F556" t="s">
        <v>20</v>
      </c>
      <c r="G556" s="1">
        <v>45537</v>
      </c>
      <c r="H556" t="s">
        <v>1037</v>
      </c>
      <c r="I556">
        <v>477393</v>
      </c>
      <c r="J556">
        <v>68199</v>
      </c>
      <c r="K556">
        <v>36065</v>
      </c>
      <c r="L556">
        <v>94734</v>
      </c>
      <c r="M556">
        <v>0.4168</v>
      </c>
      <c r="N556">
        <v>-0.87</v>
      </c>
      <c r="O556">
        <v>0</v>
      </c>
      <c r="P556" t="b">
        <f t="shared" si="17"/>
        <v>0</v>
      </c>
      <c r="Q556" t="str">
        <f t="shared" si="16"/>
        <v>Negative</v>
      </c>
    </row>
    <row r="557" spans="1:17" x14ac:dyDescent="0.3">
      <c r="A557" t="s">
        <v>1038</v>
      </c>
      <c r="B557" t="s">
        <v>66</v>
      </c>
      <c r="C557" t="s">
        <v>23</v>
      </c>
      <c r="D557" t="s">
        <v>54</v>
      </c>
      <c r="E557" t="s">
        <v>51</v>
      </c>
      <c r="F557" t="s">
        <v>34</v>
      </c>
      <c r="G557" s="1">
        <v>45578</v>
      </c>
      <c r="H557" t="s">
        <v>87</v>
      </c>
      <c r="I557">
        <v>2861256</v>
      </c>
      <c r="J557">
        <v>119219</v>
      </c>
      <c r="K557">
        <v>23230</v>
      </c>
      <c r="L557">
        <v>95287</v>
      </c>
      <c r="M557">
        <v>8.3099999999999993E-2</v>
      </c>
      <c r="N557">
        <v>0.121</v>
      </c>
      <c r="O557">
        <v>1</v>
      </c>
      <c r="P557" t="b">
        <f t="shared" si="17"/>
        <v>1</v>
      </c>
      <c r="Q557" t="str">
        <f t="shared" si="16"/>
        <v>Positive</v>
      </c>
    </row>
    <row r="558" spans="1:17" x14ac:dyDescent="0.3">
      <c r="A558" t="s">
        <v>1039</v>
      </c>
      <c r="B558" t="s">
        <v>27</v>
      </c>
      <c r="C558" t="s">
        <v>17</v>
      </c>
      <c r="D558" t="s">
        <v>54</v>
      </c>
      <c r="E558" t="s">
        <v>51</v>
      </c>
      <c r="F558" t="s">
        <v>20</v>
      </c>
      <c r="G558" s="1">
        <v>45425</v>
      </c>
      <c r="H558" t="s">
        <v>889</v>
      </c>
      <c r="I558">
        <v>8895062</v>
      </c>
      <c r="J558">
        <v>404321</v>
      </c>
      <c r="K558">
        <v>43548</v>
      </c>
      <c r="L558">
        <v>65698</v>
      </c>
      <c r="M558">
        <v>5.7700000000000001E-2</v>
      </c>
      <c r="N558">
        <v>0.20399999999999999</v>
      </c>
      <c r="O558">
        <v>1</v>
      </c>
      <c r="P558" t="b">
        <f t="shared" si="17"/>
        <v>1</v>
      </c>
      <c r="Q558" t="str">
        <f t="shared" si="16"/>
        <v>Positive</v>
      </c>
    </row>
    <row r="559" spans="1:17" x14ac:dyDescent="0.3">
      <c r="A559" t="s">
        <v>1040</v>
      </c>
      <c r="B559" t="s">
        <v>66</v>
      </c>
      <c r="C559" t="s">
        <v>61</v>
      </c>
      <c r="D559" t="s">
        <v>33</v>
      </c>
      <c r="E559" t="s">
        <v>58</v>
      </c>
      <c r="F559" t="s">
        <v>24</v>
      </c>
      <c r="G559" s="1">
        <v>45624</v>
      </c>
      <c r="H559" t="s">
        <v>464</v>
      </c>
      <c r="I559">
        <v>8170542</v>
      </c>
      <c r="J559">
        <v>453919</v>
      </c>
      <c r="K559">
        <v>28736</v>
      </c>
      <c r="L559">
        <v>68927</v>
      </c>
      <c r="M559">
        <v>6.7500000000000004E-2</v>
      </c>
      <c r="N559">
        <v>-0.70199999999999996</v>
      </c>
      <c r="O559">
        <v>1</v>
      </c>
      <c r="P559" t="b">
        <f t="shared" si="17"/>
        <v>1</v>
      </c>
      <c r="Q559" t="str">
        <f t="shared" si="16"/>
        <v>Negative</v>
      </c>
    </row>
    <row r="560" spans="1:17" x14ac:dyDescent="0.3">
      <c r="A560" t="s">
        <v>1041</v>
      </c>
      <c r="B560" t="s">
        <v>27</v>
      </c>
      <c r="C560" t="s">
        <v>28</v>
      </c>
      <c r="D560" t="s">
        <v>73</v>
      </c>
      <c r="E560" t="s">
        <v>58</v>
      </c>
      <c r="F560" t="s">
        <v>34</v>
      </c>
      <c r="G560" s="1">
        <v>45637</v>
      </c>
      <c r="H560" t="s">
        <v>1042</v>
      </c>
      <c r="I560">
        <v>4431310</v>
      </c>
      <c r="J560">
        <v>443131</v>
      </c>
      <c r="K560">
        <v>42097</v>
      </c>
      <c r="L560">
        <v>62540</v>
      </c>
      <c r="M560">
        <v>0.1236</v>
      </c>
      <c r="N560">
        <v>-0.57999999999999996</v>
      </c>
      <c r="O560">
        <v>1</v>
      </c>
      <c r="P560" t="b">
        <f t="shared" si="17"/>
        <v>1</v>
      </c>
      <c r="Q560" t="str">
        <f t="shared" si="16"/>
        <v>Negative</v>
      </c>
    </row>
    <row r="561" spans="1:17" x14ac:dyDescent="0.3">
      <c r="A561" t="s">
        <v>1043</v>
      </c>
      <c r="B561" t="s">
        <v>66</v>
      </c>
      <c r="C561" t="s">
        <v>28</v>
      </c>
      <c r="D561" t="s">
        <v>54</v>
      </c>
      <c r="E561" t="s">
        <v>58</v>
      </c>
      <c r="F561" t="s">
        <v>20</v>
      </c>
      <c r="G561" s="1">
        <v>45472</v>
      </c>
      <c r="H561" t="s">
        <v>1044</v>
      </c>
      <c r="I561">
        <v>4934540</v>
      </c>
      <c r="J561">
        <v>246727</v>
      </c>
      <c r="K561">
        <v>48836</v>
      </c>
      <c r="L561">
        <v>10259</v>
      </c>
      <c r="M561">
        <v>6.2E-2</v>
      </c>
      <c r="N561">
        <v>-0.253</v>
      </c>
      <c r="O561">
        <v>1</v>
      </c>
      <c r="P561" t="b">
        <f t="shared" si="17"/>
        <v>1</v>
      </c>
      <c r="Q561" t="str">
        <f t="shared" si="16"/>
        <v>Negative</v>
      </c>
    </row>
    <row r="562" spans="1:17" x14ac:dyDescent="0.3">
      <c r="A562" t="s">
        <v>1045</v>
      </c>
      <c r="B562" t="s">
        <v>16</v>
      </c>
      <c r="C562" t="s">
        <v>28</v>
      </c>
      <c r="D562" t="s">
        <v>33</v>
      </c>
      <c r="E562" t="s">
        <v>58</v>
      </c>
      <c r="F562" t="s">
        <v>34</v>
      </c>
      <c r="G562" s="1">
        <v>45397</v>
      </c>
      <c r="H562" t="s">
        <v>1046</v>
      </c>
      <c r="I562">
        <v>7228251</v>
      </c>
      <c r="J562">
        <v>267713</v>
      </c>
      <c r="K562">
        <v>28859</v>
      </c>
      <c r="L562">
        <v>6257</v>
      </c>
      <c r="M562">
        <v>4.19E-2</v>
      </c>
      <c r="N562">
        <v>-0.52800000000000002</v>
      </c>
      <c r="O562">
        <v>1</v>
      </c>
      <c r="P562" t="b">
        <f t="shared" si="17"/>
        <v>1</v>
      </c>
      <c r="Q562" t="str">
        <f t="shared" si="16"/>
        <v>Negative</v>
      </c>
    </row>
    <row r="563" spans="1:17" x14ac:dyDescent="0.3">
      <c r="A563" t="s">
        <v>1047</v>
      </c>
      <c r="B563" t="s">
        <v>32</v>
      </c>
      <c r="C563" t="s">
        <v>61</v>
      </c>
      <c r="D563" t="s">
        <v>18</v>
      </c>
      <c r="E563" t="s">
        <v>38</v>
      </c>
      <c r="F563" t="s">
        <v>24</v>
      </c>
      <c r="G563" s="1">
        <v>45472</v>
      </c>
      <c r="H563" t="s">
        <v>1048</v>
      </c>
      <c r="I563">
        <v>6866182</v>
      </c>
      <c r="J563">
        <v>361378</v>
      </c>
      <c r="K563">
        <v>1656</v>
      </c>
      <c r="L563">
        <v>50289</v>
      </c>
      <c r="M563">
        <v>6.0199999999999997E-2</v>
      </c>
      <c r="N563">
        <v>0.997</v>
      </c>
      <c r="O563">
        <v>1</v>
      </c>
      <c r="P563" t="b">
        <f t="shared" si="17"/>
        <v>1</v>
      </c>
      <c r="Q563" t="str">
        <f t="shared" si="16"/>
        <v>Positive</v>
      </c>
    </row>
    <row r="564" spans="1:17" x14ac:dyDescent="0.3">
      <c r="A564" t="s">
        <v>1049</v>
      </c>
      <c r="B564" t="s">
        <v>27</v>
      </c>
      <c r="C564" t="s">
        <v>17</v>
      </c>
      <c r="D564" t="s">
        <v>33</v>
      </c>
      <c r="E564" t="s">
        <v>58</v>
      </c>
      <c r="F564" t="s">
        <v>20</v>
      </c>
      <c r="G564" s="1">
        <v>45304</v>
      </c>
      <c r="H564" t="s">
        <v>1050</v>
      </c>
      <c r="I564">
        <v>169435</v>
      </c>
      <c r="J564">
        <v>33887</v>
      </c>
      <c r="K564">
        <v>21626</v>
      </c>
      <c r="L564">
        <v>75565</v>
      </c>
      <c r="M564">
        <v>0.77359999999999995</v>
      </c>
      <c r="N564">
        <v>-0.158</v>
      </c>
      <c r="O564">
        <v>0</v>
      </c>
      <c r="P564" t="b">
        <f t="shared" si="17"/>
        <v>0</v>
      </c>
      <c r="Q564" t="str">
        <f t="shared" si="16"/>
        <v>Negative</v>
      </c>
    </row>
    <row r="565" spans="1:17" x14ac:dyDescent="0.3">
      <c r="A565" t="s">
        <v>1051</v>
      </c>
      <c r="B565" t="s">
        <v>27</v>
      </c>
      <c r="C565" t="s">
        <v>17</v>
      </c>
      <c r="D565" t="s">
        <v>18</v>
      </c>
      <c r="E565" t="s">
        <v>58</v>
      </c>
      <c r="F565" t="s">
        <v>55</v>
      </c>
      <c r="G565" s="1">
        <v>45423</v>
      </c>
      <c r="H565" t="s">
        <v>1021</v>
      </c>
      <c r="I565">
        <v>5629605</v>
      </c>
      <c r="J565">
        <v>296295</v>
      </c>
      <c r="K565">
        <v>49816</v>
      </c>
      <c r="L565">
        <v>30448</v>
      </c>
      <c r="M565">
        <v>6.6900000000000001E-2</v>
      </c>
      <c r="N565">
        <v>-0.76300000000000001</v>
      </c>
      <c r="O565">
        <v>1</v>
      </c>
      <c r="P565" t="b">
        <f t="shared" si="17"/>
        <v>1</v>
      </c>
      <c r="Q565" t="str">
        <f t="shared" si="16"/>
        <v>Negative</v>
      </c>
    </row>
    <row r="566" spans="1:17" x14ac:dyDescent="0.3">
      <c r="A566" t="s">
        <v>1052</v>
      </c>
      <c r="B566" t="s">
        <v>27</v>
      </c>
      <c r="C566" t="s">
        <v>17</v>
      </c>
      <c r="D566" t="s">
        <v>73</v>
      </c>
      <c r="E566" t="s">
        <v>41</v>
      </c>
      <c r="F566" t="s">
        <v>46</v>
      </c>
      <c r="G566" s="1">
        <v>45636</v>
      </c>
      <c r="H566" t="s">
        <v>1053</v>
      </c>
      <c r="I566">
        <v>7400295</v>
      </c>
      <c r="J566">
        <v>493353</v>
      </c>
      <c r="K566">
        <v>30259</v>
      </c>
      <c r="L566">
        <v>84046</v>
      </c>
      <c r="M566">
        <v>8.2100000000000006E-2</v>
      </c>
      <c r="N566">
        <v>0.48</v>
      </c>
      <c r="O566">
        <v>1</v>
      </c>
      <c r="P566" t="b">
        <f t="shared" si="17"/>
        <v>1</v>
      </c>
      <c r="Q566" t="str">
        <f t="shared" si="16"/>
        <v>Positive</v>
      </c>
    </row>
    <row r="567" spans="1:17" x14ac:dyDescent="0.3">
      <c r="A567" t="s">
        <v>1054</v>
      </c>
      <c r="B567" t="s">
        <v>32</v>
      </c>
      <c r="C567" t="s">
        <v>23</v>
      </c>
      <c r="D567" t="s">
        <v>54</v>
      </c>
      <c r="E567" t="s">
        <v>19</v>
      </c>
      <c r="F567" t="s">
        <v>34</v>
      </c>
      <c r="G567" s="1">
        <v>45391</v>
      </c>
      <c r="H567" t="s">
        <v>1055</v>
      </c>
      <c r="I567">
        <v>49994</v>
      </c>
      <c r="J567">
        <v>3571</v>
      </c>
      <c r="K567">
        <v>41801</v>
      </c>
      <c r="L567">
        <v>95805</v>
      </c>
      <c r="M567">
        <v>2.8239000000000001</v>
      </c>
      <c r="N567">
        <v>-0.33100000000000002</v>
      </c>
      <c r="O567">
        <v>0</v>
      </c>
      <c r="P567" t="b">
        <f t="shared" si="17"/>
        <v>0</v>
      </c>
      <c r="Q567" t="str">
        <f t="shared" si="16"/>
        <v>Negative</v>
      </c>
    </row>
    <row r="568" spans="1:17" x14ac:dyDescent="0.3">
      <c r="A568" t="s">
        <v>1056</v>
      </c>
      <c r="B568" t="s">
        <v>32</v>
      </c>
      <c r="C568" t="s">
        <v>61</v>
      </c>
      <c r="D568" t="s">
        <v>37</v>
      </c>
      <c r="E568" t="s">
        <v>38</v>
      </c>
      <c r="F568" t="s">
        <v>55</v>
      </c>
      <c r="G568" s="1">
        <v>45529</v>
      </c>
      <c r="H568" t="s">
        <v>1057</v>
      </c>
      <c r="I568">
        <v>8228064</v>
      </c>
      <c r="J568">
        <v>316464</v>
      </c>
      <c r="K568">
        <v>46703</v>
      </c>
      <c r="L568">
        <v>93809</v>
      </c>
      <c r="M568">
        <v>5.5500000000000001E-2</v>
      </c>
      <c r="N568">
        <v>-0.45400000000000001</v>
      </c>
      <c r="O568">
        <v>1</v>
      </c>
      <c r="P568" t="b">
        <f t="shared" si="17"/>
        <v>1</v>
      </c>
      <c r="Q568" t="str">
        <f t="shared" si="16"/>
        <v>Negative</v>
      </c>
    </row>
    <row r="569" spans="1:17" x14ac:dyDescent="0.3">
      <c r="A569" t="s">
        <v>1058</v>
      </c>
      <c r="B569" t="s">
        <v>16</v>
      </c>
      <c r="C569" t="s">
        <v>61</v>
      </c>
      <c r="D569" t="s">
        <v>54</v>
      </c>
      <c r="E569" t="s">
        <v>19</v>
      </c>
      <c r="F569" t="s">
        <v>55</v>
      </c>
      <c r="G569" s="1">
        <v>45345</v>
      </c>
      <c r="H569" t="s">
        <v>1059</v>
      </c>
      <c r="I569">
        <v>1222956</v>
      </c>
      <c r="J569">
        <v>53172</v>
      </c>
      <c r="K569">
        <v>24575</v>
      </c>
      <c r="L569">
        <v>83821</v>
      </c>
      <c r="M569">
        <v>0.1321</v>
      </c>
      <c r="N569">
        <v>0.88100000000000001</v>
      </c>
      <c r="O569">
        <v>0</v>
      </c>
      <c r="P569" t="b">
        <f t="shared" si="17"/>
        <v>0</v>
      </c>
      <c r="Q569" t="str">
        <f t="shared" si="16"/>
        <v>Positive</v>
      </c>
    </row>
    <row r="570" spans="1:17" x14ac:dyDescent="0.3">
      <c r="A570" t="s">
        <v>1060</v>
      </c>
      <c r="B570" t="s">
        <v>27</v>
      </c>
      <c r="C570" t="s">
        <v>17</v>
      </c>
      <c r="D570" t="s">
        <v>54</v>
      </c>
      <c r="E570" t="s">
        <v>38</v>
      </c>
      <c r="F570" t="s">
        <v>20</v>
      </c>
      <c r="G570" s="1">
        <v>45443</v>
      </c>
      <c r="H570" t="s">
        <v>1061</v>
      </c>
      <c r="I570">
        <v>1919787</v>
      </c>
      <c r="J570">
        <v>83469</v>
      </c>
      <c r="K570">
        <v>25127</v>
      </c>
      <c r="L570">
        <v>70554</v>
      </c>
      <c r="M570">
        <v>9.3299999999999994E-2</v>
      </c>
      <c r="N570">
        <v>-0.246</v>
      </c>
      <c r="O570">
        <v>0</v>
      </c>
      <c r="P570" t="b">
        <f t="shared" si="17"/>
        <v>0</v>
      </c>
      <c r="Q570" t="str">
        <f t="shared" si="16"/>
        <v>Negative</v>
      </c>
    </row>
    <row r="571" spans="1:17" x14ac:dyDescent="0.3">
      <c r="A571" t="s">
        <v>1062</v>
      </c>
      <c r="B571" t="s">
        <v>32</v>
      </c>
      <c r="C571" t="s">
        <v>28</v>
      </c>
      <c r="D571" t="s">
        <v>29</v>
      </c>
      <c r="E571" t="s">
        <v>38</v>
      </c>
      <c r="F571" t="s">
        <v>20</v>
      </c>
      <c r="G571" s="1">
        <v>45295</v>
      </c>
      <c r="H571" t="s">
        <v>981</v>
      </c>
      <c r="I571">
        <v>5675103</v>
      </c>
      <c r="J571">
        <v>270243</v>
      </c>
      <c r="K571">
        <v>22441</v>
      </c>
      <c r="L571">
        <v>42964</v>
      </c>
      <c r="M571">
        <v>5.91E-2</v>
      </c>
      <c r="N571">
        <v>-0.13</v>
      </c>
      <c r="O571">
        <v>1</v>
      </c>
      <c r="P571" t="b">
        <f t="shared" si="17"/>
        <v>1</v>
      </c>
      <c r="Q571" t="str">
        <f t="shared" si="16"/>
        <v>Negative</v>
      </c>
    </row>
    <row r="572" spans="1:17" x14ac:dyDescent="0.3">
      <c r="A572" t="s">
        <v>1063</v>
      </c>
      <c r="B572" t="s">
        <v>32</v>
      </c>
      <c r="C572" t="s">
        <v>28</v>
      </c>
      <c r="D572" t="s">
        <v>33</v>
      </c>
      <c r="E572" t="s">
        <v>38</v>
      </c>
      <c r="F572" t="s">
        <v>55</v>
      </c>
      <c r="G572" s="1">
        <v>45650</v>
      </c>
      <c r="H572" t="s">
        <v>187</v>
      </c>
      <c r="I572">
        <v>3348760</v>
      </c>
      <c r="J572">
        <v>418595</v>
      </c>
      <c r="K572">
        <v>43368</v>
      </c>
      <c r="L572">
        <v>26202</v>
      </c>
      <c r="M572">
        <v>0.14580000000000001</v>
      </c>
      <c r="N572">
        <v>-0.9</v>
      </c>
      <c r="O572">
        <v>1</v>
      </c>
      <c r="P572" t="b">
        <f t="shared" si="17"/>
        <v>1</v>
      </c>
      <c r="Q572" t="str">
        <f t="shared" si="16"/>
        <v>Negative</v>
      </c>
    </row>
    <row r="573" spans="1:17" x14ac:dyDescent="0.3">
      <c r="A573" t="s">
        <v>1064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s="1">
        <v>45361</v>
      </c>
      <c r="H573" t="s">
        <v>1065</v>
      </c>
      <c r="I573">
        <v>12598040</v>
      </c>
      <c r="J573">
        <v>449930</v>
      </c>
      <c r="K573">
        <v>5110</v>
      </c>
      <c r="L573">
        <v>94849</v>
      </c>
      <c r="M573">
        <v>4.36E-2</v>
      </c>
      <c r="N573">
        <v>0.45900000000000002</v>
      </c>
      <c r="O573">
        <v>1</v>
      </c>
      <c r="P573" t="b">
        <f t="shared" si="17"/>
        <v>1</v>
      </c>
      <c r="Q573" t="str">
        <f t="shared" si="16"/>
        <v>Positive</v>
      </c>
    </row>
    <row r="574" spans="1:17" x14ac:dyDescent="0.3">
      <c r="A574" t="s">
        <v>1066</v>
      </c>
      <c r="B574" t="s">
        <v>16</v>
      </c>
      <c r="C574" t="s">
        <v>23</v>
      </c>
      <c r="D574" t="s">
        <v>37</v>
      </c>
      <c r="E574" t="s">
        <v>19</v>
      </c>
      <c r="F574" t="s">
        <v>24</v>
      </c>
      <c r="G574" s="1">
        <v>45465</v>
      </c>
      <c r="H574" t="s">
        <v>1067</v>
      </c>
      <c r="I574">
        <v>686736</v>
      </c>
      <c r="J574">
        <v>42921</v>
      </c>
      <c r="K574">
        <v>13498</v>
      </c>
      <c r="L574">
        <v>17070</v>
      </c>
      <c r="M574">
        <v>0.107</v>
      </c>
      <c r="N574">
        <v>-0.72899999999999998</v>
      </c>
      <c r="O574">
        <v>0</v>
      </c>
      <c r="P574" t="b">
        <f t="shared" si="17"/>
        <v>0</v>
      </c>
      <c r="Q574" t="str">
        <f t="shared" si="16"/>
        <v>Negative</v>
      </c>
    </row>
    <row r="575" spans="1:17" x14ac:dyDescent="0.3">
      <c r="A575" t="s">
        <v>1068</v>
      </c>
      <c r="B575" t="s">
        <v>27</v>
      </c>
      <c r="C575" t="s">
        <v>28</v>
      </c>
      <c r="D575" t="s">
        <v>54</v>
      </c>
      <c r="E575" t="s">
        <v>58</v>
      </c>
      <c r="F575" t="s">
        <v>55</v>
      </c>
      <c r="G575" s="1">
        <v>45492</v>
      </c>
      <c r="H575" t="s">
        <v>334</v>
      </c>
      <c r="I575">
        <v>4027578</v>
      </c>
      <c r="J575">
        <v>138882</v>
      </c>
      <c r="K575">
        <v>1624</v>
      </c>
      <c r="L575">
        <v>13976</v>
      </c>
      <c r="M575">
        <v>3.8399999999999997E-2</v>
      </c>
      <c r="N575">
        <v>0.91300000000000003</v>
      </c>
      <c r="O575">
        <v>1</v>
      </c>
      <c r="P575" t="b">
        <f t="shared" si="17"/>
        <v>1</v>
      </c>
      <c r="Q575" t="str">
        <f t="shared" si="16"/>
        <v>Positive</v>
      </c>
    </row>
    <row r="576" spans="1:17" x14ac:dyDescent="0.3">
      <c r="A576" t="s">
        <v>1069</v>
      </c>
      <c r="B576" t="s">
        <v>16</v>
      </c>
      <c r="C576" t="s">
        <v>61</v>
      </c>
      <c r="D576" t="s">
        <v>29</v>
      </c>
      <c r="E576" t="s">
        <v>19</v>
      </c>
      <c r="F576" t="s">
        <v>46</v>
      </c>
      <c r="G576" s="1">
        <v>45656</v>
      </c>
      <c r="H576" t="s">
        <v>1070</v>
      </c>
      <c r="I576">
        <v>6637582</v>
      </c>
      <c r="J576">
        <v>474113</v>
      </c>
      <c r="K576">
        <v>1436</v>
      </c>
      <c r="L576">
        <v>74604</v>
      </c>
      <c r="M576">
        <v>8.2900000000000001E-2</v>
      </c>
      <c r="N576">
        <v>-0.436</v>
      </c>
      <c r="O576">
        <v>1</v>
      </c>
      <c r="P576" t="b">
        <f t="shared" si="17"/>
        <v>1</v>
      </c>
      <c r="Q576" t="str">
        <f t="shared" si="16"/>
        <v>Negative</v>
      </c>
    </row>
    <row r="577" spans="1:17" x14ac:dyDescent="0.3">
      <c r="A577" t="s">
        <v>1071</v>
      </c>
      <c r="B577" t="s">
        <v>27</v>
      </c>
      <c r="C577" t="s">
        <v>28</v>
      </c>
      <c r="D577" t="s">
        <v>54</v>
      </c>
      <c r="E577" t="s">
        <v>58</v>
      </c>
      <c r="F577" t="s">
        <v>55</v>
      </c>
      <c r="G577" s="1">
        <v>45620</v>
      </c>
      <c r="H577" t="s">
        <v>1072</v>
      </c>
      <c r="I577">
        <v>12643749</v>
      </c>
      <c r="J577">
        <v>468287</v>
      </c>
      <c r="K577">
        <v>37771</v>
      </c>
      <c r="L577">
        <v>163</v>
      </c>
      <c r="M577">
        <v>0.04</v>
      </c>
      <c r="N577">
        <v>0.81299999999999994</v>
      </c>
      <c r="O577">
        <v>1</v>
      </c>
      <c r="P577" t="b">
        <f t="shared" si="17"/>
        <v>1</v>
      </c>
      <c r="Q577" t="str">
        <f t="shared" si="16"/>
        <v>Positive</v>
      </c>
    </row>
    <row r="578" spans="1:17" x14ac:dyDescent="0.3">
      <c r="A578" t="s">
        <v>1073</v>
      </c>
      <c r="B578" t="s">
        <v>66</v>
      </c>
      <c r="C578" t="s">
        <v>17</v>
      </c>
      <c r="D578" t="s">
        <v>73</v>
      </c>
      <c r="E578" t="s">
        <v>58</v>
      </c>
      <c r="F578" t="s">
        <v>46</v>
      </c>
      <c r="G578" s="1">
        <v>45423</v>
      </c>
      <c r="H578" t="s">
        <v>144</v>
      </c>
      <c r="I578">
        <v>3852862</v>
      </c>
      <c r="J578">
        <v>148187</v>
      </c>
      <c r="K578">
        <v>32596</v>
      </c>
      <c r="L578">
        <v>93584</v>
      </c>
      <c r="M578">
        <v>7.1199999999999999E-2</v>
      </c>
      <c r="N578">
        <v>-0.14199999999999999</v>
      </c>
      <c r="O578">
        <v>1</v>
      </c>
      <c r="P578" t="b">
        <f t="shared" si="17"/>
        <v>1</v>
      </c>
      <c r="Q578" t="str">
        <f t="shared" ref="Q578:Q641" si="18">IF(N578&gt;0,"Positive","Negative")</f>
        <v>Negative</v>
      </c>
    </row>
    <row r="579" spans="1:17" x14ac:dyDescent="0.3">
      <c r="A579" t="s">
        <v>1074</v>
      </c>
      <c r="B579" t="s">
        <v>16</v>
      </c>
      <c r="C579" t="s">
        <v>23</v>
      </c>
      <c r="D579" t="s">
        <v>33</v>
      </c>
      <c r="E579" t="s">
        <v>51</v>
      </c>
      <c r="F579" t="s">
        <v>24</v>
      </c>
      <c r="G579" s="1">
        <v>45422</v>
      </c>
      <c r="H579" t="s">
        <v>1057</v>
      </c>
      <c r="I579">
        <v>4322240</v>
      </c>
      <c r="J579">
        <v>270140</v>
      </c>
      <c r="K579">
        <v>32977</v>
      </c>
      <c r="L579">
        <v>49734</v>
      </c>
      <c r="M579">
        <v>8.1600000000000006E-2</v>
      </c>
      <c r="N579">
        <v>-0.68700000000000006</v>
      </c>
      <c r="O579">
        <v>1</v>
      </c>
      <c r="P579" t="b">
        <f t="shared" ref="P579:P642" si="19">IF(O579=1,TRUE,FALSE)</f>
        <v>1</v>
      </c>
      <c r="Q579" t="str">
        <f t="shared" si="18"/>
        <v>Negative</v>
      </c>
    </row>
    <row r="580" spans="1:17" x14ac:dyDescent="0.3">
      <c r="A580" t="s">
        <v>1075</v>
      </c>
      <c r="B580" t="s">
        <v>66</v>
      </c>
      <c r="C580" t="s">
        <v>61</v>
      </c>
      <c r="D580" t="s">
        <v>73</v>
      </c>
      <c r="E580" t="s">
        <v>38</v>
      </c>
      <c r="F580" t="s">
        <v>34</v>
      </c>
      <c r="G580" s="1">
        <v>45458</v>
      </c>
      <c r="H580" t="s">
        <v>1076</v>
      </c>
      <c r="I580">
        <v>5887002</v>
      </c>
      <c r="J580">
        <v>267591</v>
      </c>
      <c r="K580">
        <v>30319</v>
      </c>
      <c r="L580">
        <v>2644</v>
      </c>
      <c r="M580">
        <v>5.11E-2</v>
      </c>
      <c r="N580">
        <v>0.81299999999999994</v>
      </c>
      <c r="O580">
        <v>1</v>
      </c>
      <c r="P580" t="b">
        <f t="shared" si="19"/>
        <v>1</v>
      </c>
      <c r="Q580" t="str">
        <f t="shared" si="18"/>
        <v>Positive</v>
      </c>
    </row>
    <row r="581" spans="1:17" x14ac:dyDescent="0.3">
      <c r="A581" t="s">
        <v>1077</v>
      </c>
      <c r="B581" t="s">
        <v>66</v>
      </c>
      <c r="C581" t="s">
        <v>17</v>
      </c>
      <c r="D581" t="s">
        <v>29</v>
      </c>
      <c r="E581" t="s">
        <v>19</v>
      </c>
      <c r="F581" t="s">
        <v>55</v>
      </c>
      <c r="G581" s="1">
        <v>45550</v>
      </c>
      <c r="H581" t="s">
        <v>757</v>
      </c>
      <c r="I581">
        <v>8054376</v>
      </c>
      <c r="J581">
        <v>366108</v>
      </c>
      <c r="K581">
        <v>15897</v>
      </c>
      <c r="L581">
        <v>47300</v>
      </c>
      <c r="M581">
        <v>5.33E-2</v>
      </c>
      <c r="N581">
        <v>-0.17799999999999999</v>
      </c>
      <c r="O581">
        <v>1</v>
      </c>
      <c r="P581" t="b">
        <f t="shared" si="19"/>
        <v>1</v>
      </c>
      <c r="Q581" t="str">
        <f t="shared" si="18"/>
        <v>Negative</v>
      </c>
    </row>
    <row r="582" spans="1:17" x14ac:dyDescent="0.3">
      <c r="A582" t="s">
        <v>1078</v>
      </c>
      <c r="B582" t="s">
        <v>66</v>
      </c>
      <c r="C582" t="s">
        <v>61</v>
      </c>
      <c r="D582" t="s">
        <v>33</v>
      </c>
      <c r="E582" t="s">
        <v>19</v>
      </c>
      <c r="F582" t="s">
        <v>34</v>
      </c>
      <c r="G582" s="1">
        <v>45504</v>
      </c>
      <c r="H582" t="s">
        <v>610</v>
      </c>
      <c r="I582">
        <v>6411160</v>
      </c>
      <c r="J582">
        <v>228970</v>
      </c>
      <c r="K582">
        <v>31363</v>
      </c>
      <c r="L582">
        <v>14290</v>
      </c>
      <c r="M582">
        <v>4.2799999999999998E-2</v>
      </c>
      <c r="N582">
        <v>9.7000000000000003E-2</v>
      </c>
      <c r="O582">
        <v>1</v>
      </c>
      <c r="P582" t="b">
        <f t="shared" si="19"/>
        <v>1</v>
      </c>
      <c r="Q582" t="str">
        <f t="shared" si="18"/>
        <v>Positive</v>
      </c>
    </row>
    <row r="583" spans="1:17" x14ac:dyDescent="0.3">
      <c r="A583" t="s">
        <v>1079</v>
      </c>
      <c r="B583" t="s">
        <v>27</v>
      </c>
      <c r="C583" t="s">
        <v>23</v>
      </c>
      <c r="D583" t="s">
        <v>18</v>
      </c>
      <c r="E583" t="s">
        <v>41</v>
      </c>
      <c r="F583" t="s">
        <v>34</v>
      </c>
      <c r="G583" s="1">
        <v>45598</v>
      </c>
      <c r="H583" t="s">
        <v>358</v>
      </c>
      <c r="I583">
        <v>3520314</v>
      </c>
      <c r="J583">
        <v>251451</v>
      </c>
      <c r="K583">
        <v>11923</v>
      </c>
      <c r="L583">
        <v>65429</v>
      </c>
      <c r="M583">
        <v>9.3399999999999997E-2</v>
      </c>
      <c r="N583">
        <v>0.65600000000000003</v>
      </c>
      <c r="O583">
        <v>1</v>
      </c>
      <c r="P583" t="b">
        <f t="shared" si="19"/>
        <v>1</v>
      </c>
      <c r="Q583" t="str">
        <f t="shared" si="18"/>
        <v>Positive</v>
      </c>
    </row>
    <row r="584" spans="1:17" x14ac:dyDescent="0.3">
      <c r="A584" t="s">
        <v>1080</v>
      </c>
      <c r="B584" t="s">
        <v>16</v>
      </c>
      <c r="C584" t="s">
        <v>17</v>
      </c>
      <c r="D584" t="s">
        <v>18</v>
      </c>
      <c r="E584" t="s">
        <v>58</v>
      </c>
      <c r="F584" t="s">
        <v>46</v>
      </c>
      <c r="G584" s="1">
        <v>45583</v>
      </c>
      <c r="H584" t="s">
        <v>144</v>
      </c>
      <c r="I584">
        <v>14371791</v>
      </c>
      <c r="J584">
        <v>495579</v>
      </c>
      <c r="K584">
        <v>45956</v>
      </c>
      <c r="L584">
        <v>22670</v>
      </c>
      <c r="M584">
        <v>3.9300000000000002E-2</v>
      </c>
      <c r="N584">
        <v>-1.0999999999999999E-2</v>
      </c>
      <c r="O584">
        <v>1</v>
      </c>
      <c r="P584" t="b">
        <f t="shared" si="19"/>
        <v>1</v>
      </c>
      <c r="Q584" t="str">
        <f t="shared" si="18"/>
        <v>Negative</v>
      </c>
    </row>
    <row r="585" spans="1:17" x14ac:dyDescent="0.3">
      <c r="A585" t="s">
        <v>1081</v>
      </c>
      <c r="B585" t="s">
        <v>16</v>
      </c>
      <c r="C585" t="s">
        <v>61</v>
      </c>
      <c r="D585" t="s">
        <v>37</v>
      </c>
      <c r="E585" t="s">
        <v>51</v>
      </c>
      <c r="F585" t="s">
        <v>20</v>
      </c>
      <c r="G585" s="1">
        <v>45427</v>
      </c>
      <c r="H585" t="s">
        <v>597</v>
      </c>
      <c r="I585">
        <v>2268216</v>
      </c>
      <c r="J585">
        <v>252024</v>
      </c>
      <c r="K585">
        <v>28233</v>
      </c>
      <c r="L585">
        <v>34522</v>
      </c>
      <c r="M585">
        <v>0.13880000000000001</v>
      </c>
      <c r="N585">
        <v>0.13100000000000001</v>
      </c>
      <c r="O585">
        <v>1</v>
      </c>
      <c r="P585" t="b">
        <f t="shared" si="19"/>
        <v>1</v>
      </c>
      <c r="Q585" t="str">
        <f t="shared" si="18"/>
        <v>Positive</v>
      </c>
    </row>
    <row r="586" spans="1:17" x14ac:dyDescent="0.3">
      <c r="A586" t="s">
        <v>1082</v>
      </c>
      <c r="B586" t="s">
        <v>66</v>
      </c>
      <c r="C586" t="s">
        <v>23</v>
      </c>
      <c r="D586" t="s">
        <v>29</v>
      </c>
      <c r="E586" t="s">
        <v>58</v>
      </c>
      <c r="F586" t="s">
        <v>24</v>
      </c>
      <c r="G586" s="1">
        <v>45493</v>
      </c>
      <c r="H586" t="s">
        <v>1083</v>
      </c>
      <c r="I586">
        <v>4489056</v>
      </c>
      <c r="J586">
        <v>280566</v>
      </c>
      <c r="K586">
        <v>22365</v>
      </c>
      <c r="L586">
        <v>62293</v>
      </c>
      <c r="M586">
        <v>8.14E-2</v>
      </c>
      <c r="N586">
        <v>-0.30099999999999999</v>
      </c>
      <c r="O586">
        <v>1</v>
      </c>
      <c r="P586" t="b">
        <f t="shared" si="19"/>
        <v>1</v>
      </c>
      <c r="Q586" t="str">
        <f t="shared" si="18"/>
        <v>Negative</v>
      </c>
    </row>
    <row r="587" spans="1:17" x14ac:dyDescent="0.3">
      <c r="A587" t="s">
        <v>1084</v>
      </c>
      <c r="B587" t="s">
        <v>66</v>
      </c>
      <c r="C587" t="s">
        <v>28</v>
      </c>
      <c r="D587" t="s">
        <v>29</v>
      </c>
      <c r="E587" t="s">
        <v>58</v>
      </c>
      <c r="F587" t="s">
        <v>46</v>
      </c>
      <c r="G587" s="1">
        <v>45520</v>
      </c>
      <c r="H587" t="s">
        <v>1059</v>
      </c>
      <c r="I587">
        <v>8819500</v>
      </c>
      <c r="J587">
        <v>352780</v>
      </c>
      <c r="K587">
        <v>6309</v>
      </c>
      <c r="L587">
        <v>7346</v>
      </c>
      <c r="M587">
        <v>4.1500000000000002E-2</v>
      </c>
      <c r="N587">
        <v>-0.54900000000000004</v>
      </c>
      <c r="O587">
        <v>1</v>
      </c>
      <c r="P587" t="b">
        <f t="shared" si="19"/>
        <v>1</v>
      </c>
      <c r="Q587" t="str">
        <f t="shared" si="18"/>
        <v>Negative</v>
      </c>
    </row>
    <row r="588" spans="1:17" x14ac:dyDescent="0.3">
      <c r="A588" t="s">
        <v>1085</v>
      </c>
      <c r="B588" t="s">
        <v>66</v>
      </c>
      <c r="C588" t="s">
        <v>23</v>
      </c>
      <c r="D588" t="s">
        <v>54</v>
      </c>
      <c r="E588" t="s">
        <v>38</v>
      </c>
      <c r="F588" t="s">
        <v>20</v>
      </c>
      <c r="G588" s="1">
        <v>45497</v>
      </c>
      <c r="H588" t="s">
        <v>1086</v>
      </c>
      <c r="I588">
        <v>13010463</v>
      </c>
      <c r="J588">
        <v>481869</v>
      </c>
      <c r="K588">
        <v>15357</v>
      </c>
      <c r="L588">
        <v>33366</v>
      </c>
      <c r="M588">
        <v>4.0800000000000003E-2</v>
      </c>
      <c r="N588">
        <v>0.09</v>
      </c>
      <c r="O588">
        <v>1</v>
      </c>
      <c r="P588" t="b">
        <f t="shared" si="19"/>
        <v>1</v>
      </c>
      <c r="Q588" t="str">
        <f t="shared" si="18"/>
        <v>Positive</v>
      </c>
    </row>
    <row r="589" spans="1:17" x14ac:dyDescent="0.3">
      <c r="A589" t="s">
        <v>1087</v>
      </c>
      <c r="B589" t="s">
        <v>16</v>
      </c>
      <c r="C589" t="s">
        <v>61</v>
      </c>
      <c r="D589" t="s">
        <v>29</v>
      </c>
      <c r="E589" t="s">
        <v>58</v>
      </c>
      <c r="F589" t="s">
        <v>34</v>
      </c>
      <c r="G589" s="1">
        <v>45323</v>
      </c>
      <c r="H589" t="s">
        <v>1088</v>
      </c>
      <c r="I589">
        <v>1239522</v>
      </c>
      <c r="J589">
        <v>206587</v>
      </c>
      <c r="K589">
        <v>32321</v>
      </c>
      <c r="L589">
        <v>98877</v>
      </c>
      <c r="M589">
        <v>0.27250000000000002</v>
      </c>
      <c r="N589">
        <v>-0.192</v>
      </c>
      <c r="O589">
        <v>0</v>
      </c>
      <c r="P589" t="b">
        <f t="shared" si="19"/>
        <v>0</v>
      </c>
      <c r="Q589" t="str">
        <f t="shared" si="18"/>
        <v>Negative</v>
      </c>
    </row>
    <row r="590" spans="1:17" x14ac:dyDescent="0.3">
      <c r="A590" t="s">
        <v>1089</v>
      </c>
      <c r="B590" t="s">
        <v>32</v>
      </c>
      <c r="C590" t="s">
        <v>17</v>
      </c>
      <c r="D590" t="s">
        <v>33</v>
      </c>
      <c r="E590" t="s">
        <v>58</v>
      </c>
      <c r="F590" t="s">
        <v>55</v>
      </c>
      <c r="G590" s="1">
        <v>45303</v>
      </c>
      <c r="H590" t="s">
        <v>1090</v>
      </c>
      <c r="I590">
        <v>7298668</v>
      </c>
      <c r="J590">
        <v>280718</v>
      </c>
      <c r="K590">
        <v>46765</v>
      </c>
      <c r="L590">
        <v>55719</v>
      </c>
      <c r="M590">
        <v>5.2499999999999998E-2</v>
      </c>
      <c r="N590">
        <v>9.8000000000000004E-2</v>
      </c>
      <c r="O590">
        <v>1</v>
      </c>
      <c r="P590" t="b">
        <f t="shared" si="19"/>
        <v>1</v>
      </c>
      <c r="Q590" t="str">
        <f t="shared" si="18"/>
        <v>Positive</v>
      </c>
    </row>
    <row r="591" spans="1:17" x14ac:dyDescent="0.3">
      <c r="A591" t="s">
        <v>1091</v>
      </c>
      <c r="B591" t="s">
        <v>27</v>
      </c>
      <c r="C591" t="s">
        <v>17</v>
      </c>
      <c r="D591" t="s">
        <v>33</v>
      </c>
      <c r="E591" t="s">
        <v>19</v>
      </c>
      <c r="F591" t="s">
        <v>46</v>
      </c>
      <c r="G591" s="1">
        <v>45444</v>
      </c>
      <c r="H591" t="s">
        <v>340</v>
      </c>
      <c r="I591">
        <v>6446790</v>
      </c>
      <c r="J591">
        <v>460485</v>
      </c>
      <c r="K591">
        <v>12490</v>
      </c>
      <c r="L591">
        <v>69185</v>
      </c>
      <c r="M591">
        <v>8.4099999999999994E-2</v>
      </c>
      <c r="N591">
        <v>-0.66800000000000004</v>
      </c>
      <c r="O591">
        <v>1</v>
      </c>
      <c r="P591" t="b">
        <f t="shared" si="19"/>
        <v>1</v>
      </c>
      <c r="Q591" t="str">
        <f t="shared" si="18"/>
        <v>Negative</v>
      </c>
    </row>
    <row r="592" spans="1:17" x14ac:dyDescent="0.3">
      <c r="A592" t="s">
        <v>1092</v>
      </c>
      <c r="B592" t="s">
        <v>16</v>
      </c>
      <c r="C592" t="s">
        <v>28</v>
      </c>
      <c r="D592" t="s">
        <v>54</v>
      </c>
      <c r="E592" t="s">
        <v>19</v>
      </c>
      <c r="F592" t="s">
        <v>24</v>
      </c>
      <c r="G592" s="1">
        <v>45336</v>
      </c>
      <c r="H592" t="s">
        <v>80</v>
      </c>
      <c r="I592">
        <v>1169798</v>
      </c>
      <c r="J592">
        <v>83557</v>
      </c>
      <c r="K592">
        <v>14362</v>
      </c>
      <c r="L592">
        <v>68674</v>
      </c>
      <c r="M592">
        <v>0.1424</v>
      </c>
      <c r="N592">
        <v>-7.4999999999999997E-2</v>
      </c>
      <c r="O592">
        <v>0</v>
      </c>
      <c r="P592" t="b">
        <f t="shared" si="19"/>
        <v>0</v>
      </c>
      <c r="Q592" t="str">
        <f t="shared" si="18"/>
        <v>Negative</v>
      </c>
    </row>
    <row r="593" spans="1:17" x14ac:dyDescent="0.3">
      <c r="A593" t="s">
        <v>1093</v>
      </c>
      <c r="B593" t="s">
        <v>27</v>
      </c>
      <c r="C593" t="s">
        <v>28</v>
      </c>
      <c r="D593" t="s">
        <v>33</v>
      </c>
      <c r="E593" t="s">
        <v>58</v>
      </c>
      <c r="F593" t="s">
        <v>24</v>
      </c>
      <c r="G593" s="1">
        <v>45614</v>
      </c>
      <c r="H593" t="s">
        <v>76</v>
      </c>
      <c r="I593">
        <v>1058321</v>
      </c>
      <c r="J593">
        <v>96211</v>
      </c>
      <c r="K593">
        <v>12727</v>
      </c>
      <c r="L593">
        <v>12925</v>
      </c>
      <c r="M593">
        <v>0.11509999999999999</v>
      </c>
      <c r="N593">
        <v>9.0999999999999998E-2</v>
      </c>
      <c r="O593">
        <v>0</v>
      </c>
      <c r="P593" t="b">
        <f t="shared" si="19"/>
        <v>0</v>
      </c>
      <c r="Q593" t="str">
        <f t="shared" si="18"/>
        <v>Positive</v>
      </c>
    </row>
    <row r="594" spans="1:17" x14ac:dyDescent="0.3">
      <c r="A594" t="s">
        <v>1094</v>
      </c>
      <c r="B594" t="s">
        <v>27</v>
      </c>
      <c r="C594" t="s">
        <v>17</v>
      </c>
      <c r="D594" t="s">
        <v>37</v>
      </c>
      <c r="E594" t="s">
        <v>41</v>
      </c>
      <c r="F594" t="s">
        <v>46</v>
      </c>
      <c r="G594" s="1">
        <v>45419</v>
      </c>
      <c r="H594" t="s">
        <v>1095</v>
      </c>
      <c r="I594">
        <v>1038394</v>
      </c>
      <c r="J594">
        <v>74171</v>
      </c>
      <c r="K594">
        <v>24492</v>
      </c>
      <c r="L594">
        <v>30652</v>
      </c>
      <c r="M594">
        <v>0.1245</v>
      </c>
      <c r="N594">
        <v>0.95599999999999996</v>
      </c>
      <c r="O594">
        <v>0</v>
      </c>
      <c r="P594" t="b">
        <f t="shared" si="19"/>
        <v>0</v>
      </c>
      <c r="Q594" t="str">
        <f t="shared" si="18"/>
        <v>Positive</v>
      </c>
    </row>
    <row r="595" spans="1:17" x14ac:dyDescent="0.3">
      <c r="A595" t="s">
        <v>1096</v>
      </c>
      <c r="B595" t="s">
        <v>27</v>
      </c>
      <c r="C595" t="s">
        <v>23</v>
      </c>
      <c r="D595" t="s">
        <v>54</v>
      </c>
      <c r="E595" t="s">
        <v>51</v>
      </c>
      <c r="F595" t="s">
        <v>24</v>
      </c>
      <c r="G595" s="1">
        <v>45322</v>
      </c>
      <c r="H595" t="s">
        <v>1097</v>
      </c>
      <c r="I595">
        <v>2098866</v>
      </c>
      <c r="J595">
        <v>190806</v>
      </c>
      <c r="K595">
        <v>34627</v>
      </c>
      <c r="L595">
        <v>10801</v>
      </c>
      <c r="M595">
        <v>0.11260000000000001</v>
      </c>
      <c r="N595">
        <v>0.74399999999999999</v>
      </c>
      <c r="O595">
        <v>1</v>
      </c>
      <c r="P595" t="b">
        <f t="shared" si="19"/>
        <v>1</v>
      </c>
      <c r="Q595" t="str">
        <f t="shared" si="18"/>
        <v>Positive</v>
      </c>
    </row>
    <row r="596" spans="1:17" x14ac:dyDescent="0.3">
      <c r="A596" t="s">
        <v>1098</v>
      </c>
      <c r="B596" t="s">
        <v>27</v>
      </c>
      <c r="C596" t="s">
        <v>23</v>
      </c>
      <c r="D596" t="s">
        <v>29</v>
      </c>
      <c r="E596" t="s">
        <v>19</v>
      </c>
      <c r="F596" t="s">
        <v>46</v>
      </c>
      <c r="G596" s="1">
        <v>45404</v>
      </c>
      <c r="H596" t="s">
        <v>1099</v>
      </c>
      <c r="I596">
        <v>4945848</v>
      </c>
      <c r="J596">
        <v>206077</v>
      </c>
      <c r="K596">
        <v>9288</v>
      </c>
      <c r="L596">
        <v>30574</v>
      </c>
      <c r="M596">
        <v>4.9700000000000001E-2</v>
      </c>
      <c r="N596">
        <v>3.9E-2</v>
      </c>
      <c r="O596">
        <v>1</v>
      </c>
      <c r="P596" t="b">
        <f t="shared" si="19"/>
        <v>1</v>
      </c>
      <c r="Q596" t="str">
        <f t="shared" si="18"/>
        <v>Positive</v>
      </c>
    </row>
    <row r="597" spans="1:17" x14ac:dyDescent="0.3">
      <c r="A597" t="s">
        <v>1100</v>
      </c>
      <c r="B597" t="s">
        <v>16</v>
      </c>
      <c r="C597" t="s">
        <v>17</v>
      </c>
      <c r="D597" t="s">
        <v>54</v>
      </c>
      <c r="E597" t="s">
        <v>19</v>
      </c>
      <c r="F597" t="s">
        <v>34</v>
      </c>
      <c r="G597" s="1">
        <v>45332</v>
      </c>
      <c r="H597" t="s">
        <v>199</v>
      </c>
      <c r="I597">
        <v>3861313</v>
      </c>
      <c r="J597">
        <v>203227</v>
      </c>
      <c r="K597">
        <v>10988</v>
      </c>
      <c r="L597">
        <v>96469</v>
      </c>
      <c r="M597">
        <v>8.0500000000000002E-2</v>
      </c>
      <c r="N597">
        <v>0.75900000000000001</v>
      </c>
      <c r="O597">
        <v>1</v>
      </c>
      <c r="P597" t="b">
        <f t="shared" si="19"/>
        <v>1</v>
      </c>
      <c r="Q597" t="str">
        <f t="shared" si="18"/>
        <v>Positive</v>
      </c>
    </row>
    <row r="598" spans="1:17" x14ac:dyDescent="0.3">
      <c r="A598" t="s">
        <v>1101</v>
      </c>
      <c r="B598" t="s">
        <v>32</v>
      </c>
      <c r="C598" t="s">
        <v>61</v>
      </c>
      <c r="D598" t="s">
        <v>33</v>
      </c>
      <c r="E598" t="s">
        <v>51</v>
      </c>
      <c r="F598" t="s">
        <v>55</v>
      </c>
      <c r="G598" s="1">
        <v>45442</v>
      </c>
      <c r="H598" t="s">
        <v>1102</v>
      </c>
      <c r="I598">
        <v>5307315</v>
      </c>
      <c r="J598">
        <v>408255</v>
      </c>
      <c r="K598">
        <v>786</v>
      </c>
      <c r="L598">
        <v>56701</v>
      </c>
      <c r="M598">
        <v>8.7800000000000003E-2</v>
      </c>
      <c r="N598">
        <v>0.12</v>
      </c>
      <c r="O598">
        <v>1</v>
      </c>
      <c r="P598" t="b">
        <f t="shared" si="19"/>
        <v>1</v>
      </c>
      <c r="Q598" t="str">
        <f t="shared" si="18"/>
        <v>Positive</v>
      </c>
    </row>
    <row r="599" spans="1:17" x14ac:dyDescent="0.3">
      <c r="A599" t="s">
        <v>1103</v>
      </c>
      <c r="B599" t="s">
        <v>27</v>
      </c>
      <c r="C599" t="s">
        <v>17</v>
      </c>
      <c r="D599" t="s">
        <v>33</v>
      </c>
      <c r="E599" t="s">
        <v>51</v>
      </c>
      <c r="F599" t="s">
        <v>20</v>
      </c>
      <c r="G599" s="1">
        <v>45502</v>
      </c>
      <c r="H599" t="s">
        <v>1104</v>
      </c>
      <c r="I599">
        <v>4791724</v>
      </c>
      <c r="J599">
        <v>171133</v>
      </c>
      <c r="K599">
        <v>29123</v>
      </c>
      <c r="L599">
        <v>81817</v>
      </c>
      <c r="M599">
        <v>5.8900000000000001E-2</v>
      </c>
      <c r="N599">
        <v>-7.1999999999999995E-2</v>
      </c>
      <c r="O599">
        <v>1</v>
      </c>
      <c r="P599" t="b">
        <f t="shared" si="19"/>
        <v>1</v>
      </c>
      <c r="Q599" t="str">
        <f t="shared" si="18"/>
        <v>Negative</v>
      </c>
    </row>
    <row r="600" spans="1:17" x14ac:dyDescent="0.3">
      <c r="A600" t="s">
        <v>1105</v>
      </c>
      <c r="B600" t="s">
        <v>27</v>
      </c>
      <c r="C600" t="s">
        <v>17</v>
      </c>
      <c r="D600" t="s">
        <v>73</v>
      </c>
      <c r="E600" t="s">
        <v>51</v>
      </c>
      <c r="F600" t="s">
        <v>24</v>
      </c>
      <c r="G600" s="1">
        <v>45364</v>
      </c>
      <c r="H600" t="s">
        <v>1106</v>
      </c>
      <c r="I600">
        <v>2437722</v>
      </c>
      <c r="J600">
        <v>174123</v>
      </c>
      <c r="K600">
        <v>25648</v>
      </c>
      <c r="L600">
        <v>23649</v>
      </c>
      <c r="M600">
        <v>9.1700000000000004E-2</v>
      </c>
      <c r="N600">
        <v>-4.0000000000000001E-3</v>
      </c>
      <c r="O600">
        <v>1</v>
      </c>
      <c r="P600" t="b">
        <f t="shared" si="19"/>
        <v>1</v>
      </c>
      <c r="Q600" t="str">
        <f t="shared" si="18"/>
        <v>Negative</v>
      </c>
    </row>
    <row r="601" spans="1:17" x14ac:dyDescent="0.3">
      <c r="A601" t="s">
        <v>1107</v>
      </c>
      <c r="B601" t="s">
        <v>32</v>
      </c>
      <c r="C601" t="s">
        <v>17</v>
      </c>
      <c r="D601" t="s">
        <v>18</v>
      </c>
      <c r="E601" t="s">
        <v>51</v>
      </c>
      <c r="F601" t="s">
        <v>46</v>
      </c>
      <c r="G601" s="1">
        <v>45387</v>
      </c>
      <c r="H601" t="s">
        <v>1108</v>
      </c>
      <c r="I601">
        <v>619237</v>
      </c>
      <c r="J601">
        <v>21353</v>
      </c>
      <c r="K601">
        <v>48568</v>
      </c>
      <c r="L601">
        <v>26391</v>
      </c>
      <c r="M601">
        <v>0.1555</v>
      </c>
      <c r="N601">
        <v>-0.20499999999999999</v>
      </c>
      <c r="O601">
        <v>0</v>
      </c>
      <c r="P601" t="b">
        <f t="shared" si="19"/>
        <v>0</v>
      </c>
      <c r="Q601" t="str">
        <f t="shared" si="18"/>
        <v>Negative</v>
      </c>
    </row>
    <row r="602" spans="1:17" x14ac:dyDescent="0.3">
      <c r="A602" t="s">
        <v>1109</v>
      </c>
      <c r="B602" t="s">
        <v>27</v>
      </c>
      <c r="C602" t="s">
        <v>23</v>
      </c>
      <c r="D602" t="s">
        <v>37</v>
      </c>
      <c r="E602" t="s">
        <v>51</v>
      </c>
      <c r="F602" t="s">
        <v>20</v>
      </c>
      <c r="G602" s="1">
        <v>45655</v>
      </c>
      <c r="H602" t="s">
        <v>80</v>
      </c>
      <c r="I602">
        <v>2390850</v>
      </c>
      <c r="J602">
        <v>103950</v>
      </c>
      <c r="K602">
        <v>32663</v>
      </c>
      <c r="L602">
        <v>6853</v>
      </c>
      <c r="M602">
        <v>0.06</v>
      </c>
      <c r="N602">
        <v>-0.60899999999999999</v>
      </c>
      <c r="O602">
        <v>1</v>
      </c>
      <c r="P602" t="b">
        <f t="shared" si="19"/>
        <v>1</v>
      </c>
      <c r="Q602" t="str">
        <f t="shared" si="18"/>
        <v>Negative</v>
      </c>
    </row>
    <row r="603" spans="1:17" x14ac:dyDescent="0.3">
      <c r="A603" t="s">
        <v>1110</v>
      </c>
      <c r="B603" t="s">
        <v>16</v>
      </c>
      <c r="C603" t="s">
        <v>61</v>
      </c>
      <c r="D603" t="s">
        <v>29</v>
      </c>
      <c r="E603" t="s">
        <v>51</v>
      </c>
      <c r="F603" t="s">
        <v>55</v>
      </c>
      <c r="G603" s="1">
        <v>45321</v>
      </c>
      <c r="H603" t="s">
        <v>460</v>
      </c>
      <c r="I603">
        <v>4344483</v>
      </c>
      <c r="J603">
        <v>334191</v>
      </c>
      <c r="K603">
        <v>49164</v>
      </c>
      <c r="L603">
        <v>51708</v>
      </c>
      <c r="M603">
        <v>0.10009999999999999</v>
      </c>
      <c r="N603">
        <v>0.155</v>
      </c>
      <c r="O603">
        <v>1</v>
      </c>
      <c r="P603" t="b">
        <f t="shared" si="19"/>
        <v>1</v>
      </c>
      <c r="Q603" t="str">
        <f t="shared" si="18"/>
        <v>Positive</v>
      </c>
    </row>
    <row r="604" spans="1:17" x14ac:dyDescent="0.3">
      <c r="A604" t="s">
        <v>1111</v>
      </c>
      <c r="B604" t="s">
        <v>27</v>
      </c>
      <c r="C604" t="s">
        <v>17</v>
      </c>
      <c r="D604" t="s">
        <v>37</v>
      </c>
      <c r="E604" t="s">
        <v>38</v>
      </c>
      <c r="F604" t="s">
        <v>20</v>
      </c>
      <c r="G604" s="1">
        <v>45563</v>
      </c>
      <c r="H604" t="s">
        <v>1112</v>
      </c>
      <c r="I604">
        <v>3403608</v>
      </c>
      <c r="J604">
        <v>261816</v>
      </c>
      <c r="K604">
        <v>7244</v>
      </c>
      <c r="L604">
        <v>6711</v>
      </c>
      <c r="M604">
        <v>8.1000000000000003E-2</v>
      </c>
      <c r="N604">
        <v>-0.20799999999999999</v>
      </c>
      <c r="O604">
        <v>1</v>
      </c>
      <c r="P604" t="b">
        <f t="shared" si="19"/>
        <v>1</v>
      </c>
      <c r="Q604" t="str">
        <f t="shared" si="18"/>
        <v>Negative</v>
      </c>
    </row>
    <row r="605" spans="1:17" x14ac:dyDescent="0.3">
      <c r="A605" t="s">
        <v>1113</v>
      </c>
      <c r="B605" t="s">
        <v>16</v>
      </c>
      <c r="C605" t="s">
        <v>28</v>
      </c>
      <c r="D605" t="s">
        <v>37</v>
      </c>
      <c r="E605" t="s">
        <v>58</v>
      </c>
      <c r="F605" t="s">
        <v>34</v>
      </c>
      <c r="G605" s="1">
        <v>45353</v>
      </c>
      <c r="H605" t="s">
        <v>1114</v>
      </c>
      <c r="I605">
        <v>4821410</v>
      </c>
      <c r="J605">
        <v>219155</v>
      </c>
      <c r="K605">
        <v>2290</v>
      </c>
      <c r="L605">
        <v>37992</v>
      </c>
      <c r="M605">
        <v>5.3800000000000001E-2</v>
      </c>
      <c r="N605">
        <v>-0.68400000000000005</v>
      </c>
      <c r="O605">
        <v>1</v>
      </c>
      <c r="P605" t="b">
        <f t="shared" si="19"/>
        <v>1</v>
      </c>
      <c r="Q605" t="str">
        <f t="shared" si="18"/>
        <v>Negative</v>
      </c>
    </row>
    <row r="606" spans="1:17" x14ac:dyDescent="0.3">
      <c r="A606" t="s">
        <v>1115</v>
      </c>
      <c r="B606" t="s">
        <v>16</v>
      </c>
      <c r="C606" t="s">
        <v>23</v>
      </c>
      <c r="D606" t="s">
        <v>54</v>
      </c>
      <c r="E606" t="s">
        <v>19</v>
      </c>
      <c r="F606" t="s">
        <v>20</v>
      </c>
      <c r="G606" s="1">
        <v>45386</v>
      </c>
      <c r="H606" t="s">
        <v>1116</v>
      </c>
      <c r="I606">
        <v>2534730</v>
      </c>
      <c r="J606">
        <v>422455</v>
      </c>
      <c r="K606">
        <v>19914</v>
      </c>
      <c r="L606">
        <v>77068</v>
      </c>
      <c r="M606">
        <v>0.2049</v>
      </c>
      <c r="N606">
        <v>-0.36599999999999999</v>
      </c>
      <c r="O606">
        <v>1</v>
      </c>
      <c r="P606" t="b">
        <f t="shared" si="19"/>
        <v>1</v>
      </c>
      <c r="Q606" t="str">
        <f t="shared" si="18"/>
        <v>Negative</v>
      </c>
    </row>
    <row r="607" spans="1:17" x14ac:dyDescent="0.3">
      <c r="A607" t="s">
        <v>1117</v>
      </c>
      <c r="B607" t="s">
        <v>16</v>
      </c>
      <c r="C607" t="s">
        <v>23</v>
      </c>
      <c r="D607" t="s">
        <v>18</v>
      </c>
      <c r="E607" t="s">
        <v>38</v>
      </c>
      <c r="F607" t="s">
        <v>20</v>
      </c>
      <c r="G607" s="1">
        <v>45310</v>
      </c>
      <c r="H607" t="s">
        <v>42</v>
      </c>
      <c r="I607">
        <v>145860</v>
      </c>
      <c r="J607">
        <v>6630</v>
      </c>
      <c r="K607">
        <v>11121</v>
      </c>
      <c r="L607">
        <v>65795</v>
      </c>
      <c r="M607">
        <v>0.57279999999999998</v>
      </c>
      <c r="N607">
        <v>-0.66200000000000003</v>
      </c>
      <c r="O607">
        <v>0</v>
      </c>
      <c r="P607" t="b">
        <f t="shared" si="19"/>
        <v>0</v>
      </c>
      <c r="Q607" t="str">
        <f t="shared" si="18"/>
        <v>Negative</v>
      </c>
    </row>
    <row r="608" spans="1:17" x14ac:dyDescent="0.3">
      <c r="A608" t="s">
        <v>1118</v>
      </c>
      <c r="B608" t="s">
        <v>32</v>
      </c>
      <c r="C608" t="s">
        <v>61</v>
      </c>
      <c r="D608" t="s">
        <v>54</v>
      </c>
      <c r="E608" t="s">
        <v>19</v>
      </c>
      <c r="F608" t="s">
        <v>46</v>
      </c>
      <c r="G608" s="1">
        <v>45416</v>
      </c>
      <c r="H608" t="s">
        <v>1119</v>
      </c>
      <c r="I608">
        <v>10798515</v>
      </c>
      <c r="J608">
        <v>399945</v>
      </c>
      <c r="K608">
        <v>43941</v>
      </c>
      <c r="L608">
        <v>85121</v>
      </c>
      <c r="M608">
        <v>4.9000000000000002E-2</v>
      </c>
      <c r="N608">
        <v>-0.63200000000000001</v>
      </c>
      <c r="O608">
        <v>1</v>
      </c>
      <c r="P608" t="b">
        <f t="shared" si="19"/>
        <v>1</v>
      </c>
      <c r="Q608" t="str">
        <f t="shared" si="18"/>
        <v>Negative</v>
      </c>
    </row>
    <row r="609" spans="1:17" x14ac:dyDescent="0.3">
      <c r="A609" t="s">
        <v>1120</v>
      </c>
      <c r="B609" t="s">
        <v>32</v>
      </c>
      <c r="C609" t="s">
        <v>23</v>
      </c>
      <c r="D609" t="s">
        <v>29</v>
      </c>
      <c r="E609" t="s">
        <v>51</v>
      </c>
      <c r="F609" t="s">
        <v>34</v>
      </c>
      <c r="G609" s="1">
        <v>45326</v>
      </c>
      <c r="H609" t="s">
        <v>1121</v>
      </c>
      <c r="I609">
        <v>4434360</v>
      </c>
      <c r="J609">
        <v>295624</v>
      </c>
      <c r="K609">
        <v>46976</v>
      </c>
      <c r="L609">
        <v>17072</v>
      </c>
      <c r="M609">
        <v>8.1100000000000005E-2</v>
      </c>
      <c r="N609">
        <v>-0.374</v>
      </c>
      <c r="O609">
        <v>1</v>
      </c>
      <c r="P609" t="b">
        <f t="shared" si="19"/>
        <v>1</v>
      </c>
      <c r="Q609" t="str">
        <f t="shared" si="18"/>
        <v>Negative</v>
      </c>
    </row>
    <row r="610" spans="1:17" x14ac:dyDescent="0.3">
      <c r="A610" t="s">
        <v>1122</v>
      </c>
      <c r="B610" t="s">
        <v>32</v>
      </c>
      <c r="C610" t="s">
        <v>23</v>
      </c>
      <c r="D610" t="s">
        <v>73</v>
      </c>
      <c r="E610" t="s">
        <v>38</v>
      </c>
      <c r="F610" t="s">
        <v>24</v>
      </c>
      <c r="G610" s="1">
        <v>45626</v>
      </c>
      <c r="H610" t="s">
        <v>804</v>
      </c>
      <c r="I610">
        <v>1040026</v>
      </c>
      <c r="J610">
        <v>40001</v>
      </c>
      <c r="K610">
        <v>11210</v>
      </c>
      <c r="L610">
        <v>55662</v>
      </c>
      <c r="M610">
        <v>0.1028</v>
      </c>
      <c r="N610">
        <v>0.71399999999999997</v>
      </c>
      <c r="O610">
        <v>0</v>
      </c>
      <c r="P610" t="b">
        <f t="shared" si="19"/>
        <v>0</v>
      </c>
      <c r="Q610" t="str">
        <f t="shared" si="18"/>
        <v>Positive</v>
      </c>
    </row>
    <row r="611" spans="1:17" x14ac:dyDescent="0.3">
      <c r="A611" t="s">
        <v>1123</v>
      </c>
      <c r="B611" t="s">
        <v>32</v>
      </c>
      <c r="C611" t="s">
        <v>23</v>
      </c>
      <c r="D611" t="s">
        <v>73</v>
      </c>
      <c r="E611" t="s">
        <v>58</v>
      </c>
      <c r="F611" t="s">
        <v>55</v>
      </c>
      <c r="G611" s="1">
        <v>45414</v>
      </c>
      <c r="H611" t="s">
        <v>1124</v>
      </c>
      <c r="I611">
        <v>6592940</v>
      </c>
      <c r="J611">
        <v>387820</v>
      </c>
      <c r="K611">
        <v>15154</v>
      </c>
      <c r="L611">
        <v>54401</v>
      </c>
      <c r="M611">
        <v>6.9400000000000003E-2</v>
      </c>
      <c r="N611">
        <v>0.96799999999999997</v>
      </c>
      <c r="O611">
        <v>1</v>
      </c>
      <c r="P611" t="b">
        <f t="shared" si="19"/>
        <v>1</v>
      </c>
      <c r="Q611" t="str">
        <f t="shared" si="18"/>
        <v>Positive</v>
      </c>
    </row>
    <row r="612" spans="1:17" x14ac:dyDescent="0.3">
      <c r="A612" t="s">
        <v>1125</v>
      </c>
      <c r="B612" t="s">
        <v>16</v>
      </c>
      <c r="C612" t="s">
        <v>28</v>
      </c>
      <c r="D612" t="s">
        <v>54</v>
      </c>
      <c r="E612" t="s">
        <v>38</v>
      </c>
      <c r="F612" t="s">
        <v>46</v>
      </c>
      <c r="G612" s="1">
        <v>45406</v>
      </c>
      <c r="H612" t="s">
        <v>1126</v>
      </c>
      <c r="I612">
        <v>2520000</v>
      </c>
      <c r="J612">
        <v>315000</v>
      </c>
      <c r="K612">
        <v>49826</v>
      </c>
      <c r="L612">
        <v>56482</v>
      </c>
      <c r="M612">
        <v>0.16719999999999999</v>
      </c>
      <c r="N612">
        <v>0.99399999999999999</v>
      </c>
      <c r="O612">
        <v>1</v>
      </c>
      <c r="P612" t="b">
        <f t="shared" si="19"/>
        <v>1</v>
      </c>
      <c r="Q612" t="str">
        <f t="shared" si="18"/>
        <v>Positive</v>
      </c>
    </row>
    <row r="613" spans="1:17" x14ac:dyDescent="0.3">
      <c r="A613" t="s">
        <v>1127</v>
      </c>
      <c r="B613" t="s">
        <v>32</v>
      </c>
      <c r="C613" t="s">
        <v>23</v>
      </c>
      <c r="D613" t="s">
        <v>73</v>
      </c>
      <c r="E613" t="s">
        <v>51</v>
      </c>
      <c r="F613" t="s">
        <v>24</v>
      </c>
      <c r="G613" s="1">
        <v>45344</v>
      </c>
      <c r="H613" t="s">
        <v>1128</v>
      </c>
      <c r="I613">
        <v>1784133</v>
      </c>
      <c r="J613">
        <v>198237</v>
      </c>
      <c r="K613">
        <v>26175</v>
      </c>
      <c r="L613">
        <v>8439</v>
      </c>
      <c r="M613">
        <v>0.1305</v>
      </c>
      <c r="N613">
        <v>0.12</v>
      </c>
      <c r="O613">
        <v>0</v>
      </c>
      <c r="P613" t="b">
        <f t="shared" si="19"/>
        <v>0</v>
      </c>
      <c r="Q613" t="str">
        <f t="shared" si="18"/>
        <v>Positive</v>
      </c>
    </row>
    <row r="614" spans="1:17" x14ac:dyDescent="0.3">
      <c r="A614" t="s">
        <v>1129</v>
      </c>
      <c r="B614" t="s">
        <v>66</v>
      </c>
      <c r="C614" t="s">
        <v>23</v>
      </c>
      <c r="D614" t="s">
        <v>73</v>
      </c>
      <c r="E614" t="s">
        <v>51</v>
      </c>
      <c r="F614" t="s">
        <v>20</v>
      </c>
      <c r="G614" s="1">
        <v>45419</v>
      </c>
      <c r="H614" t="s">
        <v>1130</v>
      </c>
      <c r="I614">
        <v>1440408</v>
      </c>
      <c r="J614">
        <v>240068</v>
      </c>
      <c r="K614">
        <v>26824</v>
      </c>
      <c r="L614">
        <v>92052</v>
      </c>
      <c r="M614">
        <v>0.2492</v>
      </c>
      <c r="N614">
        <v>-0.57999999999999996</v>
      </c>
      <c r="O614">
        <v>0</v>
      </c>
      <c r="P614" t="b">
        <f t="shared" si="19"/>
        <v>0</v>
      </c>
      <c r="Q614" t="str">
        <f t="shared" si="18"/>
        <v>Negative</v>
      </c>
    </row>
    <row r="615" spans="1:17" x14ac:dyDescent="0.3">
      <c r="A615" t="s">
        <v>1131</v>
      </c>
      <c r="B615" t="s">
        <v>32</v>
      </c>
      <c r="C615" t="s">
        <v>23</v>
      </c>
      <c r="D615" t="s">
        <v>73</v>
      </c>
      <c r="E615" t="s">
        <v>58</v>
      </c>
      <c r="F615" t="s">
        <v>20</v>
      </c>
      <c r="G615" s="1">
        <v>45455</v>
      </c>
      <c r="H615" t="s">
        <v>1132</v>
      </c>
      <c r="I615">
        <v>2858440</v>
      </c>
      <c r="J615">
        <v>219880</v>
      </c>
      <c r="K615">
        <v>32999</v>
      </c>
      <c r="L615">
        <v>15037</v>
      </c>
      <c r="M615">
        <v>9.3700000000000006E-2</v>
      </c>
      <c r="N615">
        <v>0.63800000000000001</v>
      </c>
      <c r="O615">
        <v>1</v>
      </c>
      <c r="P615" t="b">
        <f t="shared" si="19"/>
        <v>1</v>
      </c>
      <c r="Q615" t="str">
        <f t="shared" si="18"/>
        <v>Positive</v>
      </c>
    </row>
    <row r="616" spans="1:17" x14ac:dyDescent="0.3">
      <c r="A616" t="s">
        <v>1133</v>
      </c>
      <c r="B616" t="s">
        <v>32</v>
      </c>
      <c r="C616" t="s">
        <v>28</v>
      </c>
      <c r="D616" t="s">
        <v>29</v>
      </c>
      <c r="E616" t="s">
        <v>51</v>
      </c>
      <c r="F616" t="s">
        <v>20</v>
      </c>
      <c r="G616" s="1">
        <v>45604</v>
      </c>
      <c r="H616" t="s">
        <v>1134</v>
      </c>
      <c r="I616">
        <v>1532240</v>
      </c>
      <c r="J616">
        <v>95765</v>
      </c>
      <c r="K616">
        <v>650</v>
      </c>
      <c r="L616">
        <v>30931</v>
      </c>
      <c r="M616">
        <v>8.3099999999999993E-2</v>
      </c>
      <c r="N616">
        <v>0.97599999999999998</v>
      </c>
      <c r="O616">
        <v>0</v>
      </c>
      <c r="P616" t="b">
        <f t="shared" si="19"/>
        <v>0</v>
      </c>
      <c r="Q616" t="str">
        <f t="shared" si="18"/>
        <v>Positive</v>
      </c>
    </row>
    <row r="617" spans="1:17" x14ac:dyDescent="0.3">
      <c r="A617" t="s">
        <v>1135</v>
      </c>
      <c r="B617" t="s">
        <v>32</v>
      </c>
      <c r="C617" t="s">
        <v>23</v>
      </c>
      <c r="D617" t="s">
        <v>18</v>
      </c>
      <c r="E617" t="s">
        <v>51</v>
      </c>
      <c r="F617" t="s">
        <v>20</v>
      </c>
      <c r="G617" s="1">
        <v>45532</v>
      </c>
      <c r="H617" t="s">
        <v>1136</v>
      </c>
      <c r="I617">
        <v>2842593</v>
      </c>
      <c r="J617">
        <v>218661</v>
      </c>
      <c r="K617">
        <v>46448</v>
      </c>
      <c r="L617">
        <v>26476</v>
      </c>
      <c r="M617">
        <v>0.1026</v>
      </c>
      <c r="N617">
        <v>-0.28399999999999997</v>
      </c>
      <c r="O617">
        <v>1</v>
      </c>
      <c r="P617" t="b">
        <f t="shared" si="19"/>
        <v>1</v>
      </c>
      <c r="Q617" t="str">
        <f t="shared" si="18"/>
        <v>Negative</v>
      </c>
    </row>
    <row r="618" spans="1:17" x14ac:dyDescent="0.3">
      <c r="A618" t="s">
        <v>1137</v>
      </c>
      <c r="B618" t="s">
        <v>66</v>
      </c>
      <c r="C618" t="s">
        <v>17</v>
      </c>
      <c r="D618" t="s">
        <v>54</v>
      </c>
      <c r="E618" t="s">
        <v>58</v>
      </c>
      <c r="F618" t="s">
        <v>20</v>
      </c>
      <c r="G618" s="1">
        <v>45361</v>
      </c>
      <c r="H618" t="s">
        <v>1138</v>
      </c>
      <c r="I618">
        <v>4936784</v>
      </c>
      <c r="J618">
        <v>308549</v>
      </c>
      <c r="K618">
        <v>46042</v>
      </c>
      <c r="L618">
        <v>9347</v>
      </c>
      <c r="M618">
        <v>7.3700000000000002E-2</v>
      </c>
      <c r="N618">
        <v>-0.33</v>
      </c>
      <c r="O618">
        <v>1</v>
      </c>
      <c r="P618" t="b">
        <f t="shared" si="19"/>
        <v>1</v>
      </c>
      <c r="Q618" t="str">
        <f t="shared" si="18"/>
        <v>Negative</v>
      </c>
    </row>
    <row r="619" spans="1:17" x14ac:dyDescent="0.3">
      <c r="A619" t="s">
        <v>1139</v>
      </c>
      <c r="B619" t="s">
        <v>32</v>
      </c>
      <c r="C619" t="s">
        <v>61</v>
      </c>
      <c r="D619" t="s">
        <v>37</v>
      </c>
      <c r="E619" t="s">
        <v>19</v>
      </c>
      <c r="F619" t="s">
        <v>46</v>
      </c>
      <c r="G619" s="1">
        <v>45403</v>
      </c>
      <c r="H619" t="s">
        <v>1140</v>
      </c>
      <c r="I619">
        <v>6682284</v>
      </c>
      <c r="J619">
        <v>238653</v>
      </c>
      <c r="K619">
        <v>4084</v>
      </c>
      <c r="L619">
        <v>36117</v>
      </c>
      <c r="M619">
        <v>4.1700000000000001E-2</v>
      </c>
      <c r="N619">
        <v>-0.82599999999999996</v>
      </c>
      <c r="O619">
        <v>1</v>
      </c>
      <c r="P619" t="b">
        <f t="shared" si="19"/>
        <v>1</v>
      </c>
      <c r="Q619" t="str">
        <f t="shared" si="18"/>
        <v>Negative</v>
      </c>
    </row>
    <row r="620" spans="1:17" x14ac:dyDescent="0.3">
      <c r="A620" t="s">
        <v>1141</v>
      </c>
      <c r="B620" t="s">
        <v>16</v>
      </c>
      <c r="C620" t="s">
        <v>61</v>
      </c>
      <c r="D620" t="s">
        <v>37</v>
      </c>
      <c r="E620" t="s">
        <v>51</v>
      </c>
      <c r="F620" t="s">
        <v>20</v>
      </c>
      <c r="G620" s="1">
        <v>45449</v>
      </c>
      <c r="H620" t="s">
        <v>1142</v>
      </c>
      <c r="I620">
        <v>8589408</v>
      </c>
      <c r="J620">
        <v>357892</v>
      </c>
      <c r="K620">
        <v>25561</v>
      </c>
      <c r="L620">
        <v>59043</v>
      </c>
      <c r="M620">
        <v>5.1499999999999997E-2</v>
      </c>
      <c r="N620">
        <v>0.81100000000000005</v>
      </c>
      <c r="O620">
        <v>1</v>
      </c>
      <c r="P620" t="b">
        <f t="shared" si="19"/>
        <v>1</v>
      </c>
      <c r="Q620" t="str">
        <f t="shared" si="18"/>
        <v>Positive</v>
      </c>
    </row>
    <row r="621" spans="1:17" x14ac:dyDescent="0.3">
      <c r="A621" t="s">
        <v>1143</v>
      </c>
      <c r="B621" t="s">
        <v>66</v>
      </c>
      <c r="C621" t="s">
        <v>17</v>
      </c>
      <c r="D621" t="s">
        <v>73</v>
      </c>
      <c r="E621" t="s">
        <v>19</v>
      </c>
      <c r="F621" t="s">
        <v>24</v>
      </c>
      <c r="G621" s="1">
        <v>45380</v>
      </c>
      <c r="H621" t="s">
        <v>340</v>
      </c>
      <c r="I621">
        <v>3047370</v>
      </c>
      <c r="J621">
        <v>203158</v>
      </c>
      <c r="K621">
        <v>13235</v>
      </c>
      <c r="L621">
        <v>29010</v>
      </c>
      <c r="M621">
        <v>8.0500000000000002E-2</v>
      </c>
      <c r="N621">
        <v>0.30199999999999999</v>
      </c>
      <c r="O621">
        <v>1</v>
      </c>
      <c r="P621" t="b">
        <f t="shared" si="19"/>
        <v>1</v>
      </c>
      <c r="Q621" t="str">
        <f t="shared" si="18"/>
        <v>Positive</v>
      </c>
    </row>
    <row r="622" spans="1:17" x14ac:dyDescent="0.3">
      <c r="A622" t="s">
        <v>1144</v>
      </c>
      <c r="B622" t="s">
        <v>32</v>
      </c>
      <c r="C622" t="s">
        <v>23</v>
      </c>
      <c r="D622" t="s">
        <v>33</v>
      </c>
      <c r="E622" t="s">
        <v>41</v>
      </c>
      <c r="F622" t="s">
        <v>46</v>
      </c>
      <c r="G622" s="1">
        <v>45518</v>
      </c>
      <c r="H622" t="s">
        <v>1145</v>
      </c>
      <c r="I622">
        <v>7123599</v>
      </c>
      <c r="J622">
        <v>339219</v>
      </c>
      <c r="K622">
        <v>41860</v>
      </c>
      <c r="L622">
        <v>81558</v>
      </c>
      <c r="M622">
        <v>6.4899999999999999E-2</v>
      </c>
      <c r="N622">
        <v>0.68300000000000005</v>
      </c>
      <c r="O622">
        <v>1</v>
      </c>
      <c r="P622" t="b">
        <f t="shared" si="19"/>
        <v>1</v>
      </c>
      <c r="Q622" t="str">
        <f t="shared" si="18"/>
        <v>Positive</v>
      </c>
    </row>
    <row r="623" spans="1:17" x14ac:dyDescent="0.3">
      <c r="A623" t="s">
        <v>1146</v>
      </c>
      <c r="B623" t="s">
        <v>66</v>
      </c>
      <c r="C623" t="s">
        <v>61</v>
      </c>
      <c r="D623" t="s">
        <v>29</v>
      </c>
      <c r="E623" t="s">
        <v>51</v>
      </c>
      <c r="F623" t="s">
        <v>46</v>
      </c>
      <c r="G623" s="1">
        <v>45484</v>
      </c>
      <c r="H623" t="s">
        <v>1147</v>
      </c>
      <c r="I623">
        <v>2879618</v>
      </c>
      <c r="J623">
        <v>411374</v>
      </c>
      <c r="K623">
        <v>11106</v>
      </c>
      <c r="L623">
        <v>40719</v>
      </c>
      <c r="M623">
        <v>0.16089999999999999</v>
      </c>
      <c r="N623">
        <v>-0.93799999999999994</v>
      </c>
      <c r="O623">
        <v>1</v>
      </c>
      <c r="P623" t="b">
        <f t="shared" si="19"/>
        <v>1</v>
      </c>
      <c r="Q623" t="str">
        <f t="shared" si="18"/>
        <v>Negative</v>
      </c>
    </row>
    <row r="624" spans="1:17" x14ac:dyDescent="0.3">
      <c r="A624" t="s">
        <v>1148</v>
      </c>
      <c r="B624" t="s">
        <v>27</v>
      </c>
      <c r="C624" t="s">
        <v>28</v>
      </c>
      <c r="D624" t="s">
        <v>73</v>
      </c>
      <c r="E624" t="s">
        <v>19</v>
      </c>
      <c r="F624" t="s">
        <v>34</v>
      </c>
      <c r="G624" s="1">
        <v>45420</v>
      </c>
      <c r="H624" t="s">
        <v>134</v>
      </c>
      <c r="I624">
        <v>1110816</v>
      </c>
      <c r="J624">
        <v>158688</v>
      </c>
      <c r="K624">
        <v>22438</v>
      </c>
      <c r="L624">
        <v>1090</v>
      </c>
      <c r="M624">
        <v>0.16400000000000001</v>
      </c>
      <c r="N624">
        <v>0.373</v>
      </c>
      <c r="O624">
        <v>0</v>
      </c>
      <c r="P624" t="b">
        <f t="shared" si="19"/>
        <v>0</v>
      </c>
      <c r="Q624" t="str">
        <f t="shared" si="18"/>
        <v>Positive</v>
      </c>
    </row>
    <row r="625" spans="1:17" x14ac:dyDescent="0.3">
      <c r="A625" t="s">
        <v>1149</v>
      </c>
      <c r="B625" t="s">
        <v>27</v>
      </c>
      <c r="C625" t="s">
        <v>28</v>
      </c>
      <c r="D625" t="s">
        <v>29</v>
      </c>
      <c r="E625" t="s">
        <v>58</v>
      </c>
      <c r="F625" t="s">
        <v>46</v>
      </c>
      <c r="G625" s="1">
        <v>45598</v>
      </c>
      <c r="H625" t="s">
        <v>1150</v>
      </c>
      <c r="I625">
        <v>3411187</v>
      </c>
      <c r="J625">
        <v>262399</v>
      </c>
      <c r="K625">
        <v>1963</v>
      </c>
      <c r="L625">
        <v>76230</v>
      </c>
      <c r="M625">
        <v>9.98E-2</v>
      </c>
      <c r="N625">
        <v>0.311</v>
      </c>
      <c r="O625">
        <v>1</v>
      </c>
      <c r="P625" t="b">
        <f t="shared" si="19"/>
        <v>1</v>
      </c>
      <c r="Q625" t="str">
        <f t="shared" si="18"/>
        <v>Positive</v>
      </c>
    </row>
    <row r="626" spans="1:17" x14ac:dyDescent="0.3">
      <c r="A626" t="s">
        <v>1151</v>
      </c>
      <c r="B626" t="s">
        <v>32</v>
      </c>
      <c r="C626" t="s">
        <v>61</v>
      </c>
      <c r="D626" t="s">
        <v>29</v>
      </c>
      <c r="E626" t="s">
        <v>51</v>
      </c>
      <c r="F626" t="s">
        <v>34</v>
      </c>
      <c r="G626" s="1">
        <v>45381</v>
      </c>
      <c r="H626" t="s">
        <v>1152</v>
      </c>
      <c r="I626">
        <v>5034636</v>
      </c>
      <c r="J626">
        <v>186468</v>
      </c>
      <c r="K626">
        <v>21452</v>
      </c>
      <c r="L626">
        <v>36599</v>
      </c>
      <c r="M626">
        <v>4.8599999999999997E-2</v>
      </c>
      <c r="N626">
        <v>-0.84599999999999997</v>
      </c>
      <c r="O626">
        <v>1</v>
      </c>
      <c r="P626" t="b">
        <f t="shared" si="19"/>
        <v>1</v>
      </c>
      <c r="Q626" t="str">
        <f t="shared" si="18"/>
        <v>Negative</v>
      </c>
    </row>
    <row r="627" spans="1:17" x14ac:dyDescent="0.3">
      <c r="A627" t="s">
        <v>1153</v>
      </c>
      <c r="B627" t="s">
        <v>16</v>
      </c>
      <c r="C627" t="s">
        <v>17</v>
      </c>
      <c r="D627" t="s">
        <v>29</v>
      </c>
      <c r="E627" t="s">
        <v>51</v>
      </c>
      <c r="F627" t="s">
        <v>20</v>
      </c>
      <c r="G627" s="1">
        <v>45340</v>
      </c>
      <c r="H627" t="s">
        <v>1154</v>
      </c>
      <c r="I627">
        <v>3923538</v>
      </c>
      <c r="J627">
        <v>206502</v>
      </c>
      <c r="K627">
        <v>33214</v>
      </c>
      <c r="L627">
        <v>87961</v>
      </c>
      <c r="M627">
        <v>8.3500000000000005E-2</v>
      </c>
      <c r="N627">
        <v>-0.38900000000000001</v>
      </c>
      <c r="O627">
        <v>1</v>
      </c>
      <c r="P627" t="b">
        <f t="shared" si="19"/>
        <v>1</v>
      </c>
      <c r="Q627" t="str">
        <f t="shared" si="18"/>
        <v>Negative</v>
      </c>
    </row>
    <row r="628" spans="1:17" x14ac:dyDescent="0.3">
      <c r="A628" t="s">
        <v>1155</v>
      </c>
      <c r="B628" t="s">
        <v>66</v>
      </c>
      <c r="C628" t="s">
        <v>23</v>
      </c>
      <c r="D628" t="s">
        <v>37</v>
      </c>
      <c r="E628" t="s">
        <v>41</v>
      </c>
      <c r="F628" t="s">
        <v>24</v>
      </c>
      <c r="G628" s="1">
        <v>45365</v>
      </c>
      <c r="H628" t="s">
        <v>1156</v>
      </c>
      <c r="I628">
        <v>2575800</v>
      </c>
      <c r="J628">
        <v>103032</v>
      </c>
      <c r="K628">
        <v>6375</v>
      </c>
      <c r="L628">
        <v>9529</v>
      </c>
      <c r="M628">
        <v>4.6199999999999998E-2</v>
      </c>
      <c r="N628">
        <v>-0.183</v>
      </c>
      <c r="O628">
        <v>1</v>
      </c>
      <c r="P628" t="b">
        <f t="shared" si="19"/>
        <v>1</v>
      </c>
      <c r="Q628" t="str">
        <f t="shared" si="18"/>
        <v>Negative</v>
      </c>
    </row>
    <row r="629" spans="1:17" x14ac:dyDescent="0.3">
      <c r="A629" t="s">
        <v>1157</v>
      </c>
      <c r="B629" t="s">
        <v>27</v>
      </c>
      <c r="C629" t="s">
        <v>17</v>
      </c>
      <c r="D629" t="s">
        <v>37</v>
      </c>
      <c r="E629" t="s">
        <v>19</v>
      </c>
      <c r="F629" t="s">
        <v>55</v>
      </c>
      <c r="G629" s="1">
        <v>45637</v>
      </c>
      <c r="H629" t="s">
        <v>1158</v>
      </c>
      <c r="I629">
        <v>6423920</v>
      </c>
      <c r="J629">
        <v>401495</v>
      </c>
      <c r="K629">
        <v>48786</v>
      </c>
      <c r="L629">
        <v>55268</v>
      </c>
      <c r="M629">
        <v>7.8700000000000006E-2</v>
      </c>
      <c r="N629">
        <v>-0.53400000000000003</v>
      </c>
      <c r="O629">
        <v>1</v>
      </c>
      <c r="P629" t="b">
        <f t="shared" si="19"/>
        <v>1</v>
      </c>
      <c r="Q629" t="str">
        <f t="shared" si="18"/>
        <v>Negative</v>
      </c>
    </row>
    <row r="630" spans="1:17" x14ac:dyDescent="0.3">
      <c r="A630" t="s">
        <v>1159</v>
      </c>
      <c r="B630" t="s">
        <v>16</v>
      </c>
      <c r="C630" t="s">
        <v>17</v>
      </c>
      <c r="D630" t="s">
        <v>18</v>
      </c>
      <c r="E630" t="s">
        <v>58</v>
      </c>
      <c r="F630" t="s">
        <v>46</v>
      </c>
      <c r="G630" s="1">
        <v>45455</v>
      </c>
      <c r="H630" t="s">
        <v>1160</v>
      </c>
      <c r="I630">
        <v>1679532</v>
      </c>
      <c r="J630">
        <v>98796</v>
      </c>
      <c r="K630">
        <v>44903</v>
      </c>
      <c r="L630">
        <v>50940</v>
      </c>
      <c r="M630">
        <v>0.1159</v>
      </c>
      <c r="N630">
        <v>0.79800000000000004</v>
      </c>
      <c r="O630">
        <v>0</v>
      </c>
      <c r="P630" t="b">
        <f t="shared" si="19"/>
        <v>0</v>
      </c>
      <c r="Q630" t="str">
        <f t="shared" si="18"/>
        <v>Positive</v>
      </c>
    </row>
    <row r="631" spans="1:17" x14ac:dyDescent="0.3">
      <c r="A631" t="s">
        <v>1161</v>
      </c>
      <c r="B631" t="s">
        <v>66</v>
      </c>
      <c r="C631" t="s">
        <v>23</v>
      </c>
      <c r="D631" t="s">
        <v>37</v>
      </c>
      <c r="E631" t="s">
        <v>58</v>
      </c>
      <c r="F631" t="s">
        <v>46</v>
      </c>
      <c r="G631" s="1">
        <v>45562</v>
      </c>
      <c r="H631" t="s">
        <v>892</v>
      </c>
      <c r="I631">
        <v>1360530</v>
      </c>
      <c r="J631">
        <v>50390</v>
      </c>
      <c r="K631">
        <v>21130</v>
      </c>
      <c r="L631">
        <v>72955</v>
      </c>
      <c r="M631">
        <v>0.1062</v>
      </c>
      <c r="N631">
        <v>-0.66200000000000003</v>
      </c>
      <c r="O631">
        <v>0</v>
      </c>
      <c r="P631" t="b">
        <f t="shared" si="19"/>
        <v>0</v>
      </c>
      <c r="Q631" t="str">
        <f t="shared" si="18"/>
        <v>Negative</v>
      </c>
    </row>
    <row r="632" spans="1:17" x14ac:dyDescent="0.3">
      <c r="A632" t="s">
        <v>1162</v>
      </c>
      <c r="B632" t="s">
        <v>27</v>
      </c>
      <c r="C632" t="s">
        <v>28</v>
      </c>
      <c r="D632" t="s">
        <v>37</v>
      </c>
      <c r="E632" t="s">
        <v>41</v>
      </c>
      <c r="F632" t="s">
        <v>34</v>
      </c>
      <c r="G632" s="1">
        <v>45349</v>
      </c>
      <c r="H632" t="s">
        <v>1163</v>
      </c>
      <c r="I632">
        <v>4766130</v>
      </c>
      <c r="J632">
        <v>476613</v>
      </c>
      <c r="K632">
        <v>15228</v>
      </c>
      <c r="L632">
        <v>72238</v>
      </c>
      <c r="M632">
        <v>0.11840000000000001</v>
      </c>
      <c r="N632">
        <v>-0.54700000000000004</v>
      </c>
      <c r="O632">
        <v>1</v>
      </c>
      <c r="P632" t="b">
        <f t="shared" si="19"/>
        <v>1</v>
      </c>
      <c r="Q632" t="str">
        <f t="shared" si="18"/>
        <v>Negative</v>
      </c>
    </row>
    <row r="633" spans="1:17" x14ac:dyDescent="0.3">
      <c r="A633" t="s">
        <v>1164</v>
      </c>
      <c r="B633" t="s">
        <v>16</v>
      </c>
      <c r="C633" t="s">
        <v>28</v>
      </c>
      <c r="D633" t="s">
        <v>54</v>
      </c>
      <c r="E633" t="s">
        <v>19</v>
      </c>
      <c r="F633" t="s">
        <v>55</v>
      </c>
      <c r="G633" s="1">
        <v>45521</v>
      </c>
      <c r="H633" t="s">
        <v>1165</v>
      </c>
      <c r="I633">
        <v>606312</v>
      </c>
      <c r="J633">
        <v>86616</v>
      </c>
      <c r="K633">
        <v>9036</v>
      </c>
      <c r="L633">
        <v>15038</v>
      </c>
      <c r="M633">
        <v>0.18260000000000001</v>
      </c>
      <c r="N633">
        <v>-0.17399999999999999</v>
      </c>
      <c r="O633">
        <v>0</v>
      </c>
      <c r="P633" t="b">
        <f t="shared" si="19"/>
        <v>0</v>
      </c>
      <c r="Q633" t="str">
        <f t="shared" si="18"/>
        <v>Negative</v>
      </c>
    </row>
    <row r="634" spans="1:17" x14ac:dyDescent="0.3">
      <c r="A634" t="s">
        <v>1166</v>
      </c>
      <c r="B634" t="s">
        <v>27</v>
      </c>
      <c r="C634" t="s">
        <v>61</v>
      </c>
      <c r="D634" t="s">
        <v>37</v>
      </c>
      <c r="E634" t="s">
        <v>38</v>
      </c>
      <c r="F634" t="s">
        <v>24</v>
      </c>
      <c r="G634" s="1">
        <v>45629</v>
      </c>
      <c r="H634" t="s">
        <v>1167</v>
      </c>
      <c r="I634">
        <v>11159856</v>
      </c>
      <c r="J634">
        <v>464994</v>
      </c>
      <c r="K634">
        <v>12114</v>
      </c>
      <c r="L634">
        <v>22011</v>
      </c>
      <c r="M634">
        <v>4.4699999999999997E-2</v>
      </c>
      <c r="N634">
        <v>-0.96399999999999997</v>
      </c>
      <c r="O634">
        <v>1</v>
      </c>
      <c r="P634" t="b">
        <f t="shared" si="19"/>
        <v>1</v>
      </c>
      <c r="Q634" t="str">
        <f t="shared" si="18"/>
        <v>Negative</v>
      </c>
    </row>
    <row r="635" spans="1:17" x14ac:dyDescent="0.3">
      <c r="A635" t="s">
        <v>1168</v>
      </c>
      <c r="B635" t="s">
        <v>32</v>
      </c>
      <c r="C635" t="s">
        <v>61</v>
      </c>
      <c r="D635" t="s">
        <v>33</v>
      </c>
      <c r="E635" t="s">
        <v>58</v>
      </c>
      <c r="F635" t="s">
        <v>34</v>
      </c>
      <c r="G635" s="1">
        <v>45514</v>
      </c>
      <c r="H635" t="s">
        <v>354</v>
      </c>
      <c r="I635">
        <v>2462830</v>
      </c>
      <c r="J635">
        <v>246283</v>
      </c>
      <c r="K635">
        <v>23388</v>
      </c>
      <c r="L635">
        <v>61710</v>
      </c>
      <c r="M635">
        <v>0.1346</v>
      </c>
      <c r="N635">
        <v>-0.44</v>
      </c>
      <c r="O635">
        <v>1</v>
      </c>
      <c r="P635" t="b">
        <f t="shared" si="19"/>
        <v>1</v>
      </c>
      <c r="Q635" t="str">
        <f t="shared" si="18"/>
        <v>Negative</v>
      </c>
    </row>
    <row r="636" spans="1:17" x14ac:dyDescent="0.3">
      <c r="A636" t="s">
        <v>1169</v>
      </c>
      <c r="B636" t="s">
        <v>32</v>
      </c>
      <c r="C636" t="s">
        <v>17</v>
      </c>
      <c r="D636" t="s">
        <v>29</v>
      </c>
      <c r="E636" t="s">
        <v>58</v>
      </c>
      <c r="F636" t="s">
        <v>34</v>
      </c>
      <c r="G636" s="1">
        <v>45302</v>
      </c>
      <c r="H636" t="s">
        <v>1170</v>
      </c>
      <c r="I636">
        <v>5050710</v>
      </c>
      <c r="J636">
        <v>280595</v>
      </c>
      <c r="K636">
        <v>4093</v>
      </c>
      <c r="L636">
        <v>53331</v>
      </c>
      <c r="M636">
        <v>6.6900000000000001E-2</v>
      </c>
      <c r="N636">
        <v>0.82199999999999995</v>
      </c>
      <c r="O636">
        <v>1</v>
      </c>
      <c r="P636" t="b">
        <f t="shared" si="19"/>
        <v>1</v>
      </c>
      <c r="Q636" t="str">
        <f t="shared" si="18"/>
        <v>Positive</v>
      </c>
    </row>
    <row r="637" spans="1:17" x14ac:dyDescent="0.3">
      <c r="A637" t="s">
        <v>1171</v>
      </c>
      <c r="B637" t="s">
        <v>27</v>
      </c>
      <c r="C637" t="s">
        <v>23</v>
      </c>
      <c r="D637" t="s">
        <v>18</v>
      </c>
      <c r="E637" t="s">
        <v>51</v>
      </c>
      <c r="F637" t="s">
        <v>46</v>
      </c>
      <c r="G637" s="1">
        <v>45443</v>
      </c>
      <c r="H637" t="s">
        <v>169</v>
      </c>
      <c r="I637">
        <v>5738808</v>
      </c>
      <c r="J637">
        <v>239117</v>
      </c>
      <c r="K637">
        <v>21783</v>
      </c>
      <c r="L637">
        <v>24265</v>
      </c>
      <c r="M637">
        <v>4.9700000000000001E-2</v>
      </c>
      <c r="N637">
        <v>0.96399999999999997</v>
      </c>
      <c r="O637">
        <v>1</v>
      </c>
      <c r="P637" t="b">
        <f t="shared" si="19"/>
        <v>1</v>
      </c>
      <c r="Q637" t="str">
        <f t="shared" si="18"/>
        <v>Positive</v>
      </c>
    </row>
    <row r="638" spans="1:17" x14ac:dyDescent="0.3">
      <c r="A638" t="s">
        <v>1172</v>
      </c>
      <c r="B638" t="s">
        <v>32</v>
      </c>
      <c r="C638" t="s">
        <v>17</v>
      </c>
      <c r="D638" t="s">
        <v>33</v>
      </c>
      <c r="E638" t="s">
        <v>41</v>
      </c>
      <c r="F638" t="s">
        <v>34</v>
      </c>
      <c r="G638" s="1">
        <v>45575</v>
      </c>
      <c r="H638" t="s">
        <v>1134</v>
      </c>
      <c r="I638">
        <v>768555</v>
      </c>
      <c r="J638">
        <v>28465</v>
      </c>
      <c r="K638">
        <v>7235</v>
      </c>
      <c r="L638">
        <v>48201</v>
      </c>
      <c r="M638">
        <v>0.10920000000000001</v>
      </c>
      <c r="N638">
        <v>6.5000000000000002E-2</v>
      </c>
      <c r="O638">
        <v>0</v>
      </c>
      <c r="P638" t="b">
        <f t="shared" si="19"/>
        <v>0</v>
      </c>
      <c r="Q638" t="str">
        <f t="shared" si="18"/>
        <v>Positive</v>
      </c>
    </row>
    <row r="639" spans="1:17" x14ac:dyDescent="0.3">
      <c r="A639" t="s">
        <v>1173</v>
      </c>
      <c r="B639" t="s">
        <v>27</v>
      </c>
      <c r="C639" t="s">
        <v>28</v>
      </c>
      <c r="D639" t="s">
        <v>33</v>
      </c>
      <c r="E639" t="s">
        <v>51</v>
      </c>
      <c r="F639" t="s">
        <v>34</v>
      </c>
      <c r="G639" s="1">
        <v>45408</v>
      </c>
      <c r="H639" t="s">
        <v>1174</v>
      </c>
      <c r="I639">
        <v>8521350</v>
      </c>
      <c r="J639">
        <v>340854</v>
      </c>
      <c r="K639">
        <v>4498</v>
      </c>
      <c r="L639">
        <v>50086</v>
      </c>
      <c r="M639">
        <v>4.6399999999999997E-2</v>
      </c>
      <c r="N639">
        <v>8.1000000000000003E-2</v>
      </c>
      <c r="O639">
        <v>1</v>
      </c>
      <c r="P639" t="b">
        <f t="shared" si="19"/>
        <v>1</v>
      </c>
      <c r="Q639" t="str">
        <f t="shared" si="18"/>
        <v>Positive</v>
      </c>
    </row>
    <row r="640" spans="1:17" x14ac:dyDescent="0.3">
      <c r="A640" t="s">
        <v>1175</v>
      </c>
      <c r="B640" t="s">
        <v>27</v>
      </c>
      <c r="C640" t="s">
        <v>28</v>
      </c>
      <c r="D640" t="s">
        <v>54</v>
      </c>
      <c r="E640" t="s">
        <v>58</v>
      </c>
      <c r="F640" t="s">
        <v>34</v>
      </c>
      <c r="G640" s="1">
        <v>45368</v>
      </c>
      <c r="H640" t="s">
        <v>309</v>
      </c>
      <c r="I640">
        <v>5524623</v>
      </c>
      <c r="J640">
        <v>424971</v>
      </c>
      <c r="K640">
        <v>43477</v>
      </c>
      <c r="L640">
        <v>49438</v>
      </c>
      <c r="M640">
        <v>9.3700000000000006E-2</v>
      </c>
      <c r="N640">
        <v>-0.97499999999999998</v>
      </c>
      <c r="O640">
        <v>1</v>
      </c>
      <c r="P640" t="b">
        <f t="shared" si="19"/>
        <v>1</v>
      </c>
      <c r="Q640" t="str">
        <f t="shared" si="18"/>
        <v>Negative</v>
      </c>
    </row>
    <row r="641" spans="1:17" x14ac:dyDescent="0.3">
      <c r="A641" t="s">
        <v>1176</v>
      </c>
      <c r="B641" t="s">
        <v>27</v>
      </c>
      <c r="C641" t="s">
        <v>61</v>
      </c>
      <c r="D641" t="s">
        <v>54</v>
      </c>
      <c r="E641" t="s">
        <v>19</v>
      </c>
      <c r="F641" t="s">
        <v>20</v>
      </c>
      <c r="G641" s="1">
        <v>45459</v>
      </c>
      <c r="H641" t="s">
        <v>1177</v>
      </c>
      <c r="I641">
        <v>1159125</v>
      </c>
      <c r="J641">
        <v>77275</v>
      </c>
      <c r="K641">
        <v>47197</v>
      </c>
      <c r="L641">
        <v>46734</v>
      </c>
      <c r="M641">
        <v>0.1477</v>
      </c>
      <c r="N641">
        <v>-0.85199999999999998</v>
      </c>
      <c r="O641">
        <v>0</v>
      </c>
      <c r="P641" t="b">
        <f t="shared" si="19"/>
        <v>0</v>
      </c>
      <c r="Q641" t="str">
        <f t="shared" si="18"/>
        <v>Negative</v>
      </c>
    </row>
    <row r="642" spans="1:17" x14ac:dyDescent="0.3">
      <c r="A642" t="s">
        <v>1178</v>
      </c>
      <c r="B642" t="s">
        <v>27</v>
      </c>
      <c r="C642" t="s">
        <v>61</v>
      </c>
      <c r="D642" t="s">
        <v>29</v>
      </c>
      <c r="E642" t="s">
        <v>58</v>
      </c>
      <c r="F642" t="s">
        <v>34</v>
      </c>
      <c r="G642" s="1">
        <v>45332</v>
      </c>
      <c r="H642" t="s">
        <v>112</v>
      </c>
      <c r="I642">
        <v>1851356</v>
      </c>
      <c r="J642">
        <v>142412</v>
      </c>
      <c r="K642">
        <v>32703</v>
      </c>
      <c r="L642">
        <v>92494</v>
      </c>
      <c r="M642">
        <v>0.14449999999999999</v>
      </c>
      <c r="N642">
        <v>-0.90400000000000003</v>
      </c>
      <c r="O642">
        <v>0</v>
      </c>
      <c r="P642" t="b">
        <f t="shared" si="19"/>
        <v>0</v>
      </c>
      <c r="Q642" t="str">
        <f t="shared" ref="Q642:Q705" si="20">IF(N642&gt;0,"Positive","Negative")</f>
        <v>Negative</v>
      </c>
    </row>
    <row r="643" spans="1:17" x14ac:dyDescent="0.3">
      <c r="A643" t="s">
        <v>1179</v>
      </c>
      <c r="B643" t="s">
        <v>16</v>
      </c>
      <c r="C643" t="s">
        <v>17</v>
      </c>
      <c r="D643" t="s">
        <v>37</v>
      </c>
      <c r="E643" t="s">
        <v>58</v>
      </c>
      <c r="F643" t="s">
        <v>34</v>
      </c>
      <c r="G643" s="1">
        <v>45496</v>
      </c>
      <c r="H643" t="s">
        <v>1180</v>
      </c>
      <c r="I643">
        <v>4869054</v>
      </c>
      <c r="J643">
        <v>270503</v>
      </c>
      <c r="K643">
        <v>14854</v>
      </c>
      <c r="L643">
        <v>81769</v>
      </c>
      <c r="M643">
        <v>7.5399999999999995E-2</v>
      </c>
      <c r="N643">
        <v>-0.31900000000000001</v>
      </c>
      <c r="O643">
        <v>1</v>
      </c>
      <c r="P643" t="b">
        <f t="shared" ref="P643:P706" si="21">IF(O643=1,TRUE,FALSE)</f>
        <v>1</v>
      </c>
      <c r="Q643" t="str">
        <f t="shared" si="20"/>
        <v>Negative</v>
      </c>
    </row>
    <row r="644" spans="1:17" x14ac:dyDescent="0.3">
      <c r="A644" t="s">
        <v>1181</v>
      </c>
      <c r="B644" t="s">
        <v>16</v>
      </c>
      <c r="C644" t="s">
        <v>61</v>
      </c>
      <c r="D644" t="s">
        <v>29</v>
      </c>
      <c r="E644" t="s">
        <v>41</v>
      </c>
      <c r="F644" t="s">
        <v>20</v>
      </c>
      <c r="G644" s="1">
        <v>45568</v>
      </c>
      <c r="H644" t="s">
        <v>1182</v>
      </c>
      <c r="I644">
        <v>1263900</v>
      </c>
      <c r="J644">
        <v>63195</v>
      </c>
      <c r="K644">
        <v>5379</v>
      </c>
      <c r="L644">
        <v>86711</v>
      </c>
      <c r="M644">
        <v>0.1229</v>
      </c>
      <c r="N644">
        <v>-0.52100000000000002</v>
      </c>
      <c r="O644">
        <v>0</v>
      </c>
      <c r="P644" t="b">
        <f t="shared" si="21"/>
        <v>0</v>
      </c>
      <c r="Q644" t="str">
        <f t="shared" si="20"/>
        <v>Negative</v>
      </c>
    </row>
    <row r="645" spans="1:17" x14ac:dyDescent="0.3">
      <c r="A645" t="s">
        <v>1183</v>
      </c>
      <c r="B645" t="s">
        <v>32</v>
      </c>
      <c r="C645" t="s">
        <v>28</v>
      </c>
      <c r="D645" t="s">
        <v>33</v>
      </c>
      <c r="E645" t="s">
        <v>38</v>
      </c>
      <c r="F645" t="s">
        <v>20</v>
      </c>
      <c r="G645" s="1">
        <v>45301</v>
      </c>
      <c r="H645" t="s">
        <v>1184</v>
      </c>
      <c r="I645">
        <v>680652</v>
      </c>
      <c r="J645">
        <v>97236</v>
      </c>
      <c r="K645">
        <v>9890</v>
      </c>
      <c r="L645">
        <v>59660</v>
      </c>
      <c r="M645">
        <v>0.245</v>
      </c>
      <c r="N645">
        <v>-0.46400000000000002</v>
      </c>
      <c r="O645">
        <v>0</v>
      </c>
      <c r="P645" t="b">
        <f t="shared" si="21"/>
        <v>0</v>
      </c>
      <c r="Q645" t="str">
        <f t="shared" si="20"/>
        <v>Negative</v>
      </c>
    </row>
    <row r="646" spans="1:17" x14ac:dyDescent="0.3">
      <c r="A646" t="s">
        <v>1185</v>
      </c>
      <c r="B646" t="s">
        <v>32</v>
      </c>
      <c r="C646" t="s">
        <v>28</v>
      </c>
      <c r="D646" t="s">
        <v>54</v>
      </c>
      <c r="E646" t="s">
        <v>51</v>
      </c>
      <c r="F646" t="s">
        <v>24</v>
      </c>
      <c r="G646" s="1">
        <v>45486</v>
      </c>
      <c r="H646" t="s">
        <v>1186</v>
      </c>
      <c r="I646">
        <v>10562025</v>
      </c>
      <c r="J646">
        <v>422481</v>
      </c>
      <c r="K646">
        <v>1497</v>
      </c>
      <c r="L646">
        <v>95999</v>
      </c>
      <c r="M646">
        <v>4.9200000000000001E-2</v>
      </c>
      <c r="N646">
        <v>-0.873</v>
      </c>
      <c r="O646">
        <v>1</v>
      </c>
      <c r="P646" t="b">
        <f t="shared" si="21"/>
        <v>1</v>
      </c>
      <c r="Q646" t="str">
        <f t="shared" si="20"/>
        <v>Negative</v>
      </c>
    </row>
    <row r="647" spans="1:17" x14ac:dyDescent="0.3">
      <c r="A647" t="s">
        <v>1187</v>
      </c>
      <c r="B647" t="s">
        <v>32</v>
      </c>
      <c r="C647" t="s">
        <v>61</v>
      </c>
      <c r="D647" t="s">
        <v>73</v>
      </c>
      <c r="E647" t="s">
        <v>41</v>
      </c>
      <c r="F647" t="s">
        <v>24</v>
      </c>
      <c r="G647" s="1">
        <v>45319</v>
      </c>
      <c r="H647" t="s">
        <v>1188</v>
      </c>
      <c r="I647">
        <v>5134192</v>
      </c>
      <c r="J647">
        <v>320887</v>
      </c>
      <c r="K647">
        <v>44905</v>
      </c>
      <c r="L647">
        <v>42947</v>
      </c>
      <c r="M647">
        <v>7.9600000000000004E-2</v>
      </c>
      <c r="N647">
        <v>-0.77</v>
      </c>
      <c r="O647">
        <v>1</v>
      </c>
      <c r="P647" t="b">
        <f t="shared" si="21"/>
        <v>1</v>
      </c>
      <c r="Q647" t="str">
        <f t="shared" si="20"/>
        <v>Negative</v>
      </c>
    </row>
    <row r="648" spans="1:17" x14ac:dyDescent="0.3">
      <c r="A648" t="s">
        <v>1189</v>
      </c>
      <c r="B648" t="s">
        <v>66</v>
      </c>
      <c r="C648" t="s">
        <v>61</v>
      </c>
      <c r="D648" t="s">
        <v>54</v>
      </c>
      <c r="E648" t="s">
        <v>51</v>
      </c>
      <c r="F648" t="s">
        <v>20</v>
      </c>
      <c r="G648" s="1">
        <v>45559</v>
      </c>
      <c r="H648" t="s">
        <v>1190</v>
      </c>
      <c r="I648">
        <v>5991648</v>
      </c>
      <c r="J648">
        <v>460896</v>
      </c>
      <c r="K648">
        <v>7373</v>
      </c>
      <c r="L648">
        <v>85437</v>
      </c>
      <c r="M648">
        <v>9.2399999999999996E-2</v>
      </c>
      <c r="N648">
        <v>0.33800000000000002</v>
      </c>
      <c r="O648">
        <v>1</v>
      </c>
      <c r="P648" t="b">
        <f t="shared" si="21"/>
        <v>1</v>
      </c>
      <c r="Q648" t="str">
        <f t="shared" si="20"/>
        <v>Positive</v>
      </c>
    </row>
    <row r="649" spans="1:17" x14ac:dyDescent="0.3">
      <c r="A649" t="s">
        <v>1191</v>
      </c>
      <c r="B649" t="s">
        <v>66</v>
      </c>
      <c r="C649" t="s">
        <v>61</v>
      </c>
      <c r="D649" t="s">
        <v>37</v>
      </c>
      <c r="E649" t="s">
        <v>41</v>
      </c>
      <c r="F649" t="s">
        <v>46</v>
      </c>
      <c r="G649" s="1">
        <v>45432</v>
      </c>
      <c r="H649" t="s">
        <v>169</v>
      </c>
      <c r="I649">
        <v>1357060</v>
      </c>
      <c r="J649">
        <v>271412</v>
      </c>
      <c r="K649">
        <v>20966</v>
      </c>
      <c r="L649">
        <v>49880</v>
      </c>
      <c r="M649">
        <v>0.25219999999999998</v>
      </c>
      <c r="N649">
        <v>-0.95</v>
      </c>
      <c r="O649">
        <v>0</v>
      </c>
      <c r="P649" t="b">
        <f t="shared" si="21"/>
        <v>0</v>
      </c>
      <c r="Q649" t="str">
        <f t="shared" si="20"/>
        <v>Negative</v>
      </c>
    </row>
    <row r="650" spans="1:17" x14ac:dyDescent="0.3">
      <c r="A650" t="s">
        <v>1192</v>
      </c>
      <c r="B650" t="s">
        <v>16</v>
      </c>
      <c r="C650" t="s">
        <v>17</v>
      </c>
      <c r="D650" t="s">
        <v>18</v>
      </c>
      <c r="E650" t="s">
        <v>58</v>
      </c>
      <c r="F650" t="s">
        <v>55</v>
      </c>
      <c r="G650" s="1">
        <v>45650</v>
      </c>
      <c r="H650" t="s">
        <v>1193</v>
      </c>
      <c r="I650">
        <v>7871392</v>
      </c>
      <c r="J650">
        <v>491962</v>
      </c>
      <c r="K650">
        <v>32179</v>
      </c>
      <c r="L650">
        <v>99752</v>
      </c>
      <c r="M650">
        <v>7.9299999999999995E-2</v>
      </c>
      <c r="N650">
        <v>0.82099999999999995</v>
      </c>
      <c r="O650">
        <v>1</v>
      </c>
      <c r="P650" t="b">
        <f t="shared" si="21"/>
        <v>1</v>
      </c>
      <c r="Q650" t="str">
        <f t="shared" si="20"/>
        <v>Positive</v>
      </c>
    </row>
    <row r="651" spans="1:17" x14ac:dyDescent="0.3">
      <c r="A651" t="s">
        <v>1194</v>
      </c>
      <c r="B651" t="s">
        <v>27</v>
      </c>
      <c r="C651" t="s">
        <v>61</v>
      </c>
      <c r="D651" t="s">
        <v>29</v>
      </c>
      <c r="E651" t="s">
        <v>41</v>
      </c>
      <c r="F651" t="s">
        <v>24</v>
      </c>
      <c r="G651" s="1">
        <v>45443</v>
      </c>
      <c r="H651" t="s">
        <v>1195</v>
      </c>
      <c r="I651">
        <v>8018328</v>
      </c>
      <c r="J651">
        <v>334097</v>
      </c>
      <c r="K651">
        <v>49683</v>
      </c>
      <c r="L651">
        <v>26650</v>
      </c>
      <c r="M651">
        <v>5.1200000000000002E-2</v>
      </c>
      <c r="N651">
        <v>-0.113</v>
      </c>
      <c r="O651">
        <v>1</v>
      </c>
      <c r="P651" t="b">
        <f t="shared" si="21"/>
        <v>1</v>
      </c>
      <c r="Q651" t="str">
        <f t="shared" si="20"/>
        <v>Negative</v>
      </c>
    </row>
    <row r="652" spans="1:17" x14ac:dyDescent="0.3">
      <c r="A652" t="s">
        <v>1196</v>
      </c>
      <c r="B652" t="s">
        <v>16</v>
      </c>
      <c r="C652" t="s">
        <v>28</v>
      </c>
      <c r="D652" t="s">
        <v>54</v>
      </c>
      <c r="E652" t="s">
        <v>19</v>
      </c>
      <c r="F652" t="s">
        <v>34</v>
      </c>
      <c r="G652" s="1">
        <v>45499</v>
      </c>
      <c r="H652" t="s">
        <v>591</v>
      </c>
      <c r="I652">
        <v>1457390</v>
      </c>
      <c r="J652">
        <v>145739</v>
      </c>
      <c r="K652">
        <v>14873</v>
      </c>
      <c r="L652">
        <v>89907</v>
      </c>
      <c r="M652">
        <v>0.1719</v>
      </c>
      <c r="N652">
        <v>0.183</v>
      </c>
      <c r="O652">
        <v>0</v>
      </c>
      <c r="P652" t="b">
        <f t="shared" si="21"/>
        <v>0</v>
      </c>
      <c r="Q652" t="str">
        <f t="shared" si="20"/>
        <v>Positive</v>
      </c>
    </row>
    <row r="653" spans="1:17" x14ac:dyDescent="0.3">
      <c r="A653" t="s">
        <v>1197</v>
      </c>
      <c r="B653" t="s">
        <v>16</v>
      </c>
      <c r="C653" t="s">
        <v>23</v>
      </c>
      <c r="D653" t="s">
        <v>29</v>
      </c>
      <c r="E653" t="s">
        <v>58</v>
      </c>
      <c r="F653" t="s">
        <v>20</v>
      </c>
      <c r="G653" s="1">
        <v>45298</v>
      </c>
      <c r="H653" t="s">
        <v>1198</v>
      </c>
      <c r="I653">
        <v>3742706</v>
      </c>
      <c r="J653">
        <v>340246</v>
      </c>
      <c r="K653">
        <v>28808</v>
      </c>
      <c r="L653">
        <v>18231</v>
      </c>
      <c r="M653">
        <v>0.10349999999999999</v>
      </c>
      <c r="N653">
        <v>-0.73699999999999999</v>
      </c>
      <c r="O653">
        <v>1</v>
      </c>
      <c r="P653" t="b">
        <f t="shared" si="21"/>
        <v>1</v>
      </c>
      <c r="Q653" t="str">
        <f t="shared" si="20"/>
        <v>Negative</v>
      </c>
    </row>
    <row r="654" spans="1:17" x14ac:dyDescent="0.3">
      <c r="A654" t="s">
        <v>1199</v>
      </c>
      <c r="B654" t="s">
        <v>32</v>
      </c>
      <c r="C654" t="s">
        <v>23</v>
      </c>
      <c r="D654" t="s">
        <v>54</v>
      </c>
      <c r="E654" t="s">
        <v>41</v>
      </c>
      <c r="F654" t="s">
        <v>55</v>
      </c>
      <c r="G654" s="1">
        <v>45507</v>
      </c>
      <c r="H654" t="s">
        <v>1200</v>
      </c>
      <c r="I654">
        <v>3914199</v>
      </c>
      <c r="J654">
        <v>230247</v>
      </c>
      <c r="K654">
        <v>21914</v>
      </c>
      <c r="L654">
        <v>30796</v>
      </c>
      <c r="M654">
        <v>7.2300000000000003E-2</v>
      </c>
      <c r="N654">
        <v>0.94199999999999995</v>
      </c>
      <c r="O654">
        <v>1</v>
      </c>
      <c r="P654" t="b">
        <f t="shared" si="21"/>
        <v>1</v>
      </c>
      <c r="Q654" t="str">
        <f t="shared" si="20"/>
        <v>Positive</v>
      </c>
    </row>
    <row r="655" spans="1:17" x14ac:dyDescent="0.3">
      <c r="A655" t="s">
        <v>1201</v>
      </c>
      <c r="B655" t="s">
        <v>16</v>
      </c>
      <c r="C655" t="s">
        <v>23</v>
      </c>
      <c r="D655" t="s">
        <v>37</v>
      </c>
      <c r="E655" t="s">
        <v>19</v>
      </c>
      <c r="F655" t="s">
        <v>24</v>
      </c>
      <c r="G655" s="1">
        <v>45490</v>
      </c>
      <c r="H655" t="s">
        <v>1202</v>
      </c>
      <c r="I655">
        <v>11876949</v>
      </c>
      <c r="J655">
        <v>439887</v>
      </c>
      <c r="K655">
        <v>198</v>
      </c>
      <c r="L655">
        <v>17570</v>
      </c>
      <c r="M655">
        <v>3.85E-2</v>
      </c>
      <c r="N655">
        <v>0.96799999999999997</v>
      </c>
      <c r="O655">
        <v>1</v>
      </c>
      <c r="P655" t="b">
        <f t="shared" si="21"/>
        <v>1</v>
      </c>
      <c r="Q655" t="str">
        <f t="shared" si="20"/>
        <v>Positive</v>
      </c>
    </row>
    <row r="656" spans="1:17" x14ac:dyDescent="0.3">
      <c r="A656" t="s">
        <v>1203</v>
      </c>
      <c r="B656" t="s">
        <v>32</v>
      </c>
      <c r="C656" t="s">
        <v>61</v>
      </c>
      <c r="D656" t="s">
        <v>54</v>
      </c>
      <c r="E656" t="s">
        <v>41</v>
      </c>
      <c r="F656" t="s">
        <v>34</v>
      </c>
      <c r="G656" s="1">
        <v>45513</v>
      </c>
      <c r="H656" t="s">
        <v>1204</v>
      </c>
      <c r="I656">
        <v>1634990</v>
      </c>
      <c r="J656">
        <v>163499</v>
      </c>
      <c r="K656">
        <v>42075</v>
      </c>
      <c r="L656">
        <v>85926</v>
      </c>
      <c r="M656">
        <v>0.17829999999999999</v>
      </c>
      <c r="N656">
        <v>0.78300000000000003</v>
      </c>
      <c r="O656">
        <v>0</v>
      </c>
      <c r="P656" t="b">
        <f t="shared" si="21"/>
        <v>0</v>
      </c>
      <c r="Q656" t="str">
        <f t="shared" si="20"/>
        <v>Positive</v>
      </c>
    </row>
    <row r="657" spans="1:17" x14ac:dyDescent="0.3">
      <c r="A657" t="s">
        <v>1205</v>
      </c>
      <c r="B657" t="s">
        <v>27</v>
      </c>
      <c r="C657" t="s">
        <v>17</v>
      </c>
      <c r="D657" t="s">
        <v>18</v>
      </c>
      <c r="E657" t="s">
        <v>58</v>
      </c>
      <c r="F657" t="s">
        <v>24</v>
      </c>
      <c r="G657" s="1">
        <v>45480</v>
      </c>
      <c r="H657" t="s">
        <v>1206</v>
      </c>
      <c r="I657">
        <v>7795536</v>
      </c>
      <c r="J657">
        <v>487221</v>
      </c>
      <c r="K657">
        <v>26517</v>
      </c>
      <c r="L657">
        <v>6717</v>
      </c>
      <c r="M657">
        <v>6.6799999999999998E-2</v>
      </c>
      <c r="N657">
        <v>0.20799999999999999</v>
      </c>
      <c r="O657">
        <v>1</v>
      </c>
      <c r="P657" t="b">
        <f t="shared" si="21"/>
        <v>1</v>
      </c>
      <c r="Q657" t="str">
        <f t="shared" si="20"/>
        <v>Positive</v>
      </c>
    </row>
    <row r="658" spans="1:17" x14ac:dyDescent="0.3">
      <c r="A658" t="s">
        <v>1207</v>
      </c>
      <c r="B658" t="s">
        <v>16</v>
      </c>
      <c r="C658" t="s">
        <v>61</v>
      </c>
      <c r="D658" t="s">
        <v>18</v>
      </c>
      <c r="E658" t="s">
        <v>41</v>
      </c>
      <c r="F658" t="s">
        <v>34</v>
      </c>
      <c r="G658" s="1">
        <v>45566</v>
      </c>
      <c r="H658" t="s">
        <v>93</v>
      </c>
      <c r="I658">
        <v>1897700</v>
      </c>
      <c r="J658">
        <v>135550</v>
      </c>
      <c r="K658">
        <v>40588</v>
      </c>
      <c r="L658">
        <v>85372</v>
      </c>
      <c r="M658">
        <v>0.13780000000000001</v>
      </c>
      <c r="N658">
        <v>0.94299999999999995</v>
      </c>
      <c r="O658">
        <v>0</v>
      </c>
      <c r="P658" t="b">
        <f t="shared" si="21"/>
        <v>0</v>
      </c>
      <c r="Q658" t="str">
        <f t="shared" si="20"/>
        <v>Positive</v>
      </c>
    </row>
    <row r="659" spans="1:17" x14ac:dyDescent="0.3">
      <c r="A659" t="s">
        <v>1208</v>
      </c>
      <c r="B659" t="s">
        <v>27</v>
      </c>
      <c r="C659" t="s">
        <v>17</v>
      </c>
      <c r="D659" t="s">
        <v>54</v>
      </c>
      <c r="E659" t="s">
        <v>51</v>
      </c>
      <c r="F659" t="s">
        <v>55</v>
      </c>
      <c r="G659" s="1">
        <v>45442</v>
      </c>
      <c r="H659" t="s">
        <v>1209</v>
      </c>
      <c r="I659">
        <v>1449280</v>
      </c>
      <c r="J659">
        <v>207040</v>
      </c>
      <c r="K659">
        <v>42609</v>
      </c>
      <c r="L659">
        <v>68337</v>
      </c>
      <c r="M659">
        <v>0.21940000000000001</v>
      </c>
      <c r="N659">
        <v>-0.60799999999999998</v>
      </c>
      <c r="O659">
        <v>0</v>
      </c>
      <c r="P659" t="b">
        <f t="shared" si="21"/>
        <v>0</v>
      </c>
      <c r="Q659" t="str">
        <f t="shared" si="20"/>
        <v>Negative</v>
      </c>
    </row>
    <row r="660" spans="1:17" x14ac:dyDescent="0.3">
      <c r="A660" t="s">
        <v>1210</v>
      </c>
      <c r="B660" t="s">
        <v>32</v>
      </c>
      <c r="C660" t="s">
        <v>23</v>
      </c>
      <c r="D660" t="s">
        <v>37</v>
      </c>
      <c r="E660" t="s">
        <v>58</v>
      </c>
      <c r="F660" t="s">
        <v>34</v>
      </c>
      <c r="G660" s="1">
        <v>45553</v>
      </c>
      <c r="H660" t="s">
        <v>1211</v>
      </c>
      <c r="I660">
        <v>6423696</v>
      </c>
      <c r="J660">
        <v>267654</v>
      </c>
      <c r="K660">
        <v>17844</v>
      </c>
      <c r="L660">
        <v>56045</v>
      </c>
      <c r="M660">
        <v>5.3199999999999997E-2</v>
      </c>
      <c r="N660">
        <v>-0.58599999999999997</v>
      </c>
      <c r="O660">
        <v>1</v>
      </c>
      <c r="P660" t="b">
        <f t="shared" si="21"/>
        <v>1</v>
      </c>
      <c r="Q660" t="str">
        <f t="shared" si="20"/>
        <v>Negative</v>
      </c>
    </row>
    <row r="661" spans="1:17" x14ac:dyDescent="0.3">
      <c r="A661" t="s">
        <v>1212</v>
      </c>
      <c r="B661" t="s">
        <v>16</v>
      </c>
      <c r="C661" t="s">
        <v>17</v>
      </c>
      <c r="D661" t="s">
        <v>33</v>
      </c>
      <c r="E661" t="s">
        <v>58</v>
      </c>
      <c r="F661" t="s">
        <v>24</v>
      </c>
      <c r="G661" s="1">
        <v>45373</v>
      </c>
      <c r="H661" t="s">
        <v>1213</v>
      </c>
      <c r="I661">
        <v>8402352</v>
      </c>
      <c r="J661">
        <v>400112</v>
      </c>
      <c r="K661">
        <v>21185</v>
      </c>
      <c r="L661">
        <v>54246</v>
      </c>
      <c r="M661">
        <v>5.6599999999999998E-2</v>
      </c>
      <c r="N661">
        <v>-0.98499999999999999</v>
      </c>
      <c r="O661">
        <v>1</v>
      </c>
      <c r="P661" t="b">
        <f t="shared" si="21"/>
        <v>1</v>
      </c>
      <c r="Q661" t="str">
        <f t="shared" si="20"/>
        <v>Negative</v>
      </c>
    </row>
    <row r="662" spans="1:17" x14ac:dyDescent="0.3">
      <c r="A662" t="s">
        <v>1214</v>
      </c>
      <c r="B662" t="s">
        <v>27</v>
      </c>
      <c r="C662" t="s">
        <v>23</v>
      </c>
      <c r="D662" t="s">
        <v>33</v>
      </c>
      <c r="E662" t="s">
        <v>19</v>
      </c>
      <c r="F662" t="s">
        <v>55</v>
      </c>
      <c r="G662" s="1">
        <v>45590</v>
      </c>
      <c r="H662" t="s">
        <v>630</v>
      </c>
      <c r="I662">
        <v>7699224</v>
      </c>
      <c r="J662">
        <v>320801</v>
      </c>
      <c r="K662">
        <v>17548</v>
      </c>
      <c r="L662">
        <v>37419</v>
      </c>
      <c r="M662">
        <v>4.8800000000000003E-2</v>
      </c>
      <c r="N662">
        <v>-0.78400000000000003</v>
      </c>
      <c r="O662">
        <v>1</v>
      </c>
      <c r="P662" t="b">
        <f t="shared" si="21"/>
        <v>1</v>
      </c>
      <c r="Q662" t="str">
        <f t="shared" si="20"/>
        <v>Negative</v>
      </c>
    </row>
    <row r="663" spans="1:17" x14ac:dyDescent="0.3">
      <c r="A663" t="s">
        <v>1215</v>
      </c>
      <c r="B663" t="s">
        <v>27</v>
      </c>
      <c r="C663" t="s">
        <v>28</v>
      </c>
      <c r="D663" t="s">
        <v>29</v>
      </c>
      <c r="E663" t="s">
        <v>51</v>
      </c>
      <c r="F663" t="s">
        <v>24</v>
      </c>
      <c r="G663" s="1">
        <v>45559</v>
      </c>
      <c r="H663" t="s">
        <v>1108</v>
      </c>
      <c r="I663">
        <v>12407925</v>
      </c>
      <c r="J663">
        <v>496317</v>
      </c>
      <c r="K663">
        <v>30507</v>
      </c>
      <c r="L663">
        <v>16725</v>
      </c>
      <c r="M663">
        <v>4.3799999999999999E-2</v>
      </c>
      <c r="N663">
        <v>0.14399999999999999</v>
      </c>
      <c r="O663">
        <v>1</v>
      </c>
      <c r="P663" t="b">
        <f t="shared" si="21"/>
        <v>1</v>
      </c>
      <c r="Q663" t="str">
        <f t="shared" si="20"/>
        <v>Positive</v>
      </c>
    </row>
    <row r="664" spans="1:17" x14ac:dyDescent="0.3">
      <c r="A664" t="s">
        <v>1216</v>
      </c>
      <c r="B664" t="s">
        <v>16</v>
      </c>
      <c r="C664" t="s">
        <v>23</v>
      </c>
      <c r="D664" t="s">
        <v>54</v>
      </c>
      <c r="E664" t="s">
        <v>41</v>
      </c>
      <c r="F664" t="s">
        <v>20</v>
      </c>
      <c r="G664" s="1">
        <v>45492</v>
      </c>
      <c r="H664" t="s">
        <v>1021</v>
      </c>
      <c r="I664">
        <v>10553946</v>
      </c>
      <c r="J664">
        <v>405921</v>
      </c>
      <c r="K664">
        <v>31342</v>
      </c>
      <c r="L664">
        <v>5483</v>
      </c>
      <c r="M664">
        <v>4.2000000000000003E-2</v>
      </c>
      <c r="N664">
        <v>0.86399999999999999</v>
      </c>
      <c r="O664">
        <v>1</v>
      </c>
      <c r="P664" t="b">
        <f t="shared" si="21"/>
        <v>1</v>
      </c>
      <c r="Q664" t="str">
        <f t="shared" si="20"/>
        <v>Positive</v>
      </c>
    </row>
    <row r="665" spans="1:17" x14ac:dyDescent="0.3">
      <c r="A665" t="s">
        <v>1217</v>
      </c>
      <c r="B665" t="s">
        <v>16</v>
      </c>
      <c r="C665" t="s">
        <v>17</v>
      </c>
      <c r="D665" t="s">
        <v>54</v>
      </c>
      <c r="E665" t="s">
        <v>38</v>
      </c>
      <c r="F665" t="s">
        <v>24</v>
      </c>
      <c r="G665" s="1">
        <v>45604</v>
      </c>
      <c r="H665" t="s">
        <v>548</v>
      </c>
      <c r="I665">
        <v>2367612</v>
      </c>
      <c r="J665">
        <v>182124</v>
      </c>
      <c r="K665">
        <v>5468</v>
      </c>
      <c r="L665">
        <v>70449</v>
      </c>
      <c r="M665">
        <v>0.109</v>
      </c>
      <c r="N665">
        <v>0.63600000000000001</v>
      </c>
      <c r="O665">
        <v>1</v>
      </c>
      <c r="P665" t="b">
        <f t="shared" si="21"/>
        <v>1</v>
      </c>
      <c r="Q665" t="str">
        <f t="shared" si="20"/>
        <v>Positive</v>
      </c>
    </row>
    <row r="666" spans="1:17" x14ac:dyDescent="0.3">
      <c r="A666" t="s">
        <v>1218</v>
      </c>
      <c r="B666" t="s">
        <v>66</v>
      </c>
      <c r="C666" t="s">
        <v>28</v>
      </c>
      <c r="D666" t="s">
        <v>18</v>
      </c>
      <c r="E666" t="s">
        <v>58</v>
      </c>
      <c r="F666" t="s">
        <v>34</v>
      </c>
      <c r="G666" s="1">
        <v>45459</v>
      </c>
      <c r="H666" t="s">
        <v>334</v>
      </c>
      <c r="I666">
        <v>4977192</v>
      </c>
      <c r="J666">
        <v>452472</v>
      </c>
      <c r="K666">
        <v>35639</v>
      </c>
      <c r="L666">
        <v>44603</v>
      </c>
      <c r="M666">
        <v>0.107</v>
      </c>
      <c r="N666">
        <v>0.15</v>
      </c>
      <c r="O666">
        <v>1</v>
      </c>
      <c r="P666" t="b">
        <f t="shared" si="21"/>
        <v>1</v>
      </c>
      <c r="Q666" t="str">
        <f t="shared" si="20"/>
        <v>Positive</v>
      </c>
    </row>
    <row r="667" spans="1:17" x14ac:dyDescent="0.3">
      <c r="A667" t="s">
        <v>1219</v>
      </c>
      <c r="B667" t="s">
        <v>66</v>
      </c>
      <c r="C667" t="s">
        <v>17</v>
      </c>
      <c r="D667" t="s">
        <v>29</v>
      </c>
      <c r="E667" t="s">
        <v>41</v>
      </c>
      <c r="F667" t="s">
        <v>55</v>
      </c>
      <c r="G667" s="1">
        <v>45424</v>
      </c>
      <c r="H667" t="s">
        <v>1220</v>
      </c>
      <c r="I667">
        <v>332310</v>
      </c>
      <c r="J667">
        <v>22154</v>
      </c>
      <c r="K667">
        <v>4497</v>
      </c>
      <c r="L667">
        <v>22208</v>
      </c>
      <c r="M667">
        <v>0.14699999999999999</v>
      </c>
      <c r="N667">
        <v>-0.91</v>
      </c>
      <c r="O667">
        <v>0</v>
      </c>
      <c r="P667" t="b">
        <f t="shared" si="21"/>
        <v>0</v>
      </c>
      <c r="Q667" t="str">
        <f t="shared" si="20"/>
        <v>Negative</v>
      </c>
    </row>
    <row r="668" spans="1:17" x14ac:dyDescent="0.3">
      <c r="A668" t="s">
        <v>1221</v>
      </c>
      <c r="B668" t="s">
        <v>66</v>
      </c>
      <c r="C668" t="s">
        <v>23</v>
      </c>
      <c r="D668" t="s">
        <v>18</v>
      </c>
      <c r="E668" t="s">
        <v>51</v>
      </c>
      <c r="F668" t="s">
        <v>20</v>
      </c>
      <c r="G668" s="1">
        <v>45395</v>
      </c>
      <c r="H668" t="s">
        <v>1222</v>
      </c>
      <c r="I668">
        <v>2746044</v>
      </c>
      <c r="J668">
        <v>152558</v>
      </c>
      <c r="K668">
        <v>17745</v>
      </c>
      <c r="L668">
        <v>59519</v>
      </c>
      <c r="M668">
        <v>8.3699999999999997E-2</v>
      </c>
      <c r="N668">
        <v>-0.67</v>
      </c>
      <c r="O668">
        <v>1</v>
      </c>
      <c r="P668" t="b">
        <f t="shared" si="21"/>
        <v>1</v>
      </c>
      <c r="Q668" t="str">
        <f t="shared" si="20"/>
        <v>Negative</v>
      </c>
    </row>
    <row r="669" spans="1:17" x14ac:dyDescent="0.3">
      <c r="A669" t="s">
        <v>1223</v>
      </c>
      <c r="B669" t="s">
        <v>16</v>
      </c>
      <c r="C669" t="s">
        <v>28</v>
      </c>
      <c r="D669" t="s">
        <v>33</v>
      </c>
      <c r="E669" t="s">
        <v>58</v>
      </c>
      <c r="F669" t="s">
        <v>55</v>
      </c>
      <c r="G669" s="1">
        <v>45323</v>
      </c>
      <c r="H669" t="s">
        <v>1224</v>
      </c>
      <c r="I669">
        <v>5250180</v>
      </c>
      <c r="J669">
        <v>437515</v>
      </c>
      <c r="K669">
        <v>8215</v>
      </c>
      <c r="L669">
        <v>44364</v>
      </c>
      <c r="M669">
        <v>9.3299999999999994E-2</v>
      </c>
      <c r="N669">
        <v>0.81499999999999995</v>
      </c>
      <c r="O669">
        <v>1</v>
      </c>
      <c r="P669" t="b">
        <f t="shared" si="21"/>
        <v>1</v>
      </c>
      <c r="Q669" t="str">
        <f t="shared" si="20"/>
        <v>Positive</v>
      </c>
    </row>
    <row r="670" spans="1:17" x14ac:dyDescent="0.3">
      <c r="A670" t="s">
        <v>1225</v>
      </c>
      <c r="B670" t="s">
        <v>66</v>
      </c>
      <c r="C670" t="s">
        <v>28</v>
      </c>
      <c r="D670" t="s">
        <v>73</v>
      </c>
      <c r="E670" t="s">
        <v>51</v>
      </c>
      <c r="F670" t="s">
        <v>34</v>
      </c>
      <c r="G670" s="1">
        <v>45340</v>
      </c>
      <c r="H670" t="s">
        <v>1226</v>
      </c>
      <c r="I670">
        <v>3729120</v>
      </c>
      <c r="J670">
        <v>186456</v>
      </c>
      <c r="K670">
        <v>42097</v>
      </c>
      <c r="L670">
        <v>72125</v>
      </c>
      <c r="M670">
        <v>8.0600000000000005E-2</v>
      </c>
      <c r="N670">
        <v>-0.40699999999999997</v>
      </c>
      <c r="O670">
        <v>1</v>
      </c>
      <c r="P670" t="b">
        <f t="shared" si="21"/>
        <v>1</v>
      </c>
      <c r="Q670" t="str">
        <f t="shared" si="20"/>
        <v>Negative</v>
      </c>
    </row>
    <row r="671" spans="1:17" x14ac:dyDescent="0.3">
      <c r="A671" t="s">
        <v>1227</v>
      </c>
      <c r="B671" t="s">
        <v>16</v>
      </c>
      <c r="C671" t="s">
        <v>28</v>
      </c>
      <c r="D671" t="s">
        <v>54</v>
      </c>
      <c r="E671" t="s">
        <v>51</v>
      </c>
      <c r="F671" t="s">
        <v>34</v>
      </c>
      <c r="G671" s="1">
        <v>45457</v>
      </c>
      <c r="H671" t="s">
        <v>1228</v>
      </c>
      <c r="I671">
        <v>1757349</v>
      </c>
      <c r="J671">
        <v>195261</v>
      </c>
      <c r="K671">
        <v>33760</v>
      </c>
      <c r="L671">
        <v>3322</v>
      </c>
      <c r="M671">
        <v>0.13220000000000001</v>
      </c>
      <c r="N671">
        <v>-0.997</v>
      </c>
      <c r="O671">
        <v>0</v>
      </c>
      <c r="P671" t="b">
        <f t="shared" si="21"/>
        <v>0</v>
      </c>
      <c r="Q671" t="str">
        <f t="shared" si="20"/>
        <v>Negative</v>
      </c>
    </row>
    <row r="672" spans="1:17" x14ac:dyDescent="0.3">
      <c r="A672" t="s">
        <v>1229</v>
      </c>
      <c r="B672" t="s">
        <v>16</v>
      </c>
      <c r="C672" t="s">
        <v>17</v>
      </c>
      <c r="D672" t="s">
        <v>54</v>
      </c>
      <c r="E672" t="s">
        <v>41</v>
      </c>
      <c r="F672" t="s">
        <v>34</v>
      </c>
      <c r="G672" s="1">
        <v>45597</v>
      </c>
      <c r="H672" t="s">
        <v>1230</v>
      </c>
      <c r="I672">
        <v>3567518</v>
      </c>
      <c r="J672">
        <v>209854</v>
      </c>
      <c r="K672">
        <v>13659</v>
      </c>
      <c r="L672">
        <v>52894</v>
      </c>
      <c r="M672">
        <v>7.7499999999999999E-2</v>
      </c>
      <c r="N672">
        <v>0.65900000000000003</v>
      </c>
      <c r="O672">
        <v>1</v>
      </c>
      <c r="P672" t="b">
        <f t="shared" si="21"/>
        <v>1</v>
      </c>
      <c r="Q672" t="str">
        <f t="shared" si="20"/>
        <v>Positive</v>
      </c>
    </row>
    <row r="673" spans="1:17" x14ac:dyDescent="0.3">
      <c r="A673" t="s">
        <v>1231</v>
      </c>
      <c r="B673" t="s">
        <v>66</v>
      </c>
      <c r="C673" t="s">
        <v>17</v>
      </c>
      <c r="D673" t="s">
        <v>73</v>
      </c>
      <c r="E673" t="s">
        <v>38</v>
      </c>
      <c r="F673" t="s">
        <v>20</v>
      </c>
      <c r="G673" s="1">
        <v>45656</v>
      </c>
      <c r="H673" t="s">
        <v>984</v>
      </c>
      <c r="I673">
        <v>2968504</v>
      </c>
      <c r="J673">
        <v>134932</v>
      </c>
      <c r="K673">
        <v>22195</v>
      </c>
      <c r="L673">
        <v>67412</v>
      </c>
      <c r="M673">
        <v>7.5600000000000001E-2</v>
      </c>
      <c r="N673">
        <v>-0.48699999999999999</v>
      </c>
      <c r="O673">
        <v>1</v>
      </c>
      <c r="P673" t="b">
        <f t="shared" si="21"/>
        <v>1</v>
      </c>
      <c r="Q673" t="str">
        <f t="shared" si="20"/>
        <v>Negative</v>
      </c>
    </row>
    <row r="674" spans="1:17" x14ac:dyDescent="0.3">
      <c r="A674" t="s">
        <v>1232</v>
      </c>
      <c r="B674" t="s">
        <v>16</v>
      </c>
      <c r="C674" t="s">
        <v>61</v>
      </c>
      <c r="D674" t="s">
        <v>33</v>
      </c>
      <c r="E674" t="s">
        <v>51</v>
      </c>
      <c r="F674" t="s">
        <v>20</v>
      </c>
      <c r="G674" s="1">
        <v>45483</v>
      </c>
      <c r="H674" t="s">
        <v>1233</v>
      </c>
      <c r="I674">
        <v>306488</v>
      </c>
      <c r="J674">
        <v>38311</v>
      </c>
      <c r="K674">
        <v>17378</v>
      </c>
      <c r="L674">
        <v>3745</v>
      </c>
      <c r="M674">
        <v>0.19389999999999999</v>
      </c>
      <c r="N674">
        <v>-0.26200000000000001</v>
      </c>
      <c r="O674">
        <v>0</v>
      </c>
      <c r="P674" t="b">
        <f t="shared" si="21"/>
        <v>0</v>
      </c>
      <c r="Q674" t="str">
        <f t="shared" si="20"/>
        <v>Negative</v>
      </c>
    </row>
    <row r="675" spans="1:17" x14ac:dyDescent="0.3">
      <c r="A675" t="s">
        <v>1234</v>
      </c>
      <c r="B675" t="s">
        <v>66</v>
      </c>
      <c r="C675" t="s">
        <v>28</v>
      </c>
      <c r="D675" t="s">
        <v>73</v>
      </c>
      <c r="E675" t="s">
        <v>38</v>
      </c>
      <c r="F675" t="s">
        <v>34</v>
      </c>
      <c r="G675" s="1">
        <v>45394</v>
      </c>
      <c r="H675" t="s">
        <v>169</v>
      </c>
      <c r="I675">
        <v>2749320</v>
      </c>
      <c r="J675">
        <v>229110</v>
      </c>
      <c r="K675">
        <v>34547</v>
      </c>
      <c r="L675">
        <v>10652</v>
      </c>
      <c r="M675">
        <v>9.98E-2</v>
      </c>
      <c r="N675">
        <v>0.502</v>
      </c>
      <c r="O675">
        <v>1</v>
      </c>
      <c r="P675" t="b">
        <f t="shared" si="21"/>
        <v>1</v>
      </c>
      <c r="Q675" t="str">
        <f t="shared" si="20"/>
        <v>Positive</v>
      </c>
    </row>
    <row r="676" spans="1:17" x14ac:dyDescent="0.3">
      <c r="A676" t="s">
        <v>1235</v>
      </c>
      <c r="B676" t="s">
        <v>27</v>
      </c>
      <c r="C676" t="s">
        <v>23</v>
      </c>
      <c r="D676" t="s">
        <v>54</v>
      </c>
      <c r="E676" t="s">
        <v>58</v>
      </c>
      <c r="F676" t="s">
        <v>46</v>
      </c>
      <c r="G676" s="1">
        <v>45418</v>
      </c>
      <c r="H676" t="s">
        <v>1236</v>
      </c>
      <c r="I676">
        <v>8380188</v>
      </c>
      <c r="J676">
        <v>364356</v>
      </c>
      <c r="K676">
        <v>16720</v>
      </c>
      <c r="L676">
        <v>44410</v>
      </c>
      <c r="M676">
        <v>5.0799999999999998E-2</v>
      </c>
      <c r="N676">
        <v>-0.28999999999999998</v>
      </c>
      <c r="O676">
        <v>1</v>
      </c>
      <c r="P676" t="b">
        <f t="shared" si="21"/>
        <v>1</v>
      </c>
      <c r="Q676" t="str">
        <f t="shared" si="20"/>
        <v>Negative</v>
      </c>
    </row>
    <row r="677" spans="1:17" x14ac:dyDescent="0.3">
      <c r="A677" t="s">
        <v>1237</v>
      </c>
      <c r="B677" t="s">
        <v>32</v>
      </c>
      <c r="C677" t="s">
        <v>61</v>
      </c>
      <c r="D677" t="s">
        <v>29</v>
      </c>
      <c r="E677" t="s">
        <v>58</v>
      </c>
      <c r="F677" t="s">
        <v>20</v>
      </c>
      <c r="G677" s="1">
        <v>45337</v>
      </c>
      <c r="H677" t="s">
        <v>669</v>
      </c>
      <c r="I677">
        <v>4206722</v>
      </c>
      <c r="J677">
        <v>323594</v>
      </c>
      <c r="K677">
        <v>5894</v>
      </c>
      <c r="L677">
        <v>36637</v>
      </c>
      <c r="M677">
        <v>8.6999999999999994E-2</v>
      </c>
      <c r="N677">
        <v>0.29299999999999998</v>
      </c>
      <c r="O677">
        <v>1</v>
      </c>
      <c r="P677" t="b">
        <f t="shared" si="21"/>
        <v>1</v>
      </c>
      <c r="Q677" t="str">
        <f t="shared" si="20"/>
        <v>Positive</v>
      </c>
    </row>
    <row r="678" spans="1:17" x14ac:dyDescent="0.3">
      <c r="A678" t="s">
        <v>1238</v>
      </c>
      <c r="B678" t="s">
        <v>32</v>
      </c>
      <c r="C678" t="s">
        <v>61</v>
      </c>
      <c r="D678" t="s">
        <v>37</v>
      </c>
      <c r="E678" t="s">
        <v>19</v>
      </c>
      <c r="F678" t="s">
        <v>34</v>
      </c>
      <c r="G678" s="1">
        <v>45378</v>
      </c>
      <c r="H678" t="s">
        <v>1108</v>
      </c>
      <c r="I678">
        <v>9414372</v>
      </c>
      <c r="J678">
        <v>427926</v>
      </c>
      <c r="K678">
        <v>10063</v>
      </c>
      <c r="L678">
        <v>74638</v>
      </c>
      <c r="M678">
        <v>5.45E-2</v>
      </c>
      <c r="N678">
        <v>-0.72199999999999998</v>
      </c>
      <c r="O678">
        <v>1</v>
      </c>
      <c r="P678" t="b">
        <f t="shared" si="21"/>
        <v>1</v>
      </c>
      <c r="Q678" t="str">
        <f t="shared" si="20"/>
        <v>Negative</v>
      </c>
    </row>
    <row r="679" spans="1:17" x14ac:dyDescent="0.3">
      <c r="A679" t="s">
        <v>1239</v>
      </c>
      <c r="B679" t="s">
        <v>16</v>
      </c>
      <c r="C679" t="s">
        <v>17</v>
      </c>
      <c r="D679" t="s">
        <v>18</v>
      </c>
      <c r="E679" t="s">
        <v>38</v>
      </c>
      <c r="F679" t="s">
        <v>20</v>
      </c>
      <c r="G679" s="1">
        <v>45294</v>
      </c>
      <c r="H679" t="s">
        <v>277</v>
      </c>
      <c r="I679">
        <v>450100</v>
      </c>
      <c r="J679">
        <v>64300</v>
      </c>
      <c r="K679">
        <v>40317</v>
      </c>
      <c r="L679">
        <v>46620</v>
      </c>
      <c r="M679">
        <v>0.33600000000000002</v>
      </c>
      <c r="N679">
        <v>0.44800000000000001</v>
      </c>
      <c r="O679">
        <v>0</v>
      </c>
      <c r="P679" t="b">
        <f t="shared" si="21"/>
        <v>0</v>
      </c>
      <c r="Q679" t="str">
        <f t="shared" si="20"/>
        <v>Positive</v>
      </c>
    </row>
    <row r="680" spans="1:17" x14ac:dyDescent="0.3">
      <c r="A680" t="s">
        <v>1240</v>
      </c>
      <c r="B680" t="s">
        <v>66</v>
      </c>
      <c r="C680" t="s">
        <v>61</v>
      </c>
      <c r="D680" t="s">
        <v>18</v>
      </c>
      <c r="E680" t="s">
        <v>58</v>
      </c>
      <c r="F680" t="s">
        <v>34</v>
      </c>
      <c r="G680" s="1">
        <v>45292</v>
      </c>
      <c r="H680" t="s">
        <v>1053</v>
      </c>
      <c r="I680">
        <v>3223020</v>
      </c>
      <c r="J680">
        <v>322302</v>
      </c>
      <c r="K680">
        <v>11782</v>
      </c>
      <c r="L680">
        <v>99933</v>
      </c>
      <c r="M680">
        <v>0.13469999999999999</v>
      </c>
      <c r="N680">
        <v>0.65800000000000003</v>
      </c>
      <c r="O680">
        <v>1</v>
      </c>
      <c r="P680" t="b">
        <f t="shared" si="21"/>
        <v>1</v>
      </c>
      <c r="Q680" t="str">
        <f t="shared" si="20"/>
        <v>Positive</v>
      </c>
    </row>
    <row r="681" spans="1:17" x14ac:dyDescent="0.3">
      <c r="A681" t="s">
        <v>1241</v>
      </c>
      <c r="B681" t="s">
        <v>66</v>
      </c>
      <c r="C681" t="s">
        <v>28</v>
      </c>
      <c r="D681" t="s">
        <v>37</v>
      </c>
      <c r="E681" t="s">
        <v>41</v>
      </c>
      <c r="F681" t="s">
        <v>24</v>
      </c>
      <c r="G681" s="1">
        <v>45390</v>
      </c>
      <c r="H681" t="s">
        <v>1242</v>
      </c>
      <c r="I681">
        <v>4718805</v>
      </c>
      <c r="J681">
        <v>224705</v>
      </c>
      <c r="K681">
        <v>6444</v>
      </c>
      <c r="L681">
        <v>22786</v>
      </c>
      <c r="M681">
        <v>5.3800000000000001E-2</v>
      </c>
      <c r="N681">
        <v>0.39</v>
      </c>
      <c r="O681">
        <v>1</v>
      </c>
      <c r="P681" t="b">
        <f t="shared" si="21"/>
        <v>1</v>
      </c>
      <c r="Q681" t="str">
        <f t="shared" si="20"/>
        <v>Positive</v>
      </c>
    </row>
    <row r="682" spans="1:17" x14ac:dyDescent="0.3">
      <c r="A682" t="s">
        <v>1243</v>
      </c>
      <c r="B682" t="s">
        <v>27</v>
      </c>
      <c r="C682" t="s">
        <v>28</v>
      </c>
      <c r="D682" t="s">
        <v>29</v>
      </c>
      <c r="E682" t="s">
        <v>38</v>
      </c>
      <c r="F682" t="s">
        <v>55</v>
      </c>
      <c r="G682" s="1">
        <v>45390</v>
      </c>
      <c r="H682" t="s">
        <v>1244</v>
      </c>
      <c r="I682">
        <v>2553525</v>
      </c>
      <c r="J682">
        <v>94575</v>
      </c>
      <c r="K682">
        <v>2287</v>
      </c>
      <c r="L682">
        <v>34625</v>
      </c>
      <c r="M682">
        <v>5.1499999999999997E-2</v>
      </c>
      <c r="N682">
        <v>0.154</v>
      </c>
      <c r="O682">
        <v>1</v>
      </c>
      <c r="P682" t="b">
        <f t="shared" si="21"/>
        <v>1</v>
      </c>
      <c r="Q682" t="str">
        <f t="shared" si="20"/>
        <v>Positive</v>
      </c>
    </row>
    <row r="683" spans="1:17" x14ac:dyDescent="0.3">
      <c r="A683" t="s">
        <v>1245</v>
      </c>
      <c r="B683" t="s">
        <v>27</v>
      </c>
      <c r="C683" t="s">
        <v>23</v>
      </c>
      <c r="D683" t="s">
        <v>33</v>
      </c>
      <c r="E683" t="s">
        <v>38</v>
      </c>
      <c r="F683" t="s">
        <v>24</v>
      </c>
      <c r="G683" s="1">
        <v>45605</v>
      </c>
      <c r="H683" t="s">
        <v>1246</v>
      </c>
      <c r="I683">
        <v>3420417</v>
      </c>
      <c r="J683">
        <v>162877</v>
      </c>
      <c r="K683">
        <v>38249</v>
      </c>
      <c r="L683">
        <v>74965</v>
      </c>
      <c r="M683">
        <v>8.0699999999999994E-2</v>
      </c>
      <c r="N683">
        <v>-0.56799999999999995</v>
      </c>
      <c r="O683">
        <v>1</v>
      </c>
      <c r="P683" t="b">
        <f t="shared" si="21"/>
        <v>1</v>
      </c>
      <c r="Q683" t="str">
        <f t="shared" si="20"/>
        <v>Negative</v>
      </c>
    </row>
    <row r="684" spans="1:17" x14ac:dyDescent="0.3">
      <c r="A684" t="s">
        <v>1247</v>
      </c>
      <c r="B684" t="s">
        <v>27</v>
      </c>
      <c r="C684" t="s">
        <v>61</v>
      </c>
      <c r="D684" t="s">
        <v>33</v>
      </c>
      <c r="E684" t="s">
        <v>38</v>
      </c>
      <c r="F684" t="s">
        <v>20</v>
      </c>
      <c r="G684" s="1">
        <v>45560</v>
      </c>
      <c r="H684" t="s">
        <v>1248</v>
      </c>
      <c r="I684">
        <v>6859660</v>
      </c>
      <c r="J684">
        <v>236540</v>
      </c>
      <c r="K684">
        <v>7451</v>
      </c>
      <c r="L684">
        <v>50584</v>
      </c>
      <c r="M684">
        <v>4.2900000000000001E-2</v>
      </c>
      <c r="N684">
        <v>-0.86499999999999999</v>
      </c>
      <c r="O684">
        <v>1</v>
      </c>
      <c r="P684" t="b">
        <f t="shared" si="21"/>
        <v>1</v>
      </c>
      <c r="Q684" t="str">
        <f t="shared" si="20"/>
        <v>Negative</v>
      </c>
    </row>
    <row r="685" spans="1:17" x14ac:dyDescent="0.3">
      <c r="A685" t="s">
        <v>1249</v>
      </c>
      <c r="B685" t="s">
        <v>27</v>
      </c>
      <c r="C685" t="s">
        <v>61</v>
      </c>
      <c r="D685" t="s">
        <v>29</v>
      </c>
      <c r="E685" t="s">
        <v>58</v>
      </c>
      <c r="F685" t="s">
        <v>20</v>
      </c>
      <c r="G685" s="1">
        <v>45455</v>
      </c>
      <c r="H685" t="s">
        <v>80</v>
      </c>
      <c r="I685">
        <v>6000720</v>
      </c>
      <c r="J685">
        <v>272760</v>
      </c>
      <c r="K685">
        <v>13754</v>
      </c>
      <c r="L685">
        <v>17515</v>
      </c>
      <c r="M685">
        <v>5.0700000000000002E-2</v>
      </c>
      <c r="N685">
        <v>-0.192</v>
      </c>
      <c r="O685">
        <v>1</v>
      </c>
      <c r="P685" t="b">
        <f t="shared" si="21"/>
        <v>1</v>
      </c>
      <c r="Q685" t="str">
        <f t="shared" si="20"/>
        <v>Negative</v>
      </c>
    </row>
    <row r="686" spans="1:17" x14ac:dyDescent="0.3">
      <c r="A686" t="s">
        <v>1250</v>
      </c>
      <c r="B686" t="s">
        <v>27</v>
      </c>
      <c r="C686" t="s">
        <v>23</v>
      </c>
      <c r="D686" t="s">
        <v>37</v>
      </c>
      <c r="E686" t="s">
        <v>19</v>
      </c>
      <c r="F686" t="s">
        <v>55</v>
      </c>
      <c r="G686" s="1">
        <v>45363</v>
      </c>
      <c r="H686" t="s">
        <v>430</v>
      </c>
      <c r="I686">
        <v>4295840</v>
      </c>
      <c r="J686">
        <v>429584</v>
      </c>
      <c r="K686">
        <v>24955</v>
      </c>
      <c r="L686">
        <v>36789</v>
      </c>
      <c r="M686">
        <v>0.1144</v>
      </c>
      <c r="N686">
        <v>0.57799999999999996</v>
      </c>
      <c r="O686">
        <v>1</v>
      </c>
      <c r="P686" t="b">
        <f t="shared" si="21"/>
        <v>1</v>
      </c>
      <c r="Q686" t="str">
        <f t="shared" si="20"/>
        <v>Positive</v>
      </c>
    </row>
    <row r="687" spans="1:17" x14ac:dyDescent="0.3">
      <c r="A687" t="s">
        <v>1251</v>
      </c>
      <c r="B687" t="s">
        <v>27</v>
      </c>
      <c r="C687" t="s">
        <v>28</v>
      </c>
      <c r="D687" t="s">
        <v>37</v>
      </c>
      <c r="E687" t="s">
        <v>58</v>
      </c>
      <c r="F687" t="s">
        <v>46</v>
      </c>
      <c r="G687" s="1">
        <v>45566</v>
      </c>
      <c r="H687" t="s">
        <v>1252</v>
      </c>
      <c r="I687">
        <v>252889</v>
      </c>
      <c r="J687">
        <v>36127</v>
      </c>
      <c r="K687">
        <v>28016</v>
      </c>
      <c r="L687">
        <v>42850</v>
      </c>
      <c r="M687">
        <v>0.42309999999999998</v>
      </c>
      <c r="N687">
        <v>-0.1</v>
      </c>
      <c r="O687">
        <v>0</v>
      </c>
      <c r="P687" t="b">
        <f t="shared" si="21"/>
        <v>0</v>
      </c>
      <c r="Q687" t="str">
        <f t="shared" si="20"/>
        <v>Negative</v>
      </c>
    </row>
    <row r="688" spans="1:17" x14ac:dyDescent="0.3">
      <c r="A688" t="s">
        <v>1253</v>
      </c>
      <c r="B688" t="s">
        <v>16</v>
      </c>
      <c r="C688" t="s">
        <v>61</v>
      </c>
      <c r="D688" t="s">
        <v>18</v>
      </c>
      <c r="E688" t="s">
        <v>51</v>
      </c>
      <c r="F688" t="s">
        <v>46</v>
      </c>
      <c r="G688" s="1">
        <v>45603</v>
      </c>
      <c r="H688" t="s">
        <v>1254</v>
      </c>
      <c r="I688">
        <v>4956309</v>
      </c>
      <c r="J688">
        <v>183567</v>
      </c>
      <c r="K688">
        <v>39763</v>
      </c>
      <c r="L688">
        <v>54313</v>
      </c>
      <c r="M688">
        <v>5.6000000000000001E-2</v>
      </c>
      <c r="N688">
        <v>-0.36199999999999999</v>
      </c>
      <c r="O688">
        <v>1</v>
      </c>
      <c r="P688" t="b">
        <f t="shared" si="21"/>
        <v>1</v>
      </c>
      <c r="Q688" t="str">
        <f t="shared" si="20"/>
        <v>Negative</v>
      </c>
    </row>
    <row r="689" spans="1:17" x14ac:dyDescent="0.3">
      <c r="A689" t="s">
        <v>1255</v>
      </c>
      <c r="B689" t="s">
        <v>66</v>
      </c>
      <c r="C689" t="s">
        <v>17</v>
      </c>
      <c r="D689" t="s">
        <v>73</v>
      </c>
      <c r="E689" t="s">
        <v>19</v>
      </c>
      <c r="F689" t="s">
        <v>20</v>
      </c>
      <c r="G689" s="1">
        <v>45610</v>
      </c>
      <c r="H689" t="s">
        <v>1256</v>
      </c>
      <c r="I689">
        <v>5661351</v>
      </c>
      <c r="J689">
        <v>195219</v>
      </c>
      <c r="K689">
        <v>47780</v>
      </c>
      <c r="L689">
        <v>75770</v>
      </c>
      <c r="M689">
        <v>5.6300000000000003E-2</v>
      </c>
      <c r="N689">
        <v>-0.94499999999999995</v>
      </c>
      <c r="O689">
        <v>1</v>
      </c>
      <c r="P689" t="b">
        <f t="shared" si="21"/>
        <v>1</v>
      </c>
      <c r="Q689" t="str">
        <f t="shared" si="20"/>
        <v>Negative</v>
      </c>
    </row>
    <row r="690" spans="1:17" x14ac:dyDescent="0.3">
      <c r="A690" t="s">
        <v>1257</v>
      </c>
      <c r="B690" t="s">
        <v>27</v>
      </c>
      <c r="C690" t="s">
        <v>28</v>
      </c>
      <c r="D690" t="s">
        <v>54</v>
      </c>
      <c r="E690" t="s">
        <v>38</v>
      </c>
      <c r="F690" t="s">
        <v>55</v>
      </c>
      <c r="G690" s="1">
        <v>45552</v>
      </c>
      <c r="H690" t="s">
        <v>914</v>
      </c>
      <c r="I690">
        <v>770874</v>
      </c>
      <c r="J690">
        <v>128479</v>
      </c>
      <c r="K690">
        <v>20389</v>
      </c>
      <c r="L690">
        <v>45735</v>
      </c>
      <c r="M690">
        <v>0.25240000000000001</v>
      </c>
      <c r="N690">
        <v>-0.66600000000000004</v>
      </c>
      <c r="O690">
        <v>0</v>
      </c>
      <c r="P690" t="b">
        <f t="shared" si="21"/>
        <v>0</v>
      </c>
      <c r="Q690" t="str">
        <f t="shared" si="20"/>
        <v>Negative</v>
      </c>
    </row>
    <row r="691" spans="1:17" x14ac:dyDescent="0.3">
      <c r="A691" t="s">
        <v>1258</v>
      </c>
      <c r="B691" t="s">
        <v>27</v>
      </c>
      <c r="C691" t="s">
        <v>23</v>
      </c>
      <c r="D691" t="s">
        <v>29</v>
      </c>
      <c r="E691" t="s">
        <v>58</v>
      </c>
      <c r="F691" t="s">
        <v>46</v>
      </c>
      <c r="G691" s="1">
        <v>45399</v>
      </c>
      <c r="H691" t="s">
        <v>567</v>
      </c>
      <c r="I691">
        <v>4230216</v>
      </c>
      <c r="J691">
        <v>470024</v>
      </c>
      <c r="K691">
        <v>16395</v>
      </c>
      <c r="L691">
        <v>68804</v>
      </c>
      <c r="M691">
        <v>0.1313</v>
      </c>
      <c r="N691">
        <v>0.78</v>
      </c>
      <c r="O691">
        <v>1</v>
      </c>
      <c r="P691" t="b">
        <f t="shared" si="21"/>
        <v>1</v>
      </c>
      <c r="Q691" t="str">
        <f t="shared" si="20"/>
        <v>Positive</v>
      </c>
    </row>
    <row r="692" spans="1:17" x14ac:dyDescent="0.3">
      <c r="A692" t="s">
        <v>1259</v>
      </c>
      <c r="B692" t="s">
        <v>16</v>
      </c>
      <c r="C692" t="s">
        <v>61</v>
      </c>
      <c r="D692" t="s">
        <v>18</v>
      </c>
      <c r="E692" t="s">
        <v>58</v>
      </c>
      <c r="F692" t="s">
        <v>55</v>
      </c>
      <c r="G692" s="1">
        <v>45489</v>
      </c>
      <c r="H692" t="s">
        <v>358</v>
      </c>
      <c r="I692">
        <v>5164604</v>
      </c>
      <c r="J692">
        <v>224548</v>
      </c>
      <c r="K692">
        <v>18995</v>
      </c>
      <c r="L692">
        <v>44180</v>
      </c>
      <c r="M692">
        <v>5.57E-2</v>
      </c>
      <c r="N692">
        <v>-0.94899999999999995</v>
      </c>
      <c r="O692">
        <v>1</v>
      </c>
      <c r="P692" t="b">
        <f t="shared" si="21"/>
        <v>1</v>
      </c>
      <c r="Q692" t="str">
        <f t="shared" si="20"/>
        <v>Negative</v>
      </c>
    </row>
    <row r="693" spans="1:17" x14ac:dyDescent="0.3">
      <c r="A693" t="s">
        <v>1260</v>
      </c>
      <c r="B693" t="s">
        <v>66</v>
      </c>
      <c r="C693" t="s">
        <v>61</v>
      </c>
      <c r="D693" t="s">
        <v>37</v>
      </c>
      <c r="E693" t="s">
        <v>51</v>
      </c>
      <c r="F693" t="s">
        <v>20</v>
      </c>
      <c r="G693" s="1">
        <v>45293</v>
      </c>
      <c r="H693" t="s">
        <v>1261</v>
      </c>
      <c r="I693">
        <v>2118361</v>
      </c>
      <c r="J693">
        <v>302623</v>
      </c>
      <c r="K693">
        <v>17302</v>
      </c>
      <c r="L693">
        <v>2012</v>
      </c>
      <c r="M693">
        <v>0.152</v>
      </c>
      <c r="N693">
        <v>-0.31900000000000001</v>
      </c>
      <c r="O693">
        <v>1</v>
      </c>
      <c r="P693" t="b">
        <f t="shared" si="21"/>
        <v>1</v>
      </c>
      <c r="Q693" t="str">
        <f t="shared" si="20"/>
        <v>Negative</v>
      </c>
    </row>
    <row r="694" spans="1:17" x14ac:dyDescent="0.3">
      <c r="A694" t="s">
        <v>1262</v>
      </c>
      <c r="B694" t="s">
        <v>32</v>
      </c>
      <c r="C694" t="s">
        <v>28</v>
      </c>
      <c r="D694" t="s">
        <v>54</v>
      </c>
      <c r="E694" t="s">
        <v>58</v>
      </c>
      <c r="F694" t="s">
        <v>55</v>
      </c>
      <c r="G694" s="1">
        <v>45455</v>
      </c>
      <c r="H694" t="s">
        <v>1263</v>
      </c>
      <c r="I694">
        <v>3648990</v>
      </c>
      <c r="J694">
        <v>243266</v>
      </c>
      <c r="K694">
        <v>11743</v>
      </c>
      <c r="L694">
        <v>94334</v>
      </c>
      <c r="M694">
        <v>9.5699999999999993E-2</v>
      </c>
      <c r="N694">
        <v>-0.378</v>
      </c>
      <c r="O694">
        <v>1</v>
      </c>
      <c r="P694" t="b">
        <f t="shared" si="21"/>
        <v>1</v>
      </c>
      <c r="Q694" t="str">
        <f t="shared" si="20"/>
        <v>Negative</v>
      </c>
    </row>
    <row r="695" spans="1:17" x14ac:dyDescent="0.3">
      <c r="A695" t="s">
        <v>1264</v>
      </c>
      <c r="B695" t="s">
        <v>66</v>
      </c>
      <c r="C695" t="s">
        <v>17</v>
      </c>
      <c r="D695" t="s">
        <v>37</v>
      </c>
      <c r="E695" t="s">
        <v>51</v>
      </c>
      <c r="F695" t="s">
        <v>55</v>
      </c>
      <c r="G695" s="1">
        <v>45564</v>
      </c>
      <c r="H695" t="s">
        <v>1265</v>
      </c>
      <c r="I695">
        <v>2412498</v>
      </c>
      <c r="J695">
        <v>402083</v>
      </c>
      <c r="K695">
        <v>22857</v>
      </c>
      <c r="L695">
        <v>79240</v>
      </c>
      <c r="M695">
        <v>0.20899999999999999</v>
      </c>
      <c r="N695">
        <v>0.68300000000000005</v>
      </c>
      <c r="O695">
        <v>1</v>
      </c>
      <c r="P695" t="b">
        <f t="shared" si="21"/>
        <v>1</v>
      </c>
      <c r="Q695" t="str">
        <f t="shared" si="20"/>
        <v>Positive</v>
      </c>
    </row>
    <row r="696" spans="1:17" x14ac:dyDescent="0.3">
      <c r="A696" t="s">
        <v>1266</v>
      </c>
      <c r="B696" t="s">
        <v>32</v>
      </c>
      <c r="C696" t="s">
        <v>17</v>
      </c>
      <c r="D696" t="s">
        <v>33</v>
      </c>
      <c r="E696" t="s">
        <v>41</v>
      </c>
      <c r="F696" t="s">
        <v>24</v>
      </c>
      <c r="G696" s="1">
        <v>45401</v>
      </c>
      <c r="H696" t="s">
        <v>104</v>
      </c>
      <c r="I696">
        <v>733400</v>
      </c>
      <c r="J696">
        <v>91675</v>
      </c>
      <c r="K696">
        <v>48618</v>
      </c>
      <c r="L696">
        <v>95041</v>
      </c>
      <c r="M696">
        <v>0.32090000000000002</v>
      </c>
      <c r="N696">
        <v>-0.66500000000000004</v>
      </c>
      <c r="O696">
        <v>0</v>
      </c>
      <c r="P696" t="b">
        <f t="shared" si="21"/>
        <v>0</v>
      </c>
      <c r="Q696" t="str">
        <f t="shared" si="20"/>
        <v>Negative</v>
      </c>
    </row>
    <row r="697" spans="1:17" x14ac:dyDescent="0.3">
      <c r="A697" t="s">
        <v>1267</v>
      </c>
      <c r="B697" t="s">
        <v>32</v>
      </c>
      <c r="C697" t="s">
        <v>28</v>
      </c>
      <c r="D697" t="s">
        <v>33</v>
      </c>
      <c r="E697" t="s">
        <v>38</v>
      </c>
      <c r="F697" t="s">
        <v>46</v>
      </c>
      <c r="G697" s="1">
        <v>45572</v>
      </c>
      <c r="H697" t="s">
        <v>1268</v>
      </c>
      <c r="I697">
        <v>12200524</v>
      </c>
      <c r="J697">
        <v>435733</v>
      </c>
      <c r="K697">
        <v>39753</v>
      </c>
      <c r="L697">
        <v>7070</v>
      </c>
      <c r="M697">
        <v>3.9600000000000003E-2</v>
      </c>
      <c r="N697">
        <v>0.95499999999999996</v>
      </c>
      <c r="O697">
        <v>1</v>
      </c>
      <c r="P697" t="b">
        <f t="shared" si="21"/>
        <v>1</v>
      </c>
      <c r="Q697" t="str">
        <f t="shared" si="20"/>
        <v>Positive</v>
      </c>
    </row>
    <row r="698" spans="1:17" x14ac:dyDescent="0.3">
      <c r="A698" t="s">
        <v>1269</v>
      </c>
      <c r="B698" t="s">
        <v>27</v>
      </c>
      <c r="C698" t="s">
        <v>17</v>
      </c>
      <c r="D698" t="s">
        <v>29</v>
      </c>
      <c r="E698" t="s">
        <v>51</v>
      </c>
      <c r="F698" t="s">
        <v>24</v>
      </c>
      <c r="G698" s="1">
        <v>45323</v>
      </c>
      <c r="H698" t="s">
        <v>607</v>
      </c>
      <c r="I698">
        <v>4048812</v>
      </c>
      <c r="J698">
        <v>224934</v>
      </c>
      <c r="K698">
        <v>4657</v>
      </c>
      <c r="L698">
        <v>89860</v>
      </c>
      <c r="M698">
        <v>7.8899999999999998E-2</v>
      </c>
      <c r="N698">
        <v>-0.93799999999999994</v>
      </c>
      <c r="O698">
        <v>1</v>
      </c>
      <c r="P698" t="b">
        <f t="shared" si="21"/>
        <v>1</v>
      </c>
      <c r="Q698" t="str">
        <f t="shared" si="20"/>
        <v>Negative</v>
      </c>
    </row>
    <row r="699" spans="1:17" x14ac:dyDescent="0.3">
      <c r="A699" t="s">
        <v>1270</v>
      </c>
      <c r="B699" t="s">
        <v>27</v>
      </c>
      <c r="C699" t="s">
        <v>17</v>
      </c>
      <c r="D699" t="s">
        <v>18</v>
      </c>
      <c r="E699" t="s">
        <v>41</v>
      </c>
      <c r="F699" t="s">
        <v>46</v>
      </c>
      <c r="G699" s="1">
        <v>45628</v>
      </c>
      <c r="H699" t="s">
        <v>1108</v>
      </c>
      <c r="I699">
        <v>4675877</v>
      </c>
      <c r="J699">
        <v>203299</v>
      </c>
      <c r="K699">
        <v>49119</v>
      </c>
      <c r="L699">
        <v>91370</v>
      </c>
      <c r="M699">
        <v>7.3499999999999996E-2</v>
      </c>
      <c r="N699">
        <v>-0.95299999999999996</v>
      </c>
      <c r="O699">
        <v>1</v>
      </c>
      <c r="P699" t="b">
        <f t="shared" si="21"/>
        <v>1</v>
      </c>
      <c r="Q699" t="str">
        <f t="shared" si="20"/>
        <v>Negative</v>
      </c>
    </row>
    <row r="700" spans="1:17" x14ac:dyDescent="0.3">
      <c r="A700" t="s">
        <v>1271</v>
      </c>
      <c r="B700" t="s">
        <v>27</v>
      </c>
      <c r="C700" t="s">
        <v>17</v>
      </c>
      <c r="D700" t="s">
        <v>54</v>
      </c>
      <c r="E700" t="s">
        <v>41</v>
      </c>
      <c r="F700" t="s">
        <v>55</v>
      </c>
      <c r="G700" s="1">
        <v>45496</v>
      </c>
      <c r="H700" t="s">
        <v>708</v>
      </c>
      <c r="I700">
        <v>4256910</v>
      </c>
      <c r="J700">
        <v>472990</v>
      </c>
      <c r="K700">
        <v>2174</v>
      </c>
      <c r="L700">
        <v>84093</v>
      </c>
      <c r="M700">
        <v>0.13139999999999999</v>
      </c>
      <c r="N700">
        <v>0.91200000000000003</v>
      </c>
      <c r="O700">
        <v>1</v>
      </c>
      <c r="P700" t="b">
        <f t="shared" si="21"/>
        <v>1</v>
      </c>
      <c r="Q700" t="str">
        <f t="shared" si="20"/>
        <v>Positive</v>
      </c>
    </row>
    <row r="701" spans="1:17" x14ac:dyDescent="0.3">
      <c r="A701" t="s">
        <v>1272</v>
      </c>
      <c r="B701" t="s">
        <v>16</v>
      </c>
      <c r="C701" t="s">
        <v>61</v>
      </c>
      <c r="D701" t="s">
        <v>18</v>
      </c>
      <c r="E701" t="s">
        <v>38</v>
      </c>
      <c r="F701" t="s">
        <v>55</v>
      </c>
      <c r="G701" s="1">
        <v>45657</v>
      </c>
      <c r="H701" t="s">
        <v>882</v>
      </c>
      <c r="I701">
        <v>81360</v>
      </c>
      <c r="J701">
        <v>8136</v>
      </c>
      <c r="K701">
        <v>31783</v>
      </c>
      <c r="L701">
        <v>27735</v>
      </c>
      <c r="M701">
        <v>0.83150000000000002</v>
      </c>
      <c r="N701">
        <v>0.20599999999999999</v>
      </c>
      <c r="O701">
        <v>0</v>
      </c>
      <c r="P701" t="b">
        <f t="shared" si="21"/>
        <v>0</v>
      </c>
      <c r="Q701" t="str">
        <f t="shared" si="20"/>
        <v>Positive</v>
      </c>
    </row>
    <row r="702" spans="1:17" x14ac:dyDescent="0.3">
      <c r="A702" t="s">
        <v>1273</v>
      </c>
      <c r="B702" t="s">
        <v>27</v>
      </c>
      <c r="C702" t="s">
        <v>28</v>
      </c>
      <c r="D702" t="s">
        <v>33</v>
      </c>
      <c r="E702" t="s">
        <v>38</v>
      </c>
      <c r="F702" t="s">
        <v>55</v>
      </c>
      <c r="G702" s="1">
        <v>45523</v>
      </c>
      <c r="H702" t="s">
        <v>1274</v>
      </c>
      <c r="I702">
        <v>3448399</v>
      </c>
      <c r="J702">
        <v>202847</v>
      </c>
      <c r="K702">
        <v>6349</v>
      </c>
      <c r="L702">
        <v>18801</v>
      </c>
      <c r="M702">
        <v>6.6100000000000006E-2</v>
      </c>
      <c r="N702">
        <v>0.214</v>
      </c>
      <c r="O702">
        <v>1</v>
      </c>
      <c r="P702" t="b">
        <f t="shared" si="21"/>
        <v>1</v>
      </c>
      <c r="Q702" t="str">
        <f t="shared" si="20"/>
        <v>Positive</v>
      </c>
    </row>
    <row r="703" spans="1:17" x14ac:dyDescent="0.3">
      <c r="A703" t="s">
        <v>1275</v>
      </c>
      <c r="B703" t="s">
        <v>27</v>
      </c>
      <c r="C703" t="s">
        <v>17</v>
      </c>
      <c r="D703" t="s">
        <v>37</v>
      </c>
      <c r="E703" t="s">
        <v>51</v>
      </c>
      <c r="F703" t="s">
        <v>20</v>
      </c>
      <c r="G703" s="1">
        <v>45536</v>
      </c>
      <c r="H703" t="s">
        <v>1276</v>
      </c>
      <c r="I703">
        <v>8165780</v>
      </c>
      <c r="J703">
        <v>408289</v>
      </c>
      <c r="K703">
        <v>5624</v>
      </c>
      <c r="L703">
        <v>59501</v>
      </c>
      <c r="M703">
        <v>5.8000000000000003E-2</v>
      </c>
      <c r="N703">
        <v>0.54700000000000004</v>
      </c>
      <c r="O703">
        <v>1</v>
      </c>
      <c r="P703" t="b">
        <f t="shared" si="21"/>
        <v>1</v>
      </c>
      <c r="Q703" t="str">
        <f t="shared" si="20"/>
        <v>Positive</v>
      </c>
    </row>
    <row r="704" spans="1:17" x14ac:dyDescent="0.3">
      <c r="A704" t="s">
        <v>1277</v>
      </c>
      <c r="B704" t="s">
        <v>16</v>
      </c>
      <c r="C704" t="s">
        <v>61</v>
      </c>
      <c r="D704" t="s">
        <v>37</v>
      </c>
      <c r="E704" t="s">
        <v>51</v>
      </c>
      <c r="F704" t="s">
        <v>55</v>
      </c>
      <c r="G704" s="1">
        <v>45334</v>
      </c>
      <c r="H704" t="s">
        <v>1278</v>
      </c>
      <c r="I704">
        <v>584136</v>
      </c>
      <c r="J704">
        <v>27816</v>
      </c>
      <c r="K704">
        <v>3241</v>
      </c>
      <c r="L704">
        <v>15849</v>
      </c>
      <c r="M704">
        <v>8.0299999999999996E-2</v>
      </c>
      <c r="N704">
        <v>6.5000000000000002E-2</v>
      </c>
      <c r="O704">
        <v>0</v>
      </c>
      <c r="P704" t="b">
        <f t="shared" si="21"/>
        <v>0</v>
      </c>
      <c r="Q704" t="str">
        <f t="shared" si="20"/>
        <v>Positive</v>
      </c>
    </row>
    <row r="705" spans="1:17" x14ac:dyDescent="0.3">
      <c r="A705" t="s">
        <v>1279</v>
      </c>
      <c r="B705" t="s">
        <v>66</v>
      </c>
      <c r="C705" t="s">
        <v>61</v>
      </c>
      <c r="D705" t="s">
        <v>73</v>
      </c>
      <c r="E705" t="s">
        <v>19</v>
      </c>
      <c r="F705" t="s">
        <v>55</v>
      </c>
      <c r="G705" s="1">
        <v>45449</v>
      </c>
      <c r="H705" t="s">
        <v>597</v>
      </c>
      <c r="I705">
        <v>233712</v>
      </c>
      <c r="J705">
        <v>8656</v>
      </c>
      <c r="K705">
        <v>21305</v>
      </c>
      <c r="L705">
        <v>5499</v>
      </c>
      <c r="M705">
        <v>0.1517</v>
      </c>
      <c r="N705">
        <v>-0.11899999999999999</v>
      </c>
      <c r="O705">
        <v>0</v>
      </c>
      <c r="P705" t="b">
        <f t="shared" si="21"/>
        <v>0</v>
      </c>
      <c r="Q705" t="str">
        <f t="shared" si="20"/>
        <v>Negative</v>
      </c>
    </row>
    <row r="706" spans="1:17" x14ac:dyDescent="0.3">
      <c r="A706" t="s">
        <v>1280</v>
      </c>
      <c r="B706" t="s">
        <v>16</v>
      </c>
      <c r="C706" t="s">
        <v>23</v>
      </c>
      <c r="D706" t="s">
        <v>18</v>
      </c>
      <c r="E706" t="s">
        <v>58</v>
      </c>
      <c r="F706" t="s">
        <v>55</v>
      </c>
      <c r="G706" s="1">
        <v>45646</v>
      </c>
      <c r="H706" t="s">
        <v>686</v>
      </c>
      <c r="I706">
        <v>7862673</v>
      </c>
      <c r="J706">
        <v>374413</v>
      </c>
      <c r="K706">
        <v>9574</v>
      </c>
      <c r="L706">
        <v>56883</v>
      </c>
      <c r="M706">
        <v>5.6099999999999997E-2</v>
      </c>
      <c r="N706">
        <v>1.4999999999999999E-2</v>
      </c>
      <c r="O706">
        <v>1</v>
      </c>
      <c r="P706" t="b">
        <f t="shared" si="21"/>
        <v>1</v>
      </c>
      <c r="Q706" t="str">
        <f t="shared" ref="Q706:Q769" si="22">IF(N706&gt;0,"Positive","Negative")</f>
        <v>Positive</v>
      </c>
    </row>
    <row r="707" spans="1:17" x14ac:dyDescent="0.3">
      <c r="A707" t="s">
        <v>1281</v>
      </c>
      <c r="B707" t="s">
        <v>66</v>
      </c>
      <c r="C707" t="s">
        <v>61</v>
      </c>
      <c r="D707" t="s">
        <v>54</v>
      </c>
      <c r="E707" t="s">
        <v>51</v>
      </c>
      <c r="F707" t="s">
        <v>24</v>
      </c>
      <c r="G707" s="1">
        <v>45388</v>
      </c>
      <c r="H707" t="s">
        <v>447</v>
      </c>
      <c r="I707">
        <v>1236030</v>
      </c>
      <c r="J707">
        <v>82402</v>
      </c>
      <c r="K707">
        <v>26137</v>
      </c>
      <c r="L707">
        <v>74028</v>
      </c>
      <c r="M707">
        <v>0.1477</v>
      </c>
      <c r="N707">
        <v>0.115</v>
      </c>
      <c r="O707">
        <v>0</v>
      </c>
      <c r="P707" t="b">
        <f t="shared" ref="P707:P770" si="23">IF(O707=1,TRUE,FALSE)</f>
        <v>0</v>
      </c>
      <c r="Q707" t="str">
        <f t="shared" si="22"/>
        <v>Positive</v>
      </c>
    </row>
    <row r="708" spans="1:17" x14ac:dyDescent="0.3">
      <c r="A708" t="s">
        <v>1282</v>
      </c>
      <c r="B708" t="s">
        <v>66</v>
      </c>
      <c r="C708" t="s">
        <v>28</v>
      </c>
      <c r="D708" t="s">
        <v>18</v>
      </c>
      <c r="E708" t="s">
        <v>51</v>
      </c>
      <c r="F708" t="s">
        <v>55</v>
      </c>
      <c r="G708" s="1">
        <v>45427</v>
      </c>
      <c r="H708" t="s">
        <v>1283</v>
      </c>
      <c r="I708">
        <v>13119848</v>
      </c>
      <c r="J708">
        <v>468566</v>
      </c>
      <c r="K708">
        <v>19845</v>
      </c>
      <c r="L708">
        <v>99932</v>
      </c>
      <c r="M708">
        <v>4.48E-2</v>
      </c>
      <c r="N708">
        <v>0.999</v>
      </c>
      <c r="O708">
        <v>1</v>
      </c>
      <c r="P708" t="b">
        <f t="shared" si="23"/>
        <v>1</v>
      </c>
      <c r="Q708" t="str">
        <f t="shared" si="22"/>
        <v>Positive</v>
      </c>
    </row>
    <row r="709" spans="1:17" x14ac:dyDescent="0.3">
      <c r="A709" t="s">
        <v>1284</v>
      </c>
      <c r="B709" t="s">
        <v>16</v>
      </c>
      <c r="C709" t="s">
        <v>28</v>
      </c>
      <c r="D709" t="s">
        <v>73</v>
      </c>
      <c r="E709" t="s">
        <v>19</v>
      </c>
      <c r="F709" t="s">
        <v>55</v>
      </c>
      <c r="G709" s="1">
        <v>45413</v>
      </c>
      <c r="H709" t="s">
        <v>1285</v>
      </c>
      <c r="I709">
        <v>871056</v>
      </c>
      <c r="J709">
        <v>37872</v>
      </c>
      <c r="K709">
        <v>26767</v>
      </c>
      <c r="L709">
        <v>13284</v>
      </c>
      <c r="M709">
        <v>8.9499999999999996E-2</v>
      </c>
      <c r="N709">
        <v>0.56499999999999995</v>
      </c>
      <c r="O709">
        <v>0</v>
      </c>
      <c r="P709" t="b">
        <f t="shared" si="23"/>
        <v>0</v>
      </c>
      <c r="Q709" t="str">
        <f t="shared" si="22"/>
        <v>Positive</v>
      </c>
    </row>
    <row r="710" spans="1:17" x14ac:dyDescent="0.3">
      <c r="A710" t="s">
        <v>1286</v>
      </c>
      <c r="B710" t="s">
        <v>66</v>
      </c>
      <c r="C710" t="s">
        <v>23</v>
      </c>
      <c r="D710" t="s">
        <v>29</v>
      </c>
      <c r="E710" t="s">
        <v>58</v>
      </c>
      <c r="F710" t="s">
        <v>20</v>
      </c>
      <c r="G710" s="1">
        <v>45486</v>
      </c>
      <c r="H710" t="s">
        <v>1287</v>
      </c>
      <c r="I710">
        <v>4168008</v>
      </c>
      <c r="J710">
        <v>347334</v>
      </c>
      <c r="K710">
        <v>20224</v>
      </c>
      <c r="L710">
        <v>57170</v>
      </c>
      <c r="M710">
        <v>0.1019</v>
      </c>
      <c r="N710">
        <v>-0.34799999999999998</v>
      </c>
      <c r="O710">
        <v>1</v>
      </c>
      <c r="P710" t="b">
        <f t="shared" si="23"/>
        <v>1</v>
      </c>
      <c r="Q710" t="str">
        <f t="shared" si="22"/>
        <v>Negative</v>
      </c>
    </row>
    <row r="711" spans="1:17" x14ac:dyDescent="0.3">
      <c r="A711" t="s">
        <v>1288</v>
      </c>
      <c r="B711" t="s">
        <v>66</v>
      </c>
      <c r="C711" t="s">
        <v>61</v>
      </c>
      <c r="D711" t="s">
        <v>18</v>
      </c>
      <c r="E711" t="s">
        <v>19</v>
      </c>
      <c r="F711" t="s">
        <v>24</v>
      </c>
      <c r="G711" s="1">
        <v>45548</v>
      </c>
      <c r="H711" t="s">
        <v>1289</v>
      </c>
      <c r="I711">
        <v>1582803</v>
      </c>
      <c r="J711">
        <v>175867</v>
      </c>
      <c r="K711">
        <v>39678</v>
      </c>
      <c r="L711">
        <v>84755</v>
      </c>
      <c r="M711">
        <v>0.18970000000000001</v>
      </c>
      <c r="N711">
        <v>0.46200000000000002</v>
      </c>
      <c r="O711">
        <v>0</v>
      </c>
      <c r="P711" t="b">
        <f t="shared" si="23"/>
        <v>0</v>
      </c>
      <c r="Q711" t="str">
        <f t="shared" si="22"/>
        <v>Positive</v>
      </c>
    </row>
    <row r="712" spans="1:17" x14ac:dyDescent="0.3">
      <c r="A712" t="s">
        <v>1290</v>
      </c>
      <c r="B712" t="s">
        <v>16</v>
      </c>
      <c r="C712" t="s">
        <v>61</v>
      </c>
      <c r="D712" t="s">
        <v>33</v>
      </c>
      <c r="E712" t="s">
        <v>51</v>
      </c>
      <c r="F712" t="s">
        <v>46</v>
      </c>
      <c r="G712" s="1">
        <v>45452</v>
      </c>
      <c r="H712" t="s">
        <v>757</v>
      </c>
      <c r="I712">
        <v>3152583</v>
      </c>
      <c r="J712">
        <v>150123</v>
      </c>
      <c r="K712">
        <v>1312</v>
      </c>
      <c r="L712">
        <v>80389</v>
      </c>
      <c r="M712">
        <v>7.3499999999999996E-2</v>
      </c>
      <c r="N712">
        <v>0.42199999999999999</v>
      </c>
      <c r="O712">
        <v>1</v>
      </c>
      <c r="P712" t="b">
        <f t="shared" si="23"/>
        <v>1</v>
      </c>
      <c r="Q712" t="str">
        <f t="shared" si="22"/>
        <v>Positive</v>
      </c>
    </row>
    <row r="713" spans="1:17" x14ac:dyDescent="0.3">
      <c r="A713" t="s">
        <v>1291</v>
      </c>
      <c r="B713" t="s">
        <v>16</v>
      </c>
      <c r="C713" t="s">
        <v>28</v>
      </c>
      <c r="D713" t="s">
        <v>18</v>
      </c>
      <c r="E713" t="s">
        <v>19</v>
      </c>
      <c r="F713" t="s">
        <v>20</v>
      </c>
      <c r="G713" s="1">
        <v>45472</v>
      </c>
      <c r="H713" t="s">
        <v>1292</v>
      </c>
      <c r="I713">
        <v>8856625</v>
      </c>
      <c r="J713">
        <v>354265</v>
      </c>
      <c r="K713">
        <v>10243</v>
      </c>
      <c r="L713">
        <v>38976</v>
      </c>
      <c r="M713">
        <v>4.5600000000000002E-2</v>
      </c>
      <c r="N713">
        <v>0.19800000000000001</v>
      </c>
      <c r="O713">
        <v>1</v>
      </c>
      <c r="P713" t="b">
        <f t="shared" si="23"/>
        <v>1</v>
      </c>
      <c r="Q713" t="str">
        <f t="shared" si="22"/>
        <v>Positive</v>
      </c>
    </row>
    <row r="714" spans="1:17" x14ac:dyDescent="0.3">
      <c r="A714" t="s">
        <v>1293</v>
      </c>
      <c r="B714" t="s">
        <v>16</v>
      </c>
      <c r="C714" t="s">
        <v>17</v>
      </c>
      <c r="D714" t="s">
        <v>18</v>
      </c>
      <c r="E714" t="s">
        <v>51</v>
      </c>
      <c r="F714" t="s">
        <v>20</v>
      </c>
      <c r="G714" s="1">
        <v>45650</v>
      </c>
      <c r="H714" t="s">
        <v>156</v>
      </c>
      <c r="I714">
        <v>4618640</v>
      </c>
      <c r="J714">
        <v>288665</v>
      </c>
      <c r="K714">
        <v>1713</v>
      </c>
      <c r="L714">
        <v>3631</v>
      </c>
      <c r="M714">
        <v>6.3700000000000007E-2</v>
      </c>
      <c r="N714">
        <v>-0.92400000000000004</v>
      </c>
      <c r="O714">
        <v>1</v>
      </c>
      <c r="P714" t="b">
        <f t="shared" si="23"/>
        <v>1</v>
      </c>
      <c r="Q714" t="str">
        <f t="shared" si="22"/>
        <v>Negative</v>
      </c>
    </row>
    <row r="715" spans="1:17" x14ac:dyDescent="0.3">
      <c r="A715" t="s">
        <v>1294</v>
      </c>
      <c r="B715" t="s">
        <v>27</v>
      </c>
      <c r="C715" t="s">
        <v>23</v>
      </c>
      <c r="D715" t="s">
        <v>37</v>
      </c>
      <c r="E715" t="s">
        <v>58</v>
      </c>
      <c r="F715" t="s">
        <v>24</v>
      </c>
      <c r="G715" s="1">
        <v>45308</v>
      </c>
      <c r="H715" t="s">
        <v>1295</v>
      </c>
      <c r="I715">
        <v>404001</v>
      </c>
      <c r="J715">
        <v>44889</v>
      </c>
      <c r="K715">
        <v>26091</v>
      </c>
      <c r="L715">
        <v>16860</v>
      </c>
      <c r="M715">
        <v>0.21740000000000001</v>
      </c>
      <c r="N715">
        <v>0.58799999999999997</v>
      </c>
      <c r="O715">
        <v>0</v>
      </c>
      <c r="P715" t="b">
        <f t="shared" si="23"/>
        <v>0</v>
      </c>
      <c r="Q715" t="str">
        <f t="shared" si="22"/>
        <v>Positive</v>
      </c>
    </row>
    <row r="716" spans="1:17" x14ac:dyDescent="0.3">
      <c r="A716" t="s">
        <v>1296</v>
      </c>
      <c r="B716" t="s">
        <v>27</v>
      </c>
      <c r="C716" t="s">
        <v>17</v>
      </c>
      <c r="D716" t="s">
        <v>54</v>
      </c>
      <c r="E716" t="s">
        <v>58</v>
      </c>
      <c r="F716" t="s">
        <v>24</v>
      </c>
      <c r="G716" s="1">
        <v>45383</v>
      </c>
      <c r="H716" t="s">
        <v>1046</v>
      </c>
      <c r="I716">
        <v>739184</v>
      </c>
      <c r="J716">
        <v>46199</v>
      </c>
      <c r="K716">
        <v>1965</v>
      </c>
      <c r="L716">
        <v>66094</v>
      </c>
      <c r="M716">
        <v>0.15459999999999999</v>
      </c>
      <c r="N716">
        <v>0.93899999999999995</v>
      </c>
      <c r="O716">
        <v>0</v>
      </c>
      <c r="P716" t="b">
        <f t="shared" si="23"/>
        <v>0</v>
      </c>
      <c r="Q716" t="str">
        <f t="shared" si="22"/>
        <v>Positive</v>
      </c>
    </row>
    <row r="717" spans="1:17" x14ac:dyDescent="0.3">
      <c r="A717" t="s">
        <v>1297</v>
      </c>
      <c r="B717" t="s">
        <v>32</v>
      </c>
      <c r="C717" t="s">
        <v>28</v>
      </c>
      <c r="D717" t="s">
        <v>37</v>
      </c>
      <c r="E717" t="s">
        <v>58</v>
      </c>
      <c r="F717" t="s">
        <v>20</v>
      </c>
      <c r="G717" s="1">
        <v>45536</v>
      </c>
      <c r="H717" t="s">
        <v>1298</v>
      </c>
      <c r="I717">
        <v>1064288</v>
      </c>
      <c r="J717">
        <v>66518</v>
      </c>
      <c r="K717">
        <v>37534</v>
      </c>
      <c r="L717">
        <v>60012</v>
      </c>
      <c r="M717">
        <v>0.1542</v>
      </c>
      <c r="N717">
        <v>0.50900000000000001</v>
      </c>
      <c r="O717">
        <v>0</v>
      </c>
      <c r="P717" t="b">
        <f t="shared" si="23"/>
        <v>0</v>
      </c>
      <c r="Q717" t="str">
        <f t="shared" si="22"/>
        <v>Positive</v>
      </c>
    </row>
    <row r="718" spans="1:17" x14ac:dyDescent="0.3">
      <c r="A718" t="s">
        <v>1299</v>
      </c>
      <c r="B718" t="s">
        <v>16</v>
      </c>
      <c r="C718" t="s">
        <v>17</v>
      </c>
      <c r="D718" t="s">
        <v>29</v>
      </c>
      <c r="E718" t="s">
        <v>19</v>
      </c>
      <c r="F718" t="s">
        <v>46</v>
      </c>
      <c r="G718" s="1">
        <v>45536</v>
      </c>
      <c r="H718" t="s">
        <v>1300</v>
      </c>
      <c r="I718">
        <v>3773768</v>
      </c>
      <c r="J718">
        <v>471721</v>
      </c>
      <c r="K718">
        <v>7171</v>
      </c>
      <c r="L718">
        <v>78519</v>
      </c>
      <c r="M718">
        <v>0.1477</v>
      </c>
      <c r="N718">
        <v>-0.42799999999999999</v>
      </c>
      <c r="O718">
        <v>1</v>
      </c>
      <c r="P718" t="b">
        <f t="shared" si="23"/>
        <v>1</v>
      </c>
      <c r="Q718" t="str">
        <f t="shared" si="22"/>
        <v>Negative</v>
      </c>
    </row>
    <row r="719" spans="1:17" x14ac:dyDescent="0.3">
      <c r="A719" t="s">
        <v>1301</v>
      </c>
      <c r="B719" t="s">
        <v>27</v>
      </c>
      <c r="C719" t="s">
        <v>23</v>
      </c>
      <c r="D719" t="s">
        <v>37</v>
      </c>
      <c r="E719" t="s">
        <v>58</v>
      </c>
      <c r="F719" t="s">
        <v>20</v>
      </c>
      <c r="G719" s="1">
        <v>45572</v>
      </c>
      <c r="H719" t="s">
        <v>1302</v>
      </c>
      <c r="I719">
        <v>8006220</v>
      </c>
      <c r="J719">
        <v>421380</v>
      </c>
      <c r="K719">
        <v>13532</v>
      </c>
      <c r="L719">
        <v>2455</v>
      </c>
      <c r="M719">
        <v>5.4600000000000003E-2</v>
      </c>
      <c r="N719">
        <v>0.21199999999999999</v>
      </c>
      <c r="O719">
        <v>1</v>
      </c>
      <c r="P719" t="b">
        <f t="shared" si="23"/>
        <v>1</v>
      </c>
      <c r="Q719" t="str">
        <f t="shared" si="22"/>
        <v>Positive</v>
      </c>
    </row>
    <row r="720" spans="1:17" x14ac:dyDescent="0.3">
      <c r="A720" t="s">
        <v>1303</v>
      </c>
      <c r="B720" t="s">
        <v>16</v>
      </c>
      <c r="C720" t="s">
        <v>61</v>
      </c>
      <c r="D720" t="s">
        <v>54</v>
      </c>
      <c r="E720" t="s">
        <v>38</v>
      </c>
      <c r="F720" t="s">
        <v>46</v>
      </c>
      <c r="G720" s="1">
        <v>45619</v>
      </c>
      <c r="H720" t="s">
        <v>757</v>
      </c>
      <c r="I720">
        <v>3027423</v>
      </c>
      <c r="J720">
        <v>144163</v>
      </c>
      <c r="K720">
        <v>2813</v>
      </c>
      <c r="L720">
        <v>36594</v>
      </c>
      <c r="M720">
        <v>6.0600000000000001E-2</v>
      </c>
      <c r="N720">
        <v>0.73099999999999998</v>
      </c>
      <c r="O720">
        <v>1</v>
      </c>
      <c r="P720" t="b">
        <f t="shared" si="23"/>
        <v>1</v>
      </c>
      <c r="Q720" t="str">
        <f t="shared" si="22"/>
        <v>Positive</v>
      </c>
    </row>
    <row r="721" spans="1:17" x14ac:dyDescent="0.3">
      <c r="A721" t="s">
        <v>1304</v>
      </c>
      <c r="B721" t="s">
        <v>27</v>
      </c>
      <c r="C721" t="s">
        <v>28</v>
      </c>
      <c r="D721" t="s">
        <v>18</v>
      </c>
      <c r="E721" t="s">
        <v>58</v>
      </c>
      <c r="F721" t="s">
        <v>24</v>
      </c>
      <c r="G721" s="1">
        <v>45514</v>
      </c>
      <c r="H721" t="s">
        <v>258</v>
      </c>
      <c r="I721">
        <v>2615399</v>
      </c>
      <c r="J721">
        <v>113713</v>
      </c>
      <c r="K721">
        <v>3807</v>
      </c>
      <c r="L721">
        <v>94290</v>
      </c>
      <c r="M721">
        <v>8.1000000000000003E-2</v>
      </c>
      <c r="N721">
        <v>0.20399999999999999</v>
      </c>
      <c r="O721">
        <v>1</v>
      </c>
      <c r="P721" t="b">
        <f t="shared" si="23"/>
        <v>1</v>
      </c>
      <c r="Q721" t="str">
        <f t="shared" si="22"/>
        <v>Positive</v>
      </c>
    </row>
    <row r="722" spans="1:17" x14ac:dyDescent="0.3">
      <c r="A722" t="s">
        <v>1305</v>
      </c>
      <c r="B722" t="s">
        <v>27</v>
      </c>
      <c r="C722" t="s">
        <v>28</v>
      </c>
      <c r="D722" t="s">
        <v>37</v>
      </c>
      <c r="E722" t="s">
        <v>38</v>
      </c>
      <c r="F722" t="s">
        <v>55</v>
      </c>
      <c r="G722" s="1">
        <v>45632</v>
      </c>
      <c r="H722" t="s">
        <v>1306</v>
      </c>
      <c r="I722">
        <v>2951998</v>
      </c>
      <c r="J722">
        <v>421714</v>
      </c>
      <c r="K722">
        <v>41867</v>
      </c>
      <c r="L722">
        <v>98669</v>
      </c>
      <c r="M722">
        <v>0.1905</v>
      </c>
      <c r="N722">
        <v>-0.59899999999999998</v>
      </c>
      <c r="O722">
        <v>1</v>
      </c>
      <c r="P722" t="b">
        <f t="shared" si="23"/>
        <v>1</v>
      </c>
      <c r="Q722" t="str">
        <f t="shared" si="22"/>
        <v>Negative</v>
      </c>
    </row>
    <row r="723" spans="1:17" x14ac:dyDescent="0.3">
      <c r="A723" t="s">
        <v>1307</v>
      </c>
      <c r="B723" t="s">
        <v>27</v>
      </c>
      <c r="C723" t="s">
        <v>23</v>
      </c>
      <c r="D723" t="s">
        <v>73</v>
      </c>
      <c r="E723" t="s">
        <v>38</v>
      </c>
      <c r="F723" t="s">
        <v>24</v>
      </c>
      <c r="G723" s="1">
        <v>45359</v>
      </c>
      <c r="H723" t="s">
        <v>1308</v>
      </c>
      <c r="I723">
        <v>825452</v>
      </c>
      <c r="J723">
        <v>48556</v>
      </c>
      <c r="K723">
        <v>34636</v>
      </c>
      <c r="L723">
        <v>82036</v>
      </c>
      <c r="M723">
        <v>0.20019999999999999</v>
      </c>
      <c r="N723">
        <v>-0.122</v>
      </c>
      <c r="O723">
        <v>0</v>
      </c>
      <c r="P723" t="b">
        <f t="shared" si="23"/>
        <v>0</v>
      </c>
      <c r="Q723" t="str">
        <f t="shared" si="22"/>
        <v>Negative</v>
      </c>
    </row>
    <row r="724" spans="1:17" x14ac:dyDescent="0.3">
      <c r="A724" t="s">
        <v>1309</v>
      </c>
      <c r="B724" t="s">
        <v>32</v>
      </c>
      <c r="C724" t="s">
        <v>61</v>
      </c>
      <c r="D724" t="s">
        <v>73</v>
      </c>
      <c r="E724" t="s">
        <v>41</v>
      </c>
      <c r="F724" t="s">
        <v>24</v>
      </c>
      <c r="G724" s="1">
        <v>45403</v>
      </c>
      <c r="H724" t="s">
        <v>1310</v>
      </c>
      <c r="I724">
        <v>1934920</v>
      </c>
      <c r="J724">
        <v>193492</v>
      </c>
      <c r="K724">
        <v>15077</v>
      </c>
      <c r="L724">
        <v>80019</v>
      </c>
      <c r="M724">
        <v>0.14910000000000001</v>
      </c>
      <c r="N724">
        <v>-0.48799999999999999</v>
      </c>
      <c r="O724">
        <v>0</v>
      </c>
      <c r="P724" t="b">
        <f t="shared" si="23"/>
        <v>0</v>
      </c>
      <c r="Q724" t="str">
        <f t="shared" si="22"/>
        <v>Negative</v>
      </c>
    </row>
    <row r="725" spans="1:17" x14ac:dyDescent="0.3">
      <c r="A725" t="s">
        <v>1311</v>
      </c>
      <c r="B725" t="s">
        <v>27</v>
      </c>
      <c r="C725" t="s">
        <v>23</v>
      </c>
      <c r="D725" t="s">
        <v>33</v>
      </c>
      <c r="E725" t="s">
        <v>58</v>
      </c>
      <c r="F725" t="s">
        <v>46</v>
      </c>
      <c r="G725" s="1">
        <v>45631</v>
      </c>
      <c r="H725" t="s">
        <v>1312</v>
      </c>
      <c r="I725">
        <v>2191824</v>
      </c>
      <c r="J725">
        <v>121768</v>
      </c>
      <c r="K725">
        <v>46097</v>
      </c>
      <c r="L725">
        <v>25519</v>
      </c>
      <c r="M725">
        <v>8.8200000000000001E-2</v>
      </c>
      <c r="N725">
        <v>-0.55900000000000005</v>
      </c>
      <c r="O725">
        <v>1</v>
      </c>
      <c r="P725" t="b">
        <f t="shared" si="23"/>
        <v>1</v>
      </c>
      <c r="Q725" t="str">
        <f t="shared" si="22"/>
        <v>Negative</v>
      </c>
    </row>
    <row r="726" spans="1:17" x14ac:dyDescent="0.3">
      <c r="A726" t="s">
        <v>1313</v>
      </c>
      <c r="B726" t="s">
        <v>32</v>
      </c>
      <c r="C726" t="s">
        <v>28</v>
      </c>
      <c r="D726" t="s">
        <v>37</v>
      </c>
      <c r="E726" t="s">
        <v>41</v>
      </c>
      <c r="F726" t="s">
        <v>34</v>
      </c>
      <c r="G726" s="1">
        <v>45651</v>
      </c>
      <c r="H726" t="s">
        <v>540</v>
      </c>
      <c r="I726">
        <v>2345252</v>
      </c>
      <c r="J726">
        <v>90202</v>
      </c>
      <c r="K726">
        <v>33910</v>
      </c>
      <c r="L726">
        <v>27104</v>
      </c>
      <c r="M726">
        <v>6.4500000000000002E-2</v>
      </c>
      <c r="N726">
        <v>0.375</v>
      </c>
      <c r="O726">
        <v>1</v>
      </c>
      <c r="P726" t="b">
        <f t="shared" si="23"/>
        <v>1</v>
      </c>
      <c r="Q726" t="str">
        <f t="shared" si="22"/>
        <v>Positive</v>
      </c>
    </row>
    <row r="727" spans="1:17" x14ac:dyDescent="0.3">
      <c r="A727" t="s">
        <v>1314</v>
      </c>
      <c r="B727" t="s">
        <v>27</v>
      </c>
      <c r="C727" t="s">
        <v>28</v>
      </c>
      <c r="D727" t="s">
        <v>18</v>
      </c>
      <c r="E727" t="s">
        <v>38</v>
      </c>
      <c r="F727" t="s">
        <v>46</v>
      </c>
      <c r="G727" s="1">
        <v>45524</v>
      </c>
      <c r="H727" t="s">
        <v>1315</v>
      </c>
      <c r="I727">
        <v>3050180</v>
      </c>
      <c r="J727">
        <v>217870</v>
      </c>
      <c r="K727">
        <v>36679</v>
      </c>
      <c r="L727">
        <v>19338</v>
      </c>
      <c r="M727">
        <v>8.9800000000000005E-2</v>
      </c>
      <c r="N727">
        <v>0.26500000000000001</v>
      </c>
      <c r="O727">
        <v>1</v>
      </c>
      <c r="P727" t="b">
        <f t="shared" si="23"/>
        <v>1</v>
      </c>
      <c r="Q727" t="str">
        <f t="shared" si="22"/>
        <v>Positive</v>
      </c>
    </row>
    <row r="728" spans="1:17" x14ac:dyDescent="0.3">
      <c r="A728" t="s">
        <v>1316</v>
      </c>
      <c r="B728" t="s">
        <v>16</v>
      </c>
      <c r="C728" t="s">
        <v>61</v>
      </c>
      <c r="D728" t="s">
        <v>33</v>
      </c>
      <c r="E728" t="s">
        <v>41</v>
      </c>
      <c r="F728" t="s">
        <v>55</v>
      </c>
      <c r="G728" s="1">
        <v>45586</v>
      </c>
      <c r="H728" t="s">
        <v>1112</v>
      </c>
      <c r="I728">
        <v>7350560</v>
      </c>
      <c r="J728">
        <v>262520</v>
      </c>
      <c r="K728">
        <v>17616</v>
      </c>
      <c r="L728">
        <v>11945</v>
      </c>
      <c r="M728">
        <v>3.9699999999999999E-2</v>
      </c>
      <c r="N728">
        <v>0.46600000000000003</v>
      </c>
      <c r="O728">
        <v>1</v>
      </c>
      <c r="P728" t="b">
        <f t="shared" si="23"/>
        <v>1</v>
      </c>
      <c r="Q728" t="str">
        <f t="shared" si="22"/>
        <v>Positive</v>
      </c>
    </row>
    <row r="729" spans="1:17" x14ac:dyDescent="0.3">
      <c r="A729" t="s">
        <v>1317</v>
      </c>
      <c r="B729" t="s">
        <v>66</v>
      </c>
      <c r="C729" t="s">
        <v>28</v>
      </c>
      <c r="D729" t="s">
        <v>73</v>
      </c>
      <c r="E729" t="s">
        <v>41</v>
      </c>
      <c r="F729" t="s">
        <v>55</v>
      </c>
      <c r="G729" s="1">
        <v>45495</v>
      </c>
      <c r="H729" t="s">
        <v>1318</v>
      </c>
      <c r="I729">
        <v>411271</v>
      </c>
      <c r="J729">
        <v>58753</v>
      </c>
      <c r="K729">
        <v>20541</v>
      </c>
      <c r="L729">
        <v>56623</v>
      </c>
      <c r="M729">
        <v>0.33050000000000002</v>
      </c>
      <c r="N729">
        <v>0.996</v>
      </c>
      <c r="O729">
        <v>0</v>
      </c>
      <c r="P729" t="b">
        <f t="shared" si="23"/>
        <v>0</v>
      </c>
      <c r="Q729" t="str">
        <f t="shared" si="22"/>
        <v>Positive</v>
      </c>
    </row>
    <row r="730" spans="1:17" x14ac:dyDescent="0.3">
      <c r="A730" t="s">
        <v>1319</v>
      </c>
      <c r="B730" t="s">
        <v>16</v>
      </c>
      <c r="C730" t="s">
        <v>28</v>
      </c>
      <c r="D730" t="s">
        <v>33</v>
      </c>
      <c r="E730" t="s">
        <v>38</v>
      </c>
      <c r="F730" t="s">
        <v>46</v>
      </c>
      <c r="G730" s="1">
        <v>45304</v>
      </c>
      <c r="H730" t="s">
        <v>1320</v>
      </c>
      <c r="I730">
        <v>3272964</v>
      </c>
      <c r="J730">
        <v>272747</v>
      </c>
      <c r="K730">
        <v>19230</v>
      </c>
      <c r="L730">
        <v>36977</v>
      </c>
      <c r="M730">
        <v>0.10050000000000001</v>
      </c>
      <c r="N730">
        <v>-0.41099999999999998</v>
      </c>
      <c r="O730">
        <v>1</v>
      </c>
      <c r="P730" t="b">
        <f t="shared" si="23"/>
        <v>1</v>
      </c>
      <c r="Q730" t="str">
        <f t="shared" si="22"/>
        <v>Negative</v>
      </c>
    </row>
    <row r="731" spans="1:17" x14ac:dyDescent="0.3">
      <c r="A731" t="s">
        <v>1321</v>
      </c>
      <c r="B731" t="s">
        <v>16</v>
      </c>
      <c r="C731" t="s">
        <v>23</v>
      </c>
      <c r="D731" t="s">
        <v>73</v>
      </c>
      <c r="E731" t="s">
        <v>41</v>
      </c>
      <c r="F731" t="s">
        <v>34</v>
      </c>
      <c r="G731" s="1">
        <v>45333</v>
      </c>
      <c r="H731" t="s">
        <v>1322</v>
      </c>
      <c r="I731">
        <v>1136464</v>
      </c>
      <c r="J731">
        <v>142058</v>
      </c>
      <c r="K731">
        <v>12871</v>
      </c>
      <c r="L731">
        <v>66625</v>
      </c>
      <c r="M731">
        <v>0.19500000000000001</v>
      </c>
      <c r="N731">
        <v>0.66800000000000004</v>
      </c>
      <c r="O731">
        <v>0</v>
      </c>
      <c r="P731" t="b">
        <f t="shared" si="23"/>
        <v>0</v>
      </c>
      <c r="Q731" t="str">
        <f t="shared" si="22"/>
        <v>Positive</v>
      </c>
    </row>
    <row r="732" spans="1:17" x14ac:dyDescent="0.3">
      <c r="A732" t="s">
        <v>1323</v>
      </c>
      <c r="B732" t="s">
        <v>27</v>
      </c>
      <c r="C732" t="s">
        <v>28</v>
      </c>
      <c r="D732" t="s">
        <v>29</v>
      </c>
      <c r="E732" t="s">
        <v>19</v>
      </c>
      <c r="F732" t="s">
        <v>34</v>
      </c>
      <c r="G732" s="1">
        <v>45348</v>
      </c>
      <c r="H732" t="s">
        <v>1324</v>
      </c>
      <c r="I732">
        <v>3084120</v>
      </c>
      <c r="J732">
        <v>257010</v>
      </c>
      <c r="K732">
        <v>20625</v>
      </c>
      <c r="L732">
        <v>42728</v>
      </c>
      <c r="M732">
        <v>0.10390000000000001</v>
      </c>
      <c r="N732">
        <v>0.53800000000000003</v>
      </c>
      <c r="O732">
        <v>1</v>
      </c>
      <c r="P732" t="b">
        <f t="shared" si="23"/>
        <v>1</v>
      </c>
      <c r="Q732" t="str">
        <f t="shared" si="22"/>
        <v>Positive</v>
      </c>
    </row>
    <row r="733" spans="1:17" x14ac:dyDescent="0.3">
      <c r="A733" t="s">
        <v>1325</v>
      </c>
      <c r="B733" t="s">
        <v>16</v>
      </c>
      <c r="C733" t="s">
        <v>61</v>
      </c>
      <c r="D733" t="s">
        <v>33</v>
      </c>
      <c r="E733" t="s">
        <v>38</v>
      </c>
      <c r="F733" t="s">
        <v>20</v>
      </c>
      <c r="G733" s="1">
        <v>45529</v>
      </c>
      <c r="H733" t="s">
        <v>1326</v>
      </c>
      <c r="I733">
        <v>2003055</v>
      </c>
      <c r="J733">
        <v>400611</v>
      </c>
      <c r="K733">
        <v>41165</v>
      </c>
      <c r="L733">
        <v>11391</v>
      </c>
      <c r="M733">
        <v>0.22620000000000001</v>
      </c>
      <c r="N733">
        <v>0.69199999999999995</v>
      </c>
      <c r="O733">
        <v>1</v>
      </c>
      <c r="P733" t="b">
        <f t="shared" si="23"/>
        <v>1</v>
      </c>
      <c r="Q733" t="str">
        <f t="shared" si="22"/>
        <v>Positive</v>
      </c>
    </row>
    <row r="734" spans="1:17" x14ac:dyDescent="0.3">
      <c r="A734" t="s">
        <v>1327</v>
      </c>
      <c r="B734" t="s">
        <v>32</v>
      </c>
      <c r="C734" t="s">
        <v>23</v>
      </c>
      <c r="D734" t="s">
        <v>37</v>
      </c>
      <c r="E734" t="s">
        <v>58</v>
      </c>
      <c r="F734" t="s">
        <v>55</v>
      </c>
      <c r="G734" s="1">
        <v>45362</v>
      </c>
      <c r="H734" t="s">
        <v>447</v>
      </c>
      <c r="I734">
        <v>9131751</v>
      </c>
      <c r="J734">
        <v>338213</v>
      </c>
      <c r="K734">
        <v>15043</v>
      </c>
      <c r="L734">
        <v>52328</v>
      </c>
      <c r="M734">
        <v>4.4400000000000002E-2</v>
      </c>
      <c r="N734">
        <v>-2.5000000000000001E-2</v>
      </c>
      <c r="O734">
        <v>1</v>
      </c>
      <c r="P734" t="b">
        <f t="shared" si="23"/>
        <v>1</v>
      </c>
      <c r="Q734" t="str">
        <f t="shared" si="22"/>
        <v>Negative</v>
      </c>
    </row>
    <row r="735" spans="1:17" x14ac:dyDescent="0.3">
      <c r="A735" t="s">
        <v>1328</v>
      </c>
      <c r="B735" t="s">
        <v>16</v>
      </c>
      <c r="C735" t="s">
        <v>23</v>
      </c>
      <c r="D735" t="s">
        <v>37</v>
      </c>
      <c r="E735" t="s">
        <v>41</v>
      </c>
      <c r="F735" t="s">
        <v>55</v>
      </c>
      <c r="G735" s="1">
        <v>45618</v>
      </c>
      <c r="H735" t="s">
        <v>1329</v>
      </c>
      <c r="I735">
        <v>542890</v>
      </c>
      <c r="J735">
        <v>54289</v>
      </c>
      <c r="K735">
        <v>48516</v>
      </c>
      <c r="L735">
        <v>8606</v>
      </c>
      <c r="M735">
        <v>0.20519999999999999</v>
      </c>
      <c r="N735">
        <v>-0.38800000000000001</v>
      </c>
      <c r="O735">
        <v>0</v>
      </c>
      <c r="P735" t="b">
        <f t="shared" si="23"/>
        <v>0</v>
      </c>
      <c r="Q735" t="str">
        <f t="shared" si="22"/>
        <v>Negative</v>
      </c>
    </row>
    <row r="736" spans="1:17" x14ac:dyDescent="0.3">
      <c r="A736" t="s">
        <v>1330</v>
      </c>
      <c r="B736" t="s">
        <v>32</v>
      </c>
      <c r="C736" t="s">
        <v>28</v>
      </c>
      <c r="D736" t="s">
        <v>37</v>
      </c>
      <c r="E736" t="s">
        <v>19</v>
      </c>
      <c r="F736" t="s">
        <v>24</v>
      </c>
      <c r="G736" s="1">
        <v>45412</v>
      </c>
      <c r="H736" t="s">
        <v>1331</v>
      </c>
      <c r="I736">
        <v>4241755</v>
      </c>
      <c r="J736">
        <v>249515</v>
      </c>
      <c r="K736">
        <v>24327</v>
      </c>
      <c r="L736">
        <v>41870</v>
      </c>
      <c r="M736">
        <v>7.4399999999999994E-2</v>
      </c>
      <c r="N736">
        <v>0.89500000000000002</v>
      </c>
      <c r="O736">
        <v>1</v>
      </c>
      <c r="P736" t="b">
        <f t="shared" si="23"/>
        <v>1</v>
      </c>
      <c r="Q736" t="str">
        <f t="shared" si="22"/>
        <v>Positive</v>
      </c>
    </row>
    <row r="737" spans="1:17" x14ac:dyDescent="0.3">
      <c r="A737" t="s">
        <v>1332</v>
      </c>
      <c r="B737" t="s">
        <v>27</v>
      </c>
      <c r="C737" t="s">
        <v>23</v>
      </c>
      <c r="D737" t="s">
        <v>37</v>
      </c>
      <c r="E737" t="s">
        <v>19</v>
      </c>
      <c r="F737" t="s">
        <v>55</v>
      </c>
      <c r="G737" s="1">
        <v>45486</v>
      </c>
      <c r="H737" t="s">
        <v>334</v>
      </c>
      <c r="I737">
        <v>5025523</v>
      </c>
      <c r="J737">
        <v>218501</v>
      </c>
      <c r="K737">
        <v>2097</v>
      </c>
      <c r="L737">
        <v>28221</v>
      </c>
      <c r="M737">
        <v>4.9500000000000002E-2</v>
      </c>
      <c r="N737">
        <v>4.4999999999999998E-2</v>
      </c>
      <c r="O737">
        <v>1</v>
      </c>
      <c r="P737" t="b">
        <f t="shared" si="23"/>
        <v>1</v>
      </c>
      <c r="Q737" t="str">
        <f t="shared" si="22"/>
        <v>Positive</v>
      </c>
    </row>
    <row r="738" spans="1:17" x14ac:dyDescent="0.3">
      <c r="A738" t="s">
        <v>1333</v>
      </c>
      <c r="B738" t="s">
        <v>66</v>
      </c>
      <c r="C738" t="s">
        <v>23</v>
      </c>
      <c r="D738" t="s">
        <v>73</v>
      </c>
      <c r="E738" t="s">
        <v>41</v>
      </c>
      <c r="F738" t="s">
        <v>46</v>
      </c>
      <c r="G738" s="1">
        <v>45380</v>
      </c>
      <c r="H738" t="s">
        <v>1334</v>
      </c>
      <c r="I738">
        <v>464751</v>
      </c>
      <c r="J738">
        <v>22131</v>
      </c>
      <c r="K738">
        <v>5190</v>
      </c>
      <c r="L738">
        <v>80808</v>
      </c>
      <c r="M738">
        <v>0.23269999999999999</v>
      </c>
      <c r="N738">
        <v>1E-3</v>
      </c>
      <c r="O738">
        <v>0</v>
      </c>
      <c r="P738" t="b">
        <f t="shared" si="23"/>
        <v>0</v>
      </c>
      <c r="Q738" t="str">
        <f t="shared" si="22"/>
        <v>Positive</v>
      </c>
    </row>
    <row r="739" spans="1:17" x14ac:dyDescent="0.3">
      <c r="A739" t="s">
        <v>1335</v>
      </c>
      <c r="B739" t="s">
        <v>16</v>
      </c>
      <c r="C739" t="s">
        <v>23</v>
      </c>
      <c r="D739" t="s">
        <v>54</v>
      </c>
      <c r="E739" t="s">
        <v>38</v>
      </c>
      <c r="F739" t="s">
        <v>55</v>
      </c>
      <c r="G739" s="1">
        <v>45479</v>
      </c>
      <c r="H739" t="s">
        <v>1336</v>
      </c>
      <c r="I739">
        <v>2112462</v>
      </c>
      <c r="J739">
        <v>352077</v>
      </c>
      <c r="K739">
        <v>40596</v>
      </c>
      <c r="L739">
        <v>81254</v>
      </c>
      <c r="M739">
        <v>0.2243</v>
      </c>
      <c r="N739">
        <v>-0.85399999999999998</v>
      </c>
      <c r="O739">
        <v>1</v>
      </c>
      <c r="P739" t="b">
        <f t="shared" si="23"/>
        <v>1</v>
      </c>
      <c r="Q739" t="str">
        <f t="shared" si="22"/>
        <v>Negative</v>
      </c>
    </row>
    <row r="740" spans="1:17" x14ac:dyDescent="0.3">
      <c r="A740" t="s">
        <v>1337</v>
      </c>
      <c r="B740" t="s">
        <v>66</v>
      </c>
      <c r="C740" t="s">
        <v>23</v>
      </c>
      <c r="D740" t="s">
        <v>37</v>
      </c>
      <c r="E740" t="s">
        <v>38</v>
      </c>
      <c r="F740" t="s">
        <v>24</v>
      </c>
      <c r="G740" s="1">
        <v>45653</v>
      </c>
      <c r="H740" t="s">
        <v>663</v>
      </c>
      <c r="I740">
        <v>1063584</v>
      </c>
      <c r="J740">
        <v>177264</v>
      </c>
      <c r="K740">
        <v>10355</v>
      </c>
      <c r="L740">
        <v>96159</v>
      </c>
      <c r="M740">
        <v>0.26679999999999998</v>
      </c>
      <c r="N740">
        <v>-0.438</v>
      </c>
      <c r="O740">
        <v>0</v>
      </c>
      <c r="P740" t="b">
        <f t="shared" si="23"/>
        <v>0</v>
      </c>
      <c r="Q740" t="str">
        <f t="shared" si="22"/>
        <v>Negative</v>
      </c>
    </row>
    <row r="741" spans="1:17" x14ac:dyDescent="0.3">
      <c r="A741" t="s">
        <v>1338</v>
      </c>
      <c r="B741" t="s">
        <v>27</v>
      </c>
      <c r="C741" t="s">
        <v>17</v>
      </c>
      <c r="D741" t="s">
        <v>37</v>
      </c>
      <c r="E741" t="s">
        <v>41</v>
      </c>
      <c r="F741" t="s">
        <v>34</v>
      </c>
      <c r="G741" s="1">
        <v>45626</v>
      </c>
      <c r="H741" t="s">
        <v>1339</v>
      </c>
      <c r="I741">
        <v>1851849</v>
      </c>
      <c r="J741">
        <v>68587</v>
      </c>
      <c r="K741">
        <v>17627</v>
      </c>
      <c r="L741">
        <v>70264</v>
      </c>
      <c r="M741">
        <v>8.4500000000000006E-2</v>
      </c>
      <c r="N741">
        <v>0.81200000000000006</v>
      </c>
      <c r="O741">
        <v>0</v>
      </c>
      <c r="P741" t="b">
        <f t="shared" si="23"/>
        <v>0</v>
      </c>
      <c r="Q741" t="str">
        <f t="shared" si="22"/>
        <v>Positive</v>
      </c>
    </row>
    <row r="742" spans="1:17" x14ac:dyDescent="0.3">
      <c r="A742" t="s">
        <v>1340</v>
      </c>
      <c r="B742" t="s">
        <v>66</v>
      </c>
      <c r="C742" t="s">
        <v>61</v>
      </c>
      <c r="D742" t="s">
        <v>37</v>
      </c>
      <c r="E742" t="s">
        <v>51</v>
      </c>
      <c r="F742" t="s">
        <v>20</v>
      </c>
      <c r="G742" s="1">
        <v>45381</v>
      </c>
      <c r="H742" t="s">
        <v>1341</v>
      </c>
      <c r="I742">
        <v>1816640</v>
      </c>
      <c r="J742">
        <v>363328</v>
      </c>
      <c r="K742">
        <v>23787</v>
      </c>
      <c r="L742">
        <v>28455</v>
      </c>
      <c r="M742">
        <v>0.2288</v>
      </c>
      <c r="N742">
        <v>9.8000000000000004E-2</v>
      </c>
      <c r="O742">
        <v>0</v>
      </c>
      <c r="P742" t="b">
        <f t="shared" si="23"/>
        <v>0</v>
      </c>
      <c r="Q742" t="str">
        <f t="shared" si="22"/>
        <v>Positive</v>
      </c>
    </row>
    <row r="743" spans="1:17" x14ac:dyDescent="0.3">
      <c r="A743" t="s">
        <v>1342</v>
      </c>
      <c r="B743" t="s">
        <v>32</v>
      </c>
      <c r="C743" t="s">
        <v>61</v>
      </c>
      <c r="D743" t="s">
        <v>29</v>
      </c>
      <c r="E743" t="s">
        <v>51</v>
      </c>
      <c r="F743" t="s">
        <v>20</v>
      </c>
      <c r="G743" s="1">
        <v>45427</v>
      </c>
      <c r="H743" t="s">
        <v>1343</v>
      </c>
      <c r="I743">
        <v>3833625</v>
      </c>
      <c r="J743">
        <v>153345</v>
      </c>
      <c r="K743">
        <v>33209</v>
      </c>
      <c r="L743">
        <v>35597</v>
      </c>
      <c r="M743">
        <v>5.79E-2</v>
      </c>
      <c r="N743">
        <v>-0.57099999999999995</v>
      </c>
      <c r="O743">
        <v>1</v>
      </c>
      <c r="P743" t="b">
        <f t="shared" si="23"/>
        <v>1</v>
      </c>
      <c r="Q743" t="str">
        <f t="shared" si="22"/>
        <v>Negative</v>
      </c>
    </row>
    <row r="744" spans="1:17" x14ac:dyDescent="0.3">
      <c r="A744" t="s">
        <v>1344</v>
      </c>
      <c r="B744" t="s">
        <v>32</v>
      </c>
      <c r="C744" t="s">
        <v>28</v>
      </c>
      <c r="D744" t="s">
        <v>18</v>
      </c>
      <c r="E744" t="s">
        <v>51</v>
      </c>
      <c r="F744" t="s">
        <v>34</v>
      </c>
      <c r="G744" s="1">
        <v>45390</v>
      </c>
      <c r="H744" t="s">
        <v>134</v>
      </c>
      <c r="I744">
        <v>9544878</v>
      </c>
      <c r="J744">
        <v>454518</v>
      </c>
      <c r="K744">
        <v>23869</v>
      </c>
      <c r="L744">
        <v>30751</v>
      </c>
      <c r="M744">
        <v>5.33E-2</v>
      </c>
      <c r="N744">
        <v>0.44</v>
      </c>
      <c r="O744">
        <v>1</v>
      </c>
      <c r="P744" t="b">
        <f t="shared" si="23"/>
        <v>1</v>
      </c>
      <c r="Q744" t="str">
        <f t="shared" si="22"/>
        <v>Positive</v>
      </c>
    </row>
    <row r="745" spans="1:17" x14ac:dyDescent="0.3">
      <c r="A745" t="s">
        <v>1345</v>
      </c>
      <c r="B745" t="s">
        <v>27</v>
      </c>
      <c r="C745" t="s">
        <v>17</v>
      </c>
      <c r="D745" t="s">
        <v>37</v>
      </c>
      <c r="E745" t="s">
        <v>19</v>
      </c>
      <c r="F745" t="s">
        <v>55</v>
      </c>
      <c r="G745" s="1">
        <v>45600</v>
      </c>
      <c r="H745" t="s">
        <v>1346</v>
      </c>
      <c r="I745">
        <v>3855384</v>
      </c>
      <c r="J745">
        <v>481923</v>
      </c>
      <c r="K745">
        <v>38338</v>
      </c>
      <c r="L745">
        <v>80906</v>
      </c>
      <c r="M745">
        <v>0.15590000000000001</v>
      </c>
      <c r="N745">
        <v>0.25</v>
      </c>
      <c r="O745">
        <v>1</v>
      </c>
      <c r="P745" t="b">
        <f t="shared" si="23"/>
        <v>1</v>
      </c>
      <c r="Q745" t="str">
        <f t="shared" si="22"/>
        <v>Positive</v>
      </c>
    </row>
    <row r="746" spans="1:17" x14ac:dyDescent="0.3">
      <c r="A746" t="s">
        <v>1347</v>
      </c>
      <c r="B746" t="s">
        <v>66</v>
      </c>
      <c r="C746" t="s">
        <v>23</v>
      </c>
      <c r="D746" t="s">
        <v>54</v>
      </c>
      <c r="E746" t="s">
        <v>19</v>
      </c>
      <c r="F746" t="s">
        <v>55</v>
      </c>
      <c r="G746" s="1">
        <v>45577</v>
      </c>
      <c r="H746" t="s">
        <v>1348</v>
      </c>
      <c r="I746">
        <v>456030</v>
      </c>
      <c r="J746">
        <v>25335</v>
      </c>
      <c r="K746">
        <v>164</v>
      </c>
      <c r="L746">
        <v>12146</v>
      </c>
      <c r="M746">
        <v>8.2500000000000004E-2</v>
      </c>
      <c r="N746">
        <v>-7.3999999999999996E-2</v>
      </c>
      <c r="O746">
        <v>0</v>
      </c>
      <c r="P746" t="b">
        <f t="shared" si="23"/>
        <v>0</v>
      </c>
      <c r="Q746" t="str">
        <f t="shared" si="22"/>
        <v>Negative</v>
      </c>
    </row>
    <row r="747" spans="1:17" x14ac:dyDescent="0.3">
      <c r="A747" t="s">
        <v>1349</v>
      </c>
      <c r="B747" t="s">
        <v>32</v>
      </c>
      <c r="C747" t="s">
        <v>28</v>
      </c>
      <c r="D747" t="s">
        <v>37</v>
      </c>
      <c r="E747" t="s">
        <v>38</v>
      </c>
      <c r="F747" t="s">
        <v>55</v>
      </c>
      <c r="G747" s="1">
        <v>45308</v>
      </c>
      <c r="H747" t="s">
        <v>240</v>
      </c>
      <c r="I747">
        <v>4127452</v>
      </c>
      <c r="J747">
        <v>147409</v>
      </c>
      <c r="K747">
        <v>41976</v>
      </c>
      <c r="L747">
        <v>8245</v>
      </c>
      <c r="M747">
        <v>4.7899999999999998E-2</v>
      </c>
      <c r="N747">
        <v>-0.42</v>
      </c>
      <c r="O747">
        <v>1</v>
      </c>
      <c r="P747" t="b">
        <f t="shared" si="23"/>
        <v>1</v>
      </c>
      <c r="Q747" t="str">
        <f t="shared" si="22"/>
        <v>Negative</v>
      </c>
    </row>
    <row r="748" spans="1:17" x14ac:dyDescent="0.3">
      <c r="A748" t="s">
        <v>1350</v>
      </c>
      <c r="B748" t="s">
        <v>16</v>
      </c>
      <c r="C748" t="s">
        <v>17</v>
      </c>
      <c r="D748" t="s">
        <v>73</v>
      </c>
      <c r="E748" t="s">
        <v>41</v>
      </c>
      <c r="F748" t="s">
        <v>24</v>
      </c>
      <c r="G748" s="1">
        <v>45568</v>
      </c>
      <c r="H748" t="s">
        <v>1351</v>
      </c>
      <c r="I748">
        <v>6556059</v>
      </c>
      <c r="J748">
        <v>242817</v>
      </c>
      <c r="K748">
        <v>18696</v>
      </c>
      <c r="L748">
        <v>99533</v>
      </c>
      <c r="M748">
        <v>5.5100000000000003E-2</v>
      </c>
      <c r="N748">
        <v>0.441</v>
      </c>
      <c r="O748">
        <v>1</v>
      </c>
      <c r="P748" t="b">
        <f t="shared" si="23"/>
        <v>1</v>
      </c>
      <c r="Q748" t="str">
        <f t="shared" si="22"/>
        <v>Positive</v>
      </c>
    </row>
    <row r="749" spans="1:17" x14ac:dyDescent="0.3">
      <c r="A749" t="s">
        <v>1352</v>
      </c>
      <c r="B749" t="s">
        <v>27</v>
      </c>
      <c r="C749" t="s">
        <v>23</v>
      </c>
      <c r="D749" t="s">
        <v>33</v>
      </c>
      <c r="E749" t="s">
        <v>19</v>
      </c>
      <c r="F749" t="s">
        <v>55</v>
      </c>
      <c r="G749" s="1">
        <v>45555</v>
      </c>
      <c r="H749" t="s">
        <v>654</v>
      </c>
      <c r="I749">
        <v>2022042</v>
      </c>
      <c r="J749">
        <v>337007</v>
      </c>
      <c r="K749">
        <v>28283</v>
      </c>
      <c r="L749">
        <v>12238</v>
      </c>
      <c r="M749">
        <v>0.1867</v>
      </c>
      <c r="N749">
        <v>-0.73199999999999998</v>
      </c>
      <c r="O749">
        <v>1</v>
      </c>
      <c r="P749" t="b">
        <f t="shared" si="23"/>
        <v>1</v>
      </c>
      <c r="Q749" t="str">
        <f t="shared" si="22"/>
        <v>Negative</v>
      </c>
    </row>
    <row r="750" spans="1:17" x14ac:dyDescent="0.3">
      <c r="A750" t="s">
        <v>1353</v>
      </c>
      <c r="B750" t="s">
        <v>66</v>
      </c>
      <c r="C750" t="s">
        <v>17</v>
      </c>
      <c r="D750" t="s">
        <v>37</v>
      </c>
      <c r="E750" t="s">
        <v>41</v>
      </c>
      <c r="F750" t="s">
        <v>24</v>
      </c>
      <c r="G750" s="1">
        <v>45518</v>
      </c>
      <c r="H750" t="s">
        <v>93</v>
      </c>
      <c r="I750">
        <v>2295553</v>
      </c>
      <c r="J750">
        <v>176581</v>
      </c>
      <c r="K750">
        <v>48771</v>
      </c>
      <c r="L750">
        <v>46155</v>
      </c>
      <c r="M750">
        <v>0.1183</v>
      </c>
      <c r="N750">
        <v>0.497</v>
      </c>
      <c r="O750">
        <v>1</v>
      </c>
      <c r="P750" t="b">
        <f t="shared" si="23"/>
        <v>1</v>
      </c>
      <c r="Q750" t="str">
        <f t="shared" si="22"/>
        <v>Positive</v>
      </c>
    </row>
    <row r="751" spans="1:17" x14ac:dyDescent="0.3">
      <c r="A751" t="s">
        <v>1354</v>
      </c>
      <c r="B751" t="s">
        <v>16</v>
      </c>
      <c r="C751" t="s">
        <v>61</v>
      </c>
      <c r="D751" t="s">
        <v>73</v>
      </c>
      <c r="E751" t="s">
        <v>58</v>
      </c>
      <c r="F751" t="s">
        <v>24</v>
      </c>
      <c r="G751" s="1">
        <v>45346</v>
      </c>
      <c r="H751" t="s">
        <v>171</v>
      </c>
      <c r="I751">
        <v>7390362</v>
      </c>
      <c r="J751">
        <v>351922</v>
      </c>
      <c r="K751">
        <v>46525</v>
      </c>
      <c r="L751">
        <v>54239</v>
      </c>
      <c r="M751">
        <v>6.13E-2</v>
      </c>
      <c r="N751">
        <v>2.1999999999999999E-2</v>
      </c>
      <c r="O751">
        <v>1</v>
      </c>
      <c r="P751" t="b">
        <f t="shared" si="23"/>
        <v>1</v>
      </c>
      <c r="Q751" t="str">
        <f t="shared" si="22"/>
        <v>Positive</v>
      </c>
    </row>
    <row r="752" spans="1:17" x14ac:dyDescent="0.3">
      <c r="A752" t="s">
        <v>1355</v>
      </c>
      <c r="B752" t="s">
        <v>32</v>
      </c>
      <c r="C752" t="s">
        <v>28</v>
      </c>
      <c r="D752" t="s">
        <v>33</v>
      </c>
      <c r="E752" t="s">
        <v>58</v>
      </c>
      <c r="F752" t="s">
        <v>24</v>
      </c>
      <c r="G752" s="1">
        <v>45358</v>
      </c>
      <c r="H752" t="s">
        <v>1356</v>
      </c>
      <c r="I752">
        <v>4252130</v>
      </c>
      <c r="J752">
        <v>425213</v>
      </c>
      <c r="K752">
        <v>3172</v>
      </c>
      <c r="L752">
        <v>44758</v>
      </c>
      <c r="M752">
        <v>0.1113</v>
      </c>
      <c r="N752">
        <v>0.79100000000000004</v>
      </c>
      <c r="O752">
        <v>1</v>
      </c>
      <c r="P752" t="b">
        <f t="shared" si="23"/>
        <v>1</v>
      </c>
      <c r="Q752" t="str">
        <f t="shared" si="22"/>
        <v>Positive</v>
      </c>
    </row>
    <row r="753" spans="1:17" x14ac:dyDescent="0.3">
      <c r="A753" t="s">
        <v>1357</v>
      </c>
      <c r="B753" t="s">
        <v>27</v>
      </c>
      <c r="C753" t="s">
        <v>17</v>
      </c>
      <c r="D753" t="s">
        <v>18</v>
      </c>
      <c r="E753" t="s">
        <v>58</v>
      </c>
      <c r="F753" t="s">
        <v>24</v>
      </c>
      <c r="G753" s="1">
        <v>45642</v>
      </c>
      <c r="H753" t="s">
        <v>340</v>
      </c>
      <c r="I753">
        <v>626510</v>
      </c>
      <c r="J753">
        <v>62651</v>
      </c>
      <c r="K753">
        <v>14092</v>
      </c>
      <c r="L753">
        <v>22441</v>
      </c>
      <c r="M753">
        <v>0.1583</v>
      </c>
      <c r="N753">
        <v>-0.50600000000000001</v>
      </c>
      <c r="O753">
        <v>0</v>
      </c>
      <c r="P753" t="b">
        <f t="shared" si="23"/>
        <v>0</v>
      </c>
      <c r="Q753" t="str">
        <f t="shared" si="22"/>
        <v>Negative</v>
      </c>
    </row>
    <row r="754" spans="1:17" x14ac:dyDescent="0.3">
      <c r="A754" t="s">
        <v>1358</v>
      </c>
      <c r="B754" t="s">
        <v>32</v>
      </c>
      <c r="C754" t="s">
        <v>61</v>
      </c>
      <c r="D754" t="s">
        <v>29</v>
      </c>
      <c r="E754" t="s">
        <v>41</v>
      </c>
      <c r="F754" t="s">
        <v>46</v>
      </c>
      <c r="G754" s="1">
        <v>45614</v>
      </c>
      <c r="H754" t="s">
        <v>1195</v>
      </c>
      <c r="I754">
        <v>3824100</v>
      </c>
      <c r="J754">
        <v>254940</v>
      </c>
      <c r="K754">
        <v>5281</v>
      </c>
      <c r="L754">
        <v>41628</v>
      </c>
      <c r="M754">
        <v>7.8899999999999998E-2</v>
      </c>
      <c r="N754">
        <v>0.65300000000000002</v>
      </c>
      <c r="O754">
        <v>1</v>
      </c>
      <c r="P754" t="b">
        <f t="shared" si="23"/>
        <v>1</v>
      </c>
      <c r="Q754" t="str">
        <f t="shared" si="22"/>
        <v>Positive</v>
      </c>
    </row>
    <row r="755" spans="1:17" x14ac:dyDescent="0.3">
      <c r="A755" t="s">
        <v>1359</v>
      </c>
      <c r="B755" t="s">
        <v>66</v>
      </c>
      <c r="C755" t="s">
        <v>61</v>
      </c>
      <c r="D755" t="s">
        <v>54</v>
      </c>
      <c r="E755" t="s">
        <v>58</v>
      </c>
      <c r="F755" t="s">
        <v>20</v>
      </c>
      <c r="G755" s="1">
        <v>45478</v>
      </c>
      <c r="H755" t="s">
        <v>1360</v>
      </c>
      <c r="I755">
        <v>1214676</v>
      </c>
      <c r="J755">
        <v>202446</v>
      </c>
      <c r="K755">
        <v>32407</v>
      </c>
      <c r="L755">
        <v>53385</v>
      </c>
      <c r="M755">
        <v>0.23730000000000001</v>
      </c>
      <c r="N755">
        <v>-0.373</v>
      </c>
      <c r="O755">
        <v>0</v>
      </c>
      <c r="P755" t="b">
        <f t="shared" si="23"/>
        <v>0</v>
      </c>
      <c r="Q755" t="str">
        <f t="shared" si="22"/>
        <v>Negative</v>
      </c>
    </row>
    <row r="756" spans="1:17" x14ac:dyDescent="0.3">
      <c r="A756" t="s">
        <v>1361</v>
      </c>
      <c r="B756" t="s">
        <v>66</v>
      </c>
      <c r="C756" t="s">
        <v>28</v>
      </c>
      <c r="D756" t="s">
        <v>54</v>
      </c>
      <c r="E756" t="s">
        <v>41</v>
      </c>
      <c r="F756" t="s">
        <v>20</v>
      </c>
      <c r="G756" s="1">
        <v>45579</v>
      </c>
      <c r="H756" t="s">
        <v>1362</v>
      </c>
      <c r="I756">
        <v>8333111</v>
      </c>
      <c r="J756">
        <v>490183</v>
      </c>
      <c r="K756">
        <v>16214</v>
      </c>
      <c r="L756">
        <v>90931</v>
      </c>
      <c r="M756">
        <v>7.17E-2</v>
      </c>
      <c r="N756">
        <v>-0.155</v>
      </c>
      <c r="O756">
        <v>1</v>
      </c>
      <c r="P756" t="b">
        <f t="shared" si="23"/>
        <v>1</v>
      </c>
      <c r="Q756" t="str">
        <f t="shared" si="22"/>
        <v>Negative</v>
      </c>
    </row>
    <row r="757" spans="1:17" x14ac:dyDescent="0.3">
      <c r="A757" t="s">
        <v>1363</v>
      </c>
      <c r="B757" t="s">
        <v>16</v>
      </c>
      <c r="C757" t="s">
        <v>61</v>
      </c>
      <c r="D757" t="s">
        <v>54</v>
      </c>
      <c r="E757" t="s">
        <v>41</v>
      </c>
      <c r="F757" t="s">
        <v>34</v>
      </c>
      <c r="G757" s="1">
        <v>45535</v>
      </c>
      <c r="H757" t="s">
        <v>1364</v>
      </c>
      <c r="I757">
        <v>4856409</v>
      </c>
      <c r="J757">
        <v>179867</v>
      </c>
      <c r="K757">
        <v>44457</v>
      </c>
      <c r="L757">
        <v>32442</v>
      </c>
      <c r="M757">
        <v>5.2900000000000003E-2</v>
      </c>
      <c r="N757">
        <v>-1.2E-2</v>
      </c>
      <c r="O757">
        <v>1</v>
      </c>
      <c r="P757" t="b">
        <f t="shared" si="23"/>
        <v>1</v>
      </c>
      <c r="Q757" t="str">
        <f t="shared" si="22"/>
        <v>Negative</v>
      </c>
    </row>
    <row r="758" spans="1:17" x14ac:dyDescent="0.3">
      <c r="A758" t="s">
        <v>1365</v>
      </c>
      <c r="B758" t="s">
        <v>27</v>
      </c>
      <c r="C758" t="s">
        <v>28</v>
      </c>
      <c r="D758" t="s">
        <v>73</v>
      </c>
      <c r="E758" t="s">
        <v>19</v>
      </c>
      <c r="F758" t="s">
        <v>24</v>
      </c>
      <c r="G758" s="1">
        <v>45620</v>
      </c>
      <c r="H758" t="s">
        <v>1366</v>
      </c>
      <c r="I758">
        <v>9413748</v>
      </c>
      <c r="J758">
        <v>324612</v>
      </c>
      <c r="K758">
        <v>44864</v>
      </c>
      <c r="L758">
        <v>92123</v>
      </c>
      <c r="M758">
        <v>4.9000000000000002E-2</v>
      </c>
      <c r="N758">
        <v>0.40799999999999997</v>
      </c>
      <c r="O758">
        <v>1</v>
      </c>
      <c r="P758" t="b">
        <f t="shared" si="23"/>
        <v>1</v>
      </c>
      <c r="Q758" t="str">
        <f t="shared" si="22"/>
        <v>Positive</v>
      </c>
    </row>
    <row r="759" spans="1:17" x14ac:dyDescent="0.3">
      <c r="A759" t="s">
        <v>1367</v>
      </c>
      <c r="B759" t="s">
        <v>16</v>
      </c>
      <c r="C759" t="s">
        <v>28</v>
      </c>
      <c r="D759" t="s">
        <v>37</v>
      </c>
      <c r="E759" t="s">
        <v>19</v>
      </c>
      <c r="F759" t="s">
        <v>34</v>
      </c>
      <c r="G759" s="1">
        <v>45303</v>
      </c>
      <c r="H759" t="s">
        <v>1368</v>
      </c>
      <c r="I759">
        <v>9753125</v>
      </c>
      <c r="J759">
        <v>390125</v>
      </c>
      <c r="K759">
        <v>6323</v>
      </c>
      <c r="L759">
        <v>94231</v>
      </c>
      <c r="M759">
        <v>5.0299999999999997E-2</v>
      </c>
      <c r="N759">
        <v>0.42599999999999999</v>
      </c>
      <c r="O759">
        <v>1</v>
      </c>
      <c r="P759" t="b">
        <f t="shared" si="23"/>
        <v>1</v>
      </c>
      <c r="Q759" t="str">
        <f t="shared" si="22"/>
        <v>Positive</v>
      </c>
    </row>
    <row r="760" spans="1:17" x14ac:dyDescent="0.3">
      <c r="A760" t="s">
        <v>1369</v>
      </c>
      <c r="B760" t="s">
        <v>66</v>
      </c>
      <c r="C760" t="s">
        <v>17</v>
      </c>
      <c r="D760" t="s">
        <v>29</v>
      </c>
      <c r="E760" t="s">
        <v>19</v>
      </c>
      <c r="F760" t="s">
        <v>20</v>
      </c>
      <c r="G760" s="1">
        <v>45575</v>
      </c>
      <c r="H760" t="s">
        <v>1370</v>
      </c>
      <c r="I760">
        <v>433216</v>
      </c>
      <c r="J760">
        <v>15472</v>
      </c>
      <c r="K760">
        <v>29801</v>
      </c>
      <c r="L760">
        <v>58273</v>
      </c>
      <c r="M760">
        <v>0.23899999999999999</v>
      </c>
      <c r="N760">
        <v>0.52200000000000002</v>
      </c>
      <c r="O760">
        <v>0</v>
      </c>
      <c r="P760" t="b">
        <f t="shared" si="23"/>
        <v>0</v>
      </c>
      <c r="Q760" t="str">
        <f t="shared" si="22"/>
        <v>Positive</v>
      </c>
    </row>
    <row r="761" spans="1:17" x14ac:dyDescent="0.3">
      <c r="A761" t="s">
        <v>1371</v>
      </c>
      <c r="B761" t="s">
        <v>27</v>
      </c>
      <c r="C761" t="s">
        <v>23</v>
      </c>
      <c r="D761" t="s">
        <v>73</v>
      </c>
      <c r="E761" t="s">
        <v>38</v>
      </c>
      <c r="F761" t="s">
        <v>46</v>
      </c>
      <c r="G761" s="1">
        <v>45332</v>
      </c>
      <c r="H761" t="s">
        <v>1372</v>
      </c>
      <c r="I761">
        <v>4976868</v>
      </c>
      <c r="J761">
        <v>382836</v>
      </c>
      <c r="K761">
        <v>28104</v>
      </c>
      <c r="L761">
        <v>54041</v>
      </c>
      <c r="M761">
        <v>9.3399999999999997E-2</v>
      </c>
      <c r="N761">
        <v>-0.78900000000000003</v>
      </c>
      <c r="O761">
        <v>1</v>
      </c>
      <c r="P761" t="b">
        <f t="shared" si="23"/>
        <v>1</v>
      </c>
      <c r="Q761" t="str">
        <f t="shared" si="22"/>
        <v>Negative</v>
      </c>
    </row>
    <row r="762" spans="1:17" x14ac:dyDescent="0.3">
      <c r="A762" t="s">
        <v>1373</v>
      </c>
      <c r="B762" t="s">
        <v>66</v>
      </c>
      <c r="C762" t="s">
        <v>17</v>
      </c>
      <c r="D762" t="s">
        <v>54</v>
      </c>
      <c r="E762" t="s">
        <v>41</v>
      </c>
      <c r="F762" t="s">
        <v>34</v>
      </c>
      <c r="G762" s="1">
        <v>45454</v>
      </c>
      <c r="H762" t="s">
        <v>1374</v>
      </c>
      <c r="I762">
        <v>3309030</v>
      </c>
      <c r="J762">
        <v>367670</v>
      </c>
      <c r="K762">
        <v>5847</v>
      </c>
      <c r="L762">
        <v>63116</v>
      </c>
      <c r="M762">
        <v>0.13200000000000001</v>
      </c>
      <c r="N762">
        <v>-0.90400000000000003</v>
      </c>
      <c r="O762">
        <v>1</v>
      </c>
      <c r="P762" t="b">
        <f t="shared" si="23"/>
        <v>1</v>
      </c>
      <c r="Q762" t="str">
        <f t="shared" si="22"/>
        <v>Negative</v>
      </c>
    </row>
    <row r="763" spans="1:17" x14ac:dyDescent="0.3">
      <c r="A763" t="s">
        <v>1375</v>
      </c>
      <c r="B763" t="s">
        <v>27</v>
      </c>
      <c r="C763" t="s">
        <v>17</v>
      </c>
      <c r="D763" t="s">
        <v>37</v>
      </c>
      <c r="E763" t="s">
        <v>41</v>
      </c>
      <c r="F763" t="s">
        <v>24</v>
      </c>
      <c r="G763" s="1">
        <v>45498</v>
      </c>
      <c r="H763" t="s">
        <v>1376</v>
      </c>
      <c r="I763">
        <v>3077272</v>
      </c>
      <c r="J763">
        <v>279752</v>
      </c>
      <c r="K763">
        <v>22010</v>
      </c>
      <c r="L763">
        <v>54576</v>
      </c>
      <c r="M763">
        <v>0.1158</v>
      </c>
      <c r="N763">
        <v>1E-3</v>
      </c>
      <c r="O763">
        <v>1</v>
      </c>
      <c r="P763" t="b">
        <f t="shared" si="23"/>
        <v>1</v>
      </c>
      <c r="Q763" t="str">
        <f t="shared" si="22"/>
        <v>Positive</v>
      </c>
    </row>
    <row r="764" spans="1:17" x14ac:dyDescent="0.3">
      <c r="A764" t="s">
        <v>1377</v>
      </c>
      <c r="B764" t="s">
        <v>27</v>
      </c>
      <c r="C764" t="s">
        <v>28</v>
      </c>
      <c r="D764" t="s">
        <v>54</v>
      </c>
      <c r="E764" t="s">
        <v>41</v>
      </c>
      <c r="F764" t="s">
        <v>24</v>
      </c>
      <c r="G764" s="1">
        <v>45504</v>
      </c>
      <c r="H764" t="s">
        <v>358</v>
      </c>
      <c r="I764">
        <v>10579976</v>
      </c>
      <c r="J764">
        <v>480908</v>
      </c>
      <c r="K764">
        <v>1383</v>
      </c>
      <c r="L764">
        <v>67056</v>
      </c>
      <c r="M764">
        <v>5.1900000000000002E-2</v>
      </c>
      <c r="N764">
        <v>0.26900000000000002</v>
      </c>
      <c r="O764">
        <v>1</v>
      </c>
      <c r="P764" t="b">
        <f t="shared" si="23"/>
        <v>1</v>
      </c>
      <c r="Q764" t="str">
        <f t="shared" si="22"/>
        <v>Positive</v>
      </c>
    </row>
    <row r="765" spans="1:17" x14ac:dyDescent="0.3">
      <c r="A765" t="s">
        <v>1378</v>
      </c>
      <c r="B765" t="s">
        <v>27</v>
      </c>
      <c r="C765" t="s">
        <v>17</v>
      </c>
      <c r="D765" t="s">
        <v>18</v>
      </c>
      <c r="E765" t="s">
        <v>51</v>
      </c>
      <c r="F765" t="s">
        <v>20</v>
      </c>
      <c r="G765" s="1">
        <v>45357</v>
      </c>
      <c r="H765" t="s">
        <v>809</v>
      </c>
      <c r="I765">
        <v>1355266</v>
      </c>
      <c r="J765">
        <v>123206</v>
      </c>
      <c r="K765">
        <v>5360</v>
      </c>
      <c r="L765">
        <v>54121</v>
      </c>
      <c r="M765">
        <v>0.1348</v>
      </c>
      <c r="N765">
        <v>0.53500000000000003</v>
      </c>
      <c r="O765">
        <v>0</v>
      </c>
      <c r="P765" t="b">
        <f t="shared" si="23"/>
        <v>0</v>
      </c>
      <c r="Q765" t="str">
        <f t="shared" si="22"/>
        <v>Positive</v>
      </c>
    </row>
    <row r="766" spans="1:17" x14ac:dyDescent="0.3">
      <c r="A766" t="s">
        <v>1379</v>
      </c>
      <c r="B766" t="s">
        <v>16</v>
      </c>
      <c r="C766" t="s">
        <v>23</v>
      </c>
      <c r="D766" t="s">
        <v>37</v>
      </c>
      <c r="E766" t="s">
        <v>58</v>
      </c>
      <c r="F766" t="s">
        <v>55</v>
      </c>
      <c r="G766" s="1">
        <v>45318</v>
      </c>
      <c r="H766" t="s">
        <v>1057</v>
      </c>
      <c r="I766">
        <v>18856</v>
      </c>
      <c r="J766">
        <v>2357</v>
      </c>
      <c r="K766">
        <v>27369</v>
      </c>
      <c r="L766">
        <v>24973</v>
      </c>
      <c r="M766">
        <v>2.9009</v>
      </c>
      <c r="N766">
        <v>0.70099999999999996</v>
      </c>
      <c r="O766">
        <v>0</v>
      </c>
      <c r="P766" t="b">
        <f t="shared" si="23"/>
        <v>0</v>
      </c>
      <c r="Q766" t="str">
        <f t="shared" si="22"/>
        <v>Positive</v>
      </c>
    </row>
    <row r="767" spans="1:17" x14ac:dyDescent="0.3">
      <c r="A767" t="s">
        <v>1380</v>
      </c>
      <c r="B767" t="s">
        <v>16</v>
      </c>
      <c r="C767" t="s">
        <v>17</v>
      </c>
      <c r="D767" t="s">
        <v>33</v>
      </c>
      <c r="E767" t="s">
        <v>19</v>
      </c>
      <c r="F767" t="s">
        <v>34</v>
      </c>
      <c r="G767" s="1">
        <v>45333</v>
      </c>
      <c r="H767" t="s">
        <v>319</v>
      </c>
      <c r="I767">
        <v>3436670</v>
      </c>
      <c r="J767">
        <v>343667</v>
      </c>
      <c r="K767">
        <v>29325</v>
      </c>
      <c r="L767">
        <v>20809</v>
      </c>
      <c r="M767">
        <v>0.11459999999999999</v>
      </c>
      <c r="N767">
        <v>-5.5E-2</v>
      </c>
      <c r="O767">
        <v>1</v>
      </c>
      <c r="P767" t="b">
        <f t="shared" si="23"/>
        <v>1</v>
      </c>
      <c r="Q767" t="str">
        <f t="shared" si="22"/>
        <v>Negative</v>
      </c>
    </row>
    <row r="768" spans="1:17" x14ac:dyDescent="0.3">
      <c r="A768" t="s">
        <v>1381</v>
      </c>
      <c r="B768" t="s">
        <v>27</v>
      </c>
      <c r="C768" t="s">
        <v>61</v>
      </c>
      <c r="D768" t="s">
        <v>18</v>
      </c>
      <c r="E768" t="s">
        <v>19</v>
      </c>
      <c r="F768" t="s">
        <v>24</v>
      </c>
      <c r="G768" s="1">
        <v>45591</v>
      </c>
      <c r="H768" t="s">
        <v>82</v>
      </c>
      <c r="I768">
        <v>1024216</v>
      </c>
      <c r="J768">
        <v>128027</v>
      </c>
      <c r="K768">
        <v>34778</v>
      </c>
      <c r="L768">
        <v>51169</v>
      </c>
      <c r="M768">
        <v>0.2089</v>
      </c>
      <c r="N768">
        <v>0.35599999999999998</v>
      </c>
      <c r="O768">
        <v>0</v>
      </c>
      <c r="P768" t="b">
        <f t="shared" si="23"/>
        <v>0</v>
      </c>
      <c r="Q768" t="str">
        <f t="shared" si="22"/>
        <v>Positive</v>
      </c>
    </row>
    <row r="769" spans="1:17" x14ac:dyDescent="0.3">
      <c r="A769" t="s">
        <v>1382</v>
      </c>
      <c r="B769" t="s">
        <v>16</v>
      </c>
      <c r="C769" t="s">
        <v>28</v>
      </c>
      <c r="D769" t="s">
        <v>33</v>
      </c>
      <c r="E769" t="s">
        <v>51</v>
      </c>
      <c r="F769" t="s">
        <v>24</v>
      </c>
      <c r="G769" s="1">
        <v>45423</v>
      </c>
      <c r="H769" t="s">
        <v>1383</v>
      </c>
      <c r="I769">
        <v>4809168</v>
      </c>
      <c r="J769">
        <v>369936</v>
      </c>
      <c r="K769">
        <v>18161</v>
      </c>
      <c r="L769">
        <v>57506</v>
      </c>
      <c r="M769">
        <v>9.2700000000000005E-2</v>
      </c>
      <c r="N769">
        <v>-0.72699999999999998</v>
      </c>
      <c r="O769">
        <v>1</v>
      </c>
      <c r="P769" t="b">
        <f t="shared" si="23"/>
        <v>1</v>
      </c>
      <c r="Q769" t="str">
        <f t="shared" si="22"/>
        <v>Negative</v>
      </c>
    </row>
    <row r="770" spans="1:17" x14ac:dyDescent="0.3">
      <c r="A770" t="s">
        <v>1384</v>
      </c>
      <c r="B770" t="s">
        <v>27</v>
      </c>
      <c r="C770" t="s">
        <v>28</v>
      </c>
      <c r="D770" t="s">
        <v>73</v>
      </c>
      <c r="E770" t="s">
        <v>51</v>
      </c>
      <c r="F770" t="s">
        <v>55</v>
      </c>
      <c r="G770" s="1">
        <v>45513</v>
      </c>
      <c r="H770" t="s">
        <v>1385</v>
      </c>
      <c r="I770">
        <v>855526</v>
      </c>
      <c r="J770">
        <v>122218</v>
      </c>
      <c r="K770">
        <v>30504</v>
      </c>
      <c r="L770">
        <v>47378</v>
      </c>
      <c r="M770">
        <v>0.2339</v>
      </c>
      <c r="N770">
        <v>-0.36899999999999999</v>
      </c>
      <c r="O770">
        <v>0</v>
      </c>
      <c r="P770" t="b">
        <f t="shared" si="23"/>
        <v>0</v>
      </c>
      <c r="Q770" t="str">
        <f t="shared" ref="Q770:Q833" si="24">IF(N770&gt;0,"Positive","Negative")</f>
        <v>Negative</v>
      </c>
    </row>
    <row r="771" spans="1:17" x14ac:dyDescent="0.3">
      <c r="A771" t="s">
        <v>1386</v>
      </c>
      <c r="B771" t="s">
        <v>32</v>
      </c>
      <c r="C771" t="s">
        <v>23</v>
      </c>
      <c r="D771" t="s">
        <v>73</v>
      </c>
      <c r="E771" t="s">
        <v>58</v>
      </c>
      <c r="F771" t="s">
        <v>24</v>
      </c>
      <c r="G771" s="1">
        <v>45600</v>
      </c>
      <c r="H771" t="s">
        <v>1067</v>
      </c>
      <c r="I771">
        <v>2950068</v>
      </c>
      <c r="J771">
        <v>245839</v>
      </c>
      <c r="K771">
        <v>19609</v>
      </c>
      <c r="L771">
        <v>16924</v>
      </c>
      <c r="M771">
        <v>9.5699999999999993E-2</v>
      </c>
      <c r="N771">
        <v>-6.4000000000000001E-2</v>
      </c>
      <c r="O771">
        <v>1</v>
      </c>
      <c r="P771" t="b">
        <f t="shared" ref="P771:P834" si="25">IF(O771=1,TRUE,FALSE)</f>
        <v>1</v>
      </c>
      <c r="Q771" t="str">
        <f t="shared" si="24"/>
        <v>Negative</v>
      </c>
    </row>
    <row r="772" spans="1:17" x14ac:dyDescent="0.3">
      <c r="A772" t="s">
        <v>1387</v>
      </c>
      <c r="B772" t="s">
        <v>32</v>
      </c>
      <c r="C772" t="s">
        <v>23</v>
      </c>
      <c r="D772" t="s">
        <v>54</v>
      </c>
      <c r="E772" t="s">
        <v>38</v>
      </c>
      <c r="F772" t="s">
        <v>46</v>
      </c>
      <c r="G772" s="1">
        <v>45354</v>
      </c>
      <c r="H772" t="s">
        <v>1388</v>
      </c>
      <c r="I772">
        <v>4748700</v>
      </c>
      <c r="J772">
        <v>316580</v>
      </c>
      <c r="K772">
        <v>8552</v>
      </c>
      <c r="L772">
        <v>60949</v>
      </c>
      <c r="M772">
        <v>8.1299999999999997E-2</v>
      </c>
      <c r="N772">
        <v>-0.26400000000000001</v>
      </c>
      <c r="O772">
        <v>1</v>
      </c>
      <c r="P772" t="b">
        <f t="shared" si="25"/>
        <v>1</v>
      </c>
      <c r="Q772" t="str">
        <f t="shared" si="24"/>
        <v>Negative</v>
      </c>
    </row>
    <row r="773" spans="1:17" x14ac:dyDescent="0.3">
      <c r="A773" t="s">
        <v>1389</v>
      </c>
      <c r="B773" t="s">
        <v>27</v>
      </c>
      <c r="C773" t="s">
        <v>28</v>
      </c>
      <c r="D773" t="s">
        <v>73</v>
      </c>
      <c r="E773" t="s">
        <v>19</v>
      </c>
      <c r="F773" t="s">
        <v>34</v>
      </c>
      <c r="G773" s="1">
        <v>45603</v>
      </c>
      <c r="H773" t="s">
        <v>1390</v>
      </c>
      <c r="I773">
        <v>12124632</v>
      </c>
      <c r="J773">
        <v>466332</v>
      </c>
      <c r="K773">
        <v>26677</v>
      </c>
      <c r="L773">
        <v>4214</v>
      </c>
      <c r="M773">
        <v>4.1000000000000002E-2</v>
      </c>
      <c r="N773">
        <v>3.2000000000000001E-2</v>
      </c>
      <c r="O773">
        <v>1</v>
      </c>
      <c r="P773" t="b">
        <f t="shared" si="25"/>
        <v>1</v>
      </c>
      <c r="Q773" t="str">
        <f t="shared" si="24"/>
        <v>Positive</v>
      </c>
    </row>
    <row r="774" spans="1:17" x14ac:dyDescent="0.3">
      <c r="A774" t="s">
        <v>1391</v>
      </c>
      <c r="B774" t="s">
        <v>66</v>
      </c>
      <c r="C774" t="s">
        <v>17</v>
      </c>
      <c r="D774" t="s">
        <v>54</v>
      </c>
      <c r="E774" t="s">
        <v>41</v>
      </c>
      <c r="F774" t="s">
        <v>34</v>
      </c>
      <c r="G774" s="1">
        <v>45600</v>
      </c>
      <c r="H774" t="s">
        <v>1046</v>
      </c>
      <c r="I774">
        <v>1064319</v>
      </c>
      <c r="J774">
        <v>62607</v>
      </c>
      <c r="K774">
        <v>2105</v>
      </c>
      <c r="L774">
        <v>61998</v>
      </c>
      <c r="M774">
        <v>0.1191</v>
      </c>
      <c r="N774">
        <v>-0.24199999999999999</v>
      </c>
      <c r="O774">
        <v>0</v>
      </c>
      <c r="P774" t="b">
        <f t="shared" si="25"/>
        <v>0</v>
      </c>
      <c r="Q774" t="str">
        <f t="shared" si="24"/>
        <v>Negative</v>
      </c>
    </row>
    <row r="775" spans="1:17" x14ac:dyDescent="0.3">
      <c r="A775" t="s">
        <v>1392</v>
      </c>
      <c r="B775" t="s">
        <v>32</v>
      </c>
      <c r="C775" t="s">
        <v>28</v>
      </c>
      <c r="D775" t="s">
        <v>33</v>
      </c>
      <c r="E775" t="s">
        <v>58</v>
      </c>
      <c r="F775" t="s">
        <v>34</v>
      </c>
      <c r="G775" s="1">
        <v>45523</v>
      </c>
      <c r="H775" t="s">
        <v>1393</v>
      </c>
      <c r="I775">
        <v>5889303</v>
      </c>
      <c r="J775">
        <v>280443</v>
      </c>
      <c r="K775">
        <v>36614</v>
      </c>
      <c r="L775">
        <v>42966</v>
      </c>
      <c r="M775">
        <v>6.1100000000000002E-2</v>
      </c>
      <c r="N775">
        <v>-0.751</v>
      </c>
      <c r="O775">
        <v>1</v>
      </c>
      <c r="P775" t="b">
        <f t="shared" si="25"/>
        <v>1</v>
      </c>
      <c r="Q775" t="str">
        <f t="shared" si="24"/>
        <v>Negative</v>
      </c>
    </row>
    <row r="776" spans="1:17" x14ac:dyDescent="0.3">
      <c r="A776" t="s">
        <v>1394</v>
      </c>
      <c r="B776" t="s">
        <v>66</v>
      </c>
      <c r="C776" t="s">
        <v>17</v>
      </c>
      <c r="D776" t="s">
        <v>29</v>
      </c>
      <c r="E776" t="s">
        <v>51</v>
      </c>
      <c r="F776" t="s">
        <v>24</v>
      </c>
      <c r="G776" s="1">
        <v>45562</v>
      </c>
      <c r="H776" t="s">
        <v>207</v>
      </c>
      <c r="I776">
        <v>2058875</v>
      </c>
      <c r="J776">
        <v>294125</v>
      </c>
      <c r="K776">
        <v>17063</v>
      </c>
      <c r="L776">
        <v>24473</v>
      </c>
      <c r="M776">
        <v>0.16300000000000001</v>
      </c>
      <c r="N776">
        <v>-0.191</v>
      </c>
      <c r="O776">
        <v>1</v>
      </c>
      <c r="P776" t="b">
        <f t="shared" si="25"/>
        <v>1</v>
      </c>
      <c r="Q776" t="str">
        <f t="shared" si="24"/>
        <v>Negative</v>
      </c>
    </row>
    <row r="777" spans="1:17" x14ac:dyDescent="0.3">
      <c r="A777" t="s">
        <v>1395</v>
      </c>
      <c r="B777" t="s">
        <v>32</v>
      </c>
      <c r="C777" t="s">
        <v>17</v>
      </c>
      <c r="D777" t="s">
        <v>29</v>
      </c>
      <c r="E777" t="s">
        <v>41</v>
      </c>
      <c r="F777" t="s">
        <v>34</v>
      </c>
      <c r="G777" s="1">
        <v>45484</v>
      </c>
      <c r="H777" t="s">
        <v>1396</v>
      </c>
      <c r="I777">
        <v>6483120</v>
      </c>
      <c r="J777">
        <v>231540</v>
      </c>
      <c r="K777">
        <v>36026</v>
      </c>
      <c r="L777">
        <v>54132</v>
      </c>
      <c r="M777">
        <v>4.9599999999999998E-2</v>
      </c>
      <c r="N777">
        <v>0.45</v>
      </c>
      <c r="O777">
        <v>1</v>
      </c>
      <c r="P777" t="b">
        <f t="shared" si="25"/>
        <v>1</v>
      </c>
      <c r="Q777" t="str">
        <f t="shared" si="24"/>
        <v>Positive</v>
      </c>
    </row>
    <row r="778" spans="1:17" x14ac:dyDescent="0.3">
      <c r="A778" t="s">
        <v>1397</v>
      </c>
      <c r="B778" t="s">
        <v>66</v>
      </c>
      <c r="C778" t="s">
        <v>17</v>
      </c>
      <c r="D778" t="s">
        <v>29</v>
      </c>
      <c r="E778" t="s">
        <v>51</v>
      </c>
      <c r="F778" t="s">
        <v>24</v>
      </c>
      <c r="G778" s="1">
        <v>45517</v>
      </c>
      <c r="H778" t="s">
        <v>1398</v>
      </c>
      <c r="I778">
        <v>3589080</v>
      </c>
      <c r="J778">
        <v>358908</v>
      </c>
      <c r="K778">
        <v>1406</v>
      </c>
      <c r="L778">
        <v>85180</v>
      </c>
      <c r="M778">
        <v>0.1241</v>
      </c>
      <c r="N778">
        <v>0.52500000000000002</v>
      </c>
      <c r="O778">
        <v>1</v>
      </c>
      <c r="P778" t="b">
        <f t="shared" si="25"/>
        <v>1</v>
      </c>
      <c r="Q778" t="str">
        <f t="shared" si="24"/>
        <v>Positive</v>
      </c>
    </row>
    <row r="779" spans="1:17" x14ac:dyDescent="0.3">
      <c r="A779" t="s">
        <v>1399</v>
      </c>
      <c r="B779" t="s">
        <v>16</v>
      </c>
      <c r="C779" t="s">
        <v>61</v>
      </c>
      <c r="D779" t="s">
        <v>37</v>
      </c>
      <c r="E779" t="s">
        <v>19</v>
      </c>
      <c r="F779" t="s">
        <v>46</v>
      </c>
      <c r="G779" s="1">
        <v>45353</v>
      </c>
      <c r="H779" t="s">
        <v>497</v>
      </c>
      <c r="I779">
        <v>6930478</v>
      </c>
      <c r="J779">
        <v>364762</v>
      </c>
      <c r="K779">
        <v>19616</v>
      </c>
      <c r="L779">
        <v>43792</v>
      </c>
      <c r="M779">
        <v>6.1800000000000001E-2</v>
      </c>
      <c r="N779">
        <v>-0.56000000000000005</v>
      </c>
      <c r="O779">
        <v>1</v>
      </c>
      <c r="P779" t="b">
        <f t="shared" si="25"/>
        <v>1</v>
      </c>
      <c r="Q779" t="str">
        <f t="shared" si="24"/>
        <v>Negative</v>
      </c>
    </row>
    <row r="780" spans="1:17" x14ac:dyDescent="0.3">
      <c r="A780" t="s">
        <v>1400</v>
      </c>
      <c r="B780" t="s">
        <v>16</v>
      </c>
      <c r="C780" t="s">
        <v>23</v>
      </c>
      <c r="D780" t="s">
        <v>73</v>
      </c>
      <c r="E780" t="s">
        <v>19</v>
      </c>
      <c r="F780" t="s">
        <v>20</v>
      </c>
      <c r="G780" s="1">
        <v>45402</v>
      </c>
      <c r="H780" t="s">
        <v>1401</v>
      </c>
      <c r="I780">
        <v>5422950</v>
      </c>
      <c r="J780">
        <v>208575</v>
      </c>
      <c r="K780">
        <v>2750</v>
      </c>
      <c r="L780">
        <v>55244</v>
      </c>
      <c r="M780">
        <v>4.9200000000000001E-2</v>
      </c>
      <c r="N780">
        <v>-0.96599999999999997</v>
      </c>
      <c r="O780">
        <v>1</v>
      </c>
      <c r="P780" t="b">
        <f t="shared" si="25"/>
        <v>1</v>
      </c>
      <c r="Q780" t="str">
        <f t="shared" si="24"/>
        <v>Negative</v>
      </c>
    </row>
    <row r="781" spans="1:17" x14ac:dyDescent="0.3">
      <c r="A781" t="s">
        <v>1402</v>
      </c>
      <c r="B781" t="s">
        <v>32</v>
      </c>
      <c r="C781" t="s">
        <v>61</v>
      </c>
      <c r="D781" t="s">
        <v>18</v>
      </c>
      <c r="E781" t="s">
        <v>38</v>
      </c>
      <c r="F781" t="s">
        <v>20</v>
      </c>
      <c r="G781" s="1">
        <v>45401</v>
      </c>
      <c r="H781" t="s">
        <v>1403</v>
      </c>
      <c r="I781">
        <v>714540</v>
      </c>
      <c r="J781">
        <v>71454</v>
      </c>
      <c r="K781">
        <v>48866</v>
      </c>
      <c r="L781">
        <v>30117</v>
      </c>
      <c r="M781">
        <v>0.21049999999999999</v>
      </c>
      <c r="N781">
        <v>-0.129</v>
      </c>
      <c r="O781">
        <v>0</v>
      </c>
      <c r="P781" t="b">
        <f t="shared" si="25"/>
        <v>0</v>
      </c>
      <c r="Q781" t="str">
        <f t="shared" si="24"/>
        <v>Negative</v>
      </c>
    </row>
    <row r="782" spans="1:17" x14ac:dyDescent="0.3">
      <c r="A782" t="s">
        <v>1404</v>
      </c>
      <c r="B782" t="s">
        <v>27</v>
      </c>
      <c r="C782" t="s">
        <v>17</v>
      </c>
      <c r="D782" t="s">
        <v>73</v>
      </c>
      <c r="E782" t="s">
        <v>51</v>
      </c>
      <c r="F782" t="s">
        <v>55</v>
      </c>
      <c r="G782" s="1">
        <v>45391</v>
      </c>
      <c r="H782" t="s">
        <v>1405</v>
      </c>
      <c r="I782">
        <v>1463375</v>
      </c>
      <c r="J782">
        <v>292675</v>
      </c>
      <c r="K782">
        <v>17913</v>
      </c>
      <c r="L782">
        <v>29337</v>
      </c>
      <c r="M782">
        <v>0.23230000000000001</v>
      </c>
      <c r="N782">
        <v>0.47799999999999998</v>
      </c>
      <c r="O782">
        <v>0</v>
      </c>
      <c r="P782" t="b">
        <f t="shared" si="25"/>
        <v>0</v>
      </c>
      <c r="Q782" t="str">
        <f t="shared" si="24"/>
        <v>Positive</v>
      </c>
    </row>
    <row r="783" spans="1:17" x14ac:dyDescent="0.3">
      <c r="A783" t="s">
        <v>1406</v>
      </c>
      <c r="B783" t="s">
        <v>66</v>
      </c>
      <c r="C783" t="s">
        <v>61</v>
      </c>
      <c r="D783" t="s">
        <v>37</v>
      </c>
      <c r="E783" t="s">
        <v>19</v>
      </c>
      <c r="F783" t="s">
        <v>46</v>
      </c>
      <c r="G783" s="1">
        <v>45613</v>
      </c>
      <c r="H783" t="s">
        <v>1407</v>
      </c>
      <c r="I783">
        <v>6283980</v>
      </c>
      <c r="J783">
        <v>314199</v>
      </c>
      <c r="K783">
        <v>20098</v>
      </c>
      <c r="L783">
        <v>6156</v>
      </c>
      <c r="M783">
        <v>5.4199999999999998E-2</v>
      </c>
      <c r="N783">
        <v>0.13600000000000001</v>
      </c>
      <c r="O783">
        <v>1</v>
      </c>
      <c r="P783" t="b">
        <f t="shared" si="25"/>
        <v>1</v>
      </c>
      <c r="Q783" t="str">
        <f t="shared" si="24"/>
        <v>Positive</v>
      </c>
    </row>
    <row r="784" spans="1:17" x14ac:dyDescent="0.3">
      <c r="A784" t="s">
        <v>1408</v>
      </c>
      <c r="B784" t="s">
        <v>32</v>
      </c>
      <c r="C784" t="s">
        <v>23</v>
      </c>
      <c r="D784" t="s">
        <v>29</v>
      </c>
      <c r="E784" t="s">
        <v>38</v>
      </c>
      <c r="F784" t="s">
        <v>34</v>
      </c>
      <c r="G784" s="1">
        <v>45563</v>
      </c>
      <c r="H784" t="s">
        <v>1409</v>
      </c>
      <c r="I784">
        <v>2055240</v>
      </c>
      <c r="J784">
        <v>186840</v>
      </c>
      <c r="K784">
        <v>20968</v>
      </c>
      <c r="L784">
        <v>50125</v>
      </c>
      <c r="M784">
        <v>0.1255</v>
      </c>
      <c r="N784">
        <v>0.75900000000000001</v>
      </c>
      <c r="O784">
        <v>1</v>
      </c>
      <c r="P784" t="b">
        <f t="shared" si="25"/>
        <v>1</v>
      </c>
      <c r="Q784" t="str">
        <f t="shared" si="24"/>
        <v>Positive</v>
      </c>
    </row>
    <row r="785" spans="1:17" x14ac:dyDescent="0.3">
      <c r="A785" t="s">
        <v>1410</v>
      </c>
      <c r="B785" t="s">
        <v>32</v>
      </c>
      <c r="C785" t="s">
        <v>23</v>
      </c>
      <c r="D785" t="s">
        <v>73</v>
      </c>
      <c r="E785" t="s">
        <v>19</v>
      </c>
      <c r="F785" t="s">
        <v>34</v>
      </c>
      <c r="G785" s="1">
        <v>45654</v>
      </c>
      <c r="H785" t="s">
        <v>430</v>
      </c>
      <c r="I785">
        <v>2216712</v>
      </c>
      <c r="J785">
        <v>184726</v>
      </c>
      <c r="K785">
        <v>20941</v>
      </c>
      <c r="L785">
        <v>4427</v>
      </c>
      <c r="M785">
        <v>9.4799999999999995E-2</v>
      </c>
      <c r="N785">
        <v>0.56599999999999995</v>
      </c>
      <c r="O785">
        <v>1</v>
      </c>
      <c r="P785" t="b">
        <f t="shared" si="25"/>
        <v>1</v>
      </c>
      <c r="Q785" t="str">
        <f t="shared" si="24"/>
        <v>Positive</v>
      </c>
    </row>
    <row r="786" spans="1:17" x14ac:dyDescent="0.3">
      <c r="A786" t="s">
        <v>1411</v>
      </c>
      <c r="B786" t="s">
        <v>32</v>
      </c>
      <c r="C786" t="s">
        <v>17</v>
      </c>
      <c r="D786" t="s">
        <v>37</v>
      </c>
      <c r="E786" t="s">
        <v>58</v>
      </c>
      <c r="F786" t="s">
        <v>34</v>
      </c>
      <c r="G786" s="1">
        <v>45647</v>
      </c>
      <c r="H786" t="s">
        <v>1412</v>
      </c>
      <c r="I786">
        <v>7499516</v>
      </c>
      <c r="J786">
        <v>441148</v>
      </c>
      <c r="K786">
        <v>28156</v>
      </c>
      <c r="L786">
        <v>79304</v>
      </c>
      <c r="M786">
        <v>7.3200000000000001E-2</v>
      </c>
      <c r="N786">
        <v>-0.20399999999999999</v>
      </c>
      <c r="O786">
        <v>1</v>
      </c>
      <c r="P786" t="b">
        <f t="shared" si="25"/>
        <v>1</v>
      </c>
      <c r="Q786" t="str">
        <f t="shared" si="24"/>
        <v>Negative</v>
      </c>
    </row>
    <row r="787" spans="1:17" x14ac:dyDescent="0.3">
      <c r="A787" t="s">
        <v>1413</v>
      </c>
      <c r="B787" t="s">
        <v>66</v>
      </c>
      <c r="C787" t="s">
        <v>61</v>
      </c>
      <c r="D787" t="s">
        <v>18</v>
      </c>
      <c r="E787" t="s">
        <v>19</v>
      </c>
      <c r="F787" t="s">
        <v>20</v>
      </c>
      <c r="G787" s="1">
        <v>45429</v>
      </c>
      <c r="H787" t="s">
        <v>1414</v>
      </c>
      <c r="I787">
        <v>3311035</v>
      </c>
      <c r="J787">
        <v>254695</v>
      </c>
      <c r="K787">
        <v>45676</v>
      </c>
      <c r="L787">
        <v>90307</v>
      </c>
      <c r="M787">
        <v>0.11799999999999999</v>
      </c>
      <c r="N787">
        <v>0.875</v>
      </c>
      <c r="O787">
        <v>1</v>
      </c>
      <c r="P787" t="b">
        <f t="shared" si="25"/>
        <v>1</v>
      </c>
      <c r="Q787" t="str">
        <f t="shared" si="24"/>
        <v>Positive</v>
      </c>
    </row>
    <row r="788" spans="1:17" x14ac:dyDescent="0.3">
      <c r="A788" t="s">
        <v>1415</v>
      </c>
      <c r="B788" t="s">
        <v>16</v>
      </c>
      <c r="C788" t="s">
        <v>17</v>
      </c>
      <c r="D788" t="s">
        <v>29</v>
      </c>
      <c r="E788" t="s">
        <v>41</v>
      </c>
      <c r="F788" t="s">
        <v>46</v>
      </c>
      <c r="G788" s="1">
        <v>45570</v>
      </c>
      <c r="H788" t="s">
        <v>1416</v>
      </c>
      <c r="I788">
        <v>1659935</v>
      </c>
      <c r="J788">
        <v>87365</v>
      </c>
      <c r="K788">
        <v>31136</v>
      </c>
      <c r="L788">
        <v>52429</v>
      </c>
      <c r="M788">
        <v>0.10299999999999999</v>
      </c>
      <c r="N788">
        <v>-0.88100000000000001</v>
      </c>
      <c r="O788">
        <v>0</v>
      </c>
      <c r="P788" t="b">
        <f t="shared" si="25"/>
        <v>0</v>
      </c>
      <c r="Q788" t="str">
        <f t="shared" si="24"/>
        <v>Negative</v>
      </c>
    </row>
    <row r="789" spans="1:17" x14ac:dyDescent="0.3">
      <c r="A789" t="s">
        <v>1417</v>
      </c>
      <c r="B789" t="s">
        <v>66</v>
      </c>
      <c r="C789" t="s">
        <v>17</v>
      </c>
      <c r="D789" t="s">
        <v>37</v>
      </c>
      <c r="E789" t="s">
        <v>58</v>
      </c>
      <c r="F789" t="s">
        <v>20</v>
      </c>
      <c r="G789" s="1">
        <v>45425</v>
      </c>
      <c r="H789" t="s">
        <v>1418</v>
      </c>
      <c r="I789">
        <v>639171</v>
      </c>
      <c r="J789">
        <v>49167</v>
      </c>
      <c r="K789">
        <v>41480</v>
      </c>
      <c r="L789">
        <v>21608</v>
      </c>
      <c r="M789">
        <v>0.17560000000000001</v>
      </c>
      <c r="N789">
        <v>-0.52200000000000002</v>
      </c>
      <c r="O789">
        <v>0</v>
      </c>
      <c r="P789" t="b">
        <f t="shared" si="25"/>
        <v>0</v>
      </c>
      <c r="Q789" t="str">
        <f t="shared" si="24"/>
        <v>Negative</v>
      </c>
    </row>
    <row r="790" spans="1:17" x14ac:dyDescent="0.3">
      <c r="A790" t="s">
        <v>1419</v>
      </c>
      <c r="B790" t="s">
        <v>16</v>
      </c>
      <c r="C790" t="s">
        <v>61</v>
      </c>
      <c r="D790" t="s">
        <v>33</v>
      </c>
      <c r="E790" t="s">
        <v>51</v>
      </c>
      <c r="F790" t="s">
        <v>24</v>
      </c>
      <c r="G790" s="1">
        <v>45571</v>
      </c>
      <c r="H790" t="s">
        <v>1420</v>
      </c>
      <c r="I790">
        <v>9234258</v>
      </c>
      <c r="J790">
        <v>419739</v>
      </c>
      <c r="K790">
        <v>43620</v>
      </c>
      <c r="L790">
        <v>74708</v>
      </c>
      <c r="M790">
        <v>5.8299999999999998E-2</v>
      </c>
      <c r="N790">
        <v>0.28899999999999998</v>
      </c>
      <c r="O790">
        <v>1</v>
      </c>
      <c r="P790" t="b">
        <f t="shared" si="25"/>
        <v>1</v>
      </c>
      <c r="Q790" t="str">
        <f t="shared" si="24"/>
        <v>Positive</v>
      </c>
    </row>
    <row r="791" spans="1:17" x14ac:dyDescent="0.3">
      <c r="A791" t="s">
        <v>1421</v>
      </c>
      <c r="B791" t="s">
        <v>66</v>
      </c>
      <c r="C791" t="s">
        <v>23</v>
      </c>
      <c r="D791" t="s">
        <v>29</v>
      </c>
      <c r="E791" t="s">
        <v>19</v>
      </c>
      <c r="F791" t="s">
        <v>55</v>
      </c>
      <c r="G791" s="1">
        <v>45340</v>
      </c>
      <c r="H791" t="s">
        <v>1422</v>
      </c>
      <c r="I791">
        <v>1287615</v>
      </c>
      <c r="J791">
        <v>61315</v>
      </c>
      <c r="K791">
        <v>49434</v>
      </c>
      <c r="L791">
        <v>82153</v>
      </c>
      <c r="M791">
        <v>0.14979999999999999</v>
      </c>
      <c r="N791">
        <v>-0.54900000000000004</v>
      </c>
      <c r="O791">
        <v>0</v>
      </c>
      <c r="P791" t="b">
        <f t="shared" si="25"/>
        <v>0</v>
      </c>
      <c r="Q791" t="str">
        <f t="shared" si="24"/>
        <v>Negative</v>
      </c>
    </row>
    <row r="792" spans="1:17" x14ac:dyDescent="0.3">
      <c r="A792" t="s">
        <v>1423</v>
      </c>
      <c r="B792" t="s">
        <v>16</v>
      </c>
      <c r="C792" t="s">
        <v>17</v>
      </c>
      <c r="D792" t="s">
        <v>73</v>
      </c>
      <c r="E792" t="s">
        <v>19</v>
      </c>
      <c r="F792" t="s">
        <v>20</v>
      </c>
      <c r="G792" s="1">
        <v>45530</v>
      </c>
      <c r="H792" t="s">
        <v>1424</v>
      </c>
      <c r="I792">
        <v>4026099</v>
      </c>
      <c r="J792">
        <v>138831</v>
      </c>
      <c r="K792">
        <v>43374</v>
      </c>
      <c r="L792">
        <v>77241</v>
      </c>
      <c r="M792">
        <v>6.4399999999999999E-2</v>
      </c>
      <c r="N792">
        <v>0.56299999999999994</v>
      </c>
      <c r="O792">
        <v>1</v>
      </c>
      <c r="P792" t="b">
        <f t="shared" si="25"/>
        <v>1</v>
      </c>
      <c r="Q792" t="str">
        <f t="shared" si="24"/>
        <v>Positive</v>
      </c>
    </row>
    <row r="793" spans="1:17" x14ac:dyDescent="0.3">
      <c r="A793" t="s">
        <v>1425</v>
      </c>
      <c r="B793" t="s">
        <v>66</v>
      </c>
      <c r="C793" t="s">
        <v>61</v>
      </c>
      <c r="D793" t="s">
        <v>18</v>
      </c>
      <c r="E793" t="s">
        <v>38</v>
      </c>
      <c r="F793" t="s">
        <v>55</v>
      </c>
      <c r="G793" s="1">
        <v>45593</v>
      </c>
      <c r="H793" t="s">
        <v>35</v>
      </c>
      <c r="I793">
        <v>3749520</v>
      </c>
      <c r="J793">
        <v>220560</v>
      </c>
      <c r="K793">
        <v>32087</v>
      </c>
      <c r="L793">
        <v>88331</v>
      </c>
      <c r="M793">
        <v>9.0899999999999995E-2</v>
      </c>
      <c r="N793">
        <v>0.622</v>
      </c>
      <c r="O793">
        <v>1</v>
      </c>
      <c r="P793" t="b">
        <f t="shared" si="25"/>
        <v>1</v>
      </c>
      <c r="Q793" t="str">
        <f t="shared" si="24"/>
        <v>Positive</v>
      </c>
    </row>
    <row r="794" spans="1:17" x14ac:dyDescent="0.3">
      <c r="A794" t="s">
        <v>1426</v>
      </c>
      <c r="B794" t="s">
        <v>16</v>
      </c>
      <c r="C794" t="s">
        <v>28</v>
      </c>
      <c r="D794" t="s">
        <v>37</v>
      </c>
      <c r="E794" t="s">
        <v>38</v>
      </c>
      <c r="F794" t="s">
        <v>55</v>
      </c>
      <c r="G794" s="1">
        <v>45472</v>
      </c>
      <c r="H794" t="s">
        <v>1427</v>
      </c>
      <c r="I794">
        <v>5828325</v>
      </c>
      <c r="J794">
        <v>388555</v>
      </c>
      <c r="K794">
        <v>13384</v>
      </c>
      <c r="L794">
        <v>54255</v>
      </c>
      <c r="M794">
        <v>7.8299999999999995E-2</v>
      </c>
      <c r="N794">
        <v>-0.48</v>
      </c>
      <c r="O794">
        <v>1</v>
      </c>
      <c r="P794" t="b">
        <f t="shared" si="25"/>
        <v>1</v>
      </c>
      <c r="Q794" t="str">
        <f t="shared" si="24"/>
        <v>Negative</v>
      </c>
    </row>
    <row r="795" spans="1:17" x14ac:dyDescent="0.3">
      <c r="A795" t="s">
        <v>1428</v>
      </c>
      <c r="B795" t="s">
        <v>27</v>
      </c>
      <c r="C795" t="s">
        <v>61</v>
      </c>
      <c r="D795" t="s">
        <v>29</v>
      </c>
      <c r="E795" t="s">
        <v>41</v>
      </c>
      <c r="F795" t="s">
        <v>24</v>
      </c>
      <c r="G795" s="1">
        <v>45339</v>
      </c>
      <c r="H795" t="s">
        <v>1429</v>
      </c>
      <c r="I795">
        <v>4271560</v>
      </c>
      <c r="J795">
        <v>427156</v>
      </c>
      <c r="K795">
        <v>32435</v>
      </c>
      <c r="L795">
        <v>23092</v>
      </c>
      <c r="M795">
        <v>0.113</v>
      </c>
      <c r="N795">
        <v>-0.41899999999999998</v>
      </c>
      <c r="O795">
        <v>1</v>
      </c>
      <c r="P795" t="b">
        <f t="shared" si="25"/>
        <v>1</v>
      </c>
      <c r="Q795" t="str">
        <f t="shared" si="24"/>
        <v>Negative</v>
      </c>
    </row>
    <row r="796" spans="1:17" x14ac:dyDescent="0.3">
      <c r="A796" t="s">
        <v>1430</v>
      </c>
      <c r="B796" t="s">
        <v>32</v>
      </c>
      <c r="C796" t="s">
        <v>23</v>
      </c>
      <c r="D796" t="s">
        <v>33</v>
      </c>
      <c r="E796" t="s">
        <v>51</v>
      </c>
      <c r="F796" t="s">
        <v>46</v>
      </c>
      <c r="G796" s="1">
        <v>45511</v>
      </c>
      <c r="H796" t="s">
        <v>358</v>
      </c>
      <c r="I796">
        <v>982163</v>
      </c>
      <c r="J796">
        <v>75551</v>
      </c>
      <c r="K796">
        <v>42557</v>
      </c>
      <c r="L796">
        <v>18991</v>
      </c>
      <c r="M796">
        <v>0.1396</v>
      </c>
      <c r="N796">
        <v>0.38</v>
      </c>
      <c r="O796">
        <v>0</v>
      </c>
      <c r="P796" t="b">
        <f t="shared" si="25"/>
        <v>0</v>
      </c>
      <c r="Q796" t="str">
        <f t="shared" si="24"/>
        <v>Positive</v>
      </c>
    </row>
    <row r="797" spans="1:17" x14ac:dyDescent="0.3">
      <c r="A797" t="s">
        <v>1431</v>
      </c>
      <c r="B797" t="s">
        <v>32</v>
      </c>
      <c r="C797" t="s">
        <v>23</v>
      </c>
      <c r="D797" t="s">
        <v>37</v>
      </c>
      <c r="E797" t="s">
        <v>38</v>
      </c>
      <c r="F797" t="s">
        <v>24</v>
      </c>
      <c r="G797" s="1">
        <v>45626</v>
      </c>
      <c r="H797" t="s">
        <v>1432</v>
      </c>
      <c r="I797">
        <v>1279845</v>
      </c>
      <c r="J797">
        <v>142205</v>
      </c>
      <c r="K797">
        <v>42741</v>
      </c>
      <c r="L797">
        <v>16242</v>
      </c>
      <c r="M797">
        <v>0.15720000000000001</v>
      </c>
      <c r="N797">
        <v>-5.0000000000000001E-3</v>
      </c>
      <c r="O797">
        <v>0</v>
      </c>
      <c r="P797" t="b">
        <f t="shared" si="25"/>
        <v>0</v>
      </c>
      <c r="Q797" t="str">
        <f t="shared" si="24"/>
        <v>Negative</v>
      </c>
    </row>
    <row r="798" spans="1:17" x14ac:dyDescent="0.3">
      <c r="A798" t="s">
        <v>1433</v>
      </c>
      <c r="B798" t="s">
        <v>66</v>
      </c>
      <c r="C798" t="s">
        <v>17</v>
      </c>
      <c r="D798" t="s">
        <v>33</v>
      </c>
      <c r="E798" t="s">
        <v>51</v>
      </c>
      <c r="F798" t="s">
        <v>55</v>
      </c>
      <c r="G798" s="1">
        <v>45434</v>
      </c>
      <c r="H798" t="s">
        <v>334</v>
      </c>
      <c r="I798">
        <v>2940600</v>
      </c>
      <c r="J798">
        <v>113100</v>
      </c>
      <c r="K798">
        <v>47567</v>
      </c>
      <c r="L798">
        <v>35064</v>
      </c>
      <c r="M798">
        <v>6.6600000000000006E-2</v>
      </c>
      <c r="N798">
        <v>-0.16900000000000001</v>
      </c>
      <c r="O798">
        <v>1</v>
      </c>
      <c r="P798" t="b">
        <f t="shared" si="25"/>
        <v>1</v>
      </c>
      <c r="Q798" t="str">
        <f t="shared" si="24"/>
        <v>Negative</v>
      </c>
    </row>
    <row r="799" spans="1:17" x14ac:dyDescent="0.3">
      <c r="A799" t="s">
        <v>1434</v>
      </c>
      <c r="B799" t="s">
        <v>16</v>
      </c>
      <c r="C799" t="s">
        <v>23</v>
      </c>
      <c r="D799" t="s">
        <v>29</v>
      </c>
      <c r="E799" t="s">
        <v>51</v>
      </c>
      <c r="F799" t="s">
        <v>55</v>
      </c>
      <c r="G799" s="1">
        <v>45304</v>
      </c>
      <c r="H799" t="s">
        <v>1435</v>
      </c>
      <c r="I799">
        <v>3955425</v>
      </c>
      <c r="J799">
        <v>158217</v>
      </c>
      <c r="K799">
        <v>44774</v>
      </c>
      <c r="L799">
        <v>47119</v>
      </c>
      <c r="M799">
        <v>6.3200000000000006E-2</v>
      </c>
      <c r="N799">
        <v>0.92500000000000004</v>
      </c>
      <c r="O799">
        <v>1</v>
      </c>
      <c r="P799" t="b">
        <f t="shared" si="25"/>
        <v>1</v>
      </c>
      <c r="Q799" t="str">
        <f t="shared" si="24"/>
        <v>Positive</v>
      </c>
    </row>
    <row r="800" spans="1:17" x14ac:dyDescent="0.3">
      <c r="A800" t="s">
        <v>1436</v>
      </c>
      <c r="B800" t="s">
        <v>66</v>
      </c>
      <c r="C800" t="s">
        <v>23</v>
      </c>
      <c r="D800" t="s">
        <v>37</v>
      </c>
      <c r="E800" t="s">
        <v>58</v>
      </c>
      <c r="F800" t="s">
        <v>55</v>
      </c>
      <c r="G800" s="1">
        <v>45413</v>
      </c>
      <c r="H800" t="s">
        <v>1437</v>
      </c>
      <c r="I800">
        <v>5575174</v>
      </c>
      <c r="J800">
        <v>253417</v>
      </c>
      <c r="K800">
        <v>44610</v>
      </c>
      <c r="L800">
        <v>84566</v>
      </c>
      <c r="M800">
        <v>6.8599999999999994E-2</v>
      </c>
      <c r="N800">
        <v>9.4E-2</v>
      </c>
      <c r="O800">
        <v>1</v>
      </c>
      <c r="P800" t="b">
        <f t="shared" si="25"/>
        <v>1</v>
      </c>
      <c r="Q800" t="str">
        <f t="shared" si="24"/>
        <v>Positive</v>
      </c>
    </row>
    <row r="801" spans="1:17" x14ac:dyDescent="0.3">
      <c r="A801" t="s">
        <v>1438</v>
      </c>
      <c r="B801" t="s">
        <v>27</v>
      </c>
      <c r="C801" t="s">
        <v>61</v>
      </c>
      <c r="D801" t="s">
        <v>73</v>
      </c>
      <c r="E801" t="s">
        <v>58</v>
      </c>
      <c r="F801" t="s">
        <v>20</v>
      </c>
      <c r="G801" s="1">
        <v>45298</v>
      </c>
      <c r="H801" t="s">
        <v>1439</v>
      </c>
      <c r="I801">
        <v>303863</v>
      </c>
      <c r="J801">
        <v>43409</v>
      </c>
      <c r="K801">
        <v>1937</v>
      </c>
      <c r="L801">
        <v>44255</v>
      </c>
      <c r="M801">
        <v>0.2949</v>
      </c>
      <c r="N801">
        <v>-0.66900000000000004</v>
      </c>
      <c r="O801">
        <v>0</v>
      </c>
      <c r="P801" t="b">
        <f t="shared" si="25"/>
        <v>0</v>
      </c>
      <c r="Q801" t="str">
        <f t="shared" si="24"/>
        <v>Negative</v>
      </c>
    </row>
    <row r="802" spans="1:17" x14ac:dyDescent="0.3">
      <c r="A802" t="s">
        <v>1440</v>
      </c>
      <c r="B802" t="s">
        <v>27</v>
      </c>
      <c r="C802" t="s">
        <v>28</v>
      </c>
      <c r="D802" t="s">
        <v>18</v>
      </c>
      <c r="E802" t="s">
        <v>38</v>
      </c>
      <c r="F802" t="s">
        <v>24</v>
      </c>
      <c r="G802" s="1">
        <v>45536</v>
      </c>
      <c r="H802" t="s">
        <v>1441</v>
      </c>
      <c r="I802">
        <v>7819456</v>
      </c>
      <c r="J802">
        <v>459968</v>
      </c>
      <c r="K802">
        <v>43532</v>
      </c>
      <c r="L802">
        <v>77228</v>
      </c>
      <c r="M802">
        <v>7.4300000000000005E-2</v>
      </c>
      <c r="N802">
        <v>-0.9</v>
      </c>
      <c r="O802">
        <v>1</v>
      </c>
      <c r="P802" t="b">
        <f t="shared" si="25"/>
        <v>1</v>
      </c>
      <c r="Q802" t="str">
        <f t="shared" si="24"/>
        <v>Negative</v>
      </c>
    </row>
    <row r="803" spans="1:17" x14ac:dyDescent="0.3">
      <c r="A803" t="s">
        <v>1442</v>
      </c>
      <c r="B803" t="s">
        <v>27</v>
      </c>
      <c r="C803" t="s">
        <v>28</v>
      </c>
      <c r="D803" t="s">
        <v>18</v>
      </c>
      <c r="E803" t="s">
        <v>41</v>
      </c>
      <c r="F803" t="s">
        <v>55</v>
      </c>
      <c r="G803" s="1">
        <v>45369</v>
      </c>
      <c r="H803" t="s">
        <v>1443</v>
      </c>
      <c r="I803">
        <v>1401660</v>
      </c>
      <c r="J803">
        <v>93444</v>
      </c>
      <c r="K803">
        <v>24277</v>
      </c>
      <c r="L803">
        <v>93936</v>
      </c>
      <c r="M803">
        <v>0.151</v>
      </c>
      <c r="N803">
        <v>0.58599999999999997</v>
      </c>
      <c r="O803">
        <v>0</v>
      </c>
      <c r="P803" t="b">
        <f t="shared" si="25"/>
        <v>0</v>
      </c>
      <c r="Q803" t="str">
        <f t="shared" si="24"/>
        <v>Positive</v>
      </c>
    </row>
    <row r="804" spans="1:17" x14ac:dyDescent="0.3">
      <c r="A804" t="s">
        <v>1444</v>
      </c>
      <c r="B804" t="s">
        <v>32</v>
      </c>
      <c r="C804" t="s">
        <v>17</v>
      </c>
      <c r="D804" t="s">
        <v>18</v>
      </c>
      <c r="E804" t="s">
        <v>19</v>
      </c>
      <c r="F804" t="s">
        <v>55</v>
      </c>
      <c r="G804" s="1">
        <v>45650</v>
      </c>
      <c r="H804" t="s">
        <v>1445</v>
      </c>
      <c r="I804">
        <v>2162840</v>
      </c>
      <c r="J804">
        <v>108142</v>
      </c>
      <c r="K804">
        <v>13984</v>
      </c>
      <c r="L804">
        <v>28329</v>
      </c>
      <c r="M804">
        <v>6.9599999999999995E-2</v>
      </c>
      <c r="N804">
        <v>0.27300000000000002</v>
      </c>
      <c r="O804">
        <v>1</v>
      </c>
      <c r="P804" t="b">
        <f t="shared" si="25"/>
        <v>1</v>
      </c>
      <c r="Q804" t="str">
        <f t="shared" si="24"/>
        <v>Positive</v>
      </c>
    </row>
    <row r="805" spans="1:17" x14ac:dyDescent="0.3">
      <c r="A805" t="s">
        <v>1446</v>
      </c>
      <c r="B805" t="s">
        <v>32</v>
      </c>
      <c r="C805" t="s">
        <v>17</v>
      </c>
      <c r="D805" t="s">
        <v>54</v>
      </c>
      <c r="E805" t="s">
        <v>38</v>
      </c>
      <c r="F805" t="s">
        <v>24</v>
      </c>
      <c r="G805" s="1">
        <v>45417</v>
      </c>
      <c r="H805" t="s">
        <v>1447</v>
      </c>
      <c r="I805">
        <v>8354755</v>
      </c>
      <c r="J805">
        <v>288095</v>
      </c>
      <c r="K805">
        <v>31284</v>
      </c>
      <c r="L805">
        <v>96064</v>
      </c>
      <c r="M805">
        <v>4.9700000000000001E-2</v>
      </c>
      <c r="N805">
        <v>-0.56200000000000006</v>
      </c>
      <c r="O805">
        <v>1</v>
      </c>
      <c r="P805" t="b">
        <f t="shared" si="25"/>
        <v>1</v>
      </c>
      <c r="Q805" t="str">
        <f t="shared" si="24"/>
        <v>Negative</v>
      </c>
    </row>
    <row r="806" spans="1:17" x14ac:dyDescent="0.3">
      <c r="A806" t="s">
        <v>1448</v>
      </c>
      <c r="B806" t="s">
        <v>16</v>
      </c>
      <c r="C806" t="s">
        <v>23</v>
      </c>
      <c r="D806" t="s">
        <v>37</v>
      </c>
      <c r="E806" t="s">
        <v>38</v>
      </c>
      <c r="F806" t="s">
        <v>34</v>
      </c>
      <c r="G806" s="1">
        <v>45387</v>
      </c>
      <c r="H806" t="s">
        <v>1226</v>
      </c>
      <c r="I806">
        <v>11735064</v>
      </c>
      <c r="J806">
        <v>434632</v>
      </c>
      <c r="K806">
        <v>39959</v>
      </c>
      <c r="L806">
        <v>38871</v>
      </c>
      <c r="M806">
        <v>4.3799999999999999E-2</v>
      </c>
      <c r="N806">
        <v>-0.57199999999999995</v>
      </c>
      <c r="O806">
        <v>1</v>
      </c>
      <c r="P806" t="b">
        <f t="shared" si="25"/>
        <v>1</v>
      </c>
      <c r="Q806" t="str">
        <f t="shared" si="24"/>
        <v>Negative</v>
      </c>
    </row>
    <row r="807" spans="1:17" x14ac:dyDescent="0.3">
      <c r="A807" t="s">
        <v>1449</v>
      </c>
      <c r="B807" t="s">
        <v>16</v>
      </c>
      <c r="C807" t="s">
        <v>17</v>
      </c>
      <c r="D807" t="s">
        <v>54</v>
      </c>
      <c r="E807" t="s">
        <v>38</v>
      </c>
      <c r="F807" t="s">
        <v>55</v>
      </c>
      <c r="G807" s="1">
        <v>45551</v>
      </c>
      <c r="H807" t="s">
        <v>1450</v>
      </c>
      <c r="I807">
        <v>6194000</v>
      </c>
      <c r="J807">
        <v>387125</v>
      </c>
      <c r="K807">
        <v>30878</v>
      </c>
      <c r="L807">
        <v>58628</v>
      </c>
      <c r="M807">
        <v>7.6999999999999999E-2</v>
      </c>
      <c r="N807">
        <v>0.58499999999999996</v>
      </c>
      <c r="O807">
        <v>1</v>
      </c>
      <c r="P807" t="b">
        <f t="shared" si="25"/>
        <v>1</v>
      </c>
      <c r="Q807" t="str">
        <f t="shared" si="24"/>
        <v>Positive</v>
      </c>
    </row>
    <row r="808" spans="1:17" x14ac:dyDescent="0.3">
      <c r="A808" t="s">
        <v>1451</v>
      </c>
      <c r="B808" t="s">
        <v>66</v>
      </c>
      <c r="C808" t="s">
        <v>23</v>
      </c>
      <c r="D808" t="s">
        <v>37</v>
      </c>
      <c r="E808" t="s">
        <v>51</v>
      </c>
      <c r="F808" t="s">
        <v>46</v>
      </c>
      <c r="G808" s="1">
        <v>45533</v>
      </c>
      <c r="H808" t="s">
        <v>1067</v>
      </c>
      <c r="I808">
        <v>3988290</v>
      </c>
      <c r="J808">
        <v>265886</v>
      </c>
      <c r="K808">
        <v>28006</v>
      </c>
      <c r="L808">
        <v>34065</v>
      </c>
      <c r="M808">
        <v>8.2199999999999995E-2</v>
      </c>
      <c r="N808">
        <v>-0.21</v>
      </c>
      <c r="O808">
        <v>1</v>
      </c>
      <c r="P808" t="b">
        <f t="shared" si="25"/>
        <v>1</v>
      </c>
      <c r="Q808" t="str">
        <f t="shared" si="24"/>
        <v>Negative</v>
      </c>
    </row>
    <row r="809" spans="1:17" x14ac:dyDescent="0.3">
      <c r="A809" t="s">
        <v>1452</v>
      </c>
      <c r="B809" t="s">
        <v>27</v>
      </c>
      <c r="C809" t="s">
        <v>17</v>
      </c>
      <c r="D809" t="s">
        <v>37</v>
      </c>
      <c r="E809" t="s">
        <v>41</v>
      </c>
      <c r="F809" t="s">
        <v>20</v>
      </c>
      <c r="G809" s="1">
        <v>45418</v>
      </c>
      <c r="H809" t="s">
        <v>1453</v>
      </c>
      <c r="I809">
        <v>1165027</v>
      </c>
      <c r="J809">
        <v>68531</v>
      </c>
      <c r="K809">
        <v>5371</v>
      </c>
      <c r="L809">
        <v>8712</v>
      </c>
      <c r="M809">
        <v>7.0900000000000005E-2</v>
      </c>
      <c r="N809">
        <v>0.70799999999999996</v>
      </c>
      <c r="O809">
        <v>0</v>
      </c>
      <c r="P809" t="b">
        <f t="shared" si="25"/>
        <v>0</v>
      </c>
      <c r="Q809" t="str">
        <f t="shared" si="24"/>
        <v>Positive</v>
      </c>
    </row>
    <row r="810" spans="1:17" x14ac:dyDescent="0.3">
      <c r="A810" t="s">
        <v>1454</v>
      </c>
      <c r="B810" t="s">
        <v>16</v>
      </c>
      <c r="C810" t="s">
        <v>23</v>
      </c>
      <c r="D810" t="s">
        <v>54</v>
      </c>
      <c r="E810" t="s">
        <v>38</v>
      </c>
      <c r="F810" t="s">
        <v>20</v>
      </c>
      <c r="G810" s="1">
        <v>45380</v>
      </c>
      <c r="H810" t="s">
        <v>1455</v>
      </c>
      <c r="I810">
        <v>1450707</v>
      </c>
      <c r="J810">
        <v>76353</v>
      </c>
      <c r="K810">
        <v>36196</v>
      </c>
      <c r="L810">
        <v>10212</v>
      </c>
      <c r="M810">
        <v>8.4599999999999995E-2</v>
      </c>
      <c r="N810">
        <v>-0.53600000000000003</v>
      </c>
      <c r="O810">
        <v>0</v>
      </c>
      <c r="P810" t="b">
        <f t="shared" si="25"/>
        <v>0</v>
      </c>
      <c r="Q810" t="str">
        <f t="shared" si="24"/>
        <v>Negative</v>
      </c>
    </row>
    <row r="811" spans="1:17" x14ac:dyDescent="0.3">
      <c r="A811" t="s">
        <v>1456</v>
      </c>
      <c r="B811" t="s">
        <v>27</v>
      </c>
      <c r="C811" t="s">
        <v>28</v>
      </c>
      <c r="D811" t="s">
        <v>29</v>
      </c>
      <c r="E811" t="s">
        <v>51</v>
      </c>
      <c r="F811" t="s">
        <v>20</v>
      </c>
      <c r="G811" s="1">
        <v>45377</v>
      </c>
      <c r="H811" t="s">
        <v>575</v>
      </c>
      <c r="I811">
        <v>10801488</v>
      </c>
      <c r="J811">
        <v>450062</v>
      </c>
      <c r="K811">
        <v>21547</v>
      </c>
      <c r="L811">
        <v>31313</v>
      </c>
      <c r="M811">
        <v>4.6600000000000003E-2</v>
      </c>
      <c r="N811">
        <v>0.13</v>
      </c>
      <c r="O811">
        <v>1</v>
      </c>
      <c r="P811" t="b">
        <f t="shared" si="25"/>
        <v>1</v>
      </c>
      <c r="Q811" t="str">
        <f t="shared" si="24"/>
        <v>Positive</v>
      </c>
    </row>
    <row r="812" spans="1:17" x14ac:dyDescent="0.3">
      <c r="A812" t="s">
        <v>1457</v>
      </c>
      <c r="B812" t="s">
        <v>16</v>
      </c>
      <c r="C812" t="s">
        <v>17</v>
      </c>
      <c r="D812" t="s">
        <v>54</v>
      </c>
      <c r="E812" t="s">
        <v>41</v>
      </c>
      <c r="F812" t="s">
        <v>46</v>
      </c>
      <c r="G812" s="1">
        <v>45639</v>
      </c>
      <c r="H812" t="s">
        <v>265</v>
      </c>
      <c r="I812">
        <v>1143909</v>
      </c>
      <c r="J812">
        <v>87993</v>
      </c>
      <c r="K812">
        <v>41050</v>
      </c>
      <c r="L812">
        <v>27692</v>
      </c>
      <c r="M812">
        <v>0.13700000000000001</v>
      </c>
      <c r="N812">
        <v>0.67100000000000004</v>
      </c>
      <c r="O812">
        <v>0</v>
      </c>
      <c r="P812" t="b">
        <f t="shared" si="25"/>
        <v>0</v>
      </c>
      <c r="Q812" t="str">
        <f t="shared" si="24"/>
        <v>Positive</v>
      </c>
    </row>
    <row r="813" spans="1:17" x14ac:dyDescent="0.3">
      <c r="A813" t="s">
        <v>1458</v>
      </c>
      <c r="B813" t="s">
        <v>27</v>
      </c>
      <c r="C813" t="s">
        <v>17</v>
      </c>
      <c r="D813" t="s">
        <v>54</v>
      </c>
      <c r="E813" t="s">
        <v>58</v>
      </c>
      <c r="F813" t="s">
        <v>34</v>
      </c>
      <c r="G813" s="1">
        <v>45558</v>
      </c>
      <c r="H813" t="s">
        <v>1459</v>
      </c>
      <c r="I813">
        <v>5758704</v>
      </c>
      <c r="J813">
        <v>411336</v>
      </c>
      <c r="K813">
        <v>8160</v>
      </c>
      <c r="L813">
        <v>69120</v>
      </c>
      <c r="M813">
        <v>8.48E-2</v>
      </c>
      <c r="N813">
        <v>0.61</v>
      </c>
      <c r="O813">
        <v>1</v>
      </c>
      <c r="P813" t="b">
        <f t="shared" si="25"/>
        <v>1</v>
      </c>
      <c r="Q813" t="str">
        <f t="shared" si="24"/>
        <v>Positive</v>
      </c>
    </row>
    <row r="814" spans="1:17" x14ac:dyDescent="0.3">
      <c r="A814" t="s">
        <v>1460</v>
      </c>
      <c r="B814" t="s">
        <v>27</v>
      </c>
      <c r="C814" t="s">
        <v>23</v>
      </c>
      <c r="D814" t="s">
        <v>29</v>
      </c>
      <c r="E814" t="s">
        <v>51</v>
      </c>
      <c r="F814" t="s">
        <v>46</v>
      </c>
      <c r="G814" s="1">
        <v>45588</v>
      </c>
      <c r="H814" t="s">
        <v>358</v>
      </c>
      <c r="I814">
        <v>1868448</v>
      </c>
      <c r="J814">
        <v>155704</v>
      </c>
      <c r="K814">
        <v>18606</v>
      </c>
      <c r="L814">
        <v>63228</v>
      </c>
      <c r="M814">
        <v>0.12709999999999999</v>
      </c>
      <c r="N814">
        <v>0.69599999999999995</v>
      </c>
      <c r="O814">
        <v>0</v>
      </c>
      <c r="P814" t="b">
        <f t="shared" si="25"/>
        <v>0</v>
      </c>
      <c r="Q814" t="str">
        <f t="shared" si="24"/>
        <v>Positive</v>
      </c>
    </row>
    <row r="815" spans="1:17" x14ac:dyDescent="0.3">
      <c r="A815" t="s">
        <v>1461</v>
      </c>
      <c r="B815" t="s">
        <v>66</v>
      </c>
      <c r="C815" t="s">
        <v>23</v>
      </c>
      <c r="D815" t="s">
        <v>37</v>
      </c>
      <c r="E815" t="s">
        <v>41</v>
      </c>
      <c r="F815" t="s">
        <v>20</v>
      </c>
      <c r="G815" s="1">
        <v>45633</v>
      </c>
      <c r="H815" t="s">
        <v>1462</v>
      </c>
      <c r="I815">
        <v>11356254</v>
      </c>
      <c r="J815">
        <v>436779</v>
      </c>
      <c r="K815">
        <v>9140</v>
      </c>
      <c r="L815">
        <v>5723</v>
      </c>
      <c r="M815">
        <v>3.9800000000000002E-2</v>
      </c>
      <c r="N815">
        <v>-0.14299999999999999</v>
      </c>
      <c r="O815">
        <v>1</v>
      </c>
      <c r="P815" t="b">
        <f t="shared" si="25"/>
        <v>1</v>
      </c>
      <c r="Q815" t="str">
        <f t="shared" si="24"/>
        <v>Negative</v>
      </c>
    </row>
    <row r="816" spans="1:17" x14ac:dyDescent="0.3">
      <c r="A816" t="s">
        <v>1463</v>
      </c>
      <c r="B816" t="s">
        <v>16</v>
      </c>
      <c r="C816" t="s">
        <v>23</v>
      </c>
      <c r="D816" t="s">
        <v>33</v>
      </c>
      <c r="E816" t="s">
        <v>51</v>
      </c>
      <c r="F816" t="s">
        <v>55</v>
      </c>
      <c r="G816" s="1">
        <v>45303</v>
      </c>
      <c r="H816" t="s">
        <v>1464</v>
      </c>
      <c r="I816">
        <v>3976640</v>
      </c>
      <c r="J816">
        <v>233920</v>
      </c>
      <c r="K816">
        <v>40391</v>
      </c>
      <c r="L816">
        <v>85868</v>
      </c>
      <c r="M816">
        <v>9.06E-2</v>
      </c>
      <c r="N816">
        <v>-0.999</v>
      </c>
      <c r="O816">
        <v>1</v>
      </c>
      <c r="P816" t="b">
        <f t="shared" si="25"/>
        <v>1</v>
      </c>
      <c r="Q816" t="str">
        <f t="shared" si="24"/>
        <v>Negative</v>
      </c>
    </row>
    <row r="817" spans="1:17" x14ac:dyDescent="0.3">
      <c r="A817" t="s">
        <v>1465</v>
      </c>
      <c r="B817" t="s">
        <v>27</v>
      </c>
      <c r="C817" t="s">
        <v>17</v>
      </c>
      <c r="D817" t="s">
        <v>29</v>
      </c>
      <c r="E817" t="s">
        <v>41</v>
      </c>
      <c r="F817" t="s">
        <v>46</v>
      </c>
      <c r="G817" s="1">
        <v>45425</v>
      </c>
      <c r="H817" t="s">
        <v>1329</v>
      </c>
      <c r="I817">
        <v>1847421</v>
      </c>
      <c r="J817">
        <v>68423</v>
      </c>
      <c r="K817">
        <v>23821</v>
      </c>
      <c r="L817">
        <v>40696</v>
      </c>
      <c r="M817">
        <v>7.1999999999999995E-2</v>
      </c>
      <c r="N817">
        <v>0.83899999999999997</v>
      </c>
      <c r="O817">
        <v>0</v>
      </c>
      <c r="P817" t="b">
        <f t="shared" si="25"/>
        <v>0</v>
      </c>
      <c r="Q817" t="str">
        <f t="shared" si="24"/>
        <v>Positive</v>
      </c>
    </row>
    <row r="818" spans="1:17" x14ac:dyDescent="0.3">
      <c r="A818" t="s">
        <v>1466</v>
      </c>
      <c r="B818" t="s">
        <v>16</v>
      </c>
      <c r="C818" t="s">
        <v>28</v>
      </c>
      <c r="D818" t="s">
        <v>18</v>
      </c>
      <c r="E818" t="s">
        <v>58</v>
      </c>
      <c r="F818" t="s">
        <v>55</v>
      </c>
      <c r="G818" s="1">
        <v>45626</v>
      </c>
      <c r="H818" t="s">
        <v>116</v>
      </c>
      <c r="I818">
        <v>11331518</v>
      </c>
      <c r="J818">
        <v>390742</v>
      </c>
      <c r="K818">
        <v>2181</v>
      </c>
      <c r="L818">
        <v>85664</v>
      </c>
      <c r="M818">
        <v>4.2200000000000001E-2</v>
      </c>
      <c r="N818">
        <v>0.52200000000000002</v>
      </c>
      <c r="O818">
        <v>1</v>
      </c>
      <c r="P818" t="b">
        <f t="shared" si="25"/>
        <v>1</v>
      </c>
      <c r="Q818" t="str">
        <f t="shared" si="24"/>
        <v>Positive</v>
      </c>
    </row>
    <row r="819" spans="1:17" x14ac:dyDescent="0.3">
      <c r="A819" t="s">
        <v>1467</v>
      </c>
      <c r="B819" t="s">
        <v>32</v>
      </c>
      <c r="C819" t="s">
        <v>23</v>
      </c>
      <c r="D819" t="s">
        <v>73</v>
      </c>
      <c r="E819" t="s">
        <v>58</v>
      </c>
      <c r="F819" t="s">
        <v>24</v>
      </c>
      <c r="G819" s="1">
        <v>45491</v>
      </c>
      <c r="H819" t="s">
        <v>880</v>
      </c>
      <c r="I819">
        <v>2060256</v>
      </c>
      <c r="J819">
        <v>85844</v>
      </c>
      <c r="K819">
        <v>28487</v>
      </c>
      <c r="L819">
        <v>9172</v>
      </c>
      <c r="M819">
        <v>5.9900000000000002E-2</v>
      </c>
      <c r="N819">
        <v>0.50900000000000001</v>
      </c>
      <c r="O819">
        <v>1</v>
      </c>
      <c r="P819" t="b">
        <f t="shared" si="25"/>
        <v>1</v>
      </c>
      <c r="Q819" t="str">
        <f t="shared" si="24"/>
        <v>Positive</v>
      </c>
    </row>
    <row r="820" spans="1:17" x14ac:dyDescent="0.3">
      <c r="A820" t="s">
        <v>1468</v>
      </c>
      <c r="B820" t="s">
        <v>16</v>
      </c>
      <c r="C820" t="s">
        <v>17</v>
      </c>
      <c r="D820" t="s">
        <v>33</v>
      </c>
      <c r="E820" t="s">
        <v>51</v>
      </c>
      <c r="F820" t="s">
        <v>20</v>
      </c>
      <c r="G820" s="1">
        <v>45609</v>
      </c>
      <c r="H820" t="s">
        <v>354</v>
      </c>
      <c r="I820">
        <v>4322626</v>
      </c>
      <c r="J820">
        <v>392966</v>
      </c>
      <c r="K820">
        <v>40551</v>
      </c>
      <c r="L820">
        <v>3697</v>
      </c>
      <c r="M820">
        <v>0.1011</v>
      </c>
      <c r="N820">
        <v>0.154</v>
      </c>
      <c r="O820">
        <v>1</v>
      </c>
      <c r="P820" t="b">
        <f t="shared" si="25"/>
        <v>1</v>
      </c>
      <c r="Q820" t="str">
        <f t="shared" si="24"/>
        <v>Positive</v>
      </c>
    </row>
    <row r="821" spans="1:17" x14ac:dyDescent="0.3">
      <c r="A821" t="s">
        <v>1469</v>
      </c>
      <c r="B821" t="s">
        <v>16</v>
      </c>
      <c r="C821" t="s">
        <v>28</v>
      </c>
      <c r="D821" t="s">
        <v>37</v>
      </c>
      <c r="E821" t="s">
        <v>41</v>
      </c>
      <c r="F821" t="s">
        <v>55</v>
      </c>
      <c r="G821" s="1">
        <v>45327</v>
      </c>
      <c r="H821" t="s">
        <v>371</v>
      </c>
      <c r="I821">
        <v>6753432</v>
      </c>
      <c r="J821">
        <v>281393</v>
      </c>
      <c r="K821">
        <v>45745</v>
      </c>
      <c r="L821">
        <v>4957</v>
      </c>
      <c r="M821">
        <v>4.9200000000000001E-2</v>
      </c>
      <c r="N821">
        <v>0.14799999999999999</v>
      </c>
      <c r="O821">
        <v>1</v>
      </c>
      <c r="P821" t="b">
        <f t="shared" si="25"/>
        <v>1</v>
      </c>
      <c r="Q821" t="str">
        <f t="shared" si="24"/>
        <v>Positive</v>
      </c>
    </row>
    <row r="822" spans="1:17" x14ac:dyDescent="0.3">
      <c r="A822" t="s">
        <v>1470</v>
      </c>
      <c r="B822" t="s">
        <v>16</v>
      </c>
      <c r="C822" t="s">
        <v>23</v>
      </c>
      <c r="D822" t="s">
        <v>18</v>
      </c>
      <c r="E822" t="s">
        <v>51</v>
      </c>
      <c r="F822" t="s">
        <v>20</v>
      </c>
      <c r="G822" s="1">
        <v>45386</v>
      </c>
      <c r="H822" t="s">
        <v>554</v>
      </c>
      <c r="I822">
        <v>5591045</v>
      </c>
      <c r="J822">
        <v>328885</v>
      </c>
      <c r="K822">
        <v>15422</v>
      </c>
      <c r="L822">
        <v>24730</v>
      </c>
      <c r="M822">
        <v>6.6000000000000003E-2</v>
      </c>
      <c r="N822">
        <v>0.94899999999999995</v>
      </c>
      <c r="O822">
        <v>1</v>
      </c>
      <c r="P822" t="b">
        <f t="shared" si="25"/>
        <v>1</v>
      </c>
      <c r="Q822" t="str">
        <f t="shared" si="24"/>
        <v>Positive</v>
      </c>
    </row>
    <row r="823" spans="1:17" x14ac:dyDescent="0.3">
      <c r="A823" t="s">
        <v>1471</v>
      </c>
      <c r="B823" t="s">
        <v>16</v>
      </c>
      <c r="C823" t="s">
        <v>61</v>
      </c>
      <c r="D823" t="s">
        <v>37</v>
      </c>
      <c r="E823" t="s">
        <v>58</v>
      </c>
      <c r="F823" t="s">
        <v>34</v>
      </c>
      <c r="G823" s="1">
        <v>45292</v>
      </c>
      <c r="H823" t="s">
        <v>1472</v>
      </c>
      <c r="I823">
        <v>3439590</v>
      </c>
      <c r="J823">
        <v>229306</v>
      </c>
      <c r="K823">
        <v>29966</v>
      </c>
      <c r="L823">
        <v>12603</v>
      </c>
      <c r="M823">
        <v>7.9000000000000001E-2</v>
      </c>
      <c r="N823">
        <v>0.504</v>
      </c>
      <c r="O823">
        <v>1</v>
      </c>
      <c r="P823" t="b">
        <f t="shared" si="25"/>
        <v>1</v>
      </c>
      <c r="Q823" t="str">
        <f t="shared" si="24"/>
        <v>Positive</v>
      </c>
    </row>
    <row r="824" spans="1:17" x14ac:dyDescent="0.3">
      <c r="A824" t="s">
        <v>1473</v>
      </c>
      <c r="B824" t="s">
        <v>32</v>
      </c>
      <c r="C824" t="s">
        <v>17</v>
      </c>
      <c r="D824" t="s">
        <v>33</v>
      </c>
      <c r="E824" t="s">
        <v>58</v>
      </c>
      <c r="F824" t="s">
        <v>46</v>
      </c>
      <c r="G824" s="1">
        <v>45386</v>
      </c>
      <c r="H824" t="s">
        <v>1474</v>
      </c>
      <c r="I824">
        <v>5117448</v>
      </c>
      <c r="J824">
        <v>243688</v>
      </c>
      <c r="K824">
        <v>34686</v>
      </c>
      <c r="L824">
        <v>91329</v>
      </c>
      <c r="M824">
        <v>7.22E-2</v>
      </c>
      <c r="N824">
        <v>-0.70399999999999996</v>
      </c>
      <c r="O824">
        <v>1</v>
      </c>
      <c r="P824" t="b">
        <f t="shared" si="25"/>
        <v>1</v>
      </c>
      <c r="Q824" t="str">
        <f t="shared" si="24"/>
        <v>Negative</v>
      </c>
    </row>
    <row r="825" spans="1:17" x14ac:dyDescent="0.3">
      <c r="A825" t="s">
        <v>1475</v>
      </c>
      <c r="B825" t="s">
        <v>66</v>
      </c>
      <c r="C825" t="s">
        <v>28</v>
      </c>
      <c r="D825" t="s">
        <v>18</v>
      </c>
      <c r="E825" t="s">
        <v>38</v>
      </c>
      <c r="F825" t="s">
        <v>46</v>
      </c>
      <c r="G825" s="1">
        <v>45605</v>
      </c>
      <c r="H825" t="s">
        <v>1476</v>
      </c>
      <c r="I825">
        <v>3662552</v>
      </c>
      <c r="J825">
        <v>457819</v>
      </c>
      <c r="K825">
        <v>34545</v>
      </c>
      <c r="L825">
        <v>26537</v>
      </c>
      <c r="M825">
        <v>0.14169999999999999</v>
      </c>
      <c r="N825">
        <v>0.16300000000000001</v>
      </c>
      <c r="O825">
        <v>1</v>
      </c>
      <c r="P825" t="b">
        <f t="shared" si="25"/>
        <v>1</v>
      </c>
      <c r="Q825" t="str">
        <f t="shared" si="24"/>
        <v>Positive</v>
      </c>
    </row>
    <row r="826" spans="1:17" x14ac:dyDescent="0.3">
      <c r="A826" t="s">
        <v>1477</v>
      </c>
      <c r="B826" t="s">
        <v>66</v>
      </c>
      <c r="C826" t="s">
        <v>61</v>
      </c>
      <c r="D826" t="s">
        <v>33</v>
      </c>
      <c r="E826" t="s">
        <v>51</v>
      </c>
      <c r="F826" t="s">
        <v>24</v>
      </c>
      <c r="G826" s="1">
        <v>45420</v>
      </c>
      <c r="H826" t="s">
        <v>1478</v>
      </c>
      <c r="I826">
        <v>9746750</v>
      </c>
      <c r="J826">
        <v>389870</v>
      </c>
      <c r="K826">
        <v>2876</v>
      </c>
      <c r="L826">
        <v>46003</v>
      </c>
      <c r="M826">
        <v>4.4999999999999998E-2</v>
      </c>
      <c r="N826">
        <v>3.3000000000000002E-2</v>
      </c>
      <c r="O826">
        <v>1</v>
      </c>
      <c r="P826" t="b">
        <f t="shared" si="25"/>
        <v>1</v>
      </c>
      <c r="Q826" t="str">
        <f t="shared" si="24"/>
        <v>Positive</v>
      </c>
    </row>
    <row r="827" spans="1:17" x14ac:dyDescent="0.3">
      <c r="A827" t="s">
        <v>1479</v>
      </c>
      <c r="B827" t="s">
        <v>16</v>
      </c>
      <c r="C827" t="s">
        <v>61</v>
      </c>
      <c r="D827" t="s">
        <v>33</v>
      </c>
      <c r="E827" t="s">
        <v>38</v>
      </c>
      <c r="F827" t="s">
        <v>20</v>
      </c>
      <c r="G827" s="1">
        <v>45420</v>
      </c>
      <c r="H827" t="s">
        <v>1480</v>
      </c>
      <c r="I827">
        <v>5163103</v>
      </c>
      <c r="J827">
        <v>469373</v>
      </c>
      <c r="K827">
        <v>43415</v>
      </c>
      <c r="L827">
        <v>66669</v>
      </c>
      <c r="M827">
        <v>0.11219999999999999</v>
      </c>
      <c r="N827">
        <v>0.78800000000000003</v>
      </c>
      <c r="O827">
        <v>1</v>
      </c>
      <c r="P827" t="b">
        <f t="shared" si="25"/>
        <v>1</v>
      </c>
      <c r="Q827" t="str">
        <f t="shared" si="24"/>
        <v>Positive</v>
      </c>
    </row>
    <row r="828" spans="1:17" x14ac:dyDescent="0.3">
      <c r="A828" t="s">
        <v>1481</v>
      </c>
      <c r="B828" t="s">
        <v>27</v>
      </c>
      <c r="C828" t="s">
        <v>17</v>
      </c>
      <c r="D828" t="s">
        <v>18</v>
      </c>
      <c r="E828" t="s">
        <v>38</v>
      </c>
      <c r="F828" t="s">
        <v>34</v>
      </c>
      <c r="G828" s="1">
        <v>45558</v>
      </c>
      <c r="H828" t="s">
        <v>1482</v>
      </c>
      <c r="I828">
        <v>1754874</v>
      </c>
      <c r="J828">
        <v>194986</v>
      </c>
      <c r="K828">
        <v>39070</v>
      </c>
      <c r="L828">
        <v>45608</v>
      </c>
      <c r="M828">
        <v>0.15939999999999999</v>
      </c>
      <c r="N828">
        <v>-0.161</v>
      </c>
      <c r="O828">
        <v>0</v>
      </c>
      <c r="P828" t="b">
        <f t="shared" si="25"/>
        <v>0</v>
      </c>
      <c r="Q828" t="str">
        <f t="shared" si="24"/>
        <v>Negative</v>
      </c>
    </row>
    <row r="829" spans="1:17" x14ac:dyDescent="0.3">
      <c r="A829" t="s">
        <v>1483</v>
      </c>
      <c r="B829" t="s">
        <v>16</v>
      </c>
      <c r="C829" t="s">
        <v>28</v>
      </c>
      <c r="D829" t="s">
        <v>54</v>
      </c>
      <c r="E829" t="s">
        <v>58</v>
      </c>
      <c r="F829" t="s">
        <v>20</v>
      </c>
      <c r="G829" s="1">
        <v>45608</v>
      </c>
      <c r="H829" t="s">
        <v>1484</v>
      </c>
      <c r="I829">
        <v>9491880</v>
      </c>
      <c r="J829">
        <v>395495</v>
      </c>
      <c r="K829">
        <v>43803</v>
      </c>
      <c r="L829">
        <v>74602</v>
      </c>
      <c r="M829">
        <v>5.4100000000000002E-2</v>
      </c>
      <c r="N829">
        <v>-5.0000000000000001E-3</v>
      </c>
      <c r="O829">
        <v>1</v>
      </c>
      <c r="P829" t="b">
        <f t="shared" si="25"/>
        <v>1</v>
      </c>
      <c r="Q829" t="str">
        <f t="shared" si="24"/>
        <v>Negative</v>
      </c>
    </row>
    <row r="830" spans="1:17" x14ac:dyDescent="0.3">
      <c r="A830" t="s">
        <v>1485</v>
      </c>
      <c r="B830" t="s">
        <v>16</v>
      </c>
      <c r="C830" t="s">
        <v>23</v>
      </c>
      <c r="D830" t="s">
        <v>29</v>
      </c>
      <c r="E830" t="s">
        <v>38</v>
      </c>
      <c r="F830" t="s">
        <v>46</v>
      </c>
      <c r="G830" s="1">
        <v>45402</v>
      </c>
      <c r="H830" t="s">
        <v>1226</v>
      </c>
      <c r="I830">
        <v>4653588</v>
      </c>
      <c r="J830">
        <v>387799</v>
      </c>
      <c r="K830">
        <v>35953</v>
      </c>
      <c r="L830">
        <v>20701</v>
      </c>
      <c r="M830">
        <v>9.5500000000000002E-2</v>
      </c>
      <c r="N830">
        <v>-0.628</v>
      </c>
      <c r="O830">
        <v>1</v>
      </c>
      <c r="P830" t="b">
        <f t="shared" si="25"/>
        <v>1</v>
      </c>
      <c r="Q830" t="str">
        <f t="shared" si="24"/>
        <v>Negative</v>
      </c>
    </row>
    <row r="831" spans="1:17" x14ac:dyDescent="0.3">
      <c r="A831" t="s">
        <v>1486</v>
      </c>
      <c r="B831" t="s">
        <v>27</v>
      </c>
      <c r="C831" t="s">
        <v>23</v>
      </c>
      <c r="D831" t="s">
        <v>54</v>
      </c>
      <c r="E831" t="s">
        <v>19</v>
      </c>
      <c r="F831" t="s">
        <v>34</v>
      </c>
      <c r="G831" s="1">
        <v>45390</v>
      </c>
      <c r="H831" t="s">
        <v>1487</v>
      </c>
      <c r="I831">
        <v>1681740</v>
      </c>
      <c r="J831">
        <v>93430</v>
      </c>
      <c r="K831">
        <v>28788</v>
      </c>
      <c r="L831">
        <v>82535</v>
      </c>
      <c r="M831">
        <v>0.12180000000000001</v>
      </c>
      <c r="N831">
        <v>-0.58599999999999997</v>
      </c>
      <c r="O831">
        <v>0</v>
      </c>
      <c r="P831" t="b">
        <f t="shared" si="25"/>
        <v>0</v>
      </c>
      <c r="Q831" t="str">
        <f t="shared" si="24"/>
        <v>Negative</v>
      </c>
    </row>
    <row r="832" spans="1:17" x14ac:dyDescent="0.3">
      <c r="A832" t="s">
        <v>1488</v>
      </c>
      <c r="B832" t="s">
        <v>16</v>
      </c>
      <c r="C832" t="s">
        <v>28</v>
      </c>
      <c r="D832" t="s">
        <v>33</v>
      </c>
      <c r="E832" t="s">
        <v>38</v>
      </c>
      <c r="F832" t="s">
        <v>20</v>
      </c>
      <c r="G832" s="1">
        <v>45382</v>
      </c>
      <c r="H832" t="s">
        <v>1489</v>
      </c>
      <c r="I832">
        <v>9253076</v>
      </c>
      <c r="J832">
        <v>487004</v>
      </c>
      <c r="K832">
        <v>20959</v>
      </c>
      <c r="L832">
        <v>31556</v>
      </c>
      <c r="M832">
        <v>5.8299999999999998E-2</v>
      </c>
      <c r="N832">
        <v>0.75900000000000001</v>
      </c>
      <c r="O832">
        <v>1</v>
      </c>
      <c r="P832" t="b">
        <f t="shared" si="25"/>
        <v>1</v>
      </c>
      <c r="Q832" t="str">
        <f t="shared" si="24"/>
        <v>Positive</v>
      </c>
    </row>
    <row r="833" spans="1:17" x14ac:dyDescent="0.3">
      <c r="A833" t="s">
        <v>1490</v>
      </c>
      <c r="B833" t="s">
        <v>66</v>
      </c>
      <c r="C833" t="s">
        <v>28</v>
      </c>
      <c r="D833" t="s">
        <v>54</v>
      </c>
      <c r="E833" t="s">
        <v>51</v>
      </c>
      <c r="F833" t="s">
        <v>46</v>
      </c>
      <c r="G833" s="1">
        <v>45523</v>
      </c>
      <c r="H833" t="s">
        <v>1088</v>
      </c>
      <c r="I833">
        <v>4988144</v>
      </c>
      <c r="J833">
        <v>178148</v>
      </c>
      <c r="K833">
        <v>15047</v>
      </c>
      <c r="L833">
        <v>91503</v>
      </c>
      <c r="M833">
        <v>5.7099999999999998E-2</v>
      </c>
      <c r="N833">
        <v>0.65300000000000002</v>
      </c>
      <c r="O833">
        <v>1</v>
      </c>
      <c r="P833" t="b">
        <f t="shared" si="25"/>
        <v>1</v>
      </c>
      <c r="Q833" t="str">
        <f t="shared" si="24"/>
        <v>Positive</v>
      </c>
    </row>
    <row r="834" spans="1:17" x14ac:dyDescent="0.3">
      <c r="A834" t="s">
        <v>1491</v>
      </c>
      <c r="B834" t="s">
        <v>27</v>
      </c>
      <c r="C834" t="s">
        <v>28</v>
      </c>
      <c r="D834" t="s">
        <v>73</v>
      </c>
      <c r="E834" t="s">
        <v>38</v>
      </c>
      <c r="F834" t="s">
        <v>24</v>
      </c>
      <c r="G834" s="1">
        <v>45325</v>
      </c>
      <c r="H834" t="s">
        <v>501</v>
      </c>
      <c r="I834">
        <v>872652</v>
      </c>
      <c r="J834">
        <v>145442</v>
      </c>
      <c r="K834">
        <v>30913</v>
      </c>
      <c r="L834">
        <v>15524</v>
      </c>
      <c r="M834">
        <v>0.21990000000000001</v>
      </c>
      <c r="N834">
        <v>0.54800000000000004</v>
      </c>
      <c r="O834">
        <v>0</v>
      </c>
      <c r="P834" t="b">
        <f t="shared" si="25"/>
        <v>0</v>
      </c>
      <c r="Q834" t="str">
        <f t="shared" ref="Q834:Q897" si="26">IF(N834&gt;0,"Positive","Negative")</f>
        <v>Positive</v>
      </c>
    </row>
    <row r="835" spans="1:17" x14ac:dyDescent="0.3">
      <c r="A835" t="s">
        <v>1492</v>
      </c>
      <c r="B835" t="s">
        <v>66</v>
      </c>
      <c r="C835" t="s">
        <v>28</v>
      </c>
      <c r="D835" t="s">
        <v>29</v>
      </c>
      <c r="E835" t="s">
        <v>51</v>
      </c>
      <c r="F835" t="s">
        <v>24</v>
      </c>
      <c r="G835" s="1">
        <v>45512</v>
      </c>
      <c r="H835" t="s">
        <v>116</v>
      </c>
      <c r="I835">
        <v>1911133</v>
      </c>
      <c r="J835">
        <v>273019</v>
      </c>
      <c r="K835">
        <v>12270</v>
      </c>
      <c r="L835">
        <v>84996</v>
      </c>
      <c r="M835">
        <v>0.1938</v>
      </c>
      <c r="N835">
        <v>3.1E-2</v>
      </c>
      <c r="O835">
        <v>0</v>
      </c>
      <c r="P835" t="b">
        <f t="shared" ref="P835:P898" si="27">IF(O835=1,TRUE,FALSE)</f>
        <v>0</v>
      </c>
      <c r="Q835" t="str">
        <f t="shared" si="26"/>
        <v>Positive</v>
      </c>
    </row>
    <row r="836" spans="1:17" x14ac:dyDescent="0.3">
      <c r="A836" t="s">
        <v>1493</v>
      </c>
      <c r="B836" t="s">
        <v>27</v>
      </c>
      <c r="C836" t="s">
        <v>23</v>
      </c>
      <c r="D836" t="s">
        <v>73</v>
      </c>
      <c r="E836" t="s">
        <v>58</v>
      </c>
      <c r="F836" t="s">
        <v>20</v>
      </c>
      <c r="G836" s="1">
        <v>45306</v>
      </c>
      <c r="H836" t="s">
        <v>1494</v>
      </c>
      <c r="I836">
        <v>3797472</v>
      </c>
      <c r="J836">
        <v>158228</v>
      </c>
      <c r="K836">
        <v>6619</v>
      </c>
      <c r="L836">
        <v>7416</v>
      </c>
      <c r="M836">
        <v>4.5400000000000003E-2</v>
      </c>
      <c r="N836">
        <v>-0.15</v>
      </c>
      <c r="O836">
        <v>1</v>
      </c>
      <c r="P836" t="b">
        <f t="shared" si="27"/>
        <v>1</v>
      </c>
      <c r="Q836" t="str">
        <f t="shared" si="26"/>
        <v>Negative</v>
      </c>
    </row>
    <row r="837" spans="1:17" x14ac:dyDescent="0.3">
      <c r="A837" t="s">
        <v>1495</v>
      </c>
      <c r="B837" t="s">
        <v>16</v>
      </c>
      <c r="C837" t="s">
        <v>61</v>
      </c>
      <c r="D837" t="s">
        <v>33</v>
      </c>
      <c r="E837" t="s">
        <v>41</v>
      </c>
      <c r="F837" t="s">
        <v>55</v>
      </c>
      <c r="G837" s="1">
        <v>45555</v>
      </c>
      <c r="H837" t="s">
        <v>586</v>
      </c>
      <c r="I837">
        <v>5333640</v>
      </c>
      <c r="J837">
        <v>410280</v>
      </c>
      <c r="K837">
        <v>37731</v>
      </c>
      <c r="L837">
        <v>37045</v>
      </c>
      <c r="M837">
        <v>9.0899999999999995E-2</v>
      </c>
      <c r="N837">
        <v>-1</v>
      </c>
      <c r="O837">
        <v>1</v>
      </c>
      <c r="P837" t="b">
        <f t="shared" si="27"/>
        <v>1</v>
      </c>
      <c r="Q837" t="str">
        <f t="shared" si="26"/>
        <v>Negative</v>
      </c>
    </row>
    <row r="838" spans="1:17" x14ac:dyDescent="0.3">
      <c r="A838" t="s">
        <v>1496</v>
      </c>
      <c r="B838" t="s">
        <v>32</v>
      </c>
      <c r="C838" t="s">
        <v>23</v>
      </c>
      <c r="D838" t="s">
        <v>29</v>
      </c>
      <c r="E838" t="s">
        <v>51</v>
      </c>
      <c r="F838" t="s">
        <v>55</v>
      </c>
      <c r="G838" s="1">
        <v>45533</v>
      </c>
      <c r="H838" t="s">
        <v>405</v>
      </c>
      <c r="I838">
        <v>2660760</v>
      </c>
      <c r="J838">
        <v>266076</v>
      </c>
      <c r="K838">
        <v>25280</v>
      </c>
      <c r="L838">
        <v>80438</v>
      </c>
      <c r="M838">
        <v>0.13969999999999999</v>
      </c>
      <c r="N838">
        <v>-0.89100000000000001</v>
      </c>
      <c r="O838">
        <v>1</v>
      </c>
      <c r="P838" t="b">
        <f t="shared" si="27"/>
        <v>1</v>
      </c>
      <c r="Q838" t="str">
        <f t="shared" si="26"/>
        <v>Negative</v>
      </c>
    </row>
    <row r="839" spans="1:17" x14ac:dyDescent="0.3">
      <c r="A839" t="s">
        <v>1497</v>
      </c>
      <c r="B839" t="s">
        <v>66</v>
      </c>
      <c r="C839" t="s">
        <v>17</v>
      </c>
      <c r="D839" t="s">
        <v>73</v>
      </c>
      <c r="E839" t="s">
        <v>41</v>
      </c>
      <c r="F839" t="s">
        <v>46</v>
      </c>
      <c r="G839" s="1">
        <v>45299</v>
      </c>
      <c r="H839" t="s">
        <v>1498</v>
      </c>
      <c r="I839">
        <v>5744184</v>
      </c>
      <c r="J839">
        <v>239341</v>
      </c>
      <c r="K839">
        <v>22923</v>
      </c>
      <c r="L839">
        <v>85077</v>
      </c>
      <c r="M839">
        <v>6.0499999999999998E-2</v>
      </c>
      <c r="N839">
        <v>-0.53900000000000003</v>
      </c>
      <c r="O839">
        <v>1</v>
      </c>
      <c r="P839" t="b">
        <f t="shared" si="27"/>
        <v>1</v>
      </c>
      <c r="Q839" t="str">
        <f t="shared" si="26"/>
        <v>Negative</v>
      </c>
    </row>
    <row r="840" spans="1:17" x14ac:dyDescent="0.3">
      <c r="A840" t="s">
        <v>1499</v>
      </c>
      <c r="B840" t="s">
        <v>66</v>
      </c>
      <c r="C840" t="s">
        <v>17</v>
      </c>
      <c r="D840" t="s">
        <v>29</v>
      </c>
      <c r="E840" t="s">
        <v>38</v>
      </c>
      <c r="F840" t="s">
        <v>34</v>
      </c>
      <c r="G840" s="1">
        <v>45469</v>
      </c>
      <c r="H840" t="s">
        <v>1500</v>
      </c>
      <c r="I840">
        <v>309424</v>
      </c>
      <c r="J840">
        <v>38678</v>
      </c>
      <c r="K840">
        <v>24922</v>
      </c>
      <c r="L840">
        <v>22319</v>
      </c>
      <c r="M840">
        <v>0.2777</v>
      </c>
      <c r="N840">
        <v>0.93400000000000005</v>
      </c>
      <c r="O840">
        <v>0</v>
      </c>
      <c r="P840" t="b">
        <f t="shared" si="27"/>
        <v>0</v>
      </c>
      <c r="Q840" t="str">
        <f t="shared" si="26"/>
        <v>Positive</v>
      </c>
    </row>
    <row r="841" spans="1:17" x14ac:dyDescent="0.3">
      <c r="A841" t="s">
        <v>1501</v>
      </c>
      <c r="B841" t="s">
        <v>16</v>
      </c>
      <c r="C841" t="s">
        <v>17</v>
      </c>
      <c r="D841" t="s">
        <v>18</v>
      </c>
      <c r="E841" t="s">
        <v>41</v>
      </c>
      <c r="F841" t="s">
        <v>46</v>
      </c>
      <c r="G841" s="1">
        <v>45504</v>
      </c>
      <c r="H841" t="s">
        <v>1502</v>
      </c>
      <c r="I841">
        <v>1729608</v>
      </c>
      <c r="J841">
        <v>216201</v>
      </c>
      <c r="K841">
        <v>20471</v>
      </c>
      <c r="L841">
        <v>95743</v>
      </c>
      <c r="M841">
        <v>0.19220000000000001</v>
      </c>
      <c r="N841">
        <v>0.48399999999999999</v>
      </c>
      <c r="O841">
        <v>0</v>
      </c>
      <c r="P841" t="b">
        <f t="shared" si="27"/>
        <v>0</v>
      </c>
      <c r="Q841" t="str">
        <f t="shared" si="26"/>
        <v>Positive</v>
      </c>
    </row>
    <row r="842" spans="1:17" x14ac:dyDescent="0.3">
      <c r="A842" t="s">
        <v>1503</v>
      </c>
      <c r="B842" t="s">
        <v>32</v>
      </c>
      <c r="C842" t="s">
        <v>61</v>
      </c>
      <c r="D842" t="s">
        <v>73</v>
      </c>
      <c r="E842" t="s">
        <v>41</v>
      </c>
      <c r="F842" t="s">
        <v>24</v>
      </c>
      <c r="G842" s="1">
        <v>45646</v>
      </c>
      <c r="H842" t="s">
        <v>686</v>
      </c>
      <c r="I842">
        <v>3470192</v>
      </c>
      <c r="J842">
        <v>157736</v>
      </c>
      <c r="K842">
        <v>22417</v>
      </c>
      <c r="L842">
        <v>93527</v>
      </c>
      <c r="M842">
        <v>7.8899999999999998E-2</v>
      </c>
      <c r="N842">
        <v>0.79200000000000004</v>
      </c>
      <c r="O842">
        <v>1</v>
      </c>
      <c r="P842" t="b">
        <f t="shared" si="27"/>
        <v>1</v>
      </c>
      <c r="Q842" t="str">
        <f t="shared" si="26"/>
        <v>Positive</v>
      </c>
    </row>
    <row r="843" spans="1:17" x14ac:dyDescent="0.3">
      <c r="A843" t="s">
        <v>1504</v>
      </c>
      <c r="B843" t="s">
        <v>16</v>
      </c>
      <c r="C843" t="s">
        <v>17</v>
      </c>
      <c r="D843" t="s">
        <v>33</v>
      </c>
      <c r="E843" t="s">
        <v>51</v>
      </c>
      <c r="F843" t="s">
        <v>34</v>
      </c>
      <c r="G843" s="1">
        <v>45581</v>
      </c>
      <c r="H843" t="s">
        <v>630</v>
      </c>
      <c r="I843">
        <v>3319544</v>
      </c>
      <c r="J843">
        <v>144328</v>
      </c>
      <c r="K843">
        <v>23069</v>
      </c>
      <c r="L843">
        <v>25712</v>
      </c>
      <c r="M843">
        <v>5.8200000000000002E-2</v>
      </c>
      <c r="N843">
        <v>-0.63700000000000001</v>
      </c>
      <c r="O843">
        <v>1</v>
      </c>
      <c r="P843" t="b">
        <f t="shared" si="27"/>
        <v>1</v>
      </c>
      <c r="Q843" t="str">
        <f t="shared" si="26"/>
        <v>Negative</v>
      </c>
    </row>
    <row r="844" spans="1:17" x14ac:dyDescent="0.3">
      <c r="A844" t="s">
        <v>1505</v>
      </c>
      <c r="B844" t="s">
        <v>66</v>
      </c>
      <c r="C844" t="s">
        <v>28</v>
      </c>
      <c r="D844" t="s">
        <v>54</v>
      </c>
      <c r="E844" t="s">
        <v>51</v>
      </c>
      <c r="F844" t="s">
        <v>20</v>
      </c>
      <c r="G844" s="1">
        <v>45482</v>
      </c>
      <c r="H844" t="s">
        <v>1506</v>
      </c>
      <c r="I844">
        <v>10209498</v>
      </c>
      <c r="J844">
        <v>392673</v>
      </c>
      <c r="K844">
        <v>20980</v>
      </c>
      <c r="L844">
        <v>7215</v>
      </c>
      <c r="M844">
        <v>4.1200000000000001E-2</v>
      </c>
      <c r="N844">
        <v>-0.188</v>
      </c>
      <c r="O844">
        <v>1</v>
      </c>
      <c r="P844" t="b">
        <f t="shared" si="27"/>
        <v>1</v>
      </c>
      <c r="Q844" t="str">
        <f t="shared" si="26"/>
        <v>Negative</v>
      </c>
    </row>
    <row r="845" spans="1:17" x14ac:dyDescent="0.3">
      <c r="A845" t="s">
        <v>1507</v>
      </c>
      <c r="B845" t="s">
        <v>66</v>
      </c>
      <c r="C845" t="s">
        <v>17</v>
      </c>
      <c r="D845" t="s">
        <v>73</v>
      </c>
      <c r="E845" t="s">
        <v>19</v>
      </c>
      <c r="F845" t="s">
        <v>46</v>
      </c>
      <c r="G845" s="1">
        <v>45310</v>
      </c>
      <c r="H845" t="s">
        <v>1508</v>
      </c>
      <c r="I845">
        <v>3164475</v>
      </c>
      <c r="J845">
        <v>126579</v>
      </c>
      <c r="K845">
        <v>27132</v>
      </c>
      <c r="L845">
        <v>5142</v>
      </c>
      <c r="M845">
        <v>5.0200000000000002E-2</v>
      </c>
      <c r="N845">
        <v>8.5000000000000006E-2</v>
      </c>
      <c r="O845">
        <v>1</v>
      </c>
      <c r="P845" t="b">
        <f t="shared" si="27"/>
        <v>1</v>
      </c>
      <c r="Q845" t="str">
        <f t="shared" si="26"/>
        <v>Positive</v>
      </c>
    </row>
    <row r="846" spans="1:17" x14ac:dyDescent="0.3">
      <c r="A846" t="s">
        <v>1509</v>
      </c>
      <c r="B846" t="s">
        <v>66</v>
      </c>
      <c r="C846" t="s">
        <v>28</v>
      </c>
      <c r="D846" t="s">
        <v>18</v>
      </c>
      <c r="E846" t="s">
        <v>58</v>
      </c>
      <c r="F846" t="s">
        <v>55</v>
      </c>
      <c r="G846" s="1">
        <v>45476</v>
      </c>
      <c r="H846" t="s">
        <v>1510</v>
      </c>
      <c r="I846">
        <v>7576713</v>
      </c>
      <c r="J846">
        <v>280619</v>
      </c>
      <c r="K846">
        <v>15093</v>
      </c>
      <c r="L846">
        <v>57616</v>
      </c>
      <c r="M846">
        <v>4.6600000000000003E-2</v>
      </c>
      <c r="N846">
        <v>8.8999999999999996E-2</v>
      </c>
      <c r="O846">
        <v>1</v>
      </c>
      <c r="P846" t="b">
        <f t="shared" si="27"/>
        <v>1</v>
      </c>
      <c r="Q846" t="str">
        <f t="shared" si="26"/>
        <v>Positive</v>
      </c>
    </row>
    <row r="847" spans="1:17" x14ac:dyDescent="0.3">
      <c r="A847" t="s">
        <v>1511</v>
      </c>
      <c r="B847" t="s">
        <v>16</v>
      </c>
      <c r="C847" t="s">
        <v>23</v>
      </c>
      <c r="D847" t="s">
        <v>37</v>
      </c>
      <c r="E847" t="s">
        <v>38</v>
      </c>
      <c r="F847" t="s">
        <v>34</v>
      </c>
      <c r="G847" s="1">
        <v>45617</v>
      </c>
      <c r="H847" t="s">
        <v>910</v>
      </c>
      <c r="I847">
        <v>5155657</v>
      </c>
      <c r="J847">
        <v>396589</v>
      </c>
      <c r="K847">
        <v>47140</v>
      </c>
      <c r="L847">
        <v>30882</v>
      </c>
      <c r="M847">
        <v>9.2100000000000001E-2</v>
      </c>
      <c r="N847">
        <v>-0.46200000000000002</v>
      </c>
      <c r="O847">
        <v>1</v>
      </c>
      <c r="P847" t="b">
        <f t="shared" si="27"/>
        <v>1</v>
      </c>
      <c r="Q847" t="str">
        <f t="shared" si="26"/>
        <v>Negative</v>
      </c>
    </row>
    <row r="848" spans="1:17" x14ac:dyDescent="0.3">
      <c r="A848" t="s">
        <v>1512</v>
      </c>
      <c r="B848" t="s">
        <v>66</v>
      </c>
      <c r="C848" t="s">
        <v>23</v>
      </c>
      <c r="D848" t="s">
        <v>29</v>
      </c>
      <c r="E848" t="s">
        <v>41</v>
      </c>
      <c r="F848" t="s">
        <v>55</v>
      </c>
      <c r="G848" s="1">
        <v>45459</v>
      </c>
      <c r="H848" t="s">
        <v>80</v>
      </c>
      <c r="I848">
        <v>1452927</v>
      </c>
      <c r="J848">
        <v>69187</v>
      </c>
      <c r="K848">
        <v>12302</v>
      </c>
      <c r="L848">
        <v>27129</v>
      </c>
      <c r="M848">
        <v>7.4800000000000005E-2</v>
      </c>
      <c r="N848">
        <v>0.20300000000000001</v>
      </c>
      <c r="O848">
        <v>0</v>
      </c>
      <c r="P848" t="b">
        <f t="shared" si="27"/>
        <v>0</v>
      </c>
      <c r="Q848" t="str">
        <f t="shared" si="26"/>
        <v>Positive</v>
      </c>
    </row>
    <row r="849" spans="1:17" x14ac:dyDescent="0.3">
      <c r="A849" t="s">
        <v>1513</v>
      </c>
      <c r="B849" t="s">
        <v>32</v>
      </c>
      <c r="C849" t="s">
        <v>61</v>
      </c>
      <c r="D849" t="s">
        <v>37</v>
      </c>
      <c r="E849" t="s">
        <v>51</v>
      </c>
      <c r="F849" t="s">
        <v>34</v>
      </c>
      <c r="G849" s="1">
        <v>45524</v>
      </c>
      <c r="H849" t="s">
        <v>1514</v>
      </c>
      <c r="I849">
        <v>5491775</v>
      </c>
      <c r="J849">
        <v>219671</v>
      </c>
      <c r="K849">
        <v>13427</v>
      </c>
      <c r="L849">
        <v>32921</v>
      </c>
      <c r="M849">
        <v>4.8399999999999999E-2</v>
      </c>
      <c r="N849">
        <v>0.12</v>
      </c>
      <c r="O849">
        <v>1</v>
      </c>
      <c r="P849" t="b">
        <f t="shared" si="27"/>
        <v>1</v>
      </c>
      <c r="Q849" t="str">
        <f t="shared" si="26"/>
        <v>Positive</v>
      </c>
    </row>
    <row r="850" spans="1:17" x14ac:dyDescent="0.3">
      <c r="A850" t="s">
        <v>1515</v>
      </c>
      <c r="B850" t="s">
        <v>16</v>
      </c>
      <c r="C850" t="s">
        <v>17</v>
      </c>
      <c r="D850" t="s">
        <v>73</v>
      </c>
      <c r="E850" t="s">
        <v>41</v>
      </c>
      <c r="F850" t="s">
        <v>20</v>
      </c>
      <c r="G850" s="1">
        <v>45360</v>
      </c>
      <c r="H850" t="s">
        <v>1516</v>
      </c>
      <c r="I850">
        <v>9110668</v>
      </c>
      <c r="J850">
        <v>396116</v>
      </c>
      <c r="K850">
        <v>38083</v>
      </c>
      <c r="L850">
        <v>42713</v>
      </c>
      <c r="M850">
        <v>5.2299999999999999E-2</v>
      </c>
      <c r="N850">
        <v>-0.26100000000000001</v>
      </c>
      <c r="O850">
        <v>1</v>
      </c>
      <c r="P850" t="b">
        <f t="shared" si="27"/>
        <v>1</v>
      </c>
      <c r="Q850" t="str">
        <f t="shared" si="26"/>
        <v>Negative</v>
      </c>
    </row>
    <row r="851" spans="1:17" x14ac:dyDescent="0.3">
      <c r="A851" t="s">
        <v>1517</v>
      </c>
      <c r="B851" t="s">
        <v>32</v>
      </c>
      <c r="C851" t="s">
        <v>28</v>
      </c>
      <c r="D851" t="s">
        <v>33</v>
      </c>
      <c r="E851" t="s">
        <v>38</v>
      </c>
      <c r="F851" t="s">
        <v>34</v>
      </c>
      <c r="G851" s="1">
        <v>45369</v>
      </c>
      <c r="H851" t="s">
        <v>1518</v>
      </c>
      <c r="I851">
        <v>1637832</v>
      </c>
      <c r="J851">
        <v>272972</v>
      </c>
      <c r="K851">
        <v>29571</v>
      </c>
      <c r="L851">
        <v>95320</v>
      </c>
      <c r="M851">
        <v>0.2429</v>
      </c>
      <c r="N851">
        <v>0.39400000000000002</v>
      </c>
      <c r="O851">
        <v>0</v>
      </c>
      <c r="P851" t="b">
        <f t="shared" si="27"/>
        <v>0</v>
      </c>
      <c r="Q851" t="str">
        <f t="shared" si="26"/>
        <v>Positive</v>
      </c>
    </row>
    <row r="852" spans="1:17" x14ac:dyDescent="0.3">
      <c r="A852" t="s">
        <v>1519</v>
      </c>
      <c r="B852" t="s">
        <v>27</v>
      </c>
      <c r="C852" t="s">
        <v>23</v>
      </c>
      <c r="D852" t="s">
        <v>73</v>
      </c>
      <c r="E852" t="s">
        <v>38</v>
      </c>
      <c r="F852" t="s">
        <v>34</v>
      </c>
      <c r="G852" s="1">
        <v>45505</v>
      </c>
      <c r="H852" t="s">
        <v>554</v>
      </c>
      <c r="I852">
        <v>2002895</v>
      </c>
      <c r="J852">
        <v>400579</v>
      </c>
      <c r="K852">
        <v>1919</v>
      </c>
      <c r="L852">
        <v>89286</v>
      </c>
      <c r="M852">
        <v>0.2455</v>
      </c>
      <c r="N852">
        <v>-0.75600000000000001</v>
      </c>
      <c r="O852">
        <v>1</v>
      </c>
      <c r="P852" t="b">
        <f t="shared" si="27"/>
        <v>1</v>
      </c>
      <c r="Q852" t="str">
        <f t="shared" si="26"/>
        <v>Negative</v>
      </c>
    </row>
    <row r="853" spans="1:17" x14ac:dyDescent="0.3">
      <c r="A853" t="s">
        <v>1520</v>
      </c>
      <c r="B853" t="s">
        <v>66</v>
      </c>
      <c r="C853" t="s">
        <v>28</v>
      </c>
      <c r="D853" t="s">
        <v>54</v>
      </c>
      <c r="E853" t="s">
        <v>19</v>
      </c>
      <c r="F853" t="s">
        <v>34</v>
      </c>
      <c r="G853" s="1">
        <v>45511</v>
      </c>
      <c r="H853" t="s">
        <v>244</v>
      </c>
      <c r="I853">
        <v>399881</v>
      </c>
      <c r="J853">
        <v>13789</v>
      </c>
      <c r="K853">
        <v>32939</v>
      </c>
      <c r="L853">
        <v>33277</v>
      </c>
      <c r="M853">
        <v>0.2001</v>
      </c>
      <c r="N853">
        <v>-0.45200000000000001</v>
      </c>
      <c r="O853">
        <v>0</v>
      </c>
      <c r="P853" t="b">
        <f t="shared" si="27"/>
        <v>0</v>
      </c>
      <c r="Q853" t="str">
        <f t="shared" si="26"/>
        <v>Negative</v>
      </c>
    </row>
    <row r="854" spans="1:17" x14ac:dyDescent="0.3">
      <c r="A854" t="s">
        <v>1521</v>
      </c>
      <c r="B854" t="s">
        <v>32</v>
      </c>
      <c r="C854" t="s">
        <v>28</v>
      </c>
      <c r="D854" t="s">
        <v>29</v>
      </c>
      <c r="E854" t="s">
        <v>38</v>
      </c>
      <c r="F854" t="s">
        <v>34</v>
      </c>
      <c r="G854" s="1">
        <v>45491</v>
      </c>
      <c r="H854" t="s">
        <v>185</v>
      </c>
      <c r="I854">
        <v>3578822</v>
      </c>
      <c r="J854">
        <v>275294</v>
      </c>
      <c r="K854">
        <v>685</v>
      </c>
      <c r="L854">
        <v>84445</v>
      </c>
      <c r="M854">
        <v>0.1007</v>
      </c>
      <c r="N854">
        <v>-0.309</v>
      </c>
      <c r="O854">
        <v>1</v>
      </c>
      <c r="P854" t="b">
        <f t="shared" si="27"/>
        <v>1</v>
      </c>
      <c r="Q854" t="str">
        <f t="shared" si="26"/>
        <v>Negative</v>
      </c>
    </row>
    <row r="855" spans="1:17" x14ac:dyDescent="0.3">
      <c r="A855" t="s">
        <v>1522</v>
      </c>
      <c r="B855" t="s">
        <v>27</v>
      </c>
      <c r="C855" t="s">
        <v>23</v>
      </c>
      <c r="D855" t="s">
        <v>37</v>
      </c>
      <c r="E855" t="s">
        <v>19</v>
      </c>
      <c r="F855" t="s">
        <v>55</v>
      </c>
      <c r="G855" s="1">
        <v>45571</v>
      </c>
      <c r="H855" t="s">
        <v>1401</v>
      </c>
      <c r="I855">
        <v>4207425</v>
      </c>
      <c r="J855">
        <v>168297</v>
      </c>
      <c r="K855">
        <v>1368</v>
      </c>
      <c r="L855">
        <v>42292</v>
      </c>
      <c r="M855">
        <v>5.04E-2</v>
      </c>
      <c r="N855">
        <v>0.71299999999999997</v>
      </c>
      <c r="O855">
        <v>1</v>
      </c>
      <c r="P855" t="b">
        <f t="shared" si="27"/>
        <v>1</v>
      </c>
      <c r="Q855" t="str">
        <f t="shared" si="26"/>
        <v>Positive</v>
      </c>
    </row>
    <row r="856" spans="1:17" x14ac:dyDescent="0.3">
      <c r="A856" t="s">
        <v>1523</v>
      </c>
      <c r="B856" t="s">
        <v>27</v>
      </c>
      <c r="C856" t="s">
        <v>17</v>
      </c>
      <c r="D856" t="s">
        <v>33</v>
      </c>
      <c r="E856" t="s">
        <v>58</v>
      </c>
      <c r="F856" t="s">
        <v>46</v>
      </c>
      <c r="G856" s="1">
        <v>45410</v>
      </c>
      <c r="H856" t="s">
        <v>1524</v>
      </c>
      <c r="I856">
        <v>5771516</v>
      </c>
      <c r="J856">
        <v>303764</v>
      </c>
      <c r="K856">
        <v>25680</v>
      </c>
      <c r="L856">
        <v>18288</v>
      </c>
      <c r="M856">
        <v>6.0199999999999997E-2</v>
      </c>
      <c r="N856">
        <v>-0.129</v>
      </c>
      <c r="O856">
        <v>1</v>
      </c>
      <c r="P856" t="b">
        <f t="shared" si="27"/>
        <v>1</v>
      </c>
      <c r="Q856" t="str">
        <f t="shared" si="26"/>
        <v>Negative</v>
      </c>
    </row>
    <row r="857" spans="1:17" x14ac:dyDescent="0.3">
      <c r="A857" t="s">
        <v>1525</v>
      </c>
      <c r="B857" t="s">
        <v>16</v>
      </c>
      <c r="C857" t="s">
        <v>61</v>
      </c>
      <c r="D857" t="s">
        <v>54</v>
      </c>
      <c r="E857" t="s">
        <v>19</v>
      </c>
      <c r="F857" t="s">
        <v>46</v>
      </c>
      <c r="G857" s="1">
        <v>45358</v>
      </c>
      <c r="H857" t="s">
        <v>1526</v>
      </c>
      <c r="I857">
        <v>9422233</v>
      </c>
      <c r="J857">
        <v>495907</v>
      </c>
      <c r="K857">
        <v>12117</v>
      </c>
      <c r="L857">
        <v>75226</v>
      </c>
      <c r="M857">
        <v>6.1899999999999997E-2</v>
      </c>
      <c r="N857">
        <v>1.2999999999999999E-2</v>
      </c>
      <c r="O857">
        <v>1</v>
      </c>
      <c r="P857" t="b">
        <f t="shared" si="27"/>
        <v>1</v>
      </c>
      <c r="Q857" t="str">
        <f t="shared" si="26"/>
        <v>Positive</v>
      </c>
    </row>
    <row r="858" spans="1:17" x14ac:dyDescent="0.3">
      <c r="A858" t="s">
        <v>1527</v>
      </c>
      <c r="B858" t="s">
        <v>27</v>
      </c>
      <c r="C858" t="s">
        <v>17</v>
      </c>
      <c r="D858" t="s">
        <v>18</v>
      </c>
      <c r="E858" t="s">
        <v>38</v>
      </c>
      <c r="F858" t="s">
        <v>46</v>
      </c>
      <c r="G858" s="1">
        <v>45409</v>
      </c>
      <c r="H858" t="s">
        <v>1528</v>
      </c>
      <c r="I858">
        <v>2859714</v>
      </c>
      <c r="J858">
        <v>129987</v>
      </c>
      <c r="K858">
        <v>33924</v>
      </c>
      <c r="L858">
        <v>73156</v>
      </c>
      <c r="M858">
        <v>8.2900000000000001E-2</v>
      </c>
      <c r="N858">
        <v>-0.96799999999999997</v>
      </c>
      <c r="O858">
        <v>1</v>
      </c>
      <c r="P858" t="b">
        <f t="shared" si="27"/>
        <v>1</v>
      </c>
      <c r="Q858" t="str">
        <f t="shared" si="26"/>
        <v>Negative</v>
      </c>
    </row>
    <row r="859" spans="1:17" x14ac:dyDescent="0.3">
      <c r="A859" t="s">
        <v>1529</v>
      </c>
      <c r="B859" t="s">
        <v>32</v>
      </c>
      <c r="C859" t="s">
        <v>17</v>
      </c>
      <c r="D859" t="s">
        <v>54</v>
      </c>
      <c r="E859" t="s">
        <v>51</v>
      </c>
      <c r="F859" t="s">
        <v>20</v>
      </c>
      <c r="G859" s="1">
        <v>45597</v>
      </c>
      <c r="H859" t="s">
        <v>1530</v>
      </c>
      <c r="I859">
        <v>5163516</v>
      </c>
      <c r="J859">
        <v>286862</v>
      </c>
      <c r="K859">
        <v>34680</v>
      </c>
      <c r="L859">
        <v>18920</v>
      </c>
      <c r="M859">
        <v>6.59E-2</v>
      </c>
      <c r="N859">
        <v>0.40699999999999997</v>
      </c>
      <c r="O859">
        <v>1</v>
      </c>
      <c r="P859" t="b">
        <f t="shared" si="27"/>
        <v>1</v>
      </c>
      <c r="Q859" t="str">
        <f t="shared" si="26"/>
        <v>Positive</v>
      </c>
    </row>
    <row r="860" spans="1:17" x14ac:dyDescent="0.3">
      <c r="A860" t="s">
        <v>1531</v>
      </c>
      <c r="B860" t="s">
        <v>16</v>
      </c>
      <c r="C860" t="s">
        <v>23</v>
      </c>
      <c r="D860" t="s">
        <v>54</v>
      </c>
      <c r="E860" t="s">
        <v>58</v>
      </c>
      <c r="F860" t="s">
        <v>55</v>
      </c>
      <c r="G860" s="1">
        <v>45368</v>
      </c>
      <c r="H860" t="s">
        <v>567</v>
      </c>
      <c r="I860">
        <v>4903659</v>
      </c>
      <c r="J860">
        <v>181617</v>
      </c>
      <c r="K860">
        <v>4774</v>
      </c>
      <c r="L860">
        <v>37565</v>
      </c>
      <c r="M860">
        <v>4.5699999999999998E-2</v>
      </c>
      <c r="N860">
        <v>-0.53</v>
      </c>
      <c r="O860">
        <v>1</v>
      </c>
      <c r="P860" t="b">
        <f t="shared" si="27"/>
        <v>1</v>
      </c>
      <c r="Q860" t="str">
        <f t="shared" si="26"/>
        <v>Negative</v>
      </c>
    </row>
    <row r="861" spans="1:17" x14ac:dyDescent="0.3">
      <c r="A861" t="s">
        <v>1532</v>
      </c>
      <c r="B861" t="s">
        <v>32</v>
      </c>
      <c r="C861" t="s">
        <v>17</v>
      </c>
      <c r="D861" t="s">
        <v>33</v>
      </c>
      <c r="E861" t="s">
        <v>19</v>
      </c>
      <c r="F861" t="s">
        <v>46</v>
      </c>
      <c r="G861" s="1">
        <v>45296</v>
      </c>
      <c r="H861" t="s">
        <v>1533</v>
      </c>
      <c r="I861">
        <v>1591340</v>
      </c>
      <c r="J861">
        <v>159134</v>
      </c>
      <c r="K861">
        <v>19361</v>
      </c>
      <c r="L861">
        <v>85843</v>
      </c>
      <c r="M861">
        <v>0.1661</v>
      </c>
      <c r="N861">
        <v>9.2999999999999999E-2</v>
      </c>
      <c r="O861">
        <v>0</v>
      </c>
      <c r="P861" t="b">
        <f t="shared" si="27"/>
        <v>0</v>
      </c>
      <c r="Q861" t="str">
        <f t="shared" si="26"/>
        <v>Positive</v>
      </c>
    </row>
    <row r="862" spans="1:17" x14ac:dyDescent="0.3">
      <c r="A862" t="s">
        <v>1534</v>
      </c>
      <c r="B862" t="s">
        <v>16</v>
      </c>
      <c r="C862" t="s">
        <v>17</v>
      </c>
      <c r="D862" t="s">
        <v>73</v>
      </c>
      <c r="E862" t="s">
        <v>19</v>
      </c>
      <c r="F862" t="s">
        <v>55</v>
      </c>
      <c r="G862" s="1">
        <v>45356</v>
      </c>
      <c r="H862" t="s">
        <v>1012</v>
      </c>
      <c r="I862">
        <v>12493300</v>
      </c>
      <c r="J862">
        <v>499732</v>
      </c>
      <c r="K862">
        <v>38060</v>
      </c>
      <c r="L862">
        <v>10579</v>
      </c>
      <c r="M862">
        <v>4.3900000000000002E-2</v>
      </c>
      <c r="N862">
        <v>0.01</v>
      </c>
      <c r="O862">
        <v>1</v>
      </c>
      <c r="P862" t="b">
        <f t="shared" si="27"/>
        <v>1</v>
      </c>
      <c r="Q862" t="str">
        <f t="shared" si="26"/>
        <v>Positive</v>
      </c>
    </row>
    <row r="863" spans="1:17" x14ac:dyDescent="0.3">
      <c r="A863" t="s">
        <v>1535</v>
      </c>
      <c r="B863" t="s">
        <v>27</v>
      </c>
      <c r="C863" t="s">
        <v>23</v>
      </c>
      <c r="D863" t="s">
        <v>29</v>
      </c>
      <c r="E863" t="s">
        <v>58</v>
      </c>
      <c r="F863" t="s">
        <v>24</v>
      </c>
      <c r="G863" s="1">
        <v>45595</v>
      </c>
      <c r="H863" t="s">
        <v>1536</v>
      </c>
      <c r="I863">
        <v>3617256</v>
      </c>
      <c r="J863">
        <v>301438</v>
      </c>
      <c r="K863">
        <v>44372</v>
      </c>
      <c r="L863">
        <v>390</v>
      </c>
      <c r="M863">
        <v>9.5699999999999993E-2</v>
      </c>
      <c r="N863">
        <v>-0.64100000000000001</v>
      </c>
      <c r="O863">
        <v>1</v>
      </c>
      <c r="P863" t="b">
        <f t="shared" si="27"/>
        <v>1</v>
      </c>
      <c r="Q863" t="str">
        <f t="shared" si="26"/>
        <v>Negative</v>
      </c>
    </row>
    <row r="864" spans="1:17" x14ac:dyDescent="0.3">
      <c r="A864" t="s">
        <v>1537</v>
      </c>
      <c r="B864" t="s">
        <v>27</v>
      </c>
      <c r="C864" t="s">
        <v>61</v>
      </c>
      <c r="D864" t="s">
        <v>73</v>
      </c>
      <c r="E864" t="s">
        <v>19</v>
      </c>
      <c r="F864" t="s">
        <v>24</v>
      </c>
      <c r="G864" s="1">
        <v>45326</v>
      </c>
      <c r="H864" t="s">
        <v>1538</v>
      </c>
      <c r="I864">
        <v>7581605</v>
      </c>
      <c r="J864">
        <v>329635</v>
      </c>
      <c r="K864">
        <v>40898</v>
      </c>
      <c r="L864">
        <v>13795</v>
      </c>
      <c r="M864">
        <v>5.0700000000000002E-2</v>
      </c>
      <c r="N864">
        <v>-0.20699999999999999</v>
      </c>
      <c r="O864">
        <v>1</v>
      </c>
      <c r="P864" t="b">
        <f t="shared" si="27"/>
        <v>1</v>
      </c>
      <c r="Q864" t="str">
        <f t="shared" si="26"/>
        <v>Negative</v>
      </c>
    </row>
    <row r="865" spans="1:17" x14ac:dyDescent="0.3">
      <c r="A865" t="s">
        <v>1539</v>
      </c>
      <c r="B865" t="s">
        <v>66</v>
      </c>
      <c r="C865" t="s">
        <v>61</v>
      </c>
      <c r="D865" t="s">
        <v>33</v>
      </c>
      <c r="E865" t="s">
        <v>38</v>
      </c>
      <c r="F865" t="s">
        <v>24</v>
      </c>
      <c r="G865" s="1">
        <v>45649</v>
      </c>
      <c r="H865" t="s">
        <v>1540</v>
      </c>
      <c r="I865">
        <v>147494</v>
      </c>
      <c r="J865">
        <v>5086</v>
      </c>
      <c r="K865">
        <v>32303</v>
      </c>
      <c r="L865">
        <v>1482</v>
      </c>
      <c r="M865">
        <v>0.26350000000000001</v>
      </c>
      <c r="N865">
        <v>-0.68500000000000005</v>
      </c>
      <c r="O865">
        <v>0</v>
      </c>
      <c r="P865" t="b">
        <f t="shared" si="27"/>
        <v>0</v>
      </c>
      <c r="Q865" t="str">
        <f t="shared" si="26"/>
        <v>Negative</v>
      </c>
    </row>
    <row r="866" spans="1:17" x14ac:dyDescent="0.3">
      <c r="A866" t="s">
        <v>1541</v>
      </c>
      <c r="B866" t="s">
        <v>66</v>
      </c>
      <c r="C866" t="s">
        <v>28</v>
      </c>
      <c r="D866" t="s">
        <v>37</v>
      </c>
      <c r="E866" t="s">
        <v>38</v>
      </c>
      <c r="F866" t="s">
        <v>55</v>
      </c>
      <c r="G866" s="1">
        <v>45620</v>
      </c>
      <c r="H866" t="s">
        <v>1542</v>
      </c>
      <c r="I866">
        <v>11484228</v>
      </c>
      <c r="J866">
        <v>410151</v>
      </c>
      <c r="K866">
        <v>27803</v>
      </c>
      <c r="L866">
        <v>91650</v>
      </c>
      <c r="M866">
        <v>4.6100000000000002E-2</v>
      </c>
      <c r="N866">
        <v>0.63300000000000001</v>
      </c>
      <c r="O866">
        <v>1</v>
      </c>
      <c r="P866" t="b">
        <f t="shared" si="27"/>
        <v>1</v>
      </c>
      <c r="Q866" t="str">
        <f t="shared" si="26"/>
        <v>Positive</v>
      </c>
    </row>
    <row r="867" spans="1:17" x14ac:dyDescent="0.3">
      <c r="A867" t="s">
        <v>1543</v>
      </c>
      <c r="B867" t="s">
        <v>32</v>
      </c>
      <c r="C867" t="s">
        <v>23</v>
      </c>
      <c r="D867" t="s">
        <v>29</v>
      </c>
      <c r="E867" t="s">
        <v>38</v>
      </c>
      <c r="F867" t="s">
        <v>20</v>
      </c>
      <c r="G867" s="1">
        <v>45549</v>
      </c>
      <c r="H867" t="s">
        <v>354</v>
      </c>
      <c r="I867">
        <v>3915000</v>
      </c>
      <c r="J867">
        <v>217500</v>
      </c>
      <c r="K867">
        <v>20457</v>
      </c>
      <c r="L867">
        <v>43527</v>
      </c>
      <c r="M867">
        <v>7.1900000000000006E-2</v>
      </c>
      <c r="N867">
        <v>0.25</v>
      </c>
      <c r="O867">
        <v>1</v>
      </c>
      <c r="P867" t="b">
        <f t="shared" si="27"/>
        <v>1</v>
      </c>
      <c r="Q867" t="str">
        <f t="shared" si="26"/>
        <v>Positive</v>
      </c>
    </row>
    <row r="868" spans="1:17" x14ac:dyDescent="0.3">
      <c r="A868" t="s">
        <v>1544</v>
      </c>
      <c r="B868" t="s">
        <v>27</v>
      </c>
      <c r="C868" t="s">
        <v>17</v>
      </c>
      <c r="D868" t="s">
        <v>37</v>
      </c>
      <c r="E868" t="s">
        <v>38</v>
      </c>
      <c r="F868" t="s">
        <v>46</v>
      </c>
      <c r="G868" s="1">
        <v>45519</v>
      </c>
      <c r="H868" t="s">
        <v>430</v>
      </c>
      <c r="I868">
        <v>10521090</v>
      </c>
      <c r="J868">
        <v>389670</v>
      </c>
      <c r="K868">
        <v>11894</v>
      </c>
      <c r="L868">
        <v>24336</v>
      </c>
      <c r="M868">
        <v>4.0500000000000001E-2</v>
      </c>
      <c r="N868">
        <v>0.81200000000000006</v>
      </c>
      <c r="O868">
        <v>1</v>
      </c>
      <c r="P868" t="b">
        <f t="shared" si="27"/>
        <v>1</v>
      </c>
      <c r="Q868" t="str">
        <f t="shared" si="26"/>
        <v>Positive</v>
      </c>
    </row>
    <row r="869" spans="1:17" x14ac:dyDescent="0.3">
      <c r="A869" t="s">
        <v>1545</v>
      </c>
      <c r="B869" t="s">
        <v>66</v>
      </c>
      <c r="C869" t="s">
        <v>23</v>
      </c>
      <c r="D869" t="s">
        <v>29</v>
      </c>
      <c r="E869" t="s">
        <v>51</v>
      </c>
      <c r="F869" t="s">
        <v>24</v>
      </c>
      <c r="G869" s="1">
        <v>45332</v>
      </c>
      <c r="H869" t="s">
        <v>1546</v>
      </c>
      <c r="I869">
        <v>1542665</v>
      </c>
      <c r="J869">
        <v>308533</v>
      </c>
      <c r="K869">
        <v>37332</v>
      </c>
      <c r="L869">
        <v>16200</v>
      </c>
      <c r="M869">
        <v>0.23469999999999999</v>
      </c>
      <c r="N869">
        <v>9.8000000000000004E-2</v>
      </c>
      <c r="O869">
        <v>0</v>
      </c>
      <c r="P869" t="b">
        <f t="shared" si="27"/>
        <v>0</v>
      </c>
      <c r="Q869" t="str">
        <f t="shared" si="26"/>
        <v>Positive</v>
      </c>
    </row>
    <row r="870" spans="1:17" x14ac:dyDescent="0.3">
      <c r="A870" t="s">
        <v>1547</v>
      </c>
      <c r="B870" t="s">
        <v>32</v>
      </c>
      <c r="C870" t="s">
        <v>23</v>
      </c>
      <c r="D870" t="s">
        <v>29</v>
      </c>
      <c r="E870" t="s">
        <v>38</v>
      </c>
      <c r="F870" t="s">
        <v>55</v>
      </c>
      <c r="G870" s="1">
        <v>45392</v>
      </c>
      <c r="H870" t="s">
        <v>1548</v>
      </c>
      <c r="I870">
        <v>1356777</v>
      </c>
      <c r="J870">
        <v>150753</v>
      </c>
      <c r="K870">
        <v>48697</v>
      </c>
      <c r="L870">
        <v>59723</v>
      </c>
      <c r="M870">
        <v>0.191</v>
      </c>
      <c r="N870">
        <v>-0.29399999999999998</v>
      </c>
      <c r="O870">
        <v>0</v>
      </c>
      <c r="P870" t="b">
        <f t="shared" si="27"/>
        <v>0</v>
      </c>
      <c r="Q870" t="str">
        <f t="shared" si="26"/>
        <v>Negative</v>
      </c>
    </row>
    <row r="871" spans="1:17" x14ac:dyDescent="0.3">
      <c r="A871" t="s">
        <v>1549</v>
      </c>
      <c r="B871" t="s">
        <v>66</v>
      </c>
      <c r="C871" t="s">
        <v>17</v>
      </c>
      <c r="D871" t="s">
        <v>73</v>
      </c>
      <c r="E871" t="s">
        <v>41</v>
      </c>
      <c r="F871" t="s">
        <v>46</v>
      </c>
      <c r="G871" s="1">
        <v>45630</v>
      </c>
      <c r="H871" t="s">
        <v>1550</v>
      </c>
      <c r="I871">
        <v>5925672</v>
      </c>
      <c r="J871">
        <v>329204</v>
      </c>
      <c r="K871">
        <v>19557</v>
      </c>
      <c r="L871">
        <v>10809</v>
      </c>
      <c r="M871">
        <v>6.0699999999999997E-2</v>
      </c>
      <c r="N871">
        <v>0.21099999999999999</v>
      </c>
      <c r="O871">
        <v>1</v>
      </c>
      <c r="P871" t="b">
        <f t="shared" si="27"/>
        <v>1</v>
      </c>
      <c r="Q871" t="str">
        <f t="shared" si="26"/>
        <v>Positive</v>
      </c>
    </row>
    <row r="872" spans="1:17" x14ac:dyDescent="0.3">
      <c r="A872" t="s">
        <v>1551</v>
      </c>
      <c r="B872" t="s">
        <v>27</v>
      </c>
      <c r="C872" t="s">
        <v>17</v>
      </c>
      <c r="D872" t="s">
        <v>29</v>
      </c>
      <c r="E872" t="s">
        <v>19</v>
      </c>
      <c r="F872" t="s">
        <v>24</v>
      </c>
      <c r="G872" s="1">
        <v>45646</v>
      </c>
      <c r="H872" t="s">
        <v>1552</v>
      </c>
      <c r="I872">
        <v>5788882</v>
      </c>
      <c r="J872">
        <v>263131</v>
      </c>
      <c r="K872">
        <v>31807</v>
      </c>
      <c r="L872">
        <v>85025</v>
      </c>
      <c r="M872">
        <v>6.5600000000000006E-2</v>
      </c>
      <c r="N872">
        <v>-0.13400000000000001</v>
      </c>
      <c r="O872">
        <v>1</v>
      </c>
      <c r="P872" t="b">
        <f t="shared" si="27"/>
        <v>1</v>
      </c>
      <c r="Q872" t="str">
        <f t="shared" si="26"/>
        <v>Negative</v>
      </c>
    </row>
    <row r="873" spans="1:17" x14ac:dyDescent="0.3">
      <c r="A873" t="s">
        <v>1553</v>
      </c>
      <c r="B873" t="s">
        <v>27</v>
      </c>
      <c r="C873" t="s">
        <v>17</v>
      </c>
      <c r="D873" t="s">
        <v>29</v>
      </c>
      <c r="E873" t="s">
        <v>41</v>
      </c>
      <c r="F873" t="s">
        <v>34</v>
      </c>
      <c r="G873" s="1">
        <v>45441</v>
      </c>
      <c r="H873" t="s">
        <v>575</v>
      </c>
      <c r="I873">
        <v>1558722</v>
      </c>
      <c r="J873">
        <v>82038</v>
      </c>
      <c r="K873">
        <v>21210</v>
      </c>
      <c r="L873">
        <v>26050</v>
      </c>
      <c r="M873">
        <v>8.3000000000000004E-2</v>
      </c>
      <c r="N873">
        <v>-0.23699999999999999</v>
      </c>
      <c r="O873">
        <v>0</v>
      </c>
      <c r="P873" t="b">
        <f t="shared" si="27"/>
        <v>0</v>
      </c>
      <c r="Q873" t="str">
        <f t="shared" si="26"/>
        <v>Negative</v>
      </c>
    </row>
    <row r="874" spans="1:17" x14ac:dyDescent="0.3">
      <c r="A874" t="s">
        <v>1554</v>
      </c>
      <c r="B874" t="s">
        <v>32</v>
      </c>
      <c r="C874" t="s">
        <v>23</v>
      </c>
      <c r="D874" t="s">
        <v>29</v>
      </c>
      <c r="E874" t="s">
        <v>58</v>
      </c>
      <c r="F874" t="s">
        <v>46</v>
      </c>
      <c r="G874" s="1">
        <v>45599</v>
      </c>
      <c r="H874" t="s">
        <v>87</v>
      </c>
      <c r="I874">
        <v>12949352</v>
      </c>
      <c r="J874">
        <v>498052</v>
      </c>
      <c r="K874">
        <v>46225</v>
      </c>
      <c r="L874">
        <v>46164</v>
      </c>
      <c r="M874">
        <v>4.5600000000000002E-2</v>
      </c>
      <c r="N874">
        <v>0.46700000000000003</v>
      </c>
      <c r="O874">
        <v>1</v>
      </c>
      <c r="P874" t="b">
        <f t="shared" si="27"/>
        <v>1</v>
      </c>
      <c r="Q874" t="str">
        <f t="shared" si="26"/>
        <v>Positive</v>
      </c>
    </row>
    <row r="875" spans="1:17" x14ac:dyDescent="0.3">
      <c r="A875" t="s">
        <v>1555</v>
      </c>
      <c r="B875" t="s">
        <v>32</v>
      </c>
      <c r="C875" t="s">
        <v>61</v>
      </c>
      <c r="D875" t="s">
        <v>73</v>
      </c>
      <c r="E875" t="s">
        <v>51</v>
      </c>
      <c r="F875" t="s">
        <v>46</v>
      </c>
      <c r="G875" s="1">
        <v>45478</v>
      </c>
      <c r="H875" t="s">
        <v>1556</v>
      </c>
      <c r="I875">
        <v>10087478</v>
      </c>
      <c r="J875">
        <v>438586</v>
      </c>
      <c r="K875">
        <v>9746</v>
      </c>
      <c r="L875">
        <v>88279</v>
      </c>
      <c r="M875">
        <v>5.3199999999999997E-2</v>
      </c>
      <c r="N875">
        <v>0.57099999999999995</v>
      </c>
      <c r="O875">
        <v>1</v>
      </c>
      <c r="P875" t="b">
        <f t="shared" si="27"/>
        <v>1</v>
      </c>
      <c r="Q875" t="str">
        <f t="shared" si="26"/>
        <v>Positive</v>
      </c>
    </row>
    <row r="876" spans="1:17" x14ac:dyDescent="0.3">
      <c r="A876" t="s">
        <v>1557</v>
      </c>
      <c r="B876" t="s">
        <v>16</v>
      </c>
      <c r="C876" t="s">
        <v>61</v>
      </c>
      <c r="D876" t="s">
        <v>29</v>
      </c>
      <c r="E876" t="s">
        <v>19</v>
      </c>
      <c r="F876" t="s">
        <v>20</v>
      </c>
      <c r="G876" s="1">
        <v>45457</v>
      </c>
      <c r="H876" t="s">
        <v>1053</v>
      </c>
      <c r="I876">
        <v>3428096</v>
      </c>
      <c r="J876">
        <v>122432</v>
      </c>
      <c r="K876">
        <v>37628</v>
      </c>
      <c r="L876">
        <v>22932</v>
      </c>
      <c r="M876">
        <v>5.3400000000000003E-2</v>
      </c>
      <c r="N876">
        <v>-0.44700000000000001</v>
      </c>
      <c r="O876">
        <v>1</v>
      </c>
      <c r="P876" t="b">
        <f t="shared" si="27"/>
        <v>1</v>
      </c>
      <c r="Q876" t="str">
        <f t="shared" si="26"/>
        <v>Negative</v>
      </c>
    </row>
    <row r="877" spans="1:17" x14ac:dyDescent="0.3">
      <c r="A877" t="s">
        <v>1558</v>
      </c>
      <c r="B877" t="s">
        <v>66</v>
      </c>
      <c r="C877" t="s">
        <v>17</v>
      </c>
      <c r="D877" t="s">
        <v>29</v>
      </c>
      <c r="E877" t="s">
        <v>41</v>
      </c>
      <c r="F877" t="s">
        <v>55</v>
      </c>
      <c r="G877" s="1">
        <v>45329</v>
      </c>
      <c r="H877" t="s">
        <v>1559</v>
      </c>
      <c r="I877">
        <v>728182</v>
      </c>
      <c r="J877">
        <v>52013</v>
      </c>
      <c r="K877">
        <v>29245</v>
      </c>
      <c r="L877">
        <v>25992</v>
      </c>
      <c r="M877">
        <v>0.14729999999999999</v>
      </c>
      <c r="N877">
        <v>-0.64100000000000001</v>
      </c>
      <c r="O877">
        <v>0</v>
      </c>
      <c r="P877" t="b">
        <f t="shared" si="27"/>
        <v>0</v>
      </c>
      <c r="Q877" t="str">
        <f t="shared" si="26"/>
        <v>Negative</v>
      </c>
    </row>
    <row r="878" spans="1:17" x14ac:dyDescent="0.3">
      <c r="A878" t="s">
        <v>1560</v>
      </c>
      <c r="B878" t="s">
        <v>66</v>
      </c>
      <c r="C878" t="s">
        <v>23</v>
      </c>
      <c r="D878" t="s">
        <v>18</v>
      </c>
      <c r="E878" t="s">
        <v>19</v>
      </c>
      <c r="F878" t="s">
        <v>20</v>
      </c>
      <c r="G878" s="1">
        <v>45629</v>
      </c>
      <c r="H878" t="s">
        <v>610</v>
      </c>
      <c r="I878">
        <v>5332821</v>
      </c>
      <c r="J878">
        <v>410217</v>
      </c>
      <c r="K878">
        <v>40510</v>
      </c>
      <c r="L878">
        <v>95557</v>
      </c>
      <c r="M878">
        <v>0.1024</v>
      </c>
      <c r="N878">
        <v>0.47599999999999998</v>
      </c>
      <c r="O878">
        <v>1</v>
      </c>
      <c r="P878" t="b">
        <f t="shared" si="27"/>
        <v>1</v>
      </c>
      <c r="Q878" t="str">
        <f t="shared" si="26"/>
        <v>Positive</v>
      </c>
    </row>
    <row r="879" spans="1:17" x14ac:dyDescent="0.3">
      <c r="A879" t="s">
        <v>1561</v>
      </c>
      <c r="B879" t="s">
        <v>27</v>
      </c>
      <c r="C879" t="s">
        <v>17</v>
      </c>
      <c r="D879" t="s">
        <v>54</v>
      </c>
      <c r="E879" t="s">
        <v>58</v>
      </c>
      <c r="F879" t="s">
        <v>46</v>
      </c>
      <c r="G879" s="1">
        <v>45621</v>
      </c>
      <c r="H879" t="s">
        <v>1562</v>
      </c>
      <c r="I879">
        <v>5956560</v>
      </c>
      <c r="J879">
        <v>372285</v>
      </c>
      <c r="K879">
        <v>14261</v>
      </c>
      <c r="L879">
        <v>87729</v>
      </c>
      <c r="M879">
        <v>7.9600000000000004E-2</v>
      </c>
      <c r="N879">
        <v>-0.85199999999999998</v>
      </c>
      <c r="O879">
        <v>1</v>
      </c>
      <c r="P879" t="b">
        <f t="shared" si="27"/>
        <v>1</v>
      </c>
      <c r="Q879" t="str">
        <f t="shared" si="26"/>
        <v>Negative</v>
      </c>
    </row>
    <row r="880" spans="1:17" x14ac:dyDescent="0.3">
      <c r="A880" t="s">
        <v>1563</v>
      </c>
      <c r="B880" t="s">
        <v>66</v>
      </c>
      <c r="C880" t="s">
        <v>28</v>
      </c>
      <c r="D880" t="s">
        <v>18</v>
      </c>
      <c r="E880" t="s">
        <v>19</v>
      </c>
      <c r="F880" t="s">
        <v>20</v>
      </c>
      <c r="G880" s="1">
        <v>45636</v>
      </c>
      <c r="H880" t="s">
        <v>1564</v>
      </c>
      <c r="I880">
        <v>1736462</v>
      </c>
      <c r="J880">
        <v>59878</v>
      </c>
      <c r="K880">
        <v>45838</v>
      </c>
      <c r="L880">
        <v>22626</v>
      </c>
      <c r="M880">
        <v>7.3899999999999993E-2</v>
      </c>
      <c r="N880">
        <v>0.48</v>
      </c>
      <c r="O880">
        <v>0</v>
      </c>
      <c r="P880" t="b">
        <f t="shared" si="27"/>
        <v>0</v>
      </c>
      <c r="Q880" t="str">
        <f t="shared" si="26"/>
        <v>Positive</v>
      </c>
    </row>
    <row r="881" spans="1:17" x14ac:dyDescent="0.3">
      <c r="A881" t="s">
        <v>1565</v>
      </c>
      <c r="B881" t="s">
        <v>32</v>
      </c>
      <c r="C881" t="s">
        <v>23</v>
      </c>
      <c r="D881" t="s">
        <v>73</v>
      </c>
      <c r="E881" t="s">
        <v>58</v>
      </c>
      <c r="F881" t="s">
        <v>34</v>
      </c>
      <c r="G881" s="1">
        <v>45362</v>
      </c>
      <c r="H881" t="s">
        <v>1566</v>
      </c>
      <c r="I881">
        <v>5126534</v>
      </c>
      <c r="J881">
        <v>366181</v>
      </c>
      <c r="K881">
        <v>5760</v>
      </c>
      <c r="L881">
        <v>65304</v>
      </c>
      <c r="M881">
        <v>8.5300000000000001E-2</v>
      </c>
      <c r="N881">
        <v>0.38</v>
      </c>
      <c r="O881">
        <v>1</v>
      </c>
      <c r="P881" t="b">
        <f t="shared" si="27"/>
        <v>1</v>
      </c>
      <c r="Q881" t="str">
        <f t="shared" si="26"/>
        <v>Positive</v>
      </c>
    </row>
    <row r="882" spans="1:17" x14ac:dyDescent="0.3">
      <c r="A882" t="s">
        <v>1567</v>
      </c>
      <c r="B882" t="s">
        <v>66</v>
      </c>
      <c r="C882" t="s">
        <v>17</v>
      </c>
      <c r="D882" t="s">
        <v>37</v>
      </c>
      <c r="E882" t="s">
        <v>19</v>
      </c>
      <c r="F882" t="s">
        <v>24</v>
      </c>
      <c r="G882" s="1">
        <v>45539</v>
      </c>
      <c r="H882" t="s">
        <v>1568</v>
      </c>
      <c r="I882">
        <v>1716935</v>
      </c>
      <c r="J882">
        <v>90365</v>
      </c>
      <c r="K882">
        <v>32187</v>
      </c>
      <c r="L882">
        <v>60711</v>
      </c>
      <c r="M882">
        <v>0.1067</v>
      </c>
      <c r="N882">
        <v>0.90300000000000002</v>
      </c>
      <c r="O882">
        <v>0</v>
      </c>
      <c r="P882" t="b">
        <f t="shared" si="27"/>
        <v>0</v>
      </c>
      <c r="Q882" t="str">
        <f t="shared" si="26"/>
        <v>Positive</v>
      </c>
    </row>
    <row r="883" spans="1:17" x14ac:dyDescent="0.3">
      <c r="A883" t="s">
        <v>1569</v>
      </c>
      <c r="B883" t="s">
        <v>32</v>
      </c>
      <c r="C883" t="s">
        <v>61</v>
      </c>
      <c r="D883" t="s">
        <v>37</v>
      </c>
      <c r="E883" t="s">
        <v>19</v>
      </c>
      <c r="F883" t="s">
        <v>55</v>
      </c>
      <c r="G883" s="1">
        <v>45577</v>
      </c>
      <c r="H883" t="s">
        <v>1570</v>
      </c>
      <c r="I883">
        <v>4900242</v>
      </c>
      <c r="J883">
        <v>213054</v>
      </c>
      <c r="K883">
        <v>2605</v>
      </c>
      <c r="L883">
        <v>64620</v>
      </c>
      <c r="M883">
        <v>5.7200000000000001E-2</v>
      </c>
      <c r="N883">
        <v>0.247</v>
      </c>
      <c r="O883">
        <v>1</v>
      </c>
      <c r="P883" t="b">
        <f t="shared" si="27"/>
        <v>1</v>
      </c>
      <c r="Q883" t="str">
        <f t="shared" si="26"/>
        <v>Positive</v>
      </c>
    </row>
    <row r="884" spans="1:17" x14ac:dyDescent="0.3">
      <c r="A884" t="s">
        <v>1571</v>
      </c>
      <c r="B884" t="s">
        <v>16</v>
      </c>
      <c r="C884" t="s">
        <v>61</v>
      </c>
      <c r="D884" t="s">
        <v>18</v>
      </c>
      <c r="E884" t="s">
        <v>58</v>
      </c>
      <c r="F884" t="s">
        <v>55</v>
      </c>
      <c r="G884" s="1">
        <v>45358</v>
      </c>
      <c r="H884" t="s">
        <v>458</v>
      </c>
      <c r="I884">
        <v>7230850</v>
      </c>
      <c r="J884">
        <v>289234</v>
      </c>
      <c r="K884">
        <v>16198</v>
      </c>
      <c r="L884">
        <v>30110</v>
      </c>
      <c r="M884">
        <v>4.6399999999999997E-2</v>
      </c>
      <c r="N884">
        <v>-0.97</v>
      </c>
      <c r="O884">
        <v>1</v>
      </c>
      <c r="P884" t="b">
        <f t="shared" si="27"/>
        <v>1</v>
      </c>
      <c r="Q884" t="str">
        <f t="shared" si="26"/>
        <v>Negative</v>
      </c>
    </row>
    <row r="885" spans="1:17" x14ac:dyDescent="0.3">
      <c r="A885" t="s">
        <v>1572</v>
      </c>
      <c r="B885" t="s">
        <v>66</v>
      </c>
      <c r="C885" t="s">
        <v>23</v>
      </c>
      <c r="D885" t="s">
        <v>33</v>
      </c>
      <c r="E885" t="s">
        <v>38</v>
      </c>
      <c r="F885" t="s">
        <v>20</v>
      </c>
      <c r="G885" s="1">
        <v>45402</v>
      </c>
      <c r="H885" t="s">
        <v>1248</v>
      </c>
      <c r="I885">
        <v>2980628</v>
      </c>
      <c r="J885">
        <v>212902</v>
      </c>
      <c r="K885">
        <v>34515</v>
      </c>
      <c r="L885">
        <v>1307</v>
      </c>
      <c r="M885">
        <v>8.3400000000000002E-2</v>
      </c>
      <c r="N885">
        <v>-9.9000000000000005E-2</v>
      </c>
      <c r="O885">
        <v>1</v>
      </c>
      <c r="P885" t="b">
        <f t="shared" si="27"/>
        <v>1</v>
      </c>
      <c r="Q885" t="str">
        <f t="shared" si="26"/>
        <v>Negative</v>
      </c>
    </row>
    <row r="886" spans="1:17" x14ac:dyDescent="0.3">
      <c r="A886" t="s">
        <v>1573</v>
      </c>
      <c r="B886" t="s">
        <v>32</v>
      </c>
      <c r="C886" t="s">
        <v>61</v>
      </c>
      <c r="D886" t="s">
        <v>73</v>
      </c>
      <c r="E886" t="s">
        <v>38</v>
      </c>
      <c r="F886" t="s">
        <v>34</v>
      </c>
      <c r="G886" s="1">
        <v>45418</v>
      </c>
      <c r="H886" t="s">
        <v>1574</v>
      </c>
      <c r="I886">
        <v>2027032</v>
      </c>
      <c r="J886">
        <v>253379</v>
      </c>
      <c r="K886">
        <v>29236</v>
      </c>
      <c r="L886">
        <v>45801</v>
      </c>
      <c r="M886">
        <v>0.16200000000000001</v>
      </c>
      <c r="N886">
        <v>-0.501</v>
      </c>
      <c r="O886">
        <v>1</v>
      </c>
      <c r="P886" t="b">
        <f t="shared" si="27"/>
        <v>1</v>
      </c>
      <c r="Q886" t="str">
        <f t="shared" si="26"/>
        <v>Negative</v>
      </c>
    </row>
    <row r="887" spans="1:17" x14ac:dyDescent="0.3">
      <c r="A887" t="s">
        <v>1575</v>
      </c>
      <c r="B887" t="s">
        <v>27</v>
      </c>
      <c r="C887" t="s">
        <v>28</v>
      </c>
      <c r="D887" t="s">
        <v>73</v>
      </c>
      <c r="E887" t="s">
        <v>41</v>
      </c>
      <c r="F887" t="s">
        <v>55</v>
      </c>
      <c r="G887" s="1">
        <v>45484</v>
      </c>
      <c r="H887" t="s">
        <v>1576</v>
      </c>
      <c r="I887">
        <v>1404665</v>
      </c>
      <c r="J887">
        <v>280933</v>
      </c>
      <c r="K887">
        <v>29089</v>
      </c>
      <c r="L887">
        <v>40388</v>
      </c>
      <c r="M887">
        <v>0.2495</v>
      </c>
      <c r="N887">
        <v>-0.76600000000000001</v>
      </c>
      <c r="O887">
        <v>0</v>
      </c>
      <c r="P887" t="b">
        <f t="shared" si="27"/>
        <v>0</v>
      </c>
      <c r="Q887" t="str">
        <f t="shared" si="26"/>
        <v>Negative</v>
      </c>
    </row>
    <row r="888" spans="1:17" x14ac:dyDescent="0.3">
      <c r="A888" t="s">
        <v>1577</v>
      </c>
      <c r="B888" t="s">
        <v>27</v>
      </c>
      <c r="C888" t="s">
        <v>61</v>
      </c>
      <c r="D888" t="s">
        <v>33</v>
      </c>
      <c r="E888" t="s">
        <v>38</v>
      </c>
      <c r="F888" t="s">
        <v>55</v>
      </c>
      <c r="G888" s="1">
        <v>45483</v>
      </c>
      <c r="H888" t="s">
        <v>1578</v>
      </c>
      <c r="I888">
        <v>12301848</v>
      </c>
      <c r="J888">
        <v>473148</v>
      </c>
      <c r="K888">
        <v>15443</v>
      </c>
      <c r="L888">
        <v>48443</v>
      </c>
      <c r="M888">
        <v>4.3700000000000003E-2</v>
      </c>
      <c r="N888">
        <v>0.878</v>
      </c>
      <c r="O888">
        <v>1</v>
      </c>
      <c r="P888" t="b">
        <f t="shared" si="27"/>
        <v>1</v>
      </c>
      <c r="Q888" t="str">
        <f t="shared" si="26"/>
        <v>Positive</v>
      </c>
    </row>
    <row r="889" spans="1:17" x14ac:dyDescent="0.3">
      <c r="A889" t="s">
        <v>1579</v>
      </c>
      <c r="B889" t="s">
        <v>27</v>
      </c>
      <c r="C889" t="s">
        <v>17</v>
      </c>
      <c r="D889" t="s">
        <v>18</v>
      </c>
      <c r="E889" t="s">
        <v>19</v>
      </c>
      <c r="F889" t="s">
        <v>34</v>
      </c>
      <c r="G889" s="1">
        <v>45340</v>
      </c>
      <c r="H889" t="s">
        <v>1580</v>
      </c>
      <c r="I889">
        <v>10090288</v>
      </c>
      <c r="J889">
        <v>388088</v>
      </c>
      <c r="K889">
        <v>47999</v>
      </c>
      <c r="L889">
        <v>99576</v>
      </c>
      <c r="M889">
        <v>5.3100000000000001E-2</v>
      </c>
      <c r="N889">
        <v>0.25</v>
      </c>
      <c r="O889">
        <v>1</v>
      </c>
      <c r="P889" t="b">
        <f t="shared" si="27"/>
        <v>1</v>
      </c>
      <c r="Q889" t="str">
        <f t="shared" si="26"/>
        <v>Positive</v>
      </c>
    </row>
    <row r="890" spans="1:17" x14ac:dyDescent="0.3">
      <c r="A890" t="s">
        <v>1581</v>
      </c>
      <c r="B890" t="s">
        <v>27</v>
      </c>
      <c r="C890" t="s">
        <v>28</v>
      </c>
      <c r="D890" t="s">
        <v>18</v>
      </c>
      <c r="E890" t="s">
        <v>19</v>
      </c>
      <c r="F890" t="s">
        <v>20</v>
      </c>
      <c r="G890" s="1">
        <v>45463</v>
      </c>
      <c r="H890" t="s">
        <v>1582</v>
      </c>
      <c r="I890">
        <v>1774101</v>
      </c>
      <c r="J890">
        <v>84481</v>
      </c>
      <c r="K890">
        <v>41248</v>
      </c>
      <c r="L890">
        <v>62913</v>
      </c>
      <c r="M890">
        <v>0.10630000000000001</v>
      </c>
      <c r="N890">
        <v>-0.22900000000000001</v>
      </c>
      <c r="O890">
        <v>0</v>
      </c>
      <c r="P890" t="b">
        <f t="shared" si="27"/>
        <v>0</v>
      </c>
      <c r="Q890" t="str">
        <f t="shared" si="26"/>
        <v>Negative</v>
      </c>
    </row>
    <row r="891" spans="1:17" x14ac:dyDescent="0.3">
      <c r="A891" t="s">
        <v>1583</v>
      </c>
      <c r="B891" t="s">
        <v>16</v>
      </c>
      <c r="C891" t="s">
        <v>28</v>
      </c>
      <c r="D891" t="s">
        <v>54</v>
      </c>
      <c r="E891" t="s">
        <v>41</v>
      </c>
      <c r="F891" t="s">
        <v>55</v>
      </c>
      <c r="G891" s="1">
        <v>45332</v>
      </c>
      <c r="H891" t="s">
        <v>144</v>
      </c>
      <c r="I891">
        <v>2360850</v>
      </c>
      <c r="J891">
        <v>472170</v>
      </c>
      <c r="K891">
        <v>17205</v>
      </c>
      <c r="L891">
        <v>65619</v>
      </c>
      <c r="M891">
        <v>0.2351</v>
      </c>
      <c r="N891">
        <v>-0.55900000000000005</v>
      </c>
      <c r="O891">
        <v>1</v>
      </c>
      <c r="P891" t="b">
        <f t="shared" si="27"/>
        <v>1</v>
      </c>
      <c r="Q891" t="str">
        <f t="shared" si="26"/>
        <v>Negative</v>
      </c>
    </row>
    <row r="892" spans="1:17" x14ac:dyDescent="0.3">
      <c r="A892" t="s">
        <v>1584</v>
      </c>
      <c r="B892" t="s">
        <v>66</v>
      </c>
      <c r="C892" t="s">
        <v>28</v>
      </c>
      <c r="D892" t="s">
        <v>73</v>
      </c>
      <c r="E892" t="s">
        <v>19</v>
      </c>
      <c r="F892" t="s">
        <v>46</v>
      </c>
      <c r="G892" s="1">
        <v>45374</v>
      </c>
      <c r="H892" t="s">
        <v>1585</v>
      </c>
      <c r="I892">
        <v>1077608</v>
      </c>
      <c r="J892">
        <v>76972</v>
      </c>
      <c r="K892">
        <v>15601</v>
      </c>
      <c r="L892">
        <v>2094</v>
      </c>
      <c r="M892">
        <v>8.7800000000000003E-2</v>
      </c>
      <c r="N892">
        <v>0.47899999999999998</v>
      </c>
      <c r="O892">
        <v>0</v>
      </c>
      <c r="P892" t="b">
        <f t="shared" si="27"/>
        <v>0</v>
      </c>
      <c r="Q892" t="str">
        <f t="shared" si="26"/>
        <v>Positive</v>
      </c>
    </row>
    <row r="893" spans="1:17" x14ac:dyDescent="0.3">
      <c r="A893" t="s">
        <v>1586</v>
      </c>
      <c r="B893" t="s">
        <v>16</v>
      </c>
      <c r="C893" t="s">
        <v>61</v>
      </c>
      <c r="D893" t="s">
        <v>18</v>
      </c>
      <c r="E893" t="s">
        <v>51</v>
      </c>
      <c r="F893" t="s">
        <v>46</v>
      </c>
      <c r="G893" s="1">
        <v>45332</v>
      </c>
      <c r="H893" t="s">
        <v>1587</v>
      </c>
      <c r="I893">
        <v>6157725</v>
      </c>
      <c r="J893">
        <v>293225</v>
      </c>
      <c r="K893">
        <v>8372</v>
      </c>
      <c r="L893">
        <v>70822</v>
      </c>
      <c r="M893">
        <v>6.0499999999999998E-2</v>
      </c>
      <c r="N893">
        <v>-4.0000000000000001E-3</v>
      </c>
      <c r="O893">
        <v>1</v>
      </c>
      <c r="P893" t="b">
        <f t="shared" si="27"/>
        <v>1</v>
      </c>
      <c r="Q893" t="str">
        <f t="shared" si="26"/>
        <v>Negative</v>
      </c>
    </row>
    <row r="894" spans="1:17" x14ac:dyDescent="0.3">
      <c r="A894" t="s">
        <v>1588</v>
      </c>
      <c r="B894" t="s">
        <v>16</v>
      </c>
      <c r="C894" t="s">
        <v>28</v>
      </c>
      <c r="D894" t="s">
        <v>33</v>
      </c>
      <c r="E894" t="s">
        <v>41</v>
      </c>
      <c r="F894" t="s">
        <v>46</v>
      </c>
      <c r="G894" s="1">
        <v>45399</v>
      </c>
      <c r="H894" t="s">
        <v>1589</v>
      </c>
      <c r="I894">
        <v>816242</v>
      </c>
      <c r="J894">
        <v>116606</v>
      </c>
      <c r="K894">
        <v>18490</v>
      </c>
      <c r="L894">
        <v>78514</v>
      </c>
      <c r="M894">
        <v>0.26169999999999999</v>
      </c>
      <c r="N894">
        <v>0.78</v>
      </c>
      <c r="O894">
        <v>0</v>
      </c>
      <c r="P894" t="b">
        <f t="shared" si="27"/>
        <v>0</v>
      </c>
      <c r="Q894" t="str">
        <f t="shared" si="26"/>
        <v>Positive</v>
      </c>
    </row>
    <row r="895" spans="1:17" x14ac:dyDescent="0.3">
      <c r="A895" t="s">
        <v>1590</v>
      </c>
      <c r="B895" t="s">
        <v>16</v>
      </c>
      <c r="C895" t="s">
        <v>17</v>
      </c>
      <c r="D895" t="s">
        <v>18</v>
      </c>
      <c r="E895" t="s">
        <v>58</v>
      </c>
      <c r="F895" t="s">
        <v>55</v>
      </c>
      <c r="G895" s="1">
        <v>45511</v>
      </c>
      <c r="H895" t="s">
        <v>1591</v>
      </c>
      <c r="I895">
        <v>2502080</v>
      </c>
      <c r="J895">
        <v>312760</v>
      </c>
      <c r="K895">
        <v>29043</v>
      </c>
      <c r="L895">
        <v>60687</v>
      </c>
      <c r="M895">
        <v>0.16089999999999999</v>
      </c>
      <c r="N895">
        <v>-0.13100000000000001</v>
      </c>
      <c r="O895">
        <v>1</v>
      </c>
      <c r="P895" t="b">
        <f t="shared" si="27"/>
        <v>1</v>
      </c>
      <c r="Q895" t="str">
        <f t="shared" si="26"/>
        <v>Negative</v>
      </c>
    </row>
    <row r="896" spans="1:17" x14ac:dyDescent="0.3">
      <c r="A896" t="s">
        <v>1592</v>
      </c>
      <c r="B896" t="s">
        <v>16</v>
      </c>
      <c r="C896" t="s">
        <v>28</v>
      </c>
      <c r="D896" t="s">
        <v>33</v>
      </c>
      <c r="E896" t="s">
        <v>51</v>
      </c>
      <c r="F896" t="s">
        <v>20</v>
      </c>
      <c r="G896" s="1">
        <v>45322</v>
      </c>
      <c r="H896" t="s">
        <v>358</v>
      </c>
      <c r="I896">
        <v>7115472</v>
      </c>
      <c r="J896">
        <v>254124</v>
      </c>
      <c r="K896">
        <v>24478</v>
      </c>
      <c r="L896">
        <v>68499</v>
      </c>
      <c r="M896">
        <v>4.8800000000000003E-2</v>
      </c>
      <c r="N896">
        <v>-0.54200000000000004</v>
      </c>
      <c r="O896">
        <v>1</v>
      </c>
      <c r="P896" t="b">
        <f t="shared" si="27"/>
        <v>1</v>
      </c>
      <c r="Q896" t="str">
        <f t="shared" si="26"/>
        <v>Negative</v>
      </c>
    </row>
    <row r="897" spans="1:17" x14ac:dyDescent="0.3">
      <c r="A897" t="s">
        <v>1593</v>
      </c>
      <c r="B897" t="s">
        <v>66</v>
      </c>
      <c r="C897" t="s">
        <v>17</v>
      </c>
      <c r="D897" t="s">
        <v>73</v>
      </c>
      <c r="E897" t="s">
        <v>51</v>
      </c>
      <c r="F897" t="s">
        <v>24</v>
      </c>
      <c r="G897" s="1">
        <v>45621</v>
      </c>
      <c r="H897" t="s">
        <v>1594</v>
      </c>
      <c r="I897">
        <v>59332</v>
      </c>
      <c r="J897">
        <v>4238</v>
      </c>
      <c r="K897">
        <v>35197</v>
      </c>
      <c r="L897">
        <v>91177</v>
      </c>
      <c r="M897">
        <v>2.2014</v>
      </c>
      <c r="N897">
        <v>0.40200000000000002</v>
      </c>
      <c r="O897">
        <v>0</v>
      </c>
      <c r="P897" t="b">
        <f t="shared" si="27"/>
        <v>0</v>
      </c>
      <c r="Q897" t="str">
        <f t="shared" si="26"/>
        <v>Positive</v>
      </c>
    </row>
    <row r="898" spans="1:17" x14ac:dyDescent="0.3">
      <c r="A898" t="s">
        <v>1595</v>
      </c>
      <c r="B898" t="s">
        <v>66</v>
      </c>
      <c r="C898" t="s">
        <v>23</v>
      </c>
      <c r="D898" t="s">
        <v>33</v>
      </c>
      <c r="E898" t="s">
        <v>58</v>
      </c>
      <c r="F898" t="s">
        <v>46</v>
      </c>
      <c r="G898" s="1">
        <v>45348</v>
      </c>
      <c r="H898" t="s">
        <v>223</v>
      </c>
      <c r="I898">
        <v>4076688</v>
      </c>
      <c r="J898">
        <v>194128</v>
      </c>
      <c r="K898">
        <v>28332</v>
      </c>
      <c r="L898">
        <v>10279</v>
      </c>
      <c r="M898">
        <v>5.7099999999999998E-2</v>
      </c>
      <c r="N898">
        <v>0.63700000000000001</v>
      </c>
      <c r="O898">
        <v>1</v>
      </c>
      <c r="P898" t="b">
        <f t="shared" si="27"/>
        <v>1</v>
      </c>
      <c r="Q898" t="str">
        <f t="shared" ref="Q898:Q961" si="28">IF(N898&gt;0,"Positive","Negative")</f>
        <v>Positive</v>
      </c>
    </row>
    <row r="899" spans="1:17" x14ac:dyDescent="0.3">
      <c r="A899" t="s">
        <v>1596</v>
      </c>
      <c r="B899" t="s">
        <v>27</v>
      </c>
      <c r="C899" t="s">
        <v>17</v>
      </c>
      <c r="D899" t="s">
        <v>18</v>
      </c>
      <c r="E899" t="s">
        <v>19</v>
      </c>
      <c r="F899" t="s">
        <v>46</v>
      </c>
      <c r="G899" s="1">
        <v>45469</v>
      </c>
      <c r="H899" t="s">
        <v>227</v>
      </c>
      <c r="I899">
        <v>1972250</v>
      </c>
      <c r="J899">
        <v>394450</v>
      </c>
      <c r="K899">
        <v>30136</v>
      </c>
      <c r="L899">
        <v>54319</v>
      </c>
      <c r="M899">
        <v>0.24279999999999999</v>
      </c>
      <c r="N899">
        <v>-0.57099999999999995</v>
      </c>
      <c r="O899">
        <v>0</v>
      </c>
      <c r="P899" t="b">
        <f t="shared" ref="P899:P962" si="29">IF(O899=1,TRUE,FALSE)</f>
        <v>0</v>
      </c>
      <c r="Q899" t="str">
        <f t="shared" si="28"/>
        <v>Negative</v>
      </c>
    </row>
    <row r="900" spans="1:17" x14ac:dyDescent="0.3">
      <c r="A900" t="s">
        <v>1597</v>
      </c>
      <c r="B900" t="s">
        <v>66</v>
      </c>
      <c r="C900" t="s">
        <v>23</v>
      </c>
      <c r="D900" t="s">
        <v>54</v>
      </c>
      <c r="E900" t="s">
        <v>19</v>
      </c>
      <c r="F900" t="s">
        <v>24</v>
      </c>
      <c r="G900" s="1">
        <v>45614</v>
      </c>
      <c r="H900" t="s">
        <v>1598</v>
      </c>
      <c r="I900">
        <v>2803680</v>
      </c>
      <c r="J900">
        <v>233640</v>
      </c>
      <c r="K900">
        <v>5044</v>
      </c>
      <c r="L900">
        <v>21282</v>
      </c>
      <c r="M900">
        <v>9.2700000000000005E-2</v>
      </c>
      <c r="N900">
        <v>-0.28999999999999998</v>
      </c>
      <c r="O900">
        <v>1</v>
      </c>
      <c r="P900" t="b">
        <f t="shared" si="29"/>
        <v>1</v>
      </c>
      <c r="Q900" t="str">
        <f t="shared" si="28"/>
        <v>Negative</v>
      </c>
    </row>
    <row r="901" spans="1:17" x14ac:dyDescent="0.3">
      <c r="A901" t="s">
        <v>1599</v>
      </c>
      <c r="B901" t="s">
        <v>32</v>
      </c>
      <c r="C901" t="s">
        <v>17</v>
      </c>
      <c r="D901" t="s">
        <v>37</v>
      </c>
      <c r="E901" t="s">
        <v>51</v>
      </c>
      <c r="F901" t="s">
        <v>46</v>
      </c>
      <c r="G901" s="1">
        <v>45292</v>
      </c>
      <c r="H901" t="s">
        <v>1550</v>
      </c>
      <c r="I901">
        <v>1909865</v>
      </c>
      <c r="J901">
        <v>381973</v>
      </c>
      <c r="K901">
        <v>27591</v>
      </c>
      <c r="L901">
        <v>53054</v>
      </c>
      <c r="M901">
        <v>0.2422</v>
      </c>
      <c r="N901">
        <v>0.34599999999999997</v>
      </c>
      <c r="O901">
        <v>0</v>
      </c>
      <c r="P901" t="b">
        <f t="shared" si="29"/>
        <v>0</v>
      </c>
      <c r="Q901" t="str">
        <f t="shared" si="28"/>
        <v>Positive</v>
      </c>
    </row>
    <row r="902" spans="1:17" x14ac:dyDescent="0.3">
      <c r="A902" t="s">
        <v>1600</v>
      </c>
      <c r="B902" t="s">
        <v>16</v>
      </c>
      <c r="C902" t="s">
        <v>61</v>
      </c>
      <c r="D902" t="s">
        <v>73</v>
      </c>
      <c r="E902" t="s">
        <v>58</v>
      </c>
      <c r="F902" t="s">
        <v>55</v>
      </c>
      <c r="G902" s="1">
        <v>45400</v>
      </c>
      <c r="H902" t="s">
        <v>1601</v>
      </c>
      <c r="I902">
        <v>10960407</v>
      </c>
      <c r="J902">
        <v>405941</v>
      </c>
      <c r="K902">
        <v>34402</v>
      </c>
      <c r="L902">
        <v>58672</v>
      </c>
      <c r="M902">
        <v>4.5499999999999999E-2</v>
      </c>
      <c r="N902">
        <v>0.67700000000000005</v>
      </c>
      <c r="O902">
        <v>1</v>
      </c>
      <c r="P902" t="b">
        <f t="shared" si="29"/>
        <v>1</v>
      </c>
      <c r="Q902" t="str">
        <f t="shared" si="28"/>
        <v>Positive</v>
      </c>
    </row>
    <row r="903" spans="1:17" x14ac:dyDescent="0.3">
      <c r="A903" t="s">
        <v>1602</v>
      </c>
      <c r="B903" t="s">
        <v>27</v>
      </c>
      <c r="C903" t="s">
        <v>23</v>
      </c>
      <c r="D903" t="s">
        <v>54</v>
      </c>
      <c r="E903" t="s">
        <v>38</v>
      </c>
      <c r="F903" t="s">
        <v>20</v>
      </c>
      <c r="G903" s="1">
        <v>45425</v>
      </c>
      <c r="H903" t="s">
        <v>1603</v>
      </c>
      <c r="I903">
        <v>2674457</v>
      </c>
      <c r="J903">
        <v>157321</v>
      </c>
      <c r="K903">
        <v>4375</v>
      </c>
      <c r="L903">
        <v>5284</v>
      </c>
      <c r="M903">
        <v>6.2399999999999997E-2</v>
      </c>
      <c r="N903">
        <v>0.57399999999999995</v>
      </c>
      <c r="O903">
        <v>1</v>
      </c>
      <c r="P903" t="b">
        <f t="shared" si="29"/>
        <v>1</v>
      </c>
      <c r="Q903" t="str">
        <f t="shared" si="28"/>
        <v>Positive</v>
      </c>
    </row>
    <row r="904" spans="1:17" x14ac:dyDescent="0.3">
      <c r="A904" t="s">
        <v>1604</v>
      </c>
      <c r="B904" t="s">
        <v>16</v>
      </c>
      <c r="C904" t="s">
        <v>17</v>
      </c>
      <c r="D904" t="s">
        <v>73</v>
      </c>
      <c r="E904" t="s">
        <v>58</v>
      </c>
      <c r="F904" t="s">
        <v>20</v>
      </c>
      <c r="G904" s="1">
        <v>45573</v>
      </c>
      <c r="H904" t="s">
        <v>78</v>
      </c>
      <c r="I904">
        <v>2347390</v>
      </c>
      <c r="J904">
        <v>469478</v>
      </c>
      <c r="K904">
        <v>34766</v>
      </c>
      <c r="L904">
        <v>870</v>
      </c>
      <c r="M904">
        <v>0.2152</v>
      </c>
      <c r="N904">
        <v>-0.49299999999999999</v>
      </c>
      <c r="O904">
        <v>1</v>
      </c>
      <c r="P904" t="b">
        <f t="shared" si="29"/>
        <v>1</v>
      </c>
      <c r="Q904" t="str">
        <f t="shared" si="28"/>
        <v>Negative</v>
      </c>
    </row>
    <row r="905" spans="1:17" x14ac:dyDescent="0.3">
      <c r="A905" t="s">
        <v>1605</v>
      </c>
      <c r="B905" t="s">
        <v>16</v>
      </c>
      <c r="C905" t="s">
        <v>28</v>
      </c>
      <c r="D905" t="s">
        <v>29</v>
      </c>
      <c r="E905" t="s">
        <v>41</v>
      </c>
      <c r="F905" t="s">
        <v>24</v>
      </c>
      <c r="G905" s="1">
        <v>45475</v>
      </c>
      <c r="H905" t="s">
        <v>1606</v>
      </c>
      <c r="I905">
        <v>10944274</v>
      </c>
      <c r="J905">
        <v>475838</v>
      </c>
      <c r="K905">
        <v>44786</v>
      </c>
      <c r="L905">
        <v>96008</v>
      </c>
      <c r="M905">
        <v>5.6300000000000003E-2</v>
      </c>
      <c r="N905">
        <v>0.54100000000000004</v>
      </c>
      <c r="O905">
        <v>1</v>
      </c>
      <c r="P905" t="b">
        <f t="shared" si="29"/>
        <v>1</v>
      </c>
      <c r="Q905" t="str">
        <f t="shared" si="28"/>
        <v>Positive</v>
      </c>
    </row>
    <row r="906" spans="1:17" x14ac:dyDescent="0.3">
      <c r="A906" t="s">
        <v>1607</v>
      </c>
      <c r="B906" t="s">
        <v>27</v>
      </c>
      <c r="C906" t="s">
        <v>17</v>
      </c>
      <c r="D906" t="s">
        <v>54</v>
      </c>
      <c r="E906" t="s">
        <v>51</v>
      </c>
      <c r="F906" t="s">
        <v>20</v>
      </c>
      <c r="G906" s="1">
        <v>45595</v>
      </c>
      <c r="H906" t="s">
        <v>44</v>
      </c>
      <c r="I906">
        <v>233480</v>
      </c>
      <c r="J906">
        <v>23348</v>
      </c>
      <c r="K906">
        <v>23629</v>
      </c>
      <c r="L906">
        <v>43517</v>
      </c>
      <c r="M906">
        <v>0.3876</v>
      </c>
      <c r="N906">
        <v>0.59899999999999998</v>
      </c>
      <c r="O906">
        <v>0</v>
      </c>
      <c r="P906" t="b">
        <f t="shared" si="29"/>
        <v>0</v>
      </c>
      <c r="Q906" t="str">
        <f t="shared" si="28"/>
        <v>Positive</v>
      </c>
    </row>
    <row r="907" spans="1:17" x14ac:dyDescent="0.3">
      <c r="A907" t="s">
        <v>1608</v>
      </c>
      <c r="B907" t="s">
        <v>66</v>
      </c>
      <c r="C907" t="s">
        <v>61</v>
      </c>
      <c r="D907" t="s">
        <v>37</v>
      </c>
      <c r="E907" t="s">
        <v>19</v>
      </c>
      <c r="F907" t="s">
        <v>20</v>
      </c>
      <c r="G907" s="1">
        <v>45426</v>
      </c>
      <c r="H907" t="s">
        <v>78</v>
      </c>
      <c r="I907">
        <v>2377650</v>
      </c>
      <c r="J907">
        <v>475530</v>
      </c>
      <c r="K907">
        <v>38261</v>
      </c>
      <c r="L907">
        <v>85948</v>
      </c>
      <c r="M907">
        <v>0.25219999999999998</v>
      </c>
      <c r="N907">
        <v>0.79100000000000004</v>
      </c>
      <c r="O907">
        <v>1</v>
      </c>
      <c r="P907" t="b">
        <f t="shared" si="29"/>
        <v>1</v>
      </c>
      <c r="Q907" t="str">
        <f t="shared" si="28"/>
        <v>Positive</v>
      </c>
    </row>
    <row r="908" spans="1:17" x14ac:dyDescent="0.3">
      <c r="A908" t="s">
        <v>1609</v>
      </c>
      <c r="B908" t="s">
        <v>66</v>
      </c>
      <c r="C908" t="s">
        <v>28</v>
      </c>
      <c r="D908" t="s">
        <v>18</v>
      </c>
      <c r="E908" t="s">
        <v>58</v>
      </c>
      <c r="F908" t="s">
        <v>34</v>
      </c>
      <c r="G908" s="1">
        <v>45574</v>
      </c>
      <c r="H908" t="s">
        <v>1610</v>
      </c>
      <c r="I908">
        <v>8722700</v>
      </c>
      <c r="J908">
        <v>348908</v>
      </c>
      <c r="K908">
        <v>18262</v>
      </c>
      <c r="L908">
        <v>12856</v>
      </c>
      <c r="M908">
        <v>4.36E-2</v>
      </c>
      <c r="N908">
        <v>-0.17699999999999999</v>
      </c>
      <c r="O908">
        <v>1</v>
      </c>
      <c r="P908" t="b">
        <f t="shared" si="29"/>
        <v>1</v>
      </c>
      <c r="Q908" t="str">
        <f t="shared" si="28"/>
        <v>Negative</v>
      </c>
    </row>
    <row r="909" spans="1:17" x14ac:dyDescent="0.3">
      <c r="A909" t="s">
        <v>1611</v>
      </c>
      <c r="B909" t="s">
        <v>27</v>
      </c>
      <c r="C909" t="s">
        <v>28</v>
      </c>
      <c r="D909" t="s">
        <v>33</v>
      </c>
      <c r="E909" t="s">
        <v>41</v>
      </c>
      <c r="F909" t="s">
        <v>20</v>
      </c>
      <c r="G909" s="1">
        <v>45561</v>
      </c>
      <c r="H909" t="s">
        <v>757</v>
      </c>
      <c r="I909">
        <v>2822690</v>
      </c>
      <c r="J909">
        <v>282269</v>
      </c>
      <c r="K909">
        <v>4463</v>
      </c>
      <c r="L909">
        <v>63611</v>
      </c>
      <c r="M909">
        <v>0.1241</v>
      </c>
      <c r="N909">
        <v>-0.14499999999999999</v>
      </c>
      <c r="O909">
        <v>1</v>
      </c>
      <c r="P909" t="b">
        <f t="shared" si="29"/>
        <v>1</v>
      </c>
      <c r="Q909" t="str">
        <f t="shared" si="28"/>
        <v>Negative</v>
      </c>
    </row>
    <row r="910" spans="1:17" x14ac:dyDescent="0.3">
      <c r="A910" t="s">
        <v>1612</v>
      </c>
      <c r="B910" t="s">
        <v>16</v>
      </c>
      <c r="C910" t="s">
        <v>61</v>
      </c>
      <c r="D910" t="s">
        <v>29</v>
      </c>
      <c r="E910" t="s">
        <v>51</v>
      </c>
      <c r="F910" t="s">
        <v>46</v>
      </c>
      <c r="G910" s="1">
        <v>45342</v>
      </c>
      <c r="H910" t="s">
        <v>1613</v>
      </c>
      <c r="I910">
        <v>1571391</v>
      </c>
      <c r="J910">
        <v>174599</v>
      </c>
      <c r="K910">
        <v>28278</v>
      </c>
      <c r="L910">
        <v>38507</v>
      </c>
      <c r="M910">
        <v>0.15359999999999999</v>
      </c>
      <c r="N910">
        <v>0.56799999999999995</v>
      </c>
      <c r="O910">
        <v>0</v>
      </c>
      <c r="P910" t="b">
        <f t="shared" si="29"/>
        <v>0</v>
      </c>
      <c r="Q910" t="str">
        <f t="shared" si="28"/>
        <v>Positive</v>
      </c>
    </row>
    <row r="911" spans="1:17" x14ac:dyDescent="0.3">
      <c r="A911" t="s">
        <v>1614</v>
      </c>
      <c r="B911" t="s">
        <v>66</v>
      </c>
      <c r="C911" t="s">
        <v>23</v>
      </c>
      <c r="D911" t="s">
        <v>54</v>
      </c>
      <c r="E911" t="s">
        <v>19</v>
      </c>
      <c r="F911" t="s">
        <v>55</v>
      </c>
      <c r="G911" s="1">
        <v>45320</v>
      </c>
      <c r="H911" t="s">
        <v>1615</v>
      </c>
      <c r="I911">
        <v>8722402</v>
      </c>
      <c r="J911">
        <v>335477</v>
      </c>
      <c r="K911">
        <v>24422</v>
      </c>
      <c r="L911">
        <v>81983</v>
      </c>
      <c r="M911">
        <v>5.0700000000000002E-2</v>
      </c>
      <c r="N911">
        <v>0.56999999999999995</v>
      </c>
      <c r="O911">
        <v>1</v>
      </c>
      <c r="P911" t="b">
        <f t="shared" si="29"/>
        <v>1</v>
      </c>
      <c r="Q911" t="str">
        <f t="shared" si="28"/>
        <v>Positive</v>
      </c>
    </row>
    <row r="912" spans="1:17" x14ac:dyDescent="0.3">
      <c r="A912" t="s">
        <v>1616</v>
      </c>
      <c r="B912" t="s">
        <v>27</v>
      </c>
      <c r="C912" t="s">
        <v>23</v>
      </c>
      <c r="D912" t="s">
        <v>18</v>
      </c>
      <c r="E912" t="s">
        <v>19</v>
      </c>
      <c r="F912" t="s">
        <v>55</v>
      </c>
      <c r="G912" s="1">
        <v>45566</v>
      </c>
      <c r="H912" t="s">
        <v>1617</v>
      </c>
      <c r="I912">
        <v>3111144</v>
      </c>
      <c r="J912">
        <v>388893</v>
      </c>
      <c r="K912">
        <v>7357</v>
      </c>
      <c r="L912">
        <v>79053</v>
      </c>
      <c r="M912">
        <v>0.15279999999999999</v>
      </c>
      <c r="N912">
        <v>0.18</v>
      </c>
      <c r="O912">
        <v>1</v>
      </c>
      <c r="P912" t="b">
        <f t="shared" si="29"/>
        <v>1</v>
      </c>
      <c r="Q912" t="str">
        <f t="shared" si="28"/>
        <v>Positive</v>
      </c>
    </row>
    <row r="913" spans="1:17" x14ac:dyDescent="0.3">
      <c r="A913" t="s">
        <v>1618</v>
      </c>
      <c r="B913" t="s">
        <v>32</v>
      </c>
      <c r="C913" t="s">
        <v>17</v>
      </c>
      <c r="D913" t="s">
        <v>33</v>
      </c>
      <c r="E913" t="s">
        <v>38</v>
      </c>
      <c r="F913" t="s">
        <v>46</v>
      </c>
      <c r="G913" s="1">
        <v>45539</v>
      </c>
      <c r="H913" t="s">
        <v>1619</v>
      </c>
      <c r="I913">
        <v>4478916</v>
      </c>
      <c r="J913">
        <v>172266</v>
      </c>
      <c r="K913">
        <v>36417</v>
      </c>
      <c r="L913">
        <v>54123</v>
      </c>
      <c r="M913">
        <v>5.8700000000000002E-2</v>
      </c>
      <c r="N913">
        <v>-0.94299999999999995</v>
      </c>
      <c r="O913">
        <v>1</v>
      </c>
      <c r="P913" t="b">
        <f t="shared" si="29"/>
        <v>1</v>
      </c>
      <c r="Q913" t="str">
        <f t="shared" si="28"/>
        <v>Negative</v>
      </c>
    </row>
    <row r="914" spans="1:17" x14ac:dyDescent="0.3">
      <c r="A914" t="s">
        <v>1620</v>
      </c>
      <c r="B914" t="s">
        <v>16</v>
      </c>
      <c r="C914" t="s">
        <v>61</v>
      </c>
      <c r="D914" t="s">
        <v>29</v>
      </c>
      <c r="E914" t="s">
        <v>38</v>
      </c>
      <c r="F914" t="s">
        <v>46</v>
      </c>
      <c r="G914" s="1">
        <v>45339</v>
      </c>
      <c r="H914" t="s">
        <v>607</v>
      </c>
      <c r="I914">
        <v>7936677</v>
      </c>
      <c r="J914">
        <v>293951</v>
      </c>
      <c r="K914">
        <v>3283</v>
      </c>
      <c r="L914">
        <v>7297</v>
      </c>
      <c r="M914">
        <v>3.8399999999999997E-2</v>
      </c>
      <c r="N914">
        <v>0.42599999999999999</v>
      </c>
      <c r="O914">
        <v>1</v>
      </c>
      <c r="P914" t="b">
        <f t="shared" si="29"/>
        <v>1</v>
      </c>
      <c r="Q914" t="str">
        <f t="shared" si="28"/>
        <v>Positive</v>
      </c>
    </row>
    <row r="915" spans="1:17" x14ac:dyDescent="0.3">
      <c r="A915" t="s">
        <v>1621</v>
      </c>
      <c r="B915" t="s">
        <v>27</v>
      </c>
      <c r="C915" t="s">
        <v>28</v>
      </c>
      <c r="D915" t="s">
        <v>18</v>
      </c>
      <c r="E915" t="s">
        <v>41</v>
      </c>
      <c r="F915" t="s">
        <v>55</v>
      </c>
      <c r="G915" s="1">
        <v>45564</v>
      </c>
      <c r="H915" t="s">
        <v>1622</v>
      </c>
      <c r="I915">
        <v>768090</v>
      </c>
      <c r="J915">
        <v>76809</v>
      </c>
      <c r="K915">
        <v>30454</v>
      </c>
      <c r="L915">
        <v>56705</v>
      </c>
      <c r="M915">
        <v>0.2135</v>
      </c>
      <c r="N915">
        <v>-0.68100000000000005</v>
      </c>
      <c r="O915">
        <v>0</v>
      </c>
      <c r="P915" t="b">
        <f t="shared" si="29"/>
        <v>0</v>
      </c>
      <c r="Q915" t="str">
        <f t="shared" si="28"/>
        <v>Negative</v>
      </c>
    </row>
    <row r="916" spans="1:17" x14ac:dyDescent="0.3">
      <c r="A916" t="s">
        <v>1623</v>
      </c>
      <c r="B916" t="s">
        <v>32</v>
      </c>
      <c r="C916" t="s">
        <v>61</v>
      </c>
      <c r="D916" t="s">
        <v>37</v>
      </c>
      <c r="E916" t="s">
        <v>41</v>
      </c>
      <c r="F916" t="s">
        <v>20</v>
      </c>
      <c r="G916" s="1">
        <v>45385</v>
      </c>
      <c r="H916" t="s">
        <v>554</v>
      </c>
      <c r="I916">
        <v>6683675</v>
      </c>
      <c r="J916">
        <v>267347</v>
      </c>
      <c r="K916">
        <v>25505</v>
      </c>
      <c r="L916">
        <v>35530</v>
      </c>
      <c r="M916">
        <v>4.9099999999999998E-2</v>
      </c>
      <c r="N916">
        <v>0.49399999999999999</v>
      </c>
      <c r="O916">
        <v>1</v>
      </c>
      <c r="P916" t="b">
        <f t="shared" si="29"/>
        <v>1</v>
      </c>
      <c r="Q916" t="str">
        <f t="shared" si="28"/>
        <v>Positive</v>
      </c>
    </row>
    <row r="917" spans="1:17" x14ac:dyDescent="0.3">
      <c r="A917" t="s">
        <v>1624</v>
      </c>
      <c r="B917" t="s">
        <v>32</v>
      </c>
      <c r="C917" t="s">
        <v>28</v>
      </c>
      <c r="D917" t="s">
        <v>54</v>
      </c>
      <c r="E917" t="s">
        <v>41</v>
      </c>
      <c r="F917" t="s">
        <v>34</v>
      </c>
      <c r="G917" s="1">
        <v>45584</v>
      </c>
      <c r="H917" t="s">
        <v>1119</v>
      </c>
      <c r="I917">
        <v>10986384</v>
      </c>
      <c r="J917">
        <v>457766</v>
      </c>
      <c r="K917">
        <v>35441</v>
      </c>
      <c r="L917">
        <v>47407</v>
      </c>
      <c r="M917">
        <v>4.9200000000000001E-2</v>
      </c>
      <c r="N917">
        <v>-0.108</v>
      </c>
      <c r="O917">
        <v>1</v>
      </c>
      <c r="P917" t="b">
        <f t="shared" si="29"/>
        <v>1</v>
      </c>
      <c r="Q917" t="str">
        <f t="shared" si="28"/>
        <v>Negative</v>
      </c>
    </row>
    <row r="918" spans="1:17" x14ac:dyDescent="0.3">
      <c r="A918" t="s">
        <v>1625</v>
      </c>
      <c r="B918" t="s">
        <v>16</v>
      </c>
      <c r="C918" t="s">
        <v>17</v>
      </c>
      <c r="D918" t="s">
        <v>33</v>
      </c>
      <c r="E918" t="s">
        <v>38</v>
      </c>
      <c r="F918" t="s">
        <v>46</v>
      </c>
      <c r="G918" s="1">
        <v>45373</v>
      </c>
      <c r="H918" t="s">
        <v>434</v>
      </c>
      <c r="I918">
        <v>4014704</v>
      </c>
      <c r="J918">
        <v>250919</v>
      </c>
      <c r="K918">
        <v>12361</v>
      </c>
      <c r="L918">
        <v>98500</v>
      </c>
      <c r="M918">
        <v>9.01E-2</v>
      </c>
      <c r="N918">
        <v>-0.5</v>
      </c>
      <c r="O918">
        <v>1</v>
      </c>
      <c r="P918" t="b">
        <f t="shared" si="29"/>
        <v>1</v>
      </c>
      <c r="Q918" t="str">
        <f t="shared" si="28"/>
        <v>Negative</v>
      </c>
    </row>
    <row r="919" spans="1:17" x14ac:dyDescent="0.3">
      <c r="A919" t="s">
        <v>1626</v>
      </c>
      <c r="B919" t="s">
        <v>66</v>
      </c>
      <c r="C919" t="s">
        <v>28</v>
      </c>
      <c r="D919" t="s">
        <v>29</v>
      </c>
      <c r="E919" t="s">
        <v>19</v>
      </c>
      <c r="F919" t="s">
        <v>55</v>
      </c>
      <c r="G919" s="1">
        <v>45431</v>
      </c>
      <c r="H919" t="s">
        <v>692</v>
      </c>
      <c r="I919">
        <v>14087823</v>
      </c>
      <c r="J919">
        <v>485787</v>
      </c>
      <c r="K919">
        <v>21230</v>
      </c>
      <c r="L919">
        <v>3607</v>
      </c>
      <c r="M919">
        <v>3.6200000000000003E-2</v>
      </c>
      <c r="N919">
        <v>-0.28599999999999998</v>
      </c>
      <c r="O919">
        <v>1</v>
      </c>
      <c r="P919" t="b">
        <f t="shared" si="29"/>
        <v>1</v>
      </c>
      <c r="Q919" t="str">
        <f t="shared" si="28"/>
        <v>Negative</v>
      </c>
    </row>
    <row r="920" spans="1:17" x14ac:dyDescent="0.3">
      <c r="A920" t="s">
        <v>1627</v>
      </c>
      <c r="B920" t="s">
        <v>16</v>
      </c>
      <c r="C920" t="s">
        <v>17</v>
      </c>
      <c r="D920" t="s">
        <v>18</v>
      </c>
      <c r="E920" t="s">
        <v>19</v>
      </c>
      <c r="F920" t="s">
        <v>55</v>
      </c>
      <c r="G920" s="1">
        <v>45366</v>
      </c>
      <c r="H920" t="s">
        <v>1628</v>
      </c>
      <c r="I920">
        <v>3538360</v>
      </c>
      <c r="J920">
        <v>126370</v>
      </c>
      <c r="K920">
        <v>26494</v>
      </c>
      <c r="L920">
        <v>14388</v>
      </c>
      <c r="M920">
        <v>4.7300000000000002E-2</v>
      </c>
      <c r="N920">
        <v>0.57899999999999996</v>
      </c>
      <c r="O920">
        <v>1</v>
      </c>
      <c r="P920" t="b">
        <f t="shared" si="29"/>
        <v>1</v>
      </c>
      <c r="Q920" t="str">
        <f t="shared" si="28"/>
        <v>Positive</v>
      </c>
    </row>
    <row r="921" spans="1:17" x14ac:dyDescent="0.3">
      <c r="A921" t="s">
        <v>1629</v>
      </c>
      <c r="B921" t="s">
        <v>27</v>
      </c>
      <c r="C921" t="s">
        <v>28</v>
      </c>
      <c r="D921" t="s">
        <v>73</v>
      </c>
      <c r="E921" t="s">
        <v>38</v>
      </c>
      <c r="F921" t="s">
        <v>20</v>
      </c>
      <c r="G921" s="1">
        <v>45444</v>
      </c>
      <c r="H921" t="s">
        <v>76</v>
      </c>
      <c r="I921">
        <v>6563646</v>
      </c>
      <c r="J921">
        <v>243098</v>
      </c>
      <c r="K921">
        <v>46898</v>
      </c>
      <c r="L921">
        <v>2592</v>
      </c>
      <c r="M921">
        <v>4.4600000000000001E-2</v>
      </c>
      <c r="N921">
        <v>0.90600000000000003</v>
      </c>
      <c r="O921">
        <v>1</v>
      </c>
      <c r="P921" t="b">
        <f t="shared" si="29"/>
        <v>1</v>
      </c>
      <c r="Q921" t="str">
        <f t="shared" si="28"/>
        <v>Positive</v>
      </c>
    </row>
    <row r="922" spans="1:17" x14ac:dyDescent="0.3">
      <c r="A922" t="s">
        <v>1630</v>
      </c>
      <c r="B922" t="s">
        <v>66</v>
      </c>
      <c r="C922" t="s">
        <v>28</v>
      </c>
      <c r="D922" t="s">
        <v>18</v>
      </c>
      <c r="E922" t="s">
        <v>19</v>
      </c>
      <c r="F922" t="s">
        <v>46</v>
      </c>
      <c r="G922" s="1">
        <v>45583</v>
      </c>
      <c r="H922" t="s">
        <v>597</v>
      </c>
      <c r="I922">
        <v>4954978</v>
      </c>
      <c r="J922">
        <v>353927</v>
      </c>
      <c r="K922">
        <v>38894</v>
      </c>
      <c r="L922">
        <v>66737</v>
      </c>
      <c r="M922">
        <v>9.2700000000000005E-2</v>
      </c>
      <c r="N922">
        <v>-0.45700000000000002</v>
      </c>
      <c r="O922">
        <v>1</v>
      </c>
      <c r="P922" t="b">
        <f t="shared" si="29"/>
        <v>1</v>
      </c>
      <c r="Q922" t="str">
        <f t="shared" si="28"/>
        <v>Negative</v>
      </c>
    </row>
    <row r="923" spans="1:17" x14ac:dyDescent="0.3">
      <c r="A923" t="s">
        <v>1631</v>
      </c>
      <c r="B923" t="s">
        <v>16</v>
      </c>
      <c r="C923" t="s">
        <v>23</v>
      </c>
      <c r="D923" t="s">
        <v>33</v>
      </c>
      <c r="E923" t="s">
        <v>41</v>
      </c>
      <c r="F923" t="s">
        <v>20</v>
      </c>
      <c r="G923" s="1">
        <v>45540</v>
      </c>
      <c r="H923" t="s">
        <v>1632</v>
      </c>
      <c r="I923">
        <v>10110075</v>
      </c>
      <c r="J923">
        <v>404403</v>
      </c>
      <c r="K923">
        <v>30821</v>
      </c>
      <c r="L923">
        <v>23409</v>
      </c>
      <c r="M923">
        <v>4.5400000000000003E-2</v>
      </c>
      <c r="N923">
        <v>0.80700000000000005</v>
      </c>
      <c r="O923">
        <v>1</v>
      </c>
      <c r="P923" t="b">
        <f t="shared" si="29"/>
        <v>1</v>
      </c>
      <c r="Q923" t="str">
        <f t="shared" si="28"/>
        <v>Positive</v>
      </c>
    </row>
    <row r="924" spans="1:17" x14ac:dyDescent="0.3">
      <c r="A924" t="s">
        <v>1633</v>
      </c>
      <c r="B924" t="s">
        <v>27</v>
      </c>
      <c r="C924" t="s">
        <v>61</v>
      </c>
      <c r="D924" t="s">
        <v>33</v>
      </c>
      <c r="E924" t="s">
        <v>58</v>
      </c>
      <c r="F924" t="s">
        <v>46</v>
      </c>
      <c r="G924" s="1">
        <v>45600</v>
      </c>
      <c r="H924" t="s">
        <v>1634</v>
      </c>
      <c r="I924">
        <v>122591</v>
      </c>
      <c r="J924">
        <v>17513</v>
      </c>
      <c r="K924">
        <v>48119</v>
      </c>
      <c r="L924">
        <v>59501</v>
      </c>
      <c r="M924">
        <v>1.0206999999999999</v>
      </c>
      <c r="N924">
        <v>-0.30199999999999999</v>
      </c>
      <c r="O924">
        <v>0</v>
      </c>
      <c r="P924" t="b">
        <f t="shared" si="29"/>
        <v>0</v>
      </c>
      <c r="Q924" t="str">
        <f t="shared" si="28"/>
        <v>Negative</v>
      </c>
    </row>
    <row r="925" spans="1:17" x14ac:dyDescent="0.3">
      <c r="A925" t="s">
        <v>1635</v>
      </c>
      <c r="B925" t="s">
        <v>27</v>
      </c>
      <c r="C925" t="s">
        <v>17</v>
      </c>
      <c r="D925" t="s">
        <v>54</v>
      </c>
      <c r="E925" t="s">
        <v>41</v>
      </c>
      <c r="F925" t="s">
        <v>34</v>
      </c>
      <c r="G925" s="1">
        <v>45474</v>
      </c>
      <c r="H925" t="s">
        <v>1427</v>
      </c>
      <c r="I925">
        <v>6917288</v>
      </c>
      <c r="J925">
        <v>494092</v>
      </c>
      <c r="K925">
        <v>27258</v>
      </c>
      <c r="L925">
        <v>92421</v>
      </c>
      <c r="M925">
        <v>8.8700000000000001E-2</v>
      </c>
      <c r="N925">
        <v>0.76900000000000002</v>
      </c>
      <c r="O925">
        <v>1</v>
      </c>
      <c r="P925" t="b">
        <f t="shared" si="29"/>
        <v>1</v>
      </c>
      <c r="Q925" t="str">
        <f t="shared" si="28"/>
        <v>Positive</v>
      </c>
    </row>
    <row r="926" spans="1:17" x14ac:dyDescent="0.3">
      <c r="A926" t="s">
        <v>1636</v>
      </c>
      <c r="B926" t="s">
        <v>16</v>
      </c>
      <c r="C926" t="s">
        <v>28</v>
      </c>
      <c r="D926" t="s">
        <v>54</v>
      </c>
      <c r="E926" t="s">
        <v>51</v>
      </c>
      <c r="F926" t="s">
        <v>24</v>
      </c>
      <c r="G926" s="1">
        <v>45504</v>
      </c>
      <c r="H926" t="s">
        <v>1637</v>
      </c>
      <c r="I926">
        <v>6835155</v>
      </c>
      <c r="J926">
        <v>235695</v>
      </c>
      <c r="K926">
        <v>24532</v>
      </c>
      <c r="L926">
        <v>16323</v>
      </c>
      <c r="M926">
        <v>4.0500000000000001E-2</v>
      </c>
      <c r="N926">
        <v>-0.97299999999999998</v>
      </c>
      <c r="O926">
        <v>1</v>
      </c>
      <c r="P926" t="b">
        <f t="shared" si="29"/>
        <v>1</v>
      </c>
      <c r="Q926" t="str">
        <f t="shared" si="28"/>
        <v>Negative</v>
      </c>
    </row>
    <row r="927" spans="1:17" x14ac:dyDescent="0.3">
      <c r="A927" t="s">
        <v>1638</v>
      </c>
      <c r="B927" t="s">
        <v>27</v>
      </c>
      <c r="C927" t="s">
        <v>17</v>
      </c>
      <c r="D927" t="s">
        <v>29</v>
      </c>
      <c r="E927" t="s">
        <v>19</v>
      </c>
      <c r="F927" t="s">
        <v>24</v>
      </c>
      <c r="G927" s="1">
        <v>45461</v>
      </c>
      <c r="H927" t="s">
        <v>1639</v>
      </c>
      <c r="I927">
        <v>1719180</v>
      </c>
      <c r="J927">
        <v>191020</v>
      </c>
      <c r="K927">
        <v>46369</v>
      </c>
      <c r="L927">
        <v>93423</v>
      </c>
      <c r="M927">
        <v>0.19239999999999999</v>
      </c>
      <c r="N927">
        <v>-0.17799999999999999</v>
      </c>
      <c r="O927">
        <v>0</v>
      </c>
      <c r="P927" t="b">
        <f t="shared" si="29"/>
        <v>0</v>
      </c>
      <c r="Q927" t="str">
        <f t="shared" si="28"/>
        <v>Negative</v>
      </c>
    </row>
    <row r="928" spans="1:17" x14ac:dyDescent="0.3">
      <c r="A928" t="s">
        <v>1640</v>
      </c>
      <c r="B928" t="s">
        <v>16</v>
      </c>
      <c r="C928" t="s">
        <v>61</v>
      </c>
      <c r="D928" t="s">
        <v>73</v>
      </c>
      <c r="E928" t="s">
        <v>19</v>
      </c>
      <c r="F928" t="s">
        <v>46</v>
      </c>
      <c r="G928" s="1">
        <v>45639</v>
      </c>
      <c r="H928" t="s">
        <v>1641</v>
      </c>
      <c r="I928">
        <v>442681</v>
      </c>
      <c r="J928">
        <v>23299</v>
      </c>
      <c r="K928">
        <v>44594</v>
      </c>
      <c r="L928">
        <v>32116</v>
      </c>
      <c r="M928">
        <v>0.22589999999999999</v>
      </c>
      <c r="N928">
        <v>-2.1000000000000001E-2</v>
      </c>
      <c r="O928">
        <v>0</v>
      </c>
      <c r="P928" t="b">
        <f t="shared" si="29"/>
        <v>0</v>
      </c>
      <c r="Q928" t="str">
        <f t="shared" si="28"/>
        <v>Negative</v>
      </c>
    </row>
    <row r="929" spans="1:17" x14ac:dyDescent="0.3">
      <c r="A929" t="s">
        <v>1642</v>
      </c>
      <c r="B929" t="s">
        <v>16</v>
      </c>
      <c r="C929" t="s">
        <v>23</v>
      </c>
      <c r="D929" t="s">
        <v>29</v>
      </c>
      <c r="E929" t="s">
        <v>38</v>
      </c>
      <c r="F929" t="s">
        <v>20</v>
      </c>
      <c r="G929" s="1">
        <v>45559</v>
      </c>
      <c r="H929" t="s">
        <v>1643</v>
      </c>
      <c r="I929">
        <v>4637200</v>
      </c>
      <c r="J929">
        <v>185488</v>
      </c>
      <c r="K929">
        <v>5525</v>
      </c>
      <c r="L929">
        <v>36456</v>
      </c>
      <c r="M929">
        <v>4.9099999999999998E-2</v>
      </c>
      <c r="N929">
        <v>0.437</v>
      </c>
      <c r="O929">
        <v>1</v>
      </c>
      <c r="P929" t="b">
        <f t="shared" si="29"/>
        <v>1</v>
      </c>
      <c r="Q929" t="str">
        <f t="shared" si="28"/>
        <v>Positive</v>
      </c>
    </row>
    <row r="930" spans="1:17" x14ac:dyDescent="0.3">
      <c r="A930" t="s">
        <v>1644</v>
      </c>
      <c r="B930" t="s">
        <v>27</v>
      </c>
      <c r="C930" t="s">
        <v>23</v>
      </c>
      <c r="D930" t="s">
        <v>54</v>
      </c>
      <c r="E930" t="s">
        <v>58</v>
      </c>
      <c r="F930" t="s">
        <v>55</v>
      </c>
      <c r="G930" s="1">
        <v>45476</v>
      </c>
      <c r="H930" t="s">
        <v>82</v>
      </c>
      <c r="I930">
        <v>11307946</v>
      </c>
      <c r="J930">
        <v>434921</v>
      </c>
      <c r="K930">
        <v>14960</v>
      </c>
      <c r="L930">
        <v>44050</v>
      </c>
      <c r="M930">
        <v>4.3700000000000003E-2</v>
      </c>
      <c r="N930">
        <v>8.3000000000000004E-2</v>
      </c>
      <c r="O930">
        <v>1</v>
      </c>
      <c r="P930" t="b">
        <f t="shared" si="29"/>
        <v>1</v>
      </c>
      <c r="Q930" t="str">
        <f t="shared" si="28"/>
        <v>Positive</v>
      </c>
    </row>
    <row r="931" spans="1:17" x14ac:dyDescent="0.3">
      <c r="A931" t="s">
        <v>1645</v>
      </c>
      <c r="B931" t="s">
        <v>16</v>
      </c>
      <c r="C931" t="s">
        <v>17</v>
      </c>
      <c r="D931" t="s">
        <v>37</v>
      </c>
      <c r="E931" t="s">
        <v>19</v>
      </c>
      <c r="F931" t="s">
        <v>34</v>
      </c>
      <c r="G931" s="1">
        <v>45395</v>
      </c>
      <c r="H931" t="s">
        <v>1646</v>
      </c>
      <c r="I931">
        <v>975375</v>
      </c>
      <c r="J931">
        <v>65025</v>
      </c>
      <c r="K931">
        <v>41685</v>
      </c>
      <c r="L931">
        <v>70270</v>
      </c>
      <c r="M931">
        <v>0.18140000000000001</v>
      </c>
      <c r="N931">
        <v>0.46500000000000002</v>
      </c>
      <c r="O931">
        <v>0</v>
      </c>
      <c r="P931" t="b">
        <f t="shared" si="29"/>
        <v>0</v>
      </c>
      <c r="Q931" t="str">
        <f t="shared" si="28"/>
        <v>Positive</v>
      </c>
    </row>
    <row r="932" spans="1:17" x14ac:dyDescent="0.3">
      <c r="A932" t="s">
        <v>1647</v>
      </c>
      <c r="B932" t="s">
        <v>32</v>
      </c>
      <c r="C932" t="s">
        <v>61</v>
      </c>
      <c r="D932" t="s">
        <v>73</v>
      </c>
      <c r="E932" t="s">
        <v>51</v>
      </c>
      <c r="F932" t="s">
        <v>20</v>
      </c>
      <c r="G932" s="1">
        <v>45532</v>
      </c>
      <c r="H932" t="s">
        <v>669</v>
      </c>
      <c r="I932">
        <v>4251828</v>
      </c>
      <c r="J932">
        <v>303702</v>
      </c>
      <c r="K932">
        <v>23506</v>
      </c>
      <c r="L932">
        <v>21114</v>
      </c>
      <c r="M932">
        <v>8.1900000000000001E-2</v>
      </c>
      <c r="N932">
        <v>0.26900000000000002</v>
      </c>
      <c r="O932">
        <v>1</v>
      </c>
      <c r="P932" t="b">
        <f t="shared" si="29"/>
        <v>1</v>
      </c>
      <c r="Q932" t="str">
        <f t="shared" si="28"/>
        <v>Positive</v>
      </c>
    </row>
    <row r="933" spans="1:17" x14ac:dyDescent="0.3">
      <c r="A933" t="s">
        <v>1648</v>
      </c>
      <c r="B933" t="s">
        <v>32</v>
      </c>
      <c r="C933" t="s">
        <v>17</v>
      </c>
      <c r="D933" t="s">
        <v>37</v>
      </c>
      <c r="E933" t="s">
        <v>41</v>
      </c>
      <c r="F933" t="s">
        <v>20</v>
      </c>
      <c r="G933" s="1">
        <v>45567</v>
      </c>
      <c r="H933" t="s">
        <v>1053</v>
      </c>
      <c r="I933">
        <v>6286046</v>
      </c>
      <c r="J933">
        <v>483542</v>
      </c>
      <c r="K933">
        <v>43944</v>
      </c>
      <c r="L933">
        <v>29346</v>
      </c>
      <c r="M933">
        <v>8.8599999999999998E-2</v>
      </c>
      <c r="N933">
        <v>-0.57599999999999996</v>
      </c>
      <c r="O933">
        <v>1</v>
      </c>
      <c r="P933" t="b">
        <f t="shared" si="29"/>
        <v>1</v>
      </c>
      <c r="Q933" t="str">
        <f t="shared" si="28"/>
        <v>Negative</v>
      </c>
    </row>
    <row r="934" spans="1:17" x14ac:dyDescent="0.3">
      <c r="A934" t="s">
        <v>1649</v>
      </c>
      <c r="B934" t="s">
        <v>16</v>
      </c>
      <c r="C934" t="s">
        <v>23</v>
      </c>
      <c r="D934" t="s">
        <v>37</v>
      </c>
      <c r="E934" t="s">
        <v>58</v>
      </c>
      <c r="F934" t="s">
        <v>24</v>
      </c>
      <c r="G934" s="1">
        <v>45314</v>
      </c>
      <c r="H934" t="s">
        <v>1211</v>
      </c>
      <c r="I934">
        <v>9986860</v>
      </c>
      <c r="J934">
        <v>384110</v>
      </c>
      <c r="K934">
        <v>26834</v>
      </c>
      <c r="L934">
        <v>69167</v>
      </c>
      <c r="M934">
        <v>4.8099999999999997E-2</v>
      </c>
      <c r="N934">
        <v>-0.46500000000000002</v>
      </c>
      <c r="O934">
        <v>1</v>
      </c>
      <c r="P934" t="b">
        <f t="shared" si="29"/>
        <v>1</v>
      </c>
      <c r="Q934" t="str">
        <f t="shared" si="28"/>
        <v>Negative</v>
      </c>
    </row>
    <row r="935" spans="1:17" x14ac:dyDescent="0.3">
      <c r="A935" t="s">
        <v>1650</v>
      </c>
      <c r="B935" t="s">
        <v>66</v>
      </c>
      <c r="C935" t="s">
        <v>28</v>
      </c>
      <c r="D935" t="s">
        <v>33</v>
      </c>
      <c r="E935" t="s">
        <v>58</v>
      </c>
      <c r="F935" t="s">
        <v>55</v>
      </c>
      <c r="G935" s="1">
        <v>45546</v>
      </c>
      <c r="H935" t="s">
        <v>1651</v>
      </c>
      <c r="I935">
        <v>12335036</v>
      </c>
      <c r="J935">
        <v>440537</v>
      </c>
      <c r="K935">
        <v>44947</v>
      </c>
      <c r="L935">
        <v>3454</v>
      </c>
      <c r="M935">
        <v>3.9600000000000003E-2</v>
      </c>
      <c r="N935">
        <v>0.23300000000000001</v>
      </c>
      <c r="O935">
        <v>1</v>
      </c>
      <c r="P935" t="b">
        <f t="shared" si="29"/>
        <v>1</v>
      </c>
      <c r="Q935" t="str">
        <f t="shared" si="28"/>
        <v>Positive</v>
      </c>
    </row>
    <row r="936" spans="1:17" x14ac:dyDescent="0.3">
      <c r="A936" t="s">
        <v>1652</v>
      </c>
      <c r="B936" t="s">
        <v>27</v>
      </c>
      <c r="C936" t="s">
        <v>17</v>
      </c>
      <c r="D936" t="s">
        <v>54</v>
      </c>
      <c r="E936" t="s">
        <v>58</v>
      </c>
      <c r="F936" t="s">
        <v>55</v>
      </c>
      <c r="G936" s="1">
        <v>45472</v>
      </c>
      <c r="H936" t="s">
        <v>1653</v>
      </c>
      <c r="I936">
        <v>2486240</v>
      </c>
      <c r="J936">
        <v>497248</v>
      </c>
      <c r="K936">
        <v>8333</v>
      </c>
      <c r="L936">
        <v>15535</v>
      </c>
      <c r="M936">
        <v>0.20960000000000001</v>
      </c>
      <c r="N936">
        <v>-0.14199999999999999</v>
      </c>
      <c r="O936">
        <v>1</v>
      </c>
      <c r="P936" t="b">
        <f t="shared" si="29"/>
        <v>1</v>
      </c>
      <c r="Q936" t="str">
        <f t="shared" si="28"/>
        <v>Negative</v>
      </c>
    </row>
    <row r="937" spans="1:17" x14ac:dyDescent="0.3">
      <c r="A937" t="s">
        <v>1654</v>
      </c>
      <c r="B937" t="s">
        <v>27</v>
      </c>
      <c r="C937" t="s">
        <v>17</v>
      </c>
      <c r="D937" t="s">
        <v>73</v>
      </c>
      <c r="E937" t="s">
        <v>41</v>
      </c>
      <c r="F937" t="s">
        <v>34</v>
      </c>
      <c r="G937" s="1">
        <v>45303</v>
      </c>
      <c r="H937" t="s">
        <v>78</v>
      </c>
      <c r="I937">
        <v>591240</v>
      </c>
      <c r="J937">
        <v>49270</v>
      </c>
      <c r="K937">
        <v>35015</v>
      </c>
      <c r="L937">
        <v>80202</v>
      </c>
      <c r="M937">
        <v>0.2782</v>
      </c>
      <c r="N937">
        <v>0.40400000000000003</v>
      </c>
      <c r="O937">
        <v>0</v>
      </c>
      <c r="P937" t="b">
        <f t="shared" si="29"/>
        <v>0</v>
      </c>
      <c r="Q937" t="str">
        <f t="shared" si="28"/>
        <v>Positive</v>
      </c>
    </row>
    <row r="938" spans="1:17" x14ac:dyDescent="0.3">
      <c r="A938" t="s">
        <v>1655</v>
      </c>
      <c r="B938" t="s">
        <v>66</v>
      </c>
      <c r="C938" t="s">
        <v>17</v>
      </c>
      <c r="D938" t="s">
        <v>73</v>
      </c>
      <c r="E938" t="s">
        <v>41</v>
      </c>
      <c r="F938" t="s">
        <v>46</v>
      </c>
      <c r="G938" s="1">
        <v>45605</v>
      </c>
      <c r="H938" t="s">
        <v>1656</v>
      </c>
      <c r="I938">
        <v>1625304</v>
      </c>
      <c r="J938">
        <v>270884</v>
      </c>
      <c r="K938">
        <v>34721</v>
      </c>
      <c r="L938">
        <v>91058</v>
      </c>
      <c r="M938">
        <v>0.24410000000000001</v>
      </c>
      <c r="N938">
        <v>-0.17599999999999999</v>
      </c>
      <c r="O938">
        <v>0</v>
      </c>
      <c r="P938" t="b">
        <f t="shared" si="29"/>
        <v>0</v>
      </c>
      <c r="Q938" t="str">
        <f t="shared" si="28"/>
        <v>Negative</v>
      </c>
    </row>
    <row r="939" spans="1:17" x14ac:dyDescent="0.3">
      <c r="A939" t="s">
        <v>1657</v>
      </c>
      <c r="B939" t="s">
        <v>27</v>
      </c>
      <c r="C939" t="s">
        <v>23</v>
      </c>
      <c r="D939" t="s">
        <v>54</v>
      </c>
      <c r="E939" t="s">
        <v>19</v>
      </c>
      <c r="F939" t="s">
        <v>55</v>
      </c>
      <c r="G939" s="1">
        <v>45625</v>
      </c>
      <c r="H939" t="s">
        <v>252</v>
      </c>
      <c r="I939">
        <v>3744500</v>
      </c>
      <c r="J939">
        <v>187225</v>
      </c>
      <c r="K939">
        <v>1925</v>
      </c>
      <c r="L939">
        <v>43938</v>
      </c>
      <c r="M939">
        <v>6.2199999999999998E-2</v>
      </c>
      <c r="N939">
        <v>0.89</v>
      </c>
      <c r="O939">
        <v>1</v>
      </c>
      <c r="P939" t="b">
        <f t="shared" si="29"/>
        <v>1</v>
      </c>
      <c r="Q939" t="str">
        <f t="shared" si="28"/>
        <v>Positive</v>
      </c>
    </row>
    <row r="940" spans="1:17" x14ac:dyDescent="0.3">
      <c r="A940" t="s">
        <v>1658</v>
      </c>
      <c r="B940" t="s">
        <v>32</v>
      </c>
      <c r="C940" t="s">
        <v>28</v>
      </c>
      <c r="D940" t="s">
        <v>29</v>
      </c>
      <c r="E940" t="s">
        <v>38</v>
      </c>
      <c r="F940" t="s">
        <v>46</v>
      </c>
      <c r="G940" s="1">
        <v>45343</v>
      </c>
      <c r="H940" t="s">
        <v>1576</v>
      </c>
      <c r="I940">
        <v>4445265</v>
      </c>
      <c r="J940">
        <v>404115</v>
      </c>
      <c r="K940">
        <v>5557</v>
      </c>
      <c r="L940">
        <v>28917</v>
      </c>
      <c r="M940">
        <v>9.8699999999999996E-2</v>
      </c>
      <c r="N940">
        <v>-0.71399999999999997</v>
      </c>
      <c r="O940">
        <v>1</v>
      </c>
      <c r="P940" t="b">
        <f t="shared" si="29"/>
        <v>1</v>
      </c>
      <c r="Q940" t="str">
        <f t="shared" si="28"/>
        <v>Negative</v>
      </c>
    </row>
    <row r="941" spans="1:17" x14ac:dyDescent="0.3">
      <c r="A941" t="s">
        <v>1659</v>
      </c>
      <c r="B941" t="s">
        <v>16</v>
      </c>
      <c r="C941" t="s">
        <v>17</v>
      </c>
      <c r="D941" t="s">
        <v>18</v>
      </c>
      <c r="E941" t="s">
        <v>19</v>
      </c>
      <c r="F941" t="s">
        <v>24</v>
      </c>
      <c r="G941" s="1">
        <v>45648</v>
      </c>
      <c r="H941" t="s">
        <v>1455</v>
      </c>
      <c r="I941">
        <v>4166989</v>
      </c>
      <c r="J941">
        <v>245117</v>
      </c>
      <c r="K941">
        <v>6165</v>
      </c>
      <c r="L941">
        <v>61511</v>
      </c>
      <c r="M941">
        <v>7.51E-2</v>
      </c>
      <c r="N941">
        <v>-0.216</v>
      </c>
      <c r="O941">
        <v>1</v>
      </c>
      <c r="P941" t="b">
        <f t="shared" si="29"/>
        <v>1</v>
      </c>
      <c r="Q941" t="str">
        <f t="shared" si="28"/>
        <v>Negative</v>
      </c>
    </row>
    <row r="942" spans="1:17" x14ac:dyDescent="0.3">
      <c r="A942" t="s">
        <v>1660</v>
      </c>
      <c r="B942" t="s">
        <v>16</v>
      </c>
      <c r="C942" t="s">
        <v>61</v>
      </c>
      <c r="D942" t="s">
        <v>33</v>
      </c>
      <c r="E942" t="s">
        <v>41</v>
      </c>
      <c r="F942" t="s">
        <v>55</v>
      </c>
      <c r="G942" s="1">
        <v>45394</v>
      </c>
      <c r="H942" t="s">
        <v>263</v>
      </c>
      <c r="I942">
        <v>4051236</v>
      </c>
      <c r="J942">
        <v>192916</v>
      </c>
      <c r="K942">
        <v>15815</v>
      </c>
      <c r="L942">
        <v>5127</v>
      </c>
      <c r="M942">
        <v>5.28E-2</v>
      </c>
      <c r="N942">
        <v>0.90300000000000002</v>
      </c>
      <c r="O942">
        <v>1</v>
      </c>
      <c r="P942" t="b">
        <f t="shared" si="29"/>
        <v>1</v>
      </c>
      <c r="Q942" t="str">
        <f t="shared" si="28"/>
        <v>Positive</v>
      </c>
    </row>
    <row r="943" spans="1:17" x14ac:dyDescent="0.3">
      <c r="A943" t="s">
        <v>1661</v>
      </c>
      <c r="B943" t="s">
        <v>32</v>
      </c>
      <c r="C943" t="s">
        <v>28</v>
      </c>
      <c r="D943" t="s">
        <v>29</v>
      </c>
      <c r="E943" t="s">
        <v>38</v>
      </c>
      <c r="F943" t="s">
        <v>46</v>
      </c>
      <c r="G943" s="1">
        <v>45467</v>
      </c>
      <c r="H943" t="s">
        <v>1662</v>
      </c>
      <c r="I943">
        <v>4380</v>
      </c>
      <c r="J943">
        <v>292</v>
      </c>
      <c r="K943">
        <v>36418</v>
      </c>
      <c r="L943">
        <v>12817</v>
      </c>
      <c r="M943">
        <v>11.307499999999999</v>
      </c>
      <c r="N943">
        <v>-0.86199999999999999</v>
      </c>
      <c r="O943">
        <v>0</v>
      </c>
      <c r="P943" t="b">
        <f t="shared" si="29"/>
        <v>0</v>
      </c>
      <c r="Q943" t="str">
        <f t="shared" si="28"/>
        <v>Negative</v>
      </c>
    </row>
    <row r="944" spans="1:17" x14ac:dyDescent="0.3">
      <c r="A944" t="s">
        <v>1663</v>
      </c>
      <c r="B944" t="s">
        <v>32</v>
      </c>
      <c r="C944" t="s">
        <v>23</v>
      </c>
      <c r="D944" t="s">
        <v>29</v>
      </c>
      <c r="E944" t="s">
        <v>51</v>
      </c>
      <c r="F944" t="s">
        <v>20</v>
      </c>
      <c r="G944" s="1">
        <v>45469</v>
      </c>
      <c r="H944" t="s">
        <v>187</v>
      </c>
      <c r="I944">
        <v>1276000</v>
      </c>
      <c r="J944">
        <v>51040</v>
      </c>
      <c r="K944">
        <v>32135</v>
      </c>
      <c r="L944">
        <v>40143</v>
      </c>
      <c r="M944">
        <v>9.6600000000000005E-2</v>
      </c>
      <c r="N944">
        <v>-0.55600000000000005</v>
      </c>
      <c r="O944">
        <v>0</v>
      </c>
      <c r="P944" t="b">
        <f t="shared" si="29"/>
        <v>0</v>
      </c>
      <c r="Q944" t="str">
        <f t="shared" si="28"/>
        <v>Negative</v>
      </c>
    </row>
    <row r="945" spans="1:17" x14ac:dyDescent="0.3">
      <c r="A945" t="s">
        <v>1664</v>
      </c>
      <c r="B945" t="s">
        <v>32</v>
      </c>
      <c r="C945" t="s">
        <v>28</v>
      </c>
      <c r="D945" t="s">
        <v>54</v>
      </c>
      <c r="E945" t="s">
        <v>38</v>
      </c>
      <c r="F945" t="s">
        <v>46</v>
      </c>
      <c r="G945" s="1">
        <v>45607</v>
      </c>
      <c r="H945" t="s">
        <v>1665</v>
      </c>
      <c r="I945">
        <v>5193001</v>
      </c>
      <c r="J945">
        <v>179069</v>
      </c>
      <c r="K945">
        <v>30080</v>
      </c>
      <c r="L945">
        <v>9360</v>
      </c>
      <c r="M945">
        <v>4.2099999999999999E-2</v>
      </c>
      <c r="N945">
        <v>0.46300000000000002</v>
      </c>
      <c r="O945">
        <v>1</v>
      </c>
      <c r="P945" t="b">
        <f t="shared" si="29"/>
        <v>1</v>
      </c>
      <c r="Q945" t="str">
        <f t="shared" si="28"/>
        <v>Positive</v>
      </c>
    </row>
    <row r="946" spans="1:17" x14ac:dyDescent="0.3">
      <c r="A946" t="s">
        <v>1666</v>
      </c>
      <c r="B946" t="s">
        <v>32</v>
      </c>
      <c r="C946" t="s">
        <v>28</v>
      </c>
      <c r="D946" t="s">
        <v>54</v>
      </c>
      <c r="E946" t="s">
        <v>58</v>
      </c>
      <c r="F946" t="s">
        <v>55</v>
      </c>
      <c r="G946" s="1">
        <v>45606</v>
      </c>
      <c r="H946" t="s">
        <v>358</v>
      </c>
      <c r="I946">
        <v>548028</v>
      </c>
      <c r="J946">
        <v>42156</v>
      </c>
      <c r="K946">
        <v>33277</v>
      </c>
      <c r="L946">
        <v>14672</v>
      </c>
      <c r="M946">
        <v>0.16439999999999999</v>
      </c>
      <c r="N946">
        <v>-0.03</v>
      </c>
      <c r="O946">
        <v>0</v>
      </c>
      <c r="P946" t="b">
        <f t="shared" si="29"/>
        <v>0</v>
      </c>
      <c r="Q946" t="str">
        <f t="shared" si="28"/>
        <v>Negative</v>
      </c>
    </row>
    <row r="947" spans="1:17" x14ac:dyDescent="0.3">
      <c r="A947" t="s">
        <v>1667</v>
      </c>
      <c r="B947" t="s">
        <v>16</v>
      </c>
      <c r="C947" t="s">
        <v>23</v>
      </c>
      <c r="D947" t="s">
        <v>29</v>
      </c>
      <c r="E947" t="s">
        <v>19</v>
      </c>
      <c r="F947" t="s">
        <v>24</v>
      </c>
      <c r="G947" s="1">
        <v>45578</v>
      </c>
      <c r="H947" t="s">
        <v>1518</v>
      </c>
      <c r="I947">
        <v>792972</v>
      </c>
      <c r="J947">
        <v>44054</v>
      </c>
      <c r="K947">
        <v>6778</v>
      </c>
      <c r="L947">
        <v>95431</v>
      </c>
      <c r="M947">
        <v>0.18440000000000001</v>
      </c>
      <c r="N947">
        <v>2.1000000000000001E-2</v>
      </c>
      <c r="O947">
        <v>0</v>
      </c>
      <c r="P947" t="b">
        <f t="shared" si="29"/>
        <v>0</v>
      </c>
      <c r="Q947" t="str">
        <f t="shared" si="28"/>
        <v>Positive</v>
      </c>
    </row>
    <row r="948" spans="1:17" x14ac:dyDescent="0.3">
      <c r="A948" t="s">
        <v>1668</v>
      </c>
      <c r="B948" t="s">
        <v>16</v>
      </c>
      <c r="C948" t="s">
        <v>17</v>
      </c>
      <c r="D948" t="s">
        <v>73</v>
      </c>
      <c r="E948" t="s">
        <v>41</v>
      </c>
      <c r="F948" t="s">
        <v>34</v>
      </c>
      <c r="G948" s="1">
        <v>45492</v>
      </c>
      <c r="H948" t="s">
        <v>597</v>
      </c>
      <c r="I948">
        <v>3438658</v>
      </c>
      <c r="J948">
        <v>180982</v>
      </c>
      <c r="K948">
        <v>37830</v>
      </c>
      <c r="L948">
        <v>94637</v>
      </c>
      <c r="M948">
        <v>9.1200000000000003E-2</v>
      </c>
      <c r="N948">
        <v>-6.7000000000000004E-2</v>
      </c>
      <c r="O948">
        <v>1</v>
      </c>
      <c r="P948" t="b">
        <f t="shared" si="29"/>
        <v>1</v>
      </c>
      <c r="Q948" t="str">
        <f t="shared" si="28"/>
        <v>Negative</v>
      </c>
    </row>
    <row r="949" spans="1:17" x14ac:dyDescent="0.3">
      <c r="A949" t="s">
        <v>1669</v>
      </c>
      <c r="B949" t="s">
        <v>27</v>
      </c>
      <c r="C949" t="s">
        <v>28</v>
      </c>
      <c r="D949" t="s">
        <v>54</v>
      </c>
      <c r="E949" t="s">
        <v>38</v>
      </c>
      <c r="F949" t="s">
        <v>24</v>
      </c>
      <c r="G949" s="1">
        <v>45514</v>
      </c>
      <c r="H949" t="s">
        <v>1670</v>
      </c>
      <c r="I949">
        <v>2012600</v>
      </c>
      <c r="J949">
        <v>69400</v>
      </c>
      <c r="K949">
        <v>43954</v>
      </c>
      <c r="L949">
        <v>37406</v>
      </c>
      <c r="M949">
        <v>7.4899999999999994E-2</v>
      </c>
      <c r="N949">
        <v>0.60699999999999998</v>
      </c>
      <c r="O949">
        <v>1</v>
      </c>
      <c r="P949" t="b">
        <f t="shared" si="29"/>
        <v>1</v>
      </c>
      <c r="Q949" t="str">
        <f t="shared" si="28"/>
        <v>Positive</v>
      </c>
    </row>
    <row r="950" spans="1:17" x14ac:dyDescent="0.3">
      <c r="A950" t="s">
        <v>1671</v>
      </c>
      <c r="B950" t="s">
        <v>27</v>
      </c>
      <c r="C950" t="s">
        <v>23</v>
      </c>
      <c r="D950" t="s">
        <v>33</v>
      </c>
      <c r="E950" t="s">
        <v>19</v>
      </c>
      <c r="F950" t="s">
        <v>34</v>
      </c>
      <c r="G950" s="1">
        <v>45399</v>
      </c>
      <c r="H950" t="s">
        <v>447</v>
      </c>
      <c r="I950">
        <v>2095368</v>
      </c>
      <c r="J950">
        <v>174614</v>
      </c>
      <c r="K950">
        <v>41158</v>
      </c>
      <c r="L950">
        <v>77536</v>
      </c>
      <c r="M950">
        <v>0.14000000000000001</v>
      </c>
      <c r="N950">
        <v>0.755</v>
      </c>
      <c r="O950">
        <v>1</v>
      </c>
      <c r="P950" t="b">
        <f t="shared" si="29"/>
        <v>1</v>
      </c>
      <c r="Q950" t="str">
        <f t="shared" si="28"/>
        <v>Positive</v>
      </c>
    </row>
    <row r="951" spans="1:17" x14ac:dyDescent="0.3">
      <c r="A951" t="s">
        <v>1672</v>
      </c>
      <c r="B951" t="s">
        <v>32</v>
      </c>
      <c r="C951" t="s">
        <v>23</v>
      </c>
      <c r="D951" t="s">
        <v>37</v>
      </c>
      <c r="E951" t="s">
        <v>51</v>
      </c>
      <c r="F951" t="s">
        <v>34</v>
      </c>
      <c r="G951" s="1">
        <v>45428</v>
      </c>
      <c r="H951" t="s">
        <v>134</v>
      </c>
      <c r="I951">
        <v>34356</v>
      </c>
      <c r="J951">
        <v>2863</v>
      </c>
      <c r="K951">
        <v>27379</v>
      </c>
      <c r="L951">
        <v>55481</v>
      </c>
      <c r="M951">
        <v>2.4950999999999999</v>
      </c>
      <c r="N951">
        <v>0.93600000000000005</v>
      </c>
      <c r="O951">
        <v>0</v>
      </c>
      <c r="P951" t="b">
        <f t="shared" si="29"/>
        <v>0</v>
      </c>
      <c r="Q951" t="str">
        <f t="shared" si="28"/>
        <v>Positive</v>
      </c>
    </row>
    <row r="952" spans="1:17" x14ac:dyDescent="0.3">
      <c r="A952" t="s">
        <v>1673</v>
      </c>
      <c r="B952" t="s">
        <v>32</v>
      </c>
      <c r="C952" t="s">
        <v>28</v>
      </c>
      <c r="D952" t="s">
        <v>33</v>
      </c>
      <c r="E952" t="s">
        <v>38</v>
      </c>
      <c r="F952" t="s">
        <v>34</v>
      </c>
      <c r="G952" s="1">
        <v>45550</v>
      </c>
      <c r="H952" t="s">
        <v>187</v>
      </c>
      <c r="I952">
        <v>3286059</v>
      </c>
      <c r="J952">
        <v>156479</v>
      </c>
      <c r="K952">
        <v>30840</v>
      </c>
      <c r="L952">
        <v>11065</v>
      </c>
      <c r="M952">
        <v>6.0400000000000002E-2</v>
      </c>
      <c r="N952">
        <v>-0.85199999999999998</v>
      </c>
      <c r="O952">
        <v>1</v>
      </c>
      <c r="P952" t="b">
        <f t="shared" si="29"/>
        <v>1</v>
      </c>
      <c r="Q952" t="str">
        <f t="shared" si="28"/>
        <v>Negative</v>
      </c>
    </row>
    <row r="953" spans="1:17" x14ac:dyDescent="0.3">
      <c r="A953" t="s">
        <v>1674</v>
      </c>
      <c r="B953" t="s">
        <v>27</v>
      </c>
      <c r="C953" t="s">
        <v>61</v>
      </c>
      <c r="D953" t="s">
        <v>33</v>
      </c>
      <c r="E953" t="s">
        <v>38</v>
      </c>
      <c r="F953" t="s">
        <v>55</v>
      </c>
      <c r="G953" s="1">
        <v>45504</v>
      </c>
      <c r="H953" t="s">
        <v>1675</v>
      </c>
      <c r="I953">
        <v>11472578</v>
      </c>
      <c r="J953">
        <v>441253</v>
      </c>
      <c r="K953">
        <v>6481</v>
      </c>
      <c r="L953">
        <v>51757</v>
      </c>
      <c r="M953">
        <v>4.3499999999999997E-2</v>
      </c>
      <c r="N953">
        <v>-0.13300000000000001</v>
      </c>
      <c r="O953">
        <v>1</v>
      </c>
      <c r="P953" t="b">
        <f t="shared" si="29"/>
        <v>1</v>
      </c>
      <c r="Q953" t="str">
        <f t="shared" si="28"/>
        <v>Negative</v>
      </c>
    </row>
    <row r="954" spans="1:17" x14ac:dyDescent="0.3">
      <c r="A954" t="s">
        <v>1676</v>
      </c>
      <c r="B954" t="s">
        <v>27</v>
      </c>
      <c r="C954" t="s">
        <v>17</v>
      </c>
      <c r="D954" t="s">
        <v>33</v>
      </c>
      <c r="E954" t="s">
        <v>38</v>
      </c>
      <c r="F954" t="s">
        <v>34</v>
      </c>
      <c r="G954" s="1">
        <v>45502</v>
      </c>
      <c r="H954" t="s">
        <v>1677</v>
      </c>
      <c r="I954">
        <v>6738410</v>
      </c>
      <c r="J954">
        <v>481315</v>
      </c>
      <c r="K954">
        <v>45281</v>
      </c>
      <c r="L954">
        <v>33403</v>
      </c>
      <c r="M954">
        <v>8.3099999999999993E-2</v>
      </c>
      <c r="N954">
        <v>-0.35799999999999998</v>
      </c>
      <c r="O954">
        <v>1</v>
      </c>
      <c r="P954" t="b">
        <f t="shared" si="29"/>
        <v>1</v>
      </c>
      <c r="Q954" t="str">
        <f t="shared" si="28"/>
        <v>Negative</v>
      </c>
    </row>
    <row r="955" spans="1:17" x14ac:dyDescent="0.3">
      <c r="A955" t="s">
        <v>1678</v>
      </c>
      <c r="B955" t="s">
        <v>32</v>
      </c>
      <c r="C955" t="s">
        <v>23</v>
      </c>
      <c r="D955" t="s">
        <v>29</v>
      </c>
      <c r="E955" t="s">
        <v>19</v>
      </c>
      <c r="F955" t="s">
        <v>34</v>
      </c>
      <c r="G955" s="1">
        <v>45641</v>
      </c>
      <c r="H955" t="s">
        <v>122</v>
      </c>
      <c r="I955">
        <v>957576</v>
      </c>
      <c r="J955">
        <v>79798</v>
      </c>
      <c r="K955">
        <v>49159</v>
      </c>
      <c r="L955">
        <v>73934</v>
      </c>
      <c r="M955">
        <v>0.21190000000000001</v>
      </c>
      <c r="N955">
        <v>-0.86299999999999999</v>
      </c>
      <c r="O955">
        <v>0</v>
      </c>
      <c r="P955" t="b">
        <f t="shared" si="29"/>
        <v>0</v>
      </c>
      <c r="Q955" t="str">
        <f t="shared" si="28"/>
        <v>Negative</v>
      </c>
    </row>
    <row r="956" spans="1:17" x14ac:dyDescent="0.3">
      <c r="A956" t="s">
        <v>1679</v>
      </c>
      <c r="B956" t="s">
        <v>66</v>
      </c>
      <c r="C956" t="s">
        <v>17</v>
      </c>
      <c r="D956" t="s">
        <v>33</v>
      </c>
      <c r="E956" t="s">
        <v>58</v>
      </c>
      <c r="F956" t="s">
        <v>46</v>
      </c>
      <c r="G956" s="1">
        <v>45580</v>
      </c>
      <c r="H956" t="s">
        <v>1680</v>
      </c>
      <c r="I956">
        <v>6946584</v>
      </c>
      <c r="J956">
        <v>289441</v>
      </c>
      <c r="K956">
        <v>22015</v>
      </c>
      <c r="L956">
        <v>24124</v>
      </c>
      <c r="M956">
        <v>4.8300000000000003E-2</v>
      </c>
      <c r="N956">
        <v>-0.90900000000000003</v>
      </c>
      <c r="O956">
        <v>1</v>
      </c>
      <c r="P956" t="b">
        <f t="shared" si="29"/>
        <v>1</v>
      </c>
      <c r="Q956" t="str">
        <f t="shared" si="28"/>
        <v>Negative</v>
      </c>
    </row>
    <row r="957" spans="1:17" x14ac:dyDescent="0.3">
      <c r="A957" t="s">
        <v>1681</v>
      </c>
      <c r="B957" t="s">
        <v>16</v>
      </c>
      <c r="C957" t="s">
        <v>17</v>
      </c>
      <c r="D957" t="s">
        <v>18</v>
      </c>
      <c r="E957" t="s">
        <v>41</v>
      </c>
      <c r="F957" t="s">
        <v>55</v>
      </c>
      <c r="G957" s="1">
        <v>45410</v>
      </c>
      <c r="H957" t="s">
        <v>610</v>
      </c>
      <c r="I957">
        <v>5891550</v>
      </c>
      <c r="J957">
        <v>392770</v>
      </c>
      <c r="K957">
        <v>43631</v>
      </c>
      <c r="L957">
        <v>8027</v>
      </c>
      <c r="M957">
        <v>7.5399999999999995E-2</v>
      </c>
      <c r="N957">
        <v>0.66300000000000003</v>
      </c>
      <c r="O957">
        <v>1</v>
      </c>
      <c r="P957" t="b">
        <f t="shared" si="29"/>
        <v>1</v>
      </c>
      <c r="Q957" t="str">
        <f t="shared" si="28"/>
        <v>Positive</v>
      </c>
    </row>
    <row r="958" spans="1:17" x14ac:dyDescent="0.3">
      <c r="A958" t="s">
        <v>1682</v>
      </c>
      <c r="B958" t="s">
        <v>27</v>
      </c>
      <c r="C958" t="s">
        <v>23</v>
      </c>
      <c r="D958" t="s">
        <v>18</v>
      </c>
      <c r="E958" t="s">
        <v>51</v>
      </c>
      <c r="F958" t="s">
        <v>46</v>
      </c>
      <c r="G958" s="1">
        <v>45543</v>
      </c>
      <c r="H958" t="s">
        <v>1067</v>
      </c>
      <c r="I958">
        <v>1040466</v>
      </c>
      <c r="J958">
        <v>173411</v>
      </c>
      <c r="K958">
        <v>47669</v>
      </c>
      <c r="L958">
        <v>48009</v>
      </c>
      <c r="M958">
        <v>0.2586</v>
      </c>
      <c r="N958">
        <v>0.54600000000000004</v>
      </c>
      <c r="O958">
        <v>0</v>
      </c>
      <c r="P958" t="b">
        <f t="shared" si="29"/>
        <v>0</v>
      </c>
      <c r="Q958" t="str">
        <f t="shared" si="28"/>
        <v>Positive</v>
      </c>
    </row>
    <row r="959" spans="1:17" x14ac:dyDescent="0.3">
      <c r="A959" t="s">
        <v>1683</v>
      </c>
      <c r="B959" t="s">
        <v>16</v>
      </c>
      <c r="C959" t="s">
        <v>61</v>
      </c>
      <c r="D959" t="s">
        <v>33</v>
      </c>
      <c r="E959" t="s">
        <v>38</v>
      </c>
      <c r="F959" t="s">
        <v>24</v>
      </c>
      <c r="G959" s="1">
        <v>45638</v>
      </c>
      <c r="H959" t="s">
        <v>1684</v>
      </c>
      <c r="I959">
        <v>4089432</v>
      </c>
      <c r="J959">
        <v>340786</v>
      </c>
      <c r="K959">
        <v>48541</v>
      </c>
      <c r="L959">
        <v>92068</v>
      </c>
      <c r="M959">
        <v>0.1177</v>
      </c>
      <c r="N959">
        <v>-0.14799999999999999</v>
      </c>
      <c r="O959">
        <v>1</v>
      </c>
      <c r="P959" t="b">
        <f t="shared" si="29"/>
        <v>1</v>
      </c>
      <c r="Q959" t="str">
        <f t="shared" si="28"/>
        <v>Negative</v>
      </c>
    </row>
    <row r="960" spans="1:17" x14ac:dyDescent="0.3">
      <c r="A960" t="s">
        <v>1685</v>
      </c>
      <c r="B960" t="s">
        <v>16</v>
      </c>
      <c r="C960" t="s">
        <v>23</v>
      </c>
      <c r="D960" t="s">
        <v>29</v>
      </c>
      <c r="E960" t="s">
        <v>41</v>
      </c>
      <c r="F960" t="s">
        <v>46</v>
      </c>
      <c r="G960" s="1">
        <v>45474</v>
      </c>
      <c r="H960" t="s">
        <v>1686</v>
      </c>
      <c r="I960">
        <v>4289389</v>
      </c>
      <c r="J960">
        <v>252317</v>
      </c>
      <c r="K960">
        <v>34665</v>
      </c>
      <c r="L960">
        <v>68976</v>
      </c>
      <c r="M960">
        <v>8.3000000000000004E-2</v>
      </c>
      <c r="N960">
        <v>-0.3</v>
      </c>
      <c r="O960">
        <v>1</v>
      </c>
      <c r="P960" t="b">
        <f t="shared" si="29"/>
        <v>1</v>
      </c>
      <c r="Q960" t="str">
        <f t="shared" si="28"/>
        <v>Negative</v>
      </c>
    </row>
    <row r="961" spans="1:17" x14ac:dyDescent="0.3">
      <c r="A961" t="s">
        <v>1687</v>
      </c>
      <c r="B961" t="s">
        <v>16</v>
      </c>
      <c r="C961" t="s">
        <v>17</v>
      </c>
      <c r="D961" t="s">
        <v>73</v>
      </c>
      <c r="E961" t="s">
        <v>51</v>
      </c>
      <c r="F961" t="s">
        <v>55</v>
      </c>
      <c r="G961" s="1">
        <v>45422</v>
      </c>
      <c r="H961" t="s">
        <v>1688</v>
      </c>
      <c r="I961">
        <v>9495423</v>
      </c>
      <c r="J961">
        <v>452163</v>
      </c>
      <c r="K961">
        <v>11582</v>
      </c>
      <c r="L961">
        <v>77300</v>
      </c>
      <c r="M961">
        <v>5.7000000000000002E-2</v>
      </c>
      <c r="N961">
        <v>-0.97099999999999997</v>
      </c>
      <c r="O961">
        <v>1</v>
      </c>
      <c r="P961" t="b">
        <f t="shared" si="29"/>
        <v>1</v>
      </c>
      <c r="Q961" t="str">
        <f t="shared" si="28"/>
        <v>Negative</v>
      </c>
    </row>
    <row r="962" spans="1:17" x14ac:dyDescent="0.3">
      <c r="A962" t="s">
        <v>1689</v>
      </c>
      <c r="B962" t="s">
        <v>66</v>
      </c>
      <c r="C962" t="s">
        <v>17</v>
      </c>
      <c r="D962" t="s">
        <v>18</v>
      </c>
      <c r="E962" t="s">
        <v>19</v>
      </c>
      <c r="F962" t="s">
        <v>46</v>
      </c>
      <c r="G962" s="1">
        <v>45561</v>
      </c>
      <c r="H962" t="s">
        <v>1690</v>
      </c>
      <c r="I962">
        <v>4204882</v>
      </c>
      <c r="J962">
        <v>382262</v>
      </c>
      <c r="K962">
        <v>24260</v>
      </c>
      <c r="L962">
        <v>41004</v>
      </c>
      <c r="M962">
        <v>0.10639999999999999</v>
      </c>
      <c r="N962">
        <v>0.32500000000000001</v>
      </c>
      <c r="O962">
        <v>1</v>
      </c>
      <c r="P962" t="b">
        <f t="shared" si="29"/>
        <v>1</v>
      </c>
      <c r="Q962" t="str">
        <f t="shared" ref="Q962:Q1025" si="30">IF(N962&gt;0,"Positive","Negative")</f>
        <v>Positive</v>
      </c>
    </row>
    <row r="963" spans="1:17" x14ac:dyDescent="0.3">
      <c r="A963" t="s">
        <v>1691</v>
      </c>
      <c r="B963" t="s">
        <v>27</v>
      </c>
      <c r="C963" t="s">
        <v>61</v>
      </c>
      <c r="D963" t="s">
        <v>37</v>
      </c>
      <c r="E963" t="s">
        <v>38</v>
      </c>
      <c r="F963" t="s">
        <v>20</v>
      </c>
      <c r="G963" s="1">
        <v>45599</v>
      </c>
      <c r="H963" t="s">
        <v>1057</v>
      </c>
      <c r="I963">
        <v>3504522</v>
      </c>
      <c r="J963">
        <v>166882</v>
      </c>
      <c r="K963">
        <v>34698</v>
      </c>
      <c r="L963">
        <v>35741</v>
      </c>
      <c r="M963">
        <v>6.7699999999999996E-2</v>
      </c>
      <c r="N963">
        <v>-0.48399999999999999</v>
      </c>
      <c r="O963">
        <v>1</v>
      </c>
      <c r="P963" t="b">
        <f t="shared" ref="P963:P1026" si="31">IF(O963=1,TRUE,FALSE)</f>
        <v>1</v>
      </c>
      <c r="Q963" t="str">
        <f t="shared" si="30"/>
        <v>Negative</v>
      </c>
    </row>
    <row r="964" spans="1:17" x14ac:dyDescent="0.3">
      <c r="A964" t="s">
        <v>1692</v>
      </c>
      <c r="B964" t="s">
        <v>27</v>
      </c>
      <c r="C964" t="s">
        <v>17</v>
      </c>
      <c r="D964" t="s">
        <v>54</v>
      </c>
      <c r="E964" t="s">
        <v>38</v>
      </c>
      <c r="F964" t="s">
        <v>24</v>
      </c>
      <c r="G964" s="1">
        <v>45532</v>
      </c>
      <c r="H964" t="s">
        <v>1693</v>
      </c>
      <c r="I964">
        <v>2236944</v>
      </c>
      <c r="J964">
        <v>279618</v>
      </c>
      <c r="K964">
        <v>11143</v>
      </c>
      <c r="L964">
        <v>81472</v>
      </c>
      <c r="M964">
        <v>0.16639999999999999</v>
      </c>
      <c r="N964">
        <v>0.70499999999999996</v>
      </c>
      <c r="O964">
        <v>1</v>
      </c>
      <c r="P964" t="b">
        <f t="shared" si="31"/>
        <v>1</v>
      </c>
      <c r="Q964" t="str">
        <f t="shared" si="30"/>
        <v>Positive</v>
      </c>
    </row>
    <row r="965" spans="1:17" x14ac:dyDescent="0.3">
      <c r="A965" t="s">
        <v>1694</v>
      </c>
      <c r="B965" t="s">
        <v>32</v>
      </c>
      <c r="C965" t="s">
        <v>61</v>
      </c>
      <c r="D965" t="s">
        <v>54</v>
      </c>
      <c r="E965" t="s">
        <v>51</v>
      </c>
      <c r="F965" t="s">
        <v>24</v>
      </c>
      <c r="G965" s="1">
        <v>45642</v>
      </c>
      <c r="H965" t="s">
        <v>1067</v>
      </c>
      <c r="I965">
        <v>1406336</v>
      </c>
      <c r="J965">
        <v>87896</v>
      </c>
      <c r="K965">
        <v>26074</v>
      </c>
      <c r="L965">
        <v>56234</v>
      </c>
      <c r="M965">
        <v>0.121</v>
      </c>
      <c r="N965">
        <v>-5.1999999999999998E-2</v>
      </c>
      <c r="O965">
        <v>0</v>
      </c>
      <c r="P965" t="b">
        <f t="shared" si="31"/>
        <v>0</v>
      </c>
      <c r="Q965" t="str">
        <f t="shared" si="30"/>
        <v>Negative</v>
      </c>
    </row>
    <row r="966" spans="1:17" x14ac:dyDescent="0.3">
      <c r="A966" t="s">
        <v>1695</v>
      </c>
      <c r="B966" t="s">
        <v>66</v>
      </c>
      <c r="C966" t="s">
        <v>61</v>
      </c>
      <c r="D966" t="s">
        <v>73</v>
      </c>
      <c r="E966" t="s">
        <v>58</v>
      </c>
      <c r="F966" t="s">
        <v>20</v>
      </c>
      <c r="G966" s="1">
        <v>45317</v>
      </c>
      <c r="H966" t="s">
        <v>1696</v>
      </c>
      <c r="I966">
        <v>7605440</v>
      </c>
      <c r="J966">
        <v>380272</v>
      </c>
      <c r="K966">
        <v>39183</v>
      </c>
      <c r="L966">
        <v>32822</v>
      </c>
      <c r="M966">
        <v>5.9499999999999997E-2</v>
      </c>
      <c r="N966">
        <v>-0.59499999999999997</v>
      </c>
      <c r="O966">
        <v>1</v>
      </c>
      <c r="P966" t="b">
        <f t="shared" si="31"/>
        <v>1</v>
      </c>
      <c r="Q966" t="str">
        <f t="shared" si="30"/>
        <v>Negative</v>
      </c>
    </row>
    <row r="967" spans="1:17" x14ac:dyDescent="0.3">
      <c r="A967" t="s">
        <v>1697</v>
      </c>
      <c r="B967" t="s">
        <v>16</v>
      </c>
      <c r="C967" t="s">
        <v>17</v>
      </c>
      <c r="D967" t="s">
        <v>37</v>
      </c>
      <c r="E967" t="s">
        <v>41</v>
      </c>
      <c r="F967" t="s">
        <v>20</v>
      </c>
      <c r="G967" s="1">
        <v>45613</v>
      </c>
      <c r="H967" t="s">
        <v>1698</v>
      </c>
      <c r="I967">
        <v>7749246</v>
      </c>
      <c r="J967">
        <v>455838</v>
      </c>
      <c r="K967">
        <v>38717</v>
      </c>
      <c r="L967">
        <v>64552</v>
      </c>
      <c r="M967">
        <v>7.2099999999999997E-2</v>
      </c>
      <c r="N967">
        <v>-0.56999999999999995</v>
      </c>
      <c r="O967">
        <v>1</v>
      </c>
      <c r="P967" t="b">
        <f t="shared" si="31"/>
        <v>1</v>
      </c>
      <c r="Q967" t="str">
        <f t="shared" si="30"/>
        <v>Negative</v>
      </c>
    </row>
    <row r="968" spans="1:17" x14ac:dyDescent="0.3">
      <c r="A968" t="s">
        <v>1699</v>
      </c>
      <c r="B968" t="s">
        <v>32</v>
      </c>
      <c r="C968" t="s">
        <v>61</v>
      </c>
      <c r="D968" t="s">
        <v>29</v>
      </c>
      <c r="E968" t="s">
        <v>19</v>
      </c>
      <c r="F968" t="s">
        <v>46</v>
      </c>
      <c r="G968" s="1">
        <v>45455</v>
      </c>
      <c r="H968" t="s">
        <v>494</v>
      </c>
      <c r="I968">
        <v>2776718</v>
      </c>
      <c r="J968">
        <v>198337</v>
      </c>
      <c r="K968">
        <v>10978</v>
      </c>
      <c r="L968">
        <v>6860</v>
      </c>
      <c r="M968">
        <v>7.7899999999999997E-2</v>
      </c>
      <c r="N968">
        <v>1.4E-2</v>
      </c>
      <c r="O968">
        <v>1</v>
      </c>
      <c r="P968" t="b">
        <f t="shared" si="31"/>
        <v>1</v>
      </c>
      <c r="Q968" t="str">
        <f t="shared" si="30"/>
        <v>Positive</v>
      </c>
    </row>
    <row r="969" spans="1:17" x14ac:dyDescent="0.3">
      <c r="A969" t="s">
        <v>1700</v>
      </c>
      <c r="B969" t="s">
        <v>16</v>
      </c>
      <c r="C969" t="s">
        <v>61</v>
      </c>
      <c r="D969" t="s">
        <v>54</v>
      </c>
      <c r="E969" t="s">
        <v>41</v>
      </c>
      <c r="F969" t="s">
        <v>20</v>
      </c>
      <c r="G969" s="1">
        <v>45410</v>
      </c>
      <c r="H969" t="s">
        <v>1701</v>
      </c>
      <c r="I969">
        <v>1396524</v>
      </c>
      <c r="J969">
        <v>232754</v>
      </c>
      <c r="K969">
        <v>21844</v>
      </c>
      <c r="L969">
        <v>27217</v>
      </c>
      <c r="M969">
        <v>0.20180000000000001</v>
      </c>
      <c r="N969">
        <v>-0.73299999999999998</v>
      </c>
      <c r="O969">
        <v>0</v>
      </c>
      <c r="P969" t="b">
        <f t="shared" si="31"/>
        <v>0</v>
      </c>
      <c r="Q969" t="str">
        <f t="shared" si="30"/>
        <v>Negative</v>
      </c>
    </row>
    <row r="970" spans="1:17" x14ac:dyDescent="0.3">
      <c r="A970" t="s">
        <v>1702</v>
      </c>
      <c r="B970" t="s">
        <v>32</v>
      </c>
      <c r="C970" t="s">
        <v>23</v>
      </c>
      <c r="D970" t="s">
        <v>18</v>
      </c>
      <c r="E970" t="s">
        <v>41</v>
      </c>
      <c r="F970" t="s">
        <v>55</v>
      </c>
      <c r="G970" s="1">
        <v>45572</v>
      </c>
      <c r="H970" t="s">
        <v>645</v>
      </c>
      <c r="I970">
        <v>1091684</v>
      </c>
      <c r="J970">
        <v>49622</v>
      </c>
      <c r="K970">
        <v>33630</v>
      </c>
      <c r="L970">
        <v>4887</v>
      </c>
      <c r="M970">
        <v>8.0699999999999994E-2</v>
      </c>
      <c r="N970">
        <v>0.91700000000000004</v>
      </c>
      <c r="O970">
        <v>0</v>
      </c>
      <c r="P970" t="b">
        <f t="shared" si="31"/>
        <v>0</v>
      </c>
      <c r="Q970" t="str">
        <f t="shared" si="30"/>
        <v>Positive</v>
      </c>
    </row>
    <row r="971" spans="1:17" x14ac:dyDescent="0.3">
      <c r="A971" t="s">
        <v>1703</v>
      </c>
      <c r="B971" t="s">
        <v>32</v>
      </c>
      <c r="C971" t="s">
        <v>28</v>
      </c>
      <c r="D971" t="s">
        <v>37</v>
      </c>
      <c r="E971" t="s">
        <v>38</v>
      </c>
      <c r="F971" t="s">
        <v>34</v>
      </c>
      <c r="G971" s="1">
        <v>45341</v>
      </c>
      <c r="H971" t="s">
        <v>1704</v>
      </c>
      <c r="I971">
        <v>7051524</v>
      </c>
      <c r="J971">
        <v>243156</v>
      </c>
      <c r="K971">
        <v>16772</v>
      </c>
      <c r="L971">
        <v>28454</v>
      </c>
      <c r="M971">
        <v>4.0899999999999999E-2</v>
      </c>
      <c r="N971">
        <v>-0.47199999999999998</v>
      </c>
      <c r="O971">
        <v>1</v>
      </c>
      <c r="P971" t="b">
        <f t="shared" si="31"/>
        <v>1</v>
      </c>
      <c r="Q971" t="str">
        <f t="shared" si="30"/>
        <v>Negative</v>
      </c>
    </row>
    <row r="972" spans="1:17" x14ac:dyDescent="0.3">
      <c r="A972" t="s">
        <v>1705</v>
      </c>
      <c r="B972" t="s">
        <v>16</v>
      </c>
      <c r="C972" t="s">
        <v>28</v>
      </c>
      <c r="D972" t="s">
        <v>33</v>
      </c>
      <c r="E972" t="s">
        <v>38</v>
      </c>
      <c r="F972" t="s">
        <v>34</v>
      </c>
      <c r="G972" s="1">
        <v>45514</v>
      </c>
      <c r="H972" t="s">
        <v>936</v>
      </c>
      <c r="I972">
        <v>2225965</v>
      </c>
      <c r="J972">
        <v>445193</v>
      </c>
      <c r="K972">
        <v>12231</v>
      </c>
      <c r="L972">
        <v>93406</v>
      </c>
      <c r="M972">
        <v>0.2475</v>
      </c>
      <c r="N972">
        <v>5.7000000000000002E-2</v>
      </c>
      <c r="O972">
        <v>1</v>
      </c>
      <c r="P972" t="b">
        <f t="shared" si="31"/>
        <v>1</v>
      </c>
      <c r="Q972" t="str">
        <f t="shared" si="30"/>
        <v>Positive</v>
      </c>
    </row>
    <row r="973" spans="1:17" x14ac:dyDescent="0.3">
      <c r="A973" t="s">
        <v>1706</v>
      </c>
      <c r="B973" t="s">
        <v>32</v>
      </c>
      <c r="C973" t="s">
        <v>23</v>
      </c>
      <c r="D973" t="s">
        <v>54</v>
      </c>
      <c r="E973" t="s">
        <v>19</v>
      </c>
      <c r="F973" t="s">
        <v>20</v>
      </c>
      <c r="G973" s="1">
        <v>45456</v>
      </c>
      <c r="H973" t="s">
        <v>1707</v>
      </c>
      <c r="I973">
        <v>8664246</v>
      </c>
      <c r="J973">
        <v>481347</v>
      </c>
      <c r="K973">
        <v>37024</v>
      </c>
      <c r="L973">
        <v>44949</v>
      </c>
      <c r="M973">
        <v>6.5000000000000002E-2</v>
      </c>
      <c r="N973">
        <v>-0.56299999999999994</v>
      </c>
      <c r="O973">
        <v>1</v>
      </c>
      <c r="P973" t="b">
        <f t="shared" si="31"/>
        <v>1</v>
      </c>
      <c r="Q973" t="str">
        <f t="shared" si="30"/>
        <v>Negative</v>
      </c>
    </row>
    <row r="974" spans="1:17" x14ac:dyDescent="0.3">
      <c r="A974" t="s">
        <v>1708</v>
      </c>
      <c r="B974" t="s">
        <v>27</v>
      </c>
      <c r="C974" t="s">
        <v>17</v>
      </c>
      <c r="D974" t="s">
        <v>29</v>
      </c>
      <c r="E974" t="s">
        <v>58</v>
      </c>
      <c r="F974" t="s">
        <v>20</v>
      </c>
      <c r="G974" s="1">
        <v>45545</v>
      </c>
      <c r="H974" t="s">
        <v>252</v>
      </c>
      <c r="I974">
        <v>5317858</v>
      </c>
      <c r="J974">
        <v>379847</v>
      </c>
      <c r="K974">
        <v>27531</v>
      </c>
      <c r="L974">
        <v>73494</v>
      </c>
      <c r="M974">
        <v>9.0399999999999994E-2</v>
      </c>
      <c r="N974">
        <v>0.32400000000000001</v>
      </c>
      <c r="O974">
        <v>1</v>
      </c>
      <c r="P974" t="b">
        <f t="shared" si="31"/>
        <v>1</v>
      </c>
      <c r="Q974" t="str">
        <f t="shared" si="30"/>
        <v>Positive</v>
      </c>
    </row>
    <row r="975" spans="1:17" x14ac:dyDescent="0.3">
      <c r="A975" t="s">
        <v>1709</v>
      </c>
      <c r="B975" t="s">
        <v>16</v>
      </c>
      <c r="C975" t="s">
        <v>28</v>
      </c>
      <c r="D975" t="s">
        <v>18</v>
      </c>
      <c r="E975" t="s">
        <v>51</v>
      </c>
      <c r="F975" t="s">
        <v>55</v>
      </c>
      <c r="G975" s="1">
        <v>45543</v>
      </c>
      <c r="H975" t="s">
        <v>1710</v>
      </c>
      <c r="I975">
        <v>13306950</v>
      </c>
      <c r="J975">
        <v>492850</v>
      </c>
      <c r="K975">
        <v>43400</v>
      </c>
      <c r="L975">
        <v>24032</v>
      </c>
      <c r="M975">
        <v>4.2099999999999999E-2</v>
      </c>
      <c r="N975">
        <v>0.96699999999999997</v>
      </c>
      <c r="O975">
        <v>1</v>
      </c>
      <c r="P975" t="b">
        <f t="shared" si="31"/>
        <v>1</v>
      </c>
      <c r="Q975" t="str">
        <f t="shared" si="30"/>
        <v>Positive</v>
      </c>
    </row>
    <row r="976" spans="1:17" x14ac:dyDescent="0.3">
      <c r="A976" t="s">
        <v>1711</v>
      </c>
      <c r="B976" t="s">
        <v>66</v>
      </c>
      <c r="C976" t="s">
        <v>28</v>
      </c>
      <c r="D976" t="s">
        <v>18</v>
      </c>
      <c r="E976" t="s">
        <v>38</v>
      </c>
      <c r="F976" t="s">
        <v>34</v>
      </c>
      <c r="G976" s="1">
        <v>45384</v>
      </c>
      <c r="H976" t="s">
        <v>1712</v>
      </c>
      <c r="I976">
        <v>3373587</v>
      </c>
      <c r="J976">
        <v>374843</v>
      </c>
      <c r="K976">
        <v>25944</v>
      </c>
      <c r="L976">
        <v>49146</v>
      </c>
      <c r="M976">
        <v>0.13339999999999999</v>
      </c>
      <c r="N976">
        <v>0.496</v>
      </c>
      <c r="O976">
        <v>1</v>
      </c>
      <c r="P976" t="b">
        <f t="shared" si="31"/>
        <v>1</v>
      </c>
      <c r="Q976" t="str">
        <f t="shared" si="30"/>
        <v>Positive</v>
      </c>
    </row>
    <row r="977" spans="1:17" x14ac:dyDescent="0.3">
      <c r="A977" t="s">
        <v>1713</v>
      </c>
      <c r="B977" t="s">
        <v>32</v>
      </c>
      <c r="C977" t="s">
        <v>61</v>
      </c>
      <c r="D977" t="s">
        <v>54</v>
      </c>
      <c r="E977" t="s">
        <v>41</v>
      </c>
      <c r="F977" t="s">
        <v>46</v>
      </c>
      <c r="G977" s="1">
        <v>45347</v>
      </c>
      <c r="H977" t="s">
        <v>1714</v>
      </c>
      <c r="I977">
        <v>2049300</v>
      </c>
      <c r="J977">
        <v>409860</v>
      </c>
      <c r="K977">
        <v>15904</v>
      </c>
      <c r="L977">
        <v>29064</v>
      </c>
      <c r="M977">
        <v>0.22189999999999999</v>
      </c>
      <c r="N977">
        <v>-7.1999999999999995E-2</v>
      </c>
      <c r="O977">
        <v>1</v>
      </c>
      <c r="P977" t="b">
        <f t="shared" si="31"/>
        <v>1</v>
      </c>
      <c r="Q977" t="str">
        <f t="shared" si="30"/>
        <v>Negative</v>
      </c>
    </row>
    <row r="978" spans="1:17" x14ac:dyDescent="0.3">
      <c r="A978" t="s">
        <v>1715</v>
      </c>
      <c r="B978" t="s">
        <v>66</v>
      </c>
      <c r="C978" t="s">
        <v>23</v>
      </c>
      <c r="D978" t="s">
        <v>29</v>
      </c>
      <c r="E978" t="s">
        <v>41</v>
      </c>
      <c r="F978" t="s">
        <v>46</v>
      </c>
      <c r="G978" s="1">
        <v>45504</v>
      </c>
      <c r="H978" t="s">
        <v>354</v>
      </c>
      <c r="I978">
        <v>9487825</v>
      </c>
      <c r="J978">
        <v>379513</v>
      </c>
      <c r="K978">
        <v>1098</v>
      </c>
      <c r="L978">
        <v>80765</v>
      </c>
      <c r="M978">
        <v>4.8599999999999997E-2</v>
      </c>
      <c r="N978">
        <v>0.77700000000000002</v>
      </c>
      <c r="O978">
        <v>1</v>
      </c>
      <c r="P978" t="b">
        <f t="shared" si="31"/>
        <v>1</v>
      </c>
      <c r="Q978" t="str">
        <f t="shared" si="30"/>
        <v>Positive</v>
      </c>
    </row>
    <row r="979" spans="1:17" x14ac:dyDescent="0.3">
      <c r="A979" t="s">
        <v>1716</v>
      </c>
      <c r="B979" t="s">
        <v>32</v>
      </c>
      <c r="C979" t="s">
        <v>23</v>
      </c>
      <c r="D979" t="s">
        <v>37</v>
      </c>
      <c r="E979" t="s">
        <v>51</v>
      </c>
      <c r="F979" t="s">
        <v>46</v>
      </c>
      <c r="G979" s="1">
        <v>45456</v>
      </c>
      <c r="H979" t="s">
        <v>1717</v>
      </c>
      <c r="I979">
        <v>13007736</v>
      </c>
      <c r="J979">
        <v>464562</v>
      </c>
      <c r="K979">
        <v>42505</v>
      </c>
      <c r="L979">
        <v>19260</v>
      </c>
      <c r="M979">
        <v>4.0500000000000001E-2</v>
      </c>
      <c r="N979">
        <v>0.71599999999999997</v>
      </c>
      <c r="O979">
        <v>1</v>
      </c>
      <c r="P979" t="b">
        <f t="shared" si="31"/>
        <v>1</v>
      </c>
      <c r="Q979" t="str">
        <f t="shared" si="30"/>
        <v>Positive</v>
      </c>
    </row>
    <row r="980" spans="1:17" x14ac:dyDescent="0.3">
      <c r="A980" t="s">
        <v>1718</v>
      </c>
      <c r="B980" t="s">
        <v>66</v>
      </c>
      <c r="C980" t="s">
        <v>28</v>
      </c>
      <c r="D980" t="s">
        <v>73</v>
      </c>
      <c r="E980" t="s">
        <v>19</v>
      </c>
      <c r="F980" t="s">
        <v>20</v>
      </c>
      <c r="G980" s="1">
        <v>45647</v>
      </c>
      <c r="H980" t="s">
        <v>1719</v>
      </c>
      <c r="I980">
        <v>9741844</v>
      </c>
      <c r="J980">
        <v>347923</v>
      </c>
      <c r="K980">
        <v>2108</v>
      </c>
      <c r="L980">
        <v>65902</v>
      </c>
      <c r="M980">
        <v>4.2700000000000002E-2</v>
      </c>
      <c r="N980">
        <v>-0.34899999999999998</v>
      </c>
      <c r="O980">
        <v>1</v>
      </c>
      <c r="P980" t="b">
        <f t="shared" si="31"/>
        <v>1</v>
      </c>
      <c r="Q980" t="str">
        <f t="shared" si="30"/>
        <v>Negative</v>
      </c>
    </row>
    <row r="981" spans="1:17" x14ac:dyDescent="0.3">
      <c r="A981" t="s">
        <v>1720</v>
      </c>
      <c r="B981" t="s">
        <v>66</v>
      </c>
      <c r="C981" t="s">
        <v>23</v>
      </c>
      <c r="D981" t="s">
        <v>54</v>
      </c>
      <c r="E981" t="s">
        <v>19</v>
      </c>
      <c r="F981" t="s">
        <v>46</v>
      </c>
      <c r="G981" s="1">
        <v>45572</v>
      </c>
      <c r="H981" t="s">
        <v>1721</v>
      </c>
      <c r="I981">
        <v>5988352</v>
      </c>
      <c r="J981">
        <v>352256</v>
      </c>
      <c r="K981">
        <v>12747</v>
      </c>
      <c r="L981">
        <v>12392</v>
      </c>
      <c r="M981">
        <v>6.3E-2</v>
      </c>
      <c r="N981">
        <v>0.65100000000000002</v>
      </c>
      <c r="O981">
        <v>1</v>
      </c>
      <c r="P981" t="b">
        <f t="shared" si="31"/>
        <v>1</v>
      </c>
      <c r="Q981" t="str">
        <f t="shared" si="30"/>
        <v>Positive</v>
      </c>
    </row>
    <row r="982" spans="1:17" x14ac:dyDescent="0.3">
      <c r="A982" t="s">
        <v>1722</v>
      </c>
      <c r="B982" t="s">
        <v>27</v>
      </c>
      <c r="C982" t="s">
        <v>23</v>
      </c>
      <c r="D982" t="s">
        <v>18</v>
      </c>
      <c r="E982" t="s">
        <v>41</v>
      </c>
      <c r="F982" t="s">
        <v>55</v>
      </c>
      <c r="G982" s="1">
        <v>45567</v>
      </c>
      <c r="H982" t="s">
        <v>1723</v>
      </c>
      <c r="I982">
        <v>488185</v>
      </c>
      <c r="J982">
        <v>97637</v>
      </c>
      <c r="K982">
        <v>15628</v>
      </c>
      <c r="L982">
        <v>67915</v>
      </c>
      <c r="M982">
        <v>0.37109999999999999</v>
      </c>
      <c r="N982">
        <v>0.153</v>
      </c>
      <c r="O982">
        <v>0</v>
      </c>
      <c r="P982" t="b">
        <f t="shared" si="31"/>
        <v>0</v>
      </c>
      <c r="Q982" t="str">
        <f t="shared" si="30"/>
        <v>Positive</v>
      </c>
    </row>
    <row r="983" spans="1:17" x14ac:dyDescent="0.3">
      <c r="A983" t="s">
        <v>1724</v>
      </c>
      <c r="B983" t="s">
        <v>16</v>
      </c>
      <c r="C983" t="s">
        <v>28</v>
      </c>
      <c r="D983" t="s">
        <v>18</v>
      </c>
      <c r="E983" t="s">
        <v>41</v>
      </c>
      <c r="F983" t="s">
        <v>24</v>
      </c>
      <c r="G983" s="1">
        <v>45350</v>
      </c>
      <c r="H983" t="s">
        <v>1725</v>
      </c>
      <c r="I983">
        <v>10362072</v>
      </c>
      <c r="J983">
        <v>431753</v>
      </c>
      <c r="K983">
        <v>35508</v>
      </c>
      <c r="L983">
        <v>96283</v>
      </c>
      <c r="M983">
        <v>5.4399999999999997E-2</v>
      </c>
      <c r="N983">
        <v>0.80600000000000005</v>
      </c>
      <c r="O983">
        <v>1</v>
      </c>
      <c r="P983" t="b">
        <f t="shared" si="31"/>
        <v>1</v>
      </c>
      <c r="Q983" t="str">
        <f t="shared" si="30"/>
        <v>Positive</v>
      </c>
    </row>
    <row r="984" spans="1:17" x14ac:dyDescent="0.3">
      <c r="A984" t="s">
        <v>1726</v>
      </c>
      <c r="B984" t="s">
        <v>27</v>
      </c>
      <c r="C984" t="s">
        <v>17</v>
      </c>
      <c r="D984" t="s">
        <v>33</v>
      </c>
      <c r="E984" t="s">
        <v>41</v>
      </c>
      <c r="F984" t="s">
        <v>24</v>
      </c>
      <c r="G984" s="1">
        <v>45438</v>
      </c>
      <c r="H984" t="s">
        <v>227</v>
      </c>
      <c r="I984">
        <v>5978560</v>
      </c>
      <c r="J984">
        <v>427040</v>
      </c>
      <c r="K984">
        <v>9311</v>
      </c>
      <c r="L984">
        <v>14909</v>
      </c>
      <c r="M984">
        <v>7.5499999999999998E-2</v>
      </c>
      <c r="N984">
        <v>-0.98899999999999999</v>
      </c>
      <c r="O984">
        <v>1</v>
      </c>
      <c r="P984" t="b">
        <f t="shared" si="31"/>
        <v>1</v>
      </c>
      <c r="Q984" t="str">
        <f t="shared" si="30"/>
        <v>Negative</v>
      </c>
    </row>
    <row r="985" spans="1:17" x14ac:dyDescent="0.3">
      <c r="A985" t="s">
        <v>1727</v>
      </c>
      <c r="B985" t="s">
        <v>32</v>
      </c>
      <c r="C985" t="s">
        <v>61</v>
      </c>
      <c r="D985" t="s">
        <v>54</v>
      </c>
      <c r="E985" t="s">
        <v>51</v>
      </c>
      <c r="F985" t="s">
        <v>46</v>
      </c>
      <c r="G985" s="1">
        <v>45330</v>
      </c>
      <c r="H985" t="s">
        <v>1067</v>
      </c>
      <c r="I985">
        <v>469720</v>
      </c>
      <c r="J985">
        <v>23486</v>
      </c>
      <c r="K985">
        <v>46759</v>
      </c>
      <c r="L985">
        <v>28303</v>
      </c>
      <c r="M985">
        <v>0.20979999999999999</v>
      </c>
      <c r="N985">
        <v>-0.17799999999999999</v>
      </c>
      <c r="O985">
        <v>0</v>
      </c>
      <c r="P985" t="b">
        <f t="shared" si="31"/>
        <v>0</v>
      </c>
      <c r="Q985" t="str">
        <f t="shared" si="30"/>
        <v>Negative</v>
      </c>
    </row>
    <row r="986" spans="1:17" x14ac:dyDescent="0.3">
      <c r="A986" t="s">
        <v>1728</v>
      </c>
      <c r="B986" t="s">
        <v>16</v>
      </c>
      <c r="C986" t="s">
        <v>23</v>
      </c>
      <c r="D986" t="s">
        <v>29</v>
      </c>
      <c r="E986" t="s">
        <v>38</v>
      </c>
      <c r="F986" t="s">
        <v>24</v>
      </c>
      <c r="G986" s="1">
        <v>45552</v>
      </c>
      <c r="H986" t="s">
        <v>1729</v>
      </c>
      <c r="I986">
        <v>8139700</v>
      </c>
      <c r="J986">
        <v>325588</v>
      </c>
      <c r="K986">
        <v>35623</v>
      </c>
      <c r="L986">
        <v>76235</v>
      </c>
      <c r="M986">
        <v>5.3699999999999998E-2</v>
      </c>
      <c r="N986">
        <v>0.56699999999999995</v>
      </c>
      <c r="O986">
        <v>1</v>
      </c>
      <c r="P986" t="b">
        <f t="shared" si="31"/>
        <v>1</v>
      </c>
      <c r="Q986" t="str">
        <f t="shared" si="30"/>
        <v>Positive</v>
      </c>
    </row>
    <row r="987" spans="1:17" x14ac:dyDescent="0.3">
      <c r="A987" t="s">
        <v>1730</v>
      </c>
      <c r="B987" t="s">
        <v>27</v>
      </c>
      <c r="C987" t="s">
        <v>28</v>
      </c>
      <c r="D987" t="s">
        <v>33</v>
      </c>
      <c r="E987" t="s">
        <v>41</v>
      </c>
      <c r="F987" t="s">
        <v>24</v>
      </c>
      <c r="G987" s="1">
        <v>45333</v>
      </c>
      <c r="H987" t="s">
        <v>1731</v>
      </c>
      <c r="I987">
        <v>1598360</v>
      </c>
      <c r="J987">
        <v>79918</v>
      </c>
      <c r="K987">
        <v>49058</v>
      </c>
      <c r="L987">
        <v>14335</v>
      </c>
      <c r="M987">
        <v>8.9700000000000002E-2</v>
      </c>
      <c r="N987">
        <v>-0.376</v>
      </c>
      <c r="O987">
        <v>0</v>
      </c>
      <c r="P987" t="b">
        <f t="shared" si="31"/>
        <v>0</v>
      </c>
      <c r="Q987" t="str">
        <f t="shared" si="30"/>
        <v>Negative</v>
      </c>
    </row>
    <row r="988" spans="1:17" x14ac:dyDescent="0.3">
      <c r="A988" t="s">
        <v>1732</v>
      </c>
      <c r="B988" t="s">
        <v>32</v>
      </c>
      <c r="C988" t="s">
        <v>61</v>
      </c>
      <c r="D988" t="s">
        <v>18</v>
      </c>
      <c r="E988" t="s">
        <v>51</v>
      </c>
      <c r="F988" t="s">
        <v>20</v>
      </c>
      <c r="G988" s="1">
        <v>45623</v>
      </c>
      <c r="H988" t="s">
        <v>1733</v>
      </c>
      <c r="I988">
        <v>9377478</v>
      </c>
      <c r="J988">
        <v>426249</v>
      </c>
      <c r="K988">
        <v>43474</v>
      </c>
      <c r="L988">
        <v>33688</v>
      </c>
      <c r="M988">
        <v>5.3699999999999998E-2</v>
      </c>
      <c r="N988">
        <v>0.41199999999999998</v>
      </c>
      <c r="O988">
        <v>1</v>
      </c>
      <c r="P988" t="b">
        <f t="shared" si="31"/>
        <v>1</v>
      </c>
      <c r="Q988" t="str">
        <f t="shared" si="30"/>
        <v>Positive</v>
      </c>
    </row>
    <row r="989" spans="1:17" x14ac:dyDescent="0.3">
      <c r="A989" t="s">
        <v>1734</v>
      </c>
      <c r="B989" t="s">
        <v>32</v>
      </c>
      <c r="C989" t="s">
        <v>61</v>
      </c>
      <c r="D989" t="s">
        <v>54</v>
      </c>
      <c r="E989" t="s">
        <v>51</v>
      </c>
      <c r="F989" t="s">
        <v>34</v>
      </c>
      <c r="G989" s="1">
        <v>45390</v>
      </c>
      <c r="H989" t="s">
        <v>630</v>
      </c>
      <c r="I989">
        <v>4911750</v>
      </c>
      <c r="J989">
        <v>327450</v>
      </c>
      <c r="K989">
        <v>30931</v>
      </c>
      <c r="L989">
        <v>36608</v>
      </c>
      <c r="M989">
        <v>8.0399999999999999E-2</v>
      </c>
      <c r="N989">
        <v>-0.98899999999999999</v>
      </c>
      <c r="O989">
        <v>1</v>
      </c>
      <c r="P989" t="b">
        <f t="shared" si="31"/>
        <v>1</v>
      </c>
      <c r="Q989" t="str">
        <f t="shared" si="30"/>
        <v>Negative</v>
      </c>
    </row>
    <row r="990" spans="1:17" x14ac:dyDescent="0.3">
      <c r="A990" t="s">
        <v>1735</v>
      </c>
      <c r="B990" t="s">
        <v>27</v>
      </c>
      <c r="C990" t="s">
        <v>23</v>
      </c>
      <c r="D990" t="s">
        <v>73</v>
      </c>
      <c r="E990" t="s">
        <v>19</v>
      </c>
      <c r="F990" t="s">
        <v>55</v>
      </c>
      <c r="G990" s="1">
        <v>45308</v>
      </c>
      <c r="H990" t="s">
        <v>1046</v>
      </c>
      <c r="I990">
        <v>6364150</v>
      </c>
      <c r="J990">
        <v>254566</v>
      </c>
      <c r="K990">
        <v>46292</v>
      </c>
      <c r="L990">
        <v>86725</v>
      </c>
      <c r="M990">
        <v>6.0900000000000003E-2</v>
      </c>
      <c r="N990">
        <v>-0.19500000000000001</v>
      </c>
      <c r="O990">
        <v>1</v>
      </c>
      <c r="P990" t="b">
        <f t="shared" si="31"/>
        <v>1</v>
      </c>
      <c r="Q990" t="str">
        <f t="shared" si="30"/>
        <v>Negative</v>
      </c>
    </row>
    <row r="991" spans="1:17" x14ac:dyDescent="0.3">
      <c r="A991" t="s">
        <v>1736</v>
      </c>
      <c r="B991" t="s">
        <v>66</v>
      </c>
      <c r="C991" t="s">
        <v>17</v>
      </c>
      <c r="D991" t="s">
        <v>29</v>
      </c>
      <c r="E991" t="s">
        <v>41</v>
      </c>
      <c r="F991" t="s">
        <v>34</v>
      </c>
      <c r="G991" s="1">
        <v>45458</v>
      </c>
      <c r="H991" t="s">
        <v>340</v>
      </c>
      <c r="I991">
        <v>8959834</v>
      </c>
      <c r="J991">
        <v>389558</v>
      </c>
      <c r="K991">
        <v>10781</v>
      </c>
      <c r="L991">
        <v>98372</v>
      </c>
      <c r="M991">
        <v>5.57E-2</v>
      </c>
      <c r="N991">
        <v>-0.115</v>
      </c>
      <c r="O991">
        <v>1</v>
      </c>
      <c r="P991" t="b">
        <f t="shared" si="31"/>
        <v>1</v>
      </c>
      <c r="Q991" t="str">
        <f t="shared" si="30"/>
        <v>Negative</v>
      </c>
    </row>
    <row r="992" spans="1:17" x14ac:dyDescent="0.3">
      <c r="A992" t="s">
        <v>1737</v>
      </c>
      <c r="B992" t="s">
        <v>27</v>
      </c>
      <c r="C992" t="s">
        <v>61</v>
      </c>
      <c r="D992" t="s">
        <v>37</v>
      </c>
      <c r="E992" t="s">
        <v>51</v>
      </c>
      <c r="F992" t="s">
        <v>34</v>
      </c>
      <c r="G992" s="1">
        <v>45545</v>
      </c>
      <c r="H992" t="s">
        <v>1738</v>
      </c>
      <c r="I992">
        <v>802560</v>
      </c>
      <c r="J992">
        <v>33440</v>
      </c>
      <c r="K992">
        <v>39855</v>
      </c>
      <c r="L992">
        <v>56985</v>
      </c>
      <c r="M992">
        <v>0.1623</v>
      </c>
      <c r="N992">
        <v>0.13900000000000001</v>
      </c>
      <c r="O992">
        <v>0</v>
      </c>
      <c r="P992" t="b">
        <f t="shared" si="31"/>
        <v>0</v>
      </c>
      <c r="Q992" t="str">
        <f t="shared" si="30"/>
        <v>Positive</v>
      </c>
    </row>
    <row r="993" spans="1:17" x14ac:dyDescent="0.3">
      <c r="A993" t="s">
        <v>1739</v>
      </c>
      <c r="B993" t="s">
        <v>27</v>
      </c>
      <c r="C993" t="s">
        <v>28</v>
      </c>
      <c r="D993" t="s">
        <v>29</v>
      </c>
      <c r="E993" t="s">
        <v>41</v>
      </c>
      <c r="F993" t="s">
        <v>20</v>
      </c>
      <c r="G993" s="1">
        <v>45508</v>
      </c>
      <c r="H993" t="s">
        <v>1740</v>
      </c>
      <c r="I993">
        <v>201492</v>
      </c>
      <c r="J993">
        <v>11194</v>
      </c>
      <c r="K993">
        <v>22428</v>
      </c>
      <c r="L993">
        <v>33419</v>
      </c>
      <c r="M993">
        <v>0.3327</v>
      </c>
      <c r="N993">
        <v>-0.25700000000000001</v>
      </c>
      <c r="O993">
        <v>0</v>
      </c>
      <c r="P993" t="b">
        <f t="shared" si="31"/>
        <v>0</v>
      </c>
      <c r="Q993" t="str">
        <f t="shared" si="30"/>
        <v>Negative</v>
      </c>
    </row>
    <row r="994" spans="1:17" x14ac:dyDescent="0.3">
      <c r="A994" t="s">
        <v>1741</v>
      </c>
      <c r="B994" t="s">
        <v>66</v>
      </c>
      <c r="C994" t="s">
        <v>23</v>
      </c>
      <c r="D994" t="s">
        <v>29</v>
      </c>
      <c r="E994" t="s">
        <v>58</v>
      </c>
      <c r="F994" t="s">
        <v>46</v>
      </c>
      <c r="G994" s="1">
        <v>45356</v>
      </c>
      <c r="H994" t="s">
        <v>1742</v>
      </c>
      <c r="I994">
        <v>8850584</v>
      </c>
      <c r="J994">
        <v>384808</v>
      </c>
      <c r="K994">
        <v>3267</v>
      </c>
      <c r="L994">
        <v>70533</v>
      </c>
      <c r="M994">
        <v>5.1799999999999999E-2</v>
      </c>
      <c r="N994">
        <v>-0.114</v>
      </c>
      <c r="O994">
        <v>1</v>
      </c>
      <c r="P994" t="b">
        <f t="shared" si="31"/>
        <v>1</v>
      </c>
      <c r="Q994" t="str">
        <f t="shared" si="30"/>
        <v>Negative</v>
      </c>
    </row>
    <row r="995" spans="1:17" x14ac:dyDescent="0.3">
      <c r="A995" t="s">
        <v>1743</v>
      </c>
      <c r="B995" t="s">
        <v>16</v>
      </c>
      <c r="C995" t="s">
        <v>23</v>
      </c>
      <c r="D995" t="s">
        <v>18</v>
      </c>
      <c r="E995" t="s">
        <v>38</v>
      </c>
      <c r="F995" t="s">
        <v>46</v>
      </c>
      <c r="G995" s="1">
        <v>45613</v>
      </c>
      <c r="H995" t="s">
        <v>1744</v>
      </c>
      <c r="I995">
        <v>637497</v>
      </c>
      <c r="J995">
        <v>30357</v>
      </c>
      <c r="K995">
        <v>14216</v>
      </c>
      <c r="L995">
        <v>95990</v>
      </c>
      <c r="M995">
        <v>0.2205</v>
      </c>
      <c r="N995">
        <v>-7.8E-2</v>
      </c>
      <c r="O995">
        <v>0</v>
      </c>
      <c r="P995" t="b">
        <f t="shared" si="31"/>
        <v>0</v>
      </c>
      <c r="Q995" t="str">
        <f t="shared" si="30"/>
        <v>Negative</v>
      </c>
    </row>
    <row r="996" spans="1:17" x14ac:dyDescent="0.3">
      <c r="A996" t="s">
        <v>1745</v>
      </c>
      <c r="B996" t="s">
        <v>66</v>
      </c>
      <c r="C996" t="s">
        <v>17</v>
      </c>
      <c r="D996" t="s">
        <v>33</v>
      </c>
      <c r="E996" t="s">
        <v>51</v>
      </c>
      <c r="F996" t="s">
        <v>24</v>
      </c>
      <c r="G996" s="1">
        <v>45479</v>
      </c>
      <c r="H996" t="s">
        <v>1746</v>
      </c>
      <c r="I996">
        <v>7246215</v>
      </c>
      <c r="J996">
        <v>483081</v>
      </c>
      <c r="K996">
        <v>14237</v>
      </c>
      <c r="L996">
        <v>25614</v>
      </c>
      <c r="M996">
        <v>7.22E-2</v>
      </c>
      <c r="N996">
        <v>0.89800000000000002</v>
      </c>
      <c r="O996">
        <v>1</v>
      </c>
      <c r="P996" t="b">
        <f t="shared" si="31"/>
        <v>1</v>
      </c>
      <c r="Q996" t="str">
        <f t="shared" si="30"/>
        <v>Positive</v>
      </c>
    </row>
    <row r="997" spans="1:17" x14ac:dyDescent="0.3">
      <c r="A997" t="s">
        <v>1747</v>
      </c>
      <c r="B997" t="s">
        <v>32</v>
      </c>
      <c r="C997" t="s">
        <v>23</v>
      </c>
      <c r="D997" t="s">
        <v>37</v>
      </c>
      <c r="E997" t="s">
        <v>41</v>
      </c>
      <c r="F997" t="s">
        <v>46</v>
      </c>
      <c r="G997" s="1">
        <v>45451</v>
      </c>
      <c r="H997" t="s">
        <v>97</v>
      </c>
      <c r="I997">
        <v>7621952</v>
      </c>
      <c r="J997">
        <v>293152</v>
      </c>
      <c r="K997">
        <v>19615</v>
      </c>
      <c r="L997">
        <v>46647</v>
      </c>
      <c r="M997">
        <v>4.7199999999999999E-2</v>
      </c>
      <c r="N997">
        <v>-0.254</v>
      </c>
      <c r="O997">
        <v>1</v>
      </c>
      <c r="P997" t="b">
        <f t="shared" si="31"/>
        <v>1</v>
      </c>
      <c r="Q997" t="str">
        <f t="shared" si="30"/>
        <v>Negative</v>
      </c>
    </row>
    <row r="998" spans="1:17" x14ac:dyDescent="0.3">
      <c r="A998" t="s">
        <v>1748</v>
      </c>
      <c r="B998" t="s">
        <v>32</v>
      </c>
      <c r="C998" t="s">
        <v>61</v>
      </c>
      <c r="D998" t="s">
        <v>18</v>
      </c>
      <c r="E998" t="s">
        <v>19</v>
      </c>
      <c r="F998" t="s">
        <v>55</v>
      </c>
      <c r="G998" s="1">
        <v>45649</v>
      </c>
      <c r="H998" t="s">
        <v>630</v>
      </c>
      <c r="I998">
        <v>2323698</v>
      </c>
      <c r="J998">
        <v>178746</v>
      </c>
      <c r="K998">
        <v>25520</v>
      </c>
      <c r="L998">
        <v>36183</v>
      </c>
      <c r="M998">
        <v>0.10349999999999999</v>
      </c>
      <c r="N998">
        <v>0.28899999999999998</v>
      </c>
      <c r="O998">
        <v>1</v>
      </c>
      <c r="P998" t="b">
        <f t="shared" si="31"/>
        <v>1</v>
      </c>
      <c r="Q998" t="str">
        <f t="shared" si="30"/>
        <v>Positive</v>
      </c>
    </row>
    <row r="999" spans="1:17" x14ac:dyDescent="0.3">
      <c r="A999" t="s">
        <v>1749</v>
      </c>
      <c r="B999" t="s">
        <v>16</v>
      </c>
      <c r="C999" t="s">
        <v>17</v>
      </c>
      <c r="D999" t="s">
        <v>18</v>
      </c>
      <c r="E999" t="s">
        <v>38</v>
      </c>
      <c r="F999" t="s">
        <v>55</v>
      </c>
      <c r="G999" s="1">
        <v>45377</v>
      </c>
      <c r="H999" t="s">
        <v>1750</v>
      </c>
      <c r="I999">
        <v>271432</v>
      </c>
      <c r="J999">
        <v>19388</v>
      </c>
      <c r="K999">
        <v>13293</v>
      </c>
      <c r="L999">
        <v>29878</v>
      </c>
      <c r="M999">
        <v>0.23050000000000001</v>
      </c>
      <c r="N999">
        <v>0.109</v>
      </c>
      <c r="O999">
        <v>0</v>
      </c>
      <c r="P999" t="b">
        <f t="shared" si="31"/>
        <v>0</v>
      </c>
      <c r="Q999" t="str">
        <f t="shared" si="30"/>
        <v>Positive</v>
      </c>
    </row>
    <row r="1000" spans="1:17" x14ac:dyDescent="0.3">
      <c r="A1000" t="s">
        <v>1751</v>
      </c>
      <c r="B1000" t="s">
        <v>16</v>
      </c>
      <c r="C1000" t="s">
        <v>17</v>
      </c>
      <c r="D1000" t="s">
        <v>33</v>
      </c>
      <c r="E1000" t="s">
        <v>41</v>
      </c>
      <c r="F1000" t="s">
        <v>20</v>
      </c>
      <c r="G1000" s="1">
        <v>45405</v>
      </c>
      <c r="H1000" t="s">
        <v>1046</v>
      </c>
      <c r="I1000">
        <v>9278764</v>
      </c>
      <c r="J1000">
        <v>488356</v>
      </c>
      <c r="K1000">
        <v>6987</v>
      </c>
      <c r="L1000">
        <v>39105</v>
      </c>
      <c r="M1000">
        <v>5.7599999999999998E-2</v>
      </c>
      <c r="N1000">
        <v>-0.59199999999999997</v>
      </c>
      <c r="O1000">
        <v>1</v>
      </c>
      <c r="P1000" t="b">
        <f t="shared" si="31"/>
        <v>1</v>
      </c>
      <c r="Q1000" t="str">
        <f t="shared" si="30"/>
        <v>Negative</v>
      </c>
    </row>
    <row r="1001" spans="1:17" x14ac:dyDescent="0.3">
      <c r="A1001" t="s">
        <v>1752</v>
      </c>
      <c r="B1001" t="s">
        <v>27</v>
      </c>
      <c r="C1001" t="s">
        <v>23</v>
      </c>
      <c r="D1001" t="s">
        <v>73</v>
      </c>
      <c r="E1001" t="s">
        <v>38</v>
      </c>
      <c r="F1001" t="s">
        <v>20</v>
      </c>
      <c r="G1001" s="1">
        <v>45632</v>
      </c>
      <c r="H1001" t="s">
        <v>1753</v>
      </c>
      <c r="I1001">
        <v>8648059</v>
      </c>
      <c r="J1001">
        <v>455161</v>
      </c>
      <c r="K1001">
        <v>9946</v>
      </c>
      <c r="L1001">
        <v>61170</v>
      </c>
      <c r="M1001">
        <v>6.0900000000000003E-2</v>
      </c>
      <c r="N1001">
        <v>-9.4E-2</v>
      </c>
      <c r="O1001">
        <v>1</v>
      </c>
      <c r="P1001" t="b">
        <f t="shared" si="31"/>
        <v>1</v>
      </c>
      <c r="Q1001" t="str">
        <f t="shared" si="30"/>
        <v>Negative</v>
      </c>
    </row>
    <row r="1002" spans="1:17" x14ac:dyDescent="0.3">
      <c r="A1002" t="s">
        <v>1754</v>
      </c>
      <c r="B1002" t="s">
        <v>32</v>
      </c>
      <c r="C1002" t="s">
        <v>17</v>
      </c>
      <c r="D1002" t="s">
        <v>54</v>
      </c>
      <c r="E1002" t="s">
        <v>58</v>
      </c>
      <c r="F1002" t="s">
        <v>20</v>
      </c>
      <c r="G1002" s="1">
        <v>45396</v>
      </c>
      <c r="H1002" t="s">
        <v>1755</v>
      </c>
      <c r="I1002">
        <v>1318262</v>
      </c>
      <c r="J1002">
        <v>59921</v>
      </c>
      <c r="K1002">
        <v>21138</v>
      </c>
      <c r="L1002">
        <v>44436</v>
      </c>
      <c r="M1002">
        <v>9.5200000000000007E-2</v>
      </c>
      <c r="N1002">
        <v>0.55800000000000005</v>
      </c>
      <c r="O1002">
        <v>0</v>
      </c>
      <c r="P1002" t="b">
        <f t="shared" si="31"/>
        <v>0</v>
      </c>
      <c r="Q1002" t="str">
        <f t="shared" si="30"/>
        <v>Positive</v>
      </c>
    </row>
    <row r="1003" spans="1:17" x14ac:dyDescent="0.3">
      <c r="A1003" t="s">
        <v>1756</v>
      </c>
      <c r="B1003" t="s">
        <v>32</v>
      </c>
      <c r="C1003" t="s">
        <v>23</v>
      </c>
      <c r="D1003" t="s">
        <v>54</v>
      </c>
      <c r="E1003" t="s">
        <v>41</v>
      </c>
      <c r="F1003" t="s">
        <v>20</v>
      </c>
      <c r="G1003" s="1">
        <v>45384</v>
      </c>
      <c r="H1003" t="s">
        <v>610</v>
      </c>
      <c r="I1003">
        <v>4036152</v>
      </c>
      <c r="J1003">
        <v>336346</v>
      </c>
      <c r="K1003">
        <v>7231</v>
      </c>
      <c r="L1003">
        <v>86796</v>
      </c>
      <c r="M1003">
        <v>0.1066</v>
      </c>
      <c r="N1003">
        <v>0.60599999999999998</v>
      </c>
      <c r="O1003">
        <v>1</v>
      </c>
      <c r="P1003" t="b">
        <f t="shared" si="31"/>
        <v>1</v>
      </c>
      <c r="Q1003" t="str">
        <f t="shared" si="30"/>
        <v>Positive</v>
      </c>
    </row>
    <row r="1004" spans="1:17" x14ac:dyDescent="0.3">
      <c r="A1004" t="s">
        <v>1757</v>
      </c>
      <c r="B1004" t="s">
        <v>27</v>
      </c>
      <c r="C1004" t="s">
        <v>28</v>
      </c>
      <c r="D1004" t="s">
        <v>33</v>
      </c>
      <c r="E1004" t="s">
        <v>58</v>
      </c>
      <c r="F1004" t="s">
        <v>34</v>
      </c>
      <c r="G1004" s="1">
        <v>45479</v>
      </c>
      <c r="H1004" t="s">
        <v>1053</v>
      </c>
      <c r="I1004">
        <v>12595996</v>
      </c>
      <c r="J1004">
        <v>449857</v>
      </c>
      <c r="K1004">
        <v>47274</v>
      </c>
      <c r="L1004">
        <v>68227</v>
      </c>
      <c r="M1004">
        <v>4.4900000000000002E-2</v>
      </c>
      <c r="N1004">
        <v>0.90700000000000003</v>
      </c>
      <c r="O1004">
        <v>1</v>
      </c>
      <c r="P1004" t="b">
        <f t="shared" si="31"/>
        <v>1</v>
      </c>
      <c r="Q1004" t="str">
        <f t="shared" si="30"/>
        <v>Positive</v>
      </c>
    </row>
    <row r="1005" spans="1:17" x14ac:dyDescent="0.3">
      <c r="A1005" t="s">
        <v>1758</v>
      </c>
      <c r="B1005" t="s">
        <v>16</v>
      </c>
      <c r="C1005" t="s">
        <v>28</v>
      </c>
      <c r="D1005" t="s">
        <v>33</v>
      </c>
      <c r="E1005" t="s">
        <v>38</v>
      </c>
      <c r="F1005" t="s">
        <v>46</v>
      </c>
      <c r="G1005" s="1">
        <v>45582</v>
      </c>
      <c r="H1005" t="s">
        <v>1759</v>
      </c>
      <c r="I1005">
        <v>2152752</v>
      </c>
      <c r="J1005">
        <v>102512</v>
      </c>
      <c r="K1005">
        <v>19409</v>
      </c>
      <c r="L1005">
        <v>25381</v>
      </c>
      <c r="M1005">
        <v>6.8400000000000002E-2</v>
      </c>
      <c r="N1005">
        <v>-0.44600000000000001</v>
      </c>
      <c r="O1005">
        <v>1</v>
      </c>
      <c r="P1005" t="b">
        <f t="shared" si="31"/>
        <v>1</v>
      </c>
      <c r="Q1005" t="str">
        <f t="shared" si="30"/>
        <v>Negative</v>
      </c>
    </row>
    <row r="1006" spans="1:17" x14ac:dyDescent="0.3">
      <c r="A1006" t="s">
        <v>1760</v>
      </c>
      <c r="B1006" t="s">
        <v>32</v>
      </c>
      <c r="C1006" t="s">
        <v>17</v>
      </c>
      <c r="D1006" t="s">
        <v>18</v>
      </c>
      <c r="E1006" t="s">
        <v>38</v>
      </c>
      <c r="F1006" t="s">
        <v>20</v>
      </c>
      <c r="G1006" s="1">
        <v>45351</v>
      </c>
      <c r="H1006" t="s">
        <v>1761</v>
      </c>
      <c r="I1006">
        <v>2947184</v>
      </c>
      <c r="J1006">
        <v>184199</v>
      </c>
      <c r="K1006">
        <v>23994</v>
      </c>
      <c r="L1006">
        <v>24520</v>
      </c>
      <c r="M1006">
        <v>7.9000000000000001E-2</v>
      </c>
      <c r="N1006">
        <v>-0.28999999999999998</v>
      </c>
      <c r="O1006">
        <v>1</v>
      </c>
      <c r="P1006" t="b">
        <f t="shared" si="31"/>
        <v>1</v>
      </c>
      <c r="Q1006" t="str">
        <f t="shared" si="30"/>
        <v>Negative</v>
      </c>
    </row>
    <row r="1007" spans="1:17" x14ac:dyDescent="0.3">
      <c r="A1007" t="s">
        <v>1762</v>
      </c>
      <c r="B1007" t="s">
        <v>16</v>
      </c>
      <c r="C1007" t="s">
        <v>28</v>
      </c>
      <c r="D1007" t="s">
        <v>29</v>
      </c>
      <c r="E1007" t="s">
        <v>51</v>
      </c>
      <c r="F1007" t="s">
        <v>55</v>
      </c>
      <c r="G1007" s="1">
        <v>45410</v>
      </c>
      <c r="H1007" t="s">
        <v>1763</v>
      </c>
      <c r="I1007">
        <v>5643180</v>
      </c>
      <c r="J1007">
        <v>470265</v>
      </c>
      <c r="K1007">
        <v>15000</v>
      </c>
      <c r="L1007">
        <v>23560</v>
      </c>
      <c r="M1007">
        <v>9.0200000000000002E-2</v>
      </c>
      <c r="N1007">
        <v>-0.53800000000000003</v>
      </c>
      <c r="O1007">
        <v>1</v>
      </c>
      <c r="P1007" t="b">
        <f t="shared" si="31"/>
        <v>1</v>
      </c>
      <c r="Q1007" t="str">
        <f t="shared" si="30"/>
        <v>Negative</v>
      </c>
    </row>
    <row r="1008" spans="1:17" x14ac:dyDescent="0.3">
      <c r="A1008" t="s">
        <v>1764</v>
      </c>
      <c r="B1008" t="s">
        <v>66</v>
      </c>
      <c r="C1008" t="s">
        <v>23</v>
      </c>
      <c r="D1008" t="s">
        <v>37</v>
      </c>
      <c r="E1008" t="s">
        <v>19</v>
      </c>
      <c r="F1008" t="s">
        <v>24</v>
      </c>
      <c r="G1008" s="1">
        <v>45409</v>
      </c>
      <c r="H1008" t="s">
        <v>340</v>
      </c>
      <c r="I1008">
        <v>2354400</v>
      </c>
      <c r="J1008">
        <v>98100</v>
      </c>
      <c r="K1008">
        <v>21124</v>
      </c>
      <c r="L1008">
        <v>51540</v>
      </c>
      <c r="M1008">
        <v>7.2499999999999995E-2</v>
      </c>
      <c r="N1008">
        <v>-0.50700000000000001</v>
      </c>
      <c r="O1008">
        <v>1</v>
      </c>
      <c r="P1008" t="b">
        <f t="shared" si="31"/>
        <v>1</v>
      </c>
      <c r="Q1008" t="str">
        <f t="shared" si="30"/>
        <v>Negative</v>
      </c>
    </row>
    <row r="1009" spans="1:17" x14ac:dyDescent="0.3">
      <c r="A1009" t="s">
        <v>1765</v>
      </c>
      <c r="B1009" t="s">
        <v>66</v>
      </c>
      <c r="C1009" t="s">
        <v>61</v>
      </c>
      <c r="D1009" t="s">
        <v>37</v>
      </c>
      <c r="E1009" t="s">
        <v>19</v>
      </c>
      <c r="F1009" t="s">
        <v>24</v>
      </c>
      <c r="G1009" s="1">
        <v>45656</v>
      </c>
      <c r="H1009" t="s">
        <v>1766</v>
      </c>
      <c r="I1009">
        <v>281787</v>
      </c>
      <c r="J1009">
        <v>25617</v>
      </c>
      <c r="K1009">
        <v>13122</v>
      </c>
      <c r="L1009">
        <v>22251</v>
      </c>
      <c r="M1009">
        <v>0.21640000000000001</v>
      </c>
      <c r="N1009">
        <v>3.0000000000000001E-3</v>
      </c>
      <c r="O1009">
        <v>0</v>
      </c>
      <c r="P1009" t="b">
        <f t="shared" si="31"/>
        <v>0</v>
      </c>
      <c r="Q1009" t="str">
        <f t="shared" si="30"/>
        <v>Positive</v>
      </c>
    </row>
    <row r="1010" spans="1:17" x14ac:dyDescent="0.3">
      <c r="A1010" t="s">
        <v>1767</v>
      </c>
      <c r="B1010" t="s">
        <v>16</v>
      </c>
      <c r="C1010" t="s">
        <v>23</v>
      </c>
      <c r="D1010" t="s">
        <v>18</v>
      </c>
      <c r="E1010" t="s">
        <v>58</v>
      </c>
      <c r="F1010" t="s">
        <v>24</v>
      </c>
      <c r="G1010" s="1">
        <v>45596</v>
      </c>
      <c r="H1010" t="s">
        <v>1768</v>
      </c>
      <c r="I1010">
        <v>9687640</v>
      </c>
      <c r="J1010">
        <v>484382</v>
      </c>
      <c r="K1010">
        <v>1267</v>
      </c>
      <c r="L1010">
        <v>54200</v>
      </c>
      <c r="M1010">
        <v>5.57E-2</v>
      </c>
      <c r="N1010">
        <v>-0.249</v>
      </c>
      <c r="O1010">
        <v>1</v>
      </c>
      <c r="P1010" t="b">
        <f t="shared" si="31"/>
        <v>1</v>
      </c>
      <c r="Q1010" t="str">
        <f t="shared" si="30"/>
        <v>Negative</v>
      </c>
    </row>
    <row r="1011" spans="1:17" x14ac:dyDescent="0.3">
      <c r="A1011" t="s">
        <v>1769</v>
      </c>
      <c r="B1011" t="s">
        <v>32</v>
      </c>
      <c r="C1011" t="s">
        <v>17</v>
      </c>
      <c r="D1011" t="s">
        <v>54</v>
      </c>
      <c r="E1011" t="s">
        <v>51</v>
      </c>
      <c r="F1011" t="s">
        <v>46</v>
      </c>
      <c r="G1011" s="1">
        <v>45623</v>
      </c>
      <c r="H1011" t="s">
        <v>1770</v>
      </c>
      <c r="I1011">
        <v>1375218</v>
      </c>
      <c r="J1011">
        <v>105786</v>
      </c>
      <c r="K1011">
        <v>22620</v>
      </c>
      <c r="L1011">
        <v>3328</v>
      </c>
      <c r="M1011">
        <v>9.5799999999999996E-2</v>
      </c>
      <c r="N1011">
        <v>0.99399999999999999</v>
      </c>
      <c r="O1011">
        <v>0</v>
      </c>
      <c r="P1011" t="b">
        <f t="shared" si="31"/>
        <v>0</v>
      </c>
      <c r="Q1011" t="str">
        <f t="shared" si="30"/>
        <v>Positive</v>
      </c>
    </row>
    <row r="1012" spans="1:17" x14ac:dyDescent="0.3">
      <c r="A1012" t="s">
        <v>1771</v>
      </c>
      <c r="B1012" t="s">
        <v>32</v>
      </c>
      <c r="C1012" t="s">
        <v>28</v>
      </c>
      <c r="D1012" t="s">
        <v>29</v>
      </c>
      <c r="E1012" t="s">
        <v>51</v>
      </c>
      <c r="F1012" t="s">
        <v>24</v>
      </c>
      <c r="G1012" s="1">
        <v>45652</v>
      </c>
      <c r="H1012" t="s">
        <v>419</v>
      </c>
      <c r="I1012">
        <v>4696920</v>
      </c>
      <c r="J1012">
        <v>173960</v>
      </c>
      <c r="K1012">
        <v>16853</v>
      </c>
      <c r="L1012">
        <v>46831</v>
      </c>
      <c r="M1012">
        <v>5.0599999999999999E-2</v>
      </c>
      <c r="N1012">
        <v>0.23799999999999999</v>
      </c>
      <c r="O1012">
        <v>1</v>
      </c>
      <c r="P1012" t="b">
        <f t="shared" si="31"/>
        <v>1</v>
      </c>
      <c r="Q1012" t="str">
        <f t="shared" si="30"/>
        <v>Positive</v>
      </c>
    </row>
    <row r="1013" spans="1:17" x14ac:dyDescent="0.3">
      <c r="A1013" t="s">
        <v>1772</v>
      </c>
      <c r="B1013" t="s">
        <v>16</v>
      </c>
      <c r="C1013" t="s">
        <v>17</v>
      </c>
      <c r="D1013" t="s">
        <v>37</v>
      </c>
      <c r="E1013" t="s">
        <v>38</v>
      </c>
      <c r="F1013" t="s">
        <v>24</v>
      </c>
      <c r="G1013" s="1">
        <v>45647</v>
      </c>
      <c r="H1013" t="s">
        <v>1773</v>
      </c>
      <c r="I1013">
        <v>7691652</v>
      </c>
      <c r="J1013">
        <v>427314</v>
      </c>
      <c r="K1013">
        <v>27235</v>
      </c>
      <c r="L1013">
        <v>9077</v>
      </c>
      <c r="M1013">
        <v>6.0299999999999999E-2</v>
      </c>
      <c r="N1013">
        <v>-0.32900000000000001</v>
      </c>
      <c r="O1013">
        <v>1</v>
      </c>
      <c r="P1013" t="b">
        <f t="shared" si="31"/>
        <v>1</v>
      </c>
      <c r="Q1013" t="str">
        <f t="shared" si="30"/>
        <v>Negative</v>
      </c>
    </row>
    <row r="1014" spans="1:17" x14ac:dyDescent="0.3">
      <c r="A1014" t="s">
        <v>1774</v>
      </c>
      <c r="B1014" t="s">
        <v>27</v>
      </c>
      <c r="C1014" t="s">
        <v>61</v>
      </c>
      <c r="D1014" t="s">
        <v>33</v>
      </c>
      <c r="E1014" t="s">
        <v>38</v>
      </c>
      <c r="F1014" t="s">
        <v>46</v>
      </c>
      <c r="G1014" s="1">
        <v>45618</v>
      </c>
      <c r="H1014" t="s">
        <v>1775</v>
      </c>
      <c r="I1014">
        <v>8201592</v>
      </c>
      <c r="J1014">
        <v>390552</v>
      </c>
      <c r="K1014">
        <v>5755</v>
      </c>
      <c r="L1014">
        <v>78769</v>
      </c>
      <c r="M1014">
        <v>5.79E-2</v>
      </c>
      <c r="N1014">
        <v>0.70499999999999996</v>
      </c>
      <c r="O1014">
        <v>1</v>
      </c>
      <c r="P1014" t="b">
        <f t="shared" si="31"/>
        <v>1</v>
      </c>
      <c r="Q1014" t="str">
        <f t="shared" si="30"/>
        <v>Positive</v>
      </c>
    </row>
    <row r="1015" spans="1:17" x14ac:dyDescent="0.3">
      <c r="A1015" t="s">
        <v>1776</v>
      </c>
      <c r="B1015" t="s">
        <v>16</v>
      </c>
      <c r="C1015" t="s">
        <v>28</v>
      </c>
      <c r="D1015" t="s">
        <v>37</v>
      </c>
      <c r="E1015" t="s">
        <v>19</v>
      </c>
      <c r="F1015" t="s">
        <v>55</v>
      </c>
      <c r="G1015" s="1">
        <v>45531</v>
      </c>
      <c r="H1015" t="s">
        <v>1777</v>
      </c>
      <c r="I1015">
        <v>7657362</v>
      </c>
      <c r="J1015">
        <v>425409</v>
      </c>
      <c r="K1015">
        <v>25505</v>
      </c>
      <c r="L1015">
        <v>87955</v>
      </c>
      <c r="M1015">
        <v>7.0400000000000004E-2</v>
      </c>
      <c r="N1015">
        <v>-0.22900000000000001</v>
      </c>
      <c r="O1015">
        <v>1</v>
      </c>
      <c r="P1015" t="b">
        <f t="shared" si="31"/>
        <v>1</v>
      </c>
      <c r="Q1015" t="str">
        <f t="shared" si="30"/>
        <v>Negative</v>
      </c>
    </row>
    <row r="1016" spans="1:17" x14ac:dyDescent="0.3">
      <c r="A1016" t="s">
        <v>1778</v>
      </c>
      <c r="B1016" t="s">
        <v>32</v>
      </c>
      <c r="C1016" t="s">
        <v>17</v>
      </c>
      <c r="D1016" t="s">
        <v>54</v>
      </c>
      <c r="E1016" t="s">
        <v>19</v>
      </c>
      <c r="F1016" t="s">
        <v>46</v>
      </c>
      <c r="G1016" s="1">
        <v>45302</v>
      </c>
      <c r="H1016" t="s">
        <v>1779</v>
      </c>
      <c r="I1016">
        <v>2887806</v>
      </c>
      <c r="J1016">
        <v>481301</v>
      </c>
      <c r="K1016">
        <v>17483</v>
      </c>
      <c r="L1016">
        <v>35180</v>
      </c>
      <c r="M1016">
        <v>0.18490000000000001</v>
      </c>
      <c r="N1016">
        <v>-0.05</v>
      </c>
      <c r="O1016">
        <v>1</v>
      </c>
      <c r="P1016" t="b">
        <f t="shared" si="31"/>
        <v>1</v>
      </c>
      <c r="Q1016" t="str">
        <f t="shared" si="30"/>
        <v>Negative</v>
      </c>
    </row>
    <row r="1017" spans="1:17" x14ac:dyDescent="0.3">
      <c r="A1017" t="s">
        <v>1780</v>
      </c>
      <c r="B1017" t="s">
        <v>66</v>
      </c>
      <c r="C1017" t="s">
        <v>17</v>
      </c>
      <c r="D1017" t="s">
        <v>29</v>
      </c>
      <c r="E1017" t="s">
        <v>41</v>
      </c>
      <c r="F1017" t="s">
        <v>24</v>
      </c>
      <c r="G1017" s="1">
        <v>45461</v>
      </c>
      <c r="H1017" t="s">
        <v>150</v>
      </c>
      <c r="I1017">
        <v>2811942</v>
      </c>
      <c r="J1017">
        <v>200853</v>
      </c>
      <c r="K1017">
        <v>32106</v>
      </c>
      <c r="L1017">
        <v>2776</v>
      </c>
      <c r="M1017">
        <v>8.3799999999999999E-2</v>
      </c>
      <c r="N1017">
        <v>-0.85</v>
      </c>
      <c r="O1017">
        <v>1</v>
      </c>
      <c r="P1017" t="b">
        <f t="shared" si="31"/>
        <v>1</v>
      </c>
      <c r="Q1017" t="str">
        <f t="shared" si="30"/>
        <v>Negative</v>
      </c>
    </row>
    <row r="1018" spans="1:17" x14ac:dyDescent="0.3">
      <c r="A1018" t="s">
        <v>1781</v>
      </c>
      <c r="B1018" t="s">
        <v>16</v>
      </c>
      <c r="C1018" t="s">
        <v>17</v>
      </c>
      <c r="D1018" t="s">
        <v>33</v>
      </c>
      <c r="E1018" t="s">
        <v>38</v>
      </c>
      <c r="F1018" t="s">
        <v>24</v>
      </c>
      <c r="G1018" s="1">
        <v>45596</v>
      </c>
      <c r="H1018" t="s">
        <v>1782</v>
      </c>
      <c r="I1018">
        <v>12735466</v>
      </c>
      <c r="J1018">
        <v>439154</v>
      </c>
      <c r="K1018">
        <v>19544</v>
      </c>
      <c r="L1018">
        <v>57125</v>
      </c>
      <c r="M1018">
        <v>4.0500000000000001E-2</v>
      </c>
      <c r="N1018">
        <v>0.93600000000000005</v>
      </c>
      <c r="O1018">
        <v>1</v>
      </c>
      <c r="P1018" t="b">
        <f t="shared" si="31"/>
        <v>1</v>
      </c>
      <c r="Q1018" t="str">
        <f t="shared" si="30"/>
        <v>Positive</v>
      </c>
    </row>
    <row r="1019" spans="1:17" x14ac:dyDescent="0.3">
      <c r="A1019" t="s">
        <v>1783</v>
      </c>
      <c r="B1019" t="s">
        <v>16</v>
      </c>
      <c r="C1019" t="s">
        <v>61</v>
      </c>
      <c r="D1019" t="s">
        <v>73</v>
      </c>
      <c r="E1019" t="s">
        <v>58</v>
      </c>
      <c r="F1019" t="s">
        <v>34</v>
      </c>
      <c r="G1019" s="1">
        <v>45425</v>
      </c>
      <c r="H1019" t="s">
        <v>1784</v>
      </c>
      <c r="I1019">
        <v>5014953</v>
      </c>
      <c r="J1019">
        <v>185739</v>
      </c>
      <c r="K1019">
        <v>37104</v>
      </c>
      <c r="L1019">
        <v>75832</v>
      </c>
      <c r="M1019">
        <v>5.96E-2</v>
      </c>
      <c r="N1019">
        <v>0.59699999999999998</v>
      </c>
      <c r="O1019">
        <v>1</v>
      </c>
      <c r="P1019" t="b">
        <f t="shared" si="31"/>
        <v>1</v>
      </c>
      <c r="Q1019" t="str">
        <f t="shared" si="30"/>
        <v>Positive</v>
      </c>
    </row>
    <row r="1020" spans="1:17" x14ac:dyDescent="0.3">
      <c r="A1020" t="s">
        <v>1785</v>
      </c>
      <c r="B1020" t="s">
        <v>66</v>
      </c>
      <c r="C1020" t="s">
        <v>61</v>
      </c>
      <c r="D1020" t="s">
        <v>73</v>
      </c>
      <c r="E1020" t="s">
        <v>51</v>
      </c>
      <c r="F1020" t="s">
        <v>55</v>
      </c>
      <c r="G1020" s="1">
        <v>45444</v>
      </c>
      <c r="H1020" t="s">
        <v>44</v>
      </c>
      <c r="I1020">
        <v>9869020</v>
      </c>
      <c r="J1020">
        <v>352465</v>
      </c>
      <c r="K1020">
        <v>49348</v>
      </c>
      <c r="L1020">
        <v>25480</v>
      </c>
      <c r="M1020">
        <v>4.3299999999999998E-2</v>
      </c>
      <c r="N1020">
        <v>-0.74099999999999999</v>
      </c>
      <c r="O1020">
        <v>1</v>
      </c>
      <c r="P1020" t="b">
        <f t="shared" si="31"/>
        <v>1</v>
      </c>
      <c r="Q1020" t="str">
        <f t="shared" si="30"/>
        <v>Negative</v>
      </c>
    </row>
    <row r="1021" spans="1:17" x14ac:dyDescent="0.3">
      <c r="A1021" t="s">
        <v>1786</v>
      </c>
      <c r="B1021" t="s">
        <v>16</v>
      </c>
      <c r="C1021" t="s">
        <v>28</v>
      </c>
      <c r="D1021" t="s">
        <v>18</v>
      </c>
      <c r="E1021" t="s">
        <v>51</v>
      </c>
      <c r="F1021" t="s">
        <v>24</v>
      </c>
      <c r="G1021" s="1">
        <v>45644</v>
      </c>
      <c r="H1021" t="s">
        <v>358</v>
      </c>
      <c r="I1021">
        <v>3966032</v>
      </c>
      <c r="J1021">
        <v>495754</v>
      </c>
      <c r="K1021">
        <v>44576</v>
      </c>
      <c r="L1021">
        <v>15409</v>
      </c>
      <c r="M1021">
        <v>0.1401</v>
      </c>
      <c r="N1021">
        <v>0.34799999999999998</v>
      </c>
      <c r="O1021">
        <v>1</v>
      </c>
      <c r="P1021" t="b">
        <f t="shared" si="31"/>
        <v>1</v>
      </c>
      <c r="Q1021" t="str">
        <f t="shared" si="30"/>
        <v>Positive</v>
      </c>
    </row>
    <row r="1022" spans="1:17" x14ac:dyDescent="0.3">
      <c r="A1022" t="s">
        <v>1787</v>
      </c>
      <c r="B1022" t="s">
        <v>16</v>
      </c>
      <c r="C1022" t="s">
        <v>61</v>
      </c>
      <c r="D1022" t="s">
        <v>33</v>
      </c>
      <c r="E1022" t="s">
        <v>51</v>
      </c>
      <c r="F1022" t="s">
        <v>34</v>
      </c>
      <c r="G1022" s="1">
        <v>45377</v>
      </c>
      <c r="H1022" t="s">
        <v>1788</v>
      </c>
      <c r="I1022">
        <v>7243470</v>
      </c>
      <c r="J1022">
        <v>278595</v>
      </c>
      <c r="K1022">
        <v>4136</v>
      </c>
      <c r="L1022">
        <v>44826</v>
      </c>
      <c r="M1022">
        <v>4.5199999999999997E-2</v>
      </c>
      <c r="N1022">
        <v>0.79600000000000004</v>
      </c>
      <c r="O1022">
        <v>1</v>
      </c>
      <c r="P1022" t="b">
        <f t="shared" si="31"/>
        <v>1</v>
      </c>
      <c r="Q1022" t="str">
        <f t="shared" si="30"/>
        <v>Positive</v>
      </c>
    </row>
    <row r="1023" spans="1:17" x14ac:dyDescent="0.3">
      <c r="A1023" t="s">
        <v>1789</v>
      </c>
      <c r="B1023" t="s">
        <v>16</v>
      </c>
      <c r="C1023" t="s">
        <v>28</v>
      </c>
      <c r="D1023" t="s">
        <v>33</v>
      </c>
      <c r="E1023" t="s">
        <v>38</v>
      </c>
      <c r="F1023" t="s">
        <v>20</v>
      </c>
      <c r="G1023" s="1">
        <v>45397</v>
      </c>
      <c r="H1023" t="s">
        <v>434</v>
      </c>
      <c r="I1023">
        <v>8413132</v>
      </c>
      <c r="J1023">
        <v>300469</v>
      </c>
      <c r="K1023">
        <v>38852</v>
      </c>
      <c r="L1023">
        <v>12454</v>
      </c>
      <c r="M1023">
        <v>4.1799999999999997E-2</v>
      </c>
      <c r="N1023">
        <v>-0.69</v>
      </c>
      <c r="O1023">
        <v>1</v>
      </c>
      <c r="P1023" t="b">
        <f t="shared" si="31"/>
        <v>1</v>
      </c>
      <c r="Q1023" t="str">
        <f t="shared" si="30"/>
        <v>Negative</v>
      </c>
    </row>
    <row r="1024" spans="1:17" x14ac:dyDescent="0.3">
      <c r="A1024" t="s">
        <v>1790</v>
      </c>
      <c r="B1024" t="s">
        <v>16</v>
      </c>
      <c r="C1024" t="s">
        <v>28</v>
      </c>
      <c r="D1024" t="s">
        <v>37</v>
      </c>
      <c r="E1024" t="s">
        <v>58</v>
      </c>
      <c r="F1024" t="s">
        <v>55</v>
      </c>
      <c r="G1024" s="1">
        <v>45485</v>
      </c>
      <c r="H1024" t="s">
        <v>536</v>
      </c>
      <c r="I1024">
        <v>11046942</v>
      </c>
      <c r="J1024">
        <v>409146</v>
      </c>
      <c r="K1024">
        <v>47898</v>
      </c>
      <c r="L1024">
        <v>44674</v>
      </c>
      <c r="M1024">
        <v>4.5400000000000003E-2</v>
      </c>
      <c r="N1024">
        <v>0.41299999999999998</v>
      </c>
      <c r="O1024">
        <v>1</v>
      </c>
      <c r="P1024" t="b">
        <f t="shared" si="31"/>
        <v>1</v>
      </c>
      <c r="Q1024" t="str">
        <f t="shared" si="30"/>
        <v>Positive</v>
      </c>
    </row>
    <row r="1025" spans="1:17" x14ac:dyDescent="0.3">
      <c r="A1025" t="s">
        <v>1791</v>
      </c>
      <c r="B1025" t="s">
        <v>16</v>
      </c>
      <c r="C1025" t="s">
        <v>61</v>
      </c>
      <c r="D1025" t="s">
        <v>33</v>
      </c>
      <c r="E1025" t="s">
        <v>19</v>
      </c>
      <c r="F1025" t="s">
        <v>46</v>
      </c>
      <c r="G1025" s="1">
        <v>45505</v>
      </c>
      <c r="H1025" t="s">
        <v>1792</v>
      </c>
      <c r="I1025">
        <v>1210905</v>
      </c>
      <c r="J1025">
        <v>134545</v>
      </c>
      <c r="K1025">
        <v>10340</v>
      </c>
      <c r="L1025">
        <v>23742</v>
      </c>
      <c r="M1025">
        <v>0.13930000000000001</v>
      </c>
      <c r="N1025">
        <v>-4.2999999999999997E-2</v>
      </c>
      <c r="O1025">
        <v>0</v>
      </c>
      <c r="P1025" t="b">
        <f t="shared" si="31"/>
        <v>0</v>
      </c>
      <c r="Q1025" t="str">
        <f t="shared" si="30"/>
        <v>Negative</v>
      </c>
    </row>
    <row r="1026" spans="1:17" x14ac:dyDescent="0.3">
      <c r="A1026" t="s">
        <v>1793</v>
      </c>
      <c r="B1026" t="s">
        <v>27</v>
      </c>
      <c r="C1026" t="s">
        <v>28</v>
      </c>
      <c r="D1026" t="s">
        <v>29</v>
      </c>
      <c r="E1026" t="s">
        <v>38</v>
      </c>
      <c r="F1026" t="s">
        <v>55</v>
      </c>
      <c r="G1026" s="1">
        <v>45637</v>
      </c>
      <c r="H1026" t="s">
        <v>1794</v>
      </c>
      <c r="I1026">
        <v>2974122</v>
      </c>
      <c r="J1026">
        <v>165229</v>
      </c>
      <c r="K1026">
        <v>1452</v>
      </c>
      <c r="L1026">
        <v>19584</v>
      </c>
      <c r="M1026">
        <v>6.2600000000000003E-2</v>
      </c>
      <c r="N1026">
        <v>-0.377</v>
      </c>
      <c r="O1026">
        <v>1</v>
      </c>
      <c r="P1026" t="b">
        <f t="shared" si="31"/>
        <v>1</v>
      </c>
      <c r="Q1026" t="str">
        <f t="shared" ref="Q1026:Q1089" si="32">IF(N1026&gt;0,"Positive","Negative")</f>
        <v>Negative</v>
      </c>
    </row>
    <row r="1027" spans="1:17" x14ac:dyDescent="0.3">
      <c r="A1027" t="s">
        <v>1795</v>
      </c>
      <c r="B1027" t="s">
        <v>32</v>
      </c>
      <c r="C1027" t="s">
        <v>28</v>
      </c>
      <c r="D1027" t="s">
        <v>37</v>
      </c>
      <c r="E1027" t="s">
        <v>51</v>
      </c>
      <c r="F1027" t="s">
        <v>20</v>
      </c>
      <c r="G1027" s="1">
        <v>45378</v>
      </c>
      <c r="H1027" t="s">
        <v>1796</v>
      </c>
      <c r="I1027">
        <v>10340757</v>
      </c>
      <c r="J1027">
        <v>382991</v>
      </c>
      <c r="K1027">
        <v>19572</v>
      </c>
      <c r="L1027">
        <v>79676</v>
      </c>
      <c r="M1027">
        <v>4.6600000000000003E-2</v>
      </c>
      <c r="N1027">
        <v>-0.83499999999999996</v>
      </c>
      <c r="O1027">
        <v>1</v>
      </c>
      <c r="P1027" t="b">
        <f t="shared" ref="P1027:P1090" si="33">IF(O1027=1,TRUE,FALSE)</f>
        <v>1</v>
      </c>
      <c r="Q1027" t="str">
        <f t="shared" si="32"/>
        <v>Negative</v>
      </c>
    </row>
    <row r="1028" spans="1:17" x14ac:dyDescent="0.3">
      <c r="A1028" t="s">
        <v>1797</v>
      </c>
      <c r="B1028" t="s">
        <v>32</v>
      </c>
      <c r="C1028" t="s">
        <v>61</v>
      </c>
      <c r="D1028" t="s">
        <v>33</v>
      </c>
      <c r="E1028" t="s">
        <v>41</v>
      </c>
      <c r="F1028" t="s">
        <v>34</v>
      </c>
      <c r="G1028" s="1">
        <v>45430</v>
      </c>
      <c r="H1028" t="s">
        <v>1798</v>
      </c>
      <c r="I1028">
        <v>13878066</v>
      </c>
      <c r="J1028">
        <v>478554</v>
      </c>
      <c r="K1028">
        <v>25571</v>
      </c>
      <c r="L1028">
        <v>73194</v>
      </c>
      <c r="M1028">
        <v>4.1599999999999998E-2</v>
      </c>
      <c r="N1028">
        <v>0.43</v>
      </c>
      <c r="O1028">
        <v>1</v>
      </c>
      <c r="P1028" t="b">
        <f t="shared" si="33"/>
        <v>1</v>
      </c>
      <c r="Q1028" t="str">
        <f t="shared" si="32"/>
        <v>Positive</v>
      </c>
    </row>
    <row r="1029" spans="1:17" x14ac:dyDescent="0.3">
      <c r="A1029" t="s">
        <v>1799</v>
      </c>
      <c r="B1029" t="s">
        <v>16</v>
      </c>
      <c r="C1029" t="s">
        <v>61</v>
      </c>
      <c r="D1029" t="s">
        <v>37</v>
      </c>
      <c r="E1029" t="s">
        <v>19</v>
      </c>
      <c r="F1029" t="s">
        <v>55</v>
      </c>
      <c r="G1029" s="1">
        <v>45570</v>
      </c>
      <c r="H1029" t="s">
        <v>1800</v>
      </c>
      <c r="I1029">
        <v>4287128</v>
      </c>
      <c r="J1029">
        <v>252184</v>
      </c>
      <c r="K1029">
        <v>41190</v>
      </c>
      <c r="L1029">
        <v>92950</v>
      </c>
      <c r="M1029">
        <v>9.01E-2</v>
      </c>
      <c r="N1029">
        <v>-0.30599999999999999</v>
      </c>
      <c r="O1029">
        <v>1</v>
      </c>
      <c r="P1029" t="b">
        <f t="shared" si="33"/>
        <v>1</v>
      </c>
      <c r="Q1029" t="str">
        <f t="shared" si="32"/>
        <v>Negative</v>
      </c>
    </row>
    <row r="1030" spans="1:17" x14ac:dyDescent="0.3">
      <c r="A1030" t="s">
        <v>1801</v>
      </c>
      <c r="B1030" t="s">
        <v>66</v>
      </c>
      <c r="C1030" t="s">
        <v>61</v>
      </c>
      <c r="D1030" t="s">
        <v>29</v>
      </c>
      <c r="E1030" t="s">
        <v>58</v>
      </c>
      <c r="F1030" t="s">
        <v>46</v>
      </c>
      <c r="G1030" s="1">
        <v>45294</v>
      </c>
      <c r="H1030" t="s">
        <v>104</v>
      </c>
      <c r="I1030">
        <v>8005346</v>
      </c>
      <c r="J1030">
        <v>421334</v>
      </c>
      <c r="K1030">
        <v>45996</v>
      </c>
      <c r="L1030">
        <v>73617</v>
      </c>
      <c r="M1030">
        <v>6.7599999999999993E-2</v>
      </c>
      <c r="N1030">
        <v>-0.60199999999999998</v>
      </c>
      <c r="O1030">
        <v>1</v>
      </c>
      <c r="P1030" t="b">
        <f t="shared" si="33"/>
        <v>1</v>
      </c>
      <c r="Q1030" t="str">
        <f t="shared" si="32"/>
        <v>Negative</v>
      </c>
    </row>
    <row r="1031" spans="1:17" x14ac:dyDescent="0.3">
      <c r="A1031" t="s">
        <v>1802</v>
      </c>
      <c r="B1031" t="s">
        <v>66</v>
      </c>
      <c r="C1031" t="s">
        <v>17</v>
      </c>
      <c r="D1031" t="s">
        <v>37</v>
      </c>
      <c r="E1031" t="s">
        <v>41</v>
      </c>
      <c r="F1031" t="s">
        <v>24</v>
      </c>
      <c r="G1031" s="1">
        <v>45504</v>
      </c>
      <c r="H1031" t="s">
        <v>334</v>
      </c>
      <c r="I1031">
        <v>2210442</v>
      </c>
      <c r="J1031">
        <v>170034</v>
      </c>
      <c r="K1031">
        <v>21163</v>
      </c>
      <c r="L1031">
        <v>43857</v>
      </c>
      <c r="M1031">
        <v>0.10630000000000001</v>
      </c>
      <c r="N1031">
        <v>0.88100000000000001</v>
      </c>
      <c r="O1031">
        <v>1</v>
      </c>
      <c r="P1031" t="b">
        <f t="shared" si="33"/>
        <v>1</v>
      </c>
      <c r="Q1031" t="str">
        <f t="shared" si="32"/>
        <v>Positive</v>
      </c>
    </row>
    <row r="1032" spans="1:17" x14ac:dyDescent="0.3">
      <c r="A1032" t="s">
        <v>1803</v>
      </c>
      <c r="B1032" t="s">
        <v>32</v>
      </c>
      <c r="C1032" t="s">
        <v>23</v>
      </c>
      <c r="D1032" t="s">
        <v>37</v>
      </c>
      <c r="E1032" t="s">
        <v>58</v>
      </c>
      <c r="F1032" t="s">
        <v>55</v>
      </c>
      <c r="G1032" s="1">
        <v>45380</v>
      </c>
      <c r="H1032" t="s">
        <v>1804</v>
      </c>
      <c r="I1032">
        <v>5558541</v>
      </c>
      <c r="J1032">
        <v>326973</v>
      </c>
      <c r="K1032">
        <v>28383</v>
      </c>
      <c r="L1032">
        <v>54354</v>
      </c>
      <c r="M1032">
        <v>7.3700000000000002E-2</v>
      </c>
      <c r="N1032">
        <v>0.48299999999999998</v>
      </c>
      <c r="O1032">
        <v>1</v>
      </c>
      <c r="P1032" t="b">
        <f t="shared" si="33"/>
        <v>1</v>
      </c>
      <c r="Q1032" t="str">
        <f t="shared" si="32"/>
        <v>Positive</v>
      </c>
    </row>
    <row r="1033" spans="1:17" x14ac:dyDescent="0.3">
      <c r="A1033" t="s">
        <v>1805</v>
      </c>
      <c r="B1033" t="s">
        <v>16</v>
      </c>
      <c r="C1033" t="s">
        <v>23</v>
      </c>
      <c r="D1033" t="s">
        <v>54</v>
      </c>
      <c r="E1033" t="s">
        <v>19</v>
      </c>
      <c r="F1033" t="s">
        <v>20</v>
      </c>
      <c r="G1033" s="1">
        <v>45411</v>
      </c>
      <c r="H1033" t="s">
        <v>1806</v>
      </c>
      <c r="I1033">
        <v>726902</v>
      </c>
      <c r="J1033">
        <v>66082</v>
      </c>
      <c r="K1033">
        <v>36688</v>
      </c>
      <c r="L1033">
        <v>17619</v>
      </c>
      <c r="M1033">
        <v>0.1656</v>
      </c>
      <c r="N1033">
        <v>-0.76600000000000001</v>
      </c>
      <c r="O1033">
        <v>0</v>
      </c>
      <c r="P1033" t="b">
        <f t="shared" si="33"/>
        <v>0</v>
      </c>
      <c r="Q1033" t="str">
        <f t="shared" si="32"/>
        <v>Negative</v>
      </c>
    </row>
    <row r="1034" spans="1:17" x14ac:dyDescent="0.3">
      <c r="A1034" t="s">
        <v>1807</v>
      </c>
      <c r="B1034" t="s">
        <v>66</v>
      </c>
      <c r="C1034" t="s">
        <v>23</v>
      </c>
      <c r="D1034" t="s">
        <v>54</v>
      </c>
      <c r="E1034" t="s">
        <v>19</v>
      </c>
      <c r="F1034" t="s">
        <v>34</v>
      </c>
      <c r="G1034" s="1">
        <v>45638</v>
      </c>
      <c r="H1034" t="s">
        <v>610</v>
      </c>
      <c r="I1034">
        <v>4095873</v>
      </c>
      <c r="J1034">
        <v>151699</v>
      </c>
      <c r="K1034">
        <v>23574</v>
      </c>
      <c r="L1034">
        <v>11152</v>
      </c>
      <c r="M1034">
        <v>4.5499999999999999E-2</v>
      </c>
      <c r="N1034">
        <v>0.39700000000000002</v>
      </c>
      <c r="O1034">
        <v>1</v>
      </c>
      <c r="P1034" t="b">
        <f t="shared" si="33"/>
        <v>1</v>
      </c>
      <c r="Q1034" t="str">
        <f t="shared" si="32"/>
        <v>Positive</v>
      </c>
    </row>
    <row r="1035" spans="1:17" x14ac:dyDescent="0.3">
      <c r="A1035" t="s">
        <v>1808</v>
      </c>
      <c r="B1035" t="s">
        <v>66</v>
      </c>
      <c r="C1035" t="s">
        <v>61</v>
      </c>
      <c r="D1035" t="s">
        <v>29</v>
      </c>
      <c r="E1035" t="s">
        <v>38</v>
      </c>
      <c r="F1035" t="s">
        <v>46</v>
      </c>
      <c r="G1035" s="1">
        <v>45491</v>
      </c>
      <c r="H1035" t="s">
        <v>1472</v>
      </c>
      <c r="I1035">
        <v>561918</v>
      </c>
      <c r="J1035">
        <v>33054</v>
      </c>
      <c r="K1035">
        <v>47453</v>
      </c>
      <c r="L1035">
        <v>35304</v>
      </c>
      <c r="M1035">
        <v>0.20610000000000001</v>
      </c>
      <c r="N1035">
        <v>0.78</v>
      </c>
      <c r="O1035">
        <v>0</v>
      </c>
      <c r="P1035" t="b">
        <f t="shared" si="33"/>
        <v>0</v>
      </c>
      <c r="Q1035" t="str">
        <f t="shared" si="32"/>
        <v>Positive</v>
      </c>
    </row>
    <row r="1036" spans="1:17" x14ac:dyDescent="0.3">
      <c r="A1036" t="s">
        <v>1809</v>
      </c>
      <c r="B1036" t="s">
        <v>32</v>
      </c>
      <c r="C1036" t="s">
        <v>61</v>
      </c>
      <c r="D1036" t="s">
        <v>18</v>
      </c>
      <c r="E1036" t="s">
        <v>19</v>
      </c>
      <c r="F1036" t="s">
        <v>24</v>
      </c>
      <c r="G1036" s="1">
        <v>45557</v>
      </c>
      <c r="H1036" t="s">
        <v>177</v>
      </c>
      <c r="I1036">
        <v>10600332</v>
      </c>
      <c r="J1036">
        <v>460884</v>
      </c>
      <c r="K1036">
        <v>1257</v>
      </c>
      <c r="L1036">
        <v>71046</v>
      </c>
      <c r="M1036">
        <v>5.0299999999999997E-2</v>
      </c>
      <c r="N1036">
        <v>0.47199999999999998</v>
      </c>
      <c r="O1036">
        <v>1</v>
      </c>
      <c r="P1036" t="b">
        <f t="shared" si="33"/>
        <v>1</v>
      </c>
      <c r="Q1036" t="str">
        <f t="shared" si="32"/>
        <v>Positive</v>
      </c>
    </row>
    <row r="1037" spans="1:17" x14ac:dyDescent="0.3">
      <c r="A1037" t="s">
        <v>1810</v>
      </c>
      <c r="B1037" t="s">
        <v>66</v>
      </c>
      <c r="C1037" t="s">
        <v>28</v>
      </c>
      <c r="D1037" t="s">
        <v>73</v>
      </c>
      <c r="E1037" t="s">
        <v>38</v>
      </c>
      <c r="F1037" t="s">
        <v>55</v>
      </c>
      <c r="G1037" s="1">
        <v>45511</v>
      </c>
      <c r="H1037" t="s">
        <v>1811</v>
      </c>
      <c r="I1037">
        <v>8899878</v>
      </c>
      <c r="J1037">
        <v>342303</v>
      </c>
      <c r="K1037">
        <v>1886</v>
      </c>
      <c r="L1037">
        <v>33038</v>
      </c>
      <c r="M1037">
        <v>4.24E-2</v>
      </c>
      <c r="N1037">
        <v>-0.54</v>
      </c>
      <c r="O1037">
        <v>1</v>
      </c>
      <c r="P1037" t="b">
        <f t="shared" si="33"/>
        <v>1</v>
      </c>
      <c r="Q1037" t="str">
        <f t="shared" si="32"/>
        <v>Negative</v>
      </c>
    </row>
    <row r="1038" spans="1:17" x14ac:dyDescent="0.3">
      <c r="A1038" t="s">
        <v>1812</v>
      </c>
      <c r="B1038" t="s">
        <v>27</v>
      </c>
      <c r="C1038" t="s">
        <v>17</v>
      </c>
      <c r="D1038" t="s">
        <v>37</v>
      </c>
      <c r="E1038" t="s">
        <v>38</v>
      </c>
      <c r="F1038" t="s">
        <v>20</v>
      </c>
      <c r="G1038" s="1">
        <v>45323</v>
      </c>
      <c r="H1038" t="s">
        <v>1427</v>
      </c>
      <c r="I1038">
        <v>3649322</v>
      </c>
      <c r="J1038">
        <v>214666</v>
      </c>
      <c r="K1038">
        <v>46156</v>
      </c>
      <c r="L1038">
        <v>48921</v>
      </c>
      <c r="M1038">
        <v>8.4900000000000003E-2</v>
      </c>
      <c r="N1038">
        <v>0.32300000000000001</v>
      </c>
      <c r="O1038">
        <v>1</v>
      </c>
      <c r="P1038" t="b">
        <f t="shared" si="33"/>
        <v>1</v>
      </c>
      <c r="Q1038" t="str">
        <f t="shared" si="32"/>
        <v>Positive</v>
      </c>
    </row>
    <row r="1039" spans="1:17" x14ac:dyDescent="0.3">
      <c r="A1039" t="s">
        <v>1813</v>
      </c>
      <c r="B1039" t="s">
        <v>32</v>
      </c>
      <c r="C1039" t="s">
        <v>61</v>
      </c>
      <c r="D1039" t="s">
        <v>33</v>
      </c>
      <c r="E1039" t="s">
        <v>58</v>
      </c>
      <c r="F1039" t="s">
        <v>24</v>
      </c>
      <c r="G1039" s="1">
        <v>45322</v>
      </c>
      <c r="H1039" t="s">
        <v>290</v>
      </c>
      <c r="I1039">
        <v>13262844</v>
      </c>
      <c r="J1039">
        <v>473673</v>
      </c>
      <c r="K1039">
        <v>3267</v>
      </c>
      <c r="L1039">
        <v>66982</v>
      </c>
      <c r="M1039">
        <v>4.1000000000000002E-2</v>
      </c>
      <c r="N1039">
        <v>-0.629</v>
      </c>
      <c r="O1039">
        <v>1</v>
      </c>
      <c r="P1039" t="b">
        <f t="shared" si="33"/>
        <v>1</v>
      </c>
      <c r="Q1039" t="str">
        <f t="shared" si="32"/>
        <v>Negative</v>
      </c>
    </row>
    <row r="1040" spans="1:17" x14ac:dyDescent="0.3">
      <c r="A1040" t="s">
        <v>1814</v>
      </c>
      <c r="B1040" t="s">
        <v>66</v>
      </c>
      <c r="C1040" t="s">
        <v>61</v>
      </c>
      <c r="D1040" t="s">
        <v>54</v>
      </c>
      <c r="E1040" t="s">
        <v>38</v>
      </c>
      <c r="F1040" t="s">
        <v>20</v>
      </c>
      <c r="G1040" s="1">
        <v>45437</v>
      </c>
      <c r="H1040" t="s">
        <v>1815</v>
      </c>
      <c r="I1040">
        <v>5741393</v>
      </c>
      <c r="J1040">
        <v>337729</v>
      </c>
      <c r="K1040">
        <v>23968</v>
      </c>
      <c r="L1040">
        <v>50819</v>
      </c>
      <c r="M1040">
        <v>7.1800000000000003E-2</v>
      </c>
      <c r="N1040">
        <v>-0.187</v>
      </c>
      <c r="O1040">
        <v>1</v>
      </c>
      <c r="P1040" t="b">
        <f t="shared" si="33"/>
        <v>1</v>
      </c>
      <c r="Q1040" t="str">
        <f t="shared" si="32"/>
        <v>Negative</v>
      </c>
    </row>
    <row r="1041" spans="1:17" x14ac:dyDescent="0.3">
      <c r="A1041" t="s">
        <v>1816</v>
      </c>
      <c r="B1041" t="s">
        <v>32</v>
      </c>
      <c r="C1041" t="s">
        <v>17</v>
      </c>
      <c r="D1041" t="s">
        <v>29</v>
      </c>
      <c r="E1041" t="s">
        <v>51</v>
      </c>
      <c r="F1041" t="s">
        <v>46</v>
      </c>
      <c r="G1041" s="1">
        <v>45432</v>
      </c>
      <c r="H1041" t="s">
        <v>1817</v>
      </c>
      <c r="I1041">
        <v>5908068</v>
      </c>
      <c r="J1041">
        <v>492339</v>
      </c>
      <c r="K1041">
        <v>8602</v>
      </c>
      <c r="L1041">
        <v>63910</v>
      </c>
      <c r="M1041">
        <v>9.5600000000000004E-2</v>
      </c>
      <c r="N1041">
        <v>0.11799999999999999</v>
      </c>
      <c r="O1041">
        <v>1</v>
      </c>
      <c r="P1041" t="b">
        <f t="shared" si="33"/>
        <v>1</v>
      </c>
      <c r="Q1041" t="str">
        <f t="shared" si="32"/>
        <v>Positive</v>
      </c>
    </row>
    <row r="1042" spans="1:17" x14ac:dyDescent="0.3">
      <c r="A1042" t="s">
        <v>1818</v>
      </c>
      <c r="B1042" t="s">
        <v>27</v>
      </c>
      <c r="C1042" t="s">
        <v>28</v>
      </c>
      <c r="D1042" t="s">
        <v>73</v>
      </c>
      <c r="E1042" t="s">
        <v>58</v>
      </c>
      <c r="F1042" t="s">
        <v>46</v>
      </c>
      <c r="G1042" s="1">
        <v>45483</v>
      </c>
      <c r="H1042" t="s">
        <v>1819</v>
      </c>
      <c r="I1042">
        <v>2278759</v>
      </c>
      <c r="J1042">
        <v>325537</v>
      </c>
      <c r="K1042">
        <v>47293</v>
      </c>
      <c r="L1042">
        <v>25806</v>
      </c>
      <c r="M1042">
        <v>0.1749</v>
      </c>
      <c r="N1042">
        <v>0.878</v>
      </c>
      <c r="O1042">
        <v>1</v>
      </c>
      <c r="P1042" t="b">
        <f t="shared" si="33"/>
        <v>1</v>
      </c>
      <c r="Q1042" t="str">
        <f t="shared" si="32"/>
        <v>Positive</v>
      </c>
    </row>
    <row r="1043" spans="1:17" x14ac:dyDescent="0.3">
      <c r="A1043" t="s">
        <v>1820</v>
      </c>
      <c r="B1043" t="s">
        <v>16</v>
      </c>
      <c r="C1043" t="s">
        <v>17</v>
      </c>
      <c r="D1043" t="s">
        <v>54</v>
      </c>
      <c r="E1043" t="s">
        <v>41</v>
      </c>
      <c r="F1043" t="s">
        <v>24</v>
      </c>
      <c r="G1043" s="1">
        <v>45596</v>
      </c>
      <c r="H1043" t="s">
        <v>1821</v>
      </c>
      <c r="I1043">
        <v>5802783</v>
      </c>
      <c r="J1043">
        <v>276323</v>
      </c>
      <c r="K1043">
        <v>49855</v>
      </c>
      <c r="L1043">
        <v>72780</v>
      </c>
      <c r="M1043">
        <v>6.88E-2</v>
      </c>
      <c r="N1043">
        <v>0.45900000000000002</v>
      </c>
      <c r="O1043">
        <v>1</v>
      </c>
      <c r="P1043" t="b">
        <f t="shared" si="33"/>
        <v>1</v>
      </c>
      <c r="Q1043" t="str">
        <f t="shared" si="32"/>
        <v>Positive</v>
      </c>
    </row>
    <row r="1044" spans="1:17" x14ac:dyDescent="0.3">
      <c r="A1044" t="s">
        <v>1822</v>
      </c>
      <c r="B1044" t="s">
        <v>27</v>
      </c>
      <c r="C1044" t="s">
        <v>23</v>
      </c>
      <c r="D1044" t="s">
        <v>33</v>
      </c>
      <c r="E1044" t="s">
        <v>41</v>
      </c>
      <c r="F1044" t="s">
        <v>55</v>
      </c>
      <c r="G1044" s="1">
        <v>45544</v>
      </c>
      <c r="H1044" t="s">
        <v>1823</v>
      </c>
      <c r="I1044">
        <v>10627584</v>
      </c>
      <c r="J1044">
        <v>442816</v>
      </c>
      <c r="K1044">
        <v>12105</v>
      </c>
      <c r="L1044">
        <v>57022</v>
      </c>
      <c r="M1044">
        <v>4.82E-2</v>
      </c>
      <c r="N1044">
        <v>0.34599999999999997</v>
      </c>
      <c r="O1044">
        <v>1</v>
      </c>
      <c r="P1044" t="b">
        <f t="shared" si="33"/>
        <v>1</v>
      </c>
      <c r="Q1044" t="str">
        <f t="shared" si="32"/>
        <v>Positive</v>
      </c>
    </row>
    <row r="1045" spans="1:17" x14ac:dyDescent="0.3">
      <c r="A1045" t="s">
        <v>1824</v>
      </c>
      <c r="B1045" t="s">
        <v>27</v>
      </c>
      <c r="C1045" t="s">
        <v>23</v>
      </c>
      <c r="D1045" t="s">
        <v>18</v>
      </c>
      <c r="E1045" t="s">
        <v>38</v>
      </c>
      <c r="F1045" t="s">
        <v>34</v>
      </c>
      <c r="G1045" s="1">
        <v>45347</v>
      </c>
      <c r="H1045" t="s">
        <v>354</v>
      </c>
      <c r="I1045">
        <v>4864300</v>
      </c>
      <c r="J1045">
        <v>194572</v>
      </c>
      <c r="K1045">
        <v>26915</v>
      </c>
      <c r="L1045">
        <v>29438</v>
      </c>
      <c r="M1045">
        <v>5.16E-2</v>
      </c>
      <c r="N1045">
        <v>0.748</v>
      </c>
      <c r="O1045">
        <v>1</v>
      </c>
      <c r="P1045" t="b">
        <f t="shared" si="33"/>
        <v>1</v>
      </c>
      <c r="Q1045" t="str">
        <f t="shared" si="32"/>
        <v>Positive</v>
      </c>
    </row>
    <row r="1046" spans="1:17" x14ac:dyDescent="0.3">
      <c r="A1046" t="s">
        <v>1825</v>
      </c>
      <c r="B1046" t="s">
        <v>32</v>
      </c>
      <c r="C1046" t="s">
        <v>17</v>
      </c>
      <c r="D1046" t="s">
        <v>29</v>
      </c>
      <c r="E1046" t="s">
        <v>19</v>
      </c>
      <c r="F1046" t="s">
        <v>55</v>
      </c>
      <c r="G1046" s="1">
        <v>45536</v>
      </c>
      <c r="H1046" t="s">
        <v>1826</v>
      </c>
      <c r="I1046">
        <v>1208912</v>
      </c>
      <c r="J1046">
        <v>151114</v>
      </c>
      <c r="K1046">
        <v>20867</v>
      </c>
      <c r="L1046">
        <v>11670</v>
      </c>
      <c r="M1046">
        <v>0.15190000000000001</v>
      </c>
      <c r="N1046">
        <v>-0.999</v>
      </c>
      <c r="O1046">
        <v>0</v>
      </c>
      <c r="P1046" t="b">
        <f t="shared" si="33"/>
        <v>0</v>
      </c>
      <c r="Q1046" t="str">
        <f t="shared" si="32"/>
        <v>Negative</v>
      </c>
    </row>
    <row r="1047" spans="1:17" x14ac:dyDescent="0.3">
      <c r="A1047" t="s">
        <v>1827</v>
      </c>
      <c r="B1047" t="s">
        <v>32</v>
      </c>
      <c r="C1047" t="s">
        <v>61</v>
      </c>
      <c r="D1047" t="s">
        <v>37</v>
      </c>
      <c r="E1047" t="s">
        <v>19</v>
      </c>
      <c r="F1047" t="s">
        <v>24</v>
      </c>
      <c r="G1047" s="1">
        <v>45586</v>
      </c>
      <c r="H1047" t="s">
        <v>1472</v>
      </c>
      <c r="I1047">
        <v>5735562</v>
      </c>
      <c r="J1047">
        <v>273122</v>
      </c>
      <c r="K1047">
        <v>2990</v>
      </c>
      <c r="L1047">
        <v>97906</v>
      </c>
      <c r="M1047">
        <v>6.5199999999999994E-2</v>
      </c>
      <c r="N1047">
        <v>0.255</v>
      </c>
      <c r="O1047">
        <v>1</v>
      </c>
      <c r="P1047" t="b">
        <f t="shared" si="33"/>
        <v>1</v>
      </c>
      <c r="Q1047" t="str">
        <f t="shared" si="32"/>
        <v>Positive</v>
      </c>
    </row>
    <row r="1048" spans="1:17" x14ac:dyDescent="0.3">
      <c r="A1048" t="s">
        <v>1828</v>
      </c>
      <c r="B1048" t="s">
        <v>16</v>
      </c>
      <c r="C1048" t="s">
        <v>28</v>
      </c>
      <c r="D1048" t="s">
        <v>33</v>
      </c>
      <c r="E1048" t="s">
        <v>51</v>
      </c>
      <c r="F1048" t="s">
        <v>55</v>
      </c>
      <c r="G1048" s="1">
        <v>45526</v>
      </c>
      <c r="H1048" t="s">
        <v>358</v>
      </c>
      <c r="I1048">
        <v>743808</v>
      </c>
      <c r="J1048">
        <v>92976</v>
      </c>
      <c r="K1048">
        <v>341</v>
      </c>
      <c r="L1048">
        <v>42934</v>
      </c>
      <c r="M1048">
        <v>0.1832</v>
      </c>
      <c r="N1048">
        <v>-8.3000000000000004E-2</v>
      </c>
      <c r="O1048">
        <v>0</v>
      </c>
      <c r="P1048" t="b">
        <f t="shared" si="33"/>
        <v>0</v>
      </c>
      <c r="Q1048" t="str">
        <f t="shared" si="32"/>
        <v>Negative</v>
      </c>
    </row>
    <row r="1049" spans="1:17" x14ac:dyDescent="0.3">
      <c r="A1049" t="s">
        <v>1829</v>
      </c>
      <c r="B1049" t="s">
        <v>27</v>
      </c>
      <c r="C1049" t="s">
        <v>61</v>
      </c>
      <c r="D1049" t="s">
        <v>33</v>
      </c>
      <c r="E1049" t="s">
        <v>19</v>
      </c>
      <c r="F1049" t="s">
        <v>46</v>
      </c>
      <c r="G1049" s="1">
        <v>45458</v>
      </c>
      <c r="H1049" t="s">
        <v>1067</v>
      </c>
      <c r="I1049">
        <v>1191768</v>
      </c>
      <c r="J1049">
        <v>99314</v>
      </c>
      <c r="K1049">
        <v>48405</v>
      </c>
      <c r="L1049">
        <v>16280</v>
      </c>
      <c r="M1049">
        <v>0.1376</v>
      </c>
      <c r="N1049">
        <v>0.84099999999999997</v>
      </c>
      <c r="O1049">
        <v>0</v>
      </c>
      <c r="P1049" t="b">
        <f t="shared" si="33"/>
        <v>0</v>
      </c>
      <c r="Q1049" t="str">
        <f t="shared" si="32"/>
        <v>Positive</v>
      </c>
    </row>
    <row r="1050" spans="1:17" x14ac:dyDescent="0.3">
      <c r="A1050" t="s">
        <v>1830</v>
      </c>
      <c r="B1050" t="s">
        <v>32</v>
      </c>
      <c r="C1050" t="s">
        <v>28</v>
      </c>
      <c r="D1050" t="s">
        <v>33</v>
      </c>
      <c r="E1050" t="s">
        <v>41</v>
      </c>
      <c r="F1050" t="s">
        <v>24</v>
      </c>
      <c r="G1050" s="1">
        <v>45624</v>
      </c>
      <c r="H1050" t="s">
        <v>1831</v>
      </c>
      <c r="I1050">
        <v>1034688</v>
      </c>
      <c r="J1050">
        <v>86224</v>
      </c>
      <c r="K1050">
        <v>40219</v>
      </c>
      <c r="L1050">
        <v>77486</v>
      </c>
      <c r="M1050">
        <v>0.1971</v>
      </c>
      <c r="N1050">
        <v>-0.58499999999999996</v>
      </c>
      <c r="O1050">
        <v>0</v>
      </c>
      <c r="P1050" t="b">
        <f t="shared" si="33"/>
        <v>0</v>
      </c>
      <c r="Q1050" t="str">
        <f t="shared" si="32"/>
        <v>Negative</v>
      </c>
    </row>
    <row r="1051" spans="1:17" x14ac:dyDescent="0.3">
      <c r="A1051" t="s">
        <v>1832</v>
      </c>
      <c r="B1051" t="s">
        <v>16</v>
      </c>
      <c r="C1051" t="s">
        <v>17</v>
      </c>
      <c r="D1051" t="s">
        <v>73</v>
      </c>
      <c r="E1051" t="s">
        <v>58</v>
      </c>
      <c r="F1051" t="s">
        <v>34</v>
      </c>
      <c r="G1051" s="1">
        <v>45477</v>
      </c>
      <c r="H1051" t="s">
        <v>1343</v>
      </c>
      <c r="I1051">
        <v>8000013</v>
      </c>
      <c r="J1051">
        <v>470589</v>
      </c>
      <c r="K1051">
        <v>1139</v>
      </c>
      <c r="L1051">
        <v>76475</v>
      </c>
      <c r="M1051">
        <v>6.8500000000000005E-2</v>
      </c>
      <c r="N1051">
        <v>-6.4000000000000001E-2</v>
      </c>
      <c r="O1051">
        <v>1</v>
      </c>
      <c r="P1051" t="b">
        <f t="shared" si="33"/>
        <v>1</v>
      </c>
      <c r="Q1051" t="str">
        <f t="shared" si="32"/>
        <v>Negative</v>
      </c>
    </row>
    <row r="1052" spans="1:17" x14ac:dyDescent="0.3">
      <c r="A1052" t="s">
        <v>1833</v>
      </c>
      <c r="B1052" t="s">
        <v>66</v>
      </c>
      <c r="C1052" t="s">
        <v>17</v>
      </c>
      <c r="D1052" t="s">
        <v>73</v>
      </c>
      <c r="E1052" t="s">
        <v>19</v>
      </c>
      <c r="F1052" t="s">
        <v>55</v>
      </c>
      <c r="G1052" s="1">
        <v>45385</v>
      </c>
      <c r="H1052" t="s">
        <v>201</v>
      </c>
      <c r="I1052">
        <v>9698960</v>
      </c>
      <c r="J1052">
        <v>484948</v>
      </c>
      <c r="K1052">
        <v>41120</v>
      </c>
      <c r="L1052">
        <v>71129</v>
      </c>
      <c r="M1052">
        <v>6.1600000000000002E-2</v>
      </c>
      <c r="N1052">
        <v>0.23100000000000001</v>
      </c>
      <c r="O1052">
        <v>1</v>
      </c>
      <c r="P1052" t="b">
        <f t="shared" si="33"/>
        <v>1</v>
      </c>
      <c r="Q1052" t="str">
        <f t="shared" si="32"/>
        <v>Positive</v>
      </c>
    </row>
    <row r="1053" spans="1:17" x14ac:dyDescent="0.3">
      <c r="A1053" t="s">
        <v>1834</v>
      </c>
      <c r="B1053" t="s">
        <v>27</v>
      </c>
      <c r="C1053" t="s">
        <v>17</v>
      </c>
      <c r="D1053" t="s">
        <v>73</v>
      </c>
      <c r="E1053" t="s">
        <v>41</v>
      </c>
      <c r="F1053" t="s">
        <v>46</v>
      </c>
      <c r="G1053" s="1">
        <v>45344</v>
      </c>
      <c r="H1053" t="s">
        <v>1835</v>
      </c>
      <c r="I1053">
        <v>4361805</v>
      </c>
      <c r="J1053">
        <v>207705</v>
      </c>
      <c r="K1053">
        <v>33494</v>
      </c>
      <c r="L1053">
        <v>56831</v>
      </c>
      <c r="M1053">
        <v>6.83E-2</v>
      </c>
      <c r="N1053">
        <v>0.40799999999999997</v>
      </c>
      <c r="O1053">
        <v>1</v>
      </c>
      <c r="P1053" t="b">
        <f t="shared" si="33"/>
        <v>1</v>
      </c>
      <c r="Q1053" t="str">
        <f t="shared" si="32"/>
        <v>Positive</v>
      </c>
    </row>
    <row r="1054" spans="1:17" x14ac:dyDescent="0.3">
      <c r="A1054" t="s">
        <v>1836</v>
      </c>
      <c r="B1054" t="s">
        <v>32</v>
      </c>
      <c r="C1054" t="s">
        <v>61</v>
      </c>
      <c r="D1054" t="s">
        <v>73</v>
      </c>
      <c r="E1054" t="s">
        <v>51</v>
      </c>
      <c r="F1054" t="s">
        <v>46</v>
      </c>
      <c r="G1054" s="1">
        <v>45511</v>
      </c>
      <c r="H1054" t="s">
        <v>1046</v>
      </c>
      <c r="I1054">
        <v>8775648</v>
      </c>
      <c r="J1054">
        <v>487536</v>
      </c>
      <c r="K1054">
        <v>39524</v>
      </c>
      <c r="L1054">
        <v>49650</v>
      </c>
      <c r="M1054">
        <v>6.5699999999999995E-2</v>
      </c>
      <c r="N1054">
        <v>0.65500000000000003</v>
      </c>
      <c r="O1054">
        <v>1</v>
      </c>
      <c r="P1054" t="b">
        <f t="shared" si="33"/>
        <v>1</v>
      </c>
      <c r="Q1054" t="str">
        <f t="shared" si="32"/>
        <v>Positive</v>
      </c>
    </row>
    <row r="1055" spans="1:17" x14ac:dyDescent="0.3">
      <c r="A1055" t="s">
        <v>1837</v>
      </c>
      <c r="B1055" t="s">
        <v>66</v>
      </c>
      <c r="C1055" t="s">
        <v>23</v>
      </c>
      <c r="D1055" t="s">
        <v>37</v>
      </c>
      <c r="E1055" t="s">
        <v>51</v>
      </c>
      <c r="F1055" t="s">
        <v>55</v>
      </c>
      <c r="G1055" s="1">
        <v>45528</v>
      </c>
      <c r="H1055" t="s">
        <v>1838</v>
      </c>
      <c r="I1055">
        <v>5807600</v>
      </c>
      <c r="J1055">
        <v>232304</v>
      </c>
      <c r="K1055">
        <v>29871</v>
      </c>
      <c r="L1055">
        <v>30677</v>
      </c>
      <c r="M1055">
        <v>5.04E-2</v>
      </c>
      <c r="N1055">
        <v>-0.90900000000000003</v>
      </c>
      <c r="O1055">
        <v>1</v>
      </c>
      <c r="P1055" t="b">
        <f t="shared" si="33"/>
        <v>1</v>
      </c>
      <c r="Q1055" t="str">
        <f t="shared" si="32"/>
        <v>Negative</v>
      </c>
    </row>
    <row r="1056" spans="1:17" x14ac:dyDescent="0.3">
      <c r="A1056" t="s">
        <v>1839</v>
      </c>
      <c r="B1056" t="s">
        <v>16</v>
      </c>
      <c r="C1056" t="s">
        <v>28</v>
      </c>
      <c r="D1056" t="s">
        <v>73</v>
      </c>
      <c r="E1056" t="s">
        <v>58</v>
      </c>
      <c r="F1056" t="s">
        <v>24</v>
      </c>
      <c r="G1056" s="1">
        <v>45586</v>
      </c>
      <c r="H1056" t="s">
        <v>1840</v>
      </c>
      <c r="I1056">
        <v>9473628</v>
      </c>
      <c r="J1056">
        <v>498612</v>
      </c>
      <c r="K1056">
        <v>27564</v>
      </c>
      <c r="L1056">
        <v>72308</v>
      </c>
      <c r="M1056">
        <v>6.3200000000000006E-2</v>
      </c>
      <c r="N1056">
        <v>0.82099999999999995</v>
      </c>
      <c r="O1056">
        <v>1</v>
      </c>
      <c r="P1056" t="b">
        <f t="shared" si="33"/>
        <v>1</v>
      </c>
      <c r="Q1056" t="str">
        <f t="shared" si="32"/>
        <v>Positive</v>
      </c>
    </row>
    <row r="1057" spans="1:17" x14ac:dyDescent="0.3">
      <c r="A1057" t="s">
        <v>1841</v>
      </c>
      <c r="B1057" t="s">
        <v>66</v>
      </c>
      <c r="C1057" t="s">
        <v>28</v>
      </c>
      <c r="D1057" t="s">
        <v>54</v>
      </c>
      <c r="E1057" t="s">
        <v>38</v>
      </c>
      <c r="F1057" t="s">
        <v>46</v>
      </c>
      <c r="G1057" s="1">
        <v>45545</v>
      </c>
      <c r="H1057" t="s">
        <v>1842</v>
      </c>
      <c r="I1057">
        <v>10251711</v>
      </c>
      <c r="J1057">
        <v>379693</v>
      </c>
      <c r="K1057">
        <v>36208</v>
      </c>
      <c r="L1057">
        <v>78389</v>
      </c>
      <c r="M1057">
        <v>4.82E-2</v>
      </c>
      <c r="N1057">
        <v>0.253</v>
      </c>
      <c r="O1057">
        <v>1</v>
      </c>
      <c r="P1057" t="b">
        <f t="shared" si="33"/>
        <v>1</v>
      </c>
      <c r="Q1057" t="str">
        <f t="shared" si="32"/>
        <v>Positive</v>
      </c>
    </row>
    <row r="1058" spans="1:17" x14ac:dyDescent="0.3">
      <c r="A1058" t="s">
        <v>1843</v>
      </c>
      <c r="B1058" t="s">
        <v>16</v>
      </c>
      <c r="C1058" t="s">
        <v>61</v>
      </c>
      <c r="D1058" t="s">
        <v>33</v>
      </c>
      <c r="E1058" t="s">
        <v>38</v>
      </c>
      <c r="F1058" t="s">
        <v>46</v>
      </c>
      <c r="G1058" s="1">
        <v>45582</v>
      </c>
      <c r="H1058" t="s">
        <v>1844</v>
      </c>
      <c r="I1058">
        <v>1584141</v>
      </c>
      <c r="J1058">
        <v>121857</v>
      </c>
      <c r="K1058">
        <v>1853</v>
      </c>
      <c r="L1058">
        <v>31028</v>
      </c>
      <c r="M1058">
        <v>9.7699999999999995E-2</v>
      </c>
      <c r="N1058">
        <v>0.67800000000000005</v>
      </c>
      <c r="O1058">
        <v>0</v>
      </c>
      <c r="P1058" t="b">
        <f t="shared" si="33"/>
        <v>0</v>
      </c>
      <c r="Q1058" t="str">
        <f t="shared" si="32"/>
        <v>Positive</v>
      </c>
    </row>
    <row r="1059" spans="1:17" x14ac:dyDescent="0.3">
      <c r="A1059" t="s">
        <v>1845</v>
      </c>
      <c r="B1059" t="s">
        <v>66</v>
      </c>
      <c r="C1059" t="s">
        <v>28</v>
      </c>
      <c r="D1059" t="s">
        <v>33</v>
      </c>
      <c r="E1059" t="s">
        <v>58</v>
      </c>
      <c r="F1059" t="s">
        <v>55</v>
      </c>
      <c r="G1059" s="1">
        <v>45477</v>
      </c>
      <c r="H1059" t="s">
        <v>277</v>
      </c>
      <c r="I1059">
        <v>2259420</v>
      </c>
      <c r="J1059">
        <v>150628</v>
      </c>
      <c r="K1059">
        <v>9264</v>
      </c>
      <c r="L1059">
        <v>35555</v>
      </c>
      <c r="M1059">
        <v>8.6499999999999994E-2</v>
      </c>
      <c r="N1059">
        <v>-0.10199999999999999</v>
      </c>
      <c r="O1059">
        <v>1</v>
      </c>
      <c r="P1059" t="b">
        <f t="shared" si="33"/>
        <v>1</v>
      </c>
      <c r="Q1059" t="str">
        <f t="shared" si="32"/>
        <v>Negative</v>
      </c>
    </row>
    <row r="1060" spans="1:17" x14ac:dyDescent="0.3">
      <c r="A1060" t="s">
        <v>1846</v>
      </c>
      <c r="B1060" t="s">
        <v>16</v>
      </c>
      <c r="C1060" t="s">
        <v>61</v>
      </c>
      <c r="D1060" t="s">
        <v>37</v>
      </c>
      <c r="E1060" t="s">
        <v>58</v>
      </c>
      <c r="F1060" t="s">
        <v>34</v>
      </c>
      <c r="G1060" s="1">
        <v>45396</v>
      </c>
      <c r="H1060" t="s">
        <v>1847</v>
      </c>
      <c r="I1060">
        <v>1112860</v>
      </c>
      <c r="J1060">
        <v>222572</v>
      </c>
      <c r="K1060">
        <v>36644</v>
      </c>
      <c r="L1060">
        <v>63628</v>
      </c>
      <c r="M1060">
        <v>0.29010000000000002</v>
      </c>
      <c r="N1060">
        <v>0.54700000000000004</v>
      </c>
      <c r="O1060">
        <v>0</v>
      </c>
      <c r="P1060" t="b">
        <f t="shared" si="33"/>
        <v>0</v>
      </c>
      <c r="Q1060" t="str">
        <f t="shared" si="32"/>
        <v>Positive</v>
      </c>
    </row>
    <row r="1061" spans="1:17" x14ac:dyDescent="0.3">
      <c r="A1061" t="s">
        <v>1848</v>
      </c>
      <c r="B1061" t="s">
        <v>16</v>
      </c>
      <c r="C1061" t="s">
        <v>28</v>
      </c>
      <c r="D1061" t="s">
        <v>73</v>
      </c>
      <c r="E1061" t="s">
        <v>38</v>
      </c>
      <c r="F1061" t="s">
        <v>24</v>
      </c>
      <c r="G1061" s="1">
        <v>45447</v>
      </c>
      <c r="H1061" t="s">
        <v>1849</v>
      </c>
      <c r="I1061">
        <v>3360192</v>
      </c>
      <c r="J1061">
        <v>210012</v>
      </c>
      <c r="K1061">
        <v>27532</v>
      </c>
      <c r="L1061">
        <v>57416</v>
      </c>
      <c r="M1061">
        <v>8.7800000000000003E-2</v>
      </c>
      <c r="N1061">
        <v>-0.24</v>
      </c>
      <c r="O1061">
        <v>1</v>
      </c>
      <c r="P1061" t="b">
        <f t="shared" si="33"/>
        <v>1</v>
      </c>
      <c r="Q1061" t="str">
        <f t="shared" si="32"/>
        <v>Negative</v>
      </c>
    </row>
    <row r="1062" spans="1:17" x14ac:dyDescent="0.3">
      <c r="A1062" t="s">
        <v>1850</v>
      </c>
      <c r="B1062" t="s">
        <v>32</v>
      </c>
      <c r="C1062" t="s">
        <v>17</v>
      </c>
      <c r="D1062" t="s">
        <v>73</v>
      </c>
      <c r="E1062" t="s">
        <v>41</v>
      </c>
      <c r="F1062" t="s">
        <v>24</v>
      </c>
      <c r="G1062" s="1">
        <v>45626</v>
      </c>
      <c r="H1062" t="s">
        <v>1851</v>
      </c>
      <c r="I1062">
        <v>3491685</v>
      </c>
      <c r="J1062">
        <v>232779</v>
      </c>
      <c r="K1062">
        <v>16066</v>
      </c>
      <c r="L1062">
        <v>58227</v>
      </c>
      <c r="M1062">
        <v>8.7900000000000006E-2</v>
      </c>
      <c r="N1062">
        <v>0.13700000000000001</v>
      </c>
      <c r="O1062">
        <v>1</v>
      </c>
      <c r="P1062" t="b">
        <f t="shared" si="33"/>
        <v>1</v>
      </c>
      <c r="Q1062" t="str">
        <f t="shared" si="32"/>
        <v>Positive</v>
      </c>
    </row>
    <row r="1063" spans="1:17" x14ac:dyDescent="0.3">
      <c r="A1063" t="s">
        <v>1852</v>
      </c>
      <c r="B1063" t="s">
        <v>32</v>
      </c>
      <c r="C1063" t="s">
        <v>61</v>
      </c>
      <c r="D1063" t="s">
        <v>33</v>
      </c>
      <c r="E1063" t="s">
        <v>38</v>
      </c>
      <c r="F1063" t="s">
        <v>24</v>
      </c>
      <c r="G1063" s="1">
        <v>45335</v>
      </c>
      <c r="H1063" t="s">
        <v>1853</v>
      </c>
      <c r="I1063">
        <v>2840050</v>
      </c>
      <c r="J1063">
        <v>113602</v>
      </c>
      <c r="K1063">
        <v>22805</v>
      </c>
      <c r="L1063">
        <v>75477</v>
      </c>
      <c r="M1063">
        <v>7.46E-2</v>
      </c>
      <c r="N1063">
        <v>0.67</v>
      </c>
      <c r="O1063">
        <v>1</v>
      </c>
      <c r="P1063" t="b">
        <f t="shared" si="33"/>
        <v>1</v>
      </c>
      <c r="Q1063" t="str">
        <f t="shared" si="32"/>
        <v>Positive</v>
      </c>
    </row>
    <row r="1064" spans="1:17" x14ac:dyDescent="0.3">
      <c r="A1064" t="s">
        <v>1854</v>
      </c>
      <c r="B1064" t="s">
        <v>66</v>
      </c>
      <c r="C1064" t="s">
        <v>23</v>
      </c>
      <c r="D1064" t="s">
        <v>37</v>
      </c>
      <c r="E1064" t="s">
        <v>41</v>
      </c>
      <c r="F1064" t="s">
        <v>34</v>
      </c>
      <c r="G1064" s="1">
        <v>45401</v>
      </c>
      <c r="H1064" t="s">
        <v>354</v>
      </c>
      <c r="I1064">
        <v>10309970</v>
      </c>
      <c r="J1064">
        <v>468635</v>
      </c>
      <c r="K1064">
        <v>37258</v>
      </c>
      <c r="L1064">
        <v>45398</v>
      </c>
      <c r="M1064">
        <v>5.3499999999999999E-2</v>
      </c>
      <c r="N1064">
        <v>-0.36399999999999999</v>
      </c>
      <c r="O1064">
        <v>1</v>
      </c>
      <c r="P1064" t="b">
        <f t="shared" si="33"/>
        <v>1</v>
      </c>
      <c r="Q1064" t="str">
        <f t="shared" si="32"/>
        <v>Negative</v>
      </c>
    </row>
    <row r="1065" spans="1:17" x14ac:dyDescent="0.3">
      <c r="A1065" t="s">
        <v>1855</v>
      </c>
      <c r="B1065" t="s">
        <v>32</v>
      </c>
      <c r="C1065" t="s">
        <v>28</v>
      </c>
      <c r="D1065" t="s">
        <v>37</v>
      </c>
      <c r="E1065" t="s">
        <v>41</v>
      </c>
      <c r="F1065" t="s">
        <v>24</v>
      </c>
      <c r="G1065" s="1">
        <v>45621</v>
      </c>
      <c r="H1065" t="s">
        <v>1856</v>
      </c>
      <c r="I1065">
        <v>4062240</v>
      </c>
      <c r="J1065">
        <v>156240</v>
      </c>
      <c r="K1065">
        <v>196</v>
      </c>
      <c r="L1065">
        <v>90611</v>
      </c>
      <c r="M1065">
        <v>6.08E-2</v>
      </c>
      <c r="N1065">
        <v>-0.82499999999999996</v>
      </c>
      <c r="O1065">
        <v>1</v>
      </c>
      <c r="P1065" t="b">
        <f t="shared" si="33"/>
        <v>1</v>
      </c>
      <c r="Q1065" t="str">
        <f t="shared" si="32"/>
        <v>Negative</v>
      </c>
    </row>
    <row r="1066" spans="1:17" x14ac:dyDescent="0.3">
      <c r="A1066" t="s">
        <v>1857</v>
      </c>
      <c r="B1066" t="s">
        <v>32</v>
      </c>
      <c r="C1066" t="s">
        <v>23</v>
      </c>
      <c r="D1066" t="s">
        <v>18</v>
      </c>
      <c r="E1066" t="s">
        <v>41</v>
      </c>
      <c r="F1066" t="s">
        <v>20</v>
      </c>
      <c r="G1066" s="1">
        <v>45343</v>
      </c>
      <c r="H1066" t="s">
        <v>1858</v>
      </c>
      <c r="I1066">
        <v>5560620</v>
      </c>
      <c r="J1066">
        <v>370708</v>
      </c>
      <c r="K1066">
        <v>20711</v>
      </c>
      <c r="L1066">
        <v>13683</v>
      </c>
      <c r="M1066">
        <v>7.2900000000000006E-2</v>
      </c>
      <c r="N1066">
        <v>-0.41499999999999998</v>
      </c>
      <c r="O1066">
        <v>1</v>
      </c>
      <c r="P1066" t="b">
        <f t="shared" si="33"/>
        <v>1</v>
      </c>
      <c r="Q1066" t="str">
        <f t="shared" si="32"/>
        <v>Negative</v>
      </c>
    </row>
    <row r="1067" spans="1:17" x14ac:dyDescent="0.3">
      <c r="A1067" t="s">
        <v>1859</v>
      </c>
      <c r="B1067" t="s">
        <v>32</v>
      </c>
      <c r="C1067" t="s">
        <v>61</v>
      </c>
      <c r="D1067" t="s">
        <v>29</v>
      </c>
      <c r="E1067" t="s">
        <v>51</v>
      </c>
      <c r="F1067" t="s">
        <v>46</v>
      </c>
      <c r="G1067" s="1">
        <v>45504</v>
      </c>
      <c r="H1067" t="s">
        <v>1860</v>
      </c>
      <c r="I1067">
        <v>2694048</v>
      </c>
      <c r="J1067">
        <v>224504</v>
      </c>
      <c r="K1067">
        <v>23671</v>
      </c>
      <c r="L1067">
        <v>58818</v>
      </c>
      <c r="M1067">
        <v>0.114</v>
      </c>
      <c r="N1067">
        <v>0.86599999999999999</v>
      </c>
      <c r="O1067">
        <v>1</v>
      </c>
      <c r="P1067" t="b">
        <f t="shared" si="33"/>
        <v>1</v>
      </c>
      <c r="Q1067" t="str">
        <f t="shared" si="32"/>
        <v>Positive</v>
      </c>
    </row>
    <row r="1068" spans="1:17" x14ac:dyDescent="0.3">
      <c r="A1068" t="s">
        <v>1861</v>
      </c>
      <c r="B1068" t="s">
        <v>66</v>
      </c>
      <c r="C1068" t="s">
        <v>61</v>
      </c>
      <c r="D1068" t="s">
        <v>37</v>
      </c>
      <c r="E1068" t="s">
        <v>51</v>
      </c>
      <c r="F1068" t="s">
        <v>24</v>
      </c>
      <c r="G1068" s="1">
        <v>45630</v>
      </c>
      <c r="H1068" t="s">
        <v>244</v>
      </c>
      <c r="I1068">
        <v>4963830</v>
      </c>
      <c r="J1068">
        <v>496383</v>
      </c>
      <c r="K1068">
        <v>10239</v>
      </c>
      <c r="L1068">
        <v>57617</v>
      </c>
      <c r="M1068">
        <v>0.1137</v>
      </c>
      <c r="N1068">
        <v>0.35699999999999998</v>
      </c>
      <c r="O1068">
        <v>1</v>
      </c>
      <c r="P1068" t="b">
        <f t="shared" si="33"/>
        <v>1</v>
      </c>
      <c r="Q1068" t="str">
        <f t="shared" si="32"/>
        <v>Positive</v>
      </c>
    </row>
    <row r="1069" spans="1:17" x14ac:dyDescent="0.3">
      <c r="A1069" t="s">
        <v>1862</v>
      </c>
      <c r="B1069" t="s">
        <v>16</v>
      </c>
      <c r="C1069" t="s">
        <v>28</v>
      </c>
      <c r="D1069" t="s">
        <v>37</v>
      </c>
      <c r="E1069" t="s">
        <v>38</v>
      </c>
      <c r="F1069" t="s">
        <v>34</v>
      </c>
      <c r="G1069" s="1">
        <v>45377</v>
      </c>
      <c r="H1069" t="s">
        <v>1863</v>
      </c>
      <c r="I1069">
        <v>5199795</v>
      </c>
      <c r="J1069">
        <v>192585</v>
      </c>
      <c r="K1069">
        <v>1056</v>
      </c>
      <c r="L1069">
        <v>75302</v>
      </c>
      <c r="M1069">
        <v>5.1700000000000003E-2</v>
      </c>
      <c r="N1069">
        <v>0.19900000000000001</v>
      </c>
      <c r="O1069">
        <v>1</v>
      </c>
      <c r="P1069" t="b">
        <f t="shared" si="33"/>
        <v>1</v>
      </c>
      <c r="Q1069" t="str">
        <f t="shared" si="32"/>
        <v>Positive</v>
      </c>
    </row>
    <row r="1070" spans="1:17" x14ac:dyDescent="0.3">
      <c r="A1070" t="s">
        <v>1864</v>
      </c>
      <c r="B1070" t="s">
        <v>27</v>
      </c>
      <c r="C1070" t="s">
        <v>61</v>
      </c>
      <c r="D1070" t="s">
        <v>18</v>
      </c>
      <c r="E1070" t="s">
        <v>19</v>
      </c>
      <c r="F1070" t="s">
        <v>46</v>
      </c>
      <c r="G1070" s="1">
        <v>45537</v>
      </c>
      <c r="H1070" t="s">
        <v>1865</v>
      </c>
      <c r="I1070">
        <v>9447459</v>
      </c>
      <c r="J1070">
        <v>449879</v>
      </c>
      <c r="K1070">
        <v>32328</v>
      </c>
      <c r="L1070">
        <v>44758</v>
      </c>
      <c r="M1070">
        <v>5.5800000000000002E-2</v>
      </c>
      <c r="N1070">
        <v>-0.437</v>
      </c>
      <c r="O1070">
        <v>1</v>
      </c>
      <c r="P1070" t="b">
        <f t="shared" si="33"/>
        <v>1</v>
      </c>
      <c r="Q1070" t="str">
        <f t="shared" si="32"/>
        <v>Negative</v>
      </c>
    </row>
    <row r="1071" spans="1:17" x14ac:dyDescent="0.3">
      <c r="A1071" t="s">
        <v>1866</v>
      </c>
      <c r="B1071" t="s">
        <v>32</v>
      </c>
      <c r="C1071" t="s">
        <v>61</v>
      </c>
      <c r="D1071" t="s">
        <v>33</v>
      </c>
      <c r="E1071" t="s">
        <v>58</v>
      </c>
      <c r="F1071" t="s">
        <v>24</v>
      </c>
      <c r="G1071" s="1">
        <v>45569</v>
      </c>
      <c r="H1071" t="s">
        <v>1867</v>
      </c>
      <c r="I1071">
        <v>9336033</v>
      </c>
      <c r="J1071">
        <v>444573</v>
      </c>
      <c r="K1071">
        <v>29969</v>
      </c>
      <c r="L1071">
        <v>308</v>
      </c>
      <c r="M1071">
        <v>5.0900000000000001E-2</v>
      </c>
      <c r="N1071">
        <v>0.41199999999999998</v>
      </c>
      <c r="O1071">
        <v>1</v>
      </c>
      <c r="P1071" t="b">
        <f t="shared" si="33"/>
        <v>1</v>
      </c>
      <c r="Q1071" t="str">
        <f t="shared" si="32"/>
        <v>Positive</v>
      </c>
    </row>
    <row r="1072" spans="1:17" x14ac:dyDescent="0.3">
      <c r="A1072" t="s">
        <v>1868</v>
      </c>
      <c r="B1072" t="s">
        <v>32</v>
      </c>
      <c r="C1072" t="s">
        <v>61</v>
      </c>
      <c r="D1072" t="s">
        <v>73</v>
      </c>
      <c r="E1072" t="s">
        <v>51</v>
      </c>
      <c r="F1072" t="s">
        <v>20</v>
      </c>
      <c r="G1072" s="1">
        <v>45623</v>
      </c>
      <c r="H1072" t="s">
        <v>1869</v>
      </c>
      <c r="I1072">
        <v>267638</v>
      </c>
      <c r="J1072">
        <v>38234</v>
      </c>
      <c r="K1072">
        <v>27328</v>
      </c>
      <c r="L1072">
        <v>71763</v>
      </c>
      <c r="M1072">
        <v>0.5131</v>
      </c>
      <c r="N1072">
        <v>-0.71499999999999997</v>
      </c>
      <c r="O1072">
        <v>0</v>
      </c>
      <c r="P1072" t="b">
        <f t="shared" si="33"/>
        <v>0</v>
      </c>
      <c r="Q1072" t="str">
        <f t="shared" si="32"/>
        <v>Negative</v>
      </c>
    </row>
    <row r="1073" spans="1:17" x14ac:dyDescent="0.3">
      <c r="A1073" t="s">
        <v>1870</v>
      </c>
      <c r="B1073" t="s">
        <v>16</v>
      </c>
      <c r="C1073" t="s">
        <v>23</v>
      </c>
      <c r="D1073" t="s">
        <v>73</v>
      </c>
      <c r="E1073" t="s">
        <v>41</v>
      </c>
      <c r="F1073" t="s">
        <v>24</v>
      </c>
      <c r="G1073" s="1">
        <v>45606</v>
      </c>
      <c r="H1073" t="s">
        <v>1871</v>
      </c>
      <c r="I1073">
        <v>1135495</v>
      </c>
      <c r="J1073">
        <v>227099</v>
      </c>
      <c r="K1073">
        <v>14335</v>
      </c>
      <c r="L1073">
        <v>70428</v>
      </c>
      <c r="M1073">
        <v>0.27460000000000001</v>
      </c>
      <c r="N1073">
        <v>-0.82199999999999995</v>
      </c>
      <c r="O1073">
        <v>0</v>
      </c>
      <c r="P1073" t="b">
        <f t="shared" si="33"/>
        <v>0</v>
      </c>
      <c r="Q1073" t="str">
        <f t="shared" si="32"/>
        <v>Negative</v>
      </c>
    </row>
    <row r="1074" spans="1:17" x14ac:dyDescent="0.3">
      <c r="A1074" t="s">
        <v>1872</v>
      </c>
      <c r="B1074" t="s">
        <v>66</v>
      </c>
      <c r="C1074" t="s">
        <v>28</v>
      </c>
      <c r="D1074" t="s">
        <v>37</v>
      </c>
      <c r="E1074" t="s">
        <v>51</v>
      </c>
      <c r="F1074" t="s">
        <v>55</v>
      </c>
      <c r="G1074" s="1">
        <v>45585</v>
      </c>
      <c r="H1074" t="s">
        <v>583</v>
      </c>
      <c r="I1074">
        <v>5110404</v>
      </c>
      <c r="J1074">
        <v>425867</v>
      </c>
      <c r="K1074">
        <v>10853</v>
      </c>
      <c r="L1074">
        <v>55756</v>
      </c>
      <c r="M1074">
        <v>9.64E-2</v>
      </c>
      <c r="N1074">
        <v>0.878</v>
      </c>
      <c r="O1074">
        <v>1</v>
      </c>
      <c r="P1074" t="b">
        <f t="shared" si="33"/>
        <v>1</v>
      </c>
      <c r="Q1074" t="str">
        <f t="shared" si="32"/>
        <v>Positive</v>
      </c>
    </row>
    <row r="1075" spans="1:17" x14ac:dyDescent="0.3">
      <c r="A1075" t="s">
        <v>1873</v>
      </c>
      <c r="B1075" t="s">
        <v>27</v>
      </c>
      <c r="C1075" t="s">
        <v>61</v>
      </c>
      <c r="D1075" t="s">
        <v>33</v>
      </c>
      <c r="E1075" t="s">
        <v>19</v>
      </c>
      <c r="F1075" t="s">
        <v>46</v>
      </c>
      <c r="G1075" s="1">
        <v>45365</v>
      </c>
      <c r="H1075" t="s">
        <v>906</v>
      </c>
      <c r="I1075">
        <v>3775824</v>
      </c>
      <c r="J1075">
        <v>235989</v>
      </c>
      <c r="K1075">
        <v>48008</v>
      </c>
      <c r="L1075">
        <v>20390</v>
      </c>
      <c r="M1075">
        <v>8.0600000000000005E-2</v>
      </c>
      <c r="N1075">
        <v>-0.67</v>
      </c>
      <c r="O1075">
        <v>1</v>
      </c>
      <c r="P1075" t="b">
        <f t="shared" si="33"/>
        <v>1</v>
      </c>
      <c r="Q1075" t="str">
        <f t="shared" si="32"/>
        <v>Negative</v>
      </c>
    </row>
    <row r="1076" spans="1:17" x14ac:dyDescent="0.3">
      <c r="A1076" t="s">
        <v>1874</v>
      </c>
      <c r="B1076" t="s">
        <v>32</v>
      </c>
      <c r="C1076" t="s">
        <v>28</v>
      </c>
      <c r="D1076" t="s">
        <v>54</v>
      </c>
      <c r="E1076" t="s">
        <v>41</v>
      </c>
      <c r="F1076" t="s">
        <v>34</v>
      </c>
      <c r="G1076" s="1">
        <v>45489</v>
      </c>
      <c r="H1076" t="s">
        <v>199</v>
      </c>
      <c r="I1076">
        <v>8572564</v>
      </c>
      <c r="J1076">
        <v>306163</v>
      </c>
      <c r="K1076">
        <v>16572</v>
      </c>
      <c r="L1076">
        <v>3359</v>
      </c>
      <c r="M1076">
        <v>3.7999999999999999E-2</v>
      </c>
      <c r="N1076">
        <v>-0.317</v>
      </c>
      <c r="O1076">
        <v>1</v>
      </c>
      <c r="P1076" t="b">
        <f t="shared" si="33"/>
        <v>1</v>
      </c>
      <c r="Q1076" t="str">
        <f t="shared" si="32"/>
        <v>Negative</v>
      </c>
    </row>
    <row r="1077" spans="1:17" x14ac:dyDescent="0.3">
      <c r="A1077" t="s">
        <v>1875</v>
      </c>
      <c r="B1077" t="s">
        <v>32</v>
      </c>
      <c r="C1077" t="s">
        <v>23</v>
      </c>
      <c r="D1077" t="s">
        <v>73</v>
      </c>
      <c r="E1077" t="s">
        <v>41</v>
      </c>
      <c r="F1077" t="s">
        <v>34</v>
      </c>
      <c r="G1077" s="1">
        <v>45422</v>
      </c>
      <c r="H1077" t="s">
        <v>889</v>
      </c>
      <c r="I1077">
        <v>1453872</v>
      </c>
      <c r="J1077">
        <v>207696</v>
      </c>
      <c r="K1077">
        <v>40451</v>
      </c>
      <c r="L1077">
        <v>97058</v>
      </c>
      <c r="M1077">
        <v>0.2374</v>
      </c>
      <c r="N1077">
        <v>-0.50700000000000001</v>
      </c>
      <c r="O1077">
        <v>0</v>
      </c>
      <c r="P1077" t="b">
        <f t="shared" si="33"/>
        <v>0</v>
      </c>
      <c r="Q1077" t="str">
        <f t="shared" si="32"/>
        <v>Negative</v>
      </c>
    </row>
    <row r="1078" spans="1:17" x14ac:dyDescent="0.3">
      <c r="A1078" t="s">
        <v>1876</v>
      </c>
      <c r="B1078" t="s">
        <v>66</v>
      </c>
      <c r="C1078" t="s">
        <v>28</v>
      </c>
      <c r="D1078" t="s">
        <v>18</v>
      </c>
      <c r="E1078" t="s">
        <v>51</v>
      </c>
      <c r="F1078" t="s">
        <v>24</v>
      </c>
      <c r="G1078" s="1">
        <v>45341</v>
      </c>
      <c r="H1078" t="s">
        <v>1877</v>
      </c>
      <c r="I1078">
        <v>726765</v>
      </c>
      <c r="J1078">
        <v>55905</v>
      </c>
      <c r="K1078">
        <v>31354</v>
      </c>
      <c r="L1078">
        <v>76778</v>
      </c>
      <c r="M1078">
        <v>0.22570000000000001</v>
      </c>
      <c r="N1078">
        <v>0.502</v>
      </c>
      <c r="O1078">
        <v>0</v>
      </c>
      <c r="P1078" t="b">
        <f t="shared" si="33"/>
        <v>0</v>
      </c>
      <c r="Q1078" t="str">
        <f t="shared" si="32"/>
        <v>Positive</v>
      </c>
    </row>
    <row r="1079" spans="1:17" x14ac:dyDescent="0.3">
      <c r="A1079" t="s">
        <v>1878</v>
      </c>
      <c r="B1079" t="s">
        <v>66</v>
      </c>
      <c r="C1079" t="s">
        <v>28</v>
      </c>
      <c r="D1079" t="s">
        <v>18</v>
      </c>
      <c r="E1079" t="s">
        <v>38</v>
      </c>
      <c r="F1079" t="s">
        <v>24</v>
      </c>
      <c r="G1079" s="1">
        <v>45516</v>
      </c>
      <c r="H1079" t="s">
        <v>1879</v>
      </c>
      <c r="I1079">
        <v>2523381</v>
      </c>
      <c r="J1079">
        <v>360483</v>
      </c>
      <c r="K1079">
        <v>44046</v>
      </c>
      <c r="L1079">
        <v>31955</v>
      </c>
      <c r="M1079">
        <v>0.17299999999999999</v>
      </c>
      <c r="N1079">
        <v>-0.41099999999999998</v>
      </c>
      <c r="O1079">
        <v>1</v>
      </c>
      <c r="P1079" t="b">
        <f t="shared" si="33"/>
        <v>1</v>
      </c>
      <c r="Q1079" t="str">
        <f t="shared" si="32"/>
        <v>Negative</v>
      </c>
    </row>
    <row r="1080" spans="1:17" x14ac:dyDescent="0.3">
      <c r="A1080" t="s">
        <v>1880</v>
      </c>
      <c r="B1080" t="s">
        <v>32</v>
      </c>
      <c r="C1080" t="s">
        <v>17</v>
      </c>
      <c r="D1080" t="s">
        <v>37</v>
      </c>
      <c r="E1080" t="s">
        <v>19</v>
      </c>
      <c r="F1080" t="s">
        <v>34</v>
      </c>
      <c r="G1080" s="1">
        <v>45648</v>
      </c>
      <c r="H1080" t="s">
        <v>1881</v>
      </c>
      <c r="I1080">
        <v>4586526</v>
      </c>
      <c r="J1080">
        <v>218406</v>
      </c>
      <c r="K1080">
        <v>19743</v>
      </c>
      <c r="L1080">
        <v>10704</v>
      </c>
      <c r="M1080">
        <v>5.4300000000000001E-2</v>
      </c>
      <c r="N1080">
        <v>-0.98599999999999999</v>
      </c>
      <c r="O1080">
        <v>1</v>
      </c>
      <c r="P1080" t="b">
        <f t="shared" si="33"/>
        <v>1</v>
      </c>
      <c r="Q1080" t="str">
        <f t="shared" si="32"/>
        <v>Negative</v>
      </c>
    </row>
    <row r="1081" spans="1:17" x14ac:dyDescent="0.3">
      <c r="A1081" t="s">
        <v>1882</v>
      </c>
      <c r="B1081" t="s">
        <v>32</v>
      </c>
      <c r="C1081" t="s">
        <v>17</v>
      </c>
      <c r="D1081" t="s">
        <v>54</v>
      </c>
      <c r="E1081" t="s">
        <v>58</v>
      </c>
      <c r="F1081" t="s">
        <v>46</v>
      </c>
      <c r="G1081" s="1">
        <v>45403</v>
      </c>
      <c r="H1081" t="s">
        <v>1883</v>
      </c>
      <c r="I1081">
        <v>3089136</v>
      </c>
      <c r="J1081">
        <v>193071</v>
      </c>
      <c r="K1081">
        <v>12397</v>
      </c>
      <c r="L1081">
        <v>44725</v>
      </c>
      <c r="M1081">
        <v>8.1000000000000003E-2</v>
      </c>
      <c r="N1081">
        <v>-0.17799999999999999</v>
      </c>
      <c r="O1081">
        <v>1</v>
      </c>
      <c r="P1081" t="b">
        <f t="shared" si="33"/>
        <v>1</v>
      </c>
      <c r="Q1081" t="str">
        <f t="shared" si="32"/>
        <v>Negative</v>
      </c>
    </row>
    <row r="1082" spans="1:17" x14ac:dyDescent="0.3">
      <c r="A1082" t="s">
        <v>1884</v>
      </c>
      <c r="B1082" t="s">
        <v>66</v>
      </c>
      <c r="C1082" t="s">
        <v>23</v>
      </c>
      <c r="D1082" t="s">
        <v>18</v>
      </c>
      <c r="E1082" t="s">
        <v>19</v>
      </c>
      <c r="F1082" t="s">
        <v>24</v>
      </c>
      <c r="G1082" s="1">
        <v>45325</v>
      </c>
      <c r="H1082" t="s">
        <v>71</v>
      </c>
      <c r="I1082">
        <v>5908078</v>
      </c>
      <c r="J1082">
        <v>268549</v>
      </c>
      <c r="K1082">
        <v>32731</v>
      </c>
      <c r="L1082">
        <v>18783</v>
      </c>
      <c r="M1082">
        <v>5.4199999999999998E-2</v>
      </c>
      <c r="N1082">
        <v>0.79100000000000004</v>
      </c>
      <c r="O1082">
        <v>1</v>
      </c>
      <c r="P1082" t="b">
        <f t="shared" si="33"/>
        <v>1</v>
      </c>
      <c r="Q1082" t="str">
        <f t="shared" si="32"/>
        <v>Positive</v>
      </c>
    </row>
    <row r="1083" spans="1:17" x14ac:dyDescent="0.3">
      <c r="A1083" t="s">
        <v>1885</v>
      </c>
      <c r="B1083" t="s">
        <v>16</v>
      </c>
      <c r="C1083" t="s">
        <v>17</v>
      </c>
      <c r="D1083" t="s">
        <v>54</v>
      </c>
      <c r="E1083" t="s">
        <v>58</v>
      </c>
      <c r="F1083" t="s">
        <v>34</v>
      </c>
      <c r="G1083" s="1">
        <v>45515</v>
      </c>
      <c r="H1083" t="s">
        <v>80</v>
      </c>
      <c r="I1083">
        <v>2441740</v>
      </c>
      <c r="J1083">
        <v>122087</v>
      </c>
      <c r="K1083">
        <v>20571</v>
      </c>
      <c r="L1083">
        <v>67767</v>
      </c>
      <c r="M1083">
        <v>8.6199999999999999E-2</v>
      </c>
      <c r="N1083">
        <v>-0.45700000000000002</v>
      </c>
      <c r="O1083">
        <v>1</v>
      </c>
      <c r="P1083" t="b">
        <f t="shared" si="33"/>
        <v>1</v>
      </c>
      <c r="Q1083" t="str">
        <f t="shared" si="32"/>
        <v>Negative</v>
      </c>
    </row>
    <row r="1084" spans="1:17" x14ac:dyDescent="0.3">
      <c r="A1084" t="s">
        <v>1886</v>
      </c>
      <c r="B1084" t="s">
        <v>27</v>
      </c>
      <c r="C1084" t="s">
        <v>28</v>
      </c>
      <c r="D1084" t="s">
        <v>33</v>
      </c>
      <c r="E1084" t="s">
        <v>38</v>
      </c>
      <c r="F1084" t="s">
        <v>34</v>
      </c>
      <c r="G1084" s="1">
        <v>45397</v>
      </c>
      <c r="H1084" t="s">
        <v>1887</v>
      </c>
      <c r="I1084">
        <v>1746724</v>
      </c>
      <c r="J1084">
        <v>249532</v>
      </c>
      <c r="K1084">
        <v>26182</v>
      </c>
      <c r="L1084">
        <v>4766</v>
      </c>
      <c r="M1084">
        <v>0.16059999999999999</v>
      </c>
      <c r="N1084">
        <v>-0.316</v>
      </c>
      <c r="O1084">
        <v>0</v>
      </c>
      <c r="P1084" t="b">
        <f t="shared" si="33"/>
        <v>0</v>
      </c>
      <c r="Q1084" t="str">
        <f t="shared" si="32"/>
        <v>Negative</v>
      </c>
    </row>
    <row r="1085" spans="1:17" x14ac:dyDescent="0.3">
      <c r="A1085" t="s">
        <v>1888</v>
      </c>
      <c r="B1085" t="s">
        <v>66</v>
      </c>
      <c r="C1085" t="s">
        <v>61</v>
      </c>
      <c r="D1085" t="s">
        <v>54</v>
      </c>
      <c r="E1085" t="s">
        <v>41</v>
      </c>
      <c r="F1085" t="s">
        <v>46</v>
      </c>
      <c r="G1085" s="1">
        <v>45347</v>
      </c>
      <c r="H1085" t="s">
        <v>563</v>
      </c>
      <c r="I1085">
        <v>2680224</v>
      </c>
      <c r="J1085">
        <v>111676</v>
      </c>
      <c r="K1085">
        <v>29528</v>
      </c>
      <c r="L1085">
        <v>71089</v>
      </c>
      <c r="M1085">
        <v>7.9200000000000007E-2</v>
      </c>
      <c r="N1085">
        <v>-0.76</v>
      </c>
      <c r="O1085">
        <v>1</v>
      </c>
      <c r="P1085" t="b">
        <f t="shared" si="33"/>
        <v>1</v>
      </c>
      <c r="Q1085" t="str">
        <f t="shared" si="32"/>
        <v>Negative</v>
      </c>
    </row>
    <row r="1086" spans="1:17" x14ac:dyDescent="0.3">
      <c r="A1086" t="s">
        <v>1889</v>
      </c>
      <c r="B1086" t="s">
        <v>66</v>
      </c>
      <c r="C1086" t="s">
        <v>28</v>
      </c>
      <c r="D1086" t="s">
        <v>54</v>
      </c>
      <c r="E1086" t="s">
        <v>58</v>
      </c>
      <c r="F1086" t="s">
        <v>20</v>
      </c>
      <c r="G1086" s="1">
        <v>45516</v>
      </c>
      <c r="H1086" t="s">
        <v>943</v>
      </c>
      <c r="I1086">
        <v>6451992</v>
      </c>
      <c r="J1086">
        <v>268833</v>
      </c>
      <c r="K1086">
        <v>34817</v>
      </c>
      <c r="L1086">
        <v>93665</v>
      </c>
      <c r="M1086">
        <v>6.1600000000000002E-2</v>
      </c>
      <c r="N1086">
        <v>-0.42399999999999999</v>
      </c>
      <c r="O1086">
        <v>1</v>
      </c>
      <c r="P1086" t="b">
        <f t="shared" si="33"/>
        <v>1</v>
      </c>
      <c r="Q1086" t="str">
        <f t="shared" si="32"/>
        <v>Negative</v>
      </c>
    </row>
    <row r="1087" spans="1:17" x14ac:dyDescent="0.3">
      <c r="A1087" t="s">
        <v>1890</v>
      </c>
      <c r="B1087" t="s">
        <v>16</v>
      </c>
      <c r="C1087" t="s">
        <v>23</v>
      </c>
      <c r="D1087" t="s">
        <v>37</v>
      </c>
      <c r="E1087" t="s">
        <v>41</v>
      </c>
      <c r="F1087" t="s">
        <v>55</v>
      </c>
      <c r="G1087" s="1">
        <v>45574</v>
      </c>
      <c r="H1087" t="s">
        <v>1891</v>
      </c>
      <c r="I1087">
        <v>1681668</v>
      </c>
      <c r="J1087">
        <v>93426</v>
      </c>
      <c r="K1087">
        <v>40958</v>
      </c>
      <c r="L1087">
        <v>65786</v>
      </c>
      <c r="M1087">
        <v>0.11899999999999999</v>
      </c>
      <c r="N1087">
        <v>0.192</v>
      </c>
      <c r="O1087">
        <v>0</v>
      </c>
      <c r="P1087" t="b">
        <f t="shared" si="33"/>
        <v>0</v>
      </c>
      <c r="Q1087" t="str">
        <f t="shared" si="32"/>
        <v>Positive</v>
      </c>
    </row>
    <row r="1088" spans="1:17" x14ac:dyDescent="0.3">
      <c r="A1088" t="s">
        <v>1892</v>
      </c>
      <c r="B1088" t="s">
        <v>66</v>
      </c>
      <c r="C1088" t="s">
        <v>61</v>
      </c>
      <c r="D1088" t="s">
        <v>29</v>
      </c>
      <c r="E1088" t="s">
        <v>41</v>
      </c>
      <c r="F1088" t="s">
        <v>34</v>
      </c>
      <c r="G1088" s="1">
        <v>45423</v>
      </c>
      <c r="H1088" t="s">
        <v>1710</v>
      </c>
      <c r="I1088">
        <v>728028</v>
      </c>
      <c r="J1088">
        <v>26001</v>
      </c>
      <c r="K1088">
        <v>23581</v>
      </c>
      <c r="L1088">
        <v>31509</v>
      </c>
      <c r="M1088">
        <v>0.1114</v>
      </c>
      <c r="N1088">
        <v>-0.76700000000000002</v>
      </c>
      <c r="O1088">
        <v>0</v>
      </c>
      <c r="P1088" t="b">
        <f t="shared" si="33"/>
        <v>0</v>
      </c>
      <c r="Q1088" t="str">
        <f t="shared" si="32"/>
        <v>Negative</v>
      </c>
    </row>
    <row r="1089" spans="1:17" x14ac:dyDescent="0.3">
      <c r="A1089" t="s">
        <v>1893</v>
      </c>
      <c r="B1089" t="s">
        <v>27</v>
      </c>
      <c r="C1089" t="s">
        <v>17</v>
      </c>
      <c r="D1089" t="s">
        <v>29</v>
      </c>
      <c r="E1089" t="s">
        <v>58</v>
      </c>
      <c r="F1089" t="s">
        <v>46</v>
      </c>
      <c r="G1089" s="1">
        <v>45477</v>
      </c>
      <c r="H1089" t="s">
        <v>354</v>
      </c>
      <c r="I1089">
        <v>5570080</v>
      </c>
      <c r="J1089">
        <v>278504</v>
      </c>
      <c r="K1089">
        <v>35445</v>
      </c>
      <c r="L1089">
        <v>95083</v>
      </c>
      <c r="M1089">
        <v>7.3400000000000007E-2</v>
      </c>
      <c r="N1089">
        <v>-0.56399999999999995</v>
      </c>
      <c r="O1089">
        <v>1</v>
      </c>
      <c r="P1089" t="b">
        <f t="shared" si="33"/>
        <v>1</v>
      </c>
      <c r="Q1089" t="str">
        <f t="shared" si="32"/>
        <v>Negative</v>
      </c>
    </row>
    <row r="1090" spans="1:17" x14ac:dyDescent="0.3">
      <c r="A1090" t="s">
        <v>1894</v>
      </c>
      <c r="B1090" t="s">
        <v>16</v>
      </c>
      <c r="C1090" t="s">
        <v>23</v>
      </c>
      <c r="D1090" t="s">
        <v>18</v>
      </c>
      <c r="E1090" t="s">
        <v>38</v>
      </c>
      <c r="F1090" t="s">
        <v>34</v>
      </c>
      <c r="G1090" s="1">
        <v>45364</v>
      </c>
      <c r="H1090" t="s">
        <v>955</v>
      </c>
      <c r="I1090">
        <v>4315050</v>
      </c>
      <c r="J1090">
        <v>172602</v>
      </c>
      <c r="K1090">
        <v>1992</v>
      </c>
      <c r="L1090">
        <v>25106</v>
      </c>
      <c r="M1090">
        <v>4.6300000000000001E-2</v>
      </c>
      <c r="N1090">
        <v>0.64200000000000002</v>
      </c>
      <c r="O1090">
        <v>1</v>
      </c>
      <c r="P1090" t="b">
        <f t="shared" si="33"/>
        <v>1</v>
      </c>
      <c r="Q1090" t="str">
        <f t="shared" ref="Q1090:Q1153" si="34">IF(N1090&gt;0,"Positive","Negative")</f>
        <v>Positive</v>
      </c>
    </row>
    <row r="1091" spans="1:17" x14ac:dyDescent="0.3">
      <c r="A1091" t="s">
        <v>1895</v>
      </c>
      <c r="B1091" t="s">
        <v>16</v>
      </c>
      <c r="C1091" t="s">
        <v>17</v>
      </c>
      <c r="D1091" t="s">
        <v>54</v>
      </c>
      <c r="E1091" t="s">
        <v>19</v>
      </c>
      <c r="F1091" t="s">
        <v>55</v>
      </c>
      <c r="G1091" s="1">
        <v>45448</v>
      </c>
      <c r="H1091" t="s">
        <v>1896</v>
      </c>
      <c r="I1091">
        <v>2313871</v>
      </c>
      <c r="J1091">
        <v>330553</v>
      </c>
      <c r="K1091">
        <v>45932</v>
      </c>
      <c r="L1091">
        <v>75415</v>
      </c>
      <c r="M1091">
        <v>0.1953</v>
      </c>
      <c r="N1091">
        <v>-0.17799999999999999</v>
      </c>
      <c r="O1091">
        <v>1</v>
      </c>
      <c r="P1091" t="b">
        <f t="shared" ref="P1091:P1154" si="35">IF(O1091=1,TRUE,FALSE)</f>
        <v>1</v>
      </c>
      <c r="Q1091" t="str">
        <f t="shared" si="34"/>
        <v>Negative</v>
      </c>
    </row>
    <row r="1092" spans="1:17" x14ac:dyDescent="0.3">
      <c r="A1092" t="s">
        <v>1897</v>
      </c>
      <c r="B1092" t="s">
        <v>32</v>
      </c>
      <c r="C1092" t="s">
        <v>23</v>
      </c>
      <c r="D1092" t="s">
        <v>54</v>
      </c>
      <c r="E1092" t="s">
        <v>41</v>
      </c>
      <c r="F1092" t="s">
        <v>46</v>
      </c>
      <c r="G1092" s="1">
        <v>45329</v>
      </c>
      <c r="H1092" t="s">
        <v>1550</v>
      </c>
      <c r="I1092">
        <v>1698588</v>
      </c>
      <c r="J1092">
        <v>141549</v>
      </c>
      <c r="K1092">
        <v>7352</v>
      </c>
      <c r="L1092">
        <v>33777</v>
      </c>
      <c r="M1092">
        <v>0.1075</v>
      </c>
      <c r="N1092">
        <v>0.65300000000000002</v>
      </c>
      <c r="O1092">
        <v>0</v>
      </c>
      <c r="P1092" t="b">
        <f t="shared" si="35"/>
        <v>0</v>
      </c>
      <c r="Q1092" t="str">
        <f t="shared" si="34"/>
        <v>Positive</v>
      </c>
    </row>
    <row r="1093" spans="1:17" x14ac:dyDescent="0.3">
      <c r="A1093" t="s">
        <v>1898</v>
      </c>
      <c r="B1093" t="s">
        <v>16</v>
      </c>
      <c r="C1093" t="s">
        <v>23</v>
      </c>
      <c r="D1093" t="s">
        <v>73</v>
      </c>
      <c r="E1093" t="s">
        <v>41</v>
      </c>
      <c r="F1093" t="s">
        <v>55</v>
      </c>
      <c r="G1093" s="1">
        <v>45498</v>
      </c>
      <c r="H1093" t="s">
        <v>1899</v>
      </c>
      <c r="I1093">
        <v>5651616</v>
      </c>
      <c r="J1093">
        <v>332448</v>
      </c>
      <c r="K1093">
        <v>20676</v>
      </c>
      <c r="L1093">
        <v>55162</v>
      </c>
      <c r="M1093">
        <v>7.22E-2</v>
      </c>
      <c r="N1093">
        <v>-0.84899999999999998</v>
      </c>
      <c r="O1093">
        <v>1</v>
      </c>
      <c r="P1093" t="b">
        <f t="shared" si="35"/>
        <v>1</v>
      </c>
      <c r="Q1093" t="str">
        <f t="shared" si="34"/>
        <v>Negative</v>
      </c>
    </row>
    <row r="1094" spans="1:17" x14ac:dyDescent="0.3">
      <c r="A1094" t="s">
        <v>1900</v>
      </c>
      <c r="B1094" t="s">
        <v>27</v>
      </c>
      <c r="C1094" t="s">
        <v>23</v>
      </c>
      <c r="D1094" t="s">
        <v>33</v>
      </c>
      <c r="E1094" t="s">
        <v>41</v>
      </c>
      <c r="F1094" t="s">
        <v>34</v>
      </c>
      <c r="G1094" s="1">
        <v>45378</v>
      </c>
      <c r="H1094" t="s">
        <v>298</v>
      </c>
      <c r="I1094">
        <v>6660872</v>
      </c>
      <c r="J1094">
        <v>391816</v>
      </c>
      <c r="K1094">
        <v>47164</v>
      </c>
      <c r="L1094">
        <v>20923</v>
      </c>
      <c r="M1094">
        <v>6.9000000000000006E-2</v>
      </c>
      <c r="N1094">
        <v>0.17</v>
      </c>
      <c r="O1094">
        <v>1</v>
      </c>
      <c r="P1094" t="b">
        <f t="shared" si="35"/>
        <v>1</v>
      </c>
      <c r="Q1094" t="str">
        <f t="shared" si="34"/>
        <v>Positive</v>
      </c>
    </row>
    <row r="1095" spans="1:17" x14ac:dyDescent="0.3">
      <c r="A1095" t="s">
        <v>1901</v>
      </c>
      <c r="B1095" t="s">
        <v>27</v>
      </c>
      <c r="C1095" t="s">
        <v>17</v>
      </c>
      <c r="D1095" t="s">
        <v>54</v>
      </c>
      <c r="E1095" t="s">
        <v>19</v>
      </c>
      <c r="F1095" t="s">
        <v>20</v>
      </c>
      <c r="G1095" s="1">
        <v>45420</v>
      </c>
      <c r="H1095" t="s">
        <v>1902</v>
      </c>
      <c r="I1095">
        <v>6784800</v>
      </c>
      <c r="J1095">
        <v>339240</v>
      </c>
      <c r="K1095">
        <v>16973</v>
      </c>
      <c r="L1095">
        <v>30267</v>
      </c>
      <c r="M1095">
        <v>5.7000000000000002E-2</v>
      </c>
      <c r="N1095">
        <v>0.56699999999999995</v>
      </c>
      <c r="O1095">
        <v>1</v>
      </c>
      <c r="P1095" t="b">
        <f t="shared" si="35"/>
        <v>1</v>
      </c>
      <c r="Q1095" t="str">
        <f t="shared" si="34"/>
        <v>Positive</v>
      </c>
    </row>
    <row r="1096" spans="1:17" x14ac:dyDescent="0.3">
      <c r="A1096" t="s">
        <v>1903</v>
      </c>
      <c r="B1096" t="s">
        <v>16</v>
      </c>
      <c r="C1096" t="s">
        <v>28</v>
      </c>
      <c r="D1096" t="s">
        <v>33</v>
      </c>
      <c r="E1096" t="s">
        <v>41</v>
      </c>
      <c r="F1096" t="s">
        <v>46</v>
      </c>
      <c r="G1096" s="1">
        <v>45404</v>
      </c>
      <c r="H1096" t="s">
        <v>1675</v>
      </c>
      <c r="I1096">
        <v>6517232</v>
      </c>
      <c r="J1096">
        <v>407327</v>
      </c>
      <c r="K1096">
        <v>2871</v>
      </c>
      <c r="L1096">
        <v>5899</v>
      </c>
      <c r="M1096">
        <v>6.3799999999999996E-2</v>
      </c>
      <c r="N1096">
        <v>-0.79300000000000004</v>
      </c>
      <c r="O1096">
        <v>1</v>
      </c>
      <c r="P1096" t="b">
        <f t="shared" si="35"/>
        <v>1</v>
      </c>
      <c r="Q1096" t="str">
        <f t="shared" si="34"/>
        <v>Negative</v>
      </c>
    </row>
    <row r="1097" spans="1:17" x14ac:dyDescent="0.3">
      <c r="A1097" t="s">
        <v>1904</v>
      </c>
      <c r="B1097" t="s">
        <v>27</v>
      </c>
      <c r="C1097" t="s">
        <v>23</v>
      </c>
      <c r="D1097" t="s">
        <v>29</v>
      </c>
      <c r="E1097" t="s">
        <v>19</v>
      </c>
      <c r="F1097" t="s">
        <v>55</v>
      </c>
      <c r="G1097" s="1">
        <v>45620</v>
      </c>
      <c r="H1097" t="s">
        <v>1905</v>
      </c>
      <c r="I1097">
        <v>1986780</v>
      </c>
      <c r="J1097">
        <v>165565</v>
      </c>
      <c r="K1097">
        <v>10961</v>
      </c>
      <c r="L1097">
        <v>50043</v>
      </c>
      <c r="M1097">
        <v>0.114</v>
      </c>
      <c r="N1097">
        <v>-0.40699999999999997</v>
      </c>
      <c r="O1097">
        <v>0</v>
      </c>
      <c r="P1097" t="b">
        <f t="shared" si="35"/>
        <v>0</v>
      </c>
      <c r="Q1097" t="str">
        <f t="shared" si="34"/>
        <v>Negative</v>
      </c>
    </row>
    <row r="1098" spans="1:17" x14ac:dyDescent="0.3">
      <c r="A1098" t="s">
        <v>1906</v>
      </c>
      <c r="B1098" t="s">
        <v>32</v>
      </c>
      <c r="C1098" t="s">
        <v>61</v>
      </c>
      <c r="D1098" t="s">
        <v>73</v>
      </c>
      <c r="E1098" t="s">
        <v>41</v>
      </c>
      <c r="F1098" t="s">
        <v>20</v>
      </c>
      <c r="G1098" s="1">
        <v>45372</v>
      </c>
      <c r="H1098" t="s">
        <v>597</v>
      </c>
      <c r="I1098">
        <v>4652960</v>
      </c>
      <c r="J1098">
        <v>357920</v>
      </c>
      <c r="K1098">
        <v>41696</v>
      </c>
      <c r="L1098">
        <v>69498</v>
      </c>
      <c r="M1098">
        <v>0.1008</v>
      </c>
      <c r="N1098">
        <v>-0.93600000000000005</v>
      </c>
      <c r="O1098">
        <v>1</v>
      </c>
      <c r="P1098" t="b">
        <f t="shared" si="35"/>
        <v>1</v>
      </c>
      <c r="Q1098" t="str">
        <f t="shared" si="34"/>
        <v>Negative</v>
      </c>
    </row>
    <row r="1099" spans="1:17" x14ac:dyDescent="0.3">
      <c r="A1099" t="s">
        <v>1907</v>
      </c>
      <c r="B1099" t="s">
        <v>32</v>
      </c>
      <c r="C1099" t="s">
        <v>61</v>
      </c>
      <c r="D1099" t="s">
        <v>73</v>
      </c>
      <c r="E1099" t="s">
        <v>58</v>
      </c>
      <c r="F1099" t="s">
        <v>34</v>
      </c>
      <c r="G1099" s="1">
        <v>45379</v>
      </c>
      <c r="H1099" t="s">
        <v>354</v>
      </c>
      <c r="I1099">
        <v>5579559</v>
      </c>
      <c r="J1099">
        <v>293661</v>
      </c>
      <c r="K1099">
        <v>22489</v>
      </c>
      <c r="L1099">
        <v>83640</v>
      </c>
      <c r="M1099">
        <v>7.17E-2</v>
      </c>
      <c r="N1099">
        <v>-0.71099999999999997</v>
      </c>
      <c r="O1099">
        <v>1</v>
      </c>
      <c r="P1099" t="b">
        <f t="shared" si="35"/>
        <v>1</v>
      </c>
      <c r="Q1099" t="str">
        <f t="shared" si="34"/>
        <v>Negative</v>
      </c>
    </row>
    <row r="1100" spans="1:17" x14ac:dyDescent="0.3">
      <c r="A1100" t="s">
        <v>1908</v>
      </c>
      <c r="B1100" t="s">
        <v>27</v>
      </c>
      <c r="C1100" t="s">
        <v>61</v>
      </c>
      <c r="D1100" t="s">
        <v>33</v>
      </c>
      <c r="E1100" t="s">
        <v>41</v>
      </c>
      <c r="F1100" t="s">
        <v>34</v>
      </c>
      <c r="G1100" s="1">
        <v>45482</v>
      </c>
      <c r="H1100" t="s">
        <v>1909</v>
      </c>
      <c r="I1100">
        <v>11252020</v>
      </c>
      <c r="J1100">
        <v>432770</v>
      </c>
      <c r="K1100">
        <v>1592</v>
      </c>
      <c r="L1100">
        <v>54711</v>
      </c>
      <c r="M1100">
        <v>4.3499999999999997E-2</v>
      </c>
      <c r="N1100">
        <v>-0.54700000000000004</v>
      </c>
      <c r="O1100">
        <v>1</v>
      </c>
      <c r="P1100" t="b">
        <f t="shared" si="35"/>
        <v>1</v>
      </c>
      <c r="Q1100" t="str">
        <f t="shared" si="34"/>
        <v>Negative</v>
      </c>
    </row>
    <row r="1101" spans="1:17" x14ac:dyDescent="0.3">
      <c r="A1101" t="s">
        <v>1910</v>
      </c>
      <c r="B1101" t="s">
        <v>16</v>
      </c>
      <c r="C1101" t="s">
        <v>28</v>
      </c>
      <c r="D1101" t="s">
        <v>73</v>
      </c>
      <c r="E1101" t="s">
        <v>58</v>
      </c>
      <c r="F1101" t="s">
        <v>34</v>
      </c>
      <c r="G1101" s="1">
        <v>45361</v>
      </c>
      <c r="H1101" t="s">
        <v>1911</v>
      </c>
      <c r="I1101">
        <v>9805770</v>
      </c>
      <c r="J1101">
        <v>338130</v>
      </c>
      <c r="K1101">
        <v>18821</v>
      </c>
      <c r="L1101">
        <v>85825</v>
      </c>
      <c r="M1101">
        <v>4.5199999999999997E-2</v>
      </c>
      <c r="N1101">
        <v>0.155</v>
      </c>
      <c r="O1101">
        <v>1</v>
      </c>
      <c r="P1101" t="b">
        <f t="shared" si="35"/>
        <v>1</v>
      </c>
      <c r="Q1101" t="str">
        <f t="shared" si="34"/>
        <v>Positive</v>
      </c>
    </row>
    <row r="1102" spans="1:17" x14ac:dyDescent="0.3">
      <c r="A1102" t="s">
        <v>1912</v>
      </c>
      <c r="B1102" t="s">
        <v>16</v>
      </c>
      <c r="C1102" t="s">
        <v>17</v>
      </c>
      <c r="D1102" t="s">
        <v>73</v>
      </c>
      <c r="E1102" t="s">
        <v>58</v>
      </c>
      <c r="F1102" t="s">
        <v>46</v>
      </c>
      <c r="G1102" s="1">
        <v>45632</v>
      </c>
      <c r="H1102" t="s">
        <v>1913</v>
      </c>
      <c r="I1102">
        <v>6357723</v>
      </c>
      <c r="J1102">
        <v>334617</v>
      </c>
      <c r="K1102">
        <v>34222</v>
      </c>
      <c r="L1102">
        <v>20885</v>
      </c>
      <c r="M1102">
        <v>6.13E-2</v>
      </c>
      <c r="N1102">
        <v>0.64100000000000001</v>
      </c>
      <c r="O1102">
        <v>1</v>
      </c>
      <c r="P1102" t="b">
        <f t="shared" si="35"/>
        <v>1</v>
      </c>
      <c r="Q1102" t="str">
        <f t="shared" si="34"/>
        <v>Positive</v>
      </c>
    </row>
    <row r="1103" spans="1:17" x14ac:dyDescent="0.3">
      <c r="A1103" t="s">
        <v>1914</v>
      </c>
      <c r="B1103" t="s">
        <v>16</v>
      </c>
      <c r="C1103" t="s">
        <v>23</v>
      </c>
      <c r="D1103" t="s">
        <v>29</v>
      </c>
      <c r="E1103" t="s">
        <v>58</v>
      </c>
      <c r="F1103" t="s">
        <v>20</v>
      </c>
      <c r="G1103" s="1">
        <v>45561</v>
      </c>
      <c r="H1103" t="s">
        <v>1915</v>
      </c>
      <c r="I1103">
        <v>4766900</v>
      </c>
      <c r="J1103">
        <v>238345</v>
      </c>
      <c r="K1103">
        <v>43623</v>
      </c>
      <c r="L1103">
        <v>83949</v>
      </c>
      <c r="M1103">
        <v>7.6799999999999993E-2</v>
      </c>
      <c r="N1103">
        <v>-0.27500000000000002</v>
      </c>
      <c r="O1103">
        <v>1</v>
      </c>
      <c r="P1103" t="b">
        <f t="shared" si="35"/>
        <v>1</v>
      </c>
      <c r="Q1103" t="str">
        <f t="shared" si="34"/>
        <v>Negative</v>
      </c>
    </row>
    <row r="1104" spans="1:17" x14ac:dyDescent="0.3">
      <c r="A1104" t="s">
        <v>1916</v>
      </c>
      <c r="B1104" t="s">
        <v>16</v>
      </c>
      <c r="C1104" t="s">
        <v>28</v>
      </c>
      <c r="D1104" t="s">
        <v>33</v>
      </c>
      <c r="E1104" t="s">
        <v>51</v>
      </c>
      <c r="F1104" t="s">
        <v>24</v>
      </c>
      <c r="G1104" s="1">
        <v>45385</v>
      </c>
      <c r="H1104" t="s">
        <v>1917</v>
      </c>
      <c r="I1104">
        <v>3686450</v>
      </c>
      <c r="J1104">
        <v>216850</v>
      </c>
      <c r="K1104">
        <v>37397</v>
      </c>
      <c r="L1104">
        <v>59994</v>
      </c>
      <c r="M1104">
        <v>8.5199999999999998E-2</v>
      </c>
      <c r="N1104">
        <v>-0.83099999999999996</v>
      </c>
      <c r="O1104">
        <v>1</v>
      </c>
      <c r="P1104" t="b">
        <f t="shared" si="35"/>
        <v>1</v>
      </c>
      <c r="Q1104" t="str">
        <f t="shared" si="34"/>
        <v>Negative</v>
      </c>
    </row>
    <row r="1105" spans="1:17" x14ac:dyDescent="0.3">
      <c r="A1105" t="s">
        <v>1918</v>
      </c>
      <c r="B1105" t="s">
        <v>16</v>
      </c>
      <c r="C1105" t="s">
        <v>17</v>
      </c>
      <c r="D1105" t="s">
        <v>18</v>
      </c>
      <c r="E1105" t="s">
        <v>38</v>
      </c>
      <c r="F1105" t="s">
        <v>46</v>
      </c>
      <c r="G1105" s="1">
        <v>45304</v>
      </c>
      <c r="H1105" t="s">
        <v>927</v>
      </c>
      <c r="I1105">
        <v>787720</v>
      </c>
      <c r="J1105">
        <v>78772</v>
      </c>
      <c r="K1105">
        <v>594</v>
      </c>
      <c r="L1105">
        <v>86445</v>
      </c>
      <c r="M1105">
        <v>0.21049999999999999</v>
      </c>
      <c r="N1105">
        <v>0.13100000000000001</v>
      </c>
      <c r="O1105">
        <v>0</v>
      </c>
      <c r="P1105" t="b">
        <f t="shared" si="35"/>
        <v>0</v>
      </c>
      <c r="Q1105" t="str">
        <f t="shared" si="34"/>
        <v>Positive</v>
      </c>
    </row>
    <row r="1106" spans="1:17" x14ac:dyDescent="0.3">
      <c r="A1106" t="s">
        <v>1919</v>
      </c>
      <c r="B1106" t="s">
        <v>66</v>
      </c>
      <c r="C1106" t="s">
        <v>23</v>
      </c>
      <c r="D1106" t="s">
        <v>29</v>
      </c>
      <c r="E1106" t="s">
        <v>58</v>
      </c>
      <c r="F1106" t="s">
        <v>24</v>
      </c>
      <c r="G1106" s="1">
        <v>45488</v>
      </c>
      <c r="H1106" t="s">
        <v>1285</v>
      </c>
      <c r="I1106">
        <v>4506211</v>
      </c>
      <c r="J1106">
        <v>237169</v>
      </c>
      <c r="K1106">
        <v>42227</v>
      </c>
      <c r="L1106">
        <v>49224</v>
      </c>
      <c r="M1106">
        <v>7.2900000000000006E-2</v>
      </c>
      <c r="N1106">
        <v>0.64700000000000002</v>
      </c>
      <c r="O1106">
        <v>1</v>
      </c>
      <c r="P1106" t="b">
        <f t="shared" si="35"/>
        <v>1</v>
      </c>
      <c r="Q1106" t="str">
        <f t="shared" si="34"/>
        <v>Positive</v>
      </c>
    </row>
    <row r="1107" spans="1:17" x14ac:dyDescent="0.3">
      <c r="A1107" t="s">
        <v>1920</v>
      </c>
      <c r="B1107" t="s">
        <v>32</v>
      </c>
      <c r="C1107" t="s">
        <v>28</v>
      </c>
      <c r="D1107" t="s">
        <v>37</v>
      </c>
      <c r="E1107" t="s">
        <v>38</v>
      </c>
      <c r="F1107" t="s">
        <v>55</v>
      </c>
      <c r="G1107" s="1">
        <v>45386</v>
      </c>
      <c r="H1107" t="s">
        <v>1921</v>
      </c>
      <c r="I1107">
        <v>9622350</v>
      </c>
      <c r="J1107">
        <v>384894</v>
      </c>
      <c r="K1107">
        <v>49425</v>
      </c>
      <c r="L1107">
        <v>75505</v>
      </c>
      <c r="M1107">
        <v>5.2999999999999999E-2</v>
      </c>
      <c r="N1107">
        <v>-0.59199999999999997</v>
      </c>
      <c r="O1107">
        <v>1</v>
      </c>
      <c r="P1107" t="b">
        <f t="shared" si="35"/>
        <v>1</v>
      </c>
      <c r="Q1107" t="str">
        <f t="shared" si="34"/>
        <v>Negative</v>
      </c>
    </row>
    <row r="1108" spans="1:17" x14ac:dyDescent="0.3">
      <c r="A1108" t="s">
        <v>1922</v>
      </c>
      <c r="B1108" t="s">
        <v>32</v>
      </c>
      <c r="C1108" t="s">
        <v>23</v>
      </c>
      <c r="D1108" t="s">
        <v>33</v>
      </c>
      <c r="E1108" t="s">
        <v>58</v>
      </c>
      <c r="F1108" t="s">
        <v>24</v>
      </c>
      <c r="G1108" s="1">
        <v>45483</v>
      </c>
      <c r="H1108" t="s">
        <v>1923</v>
      </c>
      <c r="I1108">
        <v>2949387</v>
      </c>
      <c r="J1108">
        <v>140447</v>
      </c>
      <c r="K1108">
        <v>28682</v>
      </c>
      <c r="L1108">
        <v>13270</v>
      </c>
      <c r="M1108">
        <v>6.1800000000000001E-2</v>
      </c>
      <c r="N1108">
        <v>-0.158</v>
      </c>
      <c r="O1108">
        <v>1</v>
      </c>
      <c r="P1108" t="b">
        <f t="shared" si="35"/>
        <v>1</v>
      </c>
      <c r="Q1108" t="str">
        <f t="shared" si="34"/>
        <v>Negative</v>
      </c>
    </row>
    <row r="1109" spans="1:17" x14ac:dyDescent="0.3">
      <c r="A1109" t="s">
        <v>1924</v>
      </c>
      <c r="B1109" t="s">
        <v>32</v>
      </c>
      <c r="C1109" t="s">
        <v>28</v>
      </c>
      <c r="D1109" t="s">
        <v>37</v>
      </c>
      <c r="E1109" t="s">
        <v>58</v>
      </c>
      <c r="F1109" t="s">
        <v>20</v>
      </c>
      <c r="G1109" s="1">
        <v>45340</v>
      </c>
      <c r="H1109" t="s">
        <v>1879</v>
      </c>
      <c r="I1109">
        <v>6835128</v>
      </c>
      <c r="J1109">
        <v>284797</v>
      </c>
      <c r="K1109">
        <v>24371</v>
      </c>
      <c r="L1109">
        <v>44037</v>
      </c>
      <c r="M1109">
        <v>5.1700000000000003E-2</v>
      </c>
      <c r="N1109">
        <v>-0.5</v>
      </c>
      <c r="O1109">
        <v>1</v>
      </c>
      <c r="P1109" t="b">
        <f t="shared" si="35"/>
        <v>1</v>
      </c>
      <c r="Q1109" t="str">
        <f t="shared" si="34"/>
        <v>Negative</v>
      </c>
    </row>
    <row r="1110" spans="1:17" x14ac:dyDescent="0.3">
      <c r="A1110" t="s">
        <v>1925</v>
      </c>
      <c r="B1110" t="s">
        <v>16</v>
      </c>
      <c r="C1110" t="s">
        <v>61</v>
      </c>
      <c r="D1110" t="s">
        <v>54</v>
      </c>
      <c r="E1110" t="s">
        <v>51</v>
      </c>
      <c r="F1110" t="s">
        <v>34</v>
      </c>
      <c r="G1110" s="1">
        <v>45357</v>
      </c>
      <c r="H1110" t="s">
        <v>1422</v>
      </c>
      <c r="I1110">
        <v>10152340</v>
      </c>
      <c r="J1110">
        <v>461470</v>
      </c>
      <c r="K1110">
        <v>30148</v>
      </c>
      <c r="L1110">
        <v>29426</v>
      </c>
      <c r="M1110">
        <v>5.1299999999999998E-2</v>
      </c>
      <c r="N1110">
        <v>-0.33600000000000002</v>
      </c>
      <c r="O1110">
        <v>1</v>
      </c>
      <c r="P1110" t="b">
        <f t="shared" si="35"/>
        <v>1</v>
      </c>
      <c r="Q1110" t="str">
        <f t="shared" si="34"/>
        <v>Negative</v>
      </c>
    </row>
    <row r="1111" spans="1:17" x14ac:dyDescent="0.3">
      <c r="A1111" t="s">
        <v>1926</v>
      </c>
      <c r="B1111" t="s">
        <v>16</v>
      </c>
      <c r="C1111" t="s">
        <v>23</v>
      </c>
      <c r="D1111" t="s">
        <v>33</v>
      </c>
      <c r="E1111" t="s">
        <v>58</v>
      </c>
      <c r="F1111" t="s">
        <v>24</v>
      </c>
      <c r="G1111" s="1">
        <v>45339</v>
      </c>
      <c r="H1111" t="s">
        <v>1008</v>
      </c>
      <c r="I1111">
        <v>92956</v>
      </c>
      <c r="J1111">
        <v>5468</v>
      </c>
      <c r="K1111">
        <v>4626</v>
      </c>
      <c r="L1111">
        <v>58830</v>
      </c>
      <c r="M1111">
        <v>0.74150000000000005</v>
      </c>
      <c r="N1111">
        <v>-0.55200000000000005</v>
      </c>
      <c r="O1111">
        <v>0</v>
      </c>
      <c r="P1111" t="b">
        <f t="shared" si="35"/>
        <v>0</v>
      </c>
      <c r="Q1111" t="str">
        <f t="shared" si="34"/>
        <v>Negative</v>
      </c>
    </row>
    <row r="1112" spans="1:17" x14ac:dyDescent="0.3">
      <c r="A1112" t="s">
        <v>1927</v>
      </c>
      <c r="B1112" t="s">
        <v>16</v>
      </c>
      <c r="C1112" t="s">
        <v>17</v>
      </c>
      <c r="D1112" t="s">
        <v>37</v>
      </c>
      <c r="E1112" t="s">
        <v>51</v>
      </c>
      <c r="F1112" t="s">
        <v>46</v>
      </c>
      <c r="G1112" s="1">
        <v>45449</v>
      </c>
      <c r="H1112" t="s">
        <v>1928</v>
      </c>
      <c r="I1112">
        <v>674521</v>
      </c>
      <c r="J1112">
        <v>29327</v>
      </c>
      <c r="K1112">
        <v>43899</v>
      </c>
      <c r="L1112">
        <v>7567</v>
      </c>
      <c r="M1112">
        <v>0.1198</v>
      </c>
      <c r="N1112">
        <v>0.54700000000000004</v>
      </c>
      <c r="O1112">
        <v>0</v>
      </c>
      <c r="P1112" t="b">
        <f t="shared" si="35"/>
        <v>0</v>
      </c>
      <c r="Q1112" t="str">
        <f t="shared" si="34"/>
        <v>Positive</v>
      </c>
    </row>
    <row r="1113" spans="1:17" x14ac:dyDescent="0.3">
      <c r="A1113" t="s">
        <v>1929</v>
      </c>
      <c r="B1113" t="s">
        <v>66</v>
      </c>
      <c r="C1113" t="s">
        <v>17</v>
      </c>
      <c r="D1113" t="s">
        <v>29</v>
      </c>
      <c r="E1113" t="s">
        <v>41</v>
      </c>
      <c r="F1113" t="s">
        <v>34</v>
      </c>
      <c r="G1113" s="1">
        <v>45467</v>
      </c>
      <c r="H1113" t="s">
        <v>207</v>
      </c>
      <c r="I1113">
        <v>8576442</v>
      </c>
      <c r="J1113">
        <v>408402</v>
      </c>
      <c r="K1113">
        <v>17392</v>
      </c>
      <c r="L1113">
        <v>27043</v>
      </c>
      <c r="M1113">
        <v>5.28E-2</v>
      </c>
      <c r="N1113">
        <v>0.29599999999999999</v>
      </c>
      <c r="O1113">
        <v>1</v>
      </c>
      <c r="P1113" t="b">
        <f t="shared" si="35"/>
        <v>1</v>
      </c>
      <c r="Q1113" t="str">
        <f t="shared" si="34"/>
        <v>Positive</v>
      </c>
    </row>
    <row r="1114" spans="1:17" x14ac:dyDescent="0.3">
      <c r="A1114" t="s">
        <v>1930</v>
      </c>
      <c r="B1114" t="s">
        <v>27</v>
      </c>
      <c r="C1114" t="s">
        <v>61</v>
      </c>
      <c r="D1114" t="s">
        <v>54</v>
      </c>
      <c r="E1114" t="s">
        <v>58</v>
      </c>
      <c r="F1114" t="s">
        <v>34</v>
      </c>
      <c r="G1114" s="1">
        <v>45513</v>
      </c>
      <c r="H1114" t="s">
        <v>59</v>
      </c>
      <c r="I1114">
        <v>2989900</v>
      </c>
      <c r="J1114">
        <v>149495</v>
      </c>
      <c r="K1114">
        <v>18024</v>
      </c>
      <c r="L1114">
        <v>75427</v>
      </c>
      <c r="M1114">
        <v>8.1299999999999997E-2</v>
      </c>
      <c r="N1114">
        <v>-0.90600000000000003</v>
      </c>
      <c r="O1114">
        <v>1</v>
      </c>
      <c r="P1114" t="b">
        <f t="shared" si="35"/>
        <v>1</v>
      </c>
      <c r="Q1114" t="str">
        <f t="shared" si="34"/>
        <v>Negative</v>
      </c>
    </row>
    <row r="1115" spans="1:17" x14ac:dyDescent="0.3">
      <c r="A1115" t="s">
        <v>1931</v>
      </c>
      <c r="B1115" t="s">
        <v>66</v>
      </c>
      <c r="C1115" t="s">
        <v>28</v>
      </c>
      <c r="D1115" t="s">
        <v>73</v>
      </c>
      <c r="E1115" t="s">
        <v>38</v>
      </c>
      <c r="F1115" t="s">
        <v>34</v>
      </c>
      <c r="G1115" s="1">
        <v>45445</v>
      </c>
      <c r="H1115" t="s">
        <v>319</v>
      </c>
      <c r="I1115">
        <v>3401673</v>
      </c>
      <c r="J1115">
        <v>309243</v>
      </c>
      <c r="K1115">
        <v>22913</v>
      </c>
      <c r="L1115">
        <v>61585</v>
      </c>
      <c r="M1115">
        <v>0.1157</v>
      </c>
      <c r="N1115">
        <v>-0.48899999999999999</v>
      </c>
      <c r="O1115">
        <v>1</v>
      </c>
      <c r="P1115" t="b">
        <f t="shared" si="35"/>
        <v>1</v>
      </c>
      <c r="Q1115" t="str">
        <f t="shared" si="34"/>
        <v>Negative</v>
      </c>
    </row>
    <row r="1116" spans="1:17" x14ac:dyDescent="0.3">
      <c r="A1116" t="s">
        <v>1932</v>
      </c>
      <c r="B1116" t="s">
        <v>27</v>
      </c>
      <c r="C1116" t="s">
        <v>61</v>
      </c>
      <c r="D1116" t="s">
        <v>54</v>
      </c>
      <c r="E1116" t="s">
        <v>51</v>
      </c>
      <c r="F1116" t="s">
        <v>55</v>
      </c>
      <c r="G1116" s="1">
        <v>45370</v>
      </c>
      <c r="H1116" t="s">
        <v>1933</v>
      </c>
      <c r="I1116">
        <v>1352992</v>
      </c>
      <c r="J1116">
        <v>169124</v>
      </c>
      <c r="K1116">
        <v>35175</v>
      </c>
      <c r="L1116">
        <v>37664</v>
      </c>
      <c r="M1116">
        <v>0.17879999999999999</v>
      </c>
      <c r="N1116">
        <v>-0.17399999999999999</v>
      </c>
      <c r="O1116">
        <v>0</v>
      </c>
      <c r="P1116" t="b">
        <f t="shared" si="35"/>
        <v>0</v>
      </c>
      <c r="Q1116" t="str">
        <f t="shared" si="34"/>
        <v>Negative</v>
      </c>
    </row>
    <row r="1117" spans="1:17" x14ac:dyDescent="0.3">
      <c r="A1117" t="s">
        <v>1934</v>
      </c>
      <c r="B1117" t="s">
        <v>16</v>
      </c>
      <c r="C1117" t="s">
        <v>28</v>
      </c>
      <c r="D1117" t="s">
        <v>29</v>
      </c>
      <c r="E1117" t="s">
        <v>41</v>
      </c>
      <c r="F1117" t="s">
        <v>34</v>
      </c>
      <c r="G1117" s="1">
        <v>45508</v>
      </c>
      <c r="H1117" t="s">
        <v>185</v>
      </c>
      <c r="I1117">
        <v>1611909</v>
      </c>
      <c r="J1117">
        <v>179101</v>
      </c>
      <c r="K1117">
        <v>9348</v>
      </c>
      <c r="L1117">
        <v>76174</v>
      </c>
      <c r="M1117">
        <v>0.16420000000000001</v>
      </c>
      <c r="N1117">
        <v>-0.86</v>
      </c>
      <c r="O1117">
        <v>0</v>
      </c>
      <c r="P1117" t="b">
        <f t="shared" si="35"/>
        <v>0</v>
      </c>
      <c r="Q1117" t="str">
        <f t="shared" si="34"/>
        <v>Negative</v>
      </c>
    </row>
    <row r="1118" spans="1:17" x14ac:dyDescent="0.3">
      <c r="A1118" t="s">
        <v>1935</v>
      </c>
      <c r="B1118" t="s">
        <v>66</v>
      </c>
      <c r="C1118" t="s">
        <v>28</v>
      </c>
      <c r="D1118" t="s">
        <v>37</v>
      </c>
      <c r="E1118" t="s">
        <v>19</v>
      </c>
      <c r="F1118" t="s">
        <v>46</v>
      </c>
      <c r="G1118" s="1">
        <v>45421</v>
      </c>
      <c r="H1118" t="s">
        <v>630</v>
      </c>
      <c r="I1118">
        <v>3565460</v>
      </c>
      <c r="J1118">
        <v>178273</v>
      </c>
      <c r="K1118">
        <v>3912</v>
      </c>
      <c r="L1118">
        <v>99112</v>
      </c>
      <c r="M1118">
        <v>7.8899999999999998E-2</v>
      </c>
      <c r="N1118">
        <v>0.65500000000000003</v>
      </c>
      <c r="O1118">
        <v>1</v>
      </c>
      <c r="P1118" t="b">
        <f t="shared" si="35"/>
        <v>1</v>
      </c>
      <c r="Q1118" t="str">
        <f t="shared" si="34"/>
        <v>Positive</v>
      </c>
    </row>
    <row r="1119" spans="1:17" x14ac:dyDescent="0.3">
      <c r="A1119" t="s">
        <v>1936</v>
      </c>
      <c r="B1119" t="s">
        <v>32</v>
      </c>
      <c r="C1119" t="s">
        <v>28</v>
      </c>
      <c r="D1119" t="s">
        <v>37</v>
      </c>
      <c r="E1119" t="s">
        <v>58</v>
      </c>
      <c r="F1119" t="s">
        <v>46</v>
      </c>
      <c r="G1119" s="1">
        <v>45331</v>
      </c>
      <c r="H1119" t="s">
        <v>1937</v>
      </c>
      <c r="I1119">
        <v>3295025</v>
      </c>
      <c r="J1119">
        <v>193825</v>
      </c>
      <c r="K1119">
        <v>13704</v>
      </c>
      <c r="L1119">
        <v>91420</v>
      </c>
      <c r="M1119">
        <v>9.0700000000000003E-2</v>
      </c>
      <c r="N1119">
        <v>0.42</v>
      </c>
      <c r="O1119">
        <v>1</v>
      </c>
      <c r="P1119" t="b">
        <f t="shared" si="35"/>
        <v>1</v>
      </c>
      <c r="Q1119" t="str">
        <f t="shared" si="34"/>
        <v>Positive</v>
      </c>
    </row>
    <row r="1120" spans="1:17" x14ac:dyDescent="0.3">
      <c r="A1120" t="s">
        <v>1938</v>
      </c>
      <c r="B1120" t="s">
        <v>27</v>
      </c>
      <c r="C1120" t="s">
        <v>17</v>
      </c>
      <c r="D1120" t="s">
        <v>37</v>
      </c>
      <c r="E1120" t="s">
        <v>38</v>
      </c>
      <c r="F1120" t="s">
        <v>20</v>
      </c>
      <c r="G1120" s="1">
        <v>45319</v>
      </c>
      <c r="H1120" t="s">
        <v>1570</v>
      </c>
      <c r="I1120">
        <v>3120936</v>
      </c>
      <c r="J1120">
        <v>111462</v>
      </c>
      <c r="K1120">
        <v>49914</v>
      </c>
      <c r="L1120">
        <v>28808</v>
      </c>
      <c r="M1120">
        <v>6.0900000000000003E-2</v>
      </c>
      <c r="N1120">
        <v>0.93700000000000006</v>
      </c>
      <c r="O1120">
        <v>1</v>
      </c>
      <c r="P1120" t="b">
        <f t="shared" si="35"/>
        <v>1</v>
      </c>
      <c r="Q1120" t="str">
        <f t="shared" si="34"/>
        <v>Positive</v>
      </c>
    </row>
    <row r="1121" spans="1:17" x14ac:dyDescent="0.3">
      <c r="A1121" t="s">
        <v>1939</v>
      </c>
      <c r="B1121" t="s">
        <v>32</v>
      </c>
      <c r="C1121" t="s">
        <v>61</v>
      </c>
      <c r="D1121" t="s">
        <v>33</v>
      </c>
      <c r="E1121" t="s">
        <v>19</v>
      </c>
      <c r="F1121" t="s">
        <v>34</v>
      </c>
      <c r="G1121" s="1">
        <v>45549</v>
      </c>
      <c r="H1121" t="s">
        <v>116</v>
      </c>
      <c r="I1121">
        <v>1014050</v>
      </c>
      <c r="J1121">
        <v>59650</v>
      </c>
      <c r="K1121">
        <v>14541</v>
      </c>
      <c r="L1121">
        <v>3559</v>
      </c>
      <c r="M1121">
        <v>7.6700000000000004E-2</v>
      </c>
      <c r="N1121">
        <v>0.67300000000000004</v>
      </c>
      <c r="O1121">
        <v>0</v>
      </c>
      <c r="P1121" t="b">
        <f t="shared" si="35"/>
        <v>0</v>
      </c>
      <c r="Q1121" t="str">
        <f t="shared" si="34"/>
        <v>Positive</v>
      </c>
    </row>
    <row r="1122" spans="1:17" x14ac:dyDescent="0.3">
      <c r="A1122" t="s">
        <v>1940</v>
      </c>
      <c r="B1122" t="s">
        <v>66</v>
      </c>
      <c r="C1122" t="s">
        <v>23</v>
      </c>
      <c r="D1122" t="s">
        <v>18</v>
      </c>
      <c r="E1122" t="s">
        <v>41</v>
      </c>
      <c r="F1122" t="s">
        <v>55</v>
      </c>
      <c r="G1122" s="1">
        <v>45385</v>
      </c>
      <c r="H1122" t="s">
        <v>1941</v>
      </c>
      <c r="I1122">
        <v>4302150</v>
      </c>
      <c r="J1122">
        <v>187050</v>
      </c>
      <c r="K1122">
        <v>36348</v>
      </c>
      <c r="L1122">
        <v>58220</v>
      </c>
      <c r="M1122">
        <v>6.5500000000000003E-2</v>
      </c>
      <c r="N1122">
        <v>-0.24099999999999999</v>
      </c>
      <c r="O1122">
        <v>1</v>
      </c>
      <c r="P1122" t="b">
        <f t="shared" si="35"/>
        <v>1</v>
      </c>
      <c r="Q1122" t="str">
        <f t="shared" si="34"/>
        <v>Negative</v>
      </c>
    </row>
    <row r="1123" spans="1:17" x14ac:dyDescent="0.3">
      <c r="A1123" t="s">
        <v>1942</v>
      </c>
      <c r="B1123" t="s">
        <v>16</v>
      </c>
      <c r="C1123" t="s">
        <v>17</v>
      </c>
      <c r="D1123" t="s">
        <v>73</v>
      </c>
      <c r="E1123" t="s">
        <v>41</v>
      </c>
      <c r="F1123" t="s">
        <v>24</v>
      </c>
      <c r="G1123" s="1">
        <v>45425</v>
      </c>
      <c r="H1123" t="s">
        <v>1943</v>
      </c>
      <c r="I1123">
        <v>3515456</v>
      </c>
      <c r="J1123">
        <v>251104</v>
      </c>
      <c r="K1123">
        <v>39892</v>
      </c>
      <c r="L1123">
        <v>53219</v>
      </c>
      <c r="M1123">
        <v>9.7900000000000001E-2</v>
      </c>
      <c r="N1123">
        <v>-0.37</v>
      </c>
      <c r="O1123">
        <v>1</v>
      </c>
      <c r="P1123" t="b">
        <f t="shared" si="35"/>
        <v>1</v>
      </c>
      <c r="Q1123" t="str">
        <f t="shared" si="34"/>
        <v>Negative</v>
      </c>
    </row>
    <row r="1124" spans="1:17" x14ac:dyDescent="0.3">
      <c r="A1124" t="s">
        <v>1944</v>
      </c>
      <c r="B1124" t="s">
        <v>66</v>
      </c>
      <c r="C1124" t="s">
        <v>61</v>
      </c>
      <c r="D1124" t="s">
        <v>33</v>
      </c>
      <c r="E1124" t="s">
        <v>51</v>
      </c>
      <c r="F1124" t="s">
        <v>24</v>
      </c>
      <c r="G1124" s="1">
        <v>45323</v>
      </c>
      <c r="H1124" t="s">
        <v>1945</v>
      </c>
      <c r="I1124">
        <v>3953191</v>
      </c>
      <c r="J1124">
        <v>359381</v>
      </c>
      <c r="K1124">
        <v>38089</v>
      </c>
      <c r="L1124">
        <v>81781</v>
      </c>
      <c r="M1124">
        <v>0.1212</v>
      </c>
      <c r="N1124">
        <v>0.46300000000000002</v>
      </c>
      <c r="O1124">
        <v>1</v>
      </c>
      <c r="P1124" t="b">
        <f t="shared" si="35"/>
        <v>1</v>
      </c>
      <c r="Q1124" t="str">
        <f t="shared" si="34"/>
        <v>Positive</v>
      </c>
    </row>
    <row r="1125" spans="1:17" x14ac:dyDescent="0.3">
      <c r="A1125" t="s">
        <v>1946</v>
      </c>
      <c r="B1125" t="s">
        <v>16</v>
      </c>
      <c r="C1125" t="s">
        <v>23</v>
      </c>
      <c r="D1125" t="s">
        <v>18</v>
      </c>
      <c r="E1125" t="s">
        <v>41</v>
      </c>
      <c r="F1125" t="s">
        <v>46</v>
      </c>
      <c r="G1125" s="1">
        <v>45442</v>
      </c>
      <c r="H1125" t="s">
        <v>1947</v>
      </c>
      <c r="I1125">
        <v>1002618</v>
      </c>
      <c r="J1125">
        <v>37134</v>
      </c>
      <c r="K1125">
        <v>40322</v>
      </c>
      <c r="L1125">
        <v>55469</v>
      </c>
      <c r="M1125">
        <v>0.1326</v>
      </c>
      <c r="N1125">
        <v>0.66600000000000004</v>
      </c>
      <c r="O1125">
        <v>0</v>
      </c>
      <c r="P1125" t="b">
        <f t="shared" si="35"/>
        <v>0</v>
      </c>
      <c r="Q1125" t="str">
        <f t="shared" si="34"/>
        <v>Positive</v>
      </c>
    </row>
    <row r="1126" spans="1:17" x14ac:dyDescent="0.3">
      <c r="A1126" t="s">
        <v>1948</v>
      </c>
      <c r="B1126" t="s">
        <v>16</v>
      </c>
      <c r="C1126" t="s">
        <v>23</v>
      </c>
      <c r="D1126" t="s">
        <v>37</v>
      </c>
      <c r="E1126" t="s">
        <v>58</v>
      </c>
      <c r="F1126" t="s">
        <v>24</v>
      </c>
      <c r="G1126" s="1">
        <v>45411</v>
      </c>
      <c r="H1126" t="s">
        <v>1949</v>
      </c>
      <c r="I1126">
        <v>1031778</v>
      </c>
      <c r="J1126">
        <v>57321</v>
      </c>
      <c r="K1126">
        <v>1662</v>
      </c>
      <c r="L1126">
        <v>98301</v>
      </c>
      <c r="M1126">
        <v>0.15240000000000001</v>
      </c>
      <c r="N1126">
        <v>-0.78500000000000003</v>
      </c>
      <c r="O1126">
        <v>0</v>
      </c>
      <c r="P1126" t="b">
        <f t="shared" si="35"/>
        <v>0</v>
      </c>
      <c r="Q1126" t="str">
        <f t="shared" si="34"/>
        <v>Negative</v>
      </c>
    </row>
    <row r="1127" spans="1:17" x14ac:dyDescent="0.3">
      <c r="A1127" t="s">
        <v>1950</v>
      </c>
      <c r="B1127" t="s">
        <v>66</v>
      </c>
      <c r="C1127" t="s">
        <v>61</v>
      </c>
      <c r="D1127" t="s">
        <v>54</v>
      </c>
      <c r="E1127" t="s">
        <v>51</v>
      </c>
      <c r="F1127" t="s">
        <v>46</v>
      </c>
      <c r="G1127" s="1">
        <v>45297</v>
      </c>
      <c r="H1127" t="s">
        <v>1637</v>
      </c>
      <c r="I1127">
        <v>3715712</v>
      </c>
      <c r="J1127">
        <v>265408</v>
      </c>
      <c r="K1127">
        <v>27547</v>
      </c>
      <c r="L1127">
        <v>83974</v>
      </c>
      <c r="M1127">
        <v>0.1014</v>
      </c>
      <c r="N1127">
        <v>0.68799999999999994</v>
      </c>
      <c r="O1127">
        <v>1</v>
      </c>
      <c r="P1127" t="b">
        <f t="shared" si="35"/>
        <v>1</v>
      </c>
      <c r="Q1127" t="str">
        <f t="shared" si="34"/>
        <v>Positive</v>
      </c>
    </row>
    <row r="1128" spans="1:17" x14ac:dyDescent="0.3">
      <c r="A1128" t="s">
        <v>1951</v>
      </c>
      <c r="B1128" t="s">
        <v>27</v>
      </c>
      <c r="C1128" t="s">
        <v>28</v>
      </c>
      <c r="D1128" t="s">
        <v>29</v>
      </c>
      <c r="E1128" t="s">
        <v>41</v>
      </c>
      <c r="F1128" t="s">
        <v>46</v>
      </c>
      <c r="G1128" s="1">
        <v>45506</v>
      </c>
      <c r="H1128" t="s">
        <v>1952</v>
      </c>
      <c r="I1128">
        <v>456291</v>
      </c>
      <c r="J1128">
        <v>50699</v>
      </c>
      <c r="K1128">
        <v>6014</v>
      </c>
      <c r="L1128">
        <v>4553</v>
      </c>
      <c r="M1128">
        <v>0.1343</v>
      </c>
      <c r="N1128">
        <v>0.80300000000000005</v>
      </c>
      <c r="O1128">
        <v>0</v>
      </c>
      <c r="P1128" t="b">
        <f t="shared" si="35"/>
        <v>0</v>
      </c>
      <c r="Q1128" t="str">
        <f t="shared" si="34"/>
        <v>Positive</v>
      </c>
    </row>
    <row r="1129" spans="1:17" x14ac:dyDescent="0.3">
      <c r="A1129" t="s">
        <v>1953</v>
      </c>
      <c r="B1129" t="s">
        <v>66</v>
      </c>
      <c r="C1129" t="s">
        <v>23</v>
      </c>
      <c r="D1129" t="s">
        <v>37</v>
      </c>
      <c r="E1129" t="s">
        <v>38</v>
      </c>
      <c r="F1129" t="s">
        <v>34</v>
      </c>
      <c r="G1129" s="1">
        <v>45359</v>
      </c>
      <c r="H1129" t="s">
        <v>1954</v>
      </c>
      <c r="I1129">
        <v>478149</v>
      </c>
      <c r="J1129">
        <v>68307</v>
      </c>
      <c r="K1129">
        <v>6524</v>
      </c>
      <c r="L1129">
        <v>78271</v>
      </c>
      <c r="M1129">
        <v>0.32019999999999998</v>
      </c>
      <c r="N1129">
        <v>0.65700000000000003</v>
      </c>
      <c r="O1129">
        <v>0</v>
      </c>
      <c r="P1129" t="b">
        <f t="shared" si="35"/>
        <v>0</v>
      </c>
      <c r="Q1129" t="str">
        <f t="shared" si="34"/>
        <v>Positive</v>
      </c>
    </row>
    <row r="1130" spans="1:17" x14ac:dyDescent="0.3">
      <c r="A1130" t="s">
        <v>1955</v>
      </c>
      <c r="B1130" t="s">
        <v>66</v>
      </c>
      <c r="C1130" t="s">
        <v>17</v>
      </c>
      <c r="D1130" t="s">
        <v>73</v>
      </c>
      <c r="E1130" t="s">
        <v>51</v>
      </c>
      <c r="F1130" t="s">
        <v>46</v>
      </c>
      <c r="G1130" s="1">
        <v>45434</v>
      </c>
      <c r="H1130" t="s">
        <v>1956</v>
      </c>
      <c r="I1130">
        <v>2661488</v>
      </c>
      <c r="J1130">
        <v>332686</v>
      </c>
      <c r="K1130">
        <v>30101</v>
      </c>
      <c r="L1130">
        <v>40032</v>
      </c>
      <c r="M1130">
        <v>0.15140000000000001</v>
      </c>
      <c r="N1130">
        <v>-0.35099999999999998</v>
      </c>
      <c r="O1130">
        <v>1</v>
      </c>
      <c r="P1130" t="b">
        <f t="shared" si="35"/>
        <v>1</v>
      </c>
      <c r="Q1130" t="str">
        <f t="shared" si="34"/>
        <v>Negative</v>
      </c>
    </row>
    <row r="1131" spans="1:17" x14ac:dyDescent="0.3">
      <c r="A1131" t="s">
        <v>1957</v>
      </c>
      <c r="B1131" t="s">
        <v>32</v>
      </c>
      <c r="C1131" t="s">
        <v>28</v>
      </c>
      <c r="D1131" t="s">
        <v>18</v>
      </c>
      <c r="E1131" t="s">
        <v>58</v>
      </c>
      <c r="F1131" t="s">
        <v>46</v>
      </c>
      <c r="G1131" s="1">
        <v>45580</v>
      </c>
      <c r="H1131" t="s">
        <v>1958</v>
      </c>
      <c r="I1131">
        <v>395604</v>
      </c>
      <c r="J1131">
        <v>43956</v>
      </c>
      <c r="K1131">
        <v>33581</v>
      </c>
      <c r="L1131">
        <v>41939</v>
      </c>
      <c r="M1131">
        <v>0.30199999999999999</v>
      </c>
      <c r="N1131">
        <v>0.71399999999999997</v>
      </c>
      <c r="O1131">
        <v>0</v>
      </c>
      <c r="P1131" t="b">
        <f t="shared" si="35"/>
        <v>0</v>
      </c>
      <c r="Q1131" t="str">
        <f t="shared" si="34"/>
        <v>Positive</v>
      </c>
    </row>
    <row r="1132" spans="1:17" x14ac:dyDescent="0.3">
      <c r="A1132" t="s">
        <v>1959</v>
      </c>
      <c r="B1132" t="s">
        <v>27</v>
      </c>
      <c r="C1132" t="s">
        <v>61</v>
      </c>
      <c r="D1132" t="s">
        <v>33</v>
      </c>
      <c r="E1132" t="s">
        <v>41</v>
      </c>
      <c r="F1132" t="s">
        <v>46</v>
      </c>
      <c r="G1132" s="1">
        <v>45459</v>
      </c>
      <c r="H1132" t="s">
        <v>1960</v>
      </c>
      <c r="I1132">
        <v>12768574</v>
      </c>
      <c r="J1132">
        <v>491099</v>
      </c>
      <c r="K1132">
        <v>43466</v>
      </c>
      <c r="L1132">
        <v>93475</v>
      </c>
      <c r="M1132">
        <v>4.9200000000000001E-2</v>
      </c>
      <c r="N1132">
        <v>-0.73499999999999999</v>
      </c>
      <c r="O1132">
        <v>1</v>
      </c>
      <c r="P1132" t="b">
        <f t="shared" si="35"/>
        <v>1</v>
      </c>
      <c r="Q1132" t="str">
        <f t="shared" si="34"/>
        <v>Negative</v>
      </c>
    </row>
    <row r="1133" spans="1:17" x14ac:dyDescent="0.3">
      <c r="A1133" t="s">
        <v>1961</v>
      </c>
      <c r="B1133" t="s">
        <v>66</v>
      </c>
      <c r="C1133" t="s">
        <v>61</v>
      </c>
      <c r="D1133" t="s">
        <v>29</v>
      </c>
      <c r="E1133" t="s">
        <v>41</v>
      </c>
      <c r="F1133" t="s">
        <v>46</v>
      </c>
      <c r="G1133" s="1">
        <v>45570</v>
      </c>
      <c r="H1133" t="s">
        <v>1088</v>
      </c>
      <c r="I1133">
        <v>3229335</v>
      </c>
      <c r="J1133">
        <v>215289</v>
      </c>
      <c r="K1133">
        <v>14196</v>
      </c>
      <c r="L1133">
        <v>84727</v>
      </c>
      <c r="M1133">
        <v>9.7299999999999998E-2</v>
      </c>
      <c r="N1133">
        <v>-9.0999999999999998E-2</v>
      </c>
      <c r="O1133">
        <v>1</v>
      </c>
      <c r="P1133" t="b">
        <f t="shared" si="35"/>
        <v>1</v>
      </c>
      <c r="Q1133" t="str">
        <f t="shared" si="34"/>
        <v>Negative</v>
      </c>
    </row>
    <row r="1134" spans="1:17" x14ac:dyDescent="0.3">
      <c r="A1134" t="s">
        <v>1962</v>
      </c>
      <c r="B1134" t="s">
        <v>16</v>
      </c>
      <c r="C1134" t="s">
        <v>61</v>
      </c>
      <c r="D1134" t="s">
        <v>54</v>
      </c>
      <c r="E1134" t="s">
        <v>38</v>
      </c>
      <c r="F1134" t="s">
        <v>20</v>
      </c>
      <c r="G1134" s="1">
        <v>45483</v>
      </c>
      <c r="H1134" t="s">
        <v>1963</v>
      </c>
      <c r="I1134">
        <v>2606288</v>
      </c>
      <c r="J1134">
        <v>162893</v>
      </c>
      <c r="K1134">
        <v>13709</v>
      </c>
      <c r="L1134">
        <v>56636</v>
      </c>
      <c r="M1134">
        <v>8.9499999999999996E-2</v>
      </c>
      <c r="N1134">
        <v>0.31900000000000001</v>
      </c>
      <c r="O1134">
        <v>1</v>
      </c>
      <c r="P1134" t="b">
        <f t="shared" si="35"/>
        <v>1</v>
      </c>
      <c r="Q1134" t="str">
        <f t="shared" si="34"/>
        <v>Positive</v>
      </c>
    </row>
    <row r="1135" spans="1:17" x14ac:dyDescent="0.3">
      <c r="A1135" t="s">
        <v>1964</v>
      </c>
      <c r="B1135" t="s">
        <v>66</v>
      </c>
      <c r="C1135" t="s">
        <v>17</v>
      </c>
      <c r="D1135" t="s">
        <v>18</v>
      </c>
      <c r="E1135" t="s">
        <v>51</v>
      </c>
      <c r="F1135" t="s">
        <v>46</v>
      </c>
      <c r="G1135" s="1">
        <v>45598</v>
      </c>
      <c r="H1135" t="s">
        <v>1965</v>
      </c>
      <c r="I1135">
        <v>3199092</v>
      </c>
      <c r="J1135">
        <v>246084</v>
      </c>
      <c r="K1135">
        <v>47221</v>
      </c>
      <c r="L1135">
        <v>80123</v>
      </c>
      <c r="M1135">
        <v>0.1167</v>
      </c>
      <c r="N1135">
        <v>-0.60399999999999998</v>
      </c>
      <c r="O1135">
        <v>1</v>
      </c>
      <c r="P1135" t="b">
        <f t="shared" si="35"/>
        <v>1</v>
      </c>
      <c r="Q1135" t="str">
        <f t="shared" si="34"/>
        <v>Negative</v>
      </c>
    </row>
    <row r="1136" spans="1:17" x14ac:dyDescent="0.3">
      <c r="A1136" t="s">
        <v>1966</v>
      </c>
      <c r="B1136" t="s">
        <v>32</v>
      </c>
      <c r="C1136" t="s">
        <v>17</v>
      </c>
      <c r="D1136" t="s">
        <v>54</v>
      </c>
      <c r="E1136" t="s">
        <v>41</v>
      </c>
      <c r="F1136" t="s">
        <v>55</v>
      </c>
      <c r="G1136" s="1">
        <v>45349</v>
      </c>
      <c r="H1136" t="s">
        <v>1967</v>
      </c>
      <c r="I1136">
        <v>707733</v>
      </c>
      <c r="J1136">
        <v>78637</v>
      </c>
      <c r="K1136">
        <v>16513</v>
      </c>
      <c r="L1136">
        <v>85167</v>
      </c>
      <c r="M1136">
        <v>0.25480000000000003</v>
      </c>
      <c r="N1136">
        <v>-0.38600000000000001</v>
      </c>
      <c r="O1136">
        <v>0</v>
      </c>
      <c r="P1136" t="b">
        <f t="shared" si="35"/>
        <v>0</v>
      </c>
      <c r="Q1136" t="str">
        <f t="shared" si="34"/>
        <v>Negative</v>
      </c>
    </row>
    <row r="1137" spans="1:17" x14ac:dyDescent="0.3">
      <c r="A1137" t="s">
        <v>1968</v>
      </c>
      <c r="B1137" t="s">
        <v>27</v>
      </c>
      <c r="C1137" t="s">
        <v>17</v>
      </c>
      <c r="D1137" t="s">
        <v>73</v>
      </c>
      <c r="E1137" t="s">
        <v>51</v>
      </c>
      <c r="F1137" t="s">
        <v>24</v>
      </c>
      <c r="G1137" s="1">
        <v>45481</v>
      </c>
      <c r="H1137" t="s">
        <v>144</v>
      </c>
      <c r="I1137">
        <v>8948791</v>
      </c>
      <c r="J1137">
        <v>308579</v>
      </c>
      <c r="K1137">
        <v>46811</v>
      </c>
      <c r="L1137">
        <v>77854</v>
      </c>
      <c r="M1137">
        <v>4.8399999999999999E-2</v>
      </c>
      <c r="N1137">
        <v>-0.68</v>
      </c>
      <c r="O1137">
        <v>1</v>
      </c>
      <c r="P1137" t="b">
        <f t="shared" si="35"/>
        <v>1</v>
      </c>
      <c r="Q1137" t="str">
        <f t="shared" si="34"/>
        <v>Negative</v>
      </c>
    </row>
    <row r="1138" spans="1:17" x14ac:dyDescent="0.3">
      <c r="A1138" t="s">
        <v>1969</v>
      </c>
      <c r="B1138" t="s">
        <v>32</v>
      </c>
      <c r="C1138" t="s">
        <v>23</v>
      </c>
      <c r="D1138" t="s">
        <v>37</v>
      </c>
      <c r="E1138" t="s">
        <v>19</v>
      </c>
      <c r="F1138" t="s">
        <v>34</v>
      </c>
      <c r="G1138" s="1">
        <v>45612</v>
      </c>
      <c r="H1138" t="s">
        <v>880</v>
      </c>
      <c r="I1138">
        <v>4731408</v>
      </c>
      <c r="J1138">
        <v>163152</v>
      </c>
      <c r="K1138">
        <v>23804</v>
      </c>
      <c r="L1138">
        <v>94703</v>
      </c>
      <c r="M1138">
        <v>5.9499999999999997E-2</v>
      </c>
      <c r="N1138">
        <v>0.59399999999999997</v>
      </c>
      <c r="O1138">
        <v>1</v>
      </c>
      <c r="P1138" t="b">
        <f t="shared" si="35"/>
        <v>1</v>
      </c>
      <c r="Q1138" t="str">
        <f t="shared" si="34"/>
        <v>Positive</v>
      </c>
    </row>
    <row r="1139" spans="1:17" x14ac:dyDescent="0.3">
      <c r="A1139" t="s">
        <v>1970</v>
      </c>
      <c r="B1139" t="s">
        <v>16</v>
      </c>
      <c r="C1139" t="s">
        <v>61</v>
      </c>
      <c r="D1139" t="s">
        <v>29</v>
      </c>
      <c r="E1139" t="s">
        <v>38</v>
      </c>
      <c r="F1139" t="s">
        <v>46</v>
      </c>
      <c r="G1139" s="1">
        <v>45378</v>
      </c>
      <c r="H1139" t="s">
        <v>1021</v>
      </c>
      <c r="I1139">
        <v>12927519</v>
      </c>
      <c r="J1139">
        <v>478797</v>
      </c>
      <c r="K1139">
        <v>25597</v>
      </c>
      <c r="L1139">
        <v>28142</v>
      </c>
      <c r="M1139">
        <v>4.1200000000000001E-2</v>
      </c>
      <c r="N1139">
        <v>0.61</v>
      </c>
      <c r="O1139">
        <v>1</v>
      </c>
      <c r="P1139" t="b">
        <f t="shared" si="35"/>
        <v>1</v>
      </c>
      <c r="Q1139" t="str">
        <f t="shared" si="34"/>
        <v>Positive</v>
      </c>
    </row>
    <row r="1140" spans="1:17" x14ac:dyDescent="0.3">
      <c r="A1140" t="s">
        <v>1971</v>
      </c>
      <c r="B1140" t="s">
        <v>32</v>
      </c>
      <c r="C1140" t="s">
        <v>61</v>
      </c>
      <c r="D1140" t="s">
        <v>73</v>
      </c>
      <c r="E1140" t="s">
        <v>38</v>
      </c>
      <c r="F1140" t="s">
        <v>24</v>
      </c>
      <c r="G1140" s="1">
        <v>45530</v>
      </c>
      <c r="H1140" t="s">
        <v>1228</v>
      </c>
      <c r="I1140">
        <v>2386848</v>
      </c>
      <c r="J1140">
        <v>99452</v>
      </c>
      <c r="K1140">
        <v>25938</v>
      </c>
      <c r="L1140">
        <v>77155</v>
      </c>
      <c r="M1140">
        <v>8.4900000000000003E-2</v>
      </c>
      <c r="N1140">
        <v>-0.32900000000000001</v>
      </c>
      <c r="O1140">
        <v>1</v>
      </c>
      <c r="P1140" t="b">
        <f t="shared" si="35"/>
        <v>1</v>
      </c>
      <c r="Q1140" t="str">
        <f t="shared" si="34"/>
        <v>Negative</v>
      </c>
    </row>
    <row r="1141" spans="1:17" x14ac:dyDescent="0.3">
      <c r="A1141" t="s">
        <v>1972</v>
      </c>
      <c r="B1141" t="s">
        <v>32</v>
      </c>
      <c r="C1141" t="s">
        <v>61</v>
      </c>
      <c r="D1141" t="s">
        <v>18</v>
      </c>
      <c r="E1141" t="s">
        <v>41</v>
      </c>
      <c r="F1141" t="s">
        <v>55</v>
      </c>
      <c r="G1141" s="1">
        <v>45416</v>
      </c>
      <c r="H1141" t="s">
        <v>1973</v>
      </c>
      <c r="I1141">
        <v>1625955</v>
      </c>
      <c r="J1141">
        <v>108397</v>
      </c>
      <c r="K1141">
        <v>10343</v>
      </c>
      <c r="L1141">
        <v>38347</v>
      </c>
      <c r="M1141">
        <v>9.6600000000000005E-2</v>
      </c>
      <c r="N1141">
        <v>0.66</v>
      </c>
      <c r="O1141">
        <v>0</v>
      </c>
      <c r="P1141" t="b">
        <f t="shared" si="35"/>
        <v>0</v>
      </c>
      <c r="Q1141" t="str">
        <f t="shared" si="34"/>
        <v>Positive</v>
      </c>
    </row>
    <row r="1142" spans="1:17" x14ac:dyDescent="0.3">
      <c r="A1142" t="s">
        <v>1974</v>
      </c>
      <c r="B1142" t="s">
        <v>16</v>
      </c>
      <c r="C1142" t="s">
        <v>23</v>
      </c>
      <c r="D1142" t="s">
        <v>73</v>
      </c>
      <c r="E1142" t="s">
        <v>51</v>
      </c>
      <c r="F1142" t="s">
        <v>24</v>
      </c>
      <c r="G1142" s="1">
        <v>45585</v>
      </c>
      <c r="H1142" t="s">
        <v>44</v>
      </c>
      <c r="I1142">
        <v>1086723</v>
      </c>
      <c r="J1142">
        <v>40249</v>
      </c>
      <c r="K1142">
        <v>21169</v>
      </c>
      <c r="L1142">
        <v>27527</v>
      </c>
      <c r="M1142">
        <v>8.1799999999999998E-2</v>
      </c>
      <c r="N1142">
        <v>-0.47099999999999997</v>
      </c>
      <c r="O1142">
        <v>0</v>
      </c>
      <c r="P1142" t="b">
        <f t="shared" si="35"/>
        <v>0</v>
      </c>
      <c r="Q1142" t="str">
        <f t="shared" si="34"/>
        <v>Negative</v>
      </c>
    </row>
    <row r="1143" spans="1:17" x14ac:dyDescent="0.3">
      <c r="A1143" t="s">
        <v>1975</v>
      </c>
      <c r="B1143" t="s">
        <v>16</v>
      </c>
      <c r="C1143" t="s">
        <v>28</v>
      </c>
      <c r="D1143" t="s">
        <v>33</v>
      </c>
      <c r="E1143" t="s">
        <v>38</v>
      </c>
      <c r="F1143" t="s">
        <v>20</v>
      </c>
      <c r="G1143" s="1">
        <v>45378</v>
      </c>
      <c r="H1143" t="s">
        <v>1976</v>
      </c>
      <c r="I1143">
        <v>7388688</v>
      </c>
      <c r="J1143">
        <v>461793</v>
      </c>
      <c r="K1143">
        <v>5700</v>
      </c>
      <c r="L1143">
        <v>39170</v>
      </c>
      <c r="M1143">
        <v>6.8599999999999994E-2</v>
      </c>
      <c r="N1143">
        <v>-0.92800000000000005</v>
      </c>
      <c r="O1143">
        <v>1</v>
      </c>
      <c r="P1143" t="b">
        <f t="shared" si="35"/>
        <v>1</v>
      </c>
      <c r="Q1143" t="str">
        <f t="shared" si="34"/>
        <v>Negative</v>
      </c>
    </row>
    <row r="1144" spans="1:17" x14ac:dyDescent="0.3">
      <c r="A1144" t="s">
        <v>1977</v>
      </c>
      <c r="B1144" t="s">
        <v>16</v>
      </c>
      <c r="C1144" t="s">
        <v>61</v>
      </c>
      <c r="D1144" t="s">
        <v>18</v>
      </c>
      <c r="E1144" t="s">
        <v>38</v>
      </c>
      <c r="F1144" t="s">
        <v>24</v>
      </c>
      <c r="G1144" s="1">
        <v>45510</v>
      </c>
      <c r="H1144" t="s">
        <v>1978</v>
      </c>
      <c r="I1144">
        <v>2350875</v>
      </c>
      <c r="J1144">
        <v>156725</v>
      </c>
      <c r="K1144">
        <v>38970</v>
      </c>
      <c r="L1144">
        <v>60411</v>
      </c>
      <c r="M1144">
        <v>0.1089</v>
      </c>
      <c r="N1144">
        <v>-0.16</v>
      </c>
      <c r="O1144">
        <v>1</v>
      </c>
      <c r="P1144" t="b">
        <f t="shared" si="35"/>
        <v>1</v>
      </c>
      <c r="Q1144" t="str">
        <f t="shared" si="34"/>
        <v>Negative</v>
      </c>
    </row>
    <row r="1145" spans="1:17" x14ac:dyDescent="0.3">
      <c r="A1145" t="s">
        <v>1979</v>
      </c>
      <c r="B1145" t="s">
        <v>16</v>
      </c>
      <c r="C1145" t="s">
        <v>23</v>
      </c>
      <c r="D1145" t="s">
        <v>33</v>
      </c>
      <c r="E1145" t="s">
        <v>41</v>
      </c>
      <c r="F1145" t="s">
        <v>55</v>
      </c>
      <c r="G1145" s="1">
        <v>45410</v>
      </c>
      <c r="H1145" t="s">
        <v>1980</v>
      </c>
      <c r="I1145">
        <v>3723960</v>
      </c>
      <c r="J1145">
        <v>186198</v>
      </c>
      <c r="K1145">
        <v>8383</v>
      </c>
      <c r="L1145">
        <v>1882</v>
      </c>
      <c r="M1145">
        <v>5.28E-2</v>
      </c>
      <c r="N1145">
        <v>-0.97699999999999998</v>
      </c>
      <c r="O1145">
        <v>1</v>
      </c>
      <c r="P1145" t="b">
        <f t="shared" si="35"/>
        <v>1</v>
      </c>
      <c r="Q1145" t="str">
        <f t="shared" si="34"/>
        <v>Negative</v>
      </c>
    </row>
    <row r="1146" spans="1:17" x14ac:dyDescent="0.3">
      <c r="A1146" t="s">
        <v>1981</v>
      </c>
      <c r="B1146" t="s">
        <v>27</v>
      </c>
      <c r="C1146" t="s">
        <v>23</v>
      </c>
      <c r="D1146" t="s">
        <v>37</v>
      </c>
      <c r="E1146" t="s">
        <v>19</v>
      </c>
      <c r="F1146" t="s">
        <v>34</v>
      </c>
      <c r="G1146" s="1">
        <v>45550</v>
      </c>
      <c r="H1146" t="s">
        <v>460</v>
      </c>
      <c r="I1146">
        <v>1506909</v>
      </c>
      <c r="J1146">
        <v>79311</v>
      </c>
      <c r="K1146">
        <v>4591</v>
      </c>
      <c r="L1146">
        <v>25007</v>
      </c>
      <c r="M1146">
        <v>7.2300000000000003E-2</v>
      </c>
      <c r="N1146">
        <v>-0.91900000000000004</v>
      </c>
      <c r="O1146">
        <v>0</v>
      </c>
      <c r="P1146" t="b">
        <f t="shared" si="35"/>
        <v>0</v>
      </c>
      <c r="Q1146" t="str">
        <f t="shared" si="34"/>
        <v>Negative</v>
      </c>
    </row>
    <row r="1147" spans="1:17" x14ac:dyDescent="0.3">
      <c r="A1147" t="s">
        <v>1982</v>
      </c>
      <c r="B1147" t="s">
        <v>16</v>
      </c>
      <c r="C1147" t="s">
        <v>17</v>
      </c>
      <c r="D1147" t="s">
        <v>29</v>
      </c>
      <c r="E1147" t="s">
        <v>58</v>
      </c>
      <c r="F1147" t="s">
        <v>24</v>
      </c>
      <c r="G1147" s="1">
        <v>45560</v>
      </c>
      <c r="H1147" t="s">
        <v>434</v>
      </c>
      <c r="I1147">
        <v>3278200</v>
      </c>
      <c r="J1147">
        <v>409775</v>
      </c>
      <c r="K1147">
        <v>32448</v>
      </c>
      <c r="L1147">
        <v>42317</v>
      </c>
      <c r="M1147">
        <v>0.14779999999999999</v>
      </c>
      <c r="N1147">
        <v>0.94799999999999995</v>
      </c>
      <c r="O1147">
        <v>1</v>
      </c>
      <c r="P1147" t="b">
        <f t="shared" si="35"/>
        <v>1</v>
      </c>
      <c r="Q1147" t="str">
        <f t="shared" si="34"/>
        <v>Positive</v>
      </c>
    </row>
    <row r="1148" spans="1:17" x14ac:dyDescent="0.3">
      <c r="A1148" t="s">
        <v>1983</v>
      </c>
      <c r="B1148" t="s">
        <v>32</v>
      </c>
      <c r="C1148" t="s">
        <v>23</v>
      </c>
      <c r="D1148" t="s">
        <v>37</v>
      </c>
      <c r="E1148" t="s">
        <v>19</v>
      </c>
      <c r="F1148" t="s">
        <v>34</v>
      </c>
      <c r="G1148" s="1">
        <v>45293</v>
      </c>
      <c r="H1148" t="s">
        <v>290</v>
      </c>
      <c r="I1148">
        <v>753407</v>
      </c>
      <c r="J1148">
        <v>39653</v>
      </c>
      <c r="K1148">
        <v>48606</v>
      </c>
      <c r="L1148">
        <v>4923</v>
      </c>
      <c r="M1148">
        <v>0.1237</v>
      </c>
      <c r="N1148">
        <v>-0.45700000000000002</v>
      </c>
      <c r="O1148">
        <v>0</v>
      </c>
      <c r="P1148" t="b">
        <f t="shared" si="35"/>
        <v>0</v>
      </c>
      <c r="Q1148" t="str">
        <f t="shared" si="34"/>
        <v>Negative</v>
      </c>
    </row>
    <row r="1149" spans="1:17" x14ac:dyDescent="0.3">
      <c r="A1149" t="s">
        <v>1984</v>
      </c>
      <c r="B1149" t="s">
        <v>66</v>
      </c>
      <c r="C1149" t="s">
        <v>23</v>
      </c>
      <c r="D1149" t="s">
        <v>73</v>
      </c>
      <c r="E1149" t="s">
        <v>51</v>
      </c>
      <c r="F1149" t="s">
        <v>46</v>
      </c>
      <c r="G1149" s="1">
        <v>45328</v>
      </c>
      <c r="H1149" t="s">
        <v>199</v>
      </c>
      <c r="I1149">
        <v>3531000</v>
      </c>
      <c r="J1149">
        <v>294250</v>
      </c>
      <c r="K1149">
        <v>31427</v>
      </c>
      <c r="L1149">
        <v>12206</v>
      </c>
      <c r="M1149">
        <v>9.5699999999999993E-2</v>
      </c>
      <c r="N1149">
        <v>-0.81399999999999995</v>
      </c>
      <c r="O1149">
        <v>1</v>
      </c>
      <c r="P1149" t="b">
        <f t="shared" si="35"/>
        <v>1</v>
      </c>
      <c r="Q1149" t="str">
        <f t="shared" si="34"/>
        <v>Negative</v>
      </c>
    </row>
    <row r="1150" spans="1:17" x14ac:dyDescent="0.3">
      <c r="A1150" t="s">
        <v>1985</v>
      </c>
      <c r="B1150" t="s">
        <v>16</v>
      </c>
      <c r="C1150" t="s">
        <v>23</v>
      </c>
      <c r="D1150" t="s">
        <v>54</v>
      </c>
      <c r="E1150" t="s">
        <v>41</v>
      </c>
      <c r="F1150" t="s">
        <v>46</v>
      </c>
      <c r="G1150" s="1">
        <v>45389</v>
      </c>
      <c r="H1150" t="s">
        <v>1986</v>
      </c>
      <c r="I1150">
        <v>8606640</v>
      </c>
      <c r="J1150">
        <v>409840</v>
      </c>
      <c r="K1150">
        <v>28207</v>
      </c>
      <c r="L1150">
        <v>65553</v>
      </c>
      <c r="M1150">
        <v>5.8500000000000003E-2</v>
      </c>
      <c r="N1150">
        <v>-0.54800000000000004</v>
      </c>
      <c r="O1150">
        <v>1</v>
      </c>
      <c r="P1150" t="b">
        <f t="shared" si="35"/>
        <v>1</v>
      </c>
      <c r="Q1150" t="str">
        <f t="shared" si="34"/>
        <v>Negative</v>
      </c>
    </row>
    <row r="1151" spans="1:17" x14ac:dyDescent="0.3">
      <c r="A1151" t="s">
        <v>1987</v>
      </c>
      <c r="B1151" t="s">
        <v>16</v>
      </c>
      <c r="C1151" t="s">
        <v>61</v>
      </c>
      <c r="D1151" t="s">
        <v>29</v>
      </c>
      <c r="E1151" t="s">
        <v>51</v>
      </c>
      <c r="F1151" t="s">
        <v>24</v>
      </c>
      <c r="G1151" s="1">
        <v>45406</v>
      </c>
      <c r="H1151" t="s">
        <v>1988</v>
      </c>
      <c r="I1151">
        <v>3830880</v>
      </c>
      <c r="J1151">
        <v>191544</v>
      </c>
      <c r="K1151">
        <v>25100</v>
      </c>
      <c r="L1151">
        <v>38725</v>
      </c>
      <c r="M1151">
        <v>6.6699999999999995E-2</v>
      </c>
      <c r="N1151">
        <v>-0.61399999999999999</v>
      </c>
      <c r="O1151">
        <v>1</v>
      </c>
      <c r="P1151" t="b">
        <f t="shared" si="35"/>
        <v>1</v>
      </c>
      <c r="Q1151" t="str">
        <f t="shared" si="34"/>
        <v>Negative</v>
      </c>
    </row>
    <row r="1152" spans="1:17" x14ac:dyDescent="0.3">
      <c r="A1152" t="s">
        <v>1989</v>
      </c>
      <c r="B1152" t="s">
        <v>16</v>
      </c>
      <c r="C1152" t="s">
        <v>17</v>
      </c>
      <c r="D1152" t="s">
        <v>37</v>
      </c>
      <c r="E1152" t="s">
        <v>19</v>
      </c>
      <c r="F1152" t="s">
        <v>20</v>
      </c>
      <c r="G1152" s="1">
        <v>45352</v>
      </c>
      <c r="H1152" t="s">
        <v>1990</v>
      </c>
      <c r="I1152">
        <v>1518992</v>
      </c>
      <c r="J1152">
        <v>94937</v>
      </c>
      <c r="K1152">
        <v>26465</v>
      </c>
      <c r="L1152">
        <v>97455</v>
      </c>
      <c r="M1152">
        <v>0.14410000000000001</v>
      </c>
      <c r="N1152">
        <v>-0.42499999999999999</v>
      </c>
      <c r="O1152">
        <v>0</v>
      </c>
      <c r="P1152" t="b">
        <f t="shared" si="35"/>
        <v>0</v>
      </c>
      <c r="Q1152" t="str">
        <f t="shared" si="34"/>
        <v>Negative</v>
      </c>
    </row>
    <row r="1153" spans="1:17" x14ac:dyDescent="0.3">
      <c r="A1153" t="s">
        <v>1991</v>
      </c>
      <c r="B1153" t="s">
        <v>27</v>
      </c>
      <c r="C1153" t="s">
        <v>61</v>
      </c>
      <c r="D1153" t="s">
        <v>29</v>
      </c>
      <c r="E1153" t="s">
        <v>41</v>
      </c>
      <c r="F1153" t="s">
        <v>46</v>
      </c>
      <c r="G1153" s="1">
        <v>45448</v>
      </c>
      <c r="H1153" t="s">
        <v>1992</v>
      </c>
      <c r="I1153">
        <v>6053530</v>
      </c>
      <c r="J1153">
        <v>356090</v>
      </c>
      <c r="K1153">
        <v>22932</v>
      </c>
      <c r="L1153">
        <v>66631</v>
      </c>
      <c r="M1153">
        <v>7.3599999999999999E-2</v>
      </c>
      <c r="N1153">
        <v>0.74099999999999999</v>
      </c>
      <c r="O1153">
        <v>1</v>
      </c>
      <c r="P1153" t="b">
        <f t="shared" si="35"/>
        <v>1</v>
      </c>
      <c r="Q1153" t="str">
        <f t="shared" si="34"/>
        <v>Positive</v>
      </c>
    </row>
    <row r="1154" spans="1:17" x14ac:dyDescent="0.3">
      <c r="A1154" t="s">
        <v>1993</v>
      </c>
      <c r="B1154" t="s">
        <v>27</v>
      </c>
      <c r="C1154" t="s">
        <v>28</v>
      </c>
      <c r="D1154" t="s">
        <v>54</v>
      </c>
      <c r="E1154" t="s">
        <v>19</v>
      </c>
      <c r="F1154" t="s">
        <v>20</v>
      </c>
      <c r="G1154" s="1">
        <v>45506</v>
      </c>
      <c r="H1154" t="s">
        <v>630</v>
      </c>
      <c r="I1154">
        <v>4386720</v>
      </c>
      <c r="J1154">
        <v>230880</v>
      </c>
      <c r="K1154">
        <v>23329</v>
      </c>
      <c r="L1154">
        <v>86211</v>
      </c>
      <c r="M1154">
        <v>7.7600000000000002E-2</v>
      </c>
      <c r="N1154">
        <v>-0.21099999999999999</v>
      </c>
      <c r="O1154">
        <v>1</v>
      </c>
      <c r="P1154" t="b">
        <f t="shared" si="35"/>
        <v>1</v>
      </c>
      <c r="Q1154" t="str">
        <f t="shared" ref="Q1154:Q1217" si="36">IF(N1154&gt;0,"Positive","Negative")</f>
        <v>Negative</v>
      </c>
    </row>
    <row r="1155" spans="1:17" x14ac:dyDescent="0.3">
      <c r="A1155" t="s">
        <v>1994</v>
      </c>
      <c r="B1155" t="s">
        <v>27</v>
      </c>
      <c r="C1155" t="s">
        <v>61</v>
      </c>
      <c r="D1155" t="s">
        <v>54</v>
      </c>
      <c r="E1155" t="s">
        <v>51</v>
      </c>
      <c r="F1155" t="s">
        <v>34</v>
      </c>
      <c r="G1155" s="1">
        <v>45445</v>
      </c>
      <c r="H1155" t="s">
        <v>1995</v>
      </c>
      <c r="I1155">
        <v>2007278</v>
      </c>
      <c r="J1155">
        <v>143377</v>
      </c>
      <c r="K1155">
        <v>24343</v>
      </c>
      <c r="L1155">
        <v>12749</v>
      </c>
      <c r="M1155">
        <v>8.9899999999999994E-2</v>
      </c>
      <c r="N1155">
        <v>-0.58299999999999996</v>
      </c>
      <c r="O1155">
        <v>1</v>
      </c>
      <c r="P1155" t="b">
        <f t="shared" ref="P1155:P1218" si="37">IF(O1155=1,TRUE,FALSE)</f>
        <v>1</v>
      </c>
      <c r="Q1155" t="str">
        <f t="shared" si="36"/>
        <v>Negative</v>
      </c>
    </row>
    <row r="1156" spans="1:17" x14ac:dyDescent="0.3">
      <c r="A1156" t="s">
        <v>1996</v>
      </c>
      <c r="B1156" t="s">
        <v>66</v>
      </c>
      <c r="C1156" t="s">
        <v>17</v>
      </c>
      <c r="D1156" t="s">
        <v>29</v>
      </c>
      <c r="E1156" t="s">
        <v>58</v>
      </c>
      <c r="F1156" t="s">
        <v>46</v>
      </c>
      <c r="G1156" s="1">
        <v>45402</v>
      </c>
      <c r="H1156" t="s">
        <v>1997</v>
      </c>
      <c r="I1156">
        <v>547008</v>
      </c>
      <c r="J1156">
        <v>22792</v>
      </c>
      <c r="K1156">
        <v>23867</v>
      </c>
      <c r="L1156">
        <v>90397</v>
      </c>
      <c r="M1156">
        <v>0.25059999999999999</v>
      </c>
      <c r="N1156">
        <v>0.46800000000000003</v>
      </c>
      <c r="O1156">
        <v>0</v>
      </c>
      <c r="P1156" t="b">
        <f t="shared" si="37"/>
        <v>0</v>
      </c>
      <c r="Q1156" t="str">
        <f t="shared" si="36"/>
        <v>Positive</v>
      </c>
    </row>
    <row r="1157" spans="1:17" x14ac:dyDescent="0.3">
      <c r="A1157" t="s">
        <v>1998</v>
      </c>
      <c r="B1157" t="s">
        <v>32</v>
      </c>
      <c r="C1157" t="s">
        <v>61</v>
      </c>
      <c r="D1157" t="s">
        <v>73</v>
      </c>
      <c r="E1157" t="s">
        <v>19</v>
      </c>
      <c r="F1157" t="s">
        <v>34</v>
      </c>
      <c r="G1157" s="1">
        <v>45605</v>
      </c>
      <c r="H1157" t="s">
        <v>1999</v>
      </c>
      <c r="I1157">
        <v>130676</v>
      </c>
      <c r="J1157">
        <v>5026</v>
      </c>
      <c r="K1157">
        <v>25768</v>
      </c>
      <c r="L1157">
        <v>3970</v>
      </c>
      <c r="M1157">
        <v>0.26600000000000001</v>
      </c>
      <c r="N1157">
        <v>-0.749</v>
      </c>
      <c r="O1157">
        <v>0</v>
      </c>
      <c r="P1157" t="b">
        <f t="shared" si="37"/>
        <v>0</v>
      </c>
      <c r="Q1157" t="str">
        <f t="shared" si="36"/>
        <v>Negative</v>
      </c>
    </row>
    <row r="1158" spans="1:17" x14ac:dyDescent="0.3">
      <c r="A1158" t="s">
        <v>2000</v>
      </c>
      <c r="B1158" t="s">
        <v>66</v>
      </c>
      <c r="C1158" t="s">
        <v>23</v>
      </c>
      <c r="D1158" t="s">
        <v>18</v>
      </c>
      <c r="E1158" t="s">
        <v>51</v>
      </c>
      <c r="F1158" t="s">
        <v>34</v>
      </c>
      <c r="G1158" s="1">
        <v>45298</v>
      </c>
      <c r="H1158" t="s">
        <v>986</v>
      </c>
      <c r="I1158">
        <v>2214981</v>
      </c>
      <c r="J1158">
        <v>130293</v>
      </c>
      <c r="K1158">
        <v>39881</v>
      </c>
      <c r="L1158">
        <v>20324</v>
      </c>
      <c r="M1158">
        <v>8.5999999999999993E-2</v>
      </c>
      <c r="N1158">
        <v>-0.32500000000000001</v>
      </c>
      <c r="O1158">
        <v>1</v>
      </c>
      <c r="P1158" t="b">
        <f t="shared" si="37"/>
        <v>1</v>
      </c>
      <c r="Q1158" t="str">
        <f t="shared" si="36"/>
        <v>Negative</v>
      </c>
    </row>
    <row r="1159" spans="1:17" x14ac:dyDescent="0.3">
      <c r="A1159" t="s">
        <v>2001</v>
      </c>
      <c r="B1159" t="s">
        <v>27</v>
      </c>
      <c r="C1159" t="s">
        <v>23</v>
      </c>
      <c r="D1159" t="s">
        <v>54</v>
      </c>
      <c r="E1159" t="s">
        <v>41</v>
      </c>
      <c r="F1159" t="s">
        <v>20</v>
      </c>
      <c r="G1159" s="1">
        <v>45623</v>
      </c>
      <c r="H1159" t="s">
        <v>2002</v>
      </c>
      <c r="I1159">
        <v>2611072</v>
      </c>
      <c r="J1159">
        <v>326384</v>
      </c>
      <c r="K1159">
        <v>41794</v>
      </c>
      <c r="L1159">
        <v>83830</v>
      </c>
      <c r="M1159">
        <v>0.1731</v>
      </c>
      <c r="N1159">
        <v>0.77200000000000002</v>
      </c>
      <c r="O1159">
        <v>1</v>
      </c>
      <c r="P1159" t="b">
        <f t="shared" si="37"/>
        <v>1</v>
      </c>
      <c r="Q1159" t="str">
        <f t="shared" si="36"/>
        <v>Positive</v>
      </c>
    </row>
    <row r="1160" spans="1:17" x14ac:dyDescent="0.3">
      <c r="A1160" t="s">
        <v>2003</v>
      </c>
      <c r="B1160" t="s">
        <v>27</v>
      </c>
      <c r="C1160" t="s">
        <v>61</v>
      </c>
      <c r="D1160" t="s">
        <v>33</v>
      </c>
      <c r="E1160" t="s">
        <v>38</v>
      </c>
      <c r="F1160" t="s">
        <v>46</v>
      </c>
      <c r="G1160" s="1">
        <v>45490</v>
      </c>
      <c r="H1160" t="s">
        <v>2004</v>
      </c>
      <c r="I1160">
        <v>3354923</v>
      </c>
      <c r="J1160">
        <v>258071</v>
      </c>
      <c r="K1160">
        <v>30067</v>
      </c>
      <c r="L1160">
        <v>66468</v>
      </c>
      <c r="M1160">
        <v>0.1057</v>
      </c>
      <c r="N1160">
        <v>-0.54</v>
      </c>
      <c r="O1160">
        <v>1</v>
      </c>
      <c r="P1160" t="b">
        <f t="shared" si="37"/>
        <v>1</v>
      </c>
      <c r="Q1160" t="str">
        <f t="shared" si="36"/>
        <v>Negative</v>
      </c>
    </row>
    <row r="1161" spans="1:17" x14ac:dyDescent="0.3">
      <c r="A1161" t="s">
        <v>2005</v>
      </c>
      <c r="B1161" t="s">
        <v>27</v>
      </c>
      <c r="C1161" t="s">
        <v>61</v>
      </c>
      <c r="D1161" t="s">
        <v>33</v>
      </c>
      <c r="E1161" t="s">
        <v>41</v>
      </c>
      <c r="F1161" t="s">
        <v>34</v>
      </c>
      <c r="G1161" s="1">
        <v>45443</v>
      </c>
      <c r="H1161" t="s">
        <v>914</v>
      </c>
      <c r="I1161">
        <v>5062416</v>
      </c>
      <c r="J1161">
        <v>210934</v>
      </c>
      <c r="K1161">
        <v>13866</v>
      </c>
      <c r="L1161">
        <v>96838</v>
      </c>
      <c r="M1161">
        <v>6.3500000000000001E-2</v>
      </c>
      <c r="N1161">
        <v>0.34499999999999997</v>
      </c>
      <c r="O1161">
        <v>1</v>
      </c>
      <c r="P1161" t="b">
        <f t="shared" si="37"/>
        <v>1</v>
      </c>
      <c r="Q1161" t="str">
        <f t="shared" si="36"/>
        <v>Positive</v>
      </c>
    </row>
    <row r="1162" spans="1:17" x14ac:dyDescent="0.3">
      <c r="A1162" t="s">
        <v>2006</v>
      </c>
      <c r="B1162" t="s">
        <v>66</v>
      </c>
      <c r="C1162" t="s">
        <v>28</v>
      </c>
      <c r="D1162" t="s">
        <v>37</v>
      </c>
      <c r="E1162" t="s">
        <v>58</v>
      </c>
      <c r="F1162" t="s">
        <v>20</v>
      </c>
      <c r="G1162" s="1">
        <v>45482</v>
      </c>
      <c r="H1162" t="s">
        <v>277</v>
      </c>
      <c r="I1162">
        <v>512224</v>
      </c>
      <c r="J1162">
        <v>64028</v>
      </c>
      <c r="K1162">
        <v>41112</v>
      </c>
      <c r="L1162">
        <v>83232</v>
      </c>
      <c r="M1162">
        <v>0.36780000000000002</v>
      </c>
      <c r="N1162">
        <v>-0.78900000000000003</v>
      </c>
      <c r="O1162">
        <v>0</v>
      </c>
      <c r="P1162" t="b">
        <f t="shared" si="37"/>
        <v>0</v>
      </c>
      <c r="Q1162" t="str">
        <f t="shared" si="36"/>
        <v>Negative</v>
      </c>
    </row>
    <row r="1163" spans="1:17" x14ac:dyDescent="0.3">
      <c r="A1163" t="s">
        <v>2007</v>
      </c>
      <c r="B1163" t="s">
        <v>32</v>
      </c>
      <c r="C1163" t="s">
        <v>23</v>
      </c>
      <c r="D1163" t="s">
        <v>18</v>
      </c>
      <c r="E1163" t="s">
        <v>19</v>
      </c>
      <c r="F1163" t="s">
        <v>20</v>
      </c>
      <c r="G1163" s="1">
        <v>45612</v>
      </c>
      <c r="H1163" t="s">
        <v>116</v>
      </c>
      <c r="I1163">
        <v>423960</v>
      </c>
      <c r="J1163">
        <v>28264</v>
      </c>
      <c r="K1163">
        <v>25496</v>
      </c>
      <c r="L1163">
        <v>59223</v>
      </c>
      <c r="M1163">
        <v>0.26650000000000001</v>
      </c>
      <c r="N1163">
        <v>-0.27900000000000003</v>
      </c>
      <c r="O1163">
        <v>0</v>
      </c>
      <c r="P1163" t="b">
        <f t="shared" si="37"/>
        <v>0</v>
      </c>
      <c r="Q1163" t="str">
        <f t="shared" si="36"/>
        <v>Negative</v>
      </c>
    </row>
    <row r="1164" spans="1:17" x14ac:dyDescent="0.3">
      <c r="A1164" t="s">
        <v>2008</v>
      </c>
      <c r="B1164" t="s">
        <v>16</v>
      </c>
      <c r="C1164" t="s">
        <v>61</v>
      </c>
      <c r="D1164" t="s">
        <v>33</v>
      </c>
      <c r="E1164" t="s">
        <v>19</v>
      </c>
      <c r="F1164" t="s">
        <v>55</v>
      </c>
      <c r="G1164" s="1">
        <v>45453</v>
      </c>
      <c r="H1164" t="s">
        <v>2009</v>
      </c>
      <c r="I1164">
        <v>453101</v>
      </c>
      <c r="J1164">
        <v>26653</v>
      </c>
      <c r="K1164">
        <v>44336</v>
      </c>
      <c r="L1164">
        <v>96034</v>
      </c>
      <c r="M1164">
        <v>0.36859999999999998</v>
      </c>
      <c r="N1164">
        <v>0.98499999999999999</v>
      </c>
      <c r="O1164">
        <v>0</v>
      </c>
      <c r="P1164" t="b">
        <f t="shared" si="37"/>
        <v>0</v>
      </c>
      <c r="Q1164" t="str">
        <f t="shared" si="36"/>
        <v>Positive</v>
      </c>
    </row>
    <row r="1165" spans="1:17" x14ac:dyDescent="0.3">
      <c r="A1165" t="s">
        <v>2010</v>
      </c>
      <c r="B1165" t="s">
        <v>16</v>
      </c>
      <c r="C1165" t="s">
        <v>17</v>
      </c>
      <c r="D1165" t="s">
        <v>37</v>
      </c>
      <c r="E1165" t="s">
        <v>19</v>
      </c>
      <c r="F1165" t="s">
        <v>20</v>
      </c>
      <c r="G1165" s="1">
        <v>45339</v>
      </c>
      <c r="H1165" t="s">
        <v>2011</v>
      </c>
      <c r="I1165">
        <v>2528872</v>
      </c>
      <c r="J1165">
        <v>316109</v>
      </c>
      <c r="K1165">
        <v>46691</v>
      </c>
      <c r="L1165">
        <v>75911</v>
      </c>
      <c r="M1165">
        <v>0.17349999999999999</v>
      </c>
      <c r="N1165">
        <v>0.95499999999999996</v>
      </c>
      <c r="O1165">
        <v>1</v>
      </c>
      <c r="P1165" t="b">
        <f t="shared" si="37"/>
        <v>1</v>
      </c>
      <c r="Q1165" t="str">
        <f t="shared" si="36"/>
        <v>Positive</v>
      </c>
    </row>
    <row r="1166" spans="1:17" x14ac:dyDescent="0.3">
      <c r="A1166" t="s">
        <v>2012</v>
      </c>
      <c r="B1166" t="s">
        <v>27</v>
      </c>
      <c r="C1166" t="s">
        <v>23</v>
      </c>
      <c r="D1166" t="s">
        <v>33</v>
      </c>
      <c r="E1166" t="s">
        <v>41</v>
      </c>
      <c r="F1166" t="s">
        <v>20</v>
      </c>
      <c r="G1166" s="1">
        <v>45559</v>
      </c>
      <c r="H1166" t="s">
        <v>2013</v>
      </c>
      <c r="I1166">
        <v>7825290</v>
      </c>
      <c r="J1166">
        <v>340230</v>
      </c>
      <c r="K1166">
        <v>10685</v>
      </c>
      <c r="L1166">
        <v>10069</v>
      </c>
      <c r="M1166">
        <v>4.6100000000000002E-2</v>
      </c>
      <c r="N1166">
        <v>0.97</v>
      </c>
      <c r="O1166">
        <v>1</v>
      </c>
      <c r="P1166" t="b">
        <f t="shared" si="37"/>
        <v>1</v>
      </c>
      <c r="Q1166" t="str">
        <f t="shared" si="36"/>
        <v>Positive</v>
      </c>
    </row>
    <row r="1167" spans="1:17" x14ac:dyDescent="0.3">
      <c r="A1167" t="s">
        <v>2014</v>
      </c>
      <c r="B1167" t="s">
        <v>27</v>
      </c>
      <c r="C1167" t="s">
        <v>61</v>
      </c>
      <c r="D1167" t="s">
        <v>54</v>
      </c>
      <c r="E1167" t="s">
        <v>51</v>
      </c>
      <c r="F1167" t="s">
        <v>20</v>
      </c>
      <c r="G1167" s="1">
        <v>45429</v>
      </c>
      <c r="H1167" t="s">
        <v>2015</v>
      </c>
      <c r="I1167">
        <v>6300744</v>
      </c>
      <c r="J1167">
        <v>262531</v>
      </c>
      <c r="K1167">
        <v>22342</v>
      </c>
      <c r="L1167">
        <v>20667</v>
      </c>
      <c r="M1167">
        <v>4.8500000000000001E-2</v>
      </c>
      <c r="N1167">
        <v>-0.107</v>
      </c>
      <c r="O1167">
        <v>1</v>
      </c>
      <c r="P1167" t="b">
        <f t="shared" si="37"/>
        <v>1</v>
      </c>
      <c r="Q1167" t="str">
        <f t="shared" si="36"/>
        <v>Negative</v>
      </c>
    </row>
    <row r="1168" spans="1:17" x14ac:dyDescent="0.3">
      <c r="A1168" t="s">
        <v>2016</v>
      </c>
      <c r="B1168" t="s">
        <v>16</v>
      </c>
      <c r="C1168" t="s">
        <v>23</v>
      </c>
      <c r="D1168" t="s">
        <v>37</v>
      </c>
      <c r="E1168" t="s">
        <v>19</v>
      </c>
      <c r="F1168" t="s">
        <v>46</v>
      </c>
      <c r="G1168" s="1">
        <v>45586</v>
      </c>
      <c r="H1168" t="s">
        <v>2017</v>
      </c>
      <c r="I1168">
        <v>7258220</v>
      </c>
      <c r="J1168">
        <v>362911</v>
      </c>
      <c r="K1168">
        <v>24540</v>
      </c>
      <c r="L1168">
        <v>98065</v>
      </c>
      <c r="M1168">
        <v>6.6900000000000001E-2</v>
      </c>
      <c r="N1168">
        <v>0.28999999999999998</v>
      </c>
      <c r="O1168">
        <v>1</v>
      </c>
      <c r="P1168" t="b">
        <f t="shared" si="37"/>
        <v>1</v>
      </c>
      <c r="Q1168" t="str">
        <f t="shared" si="36"/>
        <v>Positive</v>
      </c>
    </row>
    <row r="1169" spans="1:17" x14ac:dyDescent="0.3">
      <c r="A1169" t="s">
        <v>2018</v>
      </c>
      <c r="B1169" t="s">
        <v>66</v>
      </c>
      <c r="C1169" t="s">
        <v>23</v>
      </c>
      <c r="D1169" t="s">
        <v>73</v>
      </c>
      <c r="E1169" t="s">
        <v>58</v>
      </c>
      <c r="F1169" t="s">
        <v>24</v>
      </c>
      <c r="G1169" s="1">
        <v>45634</v>
      </c>
      <c r="H1169" t="s">
        <v>44</v>
      </c>
      <c r="I1169">
        <v>11426072</v>
      </c>
      <c r="J1169">
        <v>408074</v>
      </c>
      <c r="K1169">
        <v>249</v>
      </c>
      <c r="L1169">
        <v>3179</v>
      </c>
      <c r="M1169">
        <v>3.5999999999999997E-2</v>
      </c>
      <c r="N1169">
        <v>0.64700000000000002</v>
      </c>
      <c r="O1169">
        <v>1</v>
      </c>
      <c r="P1169" t="b">
        <f t="shared" si="37"/>
        <v>1</v>
      </c>
      <c r="Q1169" t="str">
        <f t="shared" si="36"/>
        <v>Positive</v>
      </c>
    </row>
    <row r="1170" spans="1:17" x14ac:dyDescent="0.3">
      <c r="A1170" t="s">
        <v>2019</v>
      </c>
      <c r="B1170" t="s">
        <v>32</v>
      </c>
      <c r="C1170" t="s">
        <v>23</v>
      </c>
      <c r="D1170" t="s">
        <v>54</v>
      </c>
      <c r="E1170" t="s">
        <v>19</v>
      </c>
      <c r="F1170" t="s">
        <v>55</v>
      </c>
      <c r="G1170" s="1">
        <v>45424</v>
      </c>
      <c r="H1170" t="s">
        <v>2020</v>
      </c>
      <c r="I1170">
        <v>3131694</v>
      </c>
      <c r="J1170">
        <v>164826</v>
      </c>
      <c r="K1170">
        <v>26632</v>
      </c>
      <c r="L1170">
        <v>52551</v>
      </c>
      <c r="M1170">
        <v>7.7899999999999997E-2</v>
      </c>
      <c r="N1170">
        <v>0.63700000000000001</v>
      </c>
      <c r="O1170">
        <v>1</v>
      </c>
      <c r="P1170" t="b">
        <f t="shared" si="37"/>
        <v>1</v>
      </c>
      <c r="Q1170" t="str">
        <f t="shared" si="36"/>
        <v>Positive</v>
      </c>
    </row>
    <row r="1171" spans="1:17" x14ac:dyDescent="0.3">
      <c r="A1171" t="s">
        <v>2021</v>
      </c>
      <c r="B1171" t="s">
        <v>66</v>
      </c>
      <c r="C1171" t="s">
        <v>23</v>
      </c>
      <c r="D1171" t="s">
        <v>54</v>
      </c>
      <c r="E1171" t="s">
        <v>41</v>
      </c>
      <c r="F1171" t="s">
        <v>20</v>
      </c>
      <c r="G1171" s="1">
        <v>45394</v>
      </c>
      <c r="H1171" t="s">
        <v>2022</v>
      </c>
      <c r="I1171">
        <v>6431070</v>
      </c>
      <c r="J1171">
        <v>428738</v>
      </c>
      <c r="K1171">
        <v>11989</v>
      </c>
      <c r="L1171">
        <v>89313</v>
      </c>
      <c r="M1171">
        <v>8.2400000000000001E-2</v>
      </c>
      <c r="N1171">
        <v>0.98399999999999999</v>
      </c>
      <c r="O1171">
        <v>1</v>
      </c>
      <c r="P1171" t="b">
        <f t="shared" si="37"/>
        <v>1</v>
      </c>
      <c r="Q1171" t="str">
        <f t="shared" si="36"/>
        <v>Positive</v>
      </c>
    </row>
    <row r="1172" spans="1:17" x14ac:dyDescent="0.3">
      <c r="A1172" t="s">
        <v>2023</v>
      </c>
      <c r="B1172" t="s">
        <v>32</v>
      </c>
      <c r="C1172" t="s">
        <v>17</v>
      </c>
      <c r="D1172" t="s">
        <v>73</v>
      </c>
      <c r="E1172" t="s">
        <v>58</v>
      </c>
      <c r="F1172" t="s">
        <v>46</v>
      </c>
      <c r="G1172" s="1">
        <v>45451</v>
      </c>
      <c r="H1172" t="s">
        <v>2024</v>
      </c>
      <c r="I1172">
        <v>10500</v>
      </c>
      <c r="J1172">
        <v>420</v>
      </c>
      <c r="K1172">
        <v>37427</v>
      </c>
      <c r="L1172">
        <v>94172</v>
      </c>
      <c r="M1172">
        <v>12.5732</v>
      </c>
      <c r="N1172">
        <v>0.53100000000000003</v>
      </c>
      <c r="O1172">
        <v>0</v>
      </c>
      <c r="P1172" t="b">
        <f t="shared" si="37"/>
        <v>0</v>
      </c>
      <c r="Q1172" t="str">
        <f t="shared" si="36"/>
        <v>Positive</v>
      </c>
    </row>
    <row r="1173" spans="1:17" x14ac:dyDescent="0.3">
      <c r="A1173" t="s">
        <v>2025</v>
      </c>
      <c r="B1173" t="s">
        <v>66</v>
      </c>
      <c r="C1173" t="s">
        <v>28</v>
      </c>
      <c r="D1173" t="s">
        <v>18</v>
      </c>
      <c r="E1173" t="s">
        <v>58</v>
      </c>
      <c r="F1173" t="s">
        <v>34</v>
      </c>
      <c r="G1173" s="1">
        <v>45305</v>
      </c>
      <c r="H1173" t="s">
        <v>1967</v>
      </c>
      <c r="I1173">
        <v>3321640</v>
      </c>
      <c r="J1173">
        <v>415205</v>
      </c>
      <c r="K1173">
        <v>30318</v>
      </c>
      <c r="L1173">
        <v>98072</v>
      </c>
      <c r="M1173">
        <v>0.16370000000000001</v>
      </c>
      <c r="N1173">
        <v>-0.79400000000000004</v>
      </c>
      <c r="O1173">
        <v>1</v>
      </c>
      <c r="P1173" t="b">
        <f t="shared" si="37"/>
        <v>1</v>
      </c>
      <c r="Q1173" t="str">
        <f t="shared" si="36"/>
        <v>Negative</v>
      </c>
    </row>
    <row r="1174" spans="1:17" x14ac:dyDescent="0.3">
      <c r="A1174" t="s">
        <v>2026</v>
      </c>
      <c r="B1174" t="s">
        <v>27</v>
      </c>
      <c r="C1174" t="s">
        <v>23</v>
      </c>
      <c r="D1174" t="s">
        <v>33</v>
      </c>
      <c r="E1174" t="s">
        <v>51</v>
      </c>
      <c r="F1174" t="s">
        <v>46</v>
      </c>
      <c r="G1174" s="1">
        <v>45554</v>
      </c>
      <c r="H1174" t="s">
        <v>1416</v>
      </c>
      <c r="I1174">
        <v>6489555</v>
      </c>
      <c r="J1174">
        <v>432637</v>
      </c>
      <c r="K1174">
        <v>20431</v>
      </c>
      <c r="L1174">
        <v>41778</v>
      </c>
      <c r="M1174">
        <v>7.6300000000000007E-2</v>
      </c>
      <c r="N1174">
        <v>0.92800000000000005</v>
      </c>
      <c r="O1174">
        <v>1</v>
      </c>
      <c r="P1174" t="b">
        <f t="shared" si="37"/>
        <v>1</v>
      </c>
      <c r="Q1174" t="str">
        <f t="shared" si="36"/>
        <v>Positive</v>
      </c>
    </row>
    <row r="1175" spans="1:17" x14ac:dyDescent="0.3">
      <c r="A1175" t="s">
        <v>2027</v>
      </c>
      <c r="B1175" t="s">
        <v>27</v>
      </c>
      <c r="C1175" t="s">
        <v>17</v>
      </c>
      <c r="D1175" t="s">
        <v>33</v>
      </c>
      <c r="E1175" t="s">
        <v>41</v>
      </c>
      <c r="F1175" t="s">
        <v>24</v>
      </c>
      <c r="G1175" s="1">
        <v>45339</v>
      </c>
      <c r="H1175" t="s">
        <v>2028</v>
      </c>
      <c r="I1175">
        <v>4233236</v>
      </c>
      <c r="J1175">
        <v>302374</v>
      </c>
      <c r="K1175">
        <v>16400</v>
      </c>
      <c r="L1175">
        <v>49347</v>
      </c>
      <c r="M1175">
        <v>8.6999999999999994E-2</v>
      </c>
      <c r="N1175">
        <v>0.77900000000000003</v>
      </c>
      <c r="O1175">
        <v>1</v>
      </c>
      <c r="P1175" t="b">
        <f t="shared" si="37"/>
        <v>1</v>
      </c>
      <c r="Q1175" t="str">
        <f t="shared" si="36"/>
        <v>Positive</v>
      </c>
    </row>
    <row r="1176" spans="1:17" x14ac:dyDescent="0.3">
      <c r="A1176" t="s">
        <v>2029</v>
      </c>
      <c r="B1176" t="s">
        <v>66</v>
      </c>
      <c r="C1176" t="s">
        <v>23</v>
      </c>
      <c r="D1176" t="s">
        <v>54</v>
      </c>
      <c r="E1176" t="s">
        <v>38</v>
      </c>
      <c r="F1176" t="s">
        <v>34</v>
      </c>
      <c r="G1176" s="1">
        <v>45309</v>
      </c>
      <c r="H1176" t="s">
        <v>2030</v>
      </c>
      <c r="I1176">
        <v>6927860</v>
      </c>
      <c r="J1176">
        <v>346393</v>
      </c>
      <c r="K1176">
        <v>3014</v>
      </c>
      <c r="L1176">
        <v>89905</v>
      </c>
      <c r="M1176">
        <v>6.3399999999999998E-2</v>
      </c>
      <c r="N1176">
        <v>-0.98899999999999999</v>
      </c>
      <c r="O1176">
        <v>1</v>
      </c>
      <c r="P1176" t="b">
        <f t="shared" si="37"/>
        <v>1</v>
      </c>
      <c r="Q1176" t="str">
        <f t="shared" si="36"/>
        <v>Negative</v>
      </c>
    </row>
    <row r="1177" spans="1:17" x14ac:dyDescent="0.3">
      <c r="A1177" t="s">
        <v>2031</v>
      </c>
      <c r="B1177" t="s">
        <v>66</v>
      </c>
      <c r="C1177" t="s">
        <v>28</v>
      </c>
      <c r="D1177" t="s">
        <v>18</v>
      </c>
      <c r="E1177" t="s">
        <v>38</v>
      </c>
      <c r="F1177" t="s">
        <v>34</v>
      </c>
      <c r="G1177" s="1">
        <v>45585</v>
      </c>
      <c r="H1177" t="s">
        <v>290</v>
      </c>
      <c r="I1177">
        <v>151290</v>
      </c>
      <c r="J1177">
        <v>15129</v>
      </c>
      <c r="K1177">
        <v>2082</v>
      </c>
      <c r="L1177">
        <v>79444</v>
      </c>
      <c r="M1177">
        <v>0.63890000000000002</v>
      </c>
      <c r="N1177">
        <v>-0.71299999999999997</v>
      </c>
      <c r="O1177">
        <v>0</v>
      </c>
      <c r="P1177" t="b">
        <f t="shared" si="37"/>
        <v>0</v>
      </c>
      <c r="Q1177" t="str">
        <f t="shared" si="36"/>
        <v>Negative</v>
      </c>
    </row>
    <row r="1178" spans="1:17" x14ac:dyDescent="0.3">
      <c r="A1178" t="s">
        <v>2032</v>
      </c>
      <c r="B1178" t="s">
        <v>16</v>
      </c>
      <c r="C1178" t="s">
        <v>23</v>
      </c>
      <c r="D1178" t="s">
        <v>29</v>
      </c>
      <c r="E1178" t="s">
        <v>51</v>
      </c>
      <c r="F1178" t="s">
        <v>34</v>
      </c>
      <c r="G1178" s="1">
        <v>45565</v>
      </c>
      <c r="H1178" t="s">
        <v>44</v>
      </c>
      <c r="I1178">
        <v>4547242</v>
      </c>
      <c r="J1178">
        <v>324803</v>
      </c>
      <c r="K1178">
        <v>4878</v>
      </c>
      <c r="L1178">
        <v>8636</v>
      </c>
      <c r="M1178">
        <v>7.4399999999999994E-2</v>
      </c>
      <c r="N1178">
        <v>-0.53300000000000003</v>
      </c>
      <c r="O1178">
        <v>1</v>
      </c>
      <c r="P1178" t="b">
        <f t="shared" si="37"/>
        <v>1</v>
      </c>
      <c r="Q1178" t="str">
        <f t="shared" si="36"/>
        <v>Negative</v>
      </c>
    </row>
    <row r="1179" spans="1:17" x14ac:dyDescent="0.3">
      <c r="A1179" t="s">
        <v>2033</v>
      </c>
      <c r="B1179" t="s">
        <v>66</v>
      </c>
      <c r="C1179" t="s">
        <v>17</v>
      </c>
      <c r="D1179" t="s">
        <v>33</v>
      </c>
      <c r="E1179" t="s">
        <v>58</v>
      </c>
      <c r="F1179" t="s">
        <v>24</v>
      </c>
      <c r="G1179" s="1">
        <v>45476</v>
      </c>
      <c r="H1179" t="s">
        <v>2034</v>
      </c>
      <c r="I1179">
        <v>9609184</v>
      </c>
      <c r="J1179">
        <v>369584</v>
      </c>
      <c r="K1179">
        <v>33788</v>
      </c>
      <c r="L1179">
        <v>34153</v>
      </c>
      <c r="M1179">
        <v>4.5499999999999999E-2</v>
      </c>
      <c r="N1179">
        <v>-0.56299999999999994</v>
      </c>
      <c r="O1179">
        <v>1</v>
      </c>
      <c r="P1179" t="b">
        <f t="shared" si="37"/>
        <v>1</v>
      </c>
      <c r="Q1179" t="str">
        <f t="shared" si="36"/>
        <v>Negative</v>
      </c>
    </row>
    <row r="1180" spans="1:17" x14ac:dyDescent="0.3">
      <c r="A1180" t="s">
        <v>2035</v>
      </c>
      <c r="B1180" t="s">
        <v>32</v>
      </c>
      <c r="C1180" t="s">
        <v>61</v>
      </c>
      <c r="D1180" t="s">
        <v>54</v>
      </c>
      <c r="E1180" t="s">
        <v>41</v>
      </c>
      <c r="F1180" t="s">
        <v>34</v>
      </c>
      <c r="G1180" s="1">
        <v>45339</v>
      </c>
      <c r="H1180" t="s">
        <v>2036</v>
      </c>
      <c r="I1180">
        <v>496264</v>
      </c>
      <c r="J1180">
        <v>29192</v>
      </c>
      <c r="K1180">
        <v>17658</v>
      </c>
      <c r="L1180">
        <v>98000</v>
      </c>
      <c r="M1180">
        <v>0.29189999999999999</v>
      </c>
      <c r="N1180">
        <v>0.21199999999999999</v>
      </c>
      <c r="O1180">
        <v>0</v>
      </c>
      <c r="P1180" t="b">
        <f t="shared" si="37"/>
        <v>0</v>
      </c>
      <c r="Q1180" t="str">
        <f t="shared" si="36"/>
        <v>Positive</v>
      </c>
    </row>
    <row r="1181" spans="1:17" x14ac:dyDescent="0.3">
      <c r="A1181" t="s">
        <v>2037</v>
      </c>
      <c r="B1181" t="s">
        <v>27</v>
      </c>
      <c r="C1181" t="s">
        <v>28</v>
      </c>
      <c r="D1181" t="s">
        <v>18</v>
      </c>
      <c r="E1181" t="s">
        <v>51</v>
      </c>
      <c r="F1181" t="s">
        <v>24</v>
      </c>
      <c r="G1181" s="1">
        <v>45339</v>
      </c>
      <c r="H1181" t="s">
        <v>2038</v>
      </c>
      <c r="I1181">
        <v>6974540</v>
      </c>
      <c r="J1181">
        <v>348727</v>
      </c>
      <c r="K1181">
        <v>29983</v>
      </c>
      <c r="L1181">
        <v>87593</v>
      </c>
      <c r="M1181">
        <v>6.6900000000000001E-2</v>
      </c>
      <c r="N1181">
        <v>-0.317</v>
      </c>
      <c r="O1181">
        <v>1</v>
      </c>
      <c r="P1181" t="b">
        <f t="shared" si="37"/>
        <v>1</v>
      </c>
      <c r="Q1181" t="str">
        <f t="shared" si="36"/>
        <v>Negative</v>
      </c>
    </row>
    <row r="1182" spans="1:17" x14ac:dyDescent="0.3">
      <c r="A1182" t="s">
        <v>2039</v>
      </c>
      <c r="B1182" t="s">
        <v>27</v>
      </c>
      <c r="C1182" t="s">
        <v>17</v>
      </c>
      <c r="D1182" t="s">
        <v>33</v>
      </c>
      <c r="E1182" t="s">
        <v>38</v>
      </c>
      <c r="F1182" t="s">
        <v>55</v>
      </c>
      <c r="G1182" s="1">
        <v>45447</v>
      </c>
      <c r="H1182" t="s">
        <v>171</v>
      </c>
      <c r="I1182">
        <v>712985</v>
      </c>
      <c r="J1182">
        <v>54845</v>
      </c>
      <c r="K1182">
        <v>44637</v>
      </c>
      <c r="L1182">
        <v>5544</v>
      </c>
      <c r="M1182">
        <v>0.14729999999999999</v>
      </c>
      <c r="N1182">
        <v>-6.9000000000000006E-2</v>
      </c>
      <c r="O1182">
        <v>0</v>
      </c>
      <c r="P1182" t="b">
        <f t="shared" si="37"/>
        <v>0</v>
      </c>
      <c r="Q1182" t="str">
        <f t="shared" si="36"/>
        <v>Negative</v>
      </c>
    </row>
    <row r="1183" spans="1:17" x14ac:dyDescent="0.3">
      <c r="A1183" t="s">
        <v>2040</v>
      </c>
      <c r="B1183" t="s">
        <v>66</v>
      </c>
      <c r="C1183" t="s">
        <v>17</v>
      </c>
      <c r="D1183" t="s">
        <v>54</v>
      </c>
      <c r="E1183" t="s">
        <v>58</v>
      </c>
      <c r="F1183" t="s">
        <v>24</v>
      </c>
      <c r="G1183" s="1">
        <v>45433</v>
      </c>
      <c r="H1183" t="s">
        <v>540</v>
      </c>
      <c r="I1183">
        <v>907120</v>
      </c>
      <c r="J1183">
        <v>45356</v>
      </c>
      <c r="K1183">
        <v>25102</v>
      </c>
      <c r="L1183">
        <v>69346</v>
      </c>
      <c r="M1183">
        <v>0.15409999999999999</v>
      </c>
      <c r="N1183">
        <v>-0.94399999999999995</v>
      </c>
      <c r="O1183">
        <v>0</v>
      </c>
      <c r="P1183" t="b">
        <f t="shared" si="37"/>
        <v>0</v>
      </c>
      <c r="Q1183" t="str">
        <f t="shared" si="36"/>
        <v>Negative</v>
      </c>
    </row>
    <row r="1184" spans="1:17" x14ac:dyDescent="0.3">
      <c r="A1184" t="s">
        <v>2041</v>
      </c>
      <c r="B1184" t="s">
        <v>16</v>
      </c>
      <c r="C1184" t="s">
        <v>17</v>
      </c>
      <c r="D1184" t="s">
        <v>37</v>
      </c>
      <c r="E1184" t="s">
        <v>41</v>
      </c>
      <c r="F1184" t="s">
        <v>55</v>
      </c>
      <c r="G1184" s="1">
        <v>45467</v>
      </c>
      <c r="H1184" t="s">
        <v>2042</v>
      </c>
      <c r="I1184">
        <v>2735689</v>
      </c>
      <c r="J1184">
        <v>118943</v>
      </c>
      <c r="K1184">
        <v>21062</v>
      </c>
      <c r="L1184">
        <v>28993</v>
      </c>
      <c r="M1184">
        <v>6.1800000000000001E-2</v>
      </c>
      <c r="N1184">
        <v>9.6000000000000002E-2</v>
      </c>
      <c r="O1184">
        <v>1</v>
      </c>
      <c r="P1184" t="b">
        <f t="shared" si="37"/>
        <v>1</v>
      </c>
      <c r="Q1184" t="str">
        <f t="shared" si="36"/>
        <v>Positive</v>
      </c>
    </row>
    <row r="1185" spans="1:17" x14ac:dyDescent="0.3">
      <c r="A1185" t="s">
        <v>2043</v>
      </c>
      <c r="B1185" t="s">
        <v>27</v>
      </c>
      <c r="C1185" t="s">
        <v>61</v>
      </c>
      <c r="D1185" t="s">
        <v>73</v>
      </c>
      <c r="E1185" t="s">
        <v>51</v>
      </c>
      <c r="F1185" t="s">
        <v>20</v>
      </c>
      <c r="G1185" s="1">
        <v>45467</v>
      </c>
      <c r="H1185" t="s">
        <v>2044</v>
      </c>
      <c r="I1185">
        <v>10794351</v>
      </c>
      <c r="J1185">
        <v>372219</v>
      </c>
      <c r="K1185">
        <v>13215</v>
      </c>
      <c r="L1185">
        <v>83330</v>
      </c>
      <c r="M1185">
        <v>4.3400000000000001E-2</v>
      </c>
      <c r="N1185">
        <v>0.93100000000000005</v>
      </c>
      <c r="O1185">
        <v>1</v>
      </c>
      <c r="P1185" t="b">
        <f t="shared" si="37"/>
        <v>1</v>
      </c>
      <c r="Q1185" t="str">
        <f t="shared" si="36"/>
        <v>Positive</v>
      </c>
    </row>
    <row r="1186" spans="1:17" x14ac:dyDescent="0.3">
      <c r="A1186" t="s">
        <v>2045</v>
      </c>
      <c r="B1186" t="s">
        <v>32</v>
      </c>
      <c r="C1186" t="s">
        <v>61</v>
      </c>
      <c r="D1186" t="s">
        <v>37</v>
      </c>
      <c r="E1186" t="s">
        <v>51</v>
      </c>
      <c r="F1186" t="s">
        <v>24</v>
      </c>
      <c r="G1186" s="1">
        <v>45606</v>
      </c>
      <c r="H1186" t="s">
        <v>2046</v>
      </c>
      <c r="I1186">
        <v>67968</v>
      </c>
      <c r="J1186">
        <v>7552</v>
      </c>
      <c r="K1186">
        <v>41491</v>
      </c>
      <c r="L1186">
        <v>14860</v>
      </c>
      <c r="M1186">
        <v>0.94020000000000004</v>
      </c>
      <c r="N1186">
        <v>0.154</v>
      </c>
      <c r="O1186">
        <v>0</v>
      </c>
      <c r="P1186" t="b">
        <f t="shared" si="37"/>
        <v>0</v>
      </c>
      <c r="Q1186" t="str">
        <f t="shared" si="36"/>
        <v>Positive</v>
      </c>
    </row>
    <row r="1187" spans="1:17" x14ac:dyDescent="0.3">
      <c r="A1187" t="s">
        <v>2047</v>
      </c>
      <c r="B1187" t="s">
        <v>27</v>
      </c>
      <c r="C1187" t="s">
        <v>28</v>
      </c>
      <c r="D1187" t="s">
        <v>18</v>
      </c>
      <c r="E1187" t="s">
        <v>51</v>
      </c>
      <c r="F1187" t="s">
        <v>55</v>
      </c>
      <c r="G1187" s="1">
        <v>45390</v>
      </c>
      <c r="H1187" t="s">
        <v>434</v>
      </c>
      <c r="I1187">
        <v>8248800</v>
      </c>
      <c r="J1187">
        <v>329952</v>
      </c>
      <c r="K1187">
        <v>45931</v>
      </c>
      <c r="L1187">
        <v>16664</v>
      </c>
      <c r="M1187">
        <v>4.7600000000000003E-2</v>
      </c>
      <c r="N1187">
        <v>-0.86099999999999999</v>
      </c>
      <c r="O1187">
        <v>1</v>
      </c>
      <c r="P1187" t="b">
        <f t="shared" si="37"/>
        <v>1</v>
      </c>
      <c r="Q1187" t="str">
        <f t="shared" si="36"/>
        <v>Negative</v>
      </c>
    </row>
    <row r="1188" spans="1:17" x14ac:dyDescent="0.3">
      <c r="A1188" t="s">
        <v>2048</v>
      </c>
      <c r="B1188" t="s">
        <v>27</v>
      </c>
      <c r="C1188" t="s">
        <v>61</v>
      </c>
      <c r="D1188" t="s">
        <v>18</v>
      </c>
      <c r="E1188" t="s">
        <v>41</v>
      </c>
      <c r="F1188" t="s">
        <v>34</v>
      </c>
      <c r="G1188" s="1">
        <v>45394</v>
      </c>
      <c r="H1188" t="s">
        <v>2049</v>
      </c>
      <c r="I1188">
        <v>3983196</v>
      </c>
      <c r="J1188">
        <v>142257</v>
      </c>
      <c r="K1188">
        <v>30569</v>
      </c>
      <c r="L1188">
        <v>89746</v>
      </c>
      <c r="M1188">
        <v>6.59E-2</v>
      </c>
      <c r="N1188">
        <v>-0.318</v>
      </c>
      <c r="O1188">
        <v>1</v>
      </c>
      <c r="P1188" t="b">
        <f t="shared" si="37"/>
        <v>1</v>
      </c>
      <c r="Q1188" t="str">
        <f t="shared" si="36"/>
        <v>Negative</v>
      </c>
    </row>
    <row r="1189" spans="1:17" x14ac:dyDescent="0.3">
      <c r="A1189" t="s">
        <v>2050</v>
      </c>
      <c r="B1189" t="s">
        <v>16</v>
      </c>
      <c r="C1189" t="s">
        <v>61</v>
      </c>
      <c r="D1189" t="s">
        <v>73</v>
      </c>
      <c r="E1189" t="s">
        <v>19</v>
      </c>
      <c r="F1189" t="s">
        <v>46</v>
      </c>
      <c r="G1189" s="1">
        <v>45559</v>
      </c>
      <c r="H1189" t="s">
        <v>2051</v>
      </c>
      <c r="I1189">
        <v>3546894</v>
      </c>
      <c r="J1189">
        <v>136419</v>
      </c>
      <c r="K1189">
        <v>10558</v>
      </c>
      <c r="L1189">
        <v>20812</v>
      </c>
      <c r="M1189">
        <v>4.7300000000000002E-2</v>
      </c>
      <c r="N1189">
        <v>-0.71299999999999997</v>
      </c>
      <c r="O1189">
        <v>1</v>
      </c>
      <c r="P1189" t="b">
        <f t="shared" si="37"/>
        <v>1</v>
      </c>
      <c r="Q1189" t="str">
        <f t="shared" si="36"/>
        <v>Negative</v>
      </c>
    </row>
    <row r="1190" spans="1:17" x14ac:dyDescent="0.3">
      <c r="A1190" t="s">
        <v>2052</v>
      </c>
      <c r="B1190" t="s">
        <v>66</v>
      </c>
      <c r="C1190" t="s">
        <v>23</v>
      </c>
      <c r="D1190" t="s">
        <v>29</v>
      </c>
      <c r="E1190" t="s">
        <v>41</v>
      </c>
      <c r="F1190" t="s">
        <v>20</v>
      </c>
      <c r="G1190" s="1">
        <v>45330</v>
      </c>
      <c r="H1190" t="s">
        <v>2053</v>
      </c>
      <c r="I1190">
        <v>1587340</v>
      </c>
      <c r="J1190">
        <v>79367</v>
      </c>
      <c r="K1190">
        <v>7194</v>
      </c>
      <c r="L1190">
        <v>80078</v>
      </c>
      <c r="M1190">
        <v>0.105</v>
      </c>
      <c r="N1190">
        <v>0.98899999999999999</v>
      </c>
      <c r="O1190">
        <v>0</v>
      </c>
      <c r="P1190" t="b">
        <f t="shared" si="37"/>
        <v>0</v>
      </c>
      <c r="Q1190" t="str">
        <f t="shared" si="36"/>
        <v>Positive</v>
      </c>
    </row>
    <row r="1191" spans="1:17" x14ac:dyDescent="0.3">
      <c r="A1191" t="s">
        <v>2054</v>
      </c>
      <c r="B1191" t="s">
        <v>66</v>
      </c>
      <c r="C1191" t="s">
        <v>23</v>
      </c>
      <c r="D1191" t="s">
        <v>54</v>
      </c>
      <c r="E1191" t="s">
        <v>58</v>
      </c>
      <c r="F1191" t="s">
        <v>20</v>
      </c>
      <c r="G1191" s="1">
        <v>45336</v>
      </c>
      <c r="H1191" t="s">
        <v>401</v>
      </c>
      <c r="I1191">
        <v>430296</v>
      </c>
      <c r="J1191">
        <v>53787</v>
      </c>
      <c r="K1191">
        <v>2781</v>
      </c>
      <c r="L1191">
        <v>27565</v>
      </c>
      <c r="M1191">
        <v>0.19550000000000001</v>
      </c>
      <c r="N1191">
        <v>0.22900000000000001</v>
      </c>
      <c r="O1191">
        <v>0</v>
      </c>
      <c r="P1191" t="b">
        <f t="shared" si="37"/>
        <v>0</v>
      </c>
      <c r="Q1191" t="str">
        <f t="shared" si="36"/>
        <v>Positive</v>
      </c>
    </row>
    <row r="1192" spans="1:17" x14ac:dyDescent="0.3">
      <c r="A1192" t="s">
        <v>2055</v>
      </c>
      <c r="B1192" t="s">
        <v>16</v>
      </c>
      <c r="C1192" t="s">
        <v>23</v>
      </c>
      <c r="D1192" t="s">
        <v>18</v>
      </c>
      <c r="E1192" t="s">
        <v>19</v>
      </c>
      <c r="F1192" t="s">
        <v>34</v>
      </c>
      <c r="G1192" s="1">
        <v>45650</v>
      </c>
      <c r="H1192" t="s">
        <v>2056</v>
      </c>
      <c r="I1192">
        <v>1364505</v>
      </c>
      <c r="J1192">
        <v>80265</v>
      </c>
      <c r="K1192">
        <v>8391</v>
      </c>
      <c r="L1192">
        <v>17047</v>
      </c>
      <c r="M1192">
        <v>7.7499999999999999E-2</v>
      </c>
      <c r="N1192">
        <v>-0.45600000000000002</v>
      </c>
      <c r="O1192">
        <v>0</v>
      </c>
      <c r="P1192" t="b">
        <f t="shared" si="37"/>
        <v>0</v>
      </c>
      <c r="Q1192" t="str">
        <f t="shared" si="36"/>
        <v>Negative</v>
      </c>
    </row>
    <row r="1193" spans="1:17" x14ac:dyDescent="0.3">
      <c r="A1193" t="s">
        <v>2057</v>
      </c>
      <c r="B1193" t="s">
        <v>32</v>
      </c>
      <c r="C1193" t="s">
        <v>28</v>
      </c>
      <c r="D1193" t="s">
        <v>54</v>
      </c>
      <c r="E1193" t="s">
        <v>51</v>
      </c>
      <c r="F1193" t="s">
        <v>46</v>
      </c>
      <c r="G1193" s="1">
        <v>45549</v>
      </c>
      <c r="H1193" t="s">
        <v>2058</v>
      </c>
      <c r="I1193">
        <v>9162648</v>
      </c>
      <c r="J1193">
        <v>398376</v>
      </c>
      <c r="K1193">
        <v>10905</v>
      </c>
      <c r="L1193">
        <v>60520</v>
      </c>
      <c r="M1193">
        <v>5.1299999999999998E-2</v>
      </c>
      <c r="N1193">
        <v>0.187</v>
      </c>
      <c r="O1193">
        <v>1</v>
      </c>
      <c r="P1193" t="b">
        <f t="shared" si="37"/>
        <v>1</v>
      </c>
      <c r="Q1193" t="str">
        <f t="shared" si="36"/>
        <v>Positive</v>
      </c>
    </row>
    <row r="1194" spans="1:17" x14ac:dyDescent="0.3">
      <c r="A1194" t="s">
        <v>2059</v>
      </c>
      <c r="B1194" t="s">
        <v>66</v>
      </c>
      <c r="C1194" t="s">
        <v>17</v>
      </c>
      <c r="D1194" t="s">
        <v>33</v>
      </c>
      <c r="E1194" t="s">
        <v>41</v>
      </c>
      <c r="F1194" t="s">
        <v>24</v>
      </c>
      <c r="G1194" s="1">
        <v>45358</v>
      </c>
      <c r="H1194" t="s">
        <v>2060</v>
      </c>
      <c r="I1194">
        <v>558112</v>
      </c>
      <c r="J1194">
        <v>34882</v>
      </c>
      <c r="K1194">
        <v>20178</v>
      </c>
      <c r="L1194">
        <v>78534</v>
      </c>
      <c r="M1194">
        <v>0.2394</v>
      </c>
      <c r="N1194">
        <v>-0.35299999999999998</v>
      </c>
      <c r="O1194">
        <v>0</v>
      </c>
      <c r="P1194" t="b">
        <f t="shared" si="37"/>
        <v>0</v>
      </c>
      <c r="Q1194" t="str">
        <f t="shared" si="36"/>
        <v>Negative</v>
      </c>
    </row>
    <row r="1195" spans="1:17" x14ac:dyDescent="0.3">
      <c r="A1195" t="s">
        <v>2061</v>
      </c>
      <c r="B1195" t="s">
        <v>16</v>
      </c>
      <c r="C1195" t="s">
        <v>17</v>
      </c>
      <c r="D1195" t="s">
        <v>18</v>
      </c>
      <c r="E1195" t="s">
        <v>58</v>
      </c>
      <c r="F1195" t="s">
        <v>46</v>
      </c>
      <c r="G1195" s="1">
        <v>45381</v>
      </c>
      <c r="H1195" t="s">
        <v>392</v>
      </c>
      <c r="I1195">
        <v>1310112</v>
      </c>
      <c r="J1195">
        <v>72784</v>
      </c>
      <c r="K1195">
        <v>18753</v>
      </c>
      <c r="L1195">
        <v>79559</v>
      </c>
      <c r="M1195">
        <v>0.13059999999999999</v>
      </c>
      <c r="N1195">
        <v>-0.73099999999999998</v>
      </c>
      <c r="O1195">
        <v>0</v>
      </c>
      <c r="P1195" t="b">
        <f t="shared" si="37"/>
        <v>0</v>
      </c>
      <c r="Q1195" t="str">
        <f t="shared" si="36"/>
        <v>Negative</v>
      </c>
    </row>
    <row r="1196" spans="1:17" x14ac:dyDescent="0.3">
      <c r="A1196" t="s">
        <v>2062</v>
      </c>
      <c r="B1196" t="s">
        <v>27</v>
      </c>
      <c r="C1196" t="s">
        <v>61</v>
      </c>
      <c r="D1196" t="s">
        <v>73</v>
      </c>
      <c r="E1196" t="s">
        <v>51</v>
      </c>
      <c r="F1196" t="s">
        <v>24</v>
      </c>
      <c r="G1196" s="1">
        <v>45342</v>
      </c>
      <c r="H1196" t="s">
        <v>2063</v>
      </c>
      <c r="I1196">
        <v>4779165</v>
      </c>
      <c r="J1196">
        <v>251535</v>
      </c>
      <c r="K1196">
        <v>25261</v>
      </c>
      <c r="L1196">
        <v>30006</v>
      </c>
      <c r="M1196">
        <v>6.4199999999999993E-2</v>
      </c>
      <c r="N1196">
        <v>-2E-3</v>
      </c>
      <c r="O1196">
        <v>1</v>
      </c>
      <c r="P1196" t="b">
        <f t="shared" si="37"/>
        <v>1</v>
      </c>
      <c r="Q1196" t="str">
        <f t="shared" si="36"/>
        <v>Negative</v>
      </c>
    </row>
    <row r="1197" spans="1:17" x14ac:dyDescent="0.3">
      <c r="A1197" t="s">
        <v>2064</v>
      </c>
      <c r="B1197" t="s">
        <v>66</v>
      </c>
      <c r="C1197" t="s">
        <v>28</v>
      </c>
      <c r="D1197" t="s">
        <v>37</v>
      </c>
      <c r="E1197" t="s">
        <v>51</v>
      </c>
      <c r="F1197" t="s">
        <v>46</v>
      </c>
      <c r="G1197" s="1">
        <v>45646</v>
      </c>
      <c r="H1197" t="s">
        <v>2065</v>
      </c>
      <c r="I1197">
        <v>2552256</v>
      </c>
      <c r="J1197">
        <v>106344</v>
      </c>
      <c r="K1197">
        <v>43121</v>
      </c>
      <c r="L1197">
        <v>36635</v>
      </c>
      <c r="M1197">
        <v>7.2900000000000006E-2</v>
      </c>
      <c r="N1197">
        <v>0.28999999999999998</v>
      </c>
      <c r="O1197">
        <v>1</v>
      </c>
      <c r="P1197" t="b">
        <f t="shared" si="37"/>
        <v>1</v>
      </c>
      <c r="Q1197" t="str">
        <f t="shared" si="36"/>
        <v>Positive</v>
      </c>
    </row>
    <row r="1198" spans="1:17" x14ac:dyDescent="0.3">
      <c r="A1198" t="s">
        <v>2066</v>
      </c>
      <c r="B1198" t="s">
        <v>66</v>
      </c>
      <c r="C1198" t="s">
        <v>28</v>
      </c>
      <c r="D1198" t="s">
        <v>33</v>
      </c>
      <c r="E1198" t="s">
        <v>51</v>
      </c>
      <c r="F1198" t="s">
        <v>46</v>
      </c>
      <c r="G1198" s="1">
        <v>45444</v>
      </c>
      <c r="H1198" t="s">
        <v>482</v>
      </c>
      <c r="I1198">
        <v>3557465</v>
      </c>
      <c r="J1198">
        <v>187235</v>
      </c>
      <c r="K1198">
        <v>22399</v>
      </c>
      <c r="L1198">
        <v>67790</v>
      </c>
      <c r="M1198">
        <v>7.8E-2</v>
      </c>
      <c r="N1198">
        <v>0.78200000000000003</v>
      </c>
      <c r="O1198">
        <v>1</v>
      </c>
      <c r="P1198" t="b">
        <f t="shared" si="37"/>
        <v>1</v>
      </c>
      <c r="Q1198" t="str">
        <f t="shared" si="36"/>
        <v>Positive</v>
      </c>
    </row>
    <row r="1199" spans="1:17" x14ac:dyDescent="0.3">
      <c r="A1199" t="s">
        <v>2067</v>
      </c>
      <c r="B1199" t="s">
        <v>32</v>
      </c>
      <c r="C1199" t="s">
        <v>23</v>
      </c>
      <c r="D1199" t="s">
        <v>73</v>
      </c>
      <c r="E1199" t="s">
        <v>19</v>
      </c>
      <c r="F1199" t="s">
        <v>24</v>
      </c>
      <c r="G1199" s="1">
        <v>45646</v>
      </c>
      <c r="H1199" t="s">
        <v>2068</v>
      </c>
      <c r="I1199">
        <v>7598136</v>
      </c>
      <c r="J1199">
        <v>361816</v>
      </c>
      <c r="K1199">
        <v>40227</v>
      </c>
      <c r="L1199">
        <v>13667</v>
      </c>
      <c r="M1199">
        <v>5.4699999999999999E-2</v>
      </c>
      <c r="N1199">
        <v>0.109</v>
      </c>
      <c r="O1199">
        <v>1</v>
      </c>
      <c r="P1199" t="b">
        <f t="shared" si="37"/>
        <v>1</v>
      </c>
      <c r="Q1199" t="str">
        <f t="shared" si="36"/>
        <v>Positive</v>
      </c>
    </row>
    <row r="1200" spans="1:17" x14ac:dyDescent="0.3">
      <c r="A1200" t="s">
        <v>2069</v>
      </c>
      <c r="B1200" t="s">
        <v>16</v>
      </c>
      <c r="C1200" t="s">
        <v>23</v>
      </c>
      <c r="D1200" t="s">
        <v>37</v>
      </c>
      <c r="E1200" t="s">
        <v>41</v>
      </c>
      <c r="F1200" t="s">
        <v>55</v>
      </c>
      <c r="G1200" s="1">
        <v>45317</v>
      </c>
      <c r="H1200" t="s">
        <v>209</v>
      </c>
      <c r="I1200">
        <v>1243596</v>
      </c>
      <c r="J1200">
        <v>103633</v>
      </c>
      <c r="K1200">
        <v>16314</v>
      </c>
      <c r="L1200">
        <v>69591</v>
      </c>
      <c r="M1200">
        <v>0.15240000000000001</v>
      </c>
      <c r="N1200">
        <v>0.78900000000000003</v>
      </c>
      <c r="O1200">
        <v>0</v>
      </c>
      <c r="P1200" t="b">
        <f t="shared" si="37"/>
        <v>0</v>
      </c>
      <c r="Q1200" t="str">
        <f t="shared" si="36"/>
        <v>Positive</v>
      </c>
    </row>
    <row r="1201" spans="1:17" x14ac:dyDescent="0.3">
      <c r="A1201" t="s">
        <v>2070</v>
      </c>
      <c r="B1201" t="s">
        <v>66</v>
      </c>
      <c r="C1201" t="s">
        <v>28</v>
      </c>
      <c r="D1201" t="s">
        <v>73</v>
      </c>
      <c r="E1201" t="s">
        <v>51</v>
      </c>
      <c r="F1201" t="s">
        <v>34</v>
      </c>
      <c r="G1201" s="1">
        <v>45611</v>
      </c>
      <c r="H1201" t="s">
        <v>2071</v>
      </c>
      <c r="I1201">
        <v>3055420</v>
      </c>
      <c r="J1201">
        <v>305542</v>
      </c>
      <c r="K1201">
        <v>48333</v>
      </c>
      <c r="L1201">
        <v>48925</v>
      </c>
      <c r="M1201">
        <v>0.1318</v>
      </c>
      <c r="N1201">
        <v>0.625</v>
      </c>
      <c r="O1201">
        <v>1</v>
      </c>
      <c r="P1201" t="b">
        <f t="shared" si="37"/>
        <v>1</v>
      </c>
      <c r="Q1201" t="str">
        <f t="shared" si="36"/>
        <v>Positive</v>
      </c>
    </row>
    <row r="1202" spans="1:17" x14ac:dyDescent="0.3">
      <c r="A1202" t="s">
        <v>2072</v>
      </c>
      <c r="B1202" t="s">
        <v>66</v>
      </c>
      <c r="C1202" t="s">
        <v>17</v>
      </c>
      <c r="D1202" t="s">
        <v>18</v>
      </c>
      <c r="E1202" t="s">
        <v>19</v>
      </c>
      <c r="F1202" t="s">
        <v>55</v>
      </c>
      <c r="G1202" s="1">
        <v>45563</v>
      </c>
      <c r="H1202" t="s">
        <v>1059</v>
      </c>
      <c r="I1202">
        <v>690914</v>
      </c>
      <c r="J1202">
        <v>40642</v>
      </c>
      <c r="K1202">
        <v>20250</v>
      </c>
      <c r="L1202">
        <v>34754</v>
      </c>
      <c r="M1202">
        <v>0.1384</v>
      </c>
      <c r="N1202">
        <v>0.97799999999999998</v>
      </c>
      <c r="O1202">
        <v>0</v>
      </c>
      <c r="P1202" t="b">
        <f t="shared" si="37"/>
        <v>0</v>
      </c>
      <c r="Q1202" t="str">
        <f t="shared" si="36"/>
        <v>Positive</v>
      </c>
    </row>
    <row r="1203" spans="1:17" x14ac:dyDescent="0.3">
      <c r="A1203" t="s">
        <v>2073</v>
      </c>
      <c r="B1203" t="s">
        <v>27</v>
      </c>
      <c r="C1203" t="s">
        <v>61</v>
      </c>
      <c r="D1203" t="s">
        <v>37</v>
      </c>
      <c r="E1203" t="s">
        <v>19</v>
      </c>
      <c r="F1203" t="s">
        <v>20</v>
      </c>
      <c r="G1203" s="1">
        <v>45506</v>
      </c>
      <c r="H1203" t="s">
        <v>2074</v>
      </c>
      <c r="I1203">
        <v>2289546</v>
      </c>
      <c r="J1203">
        <v>84798</v>
      </c>
      <c r="K1203">
        <v>15965</v>
      </c>
      <c r="L1203">
        <v>30792</v>
      </c>
      <c r="M1203">
        <v>5.7500000000000002E-2</v>
      </c>
      <c r="N1203">
        <v>-0.04</v>
      </c>
      <c r="O1203">
        <v>1</v>
      </c>
      <c r="P1203" t="b">
        <f t="shared" si="37"/>
        <v>1</v>
      </c>
      <c r="Q1203" t="str">
        <f t="shared" si="36"/>
        <v>Negative</v>
      </c>
    </row>
    <row r="1204" spans="1:17" x14ac:dyDescent="0.3">
      <c r="A1204" t="s">
        <v>2075</v>
      </c>
      <c r="B1204" t="s">
        <v>27</v>
      </c>
      <c r="C1204" t="s">
        <v>61</v>
      </c>
      <c r="D1204" t="s">
        <v>29</v>
      </c>
      <c r="E1204" t="s">
        <v>51</v>
      </c>
      <c r="F1204" t="s">
        <v>55</v>
      </c>
      <c r="G1204" s="1">
        <v>45618</v>
      </c>
      <c r="H1204" t="s">
        <v>2076</v>
      </c>
      <c r="I1204">
        <v>4900065</v>
      </c>
      <c r="J1204">
        <v>326671</v>
      </c>
      <c r="K1204">
        <v>46939</v>
      </c>
      <c r="L1204">
        <v>62048</v>
      </c>
      <c r="M1204">
        <v>8.8900000000000007E-2</v>
      </c>
      <c r="N1204">
        <v>0.65900000000000003</v>
      </c>
      <c r="O1204">
        <v>1</v>
      </c>
      <c r="P1204" t="b">
        <f t="shared" si="37"/>
        <v>1</v>
      </c>
      <c r="Q1204" t="str">
        <f t="shared" si="36"/>
        <v>Positive</v>
      </c>
    </row>
    <row r="1205" spans="1:17" x14ac:dyDescent="0.3">
      <c r="A1205" t="s">
        <v>2077</v>
      </c>
      <c r="B1205" t="s">
        <v>16</v>
      </c>
      <c r="C1205" t="s">
        <v>23</v>
      </c>
      <c r="D1205" t="s">
        <v>29</v>
      </c>
      <c r="E1205" t="s">
        <v>41</v>
      </c>
      <c r="F1205" t="s">
        <v>55</v>
      </c>
      <c r="G1205" s="1">
        <v>45650</v>
      </c>
      <c r="H1205" t="s">
        <v>2078</v>
      </c>
      <c r="I1205">
        <v>12264330</v>
      </c>
      <c r="J1205">
        <v>471705</v>
      </c>
      <c r="K1205">
        <v>4047</v>
      </c>
      <c r="L1205">
        <v>49053</v>
      </c>
      <c r="M1205">
        <v>4.2799999999999998E-2</v>
      </c>
      <c r="N1205">
        <v>0.747</v>
      </c>
      <c r="O1205">
        <v>1</v>
      </c>
      <c r="P1205" t="b">
        <f t="shared" si="37"/>
        <v>1</v>
      </c>
      <c r="Q1205" t="str">
        <f t="shared" si="36"/>
        <v>Positive</v>
      </c>
    </row>
    <row r="1206" spans="1:17" x14ac:dyDescent="0.3">
      <c r="A1206" t="s">
        <v>2079</v>
      </c>
      <c r="B1206" t="s">
        <v>32</v>
      </c>
      <c r="C1206" t="s">
        <v>23</v>
      </c>
      <c r="D1206" t="s">
        <v>37</v>
      </c>
      <c r="E1206" t="s">
        <v>51</v>
      </c>
      <c r="F1206" t="s">
        <v>46</v>
      </c>
      <c r="G1206" s="1">
        <v>45293</v>
      </c>
      <c r="H1206" t="s">
        <v>1576</v>
      </c>
      <c r="I1206">
        <v>2571114</v>
      </c>
      <c r="J1206">
        <v>367302</v>
      </c>
      <c r="K1206">
        <v>28184</v>
      </c>
      <c r="L1206">
        <v>50734</v>
      </c>
      <c r="M1206">
        <v>0.1736</v>
      </c>
      <c r="N1206">
        <v>0.625</v>
      </c>
      <c r="O1206">
        <v>1</v>
      </c>
      <c r="P1206" t="b">
        <f t="shared" si="37"/>
        <v>1</v>
      </c>
      <c r="Q1206" t="str">
        <f t="shared" si="36"/>
        <v>Positive</v>
      </c>
    </row>
    <row r="1207" spans="1:17" x14ac:dyDescent="0.3">
      <c r="A1207" t="s">
        <v>2080</v>
      </c>
      <c r="B1207" t="s">
        <v>27</v>
      </c>
      <c r="C1207" t="s">
        <v>61</v>
      </c>
      <c r="D1207" t="s">
        <v>33</v>
      </c>
      <c r="E1207" t="s">
        <v>38</v>
      </c>
      <c r="F1207" t="s">
        <v>55</v>
      </c>
      <c r="G1207" s="1">
        <v>45416</v>
      </c>
      <c r="H1207" t="s">
        <v>1967</v>
      </c>
      <c r="I1207">
        <v>789265</v>
      </c>
      <c r="J1207">
        <v>157853</v>
      </c>
      <c r="K1207">
        <v>23993</v>
      </c>
      <c r="L1207">
        <v>81007</v>
      </c>
      <c r="M1207">
        <v>0.33300000000000002</v>
      </c>
      <c r="N1207">
        <v>-0.19500000000000001</v>
      </c>
      <c r="O1207">
        <v>0</v>
      </c>
      <c r="P1207" t="b">
        <f t="shared" si="37"/>
        <v>0</v>
      </c>
      <c r="Q1207" t="str">
        <f t="shared" si="36"/>
        <v>Negative</v>
      </c>
    </row>
    <row r="1208" spans="1:17" x14ac:dyDescent="0.3">
      <c r="A1208" t="s">
        <v>2081</v>
      </c>
      <c r="B1208" t="s">
        <v>32</v>
      </c>
      <c r="C1208" t="s">
        <v>17</v>
      </c>
      <c r="D1208" t="s">
        <v>29</v>
      </c>
      <c r="E1208" t="s">
        <v>58</v>
      </c>
      <c r="F1208" t="s">
        <v>46</v>
      </c>
      <c r="G1208" s="1">
        <v>45509</v>
      </c>
      <c r="H1208" t="s">
        <v>2082</v>
      </c>
      <c r="I1208">
        <v>1884160</v>
      </c>
      <c r="J1208">
        <v>94208</v>
      </c>
      <c r="K1208">
        <v>7498</v>
      </c>
      <c r="L1208">
        <v>69640</v>
      </c>
      <c r="M1208">
        <v>9.0899999999999995E-2</v>
      </c>
      <c r="N1208">
        <v>-0.73399999999999999</v>
      </c>
      <c r="O1208">
        <v>0</v>
      </c>
      <c r="P1208" t="b">
        <f t="shared" si="37"/>
        <v>0</v>
      </c>
      <c r="Q1208" t="str">
        <f t="shared" si="36"/>
        <v>Negative</v>
      </c>
    </row>
    <row r="1209" spans="1:17" x14ac:dyDescent="0.3">
      <c r="A1209" t="s">
        <v>2083</v>
      </c>
      <c r="B1209" t="s">
        <v>32</v>
      </c>
      <c r="C1209" t="s">
        <v>28</v>
      </c>
      <c r="D1209" t="s">
        <v>18</v>
      </c>
      <c r="E1209" t="s">
        <v>58</v>
      </c>
      <c r="F1209" t="s">
        <v>34</v>
      </c>
      <c r="G1209" s="1">
        <v>45476</v>
      </c>
      <c r="H1209" t="s">
        <v>2084</v>
      </c>
      <c r="I1209">
        <v>4951648</v>
      </c>
      <c r="J1209">
        <v>309478</v>
      </c>
      <c r="K1209">
        <v>47296</v>
      </c>
      <c r="L1209">
        <v>92869</v>
      </c>
      <c r="M1209">
        <v>9.0800000000000006E-2</v>
      </c>
      <c r="N1209">
        <v>0.38700000000000001</v>
      </c>
      <c r="O1209">
        <v>1</v>
      </c>
      <c r="P1209" t="b">
        <f t="shared" si="37"/>
        <v>1</v>
      </c>
      <c r="Q1209" t="str">
        <f t="shared" si="36"/>
        <v>Positive</v>
      </c>
    </row>
    <row r="1210" spans="1:17" x14ac:dyDescent="0.3">
      <c r="A1210" t="s">
        <v>2085</v>
      </c>
      <c r="B1210" t="s">
        <v>32</v>
      </c>
      <c r="C1210" t="s">
        <v>23</v>
      </c>
      <c r="D1210" t="s">
        <v>37</v>
      </c>
      <c r="E1210" t="s">
        <v>19</v>
      </c>
      <c r="F1210" t="s">
        <v>24</v>
      </c>
      <c r="G1210" s="1">
        <v>45433</v>
      </c>
      <c r="H1210" t="s">
        <v>2086</v>
      </c>
      <c r="I1210">
        <v>1717888</v>
      </c>
      <c r="J1210">
        <v>214736</v>
      </c>
      <c r="K1210">
        <v>35917</v>
      </c>
      <c r="L1210">
        <v>79527</v>
      </c>
      <c r="M1210">
        <v>0.19220000000000001</v>
      </c>
      <c r="N1210">
        <v>-0.14799999999999999</v>
      </c>
      <c r="O1210">
        <v>0</v>
      </c>
      <c r="P1210" t="b">
        <f t="shared" si="37"/>
        <v>0</v>
      </c>
      <c r="Q1210" t="str">
        <f t="shared" si="36"/>
        <v>Negative</v>
      </c>
    </row>
    <row r="1211" spans="1:17" x14ac:dyDescent="0.3">
      <c r="A1211" t="s">
        <v>2087</v>
      </c>
      <c r="B1211" t="s">
        <v>66</v>
      </c>
      <c r="C1211" t="s">
        <v>61</v>
      </c>
      <c r="D1211" t="s">
        <v>37</v>
      </c>
      <c r="E1211" t="s">
        <v>41</v>
      </c>
      <c r="F1211" t="s">
        <v>34</v>
      </c>
      <c r="G1211" s="1">
        <v>45372</v>
      </c>
      <c r="H1211" t="s">
        <v>852</v>
      </c>
      <c r="I1211">
        <v>4036310</v>
      </c>
      <c r="J1211">
        <v>237430</v>
      </c>
      <c r="K1211">
        <v>40042</v>
      </c>
      <c r="L1211">
        <v>7131</v>
      </c>
      <c r="M1211">
        <v>7.0499999999999993E-2</v>
      </c>
      <c r="N1211">
        <v>0.56100000000000005</v>
      </c>
      <c r="O1211">
        <v>1</v>
      </c>
      <c r="P1211" t="b">
        <f t="shared" si="37"/>
        <v>1</v>
      </c>
      <c r="Q1211" t="str">
        <f t="shared" si="36"/>
        <v>Positive</v>
      </c>
    </row>
    <row r="1212" spans="1:17" x14ac:dyDescent="0.3">
      <c r="A1212" t="s">
        <v>2088</v>
      </c>
      <c r="B1212" t="s">
        <v>66</v>
      </c>
      <c r="C1212" t="s">
        <v>28</v>
      </c>
      <c r="D1212" t="s">
        <v>29</v>
      </c>
      <c r="E1212" t="s">
        <v>51</v>
      </c>
      <c r="F1212" t="s">
        <v>34</v>
      </c>
      <c r="G1212" s="1">
        <v>45303</v>
      </c>
      <c r="H1212" t="s">
        <v>1484</v>
      </c>
      <c r="I1212">
        <v>5659368</v>
      </c>
      <c r="J1212">
        <v>235807</v>
      </c>
      <c r="K1212">
        <v>46170</v>
      </c>
      <c r="L1212">
        <v>17884</v>
      </c>
      <c r="M1212">
        <v>5.2999999999999999E-2</v>
      </c>
      <c r="N1212">
        <v>-1.6E-2</v>
      </c>
      <c r="O1212">
        <v>1</v>
      </c>
      <c r="P1212" t="b">
        <f t="shared" si="37"/>
        <v>1</v>
      </c>
      <c r="Q1212" t="str">
        <f t="shared" si="36"/>
        <v>Negative</v>
      </c>
    </row>
    <row r="1213" spans="1:17" x14ac:dyDescent="0.3">
      <c r="A1213" t="s">
        <v>2089</v>
      </c>
      <c r="B1213" t="s">
        <v>66</v>
      </c>
      <c r="C1213" t="s">
        <v>17</v>
      </c>
      <c r="D1213" t="s">
        <v>37</v>
      </c>
      <c r="E1213" t="s">
        <v>51</v>
      </c>
      <c r="F1213" t="s">
        <v>34</v>
      </c>
      <c r="G1213" s="1">
        <v>45395</v>
      </c>
      <c r="H1213" t="s">
        <v>2090</v>
      </c>
      <c r="I1213">
        <v>10910040</v>
      </c>
      <c r="J1213">
        <v>454585</v>
      </c>
      <c r="K1213">
        <v>10455</v>
      </c>
      <c r="L1213">
        <v>85960</v>
      </c>
      <c r="M1213">
        <v>5.0500000000000003E-2</v>
      </c>
      <c r="N1213">
        <v>0.10199999999999999</v>
      </c>
      <c r="O1213">
        <v>1</v>
      </c>
      <c r="P1213" t="b">
        <f t="shared" si="37"/>
        <v>1</v>
      </c>
      <c r="Q1213" t="str">
        <f t="shared" si="36"/>
        <v>Positive</v>
      </c>
    </row>
    <row r="1214" spans="1:17" x14ac:dyDescent="0.3">
      <c r="A1214" t="s">
        <v>2091</v>
      </c>
      <c r="B1214" t="s">
        <v>32</v>
      </c>
      <c r="C1214" t="s">
        <v>23</v>
      </c>
      <c r="D1214" t="s">
        <v>33</v>
      </c>
      <c r="E1214" t="s">
        <v>38</v>
      </c>
      <c r="F1214" t="s">
        <v>55</v>
      </c>
      <c r="G1214" s="1">
        <v>45482</v>
      </c>
      <c r="H1214" t="s">
        <v>2092</v>
      </c>
      <c r="I1214">
        <v>468207</v>
      </c>
      <c r="J1214">
        <v>17341</v>
      </c>
      <c r="K1214">
        <v>23159</v>
      </c>
      <c r="L1214">
        <v>25626</v>
      </c>
      <c r="M1214">
        <v>0.14119999999999999</v>
      </c>
      <c r="N1214">
        <v>0.17100000000000001</v>
      </c>
      <c r="O1214">
        <v>0</v>
      </c>
      <c r="P1214" t="b">
        <f t="shared" si="37"/>
        <v>0</v>
      </c>
      <c r="Q1214" t="str">
        <f t="shared" si="36"/>
        <v>Positive</v>
      </c>
    </row>
    <row r="1215" spans="1:17" x14ac:dyDescent="0.3">
      <c r="A1215" t="s">
        <v>2093</v>
      </c>
      <c r="B1215" t="s">
        <v>66</v>
      </c>
      <c r="C1215" t="s">
        <v>23</v>
      </c>
      <c r="D1215" t="s">
        <v>73</v>
      </c>
      <c r="E1215" t="s">
        <v>51</v>
      </c>
      <c r="F1215" t="s">
        <v>34</v>
      </c>
      <c r="G1215" s="1">
        <v>45332</v>
      </c>
      <c r="H1215" t="s">
        <v>882</v>
      </c>
      <c r="I1215">
        <v>11328489</v>
      </c>
      <c r="J1215">
        <v>492543</v>
      </c>
      <c r="K1215">
        <v>13336</v>
      </c>
      <c r="L1215">
        <v>63928</v>
      </c>
      <c r="M1215">
        <v>5.0299999999999997E-2</v>
      </c>
      <c r="N1215">
        <v>0.66500000000000004</v>
      </c>
      <c r="O1215">
        <v>1</v>
      </c>
      <c r="P1215" t="b">
        <f t="shared" si="37"/>
        <v>1</v>
      </c>
      <c r="Q1215" t="str">
        <f t="shared" si="36"/>
        <v>Positive</v>
      </c>
    </row>
    <row r="1216" spans="1:17" x14ac:dyDescent="0.3">
      <c r="A1216" t="s">
        <v>2094</v>
      </c>
      <c r="B1216" t="s">
        <v>27</v>
      </c>
      <c r="C1216" t="s">
        <v>17</v>
      </c>
      <c r="D1216" t="s">
        <v>18</v>
      </c>
      <c r="E1216" t="s">
        <v>41</v>
      </c>
      <c r="F1216" t="s">
        <v>55</v>
      </c>
      <c r="G1216" s="1">
        <v>45306</v>
      </c>
      <c r="H1216" t="s">
        <v>718</v>
      </c>
      <c r="I1216">
        <v>1065042</v>
      </c>
      <c r="J1216">
        <v>39446</v>
      </c>
      <c r="K1216">
        <v>4880</v>
      </c>
      <c r="L1216">
        <v>54479</v>
      </c>
      <c r="M1216">
        <v>9.2799999999999994E-2</v>
      </c>
      <c r="N1216">
        <v>-0.53300000000000003</v>
      </c>
      <c r="O1216">
        <v>0</v>
      </c>
      <c r="P1216" t="b">
        <f t="shared" si="37"/>
        <v>0</v>
      </c>
      <c r="Q1216" t="str">
        <f t="shared" si="36"/>
        <v>Negative</v>
      </c>
    </row>
    <row r="1217" spans="1:17" x14ac:dyDescent="0.3">
      <c r="A1217" t="s">
        <v>2095</v>
      </c>
      <c r="B1217" t="s">
        <v>27</v>
      </c>
      <c r="C1217" t="s">
        <v>61</v>
      </c>
      <c r="D1217" t="s">
        <v>33</v>
      </c>
      <c r="E1217" t="s">
        <v>41</v>
      </c>
      <c r="F1217" t="s">
        <v>34</v>
      </c>
      <c r="G1217" s="1">
        <v>45419</v>
      </c>
      <c r="H1217" t="s">
        <v>2096</v>
      </c>
      <c r="I1217">
        <v>3386850</v>
      </c>
      <c r="J1217">
        <v>338685</v>
      </c>
      <c r="K1217">
        <v>46126</v>
      </c>
      <c r="L1217">
        <v>81419</v>
      </c>
      <c r="M1217">
        <v>0.13769999999999999</v>
      </c>
      <c r="N1217">
        <v>4.5999999999999999E-2</v>
      </c>
      <c r="O1217">
        <v>1</v>
      </c>
      <c r="P1217" t="b">
        <f t="shared" si="37"/>
        <v>1</v>
      </c>
      <c r="Q1217" t="str">
        <f t="shared" si="36"/>
        <v>Positive</v>
      </c>
    </row>
    <row r="1218" spans="1:17" x14ac:dyDescent="0.3">
      <c r="A1218" t="s">
        <v>2097</v>
      </c>
      <c r="B1218" t="s">
        <v>27</v>
      </c>
      <c r="C1218" t="s">
        <v>17</v>
      </c>
      <c r="D1218" t="s">
        <v>73</v>
      </c>
      <c r="E1218" t="s">
        <v>41</v>
      </c>
      <c r="F1218" t="s">
        <v>46</v>
      </c>
      <c r="G1218" s="1">
        <v>45498</v>
      </c>
      <c r="H1218" t="s">
        <v>82</v>
      </c>
      <c r="I1218">
        <v>5980944</v>
      </c>
      <c r="J1218">
        <v>249206</v>
      </c>
      <c r="K1218">
        <v>42436</v>
      </c>
      <c r="L1218">
        <v>99246</v>
      </c>
      <c r="M1218">
        <v>6.54E-2</v>
      </c>
      <c r="N1218">
        <v>-0.38400000000000001</v>
      </c>
      <c r="O1218">
        <v>1</v>
      </c>
      <c r="P1218" t="b">
        <f t="shared" si="37"/>
        <v>1</v>
      </c>
      <c r="Q1218" t="str">
        <f t="shared" ref="Q1218:Q1281" si="38">IF(N1218&gt;0,"Positive","Negative")</f>
        <v>Negative</v>
      </c>
    </row>
    <row r="1219" spans="1:17" x14ac:dyDescent="0.3">
      <c r="A1219" t="s">
        <v>2098</v>
      </c>
      <c r="B1219" t="s">
        <v>16</v>
      </c>
      <c r="C1219" t="s">
        <v>28</v>
      </c>
      <c r="D1219" t="s">
        <v>54</v>
      </c>
      <c r="E1219" t="s">
        <v>19</v>
      </c>
      <c r="F1219" t="s">
        <v>24</v>
      </c>
      <c r="G1219" s="1">
        <v>45321</v>
      </c>
      <c r="H1219" t="s">
        <v>2099</v>
      </c>
      <c r="I1219">
        <v>3383387</v>
      </c>
      <c r="J1219">
        <v>483341</v>
      </c>
      <c r="K1219">
        <v>17632</v>
      </c>
      <c r="L1219">
        <v>71233</v>
      </c>
      <c r="M1219">
        <v>0.1691</v>
      </c>
      <c r="N1219">
        <v>0.62</v>
      </c>
      <c r="O1219">
        <v>1</v>
      </c>
      <c r="P1219" t="b">
        <f t="shared" ref="P1219:P1282" si="39">IF(O1219=1,TRUE,FALSE)</f>
        <v>1</v>
      </c>
      <c r="Q1219" t="str">
        <f t="shared" si="38"/>
        <v>Positive</v>
      </c>
    </row>
    <row r="1220" spans="1:17" x14ac:dyDescent="0.3">
      <c r="A1220" t="s">
        <v>2100</v>
      </c>
      <c r="B1220" t="s">
        <v>32</v>
      </c>
      <c r="C1220" t="s">
        <v>28</v>
      </c>
      <c r="D1220" t="s">
        <v>33</v>
      </c>
      <c r="E1220" t="s">
        <v>58</v>
      </c>
      <c r="F1220" t="s">
        <v>24</v>
      </c>
      <c r="G1220" s="1">
        <v>45500</v>
      </c>
      <c r="H1220" t="s">
        <v>2101</v>
      </c>
      <c r="I1220">
        <v>43848</v>
      </c>
      <c r="J1220">
        <v>1566</v>
      </c>
      <c r="K1220">
        <v>30776</v>
      </c>
      <c r="L1220">
        <v>83887</v>
      </c>
      <c r="M1220">
        <v>2.6507000000000001</v>
      </c>
      <c r="N1220">
        <v>-0.85099999999999998</v>
      </c>
      <c r="O1220">
        <v>0</v>
      </c>
      <c r="P1220" t="b">
        <f t="shared" si="39"/>
        <v>0</v>
      </c>
      <c r="Q1220" t="str">
        <f t="shared" si="38"/>
        <v>Negative</v>
      </c>
    </row>
    <row r="1221" spans="1:17" x14ac:dyDescent="0.3">
      <c r="A1221" t="s">
        <v>2102</v>
      </c>
      <c r="B1221" t="s">
        <v>27</v>
      </c>
      <c r="C1221" t="s">
        <v>61</v>
      </c>
      <c r="D1221" t="s">
        <v>37</v>
      </c>
      <c r="E1221" t="s">
        <v>58</v>
      </c>
      <c r="F1221" t="s">
        <v>24</v>
      </c>
      <c r="G1221" s="1">
        <v>45338</v>
      </c>
      <c r="H1221" t="s">
        <v>2103</v>
      </c>
      <c r="I1221">
        <v>2567138</v>
      </c>
      <c r="J1221">
        <v>88522</v>
      </c>
      <c r="K1221">
        <v>44353</v>
      </c>
      <c r="L1221">
        <v>60740</v>
      </c>
      <c r="M1221">
        <v>7.5399999999999995E-2</v>
      </c>
      <c r="N1221">
        <v>0.40100000000000002</v>
      </c>
      <c r="O1221">
        <v>1</v>
      </c>
      <c r="P1221" t="b">
        <f t="shared" si="39"/>
        <v>1</v>
      </c>
      <c r="Q1221" t="str">
        <f t="shared" si="38"/>
        <v>Positive</v>
      </c>
    </row>
    <row r="1222" spans="1:17" x14ac:dyDescent="0.3">
      <c r="A1222" t="s">
        <v>2104</v>
      </c>
      <c r="B1222" t="s">
        <v>16</v>
      </c>
      <c r="C1222" t="s">
        <v>28</v>
      </c>
      <c r="D1222" t="s">
        <v>33</v>
      </c>
      <c r="E1222" t="s">
        <v>38</v>
      </c>
      <c r="F1222" t="s">
        <v>20</v>
      </c>
      <c r="G1222" s="1">
        <v>45578</v>
      </c>
      <c r="H1222" t="s">
        <v>356</v>
      </c>
      <c r="I1222">
        <v>3962055</v>
      </c>
      <c r="J1222">
        <v>264137</v>
      </c>
      <c r="K1222">
        <v>30578</v>
      </c>
      <c r="L1222">
        <v>96908</v>
      </c>
      <c r="M1222">
        <v>9.8799999999999999E-2</v>
      </c>
      <c r="N1222">
        <v>0.88300000000000001</v>
      </c>
      <c r="O1222">
        <v>1</v>
      </c>
      <c r="P1222" t="b">
        <f t="shared" si="39"/>
        <v>1</v>
      </c>
      <c r="Q1222" t="str">
        <f t="shared" si="38"/>
        <v>Positive</v>
      </c>
    </row>
    <row r="1223" spans="1:17" x14ac:dyDescent="0.3">
      <c r="A1223" t="s">
        <v>2105</v>
      </c>
      <c r="B1223" t="s">
        <v>16</v>
      </c>
      <c r="C1223" t="s">
        <v>23</v>
      </c>
      <c r="D1223" t="s">
        <v>18</v>
      </c>
      <c r="E1223" t="s">
        <v>58</v>
      </c>
      <c r="F1223" t="s">
        <v>46</v>
      </c>
      <c r="G1223" s="1">
        <v>45644</v>
      </c>
      <c r="H1223" t="s">
        <v>2106</v>
      </c>
      <c r="I1223">
        <v>6340328</v>
      </c>
      <c r="J1223">
        <v>218632</v>
      </c>
      <c r="K1223">
        <v>33372</v>
      </c>
      <c r="L1223">
        <v>21200</v>
      </c>
      <c r="M1223">
        <v>4.3099999999999999E-2</v>
      </c>
      <c r="N1223">
        <v>0.95</v>
      </c>
      <c r="O1223">
        <v>1</v>
      </c>
      <c r="P1223" t="b">
        <f t="shared" si="39"/>
        <v>1</v>
      </c>
      <c r="Q1223" t="str">
        <f t="shared" si="38"/>
        <v>Positive</v>
      </c>
    </row>
    <row r="1224" spans="1:17" x14ac:dyDescent="0.3">
      <c r="A1224" t="s">
        <v>2107</v>
      </c>
      <c r="B1224" t="s">
        <v>16</v>
      </c>
      <c r="C1224" t="s">
        <v>28</v>
      </c>
      <c r="D1224" t="s">
        <v>29</v>
      </c>
      <c r="E1224" t="s">
        <v>19</v>
      </c>
      <c r="F1224" t="s">
        <v>34</v>
      </c>
      <c r="G1224" s="1">
        <v>45522</v>
      </c>
      <c r="H1224" t="s">
        <v>1933</v>
      </c>
      <c r="I1224">
        <v>9279072</v>
      </c>
      <c r="J1224">
        <v>319968</v>
      </c>
      <c r="K1224">
        <v>20602</v>
      </c>
      <c r="L1224">
        <v>36406</v>
      </c>
      <c r="M1224">
        <v>4.0599999999999997E-2</v>
      </c>
      <c r="N1224">
        <v>0.93300000000000005</v>
      </c>
      <c r="O1224">
        <v>1</v>
      </c>
      <c r="P1224" t="b">
        <f t="shared" si="39"/>
        <v>1</v>
      </c>
      <c r="Q1224" t="str">
        <f t="shared" si="38"/>
        <v>Positive</v>
      </c>
    </row>
    <row r="1225" spans="1:17" x14ac:dyDescent="0.3">
      <c r="A1225" t="s">
        <v>2108</v>
      </c>
      <c r="B1225" t="s">
        <v>66</v>
      </c>
      <c r="C1225" t="s">
        <v>17</v>
      </c>
      <c r="D1225" t="s">
        <v>73</v>
      </c>
      <c r="E1225" t="s">
        <v>19</v>
      </c>
      <c r="F1225" t="s">
        <v>34</v>
      </c>
      <c r="G1225" s="1">
        <v>45560</v>
      </c>
      <c r="H1225" t="s">
        <v>2109</v>
      </c>
      <c r="I1225">
        <v>6114675</v>
      </c>
      <c r="J1225">
        <v>291175</v>
      </c>
      <c r="K1225">
        <v>9295</v>
      </c>
      <c r="L1225">
        <v>38368</v>
      </c>
      <c r="M1225">
        <v>5.5399999999999998E-2</v>
      </c>
      <c r="N1225">
        <v>0.35199999999999998</v>
      </c>
      <c r="O1225">
        <v>1</v>
      </c>
      <c r="P1225" t="b">
        <f t="shared" si="39"/>
        <v>1</v>
      </c>
      <c r="Q1225" t="str">
        <f t="shared" si="38"/>
        <v>Positive</v>
      </c>
    </row>
    <row r="1226" spans="1:17" x14ac:dyDescent="0.3">
      <c r="A1226" t="s">
        <v>2110</v>
      </c>
      <c r="B1226" t="s">
        <v>16</v>
      </c>
      <c r="C1226" t="s">
        <v>23</v>
      </c>
      <c r="D1226" t="s">
        <v>37</v>
      </c>
      <c r="E1226" t="s">
        <v>19</v>
      </c>
      <c r="F1226" t="s">
        <v>34</v>
      </c>
      <c r="G1226" s="1">
        <v>45457</v>
      </c>
      <c r="H1226" t="s">
        <v>1869</v>
      </c>
      <c r="I1226">
        <v>6146361</v>
      </c>
      <c r="J1226">
        <v>472797</v>
      </c>
      <c r="K1226">
        <v>10767</v>
      </c>
      <c r="L1226">
        <v>30134</v>
      </c>
      <c r="M1226">
        <v>8.3599999999999994E-2</v>
      </c>
      <c r="N1226">
        <v>-0.498</v>
      </c>
      <c r="O1226">
        <v>1</v>
      </c>
      <c r="P1226" t="b">
        <f t="shared" si="39"/>
        <v>1</v>
      </c>
      <c r="Q1226" t="str">
        <f t="shared" si="38"/>
        <v>Negative</v>
      </c>
    </row>
    <row r="1227" spans="1:17" x14ac:dyDescent="0.3">
      <c r="A1227" t="s">
        <v>2111</v>
      </c>
      <c r="B1227" t="s">
        <v>16</v>
      </c>
      <c r="C1227" t="s">
        <v>61</v>
      </c>
      <c r="D1227" t="s">
        <v>54</v>
      </c>
      <c r="E1227" t="s">
        <v>38</v>
      </c>
      <c r="F1227" t="s">
        <v>20</v>
      </c>
      <c r="G1227" s="1">
        <v>45531</v>
      </c>
      <c r="H1227" t="s">
        <v>2112</v>
      </c>
      <c r="I1227">
        <v>5542950</v>
      </c>
      <c r="J1227">
        <v>369530</v>
      </c>
      <c r="K1227">
        <v>19958</v>
      </c>
      <c r="L1227">
        <v>40476</v>
      </c>
      <c r="M1227">
        <v>7.7600000000000002E-2</v>
      </c>
      <c r="N1227">
        <v>0.93899999999999995</v>
      </c>
      <c r="O1227">
        <v>1</v>
      </c>
      <c r="P1227" t="b">
        <f t="shared" si="39"/>
        <v>1</v>
      </c>
      <c r="Q1227" t="str">
        <f t="shared" si="38"/>
        <v>Positive</v>
      </c>
    </row>
    <row r="1228" spans="1:17" x14ac:dyDescent="0.3">
      <c r="A1228" t="s">
        <v>2113</v>
      </c>
      <c r="B1228" t="s">
        <v>32</v>
      </c>
      <c r="C1228" t="s">
        <v>28</v>
      </c>
      <c r="D1228" t="s">
        <v>37</v>
      </c>
      <c r="E1228" t="s">
        <v>51</v>
      </c>
      <c r="F1228" t="s">
        <v>24</v>
      </c>
      <c r="G1228" s="1">
        <v>45559</v>
      </c>
      <c r="H1228" t="s">
        <v>2114</v>
      </c>
      <c r="I1228">
        <v>3123515</v>
      </c>
      <c r="J1228">
        <v>135805</v>
      </c>
      <c r="K1228">
        <v>17309</v>
      </c>
      <c r="L1228">
        <v>97821</v>
      </c>
      <c r="M1228">
        <v>8.0299999999999996E-2</v>
      </c>
      <c r="N1228">
        <v>-0.84699999999999998</v>
      </c>
      <c r="O1228">
        <v>1</v>
      </c>
      <c r="P1228" t="b">
        <f t="shared" si="39"/>
        <v>1</v>
      </c>
      <c r="Q1228" t="str">
        <f t="shared" si="38"/>
        <v>Negative</v>
      </c>
    </row>
    <row r="1229" spans="1:17" x14ac:dyDescent="0.3">
      <c r="A1229" t="s">
        <v>2115</v>
      </c>
      <c r="B1229" t="s">
        <v>27</v>
      </c>
      <c r="C1229" t="s">
        <v>28</v>
      </c>
      <c r="D1229" t="s">
        <v>33</v>
      </c>
      <c r="E1229" t="s">
        <v>58</v>
      </c>
      <c r="F1229" t="s">
        <v>34</v>
      </c>
      <c r="G1229" s="1">
        <v>45643</v>
      </c>
      <c r="H1229" t="s">
        <v>2116</v>
      </c>
      <c r="I1229">
        <v>3330117</v>
      </c>
      <c r="J1229">
        <v>158577</v>
      </c>
      <c r="K1229">
        <v>36391</v>
      </c>
      <c r="L1229">
        <v>90910</v>
      </c>
      <c r="M1229">
        <v>8.5800000000000001E-2</v>
      </c>
      <c r="N1229">
        <v>-0.78700000000000003</v>
      </c>
      <c r="O1229">
        <v>1</v>
      </c>
      <c r="P1229" t="b">
        <f t="shared" si="39"/>
        <v>1</v>
      </c>
      <c r="Q1229" t="str">
        <f t="shared" si="38"/>
        <v>Negative</v>
      </c>
    </row>
    <row r="1230" spans="1:17" x14ac:dyDescent="0.3">
      <c r="A1230" t="s">
        <v>2117</v>
      </c>
      <c r="B1230" t="s">
        <v>66</v>
      </c>
      <c r="C1230" t="s">
        <v>61</v>
      </c>
      <c r="D1230" t="s">
        <v>18</v>
      </c>
      <c r="E1230" t="s">
        <v>19</v>
      </c>
      <c r="F1230" t="s">
        <v>55</v>
      </c>
      <c r="G1230" s="1">
        <v>45627</v>
      </c>
      <c r="H1230" t="s">
        <v>2118</v>
      </c>
      <c r="I1230">
        <v>310369</v>
      </c>
      <c r="J1230">
        <v>18257</v>
      </c>
      <c r="K1230">
        <v>32162</v>
      </c>
      <c r="L1230">
        <v>35316</v>
      </c>
      <c r="M1230">
        <v>0.2762</v>
      </c>
      <c r="N1230">
        <v>-0.77</v>
      </c>
      <c r="O1230">
        <v>0</v>
      </c>
      <c r="P1230" t="b">
        <f t="shared" si="39"/>
        <v>0</v>
      </c>
      <c r="Q1230" t="str">
        <f t="shared" si="38"/>
        <v>Negative</v>
      </c>
    </row>
    <row r="1231" spans="1:17" x14ac:dyDescent="0.3">
      <c r="A1231" t="s">
        <v>2119</v>
      </c>
      <c r="B1231" t="s">
        <v>32</v>
      </c>
      <c r="C1231" t="s">
        <v>17</v>
      </c>
      <c r="D1231" t="s">
        <v>73</v>
      </c>
      <c r="E1231" t="s">
        <v>38</v>
      </c>
      <c r="F1231" t="s">
        <v>46</v>
      </c>
      <c r="G1231" s="1">
        <v>45626</v>
      </c>
      <c r="H1231" t="s">
        <v>2120</v>
      </c>
      <c r="I1231">
        <v>4076430</v>
      </c>
      <c r="J1231">
        <v>407643</v>
      </c>
      <c r="K1231">
        <v>48349</v>
      </c>
      <c r="L1231">
        <v>947</v>
      </c>
      <c r="M1231">
        <v>0.11210000000000001</v>
      </c>
      <c r="N1231">
        <v>-0.22500000000000001</v>
      </c>
      <c r="O1231">
        <v>1</v>
      </c>
      <c r="P1231" t="b">
        <f t="shared" si="39"/>
        <v>1</v>
      </c>
      <c r="Q1231" t="str">
        <f t="shared" si="38"/>
        <v>Negative</v>
      </c>
    </row>
    <row r="1232" spans="1:17" x14ac:dyDescent="0.3">
      <c r="A1232" t="s">
        <v>2121</v>
      </c>
      <c r="B1232" t="s">
        <v>66</v>
      </c>
      <c r="C1232" t="s">
        <v>28</v>
      </c>
      <c r="D1232" t="s">
        <v>18</v>
      </c>
      <c r="E1232" t="s">
        <v>41</v>
      </c>
      <c r="F1232" t="s">
        <v>55</v>
      </c>
      <c r="G1232" s="1">
        <v>45642</v>
      </c>
      <c r="H1232" t="s">
        <v>2122</v>
      </c>
      <c r="I1232">
        <v>2493140</v>
      </c>
      <c r="J1232">
        <v>95890</v>
      </c>
      <c r="K1232">
        <v>15545</v>
      </c>
      <c r="L1232">
        <v>72256</v>
      </c>
      <c r="M1232">
        <v>7.3700000000000002E-2</v>
      </c>
      <c r="N1232">
        <v>0.29599999999999999</v>
      </c>
      <c r="O1232">
        <v>1</v>
      </c>
      <c r="P1232" t="b">
        <f t="shared" si="39"/>
        <v>1</v>
      </c>
      <c r="Q1232" t="str">
        <f t="shared" si="38"/>
        <v>Positive</v>
      </c>
    </row>
    <row r="1233" spans="1:17" x14ac:dyDescent="0.3">
      <c r="A1233" t="s">
        <v>2123</v>
      </c>
      <c r="B1233" t="s">
        <v>32</v>
      </c>
      <c r="C1233" t="s">
        <v>17</v>
      </c>
      <c r="D1233" t="s">
        <v>33</v>
      </c>
      <c r="E1233" t="s">
        <v>38</v>
      </c>
      <c r="F1233" t="s">
        <v>34</v>
      </c>
      <c r="G1233" s="1">
        <v>45546</v>
      </c>
      <c r="H1233" t="s">
        <v>669</v>
      </c>
      <c r="I1233">
        <v>2702462</v>
      </c>
      <c r="J1233">
        <v>193033</v>
      </c>
      <c r="K1233">
        <v>11355</v>
      </c>
      <c r="L1233">
        <v>55513</v>
      </c>
      <c r="M1233">
        <v>9.6199999999999994E-2</v>
      </c>
      <c r="N1233">
        <v>0.46100000000000002</v>
      </c>
      <c r="O1233">
        <v>1</v>
      </c>
      <c r="P1233" t="b">
        <f t="shared" si="39"/>
        <v>1</v>
      </c>
      <c r="Q1233" t="str">
        <f t="shared" si="38"/>
        <v>Positive</v>
      </c>
    </row>
    <row r="1234" spans="1:17" x14ac:dyDescent="0.3">
      <c r="A1234" t="s">
        <v>2124</v>
      </c>
      <c r="B1234" t="s">
        <v>32</v>
      </c>
      <c r="C1234" t="s">
        <v>17</v>
      </c>
      <c r="D1234" t="s">
        <v>54</v>
      </c>
      <c r="E1234" t="s">
        <v>41</v>
      </c>
      <c r="F1234" t="s">
        <v>20</v>
      </c>
      <c r="G1234" s="1">
        <v>45584</v>
      </c>
      <c r="H1234" t="s">
        <v>185</v>
      </c>
      <c r="I1234">
        <v>5669924</v>
      </c>
      <c r="J1234">
        <v>436148</v>
      </c>
      <c r="K1234">
        <v>28374</v>
      </c>
      <c r="L1234">
        <v>31729</v>
      </c>
      <c r="M1234">
        <v>8.7499999999999994E-2</v>
      </c>
      <c r="N1234">
        <v>-0.63900000000000001</v>
      </c>
      <c r="O1234">
        <v>1</v>
      </c>
      <c r="P1234" t="b">
        <f t="shared" si="39"/>
        <v>1</v>
      </c>
      <c r="Q1234" t="str">
        <f t="shared" si="38"/>
        <v>Negative</v>
      </c>
    </row>
    <row r="1235" spans="1:17" x14ac:dyDescent="0.3">
      <c r="A1235" t="s">
        <v>2125</v>
      </c>
      <c r="B1235" t="s">
        <v>27</v>
      </c>
      <c r="C1235" t="s">
        <v>61</v>
      </c>
      <c r="D1235" t="s">
        <v>54</v>
      </c>
      <c r="E1235" t="s">
        <v>38</v>
      </c>
      <c r="F1235" t="s">
        <v>55</v>
      </c>
      <c r="G1235" s="1">
        <v>45298</v>
      </c>
      <c r="H1235" t="s">
        <v>1053</v>
      </c>
      <c r="I1235">
        <v>1836648</v>
      </c>
      <c r="J1235">
        <v>83484</v>
      </c>
      <c r="K1235">
        <v>395</v>
      </c>
      <c r="L1235">
        <v>87536</v>
      </c>
      <c r="M1235">
        <v>9.3299999999999994E-2</v>
      </c>
      <c r="N1235">
        <v>-0.19700000000000001</v>
      </c>
      <c r="O1235">
        <v>0</v>
      </c>
      <c r="P1235" t="b">
        <f t="shared" si="39"/>
        <v>0</v>
      </c>
      <c r="Q1235" t="str">
        <f t="shared" si="38"/>
        <v>Negative</v>
      </c>
    </row>
    <row r="1236" spans="1:17" x14ac:dyDescent="0.3">
      <c r="A1236" t="s">
        <v>2126</v>
      </c>
      <c r="B1236" t="s">
        <v>27</v>
      </c>
      <c r="C1236" t="s">
        <v>61</v>
      </c>
      <c r="D1236" t="s">
        <v>54</v>
      </c>
      <c r="E1236" t="s">
        <v>51</v>
      </c>
      <c r="F1236" t="s">
        <v>34</v>
      </c>
      <c r="G1236" s="1">
        <v>45473</v>
      </c>
      <c r="H1236" t="s">
        <v>2127</v>
      </c>
      <c r="I1236">
        <v>7702975</v>
      </c>
      <c r="J1236">
        <v>308119</v>
      </c>
      <c r="K1236">
        <v>35333</v>
      </c>
      <c r="L1236">
        <v>5868</v>
      </c>
      <c r="M1236">
        <v>4.53E-2</v>
      </c>
      <c r="N1236">
        <v>0.35099999999999998</v>
      </c>
      <c r="O1236">
        <v>1</v>
      </c>
      <c r="P1236" t="b">
        <f t="shared" si="39"/>
        <v>1</v>
      </c>
      <c r="Q1236" t="str">
        <f t="shared" si="38"/>
        <v>Positive</v>
      </c>
    </row>
    <row r="1237" spans="1:17" x14ac:dyDescent="0.3">
      <c r="A1237" t="s">
        <v>2128</v>
      </c>
      <c r="B1237" t="s">
        <v>32</v>
      </c>
      <c r="C1237" t="s">
        <v>23</v>
      </c>
      <c r="D1237" t="s">
        <v>73</v>
      </c>
      <c r="E1237" t="s">
        <v>51</v>
      </c>
      <c r="F1237" t="s">
        <v>24</v>
      </c>
      <c r="G1237" s="1">
        <v>45519</v>
      </c>
      <c r="H1237" t="s">
        <v>114</v>
      </c>
      <c r="I1237">
        <v>24585</v>
      </c>
      <c r="J1237">
        <v>1639</v>
      </c>
      <c r="K1237">
        <v>25493</v>
      </c>
      <c r="L1237">
        <v>17028</v>
      </c>
      <c r="M1237">
        <v>1.7962</v>
      </c>
      <c r="N1237">
        <v>0.39600000000000002</v>
      </c>
      <c r="O1237">
        <v>0</v>
      </c>
      <c r="P1237" t="b">
        <f t="shared" si="39"/>
        <v>0</v>
      </c>
      <c r="Q1237" t="str">
        <f t="shared" si="38"/>
        <v>Positive</v>
      </c>
    </row>
    <row r="1238" spans="1:17" x14ac:dyDescent="0.3">
      <c r="A1238" t="s">
        <v>2129</v>
      </c>
      <c r="B1238" t="s">
        <v>16</v>
      </c>
      <c r="C1238" t="s">
        <v>61</v>
      </c>
      <c r="D1238" t="s">
        <v>73</v>
      </c>
      <c r="E1238" t="s">
        <v>41</v>
      </c>
      <c r="F1238" t="s">
        <v>46</v>
      </c>
      <c r="G1238" s="1">
        <v>45445</v>
      </c>
      <c r="H1238" t="s">
        <v>2130</v>
      </c>
      <c r="I1238">
        <v>6878938</v>
      </c>
      <c r="J1238">
        <v>312679</v>
      </c>
      <c r="K1238">
        <v>10315</v>
      </c>
      <c r="L1238">
        <v>63966</v>
      </c>
      <c r="M1238">
        <v>5.6300000000000003E-2</v>
      </c>
      <c r="N1238">
        <v>0.74399999999999999</v>
      </c>
      <c r="O1238">
        <v>1</v>
      </c>
      <c r="P1238" t="b">
        <f t="shared" si="39"/>
        <v>1</v>
      </c>
      <c r="Q1238" t="str">
        <f t="shared" si="38"/>
        <v>Positive</v>
      </c>
    </row>
    <row r="1239" spans="1:17" x14ac:dyDescent="0.3">
      <c r="A1239" t="s">
        <v>2131</v>
      </c>
      <c r="B1239" t="s">
        <v>66</v>
      </c>
      <c r="C1239" t="s">
        <v>23</v>
      </c>
      <c r="D1239" t="s">
        <v>33</v>
      </c>
      <c r="E1239" t="s">
        <v>41</v>
      </c>
      <c r="F1239" t="s">
        <v>24</v>
      </c>
      <c r="G1239" s="1">
        <v>45424</v>
      </c>
      <c r="H1239" t="s">
        <v>2065</v>
      </c>
      <c r="I1239">
        <v>9300648</v>
      </c>
      <c r="J1239">
        <v>332166</v>
      </c>
      <c r="K1239">
        <v>32268</v>
      </c>
      <c r="L1239">
        <v>93949</v>
      </c>
      <c r="M1239">
        <v>4.9299999999999997E-2</v>
      </c>
      <c r="N1239">
        <v>0.60599999999999998</v>
      </c>
      <c r="O1239">
        <v>1</v>
      </c>
      <c r="P1239" t="b">
        <f t="shared" si="39"/>
        <v>1</v>
      </c>
      <c r="Q1239" t="str">
        <f t="shared" si="38"/>
        <v>Positive</v>
      </c>
    </row>
    <row r="1240" spans="1:17" x14ac:dyDescent="0.3">
      <c r="A1240" t="s">
        <v>2132</v>
      </c>
      <c r="B1240" t="s">
        <v>32</v>
      </c>
      <c r="C1240" t="s">
        <v>61</v>
      </c>
      <c r="D1240" t="s">
        <v>37</v>
      </c>
      <c r="E1240" t="s">
        <v>41</v>
      </c>
      <c r="F1240" t="s">
        <v>46</v>
      </c>
      <c r="G1240" s="1">
        <v>45474</v>
      </c>
      <c r="H1240" t="s">
        <v>695</v>
      </c>
      <c r="I1240">
        <v>4881438</v>
      </c>
      <c r="J1240">
        <v>271191</v>
      </c>
      <c r="K1240">
        <v>46719</v>
      </c>
      <c r="L1240">
        <v>71467</v>
      </c>
      <c r="M1240">
        <v>7.9799999999999996E-2</v>
      </c>
      <c r="N1240">
        <v>-0.70299999999999996</v>
      </c>
      <c r="O1240">
        <v>1</v>
      </c>
      <c r="P1240" t="b">
        <f t="shared" si="39"/>
        <v>1</v>
      </c>
      <c r="Q1240" t="str">
        <f t="shared" si="38"/>
        <v>Negative</v>
      </c>
    </row>
    <row r="1241" spans="1:17" x14ac:dyDescent="0.3">
      <c r="A1241" t="s">
        <v>2133</v>
      </c>
      <c r="B1241" t="s">
        <v>27</v>
      </c>
      <c r="C1241" t="s">
        <v>23</v>
      </c>
      <c r="D1241" t="s">
        <v>73</v>
      </c>
      <c r="E1241" t="s">
        <v>19</v>
      </c>
      <c r="F1241" t="s">
        <v>46</v>
      </c>
      <c r="G1241" s="1">
        <v>45366</v>
      </c>
      <c r="H1241" t="s">
        <v>2134</v>
      </c>
      <c r="I1241">
        <v>7644140</v>
      </c>
      <c r="J1241">
        <v>382207</v>
      </c>
      <c r="K1241">
        <v>512</v>
      </c>
      <c r="L1241">
        <v>66973</v>
      </c>
      <c r="M1241">
        <v>5.8799999999999998E-2</v>
      </c>
      <c r="N1241">
        <v>0.11700000000000001</v>
      </c>
      <c r="O1241">
        <v>1</v>
      </c>
      <c r="P1241" t="b">
        <f t="shared" si="39"/>
        <v>1</v>
      </c>
      <c r="Q1241" t="str">
        <f t="shared" si="38"/>
        <v>Positive</v>
      </c>
    </row>
    <row r="1242" spans="1:17" x14ac:dyDescent="0.3">
      <c r="A1242" t="s">
        <v>2135</v>
      </c>
      <c r="B1242" t="s">
        <v>16</v>
      </c>
      <c r="C1242" t="s">
        <v>61</v>
      </c>
      <c r="D1242" t="s">
        <v>37</v>
      </c>
      <c r="E1242" t="s">
        <v>51</v>
      </c>
      <c r="F1242" t="s">
        <v>20</v>
      </c>
      <c r="G1242" s="1">
        <v>45621</v>
      </c>
      <c r="H1242" t="s">
        <v>2136</v>
      </c>
      <c r="I1242">
        <v>2505294</v>
      </c>
      <c r="J1242">
        <v>278366</v>
      </c>
      <c r="K1242">
        <v>7359</v>
      </c>
      <c r="L1242">
        <v>30980</v>
      </c>
      <c r="M1242">
        <v>0.12640000000000001</v>
      </c>
      <c r="N1242">
        <v>-0.83899999999999997</v>
      </c>
      <c r="O1242">
        <v>1</v>
      </c>
      <c r="P1242" t="b">
        <f t="shared" si="39"/>
        <v>1</v>
      </c>
      <c r="Q1242" t="str">
        <f t="shared" si="38"/>
        <v>Negative</v>
      </c>
    </row>
    <row r="1243" spans="1:17" x14ac:dyDescent="0.3">
      <c r="A1243" t="s">
        <v>2137</v>
      </c>
      <c r="B1243" t="s">
        <v>16</v>
      </c>
      <c r="C1243" t="s">
        <v>23</v>
      </c>
      <c r="D1243" t="s">
        <v>73</v>
      </c>
      <c r="E1243" t="s">
        <v>51</v>
      </c>
      <c r="F1243" t="s">
        <v>24</v>
      </c>
      <c r="G1243" s="1">
        <v>45638</v>
      </c>
      <c r="H1243" t="s">
        <v>2138</v>
      </c>
      <c r="I1243">
        <v>9920380</v>
      </c>
      <c r="J1243">
        <v>496019</v>
      </c>
      <c r="K1243">
        <v>5042</v>
      </c>
      <c r="L1243">
        <v>28634</v>
      </c>
      <c r="M1243">
        <v>5.3400000000000003E-2</v>
      </c>
      <c r="N1243">
        <v>0.17299999999999999</v>
      </c>
      <c r="O1243">
        <v>1</v>
      </c>
      <c r="P1243" t="b">
        <f t="shared" si="39"/>
        <v>1</v>
      </c>
      <c r="Q1243" t="str">
        <f t="shared" si="38"/>
        <v>Positive</v>
      </c>
    </row>
    <row r="1244" spans="1:17" x14ac:dyDescent="0.3">
      <c r="A1244" t="s">
        <v>2139</v>
      </c>
      <c r="B1244" t="s">
        <v>32</v>
      </c>
      <c r="C1244" t="s">
        <v>17</v>
      </c>
      <c r="D1244" t="s">
        <v>29</v>
      </c>
      <c r="E1244" t="s">
        <v>41</v>
      </c>
      <c r="F1244" t="s">
        <v>34</v>
      </c>
      <c r="G1244" s="1">
        <v>45441</v>
      </c>
      <c r="H1244" t="s">
        <v>1550</v>
      </c>
      <c r="I1244">
        <v>7766902</v>
      </c>
      <c r="J1244">
        <v>298727</v>
      </c>
      <c r="K1244">
        <v>47650</v>
      </c>
      <c r="L1244">
        <v>73374</v>
      </c>
      <c r="M1244">
        <v>5.3999999999999999E-2</v>
      </c>
      <c r="N1244">
        <v>-4.5999999999999999E-2</v>
      </c>
      <c r="O1244">
        <v>1</v>
      </c>
      <c r="P1244" t="b">
        <f t="shared" si="39"/>
        <v>1</v>
      </c>
      <c r="Q1244" t="str">
        <f t="shared" si="38"/>
        <v>Negative</v>
      </c>
    </row>
    <row r="1245" spans="1:17" x14ac:dyDescent="0.3">
      <c r="A1245" t="s">
        <v>2140</v>
      </c>
      <c r="B1245" t="s">
        <v>16</v>
      </c>
      <c r="C1245" t="s">
        <v>17</v>
      </c>
      <c r="D1245" t="s">
        <v>33</v>
      </c>
      <c r="E1245" t="s">
        <v>19</v>
      </c>
      <c r="F1245" t="s">
        <v>55</v>
      </c>
      <c r="G1245" s="1">
        <v>45311</v>
      </c>
      <c r="H1245" t="s">
        <v>2141</v>
      </c>
      <c r="I1245">
        <v>3032696</v>
      </c>
      <c r="J1245">
        <v>379087</v>
      </c>
      <c r="K1245">
        <v>6416</v>
      </c>
      <c r="L1245">
        <v>39134</v>
      </c>
      <c r="M1245">
        <v>0.14000000000000001</v>
      </c>
      <c r="N1245">
        <v>0.56699999999999995</v>
      </c>
      <c r="O1245">
        <v>1</v>
      </c>
      <c r="P1245" t="b">
        <f t="shared" si="39"/>
        <v>1</v>
      </c>
      <c r="Q1245" t="str">
        <f t="shared" si="38"/>
        <v>Positive</v>
      </c>
    </row>
    <row r="1246" spans="1:17" x14ac:dyDescent="0.3">
      <c r="A1246" t="s">
        <v>2142</v>
      </c>
      <c r="B1246" t="s">
        <v>32</v>
      </c>
      <c r="C1246" t="s">
        <v>17</v>
      </c>
      <c r="D1246" t="s">
        <v>33</v>
      </c>
      <c r="E1246" t="s">
        <v>41</v>
      </c>
      <c r="F1246" t="s">
        <v>20</v>
      </c>
      <c r="G1246" s="1">
        <v>45489</v>
      </c>
      <c r="H1246" t="s">
        <v>2143</v>
      </c>
      <c r="I1246">
        <v>1970040</v>
      </c>
      <c r="J1246">
        <v>394008</v>
      </c>
      <c r="K1246">
        <v>28931</v>
      </c>
      <c r="L1246">
        <v>99783</v>
      </c>
      <c r="M1246">
        <v>0.26529999999999998</v>
      </c>
      <c r="N1246">
        <v>-0.35399999999999998</v>
      </c>
      <c r="O1246">
        <v>0</v>
      </c>
      <c r="P1246" t="b">
        <f t="shared" si="39"/>
        <v>0</v>
      </c>
      <c r="Q1246" t="str">
        <f t="shared" si="38"/>
        <v>Negative</v>
      </c>
    </row>
    <row r="1247" spans="1:17" x14ac:dyDescent="0.3">
      <c r="A1247" t="s">
        <v>2144</v>
      </c>
      <c r="B1247" t="s">
        <v>27</v>
      </c>
      <c r="C1247" t="s">
        <v>23</v>
      </c>
      <c r="D1247" t="s">
        <v>73</v>
      </c>
      <c r="E1247" t="s">
        <v>41</v>
      </c>
      <c r="F1247" t="s">
        <v>20</v>
      </c>
      <c r="G1247" s="1">
        <v>45591</v>
      </c>
      <c r="H1247" t="s">
        <v>2145</v>
      </c>
      <c r="I1247">
        <v>5743501</v>
      </c>
      <c r="J1247">
        <v>337853</v>
      </c>
      <c r="K1247">
        <v>35419</v>
      </c>
      <c r="L1247">
        <v>5210</v>
      </c>
      <c r="M1247">
        <v>6.59E-2</v>
      </c>
      <c r="N1247">
        <v>-0.21199999999999999</v>
      </c>
      <c r="O1247">
        <v>1</v>
      </c>
      <c r="P1247" t="b">
        <f t="shared" si="39"/>
        <v>1</v>
      </c>
      <c r="Q1247" t="str">
        <f t="shared" si="38"/>
        <v>Negative</v>
      </c>
    </row>
    <row r="1248" spans="1:17" x14ac:dyDescent="0.3">
      <c r="A1248" t="s">
        <v>2146</v>
      </c>
      <c r="B1248" t="s">
        <v>16</v>
      </c>
      <c r="C1248" t="s">
        <v>23</v>
      </c>
      <c r="D1248" t="s">
        <v>29</v>
      </c>
      <c r="E1248" t="s">
        <v>58</v>
      </c>
      <c r="F1248" t="s">
        <v>24</v>
      </c>
      <c r="G1248" s="1">
        <v>45508</v>
      </c>
      <c r="H1248" t="s">
        <v>399</v>
      </c>
      <c r="I1248">
        <v>7005830</v>
      </c>
      <c r="J1248">
        <v>269455</v>
      </c>
      <c r="K1248">
        <v>9932</v>
      </c>
      <c r="L1248">
        <v>77464</v>
      </c>
      <c r="M1248">
        <v>5.0900000000000001E-2</v>
      </c>
      <c r="N1248">
        <v>-6.0999999999999999E-2</v>
      </c>
      <c r="O1248">
        <v>1</v>
      </c>
      <c r="P1248" t="b">
        <f t="shared" si="39"/>
        <v>1</v>
      </c>
      <c r="Q1248" t="str">
        <f t="shared" si="38"/>
        <v>Negative</v>
      </c>
    </row>
    <row r="1249" spans="1:17" x14ac:dyDescent="0.3">
      <c r="A1249" t="s">
        <v>2147</v>
      </c>
      <c r="B1249" t="s">
        <v>27</v>
      </c>
      <c r="C1249" t="s">
        <v>23</v>
      </c>
      <c r="D1249" t="s">
        <v>37</v>
      </c>
      <c r="E1249" t="s">
        <v>41</v>
      </c>
      <c r="F1249" t="s">
        <v>46</v>
      </c>
      <c r="G1249" s="1">
        <v>45410</v>
      </c>
      <c r="H1249" t="s">
        <v>2148</v>
      </c>
      <c r="I1249">
        <v>1879965</v>
      </c>
      <c r="J1249">
        <v>208885</v>
      </c>
      <c r="K1249">
        <v>10851</v>
      </c>
      <c r="L1249">
        <v>7934</v>
      </c>
      <c r="M1249">
        <v>0.1211</v>
      </c>
      <c r="N1249">
        <v>-0.97899999999999998</v>
      </c>
      <c r="O1249">
        <v>0</v>
      </c>
      <c r="P1249" t="b">
        <f t="shared" si="39"/>
        <v>0</v>
      </c>
      <c r="Q1249" t="str">
        <f t="shared" si="38"/>
        <v>Negative</v>
      </c>
    </row>
    <row r="1250" spans="1:17" x14ac:dyDescent="0.3">
      <c r="A1250" t="s">
        <v>2149</v>
      </c>
      <c r="B1250" t="s">
        <v>32</v>
      </c>
      <c r="C1250" t="s">
        <v>17</v>
      </c>
      <c r="D1250" t="s">
        <v>54</v>
      </c>
      <c r="E1250" t="s">
        <v>51</v>
      </c>
      <c r="F1250" t="s">
        <v>34</v>
      </c>
      <c r="G1250" s="1">
        <v>45341</v>
      </c>
      <c r="H1250" t="s">
        <v>2150</v>
      </c>
      <c r="I1250">
        <v>1769589</v>
      </c>
      <c r="J1250">
        <v>196621</v>
      </c>
      <c r="K1250">
        <v>2085</v>
      </c>
      <c r="L1250">
        <v>6090</v>
      </c>
      <c r="M1250">
        <v>0.1157</v>
      </c>
      <c r="N1250">
        <v>0.57199999999999995</v>
      </c>
      <c r="O1250">
        <v>0</v>
      </c>
      <c r="P1250" t="b">
        <f t="shared" si="39"/>
        <v>0</v>
      </c>
      <c r="Q1250" t="str">
        <f t="shared" si="38"/>
        <v>Positive</v>
      </c>
    </row>
    <row r="1251" spans="1:17" x14ac:dyDescent="0.3">
      <c r="A1251" t="s">
        <v>2151</v>
      </c>
      <c r="B1251" t="s">
        <v>32</v>
      </c>
      <c r="C1251" t="s">
        <v>23</v>
      </c>
      <c r="D1251" t="s">
        <v>33</v>
      </c>
      <c r="E1251" t="s">
        <v>51</v>
      </c>
      <c r="F1251" t="s">
        <v>24</v>
      </c>
      <c r="G1251" s="1">
        <v>45391</v>
      </c>
      <c r="H1251" t="s">
        <v>2152</v>
      </c>
      <c r="I1251">
        <v>651469</v>
      </c>
      <c r="J1251">
        <v>50113</v>
      </c>
      <c r="K1251">
        <v>8351</v>
      </c>
      <c r="L1251">
        <v>85415</v>
      </c>
      <c r="M1251">
        <v>0.22090000000000001</v>
      </c>
      <c r="N1251">
        <v>0.748</v>
      </c>
      <c r="O1251">
        <v>0</v>
      </c>
      <c r="P1251" t="b">
        <f t="shared" si="39"/>
        <v>0</v>
      </c>
      <c r="Q1251" t="str">
        <f t="shared" si="38"/>
        <v>Positive</v>
      </c>
    </row>
    <row r="1252" spans="1:17" x14ac:dyDescent="0.3">
      <c r="A1252" t="s">
        <v>2153</v>
      </c>
      <c r="B1252" t="s">
        <v>66</v>
      </c>
      <c r="C1252" t="s">
        <v>28</v>
      </c>
      <c r="D1252" t="s">
        <v>33</v>
      </c>
      <c r="E1252" t="s">
        <v>19</v>
      </c>
      <c r="F1252" t="s">
        <v>24</v>
      </c>
      <c r="G1252" s="1">
        <v>45325</v>
      </c>
      <c r="H1252" t="s">
        <v>2154</v>
      </c>
      <c r="I1252">
        <v>1929835</v>
      </c>
      <c r="J1252">
        <v>385967</v>
      </c>
      <c r="K1252">
        <v>42747</v>
      </c>
      <c r="L1252">
        <v>26141</v>
      </c>
      <c r="M1252">
        <v>0.23569999999999999</v>
      </c>
      <c r="N1252">
        <v>0.13400000000000001</v>
      </c>
      <c r="O1252">
        <v>0</v>
      </c>
      <c r="P1252" t="b">
        <f t="shared" si="39"/>
        <v>0</v>
      </c>
      <c r="Q1252" t="str">
        <f t="shared" si="38"/>
        <v>Positive</v>
      </c>
    </row>
    <row r="1253" spans="1:17" x14ac:dyDescent="0.3">
      <c r="A1253" t="s">
        <v>2155</v>
      </c>
      <c r="B1253" t="s">
        <v>66</v>
      </c>
      <c r="C1253" t="s">
        <v>61</v>
      </c>
      <c r="D1253" t="s">
        <v>29</v>
      </c>
      <c r="E1253" t="s">
        <v>41</v>
      </c>
      <c r="F1253" t="s">
        <v>55</v>
      </c>
      <c r="G1253" s="1">
        <v>45404</v>
      </c>
      <c r="H1253" t="s">
        <v>2156</v>
      </c>
      <c r="I1253">
        <v>4812104</v>
      </c>
      <c r="J1253">
        <v>437464</v>
      </c>
      <c r="K1253">
        <v>24851</v>
      </c>
      <c r="L1253">
        <v>22196</v>
      </c>
      <c r="M1253">
        <v>0.1007</v>
      </c>
      <c r="N1253">
        <v>-0.23799999999999999</v>
      </c>
      <c r="O1253">
        <v>1</v>
      </c>
      <c r="P1253" t="b">
        <f t="shared" si="39"/>
        <v>1</v>
      </c>
      <c r="Q1253" t="str">
        <f t="shared" si="38"/>
        <v>Negative</v>
      </c>
    </row>
    <row r="1254" spans="1:17" x14ac:dyDescent="0.3">
      <c r="A1254" t="s">
        <v>2157</v>
      </c>
      <c r="B1254" t="s">
        <v>27</v>
      </c>
      <c r="C1254" t="s">
        <v>61</v>
      </c>
      <c r="D1254" t="s">
        <v>18</v>
      </c>
      <c r="E1254" t="s">
        <v>58</v>
      </c>
      <c r="F1254" t="s">
        <v>34</v>
      </c>
      <c r="G1254" s="1">
        <v>45332</v>
      </c>
      <c r="H1254" t="s">
        <v>822</v>
      </c>
      <c r="I1254">
        <v>1357275</v>
      </c>
      <c r="J1254">
        <v>90485</v>
      </c>
      <c r="K1254">
        <v>18695</v>
      </c>
      <c r="L1254">
        <v>58503</v>
      </c>
      <c r="M1254">
        <v>0.1235</v>
      </c>
      <c r="N1254">
        <v>-8.1000000000000003E-2</v>
      </c>
      <c r="O1254">
        <v>0</v>
      </c>
      <c r="P1254" t="b">
        <f t="shared" si="39"/>
        <v>0</v>
      </c>
      <c r="Q1254" t="str">
        <f t="shared" si="38"/>
        <v>Negative</v>
      </c>
    </row>
    <row r="1255" spans="1:17" x14ac:dyDescent="0.3">
      <c r="A1255" t="s">
        <v>2158</v>
      </c>
      <c r="B1255" t="s">
        <v>32</v>
      </c>
      <c r="C1255" t="s">
        <v>61</v>
      </c>
      <c r="D1255" t="s">
        <v>54</v>
      </c>
      <c r="E1255" t="s">
        <v>19</v>
      </c>
      <c r="F1255" t="s">
        <v>46</v>
      </c>
      <c r="G1255" s="1">
        <v>45514</v>
      </c>
      <c r="H1255" t="s">
        <v>319</v>
      </c>
      <c r="I1255">
        <v>1149485</v>
      </c>
      <c r="J1255">
        <v>229897</v>
      </c>
      <c r="K1255">
        <v>38313</v>
      </c>
      <c r="L1255">
        <v>91322</v>
      </c>
      <c r="M1255">
        <v>0.31280000000000002</v>
      </c>
      <c r="N1255">
        <v>0.67100000000000004</v>
      </c>
      <c r="O1255">
        <v>0</v>
      </c>
      <c r="P1255" t="b">
        <f t="shared" si="39"/>
        <v>0</v>
      </c>
      <c r="Q1255" t="str">
        <f t="shared" si="38"/>
        <v>Positive</v>
      </c>
    </row>
    <row r="1256" spans="1:17" x14ac:dyDescent="0.3">
      <c r="A1256" t="s">
        <v>2159</v>
      </c>
      <c r="B1256" t="s">
        <v>32</v>
      </c>
      <c r="C1256" t="s">
        <v>23</v>
      </c>
      <c r="D1256" t="s">
        <v>18</v>
      </c>
      <c r="E1256" t="s">
        <v>19</v>
      </c>
      <c r="F1256" t="s">
        <v>24</v>
      </c>
      <c r="G1256" s="1">
        <v>45364</v>
      </c>
      <c r="H1256" t="s">
        <v>447</v>
      </c>
      <c r="I1256">
        <v>3798544</v>
      </c>
      <c r="J1256">
        <v>474818</v>
      </c>
      <c r="K1256">
        <v>31102</v>
      </c>
      <c r="L1256">
        <v>81419</v>
      </c>
      <c r="M1256">
        <v>0.15459999999999999</v>
      </c>
      <c r="N1256">
        <v>-0.60099999999999998</v>
      </c>
      <c r="O1256">
        <v>1</v>
      </c>
      <c r="P1256" t="b">
        <f t="shared" si="39"/>
        <v>1</v>
      </c>
      <c r="Q1256" t="str">
        <f t="shared" si="38"/>
        <v>Negative</v>
      </c>
    </row>
    <row r="1257" spans="1:17" x14ac:dyDescent="0.3">
      <c r="A1257" t="s">
        <v>2160</v>
      </c>
      <c r="B1257" t="s">
        <v>16</v>
      </c>
      <c r="C1257" t="s">
        <v>23</v>
      </c>
      <c r="D1257" t="s">
        <v>33</v>
      </c>
      <c r="E1257" t="s">
        <v>58</v>
      </c>
      <c r="F1257" t="s">
        <v>20</v>
      </c>
      <c r="G1257" s="1">
        <v>45362</v>
      </c>
      <c r="H1257" t="s">
        <v>669</v>
      </c>
      <c r="I1257">
        <v>8122436</v>
      </c>
      <c r="J1257">
        <v>290087</v>
      </c>
      <c r="K1257">
        <v>29798</v>
      </c>
      <c r="L1257">
        <v>39517</v>
      </c>
      <c r="M1257">
        <v>4.4200000000000003E-2</v>
      </c>
      <c r="N1257">
        <v>0.109</v>
      </c>
      <c r="O1257">
        <v>1</v>
      </c>
      <c r="P1257" t="b">
        <f t="shared" si="39"/>
        <v>1</v>
      </c>
      <c r="Q1257" t="str">
        <f t="shared" si="38"/>
        <v>Positive</v>
      </c>
    </row>
    <row r="1258" spans="1:17" x14ac:dyDescent="0.3">
      <c r="A1258" t="s">
        <v>2161</v>
      </c>
      <c r="B1258" t="s">
        <v>66</v>
      </c>
      <c r="C1258" t="s">
        <v>28</v>
      </c>
      <c r="D1258" t="s">
        <v>18</v>
      </c>
      <c r="E1258" t="s">
        <v>41</v>
      </c>
      <c r="F1258" t="s">
        <v>34</v>
      </c>
      <c r="G1258" s="1">
        <v>45371</v>
      </c>
      <c r="H1258" t="s">
        <v>319</v>
      </c>
      <c r="I1258">
        <v>572083</v>
      </c>
      <c r="J1258">
        <v>19727</v>
      </c>
      <c r="K1258">
        <v>18570</v>
      </c>
      <c r="L1258">
        <v>91562</v>
      </c>
      <c r="M1258">
        <v>0.22700000000000001</v>
      </c>
      <c r="N1258">
        <v>-0.109</v>
      </c>
      <c r="O1258">
        <v>0</v>
      </c>
      <c r="P1258" t="b">
        <f t="shared" si="39"/>
        <v>0</v>
      </c>
      <c r="Q1258" t="str">
        <f t="shared" si="38"/>
        <v>Negative</v>
      </c>
    </row>
    <row r="1259" spans="1:17" x14ac:dyDescent="0.3">
      <c r="A1259" t="s">
        <v>2162</v>
      </c>
      <c r="B1259" t="s">
        <v>27</v>
      </c>
      <c r="C1259" t="s">
        <v>28</v>
      </c>
      <c r="D1259" t="s">
        <v>73</v>
      </c>
      <c r="E1259" t="s">
        <v>38</v>
      </c>
      <c r="F1259" t="s">
        <v>20</v>
      </c>
      <c r="G1259" s="1">
        <v>45619</v>
      </c>
      <c r="H1259" t="s">
        <v>1147</v>
      </c>
      <c r="I1259">
        <v>3155184</v>
      </c>
      <c r="J1259">
        <v>175288</v>
      </c>
      <c r="K1259">
        <v>9787</v>
      </c>
      <c r="L1259">
        <v>87903</v>
      </c>
      <c r="M1259">
        <v>8.6499999999999994E-2</v>
      </c>
      <c r="N1259">
        <v>-0.67100000000000004</v>
      </c>
      <c r="O1259">
        <v>1</v>
      </c>
      <c r="P1259" t="b">
        <f t="shared" si="39"/>
        <v>1</v>
      </c>
      <c r="Q1259" t="str">
        <f t="shared" si="38"/>
        <v>Negative</v>
      </c>
    </row>
    <row r="1260" spans="1:17" x14ac:dyDescent="0.3">
      <c r="A1260" t="s">
        <v>2163</v>
      </c>
      <c r="B1260" t="s">
        <v>27</v>
      </c>
      <c r="C1260" t="s">
        <v>23</v>
      </c>
      <c r="D1260" t="s">
        <v>29</v>
      </c>
      <c r="E1260" t="s">
        <v>41</v>
      </c>
      <c r="F1260" t="s">
        <v>20</v>
      </c>
      <c r="G1260" s="1">
        <v>45372</v>
      </c>
      <c r="H1260" t="s">
        <v>692</v>
      </c>
      <c r="I1260">
        <v>7748223</v>
      </c>
      <c r="J1260">
        <v>368963</v>
      </c>
      <c r="K1260">
        <v>12471</v>
      </c>
      <c r="L1260">
        <v>42615</v>
      </c>
      <c r="M1260">
        <v>5.4699999999999999E-2</v>
      </c>
      <c r="N1260">
        <v>0.14299999999999999</v>
      </c>
      <c r="O1260">
        <v>1</v>
      </c>
      <c r="P1260" t="b">
        <f t="shared" si="39"/>
        <v>1</v>
      </c>
      <c r="Q1260" t="str">
        <f t="shared" si="38"/>
        <v>Positive</v>
      </c>
    </row>
    <row r="1261" spans="1:17" x14ac:dyDescent="0.3">
      <c r="A1261" t="s">
        <v>2164</v>
      </c>
      <c r="B1261" t="s">
        <v>16</v>
      </c>
      <c r="C1261" t="s">
        <v>17</v>
      </c>
      <c r="D1261" t="s">
        <v>37</v>
      </c>
      <c r="E1261" t="s">
        <v>58</v>
      </c>
      <c r="F1261" t="s">
        <v>24</v>
      </c>
      <c r="G1261" s="1">
        <v>45562</v>
      </c>
      <c r="H1261" t="s">
        <v>2165</v>
      </c>
      <c r="I1261">
        <v>926352</v>
      </c>
      <c r="J1261">
        <v>102928</v>
      </c>
      <c r="K1261">
        <v>6564</v>
      </c>
      <c r="L1261">
        <v>84695</v>
      </c>
      <c r="M1261">
        <v>0.20960000000000001</v>
      </c>
      <c r="N1261">
        <v>0.52700000000000002</v>
      </c>
      <c r="O1261">
        <v>0</v>
      </c>
      <c r="P1261" t="b">
        <f t="shared" si="39"/>
        <v>0</v>
      </c>
      <c r="Q1261" t="str">
        <f t="shared" si="38"/>
        <v>Positive</v>
      </c>
    </row>
    <row r="1262" spans="1:17" x14ac:dyDescent="0.3">
      <c r="A1262" t="s">
        <v>2166</v>
      </c>
      <c r="B1262" t="s">
        <v>32</v>
      </c>
      <c r="C1262" t="s">
        <v>17</v>
      </c>
      <c r="D1262" t="s">
        <v>18</v>
      </c>
      <c r="E1262" t="s">
        <v>19</v>
      </c>
      <c r="F1262" t="s">
        <v>24</v>
      </c>
      <c r="G1262" s="1">
        <v>45338</v>
      </c>
      <c r="H1262" t="s">
        <v>567</v>
      </c>
      <c r="I1262">
        <v>7015161</v>
      </c>
      <c r="J1262">
        <v>369219</v>
      </c>
      <c r="K1262">
        <v>11711</v>
      </c>
      <c r="L1262">
        <v>77607</v>
      </c>
      <c r="M1262">
        <v>6.54E-2</v>
      </c>
      <c r="N1262">
        <v>0.251</v>
      </c>
      <c r="O1262">
        <v>1</v>
      </c>
      <c r="P1262" t="b">
        <f t="shared" si="39"/>
        <v>1</v>
      </c>
      <c r="Q1262" t="str">
        <f t="shared" si="38"/>
        <v>Positive</v>
      </c>
    </row>
    <row r="1263" spans="1:17" x14ac:dyDescent="0.3">
      <c r="A1263" t="s">
        <v>2167</v>
      </c>
      <c r="B1263" t="s">
        <v>27</v>
      </c>
      <c r="C1263" t="s">
        <v>28</v>
      </c>
      <c r="D1263" t="s">
        <v>33</v>
      </c>
      <c r="E1263" t="s">
        <v>51</v>
      </c>
      <c r="F1263" t="s">
        <v>24</v>
      </c>
      <c r="G1263" s="1">
        <v>45485</v>
      </c>
      <c r="H1263" t="s">
        <v>2168</v>
      </c>
      <c r="I1263">
        <v>1182706</v>
      </c>
      <c r="J1263">
        <v>51422</v>
      </c>
      <c r="K1263">
        <v>26483</v>
      </c>
      <c r="L1263">
        <v>71043</v>
      </c>
      <c r="M1263">
        <v>0.12590000000000001</v>
      </c>
      <c r="N1263">
        <v>0.48499999999999999</v>
      </c>
      <c r="O1263">
        <v>0</v>
      </c>
      <c r="P1263" t="b">
        <f t="shared" si="39"/>
        <v>0</v>
      </c>
      <c r="Q1263" t="str">
        <f t="shared" si="38"/>
        <v>Positive</v>
      </c>
    </row>
    <row r="1264" spans="1:17" x14ac:dyDescent="0.3">
      <c r="A1264" t="s">
        <v>2169</v>
      </c>
      <c r="B1264" t="s">
        <v>32</v>
      </c>
      <c r="C1264" t="s">
        <v>28</v>
      </c>
      <c r="D1264" t="s">
        <v>33</v>
      </c>
      <c r="E1264" t="s">
        <v>38</v>
      </c>
      <c r="F1264" t="s">
        <v>20</v>
      </c>
      <c r="G1264" s="1">
        <v>45394</v>
      </c>
      <c r="H1264" t="s">
        <v>201</v>
      </c>
      <c r="I1264">
        <v>902400</v>
      </c>
      <c r="J1264">
        <v>90240</v>
      </c>
      <c r="K1264">
        <v>15315</v>
      </c>
      <c r="L1264">
        <v>73763</v>
      </c>
      <c r="M1264">
        <v>0.19869999999999999</v>
      </c>
      <c r="N1264">
        <v>-0.23</v>
      </c>
      <c r="O1264">
        <v>0</v>
      </c>
      <c r="P1264" t="b">
        <f t="shared" si="39"/>
        <v>0</v>
      </c>
      <c r="Q1264" t="str">
        <f t="shared" si="38"/>
        <v>Negative</v>
      </c>
    </row>
    <row r="1265" spans="1:17" x14ac:dyDescent="0.3">
      <c r="A1265" t="s">
        <v>2170</v>
      </c>
      <c r="B1265" t="s">
        <v>66</v>
      </c>
      <c r="C1265" t="s">
        <v>61</v>
      </c>
      <c r="D1265" t="s">
        <v>37</v>
      </c>
      <c r="E1265" t="s">
        <v>51</v>
      </c>
      <c r="F1265" t="s">
        <v>20</v>
      </c>
      <c r="G1265" s="1">
        <v>45583</v>
      </c>
      <c r="H1265" t="s">
        <v>2171</v>
      </c>
      <c r="I1265">
        <v>6862671</v>
      </c>
      <c r="J1265">
        <v>298377</v>
      </c>
      <c r="K1265">
        <v>16977</v>
      </c>
      <c r="L1265">
        <v>97629</v>
      </c>
      <c r="M1265">
        <v>6.0199999999999997E-2</v>
      </c>
      <c r="N1265">
        <v>0.76700000000000002</v>
      </c>
      <c r="O1265">
        <v>1</v>
      </c>
      <c r="P1265" t="b">
        <f t="shared" si="39"/>
        <v>1</v>
      </c>
      <c r="Q1265" t="str">
        <f t="shared" si="38"/>
        <v>Positive</v>
      </c>
    </row>
    <row r="1266" spans="1:17" x14ac:dyDescent="0.3">
      <c r="A1266" t="s">
        <v>2172</v>
      </c>
      <c r="B1266" t="s">
        <v>32</v>
      </c>
      <c r="C1266" t="s">
        <v>28</v>
      </c>
      <c r="D1266" t="s">
        <v>37</v>
      </c>
      <c r="E1266" t="s">
        <v>38</v>
      </c>
      <c r="F1266" t="s">
        <v>46</v>
      </c>
      <c r="G1266" s="1">
        <v>45510</v>
      </c>
      <c r="H1266" t="s">
        <v>2173</v>
      </c>
      <c r="I1266">
        <v>11565576</v>
      </c>
      <c r="J1266">
        <v>481899</v>
      </c>
      <c r="K1266">
        <v>20475</v>
      </c>
      <c r="L1266">
        <v>43130</v>
      </c>
      <c r="M1266">
        <v>4.7199999999999999E-2</v>
      </c>
      <c r="N1266">
        <v>-5.0999999999999997E-2</v>
      </c>
      <c r="O1266">
        <v>1</v>
      </c>
      <c r="P1266" t="b">
        <f t="shared" si="39"/>
        <v>1</v>
      </c>
      <c r="Q1266" t="str">
        <f t="shared" si="38"/>
        <v>Negative</v>
      </c>
    </row>
    <row r="1267" spans="1:17" x14ac:dyDescent="0.3">
      <c r="A1267" t="s">
        <v>2174</v>
      </c>
      <c r="B1267" t="s">
        <v>66</v>
      </c>
      <c r="C1267" t="s">
        <v>61</v>
      </c>
      <c r="D1267" t="s">
        <v>73</v>
      </c>
      <c r="E1267" t="s">
        <v>51</v>
      </c>
      <c r="F1267" t="s">
        <v>46</v>
      </c>
      <c r="G1267" s="1">
        <v>45606</v>
      </c>
      <c r="H1267" t="s">
        <v>607</v>
      </c>
      <c r="I1267">
        <v>513288</v>
      </c>
      <c r="J1267">
        <v>42774</v>
      </c>
      <c r="K1267">
        <v>29127</v>
      </c>
      <c r="L1267">
        <v>82477</v>
      </c>
      <c r="M1267">
        <v>0.30080000000000001</v>
      </c>
      <c r="N1267">
        <v>0.14799999999999999</v>
      </c>
      <c r="O1267">
        <v>0</v>
      </c>
      <c r="P1267" t="b">
        <f t="shared" si="39"/>
        <v>0</v>
      </c>
      <c r="Q1267" t="str">
        <f t="shared" si="38"/>
        <v>Positive</v>
      </c>
    </row>
    <row r="1268" spans="1:17" x14ac:dyDescent="0.3">
      <c r="A1268" t="s">
        <v>2175</v>
      </c>
      <c r="B1268" t="s">
        <v>32</v>
      </c>
      <c r="C1268" t="s">
        <v>23</v>
      </c>
      <c r="D1268" t="s">
        <v>18</v>
      </c>
      <c r="E1268" t="s">
        <v>19</v>
      </c>
      <c r="F1268" t="s">
        <v>55</v>
      </c>
      <c r="G1268" s="1">
        <v>45295</v>
      </c>
      <c r="H1268" t="s">
        <v>1416</v>
      </c>
      <c r="I1268">
        <v>10788400</v>
      </c>
      <c r="J1268">
        <v>431536</v>
      </c>
      <c r="K1268">
        <v>6482</v>
      </c>
      <c r="L1268">
        <v>56653</v>
      </c>
      <c r="M1268">
        <v>4.5900000000000003E-2</v>
      </c>
      <c r="N1268">
        <v>-0.90300000000000002</v>
      </c>
      <c r="O1268">
        <v>1</v>
      </c>
      <c r="P1268" t="b">
        <f t="shared" si="39"/>
        <v>1</v>
      </c>
      <c r="Q1268" t="str">
        <f t="shared" si="38"/>
        <v>Negative</v>
      </c>
    </row>
    <row r="1269" spans="1:17" x14ac:dyDescent="0.3">
      <c r="A1269" t="s">
        <v>2176</v>
      </c>
      <c r="B1269" t="s">
        <v>27</v>
      </c>
      <c r="C1269" t="s">
        <v>17</v>
      </c>
      <c r="D1269" t="s">
        <v>18</v>
      </c>
      <c r="E1269" t="s">
        <v>41</v>
      </c>
      <c r="F1269" t="s">
        <v>34</v>
      </c>
      <c r="G1269" s="1">
        <v>45538</v>
      </c>
      <c r="H1269" t="s">
        <v>2177</v>
      </c>
      <c r="I1269">
        <v>5991882</v>
      </c>
      <c r="J1269">
        <v>460914</v>
      </c>
      <c r="K1269">
        <v>41803</v>
      </c>
      <c r="L1269">
        <v>53474</v>
      </c>
      <c r="M1269">
        <v>9.2799999999999994E-2</v>
      </c>
      <c r="N1269">
        <v>0.80600000000000005</v>
      </c>
      <c r="O1269">
        <v>1</v>
      </c>
      <c r="P1269" t="b">
        <f t="shared" si="39"/>
        <v>1</v>
      </c>
      <c r="Q1269" t="str">
        <f t="shared" si="38"/>
        <v>Positive</v>
      </c>
    </row>
    <row r="1270" spans="1:17" x14ac:dyDescent="0.3">
      <c r="A1270" t="s">
        <v>2178</v>
      </c>
      <c r="B1270" t="s">
        <v>27</v>
      </c>
      <c r="C1270" t="s">
        <v>61</v>
      </c>
      <c r="D1270" t="s">
        <v>37</v>
      </c>
      <c r="E1270" t="s">
        <v>51</v>
      </c>
      <c r="F1270" t="s">
        <v>46</v>
      </c>
      <c r="G1270" s="1">
        <v>45452</v>
      </c>
      <c r="H1270" t="s">
        <v>2179</v>
      </c>
      <c r="I1270">
        <v>3871728</v>
      </c>
      <c r="J1270">
        <v>276552</v>
      </c>
      <c r="K1270">
        <v>26032</v>
      </c>
      <c r="L1270">
        <v>96257</v>
      </c>
      <c r="M1270">
        <v>0.10299999999999999</v>
      </c>
      <c r="N1270">
        <v>0.89200000000000002</v>
      </c>
      <c r="O1270">
        <v>1</v>
      </c>
      <c r="P1270" t="b">
        <f t="shared" si="39"/>
        <v>1</v>
      </c>
      <c r="Q1270" t="str">
        <f t="shared" si="38"/>
        <v>Positive</v>
      </c>
    </row>
    <row r="1271" spans="1:17" x14ac:dyDescent="0.3">
      <c r="A1271" t="s">
        <v>2180</v>
      </c>
      <c r="B1271" t="s">
        <v>32</v>
      </c>
      <c r="C1271" t="s">
        <v>17</v>
      </c>
      <c r="D1271" t="s">
        <v>37</v>
      </c>
      <c r="E1271" t="s">
        <v>19</v>
      </c>
      <c r="F1271" t="s">
        <v>46</v>
      </c>
      <c r="G1271" s="1">
        <v>45596</v>
      </c>
      <c r="H1271" t="s">
        <v>2181</v>
      </c>
      <c r="I1271">
        <v>208677</v>
      </c>
      <c r="J1271">
        <v>9937</v>
      </c>
      <c r="K1271">
        <v>38604</v>
      </c>
      <c r="L1271">
        <v>52152</v>
      </c>
      <c r="M1271">
        <v>0.48249999999999998</v>
      </c>
      <c r="N1271">
        <v>-0.84599999999999997</v>
      </c>
      <c r="O1271">
        <v>0</v>
      </c>
      <c r="P1271" t="b">
        <f t="shared" si="39"/>
        <v>0</v>
      </c>
      <c r="Q1271" t="str">
        <f t="shared" si="38"/>
        <v>Negative</v>
      </c>
    </row>
    <row r="1272" spans="1:17" x14ac:dyDescent="0.3">
      <c r="A1272" t="s">
        <v>2182</v>
      </c>
      <c r="B1272" t="s">
        <v>16</v>
      </c>
      <c r="C1272" t="s">
        <v>17</v>
      </c>
      <c r="D1272" t="s">
        <v>33</v>
      </c>
      <c r="E1272" t="s">
        <v>38</v>
      </c>
      <c r="F1272" t="s">
        <v>46</v>
      </c>
      <c r="G1272" s="1">
        <v>45292</v>
      </c>
      <c r="H1272" t="s">
        <v>2183</v>
      </c>
      <c r="I1272">
        <v>6748110</v>
      </c>
      <c r="J1272">
        <v>374895</v>
      </c>
      <c r="K1272">
        <v>32093</v>
      </c>
      <c r="L1272">
        <v>93649</v>
      </c>
      <c r="M1272">
        <v>7.4200000000000002E-2</v>
      </c>
      <c r="N1272">
        <v>3.6999999999999998E-2</v>
      </c>
      <c r="O1272">
        <v>1</v>
      </c>
      <c r="P1272" t="b">
        <f t="shared" si="39"/>
        <v>1</v>
      </c>
      <c r="Q1272" t="str">
        <f t="shared" si="38"/>
        <v>Positive</v>
      </c>
    </row>
    <row r="1273" spans="1:17" x14ac:dyDescent="0.3">
      <c r="A1273" t="s">
        <v>2184</v>
      </c>
      <c r="B1273" t="s">
        <v>66</v>
      </c>
      <c r="C1273" t="s">
        <v>17</v>
      </c>
      <c r="D1273" t="s">
        <v>29</v>
      </c>
      <c r="E1273" t="s">
        <v>41</v>
      </c>
      <c r="F1273" t="s">
        <v>46</v>
      </c>
      <c r="G1273" s="1">
        <v>45561</v>
      </c>
      <c r="H1273" t="s">
        <v>2185</v>
      </c>
      <c r="I1273">
        <v>2544710</v>
      </c>
      <c r="J1273">
        <v>254471</v>
      </c>
      <c r="K1273">
        <v>2941</v>
      </c>
      <c r="L1273">
        <v>14507</v>
      </c>
      <c r="M1273">
        <v>0.1069</v>
      </c>
      <c r="N1273">
        <v>0.36899999999999999</v>
      </c>
      <c r="O1273">
        <v>1</v>
      </c>
      <c r="P1273" t="b">
        <f t="shared" si="39"/>
        <v>1</v>
      </c>
      <c r="Q1273" t="str">
        <f t="shared" si="38"/>
        <v>Positive</v>
      </c>
    </row>
    <row r="1274" spans="1:17" x14ac:dyDescent="0.3">
      <c r="A1274" t="s">
        <v>2186</v>
      </c>
      <c r="B1274" t="s">
        <v>16</v>
      </c>
      <c r="C1274" t="s">
        <v>17</v>
      </c>
      <c r="D1274" t="s">
        <v>73</v>
      </c>
      <c r="E1274" t="s">
        <v>58</v>
      </c>
      <c r="F1274" t="s">
        <v>46</v>
      </c>
      <c r="G1274" s="1">
        <v>45343</v>
      </c>
      <c r="H1274" t="s">
        <v>2187</v>
      </c>
      <c r="I1274">
        <v>444142</v>
      </c>
      <c r="J1274">
        <v>26126</v>
      </c>
      <c r="K1274">
        <v>27677</v>
      </c>
      <c r="L1274">
        <v>38418</v>
      </c>
      <c r="M1274">
        <v>0.20760000000000001</v>
      </c>
      <c r="N1274">
        <v>-0.81799999999999995</v>
      </c>
      <c r="O1274">
        <v>0</v>
      </c>
      <c r="P1274" t="b">
        <f t="shared" si="39"/>
        <v>0</v>
      </c>
      <c r="Q1274" t="str">
        <f t="shared" si="38"/>
        <v>Negative</v>
      </c>
    </row>
    <row r="1275" spans="1:17" x14ac:dyDescent="0.3">
      <c r="A1275" t="s">
        <v>2188</v>
      </c>
      <c r="B1275" t="s">
        <v>32</v>
      </c>
      <c r="C1275" t="s">
        <v>17</v>
      </c>
      <c r="D1275" t="s">
        <v>73</v>
      </c>
      <c r="E1275" t="s">
        <v>51</v>
      </c>
      <c r="F1275" t="s">
        <v>20</v>
      </c>
      <c r="G1275" s="1">
        <v>45336</v>
      </c>
      <c r="H1275" t="s">
        <v>438</v>
      </c>
      <c r="I1275">
        <v>1481059</v>
      </c>
      <c r="J1275">
        <v>51071</v>
      </c>
      <c r="K1275">
        <v>27286</v>
      </c>
      <c r="L1275">
        <v>28092</v>
      </c>
      <c r="M1275">
        <v>7.1900000000000006E-2</v>
      </c>
      <c r="N1275">
        <v>-0.88900000000000001</v>
      </c>
      <c r="O1275">
        <v>0</v>
      </c>
      <c r="P1275" t="b">
        <f t="shared" si="39"/>
        <v>0</v>
      </c>
      <c r="Q1275" t="str">
        <f t="shared" si="38"/>
        <v>Negative</v>
      </c>
    </row>
    <row r="1276" spans="1:17" x14ac:dyDescent="0.3">
      <c r="A1276" t="s">
        <v>2189</v>
      </c>
      <c r="B1276" t="s">
        <v>16</v>
      </c>
      <c r="C1276" t="s">
        <v>61</v>
      </c>
      <c r="D1276" t="s">
        <v>18</v>
      </c>
      <c r="E1276" t="s">
        <v>38</v>
      </c>
      <c r="F1276" t="s">
        <v>55</v>
      </c>
      <c r="G1276" s="1">
        <v>45618</v>
      </c>
      <c r="H1276" t="s">
        <v>2190</v>
      </c>
      <c r="I1276">
        <v>7493505</v>
      </c>
      <c r="J1276">
        <v>394395</v>
      </c>
      <c r="K1276">
        <v>29855</v>
      </c>
      <c r="L1276">
        <v>46752</v>
      </c>
      <c r="M1276">
        <v>6.2899999999999998E-2</v>
      </c>
      <c r="N1276">
        <v>-0.17299999999999999</v>
      </c>
      <c r="O1276">
        <v>1</v>
      </c>
      <c r="P1276" t="b">
        <f t="shared" si="39"/>
        <v>1</v>
      </c>
      <c r="Q1276" t="str">
        <f t="shared" si="38"/>
        <v>Negative</v>
      </c>
    </row>
    <row r="1277" spans="1:17" x14ac:dyDescent="0.3">
      <c r="A1277" t="s">
        <v>2191</v>
      </c>
      <c r="B1277" t="s">
        <v>16</v>
      </c>
      <c r="C1277" t="s">
        <v>28</v>
      </c>
      <c r="D1277" t="s">
        <v>37</v>
      </c>
      <c r="E1277" t="s">
        <v>41</v>
      </c>
      <c r="F1277" t="s">
        <v>24</v>
      </c>
      <c r="G1277" s="1">
        <v>45487</v>
      </c>
      <c r="H1277" t="s">
        <v>80</v>
      </c>
      <c r="I1277">
        <v>647704</v>
      </c>
      <c r="J1277">
        <v>80963</v>
      </c>
      <c r="K1277">
        <v>12760</v>
      </c>
      <c r="L1277">
        <v>59873</v>
      </c>
      <c r="M1277">
        <v>0.23710000000000001</v>
      </c>
      <c r="N1277">
        <v>-0.64600000000000002</v>
      </c>
      <c r="O1277">
        <v>0</v>
      </c>
      <c r="P1277" t="b">
        <f t="shared" si="39"/>
        <v>0</v>
      </c>
      <c r="Q1277" t="str">
        <f t="shared" si="38"/>
        <v>Negative</v>
      </c>
    </row>
    <row r="1278" spans="1:17" x14ac:dyDescent="0.3">
      <c r="A1278" t="s">
        <v>2192</v>
      </c>
      <c r="B1278" t="s">
        <v>32</v>
      </c>
      <c r="C1278" t="s">
        <v>28</v>
      </c>
      <c r="D1278" t="s">
        <v>29</v>
      </c>
      <c r="E1278" t="s">
        <v>41</v>
      </c>
      <c r="F1278" t="s">
        <v>46</v>
      </c>
      <c r="G1278" s="1">
        <v>45294</v>
      </c>
      <c r="H1278" t="s">
        <v>2193</v>
      </c>
      <c r="I1278">
        <v>4274060</v>
      </c>
      <c r="J1278">
        <v>152645</v>
      </c>
      <c r="K1278">
        <v>2036</v>
      </c>
      <c r="L1278">
        <v>79824</v>
      </c>
      <c r="M1278">
        <v>5.4899999999999997E-2</v>
      </c>
      <c r="N1278">
        <v>-0.36899999999999999</v>
      </c>
      <c r="O1278">
        <v>1</v>
      </c>
      <c r="P1278" t="b">
        <f t="shared" si="39"/>
        <v>1</v>
      </c>
      <c r="Q1278" t="str">
        <f t="shared" si="38"/>
        <v>Negative</v>
      </c>
    </row>
    <row r="1279" spans="1:17" x14ac:dyDescent="0.3">
      <c r="A1279" t="s">
        <v>2194</v>
      </c>
      <c r="B1279" t="s">
        <v>66</v>
      </c>
      <c r="C1279" t="s">
        <v>28</v>
      </c>
      <c r="D1279" t="s">
        <v>54</v>
      </c>
      <c r="E1279" t="s">
        <v>19</v>
      </c>
      <c r="F1279" t="s">
        <v>46</v>
      </c>
      <c r="G1279" s="1">
        <v>45409</v>
      </c>
      <c r="H1279" t="s">
        <v>2195</v>
      </c>
      <c r="I1279">
        <v>3121353</v>
      </c>
      <c r="J1279">
        <v>346817</v>
      </c>
      <c r="K1279">
        <v>27057</v>
      </c>
      <c r="L1279">
        <v>68877</v>
      </c>
      <c r="M1279">
        <v>0.14180000000000001</v>
      </c>
      <c r="N1279">
        <v>-0.80600000000000005</v>
      </c>
      <c r="O1279">
        <v>1</v>
      </c>
      <c r="P1279" t="b">
        <f t="shared" si="39"/>
        <v>1</v>
      </c>
      <c r="Q1279" t="str">
        <f t="shared" si="38"/>
        <v>Negative</v>
      </c>
    </row>
    <row r="1280" spans="1:17" x14ac:dyDescent="0.3">
      <c r="A1280" t="s">
        <v>2196</v>
      </c>
      <c r="B1280" t="s">
        <v>27</v>
      </c>
      <c r="C1280" t="s">
        <v>17</v>
      </c>
      <c r="D1280" t="s">
        <v>18</v>
      </c>
      <c r="E1280" t="s">
        <v>38</v>
      </c>
      <c r="F1280" t="s">
        <v>24</v>
      </c>
      <c r="G1280" s="1">
        <v>45602</v>
      </c>
      <c r="H1280" t="s">
        <v>104</v>
      </c>
      <c r="I1280">
        <v>1973526</v>
      </c>
      <c r="J1280">
        <v>328921</v>
      </c>
      <c r="K1280">
        <v>25430</v>
      </c>
      <c r="L1280">
        <v>84818</v>
      </c>
      <c r="M1280">
        <v>0.2225</v>
      </c>
      <c r="N1280">
        <v>0.17499999999999999</v>
      </c>
      <c r="O1280">
        <v>0</v>
      </c>
      <c r="P1280" t="b">
        <f t="shared" si="39"/>
        <v>0</v>
      </c>
      <c r="Q1280" t="str">
        <f t="shared" si="38"/>
        <v>Positive</v>
      </c>
    </row>
    <row r="1281" spans="1:17" x14ac:dyDescent="0.3">
      <c r="A1281" t="s">
        <v>2197</v>
      </c>
      <c r="B1281" t="s">
        <v>16</v>
      </c>
      <c r="C1281" t="s">
        <v>17</v>
      </c>
      <c r="D1281" t="s">
        <v>54</v>
      </c>
      <c r="E1281" t="s">
        <v>19</v>
      </c>
      <c r="F1281" t="s">
        <v>55</v>
      </c>
      <c r="G1281" s="1">
        <v>45425</v>
      </c>
      <c r="H1281" t="s">
        <v>2198</v>
      </c>
      <c r="I1281">
        <v>4110592</v>
      </c>
      <c r="J1281">
        <v>256912</v>
      </c>
      <c r="K1281">
        <v>32118</v>
      </c>
      <c r="L1281">
        <v>69807</v>
      </c>
      <c r="M1281">
        <v>8.7300000000000003E-2</v>
      </c>
      <c r="N1281">
        <v>-0.85499999999999998</v>
      </c>
      <c r="O1281">
        <v>1</v>
      </c>
      <c r="P1281" t="b">
        <f t="shared" si="39"/>
        <v>1</v>
      </c>
      <c r="Q1281" t="str">
        <f t="shared" si="38"/>
        <v>Negative</v>
      </c>
    </row>
    <row r="1282" spans="1:17" x14ac:dyDescent="0.3">
      <c r="A1282" t="s">
        <v>2199</v>
      </c>
      <c r="B1282" t="s">
        <v>32</v>
      </c>
      <c r="C1282" t="s">
        <v>28</v>
      </c>
      <c r="D1282" t="s">
        <v>73</v>
      </c>
      <c r="E1282" t="s">
        <v>41</v>
      </c>
      <c r="F1282" t="s">
        <v>55</v>
      </c>
      <c r="G1282" s="1">
        <v>45626</v>
      </c>
      <c r="H1282" t="s">
        <v>112</v>
      </c>
      <c r="I1282">
        <v>8224547</v>
      </c>
      <c r="J1282">
        <v>357589</v>
      </c>
      <c r="K1282">
        <v>34557</v>
      </c>
      <c r="L1282">
        <v>69323</v>
      </c>
      <c r="M1282">
        <v>5.6099999999999997E-2</v>
      </c>
      <c r="N1282">
        <v>0.98499999999999999</v>
      </c>
      <c r="O1282">
        <v>1</v>
      </c>
      <c r="P1282" t="b">
        <f t="shared" si="39"/>
        <v>1</v>
      </c>
      <c r="Q1282" t="str">
        <f t="shared" ref="Q1282:Q1345" si="40">IF(N1282&gt;0,"Positive","Negative")</f>
        <v>Positive</v>
      </c>
    </row>
    <row r="1283" spans="1:17" x14ac:dyDescent="0.3">
      <c r="A1283" t="s">
        <v>2200</v>
      </c>
      <c r="B1283" t="s">
        <v>16</v>
      </c>
      <c r="C1283" t="s">
        <v>23</v>
      </c>
      <c r="D1283" t="s">
        <v>73</v>
      </c>
      <c r="E1283" t="s">
        <v>51</v>
      </c>
      <c r="F1283" t="s">
        <v>46</v>
      </c>
      <c r="G1283" s="1">
        <v>45380</v>
      </c>
      <c r="H1283" t="s">
        <v>2201</v>
      </c>
      <c r="I1283">
        <v>5407920</v>
      </c>
      <c r="J1283">
        <v>300440</v>
      </c>
      <c r="K1283">
        <v>39454</v>
      </c>
      <c r="L1283">
        <v>39662</v>
      </c>
      <c r="M1283">
        <v>7.0199999999999999E-2</v>
      </c>
      <c r="N1283">
        <v>0.66100000000000003</v>
      </c>
      <c r="O1283">
        <v>1</v>
      </c>
      <c r="P1283" t="b">
        <f t="shared" ref="P1283:P1346" si="41">IF(O1283=1,TRUE,FALSE)</f>
        <v>1</v>
      </c>
      <c r="Q1283" t="str">
        <f t="shared" si="40"/>
        <v>Positive</v>
      </c>
    </row>
    <row r="1284" spans="1:17" x14ac:dyDescent="0.3">
      <c r="A1284" t="s">
        <v>2202</v>
      </c>
      <c r="B1284" t="s">
        <v>16</v>
      </c>
      <c r="C1284" t="s">
        <v>61</v>
      </c>
      <c r="D1284" t="s">
        <v>54</v>
      </c>
      <c r="E1284" t="s">
        <v>38</v>
      </c>
      <c r="F1284" t="s">
        <v>46</v>
      </c>
      <c r="G1284" s="1">
        <v>45576</v>
      </c>
      <c r="H1284" t="s">
        <v>607</v>
      </c>
      <c r="I1284">
        <v>1031755</v>
      </c>
      <c r="J1284">
        <v>206351</v>
      </c>
      <c r="K1284">
        <v>9948</v>
      </c>
      <c r="L1284">
        <v>43241</v>
      </c>
      <c r="M1284">
        <v>0.25159999999999999</v>
      </c>
      <c r="N1284">
        <v>-0.18099999999999999</v>
      </c>
      <c r="O1284">
        <v>0</v>
      </c>
      <c r="P1284" t="b">
        <f t="shared" si="41"/>
        <v>0</v>
      </c>
      <c r="Q1284" t="str">
        <f t="shared" si="40"/>
        <v>Negative</v>
      </c>
    </row>
    <row r="1285" spans="1:17" x14ac:dyDescent="0.3">
      <c r="A1285" t="s">
        <v>2203</v>
      </c>
      <c r="B1285" t="s">
        <v>66</v>
      </c>
      <c r="C1285" t="s">
        <v>61</v>
      </c>
      <c r="D1285" t="s">
        <v>29</v>
      </c>
      <c r="E1285" t="s">
        <v>19</v>
      </c>
      <c r="F1285" t="s">
        <v>46</v>
      </c>
      <c r="G1285" s="1">
        <v>45424</v>
      </c>
      <c r="H1285" t="s">
        <v>2204</v>
      </c>
      <c r="I1285">
        <v>8571864</v>
      </c>
      <c r="J1285">
        <v>306138</v>
      </c>
      <c r="K1285">
        <v>6874</v>
      </c>
      <c r="L1285">
        <v>61079</v>
      </c>
      <c r="M1285">
        <v>4.36E-2</v>
      </c>
      <c r="N1285">
        <v>0.59799999999999998</v>
      </c>
      <c r="O1285">
        <v>1</v>
      </c>
      <c r="P1285" t="b">
        <f t="shared" si="41"/>
        <v>1</v>
      </c>
      <c r="Q1285" t="str">
        <f t="shared" si="40"/>
        <v>Positive</v>
      </c>
    </row>
    <row r="1286" spans="1:17" x14ac:dyDescent="0.3">
      <c r="A1286" t="s">
        <v>2205</v>
      </c>
      <c r="B1286" t="s">
        <v>27</v>
      </c>
      <c r="C1286" t="s">
        <v>28</v>
      </c>
      <c r="D1286" t="s">
        <v>37</v>
      </c>
      <c r="E1286" t="s">
        <v>51</v>
      </c>
      <c r="F1286" t="s">
        <v>24</v>
      </c>
      <c r="G1286" s="1">
        <v>45478</v>
      </c>
      <c r="H1286" t="s">
        <v>2206</v>
      </c>
      <c r="I1286">
        <v>1853065</v>
      </c>
      <c r="J1286">
        <v>370613</v>
      </c>
      <c r="K1286">
        <v>20923</v>
      </c>
      <c r="L1286">
        <v>28380</v>
      </c>
      <c r="M1286">
        <v>0.2266</v>
      </c>
      <c r="N1286">
        <v>0.66500000000000004</v>
      </c>
      <c r="O1286">
        <v>0</v>
      </c>
      <c r="P1286" t="b">
        <f t="shared" si="41"/>
        <v>0</v>
      </c>
      <c r="Q1286" t="str">
        <f t="shared" si="40"/>
        <v>Positive</v>
      </c>
    </row>
    <row r="1287" spans="1:17" x14ac:dyDescent="0.3">
      <c r="A1287" t="s">
        <v>2207</v>
      </c>
      <c r="B1287" t="s">
        <v>16</v>
      </c>
      <c r="C1287" t="s">
        <v>17</v>
      </c>
      <c r="D1287" t="s">
        <v>37</v>
      </c>
      <c r="E1287" t="s">
        <v>58</v>
      </c>
      <c r="F1287" t="s">
        <v>46</v>
      </c>
      <c r="G1287" s="1">
        <v>45308</v>
      </c>
      <c r="H1287" t="s">
        <v>2208</v>
      </c>
      <c r="I1287">
        <v>7977270</v>
      </c>
      <c r="J1287">
        <v>379870</v>
      </c>
      <c r="K1287">
        <v>45752</v>
      </c>
      <c r="L1287">
        <v>52350</v>
      </c>
      <c r="M1287">
        <v>5.9900000000000002E-2</v>
      </c>
      <c r="N1287">
        <v>0.91400000000000003</v>
      </c>
      <c r="O1287">
        <v>1</v>
      </c>
      <c r="P1287" t="b">
        <f t="shared" si="41"/>
        <v>1</v>
      </c>
      <c r="Q1287" t="str">
        <f t="shared" si="40"/>
        <v>Positive</v>
      </c>
    </row>
    <row r="1288" spans="1:17" x14ac:dyDescent="0.3">
      <c r="A1288" t="s">
        <v>2209</v>
      </c>
      <c r="B1288" t="s">
        <v>66</v>
      </c>
      <c r="C1288" t="s">
        <v>28</v>
      </c>
      <c r="D1288" t="s">
        <v>33</v>
      </c>
      <c r="E1288" t="s">
        <v>51</v>
      </c>
      <c r="F1288" t="s">
        <v>20</v>
      </c>
      <c r="G1288" s="1">
        <v>45601</v>
      </c>
      <c r="H1288" t="s">
        <v>334</v>
      </c>
      <c r="I1288">
        <v>40810</v>
      </c>
      <c r="J1288">
        <v>5830</v>
      </c>
      <c r="K1288">
        <v>13926</v>
      </c>
      <c r="L1288">
        <v>98431</v>
      </c>
      <c r="M1288">
        <v>2.8959999999999999</v>
      </c>
      <c r="N1288">
        <v>-8.1000000000000003E-2</v>
      </c>
      <c r="O1288">
        <v>0</v>
      </c>
      <c r="P1288" t="b">
        <f t="shared" si="41"/>
        <v>0</v>
      </c>
      <c r="Q1288" t="str">
        <f t="shared" si="40"/>
        <v>Negative</v>
      </c>
    </row>
    <row r="1289" spans="1:17" x14ac:dyDescent="0.3">
      <c r="A1289" t="s">
        <v>2210</v>
      </c>
      <c r="B1289" t="s">
        <v>66</v>
      </c>
      <c r="C1289" t="s">
        <v>17</v>
      </c>
      <c r="D1289" t="s">
        <v>54</v>
      </c>
      <c r="E1289" t="s">
        <v>51</v>
      </c>
      <c r="F1289" t="s">
        <v>20</v>
      </c>
      <c r="G1289" s="1">
        <v>45590</v>
      </c>
      <c r="H1289" t="s">
        <v>240</v>
      </c>
      <c r="I1289">
        <v>11405290</v>
      </c>
      <c r="J1289">
        <v>438665</v>
      </c>
      <c r="K1289">
        <v>16002</v>
      </c>
      <c r="L1289">
        <v>83287</v>
      </c>
      <c r="M1289">
        <v>4.7199999999999999E-2</v>
      </c>
      <c r="N1289">
        <v>-0.88200000000000001</v>
      </c>
      <c r="O1289">
        <v>1</v>
      </c>
      <c r="P1289" t="b">
        <f t="shared" si="41"/>
        <v>1</v>
      </c>
      <c r="Q1289" t="str">
        <f t="shared" si="40"/>
        <v>Negative</v>
      </c>
    </row>
    <row r="1290" spans="1:17" x14ac:dyDescent="0.3">
      <c r="A1290" t="s">
        <v>2211</v>
      </c>
      <c r="B1290" t="s">
        <v>66</v>
      </c>
      <c r="C1290" t="s">
        <v>17</v>
      </c>
      <c r="D1290" t="s">
        <v>29</v>
      </c>
      <c r="E1290" t="s">
        <v>41</v>
      </c>
      <c r="F1290" t="s">
        <v>24</v>
      </c>
      <c r="G1290" s="1">
        <v>45375</v>
      </c>
      <c r="H1290" t="s">
        <v>2212</v>
      </c>
      <c r="I1290">
        <v>8192623</v>
      </c>
      <c r="J1290">
        <v>481919</v>
      </c>
      <c r="K1290">
        <v>45044</v>
      </c>
      <c r="L1290">
        <v>20924</v>
      </c>
      <c r="M1290">
        <v>6.6900000000000001E-2</v>
      </c>
      <c r="N1290">
        <v>-0.73399999999999999</v>
      </c>
      <c r="O1290">
        <v>1</v>
      </c>
      <c r="P1290" t="b">
        <f t="shared" si="41"/>
        <v>1</v>
      </c>
      <c r="Q1290" t="str">
        <f t="shared" si="40"/>
        <v>Negative</v>
      </c>
    </row>
    <row r="1291" spans="1:17" x14ac:dyDescent="0.3">
      <c r="A1291" t="s">
        <v>2213</v>
      </c>
      <c r="B1291" t="s">
        <v>32</v>
      </c>
      <c r="C1291" t="s">
        <v>28</v>
      </c>
      <c r="D1291" t="s">
        <v>33</v>
      </c>
      <c r="E1291" t="s">
        <v>58</v>
      </c>
      <c r="F1291" t="s">
        <v>46</v>
      </c>
      <c r="G1291" s="1">
        <v>45406</v>
      </c>
      <c r="H1291" t="s">
        <v>2214</v>
      </c>
      <c r="I1291">
        <v>4872375</v>
      </c>
      <c r="J1291">
        <v>194895</v>
      </c>
      <c r="K1291">
        <v>42427</v>
      </c>
      <c r="L1291">
        <v>51414</v>
      </c>
      <c r="M1291">
        <v>5.9299999999999999E-2</v>
      </c>
      <c r="N1291">
        <v>-0.13200000000000001</v>
      </c>
      <c r="O1291">
        <v>1</v>
      </c>
      <c r="P1291" t="b">
        <f t="shared" si="41"/>
        <v>1</v>
      </c>
      <c r="Q1291" t="str">
        <f t="shared" si="40"/>
        <v>Negative</v>
      </c>
    </row>
    <row r="1292" spans="1:17" x14ac:dyDescent="0.3">
      <c r="A1292" t="s">
        <v>2215</v>
      </c>
      <c r="B1292" t="s">
        <v>32</v>
      </c>
      <c r="C1292" t="s">
        <v>28</v>
      </c>
      <c r="D1292" t="s">
        <v>18</v>
      </c>
      <c r="E1292" t="s">
        <v>41</v>
      </c>
      <c r="F1292" t="s">
        <v>24</v>
      </c>
      <c r="G1292" s="1">
        <v>45640</v>
      </c>
      <c r="H1292" t="s">
        <v>2216</v>
      </c>
      <c r="I1292">
        <v>288560</v>
      </c>
      <c r="J1292">
        <v>28856</v>
      </c>
      <c r="K1292">
        <v>6045</v>
      </c>
      <c r="L1292">
        <v>10305</v>
      </c>
      <c r="M1292">
        <v>0.15670000000000001</v>
      </c>
      <c r="N1292">
        <v>-0.28899999999999998</v>
      </c>
      <c r="O1292">
        <v>0</v>
      </c>
      <c r="P1292" t="b">
        <f t="shared" si="41"/>
        <v>0</v>
      </c>
      <c r="Q1292" t="str">
        <f t="shared" si="40"/>
        <v>Negative</v>
      </c>
    </row>
    <row r="1293" spans="1:17" x14ac:dyDescent="0.3">
      <c r="A1293" t="s">
        <v>2217</v>
      </c>
      <c r="B1293" t="s">
        <v>16</v>
      </c>
      <c r="C1293" t="s">
        <v>23</v>
      </c>
      <c r="D1293" t="s">
        <v>29</v>
      </c>
      <c r="E1293" t="s">
        <v>58</v>
      </c>
      <c r="F1293" t="s">
        <v>20</v>
      </c>
      <c r="G1293" s="1">
        <v>45401</v>
      </c>
      <c r="H1293" t="s">
        <v>319</v>
      </c>
      <c r="I1293">
        <v>3432753</v>
      </c>
      <c r="J1293">
        <v>127139</v>
      </c>
      <c r="K1293">
        <v>31663</v>
      </c>
      <c r="L1293">
        <v>49003</v>
      </c>
      <c r="M1293">
        <v>6.0499999999999998E-2</v>
      </c>
      <c r="N1293">
        <v>0.17799999999999999</v>
      </c>
      <c r="O1293">
        <v>1</v>
      </c>
      <c r="P1293" t="b">
        <f t="shared" si="41"/>
        <v>1</v>
      </c>
      <c r="Q1293" t="str">
        <f t="shared" si="40"/>
        <v>Positive</v>
      </c>
    </row>
    <row r="1294" spans="1:17" x14ac:dyDescent="0.3">
      <c r="A1294" t="s">
        <v>2218</v>
      </c>
      <c r="B1294" t="s">
        <v>27</v>
      </c>
      <c r="C1294" t="s">
        <v>17</v>
      </c>
      <c r="D1294" t="s">
        <v>18</v>
      </c>
      <c r="E1294" t="s">
        <v>58</v>
      </c>
      <c r="F1294" t="s">
        <v>55</v>
      </c>
      <c r="G1294" s="1">
        <v>45367</v>
      </c>
      <c r="H1294" t="s">
        <v>2219</v>
      </c>
      <c r="I1294">
        <v>7677072</v>
      </c>
      <c r="J1294">
        <v>284336</v>
      </c>
      <c r="K1294">
        <v>495</v>
      </c>
      <c r="L1294">
        <v>3730</v>
      </c>
      <c r="M1294">
        <v>3.7600000000000001E-2</v>
      </c>
      <c r="N1294">
        <v>-0.51200000000000001</v>
      </c>
      <c r="O1294">
        <v>1</v>
      </c>
      <c r="P1294" t="b">
        <f t="shared" si="41"/>
        <v>1</v>
      </c>
      <c r="Q1294" t="str">
        <f t="shared" si="40"/>
        <v>Negative</v>
      </c>
    </row>
    <row r="1295" spans="1:17" x14ac:dyDescent="0.3">
      <c r="A1295" t="s">
        <v>2220</v>
      </c>
      <c r="B1295" t="s">
        <v>66</v>
      </c>
      <c r="C1295" t="s">
        <v>17</v>
      </c>
      <c r="D1295" t="s">
        <v>29</v>
      </c>
      <c r="E1295" t="s">
        <v>19</v>
      </c>
      <c r="F1295" t="s">
        <v>55</v>
      </c>
      <c r="G1295" s="1">
        <v>45418</v>
      </c>
      <c r="H1295" t="s">
        <v>171</v>
      </c>
      <c r="I1295">
        <v>1427320</v>
      </c>
      <c r="J1295">
        <v>83960</v>
      </c>
      <c r="K1295">
        <v>31339</v>
      </c>
      <c r="L1295">
        <v>21399</v>
      </c>
      <c r="M1295">
        <v>9.5799999999999996E-2</v>
      </c>
      <c r="N1295">
        <v>-0.55100000000000005</v>
      </c>
      <c r="O1295">
        <v>0</v>
      </c>
      <c r="P1295" t="b">
        <f t="shared" si="41"/>
        <v>0</v>
      </c>
      <c r="Q1295" t="str">
        <f t="shared" si="40"/>
        <v>Negative</v>
      </c>
    </row>
    <row r="1296" spans="1:17" x14ac:dyDescent="0.3">
      <c r="A1296" t="s">
        <v>2221</v>
      </c>
      <c r="B1296" t="s">
        <v>27</v>
      </c>
      <c r="C1296" t="s">
        <v>61</v>
      </c>
      <c r="D1296" t="s">
        <v>37</v>
      </c>
      <c r="E1296" t="s">
        <v>19</v>
      </c>
      <c r="F1296" t="s">
        <v>55</v>
      </c>
      <c r="G1296" s="1">
        <v>45368</v>
      </c>
      <c r="H1296" t="s">
        <v>2212</v>
      </c>
      <c r="I1296">
        <v>3184836</v>
      </c>
      <c r="J1296">
        <v>265403</v>
      </c>
      <c r="K1296">
        <v>32631</v>
      </c>
      <c r="L1296">
        <v>62767</v>
      </c>
      <c r="M1296">
        <v>0.1133</v>
      </c>
      <c r="N1296">
        <v>-0.49099999999999999</v>
      </c>
      <c r="O1296">
        <v>1</v>
      </c>
      <c r="P1296" t="b">
        <f t="shared" si="41"/>
        <v>1</v>
      </c>
      <c r="Q1296" t="str">
        <f t="shared" si="40"/>
        <v>Negative</v>
      </c>
    </row>
    <row r="1297" spans="1:17" x14ac:dyDescent="0.3">
      <c r="A1297" t="s">
        <v>2222</v>
      </c>
      <c r="B1297" t="s">
        <v>66</v>
      </c>
      <c r="C1297" t="s">
        <v>17</v>
      </c>
      <c r="D1297" t="s">
        <v>37</v>
      </c>
      <c r="E1297" t="s">
        <v>58</v>
      </c>
      <c r="F1297" t="s">
        <v>46</v>
      </c>
      <c r="G1297" s="1">
        <v>45308</v>
      </c>
      <c r="H1297" t="s">
        <v>340</v>
      </c>
      <c r="I1297">
        <v>521712</v>
      </c>
      <c r="J1297">
        <v>21738</v>
      </c>
      <c r="K1297">
        <v>1078</v>
      </c>
      <c r="L1297">
        <v>46512</v>
      </c>
      <c r="M1297">
        <v>0.13289999999999999</v>
      </c>
      <c r="N1297">
        <v>0.39900000000000002</v>
      </c>
      <c r="O1297">
        <v>0</v>
      </c>
      <c r="P1297" t="b">
        <f t="shared" si="41"/>
        <v>0</v>
      </c>
      <c r="Q1297" t="str">
        <f t="shared" si="40"/>
        <v>Positive</v>
      </c>
    </row>
    <row r="1298" spans="1:17" x14ac:dyDescent="0.3">
      <c r="A1298" t="s">
        <v>2223</v>
      </c>
      <c r="B1298" t="s">
        <v>27</v>
      </c>
      <c r="C1298" t="s">
        <v>23</v>
      </c>
      <c r="D1298" t="s">
        <v>29</v>
      </c>
      <c r="E1298" t="s">
        <v>41</v>
      </c>
      <c r="F1298" t="s">
        <v>24</v>
      </c>
      <c r="G1298" s="1">
        <v>45450</v>
      </c>
      <c r="H1298" t="s">
        <v>2224</v>
      </c>
      <c r="I1298">
        <v>853180</v>
      </c>
      <c r="J1298">
        <v>29420</v>
      </c>
      <c r="K1298">
        <v>4345</v>
      </c>
      <c r="L1298">
        <v>34925</v>
      </c>
      <c r="M1298">
        <v>8.0500000000000002E-2</v>
      </c>
      <c r="N1298">
        <v>0.59199999999999997</v>
      </c>
      <c r="O1298">
        <v>0</v>
      </c>
      <c r="P1298" t="b">
        <f t="shared" si="41"/>
        <v>0</v>
      </c>
      <c r="Q1298" t="str">
        <f t="shared" si="40"/>
        <v>Positive</v>
      </c>
    </row>
    <row r="1299" spans="1:17" x14ac:dyDescent="0.3">
      <c r="A1299" t="s">
        <v>2225</v>
      </c>
      <c r="B1299" t="s">
        <v>66</v>
      </c>
      <c r="C1299" t="s">
        <v>23</v>
      </c>
      <c r="D1299" t="s">
        <v>18</v>
      </c>
      <c r="E1299" t="s">
        <v>41</v>
      </c>
      <c r="F1299" t="s">
        <v>24</v>
      </c>
      <c r="G1299" s="1">
        <v>45563</v>
      </c>
      <c r="H1299" t="s">
        <v>201</v>
      </c>
      <c r="I1299">
        <v>2910349</v>
      </c>
      <c r="J1299">
        <v>171197</v>
      </c>
      <c r="K1299">
        <v>28972</v>
      </c>
      <c r="L1299">
        <v>2160</v>
      </c>
      <c r="M1299">
        <v>6.9500000000000006E-2</v>
      </c>
      <c r="N1299">
        <v>-2.4E-2</v>
      </c>
      <c r="O1299">
        <v>1</v>
      </c>
      <c r="P1299" t="b">
        <f t="shared" si="41"/>
        <v>1</v>
      </c>
      <c r="Q1299" t="str">
        <f t="shared" si="40"/>
        <v>Negative</v>
      </c>
    </row>
    <row r="1300" spans="1:17" x14ac:dyDescent="0.3">
      <c r="A1300" t="s">
        <v>2226</v>
      </c>
      <c r="B1300" t="s">
        <v>16</v>
      </c>
      <c r="C1300" t="s">
        <v>28</v>
      </c>
      <c r="D1300" t="s">
        <v>18</v>
      </c>
      <c r="E1300" t="s">
        <v>19</v>
      </c>
      <c r="F1300" t="s">
        <v>24</v>
      </c>
      <c r="G1300" s="1">
        <v>45302</v>
      </c>
      <c r="H1300" t="s">
        <v>87</v>
      </c>
      <c r="I1300">
        <v>369450</v>
      </c>
      <c r="J1300">
        <v>14778</v>
      </c>
      <c r="K1300">
        <v>47209</v>
      </c>
      <c r="L1300">
        <v>12022</v>
      </c>
      <c r="M1300">
        <v>0.20030000000000001</v>
      </c>
      <c r="N1300">
        <v>-0.878</v>
      </c>
      <c r="O1300">
        <v>0</v>
      </c>
      <c r="P1300" t="b">
        <f t="shared" si="41"/>
        <v>0</v>
      </c>
      <c r="Q1300" t="str">
        <f t="shared" si="40"/>
        <v>Negative</v>
      </c>
    </row>
    <row r="1301" spans="1:17" x14ac:dyDescent="0.3">
      <c r="A1301" t="s">
        <v>2227</v>
      </c>
      <c r="B1301" t="s">
        <v>27</v>
      </c>
      <c r="C1301" t="s">
        <v>23</v>
      </c>
      <c r="D1301" t="s">
        <v>18</v>
      </c>
      <c r="E1301" t="s">
        <v>19</v>
      </c>
      <c r="F1301" t="s">
        <v>55</v>
      </c>
      <c r="G1301" s="1">
        <v>45347</v>
      </c>
      <c r="H1301" t="s">
        <v>2228</v>
      </c>
      <c r="I1301">
        <v>5942883</v>
      </c>
      <c r="J1301">
        <v>204927</v>
      </c>
      <c r="K1301">
        <v>23469</v>
      </c>
      <c r="L1301">
        <v>51138</v>
      </c>
      <c r="M1301">
        <v>4.7E-2</v>
      </c>
      <c r="N1301">
        <v>-0.36199999999999999</v>
      </c>
      <c r="O1301">
        <v>1</v>
      </c>
      <c r="P1301" t="b">
        <f t="shared" si="41"/>
        <v>1</v>
      </c>
      <c r="Q1301" t="str">
        <f t="shared" si="40"/>
        <v>Negative</v>
      </c>
    </row>
    <row r="1302" spans="1:17" x14ac:dyDescent="0.3">
      <c r="A1302" t="s">
        <v>2229</v>
      </c>
      <c r="B1302" t="s">
        <v>16</v>
      </c>
      <c r="C1302" t="s">
        <v>23</v>
      </c>
      <c r="D1302" t="s">
        <v>37</v>
      </c>
      <c r="E1302" t="s">
        <v>38</v>
      </c>
      <c r="F1302" t="s">
        <v>46</v>
      </c>
      <c r="G1302" s="1">
        <v>45305</v>
      </c>
      <c r="H1302" t="s">
        <v>1804</v>
      </c>
      <c r="I1302">
        <v>4673400</v>
      </c>
      <c r="J1302">
        <v>467340</v>
      </c>
      <c r="K1302">
        <v>34954</v>
      </c>
      <c r="L1302">
        <v>51449</v>
      </c>
      <c r="M1302">
        <v>0.11849999999999999</v>
      </c>
      <c r="N1302">
        <v>-0.81699999999999995</v>
      </c>
      <c r="O1302">
        <v>1</v>
      </c>
      <c r="P1302" t="b">
        <f t="shared" si="41"/>
        <v>1</v>
      </c>
      <c r="Q1302" t="str">
        <f t="shared" si="40"/>
        <v>Negative</v>
      </c>
    </row>
    <row r="1303" spans="1:17" x14ac:dyDescent="0.3">
      <c r="A1303" t="s">
        <v>2230</v>
      </c>
      <c r="B1303" t="s">
        <v>27</v>
      </c>
      <c r="C1303" t="s">
        <v>28</v>
      </c>
      <c r="D1303" t="s">
        <v>54</v>
      </c>
      <c r="E1303" t="s">
        <v>41</v>
      </c>
      <c r="F1303" t="s">
        <v>24</v>
      </c>
      <c r="G1303" s="1">
        <v>45587</v>
      </c>
      <c r="H1303" t="s">
        <v>1124</v>
      </c>
      <c r="I1303">
        <v>4438056</v>
      </c>
      <c r="J1303">
        <v>369838</v>
      </c>
      <c r="K1303">
        <v>18066</v>
      </c>
      <c r="L1303">
        <v>2882</v>
      </c>
      <c r="M1303">
        <v>8.8099999999999998E-2</v>
      </c>
      <c r="N1303">
        <v>-0.74299999999999999</v>
      </c>
      <c r="O1303">
        <v>1</v>
      </c>
      <c r="P1303" t="b">
        <f t="shared" si="41"/>
        <v>1</v>
      </c>
      <c r="Q1303" t="str">
        <f t="shared" si="40"/>
        <v>Negative</v>
      </c>
    </row>
    <row r="1304" spans="1:17" x14ac:dyDescent="0.3">
      <c r="A1304" t="s">
        <v>2231</v>
      </c>
      <c r="B1304" t="s">
        <v>27</v>
      </c>
      <c r="C1304" t="s">
        <v>28</v>
      </c>
      <c r="D1304" t="s">
        <v>33</v>
      </c>
      <c r="E1304" t="s">
        <v>41</v>
      </c>
      <c r="F1304" t="s">
        <v>34</v>
      </c>
      <c r="G1304" s="1">
        <v>45500</v>
      </c>
      <c r="H1304" t="s">
        <v>2232</v>
      </c>
      <c r="I1304">
        <v>9077962</v>
      </c>
      <c r="J1304">
        <v>394694</v>
      </c>
      <c r="K1304">
        <v>17637</v>
      </c>
      <c r="L1304">
        <v>93848</v>
      </c>
      <c r="M1304">
        <v>5.5800000000000002E-2</v>
      </c>
      <c r="N1304">
        <v>0.251</v>
      </c>
      <c r="O1304">
        <v>1</v>
      </c>
      <c r="P1304" t="b">
        <f t="shared" si="41"/>
        <v>1</v>
      </c>
      <c r="Q1304" t="str">
        <f t="shared" si="40"/>
        <v>Positive</v>
      </c>
    </row>
    <row r="1305" spans="1:17" x14ac:dyDescent="0.3">
      <c r="A1305" t="s">
        <v>2233</v>
      </c>
      <c r="B1305" t="s">
        <v>32</v>
      </c>
      <c r="C1305" t="s">
        <v>23</v>
      </c>
      <c r="D1305" t="s">
        <v>33</v>
      </c>
      <c r="E1305" t="s">
        <v>41</v>
      </c>
      <c r="F1305" t="s">
        <v>34</v>
      </c>
      <c r="G1305" s="1">
        <v>45451</v>
      </c>
      <c r="H1305" t="s">
        <v>42</v>
      </c>
      <c r="I1305">
        <v>5465415</v>
      </c>
      <c r="J1305">
        <v>321495</v>
      </c>
      <c r="K1305">
        <v>7041</v>
      </c>
      <c r="L1305">
        <v>39256</v>
      </c>
      <c r="M1305">
        <v>6.7299999999999999E-2</v>
      </c>
      <c r="N1305">
        <v>-0.49299999999999999</v>
      </c>
      <c r="O1305">
        <v>1</v>
      </c>
      <c r="P1305" t="b">
        <f t="shared" si="41"/>
        <v>1</v>
      </c>
      <c r="Q1305" t="str">
        <f t="shared" si="40"/>
        <v>Negative</v>
      </c>
    </row>
    <row r="1306" spans="1:17" x14ac:dyDescent="0.3">
      <c r="A1306" t="s">
        <v>2234</v>
      </c>
      <c r="B1306" t="s">
        <v>32</v>
      </c>
      <c r="C1306" t="s">
        <v>23</v>
      </c>
      <c r="D1306" t="s">
        <v>18</v>
      </c>
      <c r="E1306" t="s">
        <v>51</v>
      </c>
      <c r="F1306" t="s">
        <v>20</v>
      </c>
      <c r="G1306" s="1">
        <v>45342</v>
      </c>
      <c r="H1306" t="s">
        <v>154</v>
      </c>
      <c r="I1306">
        <v>474579</v>
      </c>
      <c r="J1306">
        <v>22599</v>
      </c>
      <c r="K1306">
        <v>37021</v>
      </c>
      <c r="L1306">
        <v>51629</v>
      </c>
      <c r="M1306">
        <v>0.2344</v>
      </c>
      <c r="N1306">
        <v>0.72299999999999998</v>
      </c>
      <c r="O1306">
        <v>0</v>
      </c>
      <c r="P1306" t="b">
        <f t="shared" si="41"/>
        <v>0</v>
      </c>
      <c r="Q1306" t="str">
        <f t="shared" si="40"/>
        <v>Positive</v>
      </c>
    </row>
    <row r="1307" spans="1:17" x14ac:dyDescent="0.3">
      <c r="A1307" t="s">
        <v>2235</v>
      </c>
      <c r="B1307" t="s">
        <v>66</v>
      </c>
      <c r="C1307" t="s">
        <v>17</v>
      </c>
      <c r="D1307" t="s">
        <v>18</v>
      </c>
      <c r="E1307" t="s">
        <v>19</v>
      </c>
      <c r="F1307" t="s">
        <v>34</v>
      </c>
      <c r="G1307" s="1">
        <v>45371</v>
      </c>
      <c r="H1307" t="s">
        <v>1124</v>
      </c>
      <c r="I1307">
        <v>7794200</v>
      </c>
      <c r="J1307">
        <v>389710</v>
      </c>
      <c r="K1307">
        <v>19942</v>
      </c>
      <c r="L1307">
        <v>12633</v>
      </c>
      <c r="M1307">
        <v>5.4199999999999998E-2</v>
      </c>
      <c r="N1307">
        <v>0.19400000000000001</v>
      </c>
      <c r="O1307">
        <v>1</v>
      </c>
      <c r="P1307" t="b">
        <f t="shared" si="41"/>
        <v>1</v>
      </c>
      <c r="Q1307" t="str">
        <f t="shared" si="40"/>
        <v>Positive</v>
      </c>
    </row>
    <row r="1308" spans="1:17" x14ac:dyDescent="0.3">
      <c r="A1308" t="s">
        <v>2236</v>
      </c>
      <c r="B1308" t="s">
        <v>27</v>
      </c>
      <c r="C1308" t="s">
        <v>28</v>
      </c>
      <c r="D1308" t="s">
        <v>37</v>
      </c>
      <c r="E1308" t="s">
        <v>41</v>
      </c>
      <c r="F1308" t="s">
        <v>20</v>
      </c>
      <c r="G1308" s="1">
        <v>45627</v>
      </c>
      <c r="H1308" t="s">
        <v>2237</v>
      </c>
      <c r="I1308">
        <v>8806200</v>
      </c>
      <c r="J1308">
        <v>440310</v>
      </c>
      <c r="K1308">
        <v>4823</v>
      </c>
      <c r="L1308">
        <v>56345</v>
      </c>
      <c r="M1308">
        <v>5.6899999999999999E-2</v>
      </c>
      <c r="N1308">
        <v>-0.40899999999999997</v>
      </c>
      <c r="O1308">
        <v>1</v>
      </c>
      <c r="P1308" t="b">
        <f t="shared" si="41"/>
        <v>1</v>
      </c>
      <c r="Q1308" t="str">
        <f t="shared" si="40"/>
        <v>Negative</v>
      </c>
    </row>
    <row r="1309" spans="1:17" x14ac:dyDescent="0.3">
      <c r="A1309" t="s">
        <v>2238</v>
      </c>
      <c r="B1309" t="s">
        <v>16</v>
      </c>
      <c r="C1309" t="s">
        <v>61</v>
      </c>
      <c r="D1309" t="s">
        <v>18</v>
      </c>
      <c r="E1309" t="s">
        <v>19</v>
      </c>
      <c r="F1309" t="s">
        <v>20</v>
      </c>
      <c r="G1309" s="1">
        <v>45363</v>
      </c>
      <c r="H1309" t="s">
        <v>1576</v>
      </c>
      <c r="I1309">
        <v>165384</v>
      </c>
      <c r="J1309">
        <v>27564</v>
      </c>
      <c r="K1309">
        <v>42629</v>
      </c>
      <c r="L1309">
        <v>37345</v>
      </c>
      <c r="M1309">
        <v>0.6502</v>
      </c>
      <c r="N1309">
        <v>-0.63800000000000001</v>
      </c>
      <c r="O1309">
        <v>0</v>
      </c>
      <c r="P1309" t="b">
        <f t="shared" si="41"/>
        <v>0</v>
      </c>
      <c r="Q1309" t="str">
        <f t="shared" si="40"/>
        <v>Negative</v>
      </c>
    </row>
    <row r="1310" spans="1:17" x14ac:dyDescent="0.3">
      <c r="A1310" t="s">
        <v>2239</v>
      </c>
      <c r="B1310" t="s">
        <v>66</v>
      </c>
      <c r="C1310" t="s">
        <v>28</v>
      </c>
      <c r="D1310" t="s">
        <v>18</v>
      </c>
      <c r="E1310" t="s">
        <v>41</v>
      </c>
      <c r="F1310" t="s">
        <v>46</v>
      </c>
      <c r="G1310" s="1">
        <v>45394</v>
      </c>
      <c r="H1310" t="s">
        <v>354</v>
      </c>
      <c r="I1310">
        <v>5195263</v>
      </c>
      <c r="J1310">
        <v>179147</v>
      </c>
      <c r="K1310">
        <v>1467</v>
      </c>
      <c r="L1310">
        <v>81442</v>
      </c>
      <c r="M1310">
        <v>5.04E-2</v>
      </c>
      <c r="N1310">
        <v>0.11</v>
      </c>
      <c r="O1310">
        <v>1</v>
      </c>
      <c r="P1310" t="b">
        <f t="shared" si="41"/>
        <v>1</v>
      </c>
      <c r="Q1310" t="str">
        <f t="shared" si="40"/>
        <v>Positive</v>
      </c>
    </row>
    <row r="1311" spans="1:17" x14ac:dyDescent="0.3">
      <c r="A1311" t="s">
        <v>2240</v>
      </c>
      <c r="B1311" t="s">
        <v>27</v>
      </c>
      <c r="C1311" t="s">
        <v>61</v>
      </c>
      <c r="D1311" t="s">
        <v>18</v>
      </c>
      <c r="E1311" t="s">
        <v>19</v>
      </c>
      <c r="F1311" t="s">
        <v>20</v>
      </c>
      <c r="G1311" s="1">
        <v>45634</v>
      </c>
      <c r="H1311" t="s">
        <v>1913</v>
      </c>
      <c r="I1311">
        <v>4338970</v>
      </c>
      <c r="J1311">
        <v>433897</v>
      </c>
      <c r="K1311">
        <v>34841</v>
      </c>
      <c r="L1311">
        <v>71290</v>
      </c>
      <c r="M1311">
        <v>0.1245</v>
      </c>
      <c r="N1311">
        <v>0.23100000000000001</v>
      </c>
      <c r="O1311">
        <v>1</v>
      </c>
      <c r="P1311" t="b">
        <f t="shared" si="41"/>
        <v>1</v>
      </c>
      <c r="Q1311" t="str">
        <f t="shared" si="40"/>
        <v>Positive</v>
      </c>
    </row>
    <row r="1312" spans="1:17" x14ac:dyDescent="0.3">
      <c r="A1312" t="s">
        <v>2241</v>
      </c>
      <c r="B1312" t="s">
        <v>66</v>
      </c>
      <c r="C1312" t="s">
        <v>61</v>
      </c>
      <c r="D1312" t="s">
        <v>18</v>
      </c>
      <c r="E1312" t="s">
        <v>19</v>
      </c>
      <c r="F1312" t="s">
        <v>46</v>
      </c>
      <c r="G1312" s="1">
        <v>45337</v>
      </c>
      <c r="H1312" t="s">
        <v>1088</v>
      </c>
      <c r="I1312">
        <v>1923082</v>
      </c>
      <c r="J1312">
        <v>137363</v>
      </c>
      <c r="K1312">
        <v>17903</v>
      </c>
      <c r="L1312">
        <v>84519</v>
      </c>
      <c r="M1312">
        <v>0.12470000000000001</v>
      </c>
      <c r="N1312">
        <v>0.54500000000000004</v>
      </c>
      <c r="O1312">
        <v>0</v>
      </c>
      <c r="P1312" t="b">
        <f t="shared" si="41"/>
        <v>0</v>
      </c>
      <c r="Q1312" t="str">
        <f t="shared" si="40"/>
        <v>Positive</v>
      </c>
    </row>
    <row r="1313" spans="1:17" x14ac:dyDescent="0.3">
      <c r="A1313" t="s">
        <v>2242</v>
      </c>
      <c r="B1313" t="s">
        <v>16</v>
      </c>
      <c r="C1313" t="s">
        <v>61</v>
      </c>
      <c r="D1313" t="s">
        <v>29</v>
      </c>
      <c r="E1313" t="s">
        <v>19</v>
      </c>
      <c r="F1313" t="s">
        <v>34</v>
      </c>
      <c r="G1313" s="1">
        <v>45371</v>
      </c>
      <c r="H1313" t="s">
        <v>1298</v>
      </c>
      <c r="I1313">
        <v>6711824</v>
      </c>
      <c r="J1313">
        <v>239708</v>
      </c>
      <c r="K1313">
        <v>23288</v>
      </c>
      <c r="L1313">
        <v>86972</v>
      </c>
      <c r="M1313">
        <v>5.21E-2</v>
      </c>
      <c r="N1313">
        <v>-0.19900000000000001</v>
      </c>
      <c r="O1313">
        <v>1</v>
      </c>
      <c r="P1313" t="b">
        <f t="shared" si="41"/>
        <v>1</v>
      </c>
      <c r="Q1313" t="str">
        <f t="shared" si="40"/>
        <v>Negative</v>
      </c>
    </row>
    <row r="1314" spans="1:17" x14ac:dyDescent="0.3">
      <c r="A1314" t="s">
        <v>2243</v>
      </c>
      <c r="B1314" t="s">
        <v>32</v>
      </c>
      <c r="C1314" t="s">
        <v>17</v>
      </c>
      <c r="D1314" t="s">
        <v>29</v>
      </c>
      <c r="E1314" t="s">
        <v>58</v>
      </c>
      <c r="F1314" t="s">
        <v>34</v>
      </c>
      <c r="G1314" s="1">
        <v>45425</v>
      </c>
      <c r="H1314" t="s">
        <v>2244</v>
      </c>
      <c r="I1314">
        <v>3386720</v>
      </c>
      <c r="J1314">
        <v>423340</v>
      </c>
      <c r="K1314">
        <v>49635</v>
      </c>
      <c r="L1314">
        <v>30735</v>
      </c>
      <c r="M1314">
        <v>0.1487</v>
      </c>
      <c r="N1314">
        <v>0.29899999999999999</v>
      </c>
      <c r="O1314">
        <v>1</v>
      </c>
      <c r="P1314" t="b">
        <f t="shared" si="41"/>
        <v>1</v>
      </c>
      <c r="Q1314" t="str">
        <f t="shared" si="40"/>
        <v>Positive</v>
      </c>
    </row>
    <row r="1315" spans="1:17" x14ac:dyDescent="0.3">
      <c r="A1315" t="s">
        <v>2245</v>
      </c>
      <c r="B1315" t="s">
        <v>32</v>
      </c>
      <c r="C1315" t="s">
        <v>61</v>
      </c>
      <c r="D1315" t="s">
        <v>29</v>
      </c>
      <c r="E1315" t="s">
        <v>41</v>
      </c>
      <c r="F1315" t="s">
        <v>20</v>
      </c>
      <c r="G1315" s="1">
        <v>45317</v>
      </c>
      <c r="H1315" t="s">
        <v>42</v>
      </c>
      <c r="I1315">
        <v>1831776</v>
      </c>
      <c r="J1315">
        <v>228972</v>
      </c>
      <c r="K1315">
        <v>43633</v>
      </c>
      <c r="L1315">
        <v>46217</v>
      </c>
      <c r="M1315">
        <v>0.1741</v>
      </c>
      <c r="N1315">
        <v>-0.46800000000000003</v>
      </c>
      <c r="O1315">
        <v>0</v>
      </c>
      <c r="P1315" t="b">
        <f t="shared" si="41"/>
        <v>0</v>
      </c>
      <c r="Q1315" t="str">
        <f t="shared" si="40"/>
        <v>Negative</v>
      </c>
    </row>
    <row r="1316" spans="1:17" x14ac:dyDescent="0.3">
      <c r="A1316" t="s">
        <v>2246</v>
      </c>
      <c r="B1316" t="s">
        <v>16</v>
      </c>
      <c r="C1316" t="s">
        <v>61</v>
      </c>
      <c r="D1316" t="s">
        <v>37</v>
      </c>
      <c r="E1316" t="s">
        <v>19</v>
      </c>
      <c r="F1316" t="s">
        <v>20</v>
      </c>
      <c r="G1316" s="1">
        <v>45650</v>
      </c>
      <c r="H1316" t="s">
        <v>356</v>
      </c>
      <c r="I1316">
        <v>1775280</v>
      </c>
      <c r="J1316">
        <v>73970</v>
      </c>
      <c r="K1316">
        <v>24167</v>
      </c>
      <c r="L1316">
        <v>6009</v>
      </c>
      <c r="M1316">
        <v>5.8700000000000002E-2</v>
      </c>
      <c r="N1316">
        <v>0.41399999999999998</v>
      </c>
      <c r="O1316">
        <v>0</v>
      </c>
      <c r="P1316" t="b">
        <f t="shared" si="41"/>
        <v>0</v>
      </c>
      <c r="Q1316" t="str">
        <f t="shared" si="40"/>
        <v>Positive</v>
      </c>
    </row>
    <row r="1317" spans="1:17" x14ac:dyDescent="0.3">
      <c r="A1317" t="s">
        <v>2247</v>
      </c>
      <c r="B1317" t="s">
        <v>66</v>
      </c>
      <c r="C1317" t="s">
        <v>23</v>
      </c>
      <c r="D1317" t="s">
        <v>18</v>
      </c>
      <c r="E1317" t="s">
        <v>58</v>
      </c>
      <c r="F1317" t="s">
        <v>20</v>
      </c>
      <c r="G1317" s="1">
        <v>45370</v>
      </c>
      <c r="H1317" t="s">
        <v>2248</v>
      </c>
      <c r="I1317">
        <v>8726256</v>
      </c>
      <c r="J1317">
        <v>396648</v>
      </c>
      <c r="K1317">
        <v>792</v>
      </c>
      <c r="L1317">
        <v>38991</v>
      </c>
      <c r="M1317">
        <v>0.05</v>
      </c>
      <c r="N1317">
        <v>0.77200000000000002</v>
      </c>
      <c r="O1317">
        <v>1</v>
      </c>
      <c r="P1317" t="b">
        <f t="shared" si="41"/>
        <v>1</v>
      </c>
      <c r="Q1317" t="str">
        <f t="shared" si="40"/>
        <v>Positive</v>
      </c>
    </row>
    <row r="1318" spans="1:17" x14ac:dyDescent="0.3">
      <c r="A1318" t="s">
        <v>2249</v>
      </c>
      <c r="B1318" t="s">
        <v>66</v>
      </c>
      <c r="C1318" t="s">
        <v>23</v>
      </c>
      <c r="D1318" t="s">
        <v>18</v>
      </c>
      <c r="E1318" t="s">
        <v>51</v>
      </c>
      <c r="F1318" t="s">
        <v>20</v>
      </c>
      <c r="G1318" s="1">
        <v>45472</v>
      </c>
      <c r="H1318" t="s">
        <v>2250</v>
      </c>
      <c r="I1318">
        <v>2849472</v>
      </c>
      <c r="J1318">
        <v>167616</v>
      </c>
      <c r="K1318">
        <v>35345</v>
      </c>
      <c r="L1318">
        <v>5034</v>
      </c>
      <c r="M1318">
        <v>7.2999999999999995E-2</v>
      </c>
      <c r="N1318">
        <v>0.44</v>
      </c>
      <c r="O1318">
        <v>1</v>
      </c>
      <c r="P1318" t="b">
        <f t="shared" si="41"/>
        <v>1</v>
      </c>
      <c r="Q1318" t="str">
        <f t="shared" si="40"/>
        <v>Positive</v>
      </c>
    </row>
    <row r="1319" spans="1:17" x14ac:dyDescent="0.3">
      <c r="A1319" t="s">
        <v>2251</v>
      </c>
      <c r="B1319" t="s">
        <v>27</v>
      </c>
      <c r="C1319" t="s">
        <v>23</v>
      </c>
      <c r="D1319" t="s">
        <v>37</v>
      </c>
      <c r="E1319" t="s">
        <v>51</v>
      </c>
      <c r="F1319" t="s">
        <v>55</v>
      </c>
      <c r="G1319" s="1">
        <v>45384</v>
      </c>
      <c r="H1319" t="s">
        <v>1059</v>
      </c>
      <c r="I1319">
        <v>3363150</v>
      </c>
      <c r="J1319">
        <v>480450</v>
      </c>
      <c r="K1319">
        <v>37485</v>
      </c>
      <c r="L1319">
        <v>95240</v>
      </c>
      <c r="M1319">
        <v>0.18229999999999999</v>
      </c>
      <c r="N1319">
        <v>-0.90200000000000002</v>
      </c>
      <c r="O1319">
        <v>1</v>
      </c>
      <c r="P1319" t="b">
        <f t="shared" si="41"/>
        <v>1</v>
      </c>
      <c r="Q1319" t="str">
        <f t="shared" si="40"/>
        <v>Negative</v>
      </c>
    </row>
    <row r="1320" spans="1:17" x14ac:dyDescent="0.3">
      <c r="A1320" t="s">
        <v>2252</v>
      </c>
      <c r="B1320" t="s">
        <v>32</v>
      </c>
      <c r="C1320" t="s">
        <v>28</v>
      </c>
      <c r="D1320" t="s">
        <v>33</v>
      </c>
      <c r="E1320" t="s">
        <v>51</v>
      </c>
      <c r="F1320" t="s">
        <v>46</v>
      </c>
      <c r="G1320" s="1">
        <v>45374</v>
      </c>
      <c r="H1320" t="s">
        <v>2253</v>
      </c>
      <c r="I1320">
        <v>190825</v>
      </c>
      <c r="J1320">
        <v>7633</v>
      </c>
      <c r="K1320">
        <v>15108</v>
      </c>
      <c r="L1320">
        <v>70153</v>
      </c>
      <c r="M1320">
        <v>0.48680000000000001</v>
      </c>
      <c r="N1320">
        <v>-0.998</v>
      </c>
      <c r="O1320">
        <v>0</v>
      </c>
      <c r="P1320" t="b">
        <f t="shared" si="41"/>
        <v>0</v>
      </c>
      <c r="Q1320" t="str">
        <f t="shared" si="40"/>
        <v>Negative</v>
      </c>
    </row>
    <row r="1321" spans="1:17" x14ac:dyDescent="0.3">
      <c r="A1321" t="s">
        <v>2254</v>
      </c>
      <c r="B1321" t="s">
        <v>27</v>
      </c>
      <c r="C1321" t="s">
        <v>17</v>
      </c>
      <c r="D1321" t="s">
        <v>33</v>
      </c>
      <c r="E1321" t="s">
        <v>51</v>
      </c>
      <c r="F1321" t="s">
        <v>34</v>
      </c>
      <c r="G1321" s="1">
        <v>45392</v>
      </c>
      <c r="H1321" t="s">
        <v>1134</v>
      </c>
      <c r="I1321">
        <v>1855176</v>
      </c>
      <c r="J1321">
        <v>109128</v>
      </c>
      <c r="K1321">
        <v>11777</v>
      </c>
      <c r="L1321">
        <v>89386</v>
      </c>
      <c r="M1321">
        <v>0.1134</v>
      </c>
      <c r="N1321">
        <v>-0.58099999999999996</v>
      </c>
      <c r="O1321">
        <v>0</v>
      </c>
      <c r="P1321" t="b">
        <f t="shared" si="41"/>
        <v>0</v>
      </c>
      <c r="Q1321" t="str">
        <f t="shared" si="40"/>
        <v>Negative</v>
      </c>
    </row>
    <row r="1322" spans="1:17" x14ac:dyDescent="0.3">
      <c r="A1322" t="s">
        <v>2255</v>
      </c>
      <c r="B1322" t="s">
        <v>66</v>
      </c>
      <c r="C1322" t="s">
        <v>17</v>
      </c>
      <c r="D1322" t="s">
        <v>29</v>
      </c>
      <c r="E1322" t="s">
        <v>41</v>
      </c>
      <c r="F1322" t="s">
        <v>20</v>
      </c>
      <c r="G1322" s="1">
        <v>45349</v>
      </c>
      <c r="H1322" t="s">
        <v>112</v>
      </c>
      <c r="I1322">
        <v>365120</v>
      </c>
      <c r="J1322">
        <v>13040</v>
      </c>
      <c r="K1322">
        <v>16937</v>
      </c>
      <c r="L1322">
        <v>95306</v>
      </c>
      <c r="M1322">
        <v>0.34310000000000002</v>
      </c>
      <c r="N1322">
        <v>-0.91900000000000004</v>
      </c>
      <c r="O1322">
        <v>0</v>
      </c>
      <c r="P1322" t="b">
        <f t="shared" si="41"/>
        <v>0</v>
      </c>
      <c r="Q1322" t="str">
        <f t="shared" si="40"/>
        <v>Negative</v>
      </c>
    </row>
    <row r="1323" spans="1:17" x14ac:dyDescent="0.3">
      <c r="A1323" t="s">
        <v>2256</v>
      </c>
      <c r="B1323" t="s">
        <v>16</v>
      </c>
      <c r="C1323" t="s">
        <v>61</v>
      </c>
      <c r="D1323" t="s">
        <v>37</v>
      </c>
      <c r="E1323" t="s">
        <v>19</v>
      </c>
      <c r="F1323" t="s">
        <v>55</v>
      </c>
      <c r="G1323" s="1">
        <v>45473</v>
      </c>
      <c r="H1323" t="s">
        <v>2257</v>
      </c>
      <c r="I1323">
        <v>892782</v>
      </c>
      <c r="J1323">
        <v>33066</v>
      </c>
      <c r="K1323">
        <v>27782</v>
      </c>
      <c r="L1323">
        <v>32568</v>
      </c>
      <c r="M1323">
        <v>0.1046</v>
      </c>
      <c r="N1323">
        <v>0.24099999999999999</v>
      </c>
      <c r="O1323">
        <v>0</v>
      </c>
      <c r="P1323" t="b">
        <f t="shared" si="41"/>
        <v>0</v>
      </c>
      <c r="Q1323" t="str">
        <f t="shared" si="40"/>
        <v>Positive</v>
      </c>
    </row>
    <row r="1324" spans="1:17" x14ac:dyDescent="0.3">
      <c r="A1324" t="s">
        <v>2258</v>
      </c>
      <c r="B1324" t="s">
        <v>66</v>
      </c>
      <c r="C1324" t="s">
        <v>23</v>
      </c>
      <c r="D1324" t="s">
        <v>54</v>
      </c>
      <c r="E1324" t="s">
        <v>58</v>
      </c>
      <c r="F1324" t="s">
        <v>55</v>
      </c>
      <c r="G1324" s="1">
        <v>45629</v>
      </c>
      <c r="H1324" t="s">
        <v>2206</v>
      </c>
      <c r="I1324">
        <v>5140017</v>
      </c>
      <c r="J1324">
        <v>190371</v>
      </c>
      <c r="K1324">
        <v>13803</v>
      </c>
      <c r="L1324">
        <v>65365</v>
      </c>
      <c r="M1324">
        <v>5.2400000000000002E-2</v>
      </c>
      <c r="N1324">
        <v>-0.22800000000000001</v>
      </c>
      <c r="O1324">
        <v>1</v>
      </c>
      <c r="P1324" t="b">
        <f t="shared" si="41"/>
        <v>1</v>
      </c>
      <c r="Q1324" t="str">
        <f t="shared" si="40"/>
        <v>Negative</v>
      </c>
    </row>
    <row r="1325" spans="1:17" x14ac:dyDescent="0.3">
      <c r="A1325" t="s">
        <v>2259</v>
      </c>
      <c r="B1325" t="s">
        <v>66</v>
      </c>
      <c r="C1325" t="s">
        <v>28</v>
      </c>
      <c r="D1325" t="s">
        <v>18</v>
      </c>
      <c r="E1325" t="s">
        <v>38</v>
      </c>
      <c r="F1325" t="s">
        <v>34</v>
      </c>
      <c r="G1325" s="1">
        <v>45374</v>
      </c>
      <c r="H1325" t="s">
        <v>630</v>
      </c>
      <c r="I1325">
        <v>5703401</v>
      </c>
      <c r="J1325">
        <v>196669</v>
      </c>
      <c r="K1325">
        <v>183</v>
      </c>
      <c r="L1325">
        <v>86007</v>
      </c>
      <c r="M1325">
        <v>4.9599999999999998E-2</v>
      </c>
      <c r="N1325">
        <v>-0.69599999999999995</v>
      </c>
      <c r="O1325">
        <v>1</v>
      </c>
      <c r="P1325" t="b">
        <f t="shared" si="41"/>
        <v>1</v>
      </c>
      <c r="Q1325" t="str">
        <f t="shared" si="40"/>
        <v>Negative</v>
      </c>
    </row>
    <row r="1326" spans="1:17" x14ac:dyDescent="0.3">
      <c r="A1326" t="s">
        <v>2260</v>
      </c>
      <c r="B1326" t="s">
        <v>27</v>
      </c>
      <c r="C1326" t="s">
        <v>23</v>
      </c>
      <c r="D1326" t="s">
        <v>29</v>
      </c>
      <c r="E1326" t="s">
        <v>41</v>
      </c>
      <c r="F1326" t="s">
        <v>34</v>
      </c>
      <c r="G1326" s="1">
        <v>45407</v>
      </c>
      <c r="H1326" t="s">
        <v>2261</v>
      </c>
      <c r="I1326">
        <v>6039747</v>
      </c>
      <c r="J1326">
        <v>287607</v>
      </c>
      <c r="K1326">
        <v>2800</v>
      </c>
      <c r="L1326">
        <v>97463</v>
      </c>
      <c r="M1326">
        <v>6.4199999999999993E-2</v>
      </c>
      <c r="N1326">
        <v>-0.63500000000000001</v>
      </c>
      <c r="O1326">
        <v>1</v>
      </c>
      <c r="P1326" t="b">
        <f t="shared" si="41"/>
        <v>1</v>
      </c>
      <c r="Q1326" t="str">
        <f t="shared" si="40"/>
        <v>Negative</v>
      </c>
    </row>
    <row r="1327" spans="1:17" x14ac:dyDescent="0.3">
      <c r="A1327" t="s">
        <v>2262</v>
      </c>
      <c r="B1327" t="s">
        <v>66</v>
      </c>
      <c r="C1327" t="s">
        <v>61</v>
      </c>
      <c r="D1327" t="s">
        <v>33</v>
      </c>
      <c r="E1327" t="s">
        <v>58</v>
      </c>
      <c r="F1327" t="s">
        <v>55</v>
      </c>
      <c r="G1327" s="1">
        <v>45342</v>
      </c>
      <c r="H1327" t="s">
        <v>718</v>
      </c>
      <c r="I1327">
        <v>3714592</v>
      </c>
      <c r="J1327">
        <v>265328</v>
      </c>
      <c r="K1327">
        <v>30334</v>
      </c>
      <c r="L1327">
        <v>76647</v>
      </c>
      <c r="M1327">
        <v>0.1002</v>
      </c>
      <c r="N1327">
        <v>0.45200000000000001</v>
      </c>
      <c r="O1327">
        <v>1</v>
      </c>
      <c r="P1327" t="b">
        <f t="shared" si="41"/>
        <v>1</v>
      </c>
      <c r="Q1327" t="str">
        <f t="shared" si="40"/>
        <v>Positive</v>
      </c>
    </row>
    <row r="1328" spans="1:17" x14ac:dyDescent="0.3">
      <c r="A1328" t="s">
        <v>2263</v>
      </c>
      <c r="B1328" t="s">
        <v>27</v>
      </c>
      <c r="C1328" t="s">
        <v>17</v>
      </c>
      <c r="D1328" t="s">
        <v>33</v>
      </c>
      <c r="E1328" t="s">
        <v>38</v>
      </c>
      <c r="F1328" t="s">
        <v>24</v>
      </c>
      <c r="G1328" s="1">
        <v>45313</v>
      </c>
      <c r="H1328" t="s">
        <v>2264</v>
      </c>
      <c r="I1328">
        <v>1707332</v>
      </c>
      <c r="J1328">
        <v>77606</v>
      </c>
      <c r="K1328">
        <v>43710</v>
      </c>
      <c r="L1328">
        <v>44131</v>
      </c>
      <c r="M1328">
        <v>9.69E-2</v>
      </c>
      <c r="N1328">
        <v>-0.58699999999999997</v>
      </c>
      <c r="O1328">
        <v>0</v>
      </c>
      <c r="P1328" t="b">
        <f t="shared" si="41"/>
        <v>0</v>
      </c>
      <c r="Q1328" t="str">
        <f t="shared" si="40"/>
        <v>Negative</v>
      </c>
    </row>
    <row r="1329" spans="1:17" x14ac:dyDescent="0.3">
      <c r="A1329" t="s">
        <v>2265</v>
      </c>
      <c r="B1329" t="s">
        <v>27</v>
      </c>
      <c r="C1329" t="s">
        <v>61</v>
      </c>
      <c r="D1329" t="s">
        <v>29</v>
      </c>
      <c r="E1329" t="s">
        <v>41</v>
      </c>
      <c r="F1329" t="s">
        <v>24</v>
      </c>
      <c r="G1329" s="1">
        <v>45527</v>
      </c>
      <c r="H1329" t="s">
        <v>1576</v>
      </c>
      <c r="I1329">
        <v>3366257</v>
      </c>
      <c r="J1329">
        <v>146359</v>
      </c>
      <c r="K1329">
        <v>25796</v>
      </c>
      <c r="L1329">
        <v>90437</v>
      </c>
      <c r="M1329">
        <v>7.8E-2</v>
      </c>
      <c r="N1329">
        <v>-0.20300000000000001</v>
      </c>
      <c r="O1329">
        <v>1</v>
      </c>
      <c r="P1329" t="b">
        <f t="shared" si="41"/>
        <v>1</v>
      </c>
      <c r="Q1329" t="str">
        <f t="shared" si="40"/>
        <v>Negative</v>
      </c>
    </row>
    <row r="1330" spans="1:17" x14ac:dyDescent="0.3">
      <c r="A1330" t="s">
        <v>2266</v>
      </c>
      <c r="B1330" t="s">
        <v>66</v>
      </c>
      <c r="C1330" t="s">
        <v>28</v>
      </c>
      <c r="D1330" t="s">
        <v>37</v>
      </c>
      <c r="E1330" t="s">
        <v>58</v>
      </c>
      <c r="F1330" t="s">
        <v>24</v>
      </c>
      <c r="G1330" s="1">
        <v>45412</v>
      </c>
      <c r="H1330" t="s">
        <v>2267</v>
      </c>
      <c r="I1330">
        <v>8663660</v>
      </c>
      <c r="J1330">
        <v>433183</v>
      </c>
      <c r="K1330">
        <v>898</v>
      </c>
      <c r="L1330">
        <v>99695</v>
      </c>
      <c r="M1330">
        <v>6.1600000000000002E-2</v>
      </c>
      <c r="N1330">
        <v>0.624</v>
      </c>
      <c r="O1330">
        <v>1</v>
      </c>
      <c r="P1330" t="b">
        <f t="shared" si="41"/>
        <v>1</v>
      </c>
      <c r="Q1330" t="str">
        <f t="shared" si="40"/>
        <v>Positive</v>
      </c>
    </row>
    <row r="1331" spans="1:17" x14ac:dyDescent="0.3">
      <c r="A1331" t="s">
        <v>2268</v>
      </c>
      <c r="B1331" t="s">
        <v>66</v>
      </c>
      <c r="C1331" t="s">
        <v>28</v>
      </c>
      <c r="D1331" t="s">
        <v>54</v>
      </c>
      <c r="E1331" t="s">
        <v>19</v>
      </c>
      <c r="F1331" t="s">
        <v>20</v>
      </c>
      <c r="G1331" s="1">
        <v>45469</v>
      </c>
      <c r="H1331" t="s">
        <v>2269</v>
      </c>
      <c r="I1331">
        <v>2002972</v>
      </c>
      <c r="J1331">
        <v>69068</v>
      </c>
      <c r="K1331">
        <v>35144</v>
      </c>
      <c r="L1331">
        <v>60431</v>
      </c>
      <c r="M1331">
        <v>8.2199999999999995E-2</v>
      </c>
      <c r="N1331">
        <v>-0.35299999999999998</v>
      </c>
      <c r="O1331">
        <v>1</v>
      </c>
      <c r="P1331" t="b">
        <f t="shared" si="41"/>
        <v>1</v>
      </c>
      <c r="Q1331" t="str">
        <f t="shared" si="40"/>
        <v>Negative</v>
      </c>
    </row>
    <row r="1332" spans="1:17" x14ac:dyDescent="0.3">
      <c r="A1332" t="s">
        <v>2270</v>
      </c>
      <c r="B1332" t="s">
        <v>66</v>
      </c>
      <c r="C1332" t="s">
        <v>23</v>
      </c>
      <c r="D1332" t="s">
        <v>54</v>
      </c>
      <c r="E1332" t="s">
        <v>38</v>
      </c>
      <c r="F1332" t="s">
        <v>55</v>
      </c>
      <c r="G1332" s="1">
        <v>45489</v>
      </c>
      <c r="H1332" t="s">
        <v>2271</v>
      </c>
      <c r="I1332">
        <v>5153022</v>
      </c>
      <c r="J1332">
        <v>245382</v>
      </c>
      <c r="K1332">
        <v>39099</v>
      </c>
      <c r="L1332">
        <v>14606</v>
      </c>
      <c r="M1332">
        <v>5.8000000000000003E-2</v>
      </c>
      <c r="N1332">
        <v>0.315</v>
      </c>
      <c r="O1332">
        <v>1</v>
      </c>
      <c r="P1332" t="b">
        <f t="shared" si="41"/>
        <v>1</v>
      </c>
      <c r="Q1332" t="str">
        <f t="shared" si="40"/>
        <v>Positive</v>
      </c>
    </row>
    <row r="1333" spans="1:17" x14ac:dyDescent="0.3">
      <c r="A1333" t="s">
        <v>2272</v>
      </c>
      <c r="B1333" t="s">
        <v>32</v>
      </c>
      <c r="C1333" t="s">
        <v>28</v>
      </c>
      <c r="D1333" t="s">
        <v>33</v>
      </c>
      <c r="E1333" t="s">
        <v>38</v>
      </c>
      <c r="F1333" t="s">
        <v>46</v>
      </c>
      <c r="G1333" s="1">
        <v>45497</v>
      </c>
      <c r="H1333" t="s">
        <v>2273</v>
      </c>
      <c r="I1333">
        <v>8035923</v>
      </c>
      <c r="J1333">
        <v>382663</v>
      </c>
      <c r="K1333">
        <v>48674</v>
      </c>
      <c r="L1333">
        <v>31187</v>
      </c>
      <c r="M1333">
        <v>5.7599999999999998E-2</v>
      </c>
      <c r="N1333">
        <v>-0.875</v>
      </c>
      <c r="O1333">
        <v>1</v>
      </c>
      <c r="P1333" t="b">
        <f t="shared" si="41"/>
        <v>1</v>
      </c>
      <c r="Q1333" t="str">
        <f t="shared" si="40"/>
        <v>Negative</v>
      </c>
    </row>
    <row r="1334" spans="1:17" x14ac:dyDescent="0.3">
      <c r="A1334" t="s">
        <v>2274</v>
      </c>
      <c r="B1334" t="s">
        <v>27</v>
      </c>
      <c r="C1334" t="s">
        <v>61</v>
      </c>
      <c r="D1334" t="s">
        <v>37</v>
      </c>
      <c r="E1334" t="s">
        <v>51</v>
      </c>
      <c r="F1334" t="s">
        <v>24</v>
      </c>
      <c r="G1334" s="1">
        <v>45382</v>
      </c>
      <c r="H1334" t="s">
        <v>2275</v>
      </c>
      <c r="I1334">
        <v>8860382</v>
      </c>
      <c r="J1334">
        <v>385234</v>
      </c>
      <c r="K1334">
        <v>21498</v>
      </c>
      <c r="L1334">
        <v>20712</v>
      </c>
      <c r="M1334">
        <v>4.82E-2</v>
      </c>
      <c r="N1334">
        <v>-0.503</v>
      </c>
      <c r="O1334">
        <v>1</v>
      </c>
      <c r="P1334" t="b">
        <f t="shared" si="41"/>
        <v>1</v>
      </c>
      <c r="Q1334" t="str">
        <f t="shared" si="40"/>
        <v>Negative</v>
      </c>
    </row>
    <row r="1335" spans="1:17" x14ac:dyDescent="0.3">
      <c r="A1335" t="s">
        <v>2276</v>
      </c>
      <c r="B1335" t="s">
        <v>32</v>
      </c>
      <c r="C1335" t="s">
        <v>23</v>
      </c>
      <c r="D1335" t="s">
        <v>29</v>
      </c>
      <c r="E1335" t="s">
        <v>41</v>
      </c>
      <c r="F1335" t="s">
        <v>55</v>
      </c>
      <c r="G1335" s="1">
        <v>45495</v>
      </c>
      <c r="H1335" t="s">
        <v>319</v>
      </c>
      <c r="I1335">
        <v>4753065</v>
      </c>
      <c r="J1335">
        <v>206655</v>
      </c>
      <c r="K1335">
        <v>32340</v>
      </c>
      <c r="L1335">
        <v>81396</v>
      </c>
      <c r="M1335">
        <v>6.7400000000000002E-2</v>
      </c>
      <c r="N1335">
        <v>0.751</v>
      </c>
      <c r="O1335">
        <v>1</v>
      </c>
      <c r="P1335" t="b">
        <f t="shared" si="41"/>
        <v>1</v>
      </c>
      <c r="Q1335" t="str">
        <f t="shared" si="40"/>
        <v>Positive</v>
      </c>
    </row>
    <row r="1336" spans="1:17" x14ac:dyDescent="0.3">
      <c r="A1336" t="s">
        <v>2277</v>
      </c>
      <c r="B1336" t="s">
        <v>27</v>
      </c>
      <c r="C1336" t="s">
        <v>17</v>
      </c>
      <c r="D1336" t="s">
        <v>33</v>
      </c>
      <c r="E1336" t="s">
        <v>51</v>
      </c>
      <c r="F1336" t="s">
        <v>20</v>
      </c>
      <c r="G1336" s="1">
        <v>45414</v>
      </c>
      <c r="H1336" t="s">
        <v>160</v>
      </c>
      <c r="I1336">
        <v>5903324</v>
      </c>
      <c r="J1336">
        <v>421666</v>
      </c>
      <c r="K1336">
        <v>41937</v>
      </c>
      <c r="L1336">
        <v>33799</v>
      </c>
      <c r="M1336">
        <v>8.43E-2</v>
      </c>
      <c r="N1336">
        <v>0.52900000000000003</v>
      </c>
      <c r="O1336">
        <v>1</v>
      </c>
      <c r="P1336" t="b">
        <f t="shared" si="41"/>
        <v>1</v>
      </c>
      <c r="Q1336" t="str">
        <f t="shared" si="40"/>
        <v>Positive</v>
      </c>
    </row>
    <row r="1337" spans="1:17" x14ac:dyDescent="0.3">
      <c r="A1337" t="s">
        <v>2278</v>
      </c>
      <c r="B1337" t="s">
        <v>66</v>
      </c>
      <c r="C1337" t="s">
        <v>17</v>
      </c>
      <c r="D1337" t="s">
        <v>33</v>
      </c>
      <c r="E1337" t="s">
        <v>19</v>
      </c>
      <c r="F1337" t="s">
        <v>55</v>
      </c>
      <c r="G1337" s="1">
        <v>45645</v>
      </c>
      <c r="H1337" t="s">
        <v>1053</v>
      </c>
      <c r="I1337">
        <v>3809240</v>
      </c>
      <c r="J1337">
        <v>380924</v>
      </c>
      <c r="K1337">
        <v>17302</v>
      </c>
      <c r="L1337">
        <v>71895</v>
      </c>
      <c r="M1337">
        <v>0.1234</v>
      </c>
      <c r="N1337">
        <v>0.36499999999999999</v>
      </c>
      <c r="O1337">
        <v>1</v>
      </c>
      <c r="P1337" t="b">
        <f t="shared" si="41"/>
        <v>1</v>
      </c>
      <c r="Q1337" t="str">
        <f t="shared" si="40"/>
        <v>Positive</v>
      </c>
    </row>
    <row r="1338" spans="1:17" x14ac:dyDescent="0.3">
      <c r="A1338" t="s">
        <v>2279</v>
      </c>
      <c r="B1338" t="s">
        <v>32</v>
      </c>
      <c r="C1338" t="s">
        <v>28</v>
      </c>
      <c r="D1338" t="s">
        <v>37</v>
      </c>
      <c r="E1338" t="s">
        <v>19</v>
      </c>
      <c r="F1338" t="s">
        <v>46</v>
      </c>
      <c r="G1338" s="1">
        <v>45572</v>
      </c>
      <c r="H1338" t="s">
        <v>42</v>
      </c>
      <c r="I1338">
        <v>8888208</v>
      </c>
      <c r="J1338">
        <v>317436</v>
      </c>
      <c r="K1338">
        <v>1467</v>
      </c>
      <c r="L1338">
        <v>64174</v>
      </c>
      <c r="M1338">
        <v>4.3099999999999999E-2</v>
      </c>
      <c r="N1338">
        <v>-0.53700000000000003</v>
      </c>
      <c r="O1338">
        <v>1</v>
      </c>
      <c r="P1338" t="b">
        <f t="shared" si="41"/>
        <v>1</v>
      </c>
      <c r="Q1338" t="str">
        <f t="shared" si="40"/>
        <v>Negative</v>
      </c>
    </row>
    <row r="1339" spans="1:17" x14ac:dyDescent="0.3">
      <c r="A1339" t="s">
        <v>2280</v>
      </c>
      <c r="B1339" t="s">
        <v>32</v>
      </c>
      <c r="C1339" t="s">
        <v>23</v>
      </c>
      <c r="D1339" t="s">
        <v>37</v>
      </c>
      <c r="E1339" t="s">
        <v>19</v>
      </c>
      <c r="F1339" t="s">
        <v>24</v>
      </c>
      <c r="G1339" s="1">
        <v>45374</v>
      </c>
      <c r="H1339" t="s">
        <v>2281</v>
      </c>
      <c r="I1339">
        <v>1053516</v>
      </c>
      <c r="J1339">
        <v>175586</v>
      </c>
      <c r="K1339">
        <v>15479</v>
      </c>
      <c r="L1339">
        <v>72574</v>
      </c>
      <c r="M1339">
        <v>0.25019999999999998</v>
      </c>
      <c r="N1339">
        <v>-0.873</v>
      </c>
      <c r="O1339">
        <v>0</v>
      </c>
      <c r="P1339" t="b">
        <f t="shared" si="41"/>
        <v>0</v>
      </c>
      <c r="Q1339" t="str">
        <f t="shared" si="40"/>
        <v>Negative</v>
      </c>
    </row>
    <row r="1340" spans="1:17" x14ac:dyDescent="0.3">
      <c r="A1340" t="s">
        <v>2282</v>
      </c>
      <c r="B1340" t="s">
        <v>32</v>
      </c>
      <c r="C1340" t="s">
        <v>17</v>
      </c>
      <c r="D1340" t="s">
        <v>73</v>
      </c>
      <c r="E1340" t="s">
        <v>38</v>
      </c>
      <c r="F1340" t="s">
        <v>34</v>
      </c>
      <c r="G1340" s="1">
        <v>45409</v>
      </c>
      <c r="H1340" t="s">
        <v>2283</v>
      </c>
      <c r="I1340">
        <v>269720</v>
      </c>
      <c r="J1340">
        <v>13486</v>
      </c>
      <c r="K1340">
        <v>6226</v>
      </c>
      <c r="L1340">
        <v>23475</v>
      </c>
      <c r="M1340">
        <v>0.16009999999999999</v>
      </c>
      <c r="N1340">
        <v>-0.34200000000000003</v>
      </c>
      <c r="O1340">
        <v>0</v>
      </c>
      <c r="P1340" t="b">
        <f t="shared" si="41"/>
        <v>0</v>
      </c>
      <c r="Q1340" t="str">
        <f t="shared" si="40"/>
        <v>Negative</v>
      </c>
    </row>
    <row r="1341" spans="1:17" x14ac:dyDescent="0.3">
      <c r="A1341" t="s">
        <v>2284</v>
      </c>
      <c r="B1341" t="s">
        <v>66</v>
      </c>
      <c r="C1341" t="s">
        <v>23</v>
      </c>
      <c r="D1341" t="s">
        <v>73</v>
      </c>
      <c r="E1341" t="s">
        <v>51</v>
      </c>
      <c r="F1341" t="s">
        <v>20</v>
      </c>
      <c r="G1341" s="1">
        <v>45326</v>
      </c>
      <c r="H1341" t="s">
        <v>2261</v>
      </c>
      <c r="I1341">
        <v>4242756</v>
      </c>
      <c r="J1341">
        <v>353563</v>
      </c>
      <c r="K1341">
        <v>40162</v>
      </c>
      <c r="L1341">
        <v>4923</v>
      </c>
      <c r="M1341">
        <v>9.4E-2</v>
      </c>
      <c r="N1341">
        <v>0.74299999999999999</v>
      </c>
      <c r="O1341">
        <v>1</v>
      </c>
      <c r="P1341" t="b">
        <f t="shared" si="41"/>
        <v>1</v>
      </c>
      <c r="Q1341" t="str">
        <f t="shared" si="40"/>
        <v>Positive</v>
      </c>
    </row>
    <row r="1342" spans="1:17" x14ac:dyDescent="0.3">
      <c r="A1342" t="s">
        <v>2285</v>
      </c>
      <c r="B1342" t="s">
        <v>16</v>
      </c>
      <c r="C1342" t="s">
        <v>61</v>
      </c>
      <c r="D1342" t="s">
        <v>33</v>
      </c>
      <c r="E1342" t="s">
        <v>41</v>
      </c>
      <c r="F1342" t="s">
        <v>24</v>
      </c>
      <c r="G1342" s="1">
        <v>45561</v>
      </c>
      <c r="H1342" t="s">
        <v>2286</v>
      </c>
      <c r="I1342">
        <v>576785</v>
      </c>
      <c r="J1342">
        <v>52435</v>
      </c>
      <c r="K1342">
        <v>32484</v>
      </c>
      <c r="L1342">
        <v>52950</v>
      </c>
      <c r="M1342">
        <v>0.23899999999999999</v>
      </c>
      <c r="N1342">
        <v>-0.73699999999999999</v>
      </c>
      <c r="O1342">
        <v>0</v>
      </c>
      <c r="P1342" t="b">
        <f t="shared" si="41"/>
        <v>0</v>
      </c>
      <c r="Q1342" t="str">
        <f t="shared" si="40"/>
        <v>Negative</v>
      </c>
    </row>
    <row r="1343" spans="1:17" x14ac:dyDescent="0.3">
      <c r="A1343" t="s">
        <v>2287</v>
      </c>
      <c r="B1343" t="s">
        <v>66</v>
      </c>
      <c r="C1343" t="s">
        <v>28</v>
      </c>
      <c r="D1343" t="s">
        <v>29</v>
      </c>
      <c r="E1343" t="s">
        <v>19</v>
      </c>
      <c r="F1343" t="s">
        <v>46</v>
      </c>
      <c r="G1343" s="1">
        <v>45370</v>
      </c>
      <c r="H1343" t="s">
        <v>2288</v>
      </c>
      <c r="I1343">
        <v>4374192</v>
      </c>
      <c r="J1343">
        <v>364516</v>
      </c>
      <c r="K1343">
        <v>2721</v>
      </c>
      <c r="L1343">
        <v>16575</v>
      </c>
      <c r="M1343">
        <v>8.77E-2</v>
      </c>
      <c r="N1343">
        <v>0.35499999999999998</v>
      </c>
      <c r="O1343">
        <v>1</v>
      </c>
      <c r="P1343" t="b">
        <f t="shared" si="41"/>
        <v>1</v>
      </c>
      <c r="Q1343" t="str">
        <f t="shared" si="40"/>
        <v>Positive</v>
      </c>
    </row>
    <row r="1344" spans="1:17" x14ac:dyDescent="0.3">
      <c r="A1344" t="s">
        <v>2289</v>
      </c>
      <c r="B1344" t="s">
        <v>16</v>
      </c>
      <c r="C1344" t="s">
        <v>61</v>
      </c>
      <c r="D1344" t="s">
        <v>33</v>
      </c>
      <c r="E1344" t="s">
        <v>51</v>
      </c>
      <c r="F1344" t="s">
        <v>55</v>
      </c>
      <c r="G1344" s="1">
        <v>45477</v>
      </c>
      <c r="H1344" t="s">
        <v>2290</v>
      </c>
      <c r="I1344">
        <v>11371932</v>
      </c>
      <c r="J1344">
        <v>437382</v>
      </c>
      <c r="K1344">
        <v>49535</v>
      </c>
      <c r="L1344">
        <v>61827</v>
      </c>
      <c r="M1344">
        <v>4.8300000000000003E-2</v>
      </c>
      <c r="N1344">
        <v>-0.38600000000000001</v>
      </c>
      <c r="O1344">
        <v>1</v>
      </c>
      <c r="P1344" t="b">
        <f t="shared" si="41"/>
        <v>1</v>
      </c>
      <c r="Q1344" t="str">
        <f t="shared" si="40"/>
        <v>Negative</v>
      </c>
    </row>
    <row r="1345" spans="1:17" x14ac:dyDescent="0.3">
      <c r="A1345" t="s">
        <v>2291</v>
      </c>
      <c r="B1345" t="s">
        <v>32</v>
      </c>
      <c r="C1345" t="s">
        <v>17</v>
      </c>
      <c r="D1345" t="s">
        <v>33</v>
      </c>
      <c r="E1345" t="s">
        <v>19</v>
      </c>
      <c r="F1345" t="s">
        <v>24</v>
      </c>
      <c r="G1345" s="1">
        <v>45571</v>
      </c>
      <c r="H1345" t="s">
        <v>2292</v>
      </c>
      <c r="I1345">
        <v>2856590</v>
      </c>
      <c r="J1345">
        <v>259690</v>
      </c>
      <c r="K1345">
        <v>468</v>
      </c>
      <c r="L1345">
        <v>31974</v>
      </c>
      <c r="M1345">
        <v>0.1023</v>
      </c>
      <c r="N1345">
        <v>-0.23300000000000001</v>
      </c>
      <c r="O1345">
        <v>1</v>
      </c>
      <c r="P1345" t="b">
        <f t="shared" si="41"/>
        <v>1</v>
      </c>
      <c r="Q1345" t="str">
        <f t="shared" si="40"/>
        <v>Negative</v>
      </c>
    </row>
    <row r="1346" spans="1:17" x14ac:dyDescent="0.3">
      <c r="A1346" t="s">
        <v>2293</v>
      </c>
      <c r="B1346" t="s">
        <v>32</v>
      </c>
      <c r="C1346" t="s">
        <v>28</v>
      </c>
      <c r="D1346" t="s">
        <v>54</v>
      </c>
      <c r="E1346" t="s">
        <v>38</v>
      </c>
      <c r="F1346" t="s">
        <v>46</v>
      </c>
      <c r="G1346" s="1">
        <v>45557</v>
      </c>
      <c r="H1346" t="s">
        <v>2294</v>
      </c>
      <c r="I1346">
        <v>3951528</v>
      </c>
      <c r="J1346">
        <v>282252</v>
      </c>
      <c r="K1346">
        <v>46207</v>
      </c>
      <c r="L1346">
        <v>70475</v>
      </c>
      <c r="M1346">
        <v>0.10100000000000001</v>
      </c>
      <c r="N1346">
        <v>9.8000000000000004E-2</v>
      </c>
      <c r="O1346">
        <v>1</v>
      </c>
      <c r="P1346" t="b">
        <f t="shared" si="41"/>
        <v>1</v>
      </c>
      <c r="Q1346" t="str">
        <f t="shared" ref="Q1346:Q1409" si="42">IF(N1346&gt;0,"Positive","Negative")</f>
        <v>Positive</v>
      </c>
    </row>
    <row r="1347" spans="1:17" x14ac:dyDescent="0.3">
      <c r="A1347" t="s">
        <v>2295</v>
      </c>
      <c r="B1347" t="s">
        <v>16</v>
      </c>
      <c r="C1347" t="s">
        <v>17</v>
      </c>
      <c r="D1347" t="s">
        <v>37</v>
      </c>
      <c r="E1347" t="s">
        <v>58</v>
      </c>
      <c r="F1347" t="s">
        <v>46</v>
      </c>
      <c r="G1347" s="1">
        <v>45530</v>
      </c>
      <c r="H1347" t="s">
        <v>2296</v>
      </c>
      <c r="I1347">
        <v>6080529</v>
      </c>
      <c r="J1347">
        <v>467733</v>
      </c>
      <c r="K1347">
        <v>5608</v>
      </c>
      <c r="L1347">
        <v>34981</v>
      </c>
      <c r="M1347">
        <v>8.3599999999999994E-2</v>
      </c>
      <c r="N1347">
        <v>-0.38400000000000001</v>
      </c>
      <c r="O1347">
        <v>1</v>
      </c>
      <c r="P1347" t="b">
        <f t="shared" ref="P1347:P1410" si="43">IF(O1347=1,TRUE,FALSE)</f>
        <v>1</v>
      </c>
      <c r="Q1347" t="str">
        <f t="shared" si="42"/>
        <v>Negative</v>
      </c>
    </row>
    <row r="1348" spans="1:17" x14ac:dyDescent="0.3">
      <c r="A1348" t="s">
        <v>2297</v>
      </c>
      <c r="B1348" t="s">
        <v>66</v>
      </c>
      <c r="C1348" t="s">
        <v>23</v>
      </c>
      <c r="D1348" t="s">
        <v>54</v>
      </c>
      <c r="E1348" t="s">
        <v>51</v>
      </c>
      <c r="F1348" t="s">
        <v>34</v>
      </c>
      <c r="G1348" s="1">
        <v>45436</v>
      </c>
      <c r="H1348" t="s">
        <v>2298</v>
      </c>
      <c r="I1348">
        <v>1053396</v>
      </c>
      <c r="J1348">
        <v>117044</v>
      </c>
      <c r="K1348">
        <v>28391</v>
      </c>
      <c r="L1348">
        <v>11696</v>
      </c>
      <c r="M1348">
        <v>0.1492</v>
      </c>
      <c r="N1348">
        <v>0.96199999999999997</v>
      </c>
      <c r="O1348">
        <v>0</v>
      </c>
      <c r="P1348" t="b">
        <f t="shared" si="43"/>
        <v>0</v>
      </c>
      <c r="Q1348" t="str">
        <f t="shared" si="42"/>
        <v>Positive</v>
      </c>
    </row>
    <row r="1349" spans="1:17" x14ac:dyDescent="0.3">
      <c r="A1349" t="s">
        <v>2299</v>
      </c>
      <c r="B1349" t="s">
        <v>27</v>
      </c>
      <c r="C1349" t="s">
        <v>17</v>
      </c>
      <c r="D1349" t="s">
        <v>37</v>
      </c>
      <c r="E1349" t="s">
        <v>58</v>
      </c>
      <c r="F1349" t="s">
        <v>55</v>
      </c>
      <c r="G1349" s="1">
        <v>45356</v>
      </c>
      <c r="H1349" t="s">
        <v>2300</v>
      </c>
      <c r="I1349">
        <v>11946384</v>
      </c>
      <c r="J1349">
        <v>497766</v>
      </c>
      <c r="K1349">
        <v>33144</v>
      </c>
      <c r="L1349">
        <v>8803</v>
      </c>
      <c r="M1349">
        <v>4.5199999999999997E-2</v>
      </c>
      <c r="N1349">
        <v>-6.2E-2</v>
      </c>
      <c r="O1349">
        <v>1</v>
      </c>
      <c r="P1349" t="b">
        <f t="shared" si="43"/>
        <v>1</v>
      </c>
      <c r="Q1349" t="str">
        <f t="shared" si="42"/>
        <v>Negative</v>
      </c>
    </row>
    <row r="1350" spans="1:17" x14ac:dyDescent="0.3">
      <c r="A1350" t="s">
        <v>2301</v>
      </c>
      <c r="B1350" t="s">
        <v>32</v>
      </c>
      <c r="C1350" t="s">
        <v>23</v>
      </c>
      <c r="D1350" t="s">
        <v>33</v>
      </c>
      <c r="E1350" t="s">
        <v>41</v>
      </c>
      <c r="F1350" t="s">
        <v>46</v>
      </c>
      <c r="G1350" s="1">
        <v>45346</v>
      </c>
      <c r="H1350" t="s">
        <v>1435</v>
      </c>
      <c r="I1350">
        <v>6224463</v>
      </c>
      <c r="J1350">
        <v>296403</v>
      </c>
      <c r="K1350">
        <v>11521</v>
      </c>
      <c r="L1350">
        <v>50493</v>
      </c>
      <c r="M1350">
        <v>5.7599999999999998E-2</v>
      </c>
      <c r="N1350">
        <v>-0.39200000000000002</v>
      </c>
      <c r="O1350">
        <v>1</v>
      </c>
      <c r="P1350" t="b">
        <f t="shared" si="43"/>
        <v>1</v>
      </c>
      <c r="Q1350" t="str">
        <f t="shared" si="42"/>
        <v>Negative</v>
      </c>
    </row>
    <row r="1351" spans="1:17" x14ac:dyDescent="0.3">
      <c r="A1351" t="s">
        <v>2302</v>
      </c>
      <c r="B1351" t="s">
        <v>32</v>
      </c>
      <c r="C1351" t="s">
        <v>28</v>
      </c>
      <c r="D1351" t="s">
        <v>18</v>
      </c>
      <c r="E1351" t="s">
        <v>38</v>
      </c>
      <c r="F1351" t="s">
        <v>34</v>
      </c>
      <c r="G1351" s="1">
        <v>45344</v>
      </c>
      <c r="H1351" t="s">
        <v>2303</v>
      </c>
      <c r="I1351">
        <v>8193658</v>
      </c>
      <c r="J1351">
        <v>372439</v>
      </c>
      <c r="K1351">
        <v>47771</v>
      </c>
      <c r="L1351">
        <v>38738</v>
      </c>
      <c r="M1351">
        <v>5.6000000000000001E-2</v>
      </c>
      <c r="N1351">
        <v>-0.38700000000000001</v>
      </c>
      <c r="O1351">
        <v>1</v>
      </c>
      <c r="P1351" t="b">
        <f t="shared" si="43"/>
        <v>1</v>
      </c>
      <c r="Q1351" t="str">
        <f t="shared" si="42"/>
        <v>Negative</v>
      </c>
    </row>
    <row r="1352" spans="1:17" x14ac:dyDescent="0.3">
      <c r="A1352" t="s">
        <v>2304</v>
      </c>
      <c r="B1352" t="s">
        <v>32</v>
      </c>
      <c r="C1352" t="s">
        <v>17</v>
      </c>
      <c r="D1352" t="s">
        <v>18</v>
      </c>
      <c r="E1352" t="s">
        <v>41</v>
      </c>
      <c r="F1352" t="s">
        <v>55</v>
      </c>
      <c r="G1352" s="1">
        <v>45613</v>
      </c>
      <c r="H1352" t="s">
        <v>358</v>
      </c>
      <c r="I1352">
        <v>4739151</v>
      </c>
      <c r="J1352">
        <v>249429</v>
      </c>
      <c r="K1352">
        <v>5459</v>
      </c>
      <c r="L1352">
        <v>91718</v>
      </c>
      <c r="M1352">
        <v>7.3099999999999998E-2</v>
      </c>
      <c r="N1352">
        <v>0.72499999999999998</v>
      </c>
      <c r="O1352">
        <v>1</v>
      </c>
      <c r="P1352" t="b">
        <f t="shared" si="43"/>
        <v>1</v>
      </c>
      <c r="Q1352" t="str">
        <f t="shared" si="42"/>
        <v>Positive</v>
      </c>
    </row>
    <row r="1353" spans="1:17" x14ac:dyDescent="0.3">
      <c r="A1353" t="s">
        <v>2305</v>
      </c>
      <c r="B1353" t="s">
        <v>27</v>
      </c>
      <c r="C1353" t="s">
        <v>61</v>
      </c>
      <c r="D1353" t="s">
        <v>37</v>
      </c>
      <c r="E1353" t="s">
        <v>19</v>
      </c>
      <c r="F1353" t="s">
        <v>55</v>
      </c>
      <c r="G1353" s="1">
        <v>45571</v>
      </c>
      <c r="H1353" t="s">
        <v>2306</v>
      </c>
      <c r="I1353">
        <v>3314094</v>
      </c>
      <c r="J1353">
        <v>174426</v>
      </c>
      <c r="K1353">
        <v>24332</v>
      </c>
      <c r="L1353">
        <v>53635</v>
      </c>
      <c r="M1353">
        <v>7.6200000000000004E-2</v>
      </c>
      <c r="N1353">
        <v>0.72699999999999998</v>
      </c>
      <c r="O1353">
        <v>1</v>
      </c>
      <c r="P1353" t="b">
        <f t="shared" si="43"/>
        <v>1</v>
      </c>
      <c r="Q1353" t="str">
        <f t="shared" si="42"/>
        <v>Positive</v>
      </c>
    </row>
    <row r="1354" spans="1:17" x14ac:dyDescent="0.3">
      <c r="A1354" t="s">
        <v>2307</v>
      </c>
      <c r="B1354" t="s">
        <v>32</v>
      </c>
      <c r="C1354" t="s">
        <v>17</v>
      </c>
      <c r="D1354" t="s">
        <v>37</v>
      </c>
      <c r="E1354" t="s">
        <v>38</v>
      </c>
      <c r="F1354" t="s">
        <v>55</v>
      </c>
      <c r="G1354" s="1">
        <v>45481</v>
      </c>
      <c r="H1354" t="s">
        <v>2308</v>
      </c>
      <c r="I1354">
        <v>8845944</v>
      </c>
      <c r="J1354">
        <v>368581</v>
      </c>
      <c r="K1354">
        <v>33756</v>
      </c>
      <c r="L1354">
        <v>87528</v>
      </c>
      <c r="M1354">
        <v>5.5399999999999998E-2</v>
      </c>
      <c r="N1354">
        <v>8.8999999999999996E-2</v>
      </c>
      <c r="O1354">
        <v>1</v>
      </c>
      <c r="P1354" t="b">
        <f t="shared" si="43"/>
        <v>1</v>
      </c>
      <c r="Q1354" t="str">
        <f t="shared" si="42"/>
        <v>Positive</v>
      </c>
    </row>
    <row r="1355" spans="1:17" x14ac:dyDescent="0.3">
      <c r="A1355" t="s">
        <v>2309</v>
      </c>
      <c r="B1355" t="s">
        <v>66</v>
      </c>
      <c r="C1355" t="s">
        <v>61</v>
      </c>
      <c r="D1355" t="s">
        <v>73</v>
      </c>
      <c r="E1355" t="s">
        <v>41</v>
      </c>
      <c r="F1355" t="s">
        <v>46</v>
      </c>
      <c r="G1355" s="1">
        <v>45397</v>
      </c>
      <c r="H1355" t="s">
        <v>2310</v>
      </c>
      <c r="I1355">
        <v>5476104</v>
      </c>
      <c r="J1355">
        <v>304228</v>
      </c>
      <c r="K1355">
        <v>41510</v>
      </c>
      <c r="L1355">
        <v>62700</v>
      </c>
      <c r="M1355">
        <v>7.46E-2</v>
      </c>
      <c r="N1355">
        <v>-0.312</v>
      </c>
      <c r="O1355">
        <v>1</v>
      </c>
      <c r="P1355" t="b">
        <f t="shared" si="43"/>
        <v>1</v>
      </c>
      <c r="Q1355" t="str">
        <f t="shared" si="42"/>
        <v>Negative</v>
      </c>
    </row>
    <row r="1356" spans="1:17" x14ac:dyDescent="0.3">
      <c r="A1356" t="s">
        <v>2311</v>
      </c>
      <c r="B1356" t="s">
        <v>16</v>
      </c>
      <c r="C1356" t="s">
        <v>61</v>
      </c>
      <c r="D1356" t="s">
        <v>29</v>
      </c>
      <c r="E1356" t="s">
        <v>51</v>
      </c>
      <c r="F1356" t="s">
        <v>20</v>
      </c>
      <c r="G1356" s="1">
        <v>45357</v>
      </c>
      <c r="H1356" t="s">
        <v>2312</v>
      </c>
      <c r="I1356">
        <v>1703031</v>
      </c>
      <c r="J1356">
        <v>154821</v>
      </c>
      <c r="K1356">
        <v>42070</v>
      </c>
      <c r="L1356">
        <v>92662</v>
      </c>
      <c r="M1356">
        <v>0.17</v>
      </c>
      <c r="N1356">
        <v>0.76</v>
      </c>
      <c r="O1356">
        <v>0</v>
      </c>
      <c r="P1356" t="b">
        <f t="shared" si="43"/>
        <v>0</v>
      </c>
      <c r="Q1356" t="str">
        <f t="shared" si="42"/>
        <v>Positive</v>
      </c>
    </row>
    <row r="1357" spans="1:17" x14ac:dyDescent="0.3">
      <c r="A1357" t="s">
        <v>2313</v>
      </c>
      <c r="B1357" t="s">
        <v>27</v>
      </c>
      <c r="C1357" t="s">
        <v>28</v>
      </c>
      <c r="D1357" t="s">
        <v>33</v>
      </c>
      <c r="E1357" t="s">
        <v>51</v>
      </c>
      <c r="F1357" t="s">
        <v>24</v>
      </c>
      <c r="G1357" s="1">
        <v>45417</v>
      </c>
      <c r="H1357" t="s">
        <v>340</v>
      </c>
      <c r="I1357">
        <v>3444794</v>
      </c>
      <c r="J1357">
        <v>118786</v>
      </c>
      <c r="K1357">
        <v>3780</v>
      </c>
      <c r="L1357">
        <v>27389</v>
      </c>
      <c r="M1357">
        <v>4.3499999999999997E-2</v>
      </c>
      <c r="N1357">
        <v>-0.72299999999999998</v>
      </c>
      <c r="O1357">
        <v>1</v>
      </c>
      <c r="P1357" t="b">
        <f t="shared" si="43"/>
        <v>1</v>
      </c>
      <c r="Q1357" t="str">
        <f t="shared" si="42"/>
        <v>Negative</v>
      </c>
    </row>
    <row r="1358" spans="1:17" x14ac:dyDescent="0.3">
      <c r="A1358" t="s">
        <v>2314</v>
      </c>
      <c r="B1358" t="s">
        <v>27</v>
      </c>
      <c r="C1358" t="s">
        <v>28</v>
      </c>
      <c r="D1358" t="s">
        <v>33</v>
      </c>
      <c r="E1358" t="s">
        <v>38</v>
      </c>
      <c r="F1358" t="s">
        <v>46</v>
      </c>
      <c r="G1358" s="1">
        <v>45491</v>
      </c>
      <c r="H1358" t="s">
        <v>2315</v>
      </c>
      <c r="I1358">
        <v>1895298</v>
      </c>
      <c r="J1358">
        <v>315883</v>
      </c>
      <c r="K1358">
        <v>48479</v>
      </c>
      <c r="L1358">
        <v>14646</v>
      </c>
      <c r="M1358">
        <v>0.2</v>
      </c>
      <c r="N1358">
        <v>-0.85299999999999998</v>
      </c>
      <c r="O1358">
        <v>0</v>
      </c>
      <c r="P1358" t="b">
        <f t="shared" si="43"/>
        <v>0</v>
      </c>
      <c r="Q1358" t="str">
        <f t="shared" si="42"/>
        <v>Negative</v>
      </c>
    </row>
    <row r="1359" spans="1:17" x14ac:dyDescent="0.3">
      <c r="A1359" t="s">
        <v>2316</v>
      </c>
      <c r="B1359" t="s">
        <v>32</v>
      </c>
      <c r="C1359" t="s">
        <v>17</v>
      </c>
      <c r="D1359" t="s">
        <v>73</v>
      </c>
      <c r="E1359" t="s">
        <v>38</v>
      </c>
      <c r="F1359" t="s">
        <v>20</v>
      </c>
      <c r="G1359" s="1">
        <v>45348</v>
      </c>
      <c r="H1359" t="s">
        <v>2317</v>
      </c>
      <c r="I1359">
        <v>6218904</v>
      </c>
      <c r="J1359">
        <v>259121</v>
      </c>
      <c r="K1359">
        <v>15965</v>
      </c>
      <c r="L1359">
        <v>11358</v>
      </c>
      <c r="M1359">
        <v>4.6100000000000002E-2</v>
      </c>
      <c r="N1359">
        <v>-0.156</v>
      </c>
      <c r="O1359">
        <v>1</v>
      </c>
      <c r="P1359" t="b">
        <f t="shared" si="43"/>
        <v>1</v>
      </c>
      <c r="Q1359" t="str">
        <f t="shared" si="42"/>
        <v>Negative</v>
      </c>
    </row>
    <row r="1360" spans="1:17" x14ac:dyDescent="0.3">
      <c r="A1360" t="s">
        <v>2318</v>
      </c>
      <c r="B1360" t="s">
        <v>16</v>
      </c>
      <c r="C1360" t="s">
        <v>28</v>
      </c>
      <c r="D1360" t="s">
        <v>37</v>
      </c>
      <c r="E1360" t="s">
        <v>38</v>
      </c>
      <c r="F1360" t="s">
        <v>24</v>
      </c>
      <c r="G1360" s="1">
        <v>45617</v>
      </c>
      <c r="H1360" t="s">
        <v>2319</v>
      </c>
      <c r="I1360">
        <v>2556640</v>
      </c>
      <c r="J1360">
        <v>127832</v>
      </c>
      <c r="K1360">
        <v>14631</v>
      </c>
      <c r="L1360">
        <v>28133</v>
      </c>
      <c r="M1360">
        <v>6.6699999999999995E-2</v>
      </c>
      <c r="N1360">
        <v>0.70599999999999996</v>
      </c>
      <c r="O1360">
        <v>1</v>
      </c>
      <c r="P1360" t="b">
        <f t="shared" si="43"/>
        <v>1</v>
      </c>
      <c r="Q1360" t="str">
        <f t="shared" si="42"/>
        <v>Positive</v>
      </c>
    </row>
    <row r="1361" spans="1:17" x14ac:dyDescent="0.3">
      <c r="A1361" t="s">
        <v>2320</v>
      </c>
      <c r="B1361" t="s">
        <v>27</v>
      </c>
      <c r="C1361" t="s">
        <v>28</v>
      </c>
      <c r="D1361" t="s">
        <v>73</v>
      </c>
      <c r="E1361" t="s">
        <v>38</v>
      </c>
      <c r="F1361" t="s">
        <v>55</v>
      </c>
      <c r="G1361" s="1">
        <v>45542</v>
      </c>
      <c r="H1361" t="s">
        <v>2321</v>
      </c>
      <c r="I1361">
        <v>7638687</v>
      </c>
      <c r="J1361">
        <v>363747</v>
      </c>
      <c r="K1361">
        <v>39541</v>
      </c>
      <c r="L1361">
        <v>9131</v>
      </c>
      <c r="M1361">
        <v>5.3999999999999999E-2</v>
      </c>
      <c r="N1361">
        <v>-0.44600000000000001</v>
      </c>
      <c r="O1361">
        <v>1</v>
      </c>
      <c r="P1361" t="b">
        <f t="shared" si="43"/>
        <v>1</v>
      </c>
      <c r="Q1361" t="str">
        <f t="shared" si="42"/>
        <v>Negative</v>
      </c>
    </row>
    <row r="1362" spans="1:17" x14ac:dyDescent="0.3">
      <c r="A1362" t="s">
        <v>2322</v>
      </c>
      <c r="B1362" t="s">
        <v>66</v>
      </c>
      <c r="C1362" t="s">
        <v>28</v>
      </c>
      <c r="D1362" t="s">
        <v>54</v>
      </c>
      <c r="E1362" t="s">
        <v>58</v>
      </c>
      <c r="F1362" t="s">
        <v>24</v>
      </c>
      <c r="G1362" s="1">
        <v>45587</v>
      </c>
      <c r="H1362" t="s">
        <v>213</v>
      </c>
      <c r="I1362">
        <v>4571850</v>
      </c>
      <c r="J1362">
        <v>182874</v>
      </c>
      <c r="K1362">
        <v>36998</v>
      </c>
      <c r="L1362">
        <v>31876</v>
      </c>
      <c r="M1362">
        <v>5.5100000000000003E-2</v>
      </c>
      <c r="N1362">
        <v>0.32200000000000001</v>
      </c>
      <c r="O1362">
        <v>1</v>
      </c>
      <c r="P1362" t="b">
        <f t="shared" si="43"/>
        <v>1</v>
      </c>
      <c r="Q1362" t="str">
        <f t="shared" si="42"/>
        <v>Positive</v>
      </c>
    </row>
    <row r="1363" spans="1:17" x14ac:dyDescent="0.3">
      <c r="A1363" t="s">
        <v>2323</v>
      </c>
      <c r="B1363" t="s">
        <v>27</v>
      </c>
      <c r="C1363" t="s">
        <v>28</v>
      </c>
      <c r="D1363" t="s">
        <v>37</v>
      </c>
      <c r="E1363" t="s">
        <v>58</v>
      </c>
      <c r="F1363" t="s">
        <v>20</v>
      </c>
      <c r="G1363" s="1">
        <v>45631</v>
      </c>
      <c r="H1363" t="s">
        <v>2324</v>
      </c>
      <c r="I1363">
        <v>1182027</v>
      </c>
      <c r="J1363">
        <v>107457</v>
      </c>
      <c r="K1363">
        <v>48522</v>
      </c>
      <c r="L1363">
        <v>76369</v>
      </c>
      <c r="M1363">
        <v>0.1966</v>
      </c>
      <c r="N1363">
        <v>0.69099999999999995</v>
      </c>
      <c r="O1363">
        <v>0</v>
      </c>
      <c r="P1363" t="b">
        <f t="shared" si="43"/>
        <v>0</v>
      </c>
      <c r="Q1363" t="str">
        <f t="shared" si="42"/>
        <v>Positive</v>
      </c>
    </row>
    <row r="1364" spans="1:17" x14ac:dyDescent="0.3">
      <c r="A1364" t="s">
        <v>2325</v>
      </c>
      <c r="B1364" t="s">
        <v>27</v>
      </c>
      <c r="C1364" t="s">
        <v>23</v>
      </c>
      <c r="D1364" t="s">
        <v>54</v>
      </c>
      <c r="E1364" t="s">
        <v>51</v>
      </c>
      <c r="F1364" t="s">
        <v>20</v>
      </c>
      <c r="G1364" s="1">
        <v>45655</v>
      </c>
      <c r="H1364" t="s">
        <v>927</v>
      </c>
      <c r="I1364">
        <v>8082200</v>
      </c>
      <c r="J1364">
        <v>351400</v>
      </c>
      <c r="K1364">
        <v>28312</v>
      </c>
      <c r="L1364">
        <v>67088</v>
      </c>
      <c r="M1364">
        <v>5.5300000000000002E-2</v>
      </c>
      <c r="N1364">
        <v>-0.89100000000000001</v>
      </c>
      <c r="O1364">
        <v>1</v>
      </c>
      <c r="P1364" t="b">
        <f t="shared" si="43"/>
        <v>1</v>
      </c>
      <c r="Q1364" t="str">
        <f t="shared" si="42"/>
        <v>Negative</v>
      </c>
    </row>
    <row r="1365" spans="1:17" x14ac:dyDescent="0.3">
      <c r="A1365" t="s">
        <v>2326</v>
      </c>
      <c r="B1365" t="s">
        <v>66</v>
      </c>
      <c r="C1365" t="s">
        <v>28</v>
      </c>
      <c r="D1365" t="s">
        <v>73</v>
      </c>
      <c r="E1365" t="s">
        <v>51</v>
      </c>
      <c r="F1365" t="s">
        <v>55</v>
      </c>
      <c r="G1365" s="1">
        <v>45489</v>
      </c>
      <c r="H1365" t="s">
        <v>2327</v>
      </c>
      <c r="I1365">
        <v>2303615</v>
      </c>
      <c r="J1365">
        <v>79435</v>
      </c>
      <c r="K1365">
        <v>26317</v>
      </c>
      <c r="L1365">
        <v>66986</v>
      </c>
      <c r="M1365">
        <v>7.4999999999999997E-2</v>
      </c>
      <c r="N1365">
        <v>-0.78900000000000003</v>
      </c>
      <c r="O1365">
        <v>1</v>
      </c>
      <c r="P1365" t="b">
        <f t="shared" si="43"/>
        <v>1</v>
      </c>
      <c r="Q1365" t="str">
        <f t="shared" si="42"/>
        <v>Negative</v>
      </c>
    </row>
    <row r="1366" spans="1:17" x14ac:dyDescent="0.3">
      <c r="A1366" t="s">
        <v>2328</v>
      </c>
      <c r="B1366" t="s">
        <v>66</v>
      </c>
      <c r="C1366" t="s">
        <v>17</v>
      </c>
      <c r="D1366" t="s">
        <v>73</v>
      </c>
      <c r="E1366" t="s">
        <v>58</v>
      </c>
      <c r="F1366" t="s">
        <v>34</v>
      </c>
      <c r="G1366" s="1">
        <v>45573</v>
      </c>
      <c r="H1366" t="s">
        <v>2329</v>
      </c>
      <c r="I1366">
        <v>12565228</v>
      </c>
      <c r="J1366">
        <v>483278</v>
      </c>
      <c r="K1366">
        <v>35432</v>
      </c>
      <c r="L1366">
        <v>40278</v>
      </c>
      <c r="M1366">
        <v>4.4499999999999998E-2</v>
      </c>
      <c r="N1366">
        <v>0.48499999999999999</v>
      </c>
      <c r="O1366">
        <v>1</v>
      </c>
      <c r="P1366" t="b">
        <f t="shared" si="43"/>
        <v>1</v>
      </c>
      <c r="Q1366" t="str">
        <f t="shared" si="42"/>
        <v>Positive</v>
      </c>
    </row>
    <row r="1367" spans="1:17" x14ac:dyDescent="0.3">
      <c r="A1367" t="s">
        <v>2330</v>
      </c>
      <c r="B1367" t="s">
        <v>27</v>
      </c>
      <c r="C1367" t="s">
        <v>17</v>
      </c>
      <c r="D1367" t="s">
        <v>73</v>
      </c>
      <c r="E1367" t="s">
        <v>19</v>
      </c>
      <c r="F1367" t="s">
        <v>46</v>
      </c>
      <c r="G1367" s="1">
        <v>45624</v>
      </c>
      <c r="H1367" t="s">
        <v>244</v>
      </c>
      <c r="I1367">
        <v>6958548</v>
      </c>
      <c r="J1367">
        <v>386586</v>
      </c>
      <c r="K1367">
        <v>45217</v>
      </c>
      <c r="L1367">
        <v>9638</v>
      </c>
      <c r="M1367">
        <v>6.3399999999999998E-2</v>
      </c>
      <c r="N1367">
        <v>0.752</v>
      </c>
      <c r="O1367">
        <v>1</v>
      </c>
      <c r="P1367" t="b">
        <f t="shared" si="43"/>
        <v>1</v>
      </c>
      <c r="Q1367" t="str">
        <f t="shared" si="42"/>
        <v>Positive</v>
      </c>
    </row>
    <row r="1368" spans="1:17" x14ac:dyDescent="0.3">
      <c r="A1368" t="s">
        <v>2331</v>
      </c>
      <c r="B1368" t="s">
        <v>27</v>
      </c>
      <c r="C1368" t="s">
        <v>17</v>
      </c>
      <c r="D1368" t="s">
        <v>18</v>
      </c>
      <c r="E1368" t="s">
        <v>51</v>
      </c>
      <c r="F1368" t="s">
        <v>34</v>
      </c>
      <c r="G1368" s="1">
        <v>45378</v>
      </c>
      <c r="H1368" t="s">
        <v>874</v>
      </c>
      <c r="I1368">
        <v>216400</v>
      </c>
      <c r="J1368">
        <v>27050</v>
      </c>
      <c r="K1368">
        <v>23493</v>
      </c>
      <c r="L1368">
        <v>216</v>
      </c>
      <c r="M1368">
        <v>0.2346</v>
      </c>
      <c r="N1368">
        <v>2.5000000000000001E-2</v>
      </c>
      <c r="O1368">
        <v>0</v>
      </c>
      <c r="P1368" t="b">
        <f t="shared" si="43"/>
        <v>0</v>
      </c>
      <c r="Q1368" t="str">
        <f t="shared" si="42"/>
        <v>Positive</v>
      </c>
    </row>
    <row r="1369" spans="1:17" x14ac:dyDescent="0.3">
      <c r="A1369" t="s">
        <v>2332</v>
      </c>
      <c r="B1369" t="s">
        <v>66</v>
      </c>
      <c r="C1369" t="s">
        <v>23</v>
      </c>
      <c r="D1369" t="s">
        <v>18</v>
      </c>
      <c r="E1369" t="s">
        <v>38</v>
      </c>
      <c r="F1369" t="s">
        <v>20</v>
      </c>
      <c r="G1369" s="1">
        <v>45513</v>
      </c>
      <c r="H1369" t="s">
        <v>2333</v>
      </c>
      <c r="I1369">
        <v>1654665</v>
      </c>
      <c r="J1369">
        <v>330933</v>
      </c>
      <c r="K1369">
        <v>23839</v>
      </c>
      <c r="L1369">
        <v>34475</v>
      </c>
      <c r="M1369">
        <v>0.23519999999999999</v>
      </c>
      <c r="N1369">
        <v>0.437</v>
      </c>
      <c r="O1369">
        <v>0</v>
      </c>
      <c r="P1369" t="b">
        <f t="shared" si="43"/>
        <v>0</v>
      </c>
      <c r="Q1369" t="str">
        <f t="shared" si="42"/>
        <v>Positive</v>
      </c>
    </row>
    <row r="1370" spans="1:17" x14ac:dyDescent="0.3">
      <c r="A1370" t="s">
        <v>2334</v>
      </c>
      <c r="B1370" t="s">
        <v>27</v>
      </c>
      <c r="C1370" t="s">
        <v>17</v>
      </c>
      <c r="D1370" t="s">
        <v>33</v>
      </c>
      <c r="E1370" t="s">
        <v>19</v>
      </c>
      <c r="F1370" t="s">
        <v>24</v>
      </c>
      <c r="G1370" s="1">
        <v>45643</v>
      </c>
      <c r="H1370" t="s">
        <v>2212</v>
      </c>
      <c r="I1370">
        <v>339960</v>
      </c>
      <c r="J1370">
        <v>33996</v>
      </c>
      <c r="K1370">
        <v>19899</v>
      </c>
      <c r="L1370">
        <v>28900</v>
      </c>
      <c r="M1370">
        <v>0.24349999999999999</v>
      </c>
      <c r="N1370">
        <v>-0.78400000000000003</v>
      </c>
      <c r="O1370">
        <v>0</v>
      </c>
      <c r="P1370" t="b">
        <f t="shared" si="43"/>
        <v>0</v>
      </c>
      <c r="Q1370" t="str">
        <f t="shared" si="42"/>
        <v>Negative</v>
      </c>
    </row>
    <row r="1371" spans="1:17" x14ac:dyDescent="0.3">
      <c r="A1371" t="s">
        <v>2335</v>
      </c>
      <c r="B1371" t="s">
        <v>66</v>
      </c>
      <c r="C1371" t="s">
        <v>23</v>
      </c>
      <c r="D1371" t="s">
        <v>33</v>
      </c>
      <c r="E1371" t="s">
        <v>19</v>
      </c>
      <c r="F1371" t="s">
        <v>55</v>
      </c>
      <c r="G1371" s="1">
        <v>45313</v>
      </c>
      <c r="H1371" t="s">
        <v>2336</v>
      </c>
      <c r="I1371">
        <v>11149964</v>
      </c>
      <c r="J1371">
        <v>398213</v>
      </c>
      <c r="K1371">
        <v>6006</v>
      </c>
      <c r="L1371">
        <v>4568</v>
      </c>
      <c r="M1371">
        <v>3.6700000000000003E-2</v>
      </c>
      <c r="N1371">
        <v>0.249</v>
      </c>
      <c r="O1371">
        <v>1</v>
      </c>
      <c r="P1371" t="b">
        <f t="shared" si="43"/>
        <v>1</v>
      </c>
      <c r="Q1371" t="str">
        <f t="shared" si="42"/>
        <v>Positive</v>
      </c>
    </row>
    <row r="1372" spans="1:17" x14ac:dyDescent="0.3">
      <c r="A1372" t="s">
        <v>2337</v>
      </c>
      <c r="B1372" t="s">
        <v>32</v>
      </c>
      <c r="C1372" t="s">
        <v>61</v>
      </c>
      <c r="D1372" t="s">
        <v>18</v>
      </c>
      <c r="E1372" t="s">
        <v>58</v>
      </c>
      <c r="F1372" t="s">
        <v>34</v>
      </c>
      <c r="G1372" s="1">
        <v>45400</v>
      </c>
      <c r="H1372" t="s">
        <v>2338</v>
      </c>
      <c r="I1372">
        <v>4234995</v>
      </c>
      <c r="J1372">
        <v>470555</v>
      </c>
      <c r="K1372">
        <v>13334</v>
      </c>
      <c r="L1372">
        <v>71793</v>
      </c>
      <c r="M1372">
        <v>0.13120000000000001</v>
      </c>
      <c r="N1372">
        <v>0.373</v>
      </c>
      <c r="O1372">
        <v>1</v>
      </c>
      <c r="P1372" t="b">
        <f t="shared" si="43"/>
        <v>1</v>
      </c>
      <c r="Q1372" t="str">
        <f t="shared" si="42"/>
        <v>Positive</v>
      </c>
    </row>
    <row r="1373" spans="1:17" x14ac:dyDescent="0.3">
      <c r="A1373" t="s">
        <v>2339</v>
      </c>
      <c r="B1373" t="s">
        <v>27</v>
      </c>
      <c r="C1373" t="s">
        <v>17</v>
      </c>
      <c r="D1373" t="s">
        <v>73</v>
      </c>
      <c r="E1373" t="s">
        <v>19</v>
      </c>
      <c r="F1373" t="s">
        <v>34</v>
      </c>
      <c r="G1373" s="1">
        <v>45550</v>
      </c>
      <c r="H1373" t="s">
        <v>2340</v>
      </c>
      <c r="I1373">
        <v>1003104</v>
      </c>
      <c r="J1373">
        <v>37152</v>
      </c>
      <c r="K1373">
        <v>46037</v>
      </c>
      <c r="L1373">
        <v>88722</v>
      </c>
      <c r="M1373">
        <v>0.1714</v>
      </c>
      <c r="N1373">
        <v>0.34300000000000003</v>
      </c>
      <c r="O1373">
        <v>0</v>
      </c>
      <c r="P1373" t="b">
        <f t="shared" si="43"/>
        <v>0</v>
      </c>
      <c r="Q1373" t="str">
        <f t="shared" si="42"/>
        <v>Positive</v>
      </c>
    </row>
    <row r="1374" spans="1:17" x14ac:dyDescent="0.3">
      <c r="A1374" t="s">
        <v>2341</v>
      </c>
      <c r="B1374" t="s">
        <v>16</v>
      </c>
      <c r="C1374" t="s">
        <v>61</v>
      </c>
      <c r="D1374" t="s">
        <v>54</v>
      </c>
      <c r="E1374" t="s">
        <v>41</v>
      </c>
      <c r="F1374" t="s">
        <v>24</v>
      </c>
      <c r="G1374" s="1">
        <v>45620</v>
      </c>
      <c r="H1374" t="s">
        <v>76</v>
      </c>
      <c r="I1374">
        <v>3652616</v>
      </c>
      <c r="J1374">
        <v>456577</v>
      </c>
      <c r="K1374">
        <v>2814</v>
      </c>
      <c r="L1374">
        <v>41786</v>
      </c>
      <c r="M1374">
        <v>0.13719999999999999</v>
      </c>
      <c r="N1374">
        <v>0.97799999999999998</v>
      </c>
      <c r="O1374">
        <v>1</v>
      </c>
      <c r="P1374" t="b">
        <f t="shared" si="43"/>
        <v>1</v>
      </c>
      <c r="Q1374" t="str">
        <f t="shared" si="42"/>
        <v>Positive</v>
      </c>
    </row>
    <row r="1375" spans="1:17" x14ac:dyDescent="0.3">
      <c r="A1375" t="s">
        <v>2342</v>
      </c>
      <c r="B1375" t="s">
        <v>27</v>
      </c>
      <c r="C1375" t="s">
        <v>61</v>
      </c>
      <c r="D1375" t="s">
        <v>37</v>
      </c>
      <c r="E1375" t="s">
        <v>19</v>
      </c>
      <c r="F1375" t="s">
        <v>55</v>
      </c>
      <c r="G1375" s="1">
        <v>45342</v>
      </c>
      <c r="H1375" t="s">
        <v>2343</v>
      </c>
      <c r="I1375">
        <v>3675881</v>
      </c>
      <c r="J1375">
        <v>334171</v>
      </c>
      <c r="K1375">
        <v>150</v>
      </c>
      <c r="L1375">
        <v>79466</v>
      </c>
      <c r="M1375">
        <v>0.11260000000000001</v>
      </c>
      <c r="N1375">
        <v>0.50900000000000001</v>
      </c>
      <c r="O1375">
        <v>1</v>
      </c>
      <c r="P1375" t="b">
        <f t="shared" si="43"/>
        <v>1</v>
      </c>
      <c r="Q1375" t="str">
        <f t="shared" si="42"/>
        <v>Positive</v>
      </c>
    </row>
    <row r="1376" spans="1:17" x14ac:dyDescent="0.3">
      <c r="A1376" t="s">
        <v>2344</v>
      </c>
      <c r="B1376" t="s">
        <v>16</v>
      </c>
      <c r="C1376" t="s">
        <v>23</v>
      </c>
      <c r="D1376" t="s">
        <v>54</v>
      </c>
      <c r="E1376" t="s">
        <v>19</v>
      </c>
      <c r="F1376" t="s">
        <v>55</v>
      </c>
      <c r="G1376" s="1">
        <v>45637</v>
      </c>
      <c r="H1376" t="s">
        <v>2345</v>
      </c>
      <c r="I1376">
        <v>6291117</v>
      </c>
      <c r="J1376">
        <v>299577</v>
      </c>
      <c r="K1376">
        <v>16581</v>
      </c>
      <c r="L1376">
        <v>39406</v>
      </c>
      <c r="M1376">
        <v>5.6500000000000002E-2</v>
      </c>
      <c r="N1376">
        <v>0.71499999999999997</v>
      </c>
      <c r="O1376">
        <v>1</v>
      </c>
      <c r="P1376" t="b">
        <f t="shared" si="43"/>
        <v>1</v>
      </c>
      <c r="Q1376" t="str">
        <f t="shared" si="42"/>
        <v>Positive</v>
      </c>
    </row>
    <row r="1377" spans="1:17" x14ac:dyDescent="0.3">
      <c r="A1377" t="s">
        <v>2346</v>
      </c>
      <c r="B1377" t="s">
        <v>32</v>
      </c>
      <c r="C1377" t="s">
        <v>61</v>
      </c>
      <c r="D1377" t="s">
        <v>73</v>
      </c>
      <c r="E1377" t="s">
        <v>58</v>
      </c>
      <c r="F1377" t="s">
        <v>46</v>
      </c>
      <c r="G1377" s="1">
        <v>45492</v>
      </c>
      <c r="H1377" t="s">
        <v>401</v>
      </c>
      <c r="I1377">
        <v>5943420</v>
      </c>
      <c r="J1377">
        <v>330190</v>
      </c>
      <c r="K1377">
        <v>1825</v>
      </c>
      <c r="L1377">
        <v>52117</v>
      </c>
      <c r="M1377">
        <v>6.4600000000000005E-2</v>
      </c>
      <c r="N1377">
        <v>0.71799999999999997</v>
      </c>
      <c r="O1377">
        <v>1</v>
      </c>
      <c r="P1377" t="b">
        <f t="shared" si="43"/>
        <v>1</v>
      </c>
      <c r="Q1377" t="str">
        <f t="shared" si="42"/>
        <v>Positive</v>
      </c>
    </row>
    <row r="1378" spans="1:17" x14ac:dyDescent="0.3">
      <c r="A1378" t="s">
        <v>2347</v>
      </c>
      <c r="B1378" t="s">
        <v>66</v>
      </c>
      <c r="C1378" t="s">
        <v>23</v>
      </c>
      <c r="D1378" t="s">
        <v>18</v>
      </c>
      <c r="E1378" t="s">
        <v>41</v>
      </c>
      <c r="F1378" t="s">
        <v>24</v>
      </c>
      <c r="G1378" s="1">
        <v>45544</v>
      </c>
      <c r="H1378" t="s">
        <v>1576</v>
      </c>
      <c r="I1378">
        <v>7478174</v>
      </c>
      <c r="J1378">
        <v>325138</v>
      </c>
      <c r="K1378">
        <v>34640</v>
      </c>
      <c r="L1378">
        <v>7466</v>
      </c>
      <c r="M1378">
        <v>4.9099999999999998E-2</v>
      </c>
      <c r="N1378">
        <v>-0.75600000000000001</v>
      </c>
      <c r="O1378">
        <v>1</v>
      </c>
      <c r="P1378" t="b">
        <f t="shared" si="43"/>
        <v>1</v>
      </c>
      <c r="Q1378" t="str">
        <f t="shared" si="42"/>
        <v>Negative</v>
      </c>
    </row>
    <row r="1379" spans="1:17" x14ac:dyDescent="0.3">
      <c r="A1379" t="s">
        <v>2348</v>
      </c>
      <c r="B1379" t="s">
        <v>66</v>
      </c>
      <c r="C1379" t="s">
        <v>23</v>
      </c>
      <c r="D1379" t="s">
        <v>33</v>
      </c>
      <c r="E1379" t="s">
        <v>19</v>
      </c>
      <c r="F1379" t="s">
        <v>24</v>
      </c>
      <c r="G1379" s="1">
        <v>45398</v>
      </c>
      <c r="H1379" t="s">
        <v>1429</v>
      </c>
      <c r="I1379">
        <v>10416252</v>
      </c>
      <c r="J1379">
        <v>372009</v>
      </c>
      <c r="K1379">
        <v>19588</v>
      </c>
      <c r="L1379">
        <v>92692</v>
      </c>
      <c r="M1379">
        <v>4.65E-2</v>
      </c>
      <c r="N1379">
        <v>-0.86299999999999999</v>
      </c>
      <c r="O1379">
        <v>1</v>
      </c>
      <c r="P1379" t="b">
        <f t="shared" si="43"/>
        <v>1</v>
      </c>
      <c r="Q1379" t="str">
        <f t="shared" si="42"/>
        <v>Negative</v>
      </c>
    </row>
    <row r="1380" spans="1:17" x14ac:dyDescent="0.3">
      <c r="A1380" t="s">
        <v>2349</v>
      </c>
      <c r="B1380" t="s">
        <v>16</v>
      </c>
      <c r="C1380" t="s">
        <v>23</v>
      </c>
      <c r="D1380" t="s">
        <v>33</v>
      </c>
      <c r="E1380" t="s">
        <v>58</v>
      </c>
      <c r="F1380" t="s">
        <v>34</v>
      </c>
      <c r="G1380" s="1">
        <v>45518</v>
      </c>
      <c r="H1380" t="s">
        <v>2244</v>
      </c>
      <c r="I1380">
        <v>6126855</v>
      </c>
      <c r="J1380">
        <v>291755</v>
      </c>
      <c r="K1380">
        <v>15429</v>
      </c>
      <c r="L1380">
        <v>48822</v>
      </c>
      <c r="M1380">
        <v>5.8099999999999999E-2</v>
      </c>
      <c r="N1380">
        <v>-0.72599999999999998</v>
      </c>
      <c r="O1380">
        <v>1</v>
      </c>
      <c r="P1380" t="b">
        <f t="shared" si="43"/>
        <v>1</v>
      </c>
      <c r="Q1380" t="str">
        <f t="shared" si="42"/>
        <v>Negative</v>
      </c>
    </row>
    <row r="1381" spans="1:17" x14ac:dyDescent="0.3">
      <c r="A1381" t="s">
        <v>2350</v>
      </c>
      <c r="B1381" t="s">
        <v>32</v>
      </c>
      <c r="C1381" t="s">
        <v>23</v>
      </c>
      <c r="D1381" t="s">
        <v>18</v>
      </c>
      <c r="E1381" t="s">
        <v>19</v>
      </c>
      <c r="F1381" t="s">
        <v>46</v>
      </c>
      <c r="G1381" s="1">
        <v>45362</v>
      </c>
      <c r="H1381" t="s">
        <v>2351</v>
      </c>
      <c r="I1381">
        <v>10774373</v>
      </c>
      <c r="J1381">
        <v>468451</v>
      </c>
      <c r="K1381">
        <v>44467</v>
      </c>
      <c r="L1381">
        <v>61383</v>
      </c>
      <c r="M1381">
        <v>5.33E-2</v>
      </c>
      <c r="N1381">
        <v>-0.14399999999999999</v>
      </c>
      <c r="O1381">
        <v>1</v>
      </c>
      <c r="P1381" t="b">
        <f t="shared" si="43"/>
        <v>1</v>
      </c>
      <c r="Q1381" t="str">
        <f t="shared" si="42"/>
        <v>Negative</v>
      </c>
    </row>
    <row r="1382" spans="1:17" x14ac:dyDescent="0.3">
      <c r="A1382" t="s">
        <v>2352</v>
      </c>
      <c r="B1382" t="s">
        <v>16</v>
      </c>
      <c r="C1382" t="s">
        <v>61</v>
      </c>
      <c r="D1382" t="s">
        <v>37</v>
      </c>
      <c r="E1382" t="s">
        <v>58</v>
      </c>
      <c r="F1382" t="s">
        <v>20</v>
      </c>
      <c r="G1382" s="1">
        <v>45388</v>
      </c>
      <c r="H1382" t="s">
        <v>2353</v>
      </c>
      <c r="I1382">
        <v>715204</v>
      </c>
      <c r="J1382">
        <v>102172</v>
      </c>
      <c r="K1382">
        <v>41915</v>
      </c>
      <c r="L1382">
        <v>73532</v>
      </c>
      <c r="M1382">
        <v>0.30430000000000001</v>
      </c>
      <c r="N1382">
        <v>-0.27300000000000002</v>
      </c>
      <c r="O1382">
        <v>0</v>
      </c>
      <c r="P1382" t="b">
        <f t="shared" si="43"/>
        <v>0</v>
      </c>
      <c r="Q1382" t="str">
        <f t="shared" si="42"/>
        <v>Negative</v>
      </c>
    </row>
    <row r="1383" spans="1:17" x14ac:dyDescent="0.3">
      <c r="A1383" t="s">
        <v>2354</v>
      </c>
      <c r="B1383" t="s">
        <v>66</v>
      </c>
      <c r="C1383" t="s">
        <v>61</v>
      </c>
      <c r="D1383" t="s">
        <v>73</v>
      </c>
      <c r="E1383" t="s">
        <v>58</v>
      </c>
      <c r="F1383" t="s">
        <v>46</v>
      </c>
      <c r="G1383" s="1">
        <v>45650</v>
      </c>
      <c r="H1383" t="s">
        <v>171</v>
      </c>
      <c r="I1383">
        <v>5039616</v>
      </c>
      <c r="J1383">
        <v>209984</v>
      </c>
      <c r="K1383">
        <v>19994</v>
      </c>
      <c r="L1383">
        <v>78283</v>
      </c>
      <c r="M1383">
        <v>6.1199999999999997E-2</v>
      </c>
      <c r="N1383">
        <v>0.61599999999999999</v>
      </c>
      <c r="O1383">
        <v>1</v>
      </c>
      <c r="P1383" t="b">
        <f t="shared" si="43"/>
        <v>1</v>
      </c>
      <c r="Q1383" t="str">
        <f t="shared" si="42"/>
        <v>Positive</v>
      </c>
    </row>
    <row r="1384" spans="1:17" x14ac:dyDescent="0.3">
      <c r="A1384" t="s">
        <v>2355</v>
      </c>
      <c r="B1384" t="s">
        <v>32</v>
      </c>
      <c r="C1384" t="s">
        <v>17</v>
      </c>
      <c r="D1384" t="s">
        <v>37</v>
      </c>
      <c r="E1384" t="s">
        <v>41</v>
      </c>
      <c r="F1384" t="s">
        <v>46</v>
      </c>
      <c r="G1384" s="1">
        <v>45302</v>
      </c>
      <c r="H1384" t="s">
        <v>829</v>
      </c>
      <c r="I1384">
        <v>2260910</v>
      </c>
      <c r="J1384">
        <v>452182</v>
      </c>
      <c r="K1384">
        <v>6573</v>
      </c>
      <c r="L1384">
        <v>84578</v>
      </c>
      <c r="M1384">
        <v>0.24030000000000001</v>
      </c>
      <c r="N1384">
        <v>0.90700000000000003</v>
      </c>
      <c r="O1384">
        <v>1</v>
      </c>
      <c r="P1384" t="b">
        <f t="shared" si="43"/>
        <v>1</v>
      </c>
      <c r="Q1384" t="str">
        <f t="shared" si="42"/>
        <v>Positive</v>
      </c>
    </row>
    <row r="1385" spans="1:17" x14ac:dyDescent="0.3">
      <c r="A1385" t="s">
        <v>2356</v>
      </c>
      <c r="B1385" t="s">
        <v>32</v>
      </c>
      <c r="C1385" t="s">
        <v>23</v>
      </c>
      <c r="D1385" t="s">
        <v>18</v>
      </c>
      <c r="E1385" t="s">
        <v>58</v>
      </c>
      <c r="F1385" t="s">
        <v>20</v>
      </c>
      <c r="G1385" s="1">
        <v>45350</v>
      </c>
      <c r="H1385" t="s">
        <v>1356</v>
      </c>
      <c r="I1385">
        <v>4176207</v>
      </c>
      <c r="J1385">
        <v>198867</v>
      </c>
      <c r="K1385">
        <v>27030</v>
      </c>
      <c r="L1385">
        <v>52983</v>
      </c>
      <c r="M1385">
        <v>6.6799999999999998E-2</v>
      </c>
      <c r="N1385">
        <v>-0.371</v>
      </c>
      <c r="O1385">
        <v>1</v>
      </c>
      <c r="P1385" t="b">
        <f t="shared" si="43"/>
        <v>1</v>
      </c>
      <c r="Q1385" t="str">
        <f t="shared" si="42"/>
        <v>Negative</v>
      </c>
    </row>
    <row r="1386" spans="1:17" x14ac:dyDescent="0.3">
      <c r="A1386" t="s">
        <v>2357</v>
      </c>
      <c r="B1386" t="s">
        <v>27</v>
      </c>
      <c r="C1386" t="s">
        <v>23</v>
      </c>
      <c r="D1386" t="s">
        <v>54</v>
      </c>
      <c r="E1386" t="s">
        <v>58</v>
      </c>
      <c r="F1386" t="s">
        <v>24</v>
      </c>
      <c r="G1386" s="1">
        <v>45351</v>
      </c>
      <c r="H1386" t="s">
        <v>2358</v>
      </c>
      <c r="I1386">
        <v>5208084</v>
      </c>
      <c r="J1386">
        <v>289338</v>
      </c>
      <c r="K1386">
        <v>46045</v>
      </c>
      <c r="L1386">
        <v>66767</v>
      </c>
      <c r="M1386">
        <v>7.7200000000000005E-2</v>
      </c>
      <c r="N1386">
        <v>0.83199999999999996</v>
      </c>
      <c r="O1386">
        <v>1</v>
      </c>
      <c r="P1386" t="b">
        <f t="shared" si="43"/>
        <v>1</v>
      </c>
      <c r="Q1386" t="str">
        <f t="shared" si="42"/>
        <v>Positive</v>
      </c>
    </row>
    <row r="1387" spans="1:17" x14ac:dyDescent="0.3">
      <c r="A1387" t="s">
        <v>2359</v>
      </c>
      <c r="B1387" t="s">
        <v>32</v>
      </c>
      <c r="C1387" t="s">
        <v>61</v>
      </c>
      <c r="D1387" t="s">
        <v>33</v>
      </c>
      <c r="E1387" t="s">
        <v>51</v>
      </c>
      <c r="F1387" t="s">
        <v>20</v>
      </c>
      <c r="G1387" s="1">
        <v>45628</v>
      </c>
      <c r="H1387" t="s">
        <v>2360</v>
      </c>
      <c r="I1387">
        <v>3674986</v>
      </c>
      <c r="J1387">
        <v>159782</v>
      </c>
      <c r="K1387">
        <v>15932</v>
      </c>
      <c r="L1387">
        <v>34679</v>
      </c>
      <c r="M1387">
        <v>5.7299999999999997E-2</v>
      </c>
      <c r="N1387">
        <v>-0.34699999999999998</v>
      </c>
      <c r="O1387">
        <v>1</v>
      </c>
      <c r="P1387" t="b">
        <f t="shared" si="43"/>
        <v>1</v>
      </c>
      <c r="Q1387" t="str">
        <f t="shared" si="42"/>
        <v>Negative</v>
      </c>
    </row>
    <row r="1388" spans="1:17" x14ac:dyDescent="0.3">
      <c r="A1388" t="s">
        <v>2361</v>
      </c>
      <c r="B1388" t="s">
        <v>66</v>
      </c>
      <c r="C1388" t="s">
        <v>17</v>
      </c>
      <c r="D1388" t="s">
        <v>18</v>
      </c>
      <c r="E1388" t="s">
        <v>41</v>
      </c>
      <c r="F1388" t="s">
        <v>20</v>
      </c>
      <c r="G1388" s="1">
        <v>45302</v>
      </c>
      <c r="H1388" t="s">
        <v>757</v>
      </c>
      <c r="I1388">
        <v>130905</v>
      </c>
      <c r="J1388">
        <v>26181</v>
      </c>
      <c r="K1388">
        <v>24359</v>
      </c>
      <c r="L1388">
        <v>93298</v>
      </c>
      <c r="M1388">
        <v>1.0988</v>
      </c>
      <c r="N1388">
        <v>0.64300000000000002</v>
      </c>
      <c r="O1388">
        <v>0</v>
      </c>
      <c r="P1388" t="b">
        <f t="shared" si="43"/>
        <v>0</v>
      </c>
      <c r="Q1388" t="str">
        <f t="shared" si="42"/>
        <v>Positive</v>
      </c>
    </row>
    <row r="1389" spans="1:17" x14ac:dyDescent="0.3">
      <c r="A1389" t="s">
        <v>2362</v>
      </c>
      <c r="B1389" t="s">
        <v>27</v>
      </c>
      <c r="C1389" t="s">
        <v>28</v>
      </c>
      <c r="D1389" t="s">
        <v>37</v>
      </c>
      <c r="E1389" t="s">
        <v>38</v>
      </c>
      <c r="F1389" t="s">
        <v>20</v>
      </c>
      <c r="G1389" s="1">
        <v>45420</v>
      </c>
      <c r="H1389" t="s">
        <v>2363</v>
      </c>
      <c r="I1389">
        <v>1615680</v>
      </c>
      <c r="J1389">
        <v>323136</v>
      </c>
      <c r="K1389">
        <v>35530</v>
      </c>
      <c r="L1389">
        <v>26533</v>
      </c>
      <c r="M1389">
        <v>0.2384</v>
      </c>
      <c r="N1389">
        <v>0.91100000000000003</v>
      </c>
      <c r="O1389">
        <v>0</v>
      </c>
      <c r="P1389" t="b">
        <f t="shared" si="43"/>
        <v>0</v>
      </c>
      <c r="Q1389" t="str">
        <f t="shared" si="42"/>
        <v>Positive</v>
      </c>
    </row>
    <row r="1390" spans="1:17" x14ac:dyDescent="0.3">
      <c r="A1390" t="s">
        <v>2364</v>
      </c>
      <c r="B1390" t="s">
        <v>16</v>
      </c>
      <c r="C1390" t="s">
        <v>61</v>
      </c>
      <c r="D1390" t="s">
        <v>33</v>
      </c>
      <c r="E1390" t="s">
        <v>58</v>
      </c>
      <c r="F1390" t="s">
        <v>20</v>
      </c>
      <c r="G1390" s="1">
        <v>45307</v>
      </c>
      <c r="H1390" t="s">
        <v>2365</v>
      </c>
      <c r="I1390">
        <v>1445964</v>
      </c>
      <c r="J1390">
        <v>55614</v>
      </c>
      <c r="K1390">
        <v>47897</v>
      </c>
      <c r="L1390">
        <v>74220</v>
      </c>
      <c r="M1390">
        <v>0.1229</v>
      </c>
      <c r="N1390">
        <v>-0.97399999999999998</v>
      </c>
      <c r="O1390">
        <v>0</v>
      </c>
      <c r="P1390" t="b">
        <f t="shared" si="43"/>
        <v>0</v>
      </c>
      <c r="Q1390" t="str">
        <f t="shared" si="42"/>
        <v>Negative</v>
      </c>
    </row>
    <row r="1391" spans="1:17" x14ac:dyDescent="0.3">
      <c r="A1391" t="s">
        <v>2366</v>
      </c>
      <c r="B1391" t="s">
        <v>66</v>
      </c>
      <c r="C1391" t="s">
        <v>23</v>
      </c>
      <c r="D1391" t="s">
        <v>33</v>
      </c>
      <c r="E1391" t="s">
        <v>19</v>
      </c>
      <c r="F1391" t="s">
        <v>20</v>
      </c>
      <c r="G1391" s="1">
        <v>45444</v>
      </c>
      <c r="H1391" t="s">
        <v>2367</v>
      </c>
      <c r="I1391">
        <v>2121112</v>
      </c>
      <c r="J1391">
        <v>265139</v>
      </c>
      <c r="K1391">
        <v>15328</v>
      </c>
      <c r="L1391">
        <v>12353</v>
      </c>
      <c r="M1391">
        <v>0.1381</v>
      </c>
      <c r="N1391">
        <v>0.87</v>
      </c>
      <c r="O1391">
        <v>1</v>
      </c>
      <c r="P1391" t="b">
        <f t="shared" si="43"/>
        <v>1</v>
      </c>
      <c r="Q1391" t="str">
        <f t="shared" si="42"/>
        <v>Positive</v>
      </c>
    </row>
    <row r="1392" spans="1:17" x14ac:dyDescent="0.3">
      <c r="A1392" t="s">
        <v>2368</v>
      </c>
      <c r="B1392" t="s">
        <v>16</v>
      </c>
      <c r="C1392" t="s">
        <v>61</v>
      </c>
      <c r="D1392" t="s">
        <v>29</v>
      </c>
      <c r="E1392" t="s">
        <v>51</v>
      </c>
      <c r="F1392" t="s">
        <v>24</v>
      </c>
      <c r="G1392" s="1">
        <v>45434</v>
      </c>
      <c r="H1392" t="s">
        <v>2369</v>
      </c>
      <c r="I1392">
        <v>2606202</v>
      </c>
      <c r="J1392">
        <v>96526</v>
      </c>
      <c r="K1392">
        <v>32021</v>
      </c>
      <c r="L1392">
        <v>61305</v>
      </c>
      <c r="M1392">
        <v>7.2800000000000004E-2</v>
      </c>
      <c r="N1392">
        <v>0.96199999999999997</v>
      </c>
      <c r="O1392">
        <v>1</v>
      </c>
      <c r="P1392" t="b">
        <f t="shared" si="43"/>
        <v>1</v>
      </c>
      <c r="Q1392" t="str">
        <f t="shared" si="42"/>
        <v>Positive</v>
      </c>
    </row>
    <row r="1393" spans="1:17" x14ac:dyDescent="0.3">
      <c r="A1393" t="s">
        <v>2370</v>
      </c>
      <c r="B1393" t="s">
        <v>32</v>
      </c>
      <c r="C1393" t="s">
        <v>17</v>
      </c>
      <c r="D1393" t="s">
        <v>54</v>
      </c>
      <c r="E1393" t="s">
        <v>51</v>
      </c>
      <c r="F1393" t="s">
        <v>55</v>
      </c>
      <c r="G1393" s="1">
        <v>45449</v>
      </c>
      <c r="H1393" t="s">
        <v>358</v>
      </c>
      <c r="I1393">
        <v>7447240</v>
      </c>
      <c r="J1393">
        <v>391960</v>
      </c>
      <c r="K1393">
        <v>19787</v>
      </c>
      <c r="L1393">
        <v>67692</v>
      </c>
      <c r="M1393">
        <v>6.4399999999999999E-2</v>
      </c>
      <c r="N1393">
        <v>0.75700000000000001</v>
      </c>
      <c r="O1393">
        <v>1</v>
      </c>
      <c r="P1393" t="b">
        <f t="shared" si="43"/>
        <v>1</v>
      </c>
      <c r="Q1393" t="str">
        <f t="shared" si="42"/>
        <v>Positive</v>
      </c>
    </row>
    <row r="1394" spans="1:17" x14ac:dyDescent="0.3">
      <c r="A1394" t="s">
        <v>2371</v>
      </c>
      <c r="B1394" t="s">
        <v>32</v>
      </c>
      <c r="C1394" t="s">
        <v>61</v>
      </c>
      <c r="D1394" t="s">
        <v>29</v>
      </c>
      <c r="E1394" t="s">
        <v>51</v>
      </c>
      <c r="F1394" t="s">
        <v>34</v>
      </c>
      <c r="G1394" s="1">
        <v>45390</v>
      </c>
      <c r="H1394" t="s">
        <v>807</v>
      </c>
      <c r="I1394">
        <v>167328</v>
      </c>
      <c r="J1394">
        <v>9296</v>
      </c>
      <c r="K1394">
        <v>43464</v>
      </c>
      <c r="L1394">
        <v>87246</v>
      </c>
      <c r="M1394">
        <v>0.8367</v>
      </c>
      <c r="N1394">
        <v>-0.109</v>
      </c>
      <c r="O1394">
        <v>0</v>
      </c>
      <c r="P1394" t="b">
        <f t="shared" si="43"/>
        <v>0</v>
      </c>
      <c r="Q1394" t="str">
        <f t="shared" si="42"/>
        <v>Negative</v>
      </c>
    </row>
    <row r="1395" spans="1:17" x14ac:dyDescent="0.3">
      <c r="A1395" t="s">
        <v>2372</v>
      </c>
      <c r="B1395" t="s">
        <v>66</v>
      </c>
      <c r="C1395" t="s">
        <v>61</v>
      </c>
      <c r="D1395" t="s">
        <v>73</v>
      </c>
      <c r="E1395" t="s">
        <v>38</v>
      </c>
      <c r="F1395" t="s">
        <v>24</v>
      </c>
      <c r="G1395" s="1">
        <v>45611</v>
      </c>
      <c r="H1395" t="s">
        <v>1634</v>
      </c>
      <c r="I1395">
        <v>3507882</v>
      </c>
      <c r="J1395">
        <v>250563</v>
      </c>
      <c r="K1395">
        <v>35479</v>
      </c>
      <c r="L1395">
        <v>32770</v>
      </c>
      <c r="M1395">
        <v>9.0899999999999995E-2</v>
      </c>
      <c r="N1395">
        <v>-0.61099999999999999</v>
      </c>
      <c r="O1395">
        <v>1</v>
      </c>
      <c r="P1395" t="b">
        <f t="shared" si="43"/>
        <v>1</v>
      </c>
      <c r="Q1395" t="str">
        <f t="shared" si="42"/>
        <v>Negative</v>
      </c>
    </row>
    <row r="1396" spans="1:17" x14ac:dyDescent="0.3">
      <c r="A1396" t="s">
        <v>2373</v>
      </c>
      <c r="B1396" t="s">
        <v>16</v>
      </c>
      <c r="C1396" t="s">
        <v>61</v>
      </c>
      <c r="D1396" t="s">
        <v>73</v>
      </c>
      <c r="E1396" t="s">
        <v>38</v>
      </c>
      <c r="F1396" t="s">
        <v>20</v>
      </c>
      <c r="G1396" s="1">
        <v>45526</v>
      </c>
      <c r="H1396" t="s">
        <v>2374</v>
      </c>
      <c r="I1396">
        <v>2469640</v>
      </c>
      <c r="J1396">
        <v>246964</v>
      </c>
      <c r="K1396">
        <v>14825</v>
      </c>
      <c r="L1396">
        <v>76428</v>
      </c>
      <c r="M1396">
        <v>0.13689999999999999</v>
      </c>
      <c r="N1396">
        <v>0.309</v>
      </c>
      <c r="O1396">
        <v>1</v>
      </c>
      <c r="P1396" t="b">
        <f t="shared" si="43"/>
        <v>1</v>
      </c>
      <c r="Q1396" t="str">
        <f t="shared" si="42"/>
        <v>Positive</v>
      </c>
    </row>
    <row r="1397" spans="1:17" x14ac:dyDescent="0.3">
      <c r="A1397" t="s">
        <v>2375</v>
      </c>
      <c r="B1397" t="s">
        <v>32</v>
      </c>
      <c r="C1397" t="s">
        <v>61</v>
      </c>
      <c r="D1397" t="s">
        <v>37</v>
      </c>
      <c r="E1397" t="s">
        <v>38</v>
      </c>
      <c r="F1397" t="s">
        <v>55</v>
      </c>
      <c r="G1397" s="1">
        <v>45431</v>
      </c>
      <c r="H1397" t="s">
        <v>104</v>
      </c>
      <c r="I1397">
        <v>7959224</v>
      </c>
      <c r="J1397">
        <v>306124</v>
      </c>
      <c r="K1397">
        <v>48472</v>
      </c>
      <c r="L1397">
        <v>8321</v>
      </c>
      <c r="M1397">
        <v>4.5600000000000002E-2</v>
      </c>
      <c r="N1397">
        <v>-0.76400000000000001</v>
      </c>
      <c r="O1397">
        <v>1</v>
      </c>
      <c r="P1397" t="b">
        <f t="shared" si="43"/>
        <v>1</v>
      </c>
      <c r="Q1397" t="str">
        <f t="shared" si="42"/>
        <v>Negative</v>
      </c>
    </row>
    <row r="1398" spans="1:17" x14ac:dyDescent="0.3">
      <c r="A1398" t="s">
        <v>2376</v>
      </c>
      <c r="B1398" t="s">
        <v>27</v>
      </c>
      <c r="C1398" t="s">
        <v>61</v>
      </c>
      <c r="D1398" t="s">
        <v>33</v>
      </c>
      <c r="E1398" t="s">
        <v>58</v>
      </c>
      <c r="F1398" t="s">
        <v>24</v>
      </c>
      <c r="G1398" s="1">
        <v>45457</v>
      </c>
      <c r="H1398" t="s">
        <v>1128</v>
      </c>
      <c r="I1398">
        <v>359970</v>
      </c>
      <c r="J1398">
        <v>35997</v>
      </c>
      <c r="K1398">
        <v>30935</v>
      </c>
      <c r="L1398">
        <v>57234</v>
      </c>
      <c r="M1398">
        <v>0.34489999999999998</v>
      </c>
      <c r="N1398">
        <v>-0.17299999999999999</v>
      </c>
      <c r="O1398">
        <v>0</v>
      </c>
      <c r="P1398" t="b">
        <f t="shared" si="43"/>
        <v>0</v>
      </c>
      <c r="Q1398" t="str">
        <f t="shared" si="42"/>
        <v>Negative</v>
      </c>
    </row>
    <row r="1399" spans="1:17" x14ac:dyDescent="0.3">
      <c r="A1399" t="s">
        <v>2377</v>
      </c>
      <c r="B1399" t="s">
        <v>66</v>
      </c>
      <c r="C1399" t="s">
        <v>28</v>
      </c>
      <c r="D1399" t="s">
        <v>73</v>
      </c>
      <c r="E1399" t="s">
        <v>19</v>
      </c>
      <c r="F1399" t="s">
        <v>55</v>
      </c>
      <c r="G1399" s="1">
        <v>45635</v>
      </c>
      <c r="H1399" t="s">
        <v>2378</v>
      </c>
      <c r="I1399">
        <v>1349646</v>
      </c>
      <c r="J1399">
        <v>71034</v>
      </c>
      <c r="K1399">
        <v>5534</v>
      </c>
      <c r="L1399">
        <v>94599</v>
      </c>
      <c r="M1399">
        <v>0.1268</v>
      </c>
      <c r="N1399">
        <v>0.90700000000000003</v>
      </c>
      <c r="O1399">
        <v>0</v>
      </c>
      <c r="P1399" t="b">
        <f t="shared" si="43"/>
        <v>0</v>
      </c>
      <c r="Q1399" t="str">
        <f t="shared" si="42"/>
        <v>Positive</v>
      </c>
    </row>
    <row r="1400" spans="1:17" x14ac:dyDescent="0.3">
      <c r="A1400" t="s">
        <v>2379</v>
      </c>
      <c r="B1400" t="s">
        <v>32</v>
      </c>
      <c r="C1400" t="s">
        <v>17</v>
      </c>
      <c r="D1400" t="s">
        <v>33</v>
      </c>
      <c r="E1400" t="s">
        <v>41</v>
      </c>
      <c r="F1400" t="s">
        <v>20</v>
      </c>
      <c r="G1400" s="1">
        <v>45503</v>
      </c>
      <c r="H1400" t="s">
        <v>2380</v>
      </c>
      <c r="I1400">
        <v>2347853</v>
      </c>
      <c r="J1400">
        <v>138109</v>
      </c>
      <c r="K1400">
        <v>39891</v>
      </c>
      <c r="L1400">
        <v>49700</v>
      </c>
      <c r="M1400">
        <v>9.7000000000000003E-2</v>
      </c>
      <c r="N1400">
        <v>0.70599999999999996</v>
      </c>
      <c r="O1400">
        <v>1</v>
      </c>
      <c r="P1400" t="b">
        <f t="shared" si="43"/>
        <v>1</v>
      </c>
      <c r="Q1400" t="str">
        <f t="shared" si="42"/>
        <v>Positive</v>
      </c>
    </row>
    <row r="1401" spans="1:17" x14ac:dyDescent="0.3">
      <c r="A1401" t="s">
        <v>2381</v>
      </c>
      <c r="B1401" t="s">
        <v>16</v>
      </c>
      <c r="C1401" t="s">
        <v>23</v>
      </c>
      <c r="D1401" t="s">
        <v>54</v>
      </c>
      <c r="E1401" t="s">
        <v>41</v>
      </c>
      <c r="F1401" t="s">
        <v>55</v>
      </c>
      <c r="G1401" s="1">
        <v>45412</v>
      </c>
      <c r="H1401" t="s">
        <v>95</v>
      </c>
      <c r="I1401">
        <v>2157110</v>
      </c>
      <c r="J1401">
        <v>431422</v>
      </c>
      <c r="K1401">
        <v>45245</v>
      </c>
      <c r="L1401">
        <v>79738</v>
      </c>
      <c r="M1401">
        <v>0.25790000000000002</v>
      </c>
      <c r="N1401">
        <v>1.6E-2</v>
      </c>
      <c r="O1401">
        <v>1</v>
      </c>
      <c r="P1401" t="b">
        <f t="shared" si="43"/>
        <v>1</v>
      </c>
      <c r="Q1401" t="str">
        <f t="shared" si="42"/>
        <v>Positive</v>
      </c>
    </row>
    <row r="1402" spans="1:17" x14ac:dyDescent="0.3">
      <c r="A1402" t="s">
        <v>2382</v>
      </c>
      <c r="B1402" t="s">
        <v>27</v>
      </c>
      <c r="C1402" t="s">
        <v>23</v>
      </c>
      <c r="D1402" t="s">
        <v>73</v>
      </c>
      <c r="E1402" t="s">
        <v>38</v>
      </c>
      <c r="F1402" t="s">
        <v>55</v>
      </c>
      <c r="G1402" s="1">
        <v>45314</v>
      </c>
      <c r="H1402" t="s">
        <v>30</v>
      </c>
      <c r="I1402">
        <v>163746</v>
      </c>
      <c r="J1402">
        <v>9097</v>
      </c>
      <c r="K1402">
        <v>40571</v>
      </c>
      <c r="L1402">
        <v>85712</v>
      </c>
      <c r="M1402">
        <v>0.82679999999999998</v>
      </c>
      <c r="N1402">
        <v>-4.3999999999999997E-2</v>
      </c>
      <c r="O1402">
        <v>0</v>
      </c>
      <c r="P1402" t="b">
        <f t="shared" si="43"/>
        <v>0</v>
      </c>
      <c r="Q1402" t="str">
        <f t="shared" si="42"/>
        <v>Negative</v>
      </c>
    </row>
    <row r="1403" spans="1:17" x14ac:dyDescent="0.3">
      <c r="A1403" t="s">
        <v>2383</v>
      </c>
      <c r="B1403" t="s">
        <v>66</v>
      </c>
      <c r="C1403" t="s">
        <v>61</v>
      </c>
      <c r="D1403" t="s">
        <v>73</v>
      </c>
      <c r="E1403" t="s">
        <v>51</v>
      </c>
      <c r="F1403" t="s">
        <v>24</v>
      </c>
      <c r="G1403" s="1">
        <v>45470</v>
      </c>
      <c r="H1403" t="s">
        <v>2038</v>
      </c>
      <c r="I1403">
        <v>1432782</v>
      </c>
      <c r="J1403">
        <v>110214</v>
      </c>
      <c r="K1403">
        <v>47687</v>
      </c>
      <c r="L1403">
        <v>63657</v>
      </c>
      <c r="M1403">
        <v>0.15459999999999999</v>
      </c>
      <c r="N1403">
        <v>0.83499999999999996</v>
      </c>
      <c r="O1403">
        <v>0</v>
      </c>
      <c r="P1403" t="b">
        <f t="shared" si="43"/>
        <v>0</v>
      </c>
      <c r="Q1403" t="str">
        <f t="shared" si="42"/>
        <v>Positive</v>
      </c>
    </row>
    <row r="1404" spans="1:17" x14ac:dyDescent="0.3">
      <c r="A1404" t="s">
        <v>2384</v>
      </c>
      <c r="B1404" t="s">
        <v>32</v>
      </c>
      <c r="C1404" t="s">
        <v>61</v>
      </c>
      <c r="D1404" t="s">
        <v>37</v>
      </c>
      <c r="E1404" t="s">
        <v>51</v>
      </c>
      <c r="F1404" t="s">
        <v>34</v>
      </c>
      <c r="G1404" s="1">
        <v>45554</v>
      </c>
      <c r="H1404" t="s">
        <v>185</v>
      </c>
      <c r="I1404">
        <v>1145850</v>
      </c>
      <c r="J1404">
        <v>76390</v>
      </c>
      <c r="K1404">
        <v>26660</v>
      </c>
      <c r="L1404">
        <v>43602</v>
      </c>
      <c r="M1404">
        <v>0.128</v>
      </c>
      <c r="N1404">
        <v>-0.86199999999999999</v>
      </c>
      <c r="O1404">
        <v>0</v>
      </c>
      <c r="P1404" t="b">
        <f t="shared" si="43"/>
        <v>0</v>
      </c>
      <c r="Q1404" t="str">
        <f t="shared" si="42"/>
        <v>Negative</v>
      </c>
    </row>
    <row r="1405" spans="1:17" x14ac:dyDescent="0.3">
      <c r="A1405" t="s">
        <v>2385</v>
      </c>
      <c r="B1405" t="s">
        <v>32</v>
      </c>
      <c r="C1405" t="s">
        <v>23</v>
      </c>
      <c r="D1405" t="s">
        <v>18</v>
      </c>
      <c r="E1405" t="s">
        <v>38</v>
      </c>
      <c r="F1405" t="s">
        <v>20</v>
      </c>
      <c r="G1405" s="1">
        <v>45432</v>
      </c>
      <c r="H1405" t="s">
        <v>2386</v>
      </c>
      <c r="I1405">
        <v>7448928</v>
      </c>
      <c r="J1405">
        <v>310372</v>
      </c>
      <c r="K1405">
        <v>20033</v>
      </c>
      <c r="L1405">
        <v>55566</v>
      </c>
      <c r="M1405">
        <v>5.1799999999999999E-2</v>
      </c>
      <c r="N1405">
        <v>0.27100000000000002</v>
      </c>
      <c r="O1405">
        <v>1</v>
      </c>
      <c r="P1405" t="b">
        <f t="shared" si="43"/>
        <v>1</v>
      </c>
      <c r="Q1405" t="str">
        <f t="shared" si="42"/>
        <v>Positive</v>
      </c>
    </row>
    <row r="1406" spans="1:17" x14ac:dyDescent="0.3">
      <c r="A1406" t="s">
        <v>2387</v>
      </c>
      <c r="B1406" t="s">
        <v>66</v>
      </c>
      <c r="C1406" t="s">
        <v>17</v>
      </c>
      <c r="D1406" t="s">
        <v>37</v>
      </c>
      <c r="E1406" t="s">
        <v>19</v>
      </c>
      <c r="F1406" t="s">
        <v>46</v>
      </c>
      <c r="G1406" s="1">
        <v>45349</v>
      </c>
      <c r="H1406" t="s">
        <v>958</v>
      </c>
      <c r="I1406">
        <v>19644</v>
      </c>
      <c r="J1406">
        <v>3274</v>
      </c>
      <c r="K1406">
        <v>35403</v>
      </c>
      <c r="L1406">
        <v>35930</v>
      </c>
      <c r="M1406">
        <v>3.798</v>
      </c>
      <c r="N1406">
        <v>0.378</v>
      </c>
      <c r="O1406">
        <v>0</v>
      </c>
      <c r="P1406" t="b">
        <f t="shared" si="43"/>
        <v>0</v>
      </c>
      <c r="Q1406" t="str">
        <f t="shared" si="42"/>
        <v>Positive</v>
      </c>
    </row>
    <row r="1407" spans="1:17" x14ac:dyDescent="0.3">
      <c r="A1407" t="s">
        <v>2388</v>
      </c>
      <c r="B1407" t="s">
        <v>16</v>
      </c>
      <c r="C1407" t="s">
        <v>17</v>
      </c>
      <c r="D1407" t="s">
        <v>33</v>
      </c>
      <c r="E1407" t="s">
        <v>38</v>
      </c>
      <c r="F1407" t="s">
        <v>24</v>
      </c>
      <c r="G1407" s="1">
        <v>45602</v>
      </c>
      <c r="H1407" t="s">
        <v>1108</v>
      </c>
      <c r="I1407">
        <v>1213400</v>
      </c>
      <c r="J1407">
        <v>242680</v>
      </c>
      <c r="K1407">
        <v>7104</v>
      </c>
      <c r="L1407">
        <v>23761</v>
      </c>
      <c r="M1407">
        <v>0.22539999999999999</v>
      </c>
      <c r="N1407">
        <v>-0.60699999999999998</v>
      </c>
      <c r="O1407">
        <v>0</v>
      </c>
      <c r="P1407" t="b">
        <f t="shared" si="43"/>
        <v>0</v>
      </c>
      <c r="Q1407" t="str">
        <f t="shared" si="42"/>
        <v>Negative</v>
      </c>
    </row>
    <row r="1408" spans="1:17" x14ac:dyDescent="0.3">
      <c r="A1408" t="s">
        <v>2389</v>
      </c>
      <c r="B1408" t="s">
        <v>27</v>
      </c>
      <c r="C1408" t="s">
        <v>23</v>
      </c>
      <c r="D1408" t="s">
        <v>54</v>
      </c>
      <c r="E1408" t="s">
        <v>19</v>
      </c>
      <c r="F1408" t="s">
        <v>24</v>
      </c>
      <c r="G1408" s="1">
        <v>45608</v>
      </c>
      <c r="H1408" t="s">
        <v>635</v>
      </c>
      <c r="I1408">
        <v>5588494</v>
      </c>
      <c r="J1408">
        <v>242978</v>
      </c>
      <c r="K1408">
        <v>20467</v>
      </c>
      <c r="L1408">
        <v>5802</v>
      </c>
      <c r="M1408">
        <v>4.82E-2</v>
      </c>
      <c r="N1408">
        <v>0.28599999999999998</v>
      </c>
      <c r="O1408">
        <v>1</v>
      </c>
      <c r="P1408" t="b">
        <f t="shared" si="43"/>
        <v>1</v>
      </c>
      <c r="Q1408" t="str">
        <f t="shared" si="42"/>
        <v>Positive</v>
      </c>
    </row>
    <row r="1409" spans="1:17" x14ac:dyDescent="0.3">
      <c r="A1409" t="s">
        <v>2390</v>
      </c>
      <c r="B1409" t="s">
        <v>27</v>
      </c>
      <c r="C1409" t="s">
        <v>28</v>
      </c>
      <c r="D1409" t="s">
        <v>73</v>
      </c>
      <c r="E1409" t="s">
        <v>51</v>
      </c>
      <c r="F1409" t="s">
        <v>46</v>
      </c>
      <c r="G1409" s="1">
        <v>45566</v>
      </c>
      <c r="H1409" t="s">
        <v>2386</v>
      </c>
      <c r="I1409">
        <v>9419649</v>
      </c>
      <c r="J1409">
        <v>495771</v>
      </c>
      <c r="K1409">
        <v>41684</v>
      </c>
      <c r="L1409">
        <v>18985</v>
      </c>
      <c r="M1409">
        <v>5.91E-2</v>
      </c>
      <c r="N1409">
        <v>0.51900000000000002</v>
      </c>
      <c r="O1409">
        <v>1</v>
      </c>
      <c r="P1409" t="b">
        <f t="shared" si="43"/>
        <v>1</v>
      </c>
      <c r="Q1409" t="str">
        <f t="shared" si="42"/>
        <v>Positive</v>
      </c>
    </row>
    <row r="1410" spans="1:17" x14ac:dyDescent="0.3">
      <c r="A1410" t="s">
        <v>2391</v>
      </c>
      <c r="B1410" t="s">
        <v>27</v>
      </c>
      <c r="C1410" t="s">
        <v>28</v>
      </c>
      <c r="D1410" t="s">
        <v>73</v>
      </c>
      <c r="E1410" t="s">
        <v>19</v>
      </c>
      <c r="F1410" t="s">
        <v>55</v>
      </c>
      <c r="G1410" s="1">
        <v>45400</v>
      </c>
      <c r="H1410" t="s">
        <v>1067</v>
      </c>
      <c r="I1410">
        <v>1481454</v>
      </c>
      <c r="J1410">
        <v>82303</v>
      </c>
      <c r="K1410">
        <v>5845</v>
      </c>
      <c r="L1410">
        <v>61248</v>
      </c>
      <c r="M1410">
        <v>0.1008</v>
      </c>
      <c r="N1410">
        <v>-5.7000000000000002E-2</v>
      </c>
      <c r="O1410">
        <v>0</v>
      </c>
      <c r="P1410" t="b">
        <f t="shared" si="43"/>
        <v>0</v>
      </c>
      <c r="Q1410" t="str">
        <f t="shared" ref="Q1410:Q1473" si="44">IF(N1410&gt;0,"Positive","Negative")</f>
        <v>Negative</v>
      </c>
    </row>
    <row r="1411" spans="1:17" x14ac:dyDescent="0.3">
      <c r="A1411" t="s">
        <v>2392</v>
      </c>
      <c r="B1411" t="s">
        <v>32</v>
      </c>
      <c r="C1411" t="s">
        <v>61</v>
      </c>
      <c r="D1411" t="s">
        <v>29</v>
      </c>
      <c r="E1411" t="s">
        <v>19</v>
      </c>
      <c r="F1411" t="s">
        <v>34</v>
      </c>
      <c r="G1411" s="1">
        <v>45608</v>
      </c>
      <c r="H1411" t="s">
        <v>2393</v>
      </c>
      <c r="I1411">
        <v>4883263</v>
      </c>
      <c r="J1411">
        <v>443933</v>
      </c>
      <c r="K1411">
        <v>21123</v>
      </c>
      <c r="L1411">
        <v>88178</v>
      </c>
      <c r="M1411">
        <v>0.1133</v>
      </c>
      <c r="N1411">
        <v>-0.17399999999999999</v>
      </c>
      <c r="O1411">
        <v>1</v>
      </c>
      <c r="P1411" t="b">
        <f t="shared" ref="P1411:P1474" si="45">IF(O1411=1,TRUE,FALSE)</f>
        <v>1</v>
      </c>
      <c r="Q1411" t="str">
        <f t="shared" si="44"/>
        <v>Negative</v>
      </c>
    </row>
    <row r="1412" spans="1:17" x14ac:dyDescent="0.3">
      <c r="A1412" t="s">
        <v>2394</v>
      </c>
      <c r="B1412" t="s">
        <v>32</v>
      </c>
      <c r="C1412" t="s">
        <v>61</v>
      </c>
      <c r="D1412" t="s">
        <v>29</v>
      </c>
      <c r="E1412" t="s">
        <v>19</v>
      </c>
      <c r="F1412" t="s">
        <v>55</v>
      </c>
      <c r="G1412" s="1">
        <v>45366</v>
      </c>
      <c r="H1412" t="s">
        <v>2395</v>
      </c>
      <c r="I1412">
        <v>524056</v>
      </c>
      <c r="J1412">
        <v>20156</v>
      </c>
      <c r="K1412">
        <v>7387</v>
      </c>
      <c r="L1412">
        <v>55740</v>
      </c>
      <c r="M1412">
        <v>0.15890000000000001</v>
      </c>
      <c r="N1412">
        <v>-0.85499999999999998</v>
      </c>
      <c r="O1412">
        <v>0</v>
      </c>
      <c r="P1412" t="b">
        <f t="shared" si="45"/>
        <v>0</v>
      </c>
      <c r="Q1412" t="str">
        <f t="shared" si="44"/>
        <v>Negative</v>
      </c>
    </row>
    <row r="1413" spans="1:17" x14ac:dyDescent="0.3">
      <c r="A1413" t="s">
        <v>2396</v>
      </c>
      <c r="B1413" t="s">
        <v>66</v>
      </c>
      <c r="C1413" t="s">
        <v>61</v>
      </c>
      <c r="D1413" t="s">
        <v>29</v>
      </c>
      <c r="E1413" t="s">
        <v>38</v>
      </c>
      <c r="F1413" t="s">
        <v>24</v>
      </c>
      <c r="G1413" s="1">
        <v>45326</v>
      </c>
      <c r="H1413" t="s">
        <v>2397</v>
      </c>
      <c r="I1413">
        <v>6150998</v>
      </c>
      <c r="J1413">
        <v>439357</v>
      </c>
      <c r="K1413">
        <v>997</v>
      </c>
      <c r="L1413">
        <v>72395</v>
      </c>
      <c r="M1413">
        <v>8.3400000000000002E-2</v>
      </c>
      <c r="N1413">
        <v>0.45100000000000001</v>
      </c>
      <c r="O1413">
        <v>1</v>
      </c>
      <c r="P1413" t="b">
        <f t="shared" si="45"/>
        <v>1</v>
      </c>
      <c r="Q1413" t="str">
        <f t="shared" si="44"/>
        <v>Positive</v>
      </c>
    </row>
    <row r="1414" spans="1:17" x14ac:dyDescent="0.3">
      <c r="A1414" t="s">
        <v>2398</v>
      </c>
      <c r="B1414" t="s">
        <v>16</v>
      </c>
      <c r="C1414" t="s">
        <v>17</v>
      </c>
      <c r="D1414" t="s">
        <v>29</v>
      </c>
      <c r="E1414" t="s">
        <v>38</v>
      </c>
      <c r="F1414" t="s">
        <v>46</v>
      </c>
      <c r="G1414" s="1">
        <v>45464</v>
      </c>
      <c r="H1414" t="s">
        <v>2399</v>
      </c>
      <c r="I1414">
        <v>1825470</v>
      </c>
      <c r="J1414">
        <v>182547</v>
      </c>
      <c r="K1414">
        <v>20911</v>
      </c>
      <c r="L1414">
        <v>19573</v>
      </c>
      <c r="M1414">
        <v>0.1222</v>
      </c>
      <c r="N1414">
        <v>-0.59599999999999997</v>
      </c>
      <c r="O1414">
        <v>0</v>
      </c>
      <c r="P1414" t="b">
        <f t="shared" si="45"/>
        <v>0</v>
      </c>
      <c r="Q1414" t="str">
        <f t="shared" si="44"/>
        <v>Negative</v>
      </c>
    </row>
    <row r="1415" spans="1:17" x14ac:dyDescent="0.3">
      <c r="A1415" t="s">
        <v>2400</v>
      </c>
      <c r="B1415" t="s">
        <v>66</v>
      </c>
      <c r="C1415" t="s">
        <v>23</v>
      </c>
      <c r="D1415" t="s">
        <v>33</v>
      </c>
      <c r="E1415" t="s">
        <v>38</v>
      </c>
      <c r="F1415" t="s">
        <v>24</v>
      </c>
      <c r="G1415" s="1">
        <v>45595</v>
      </c>
      <c r="H1415" t="s">
        <v>354</v>
      </c>
      <c r="I1415">
        <v>1722535</v>
      </c>
      <c r="J1415">
        <v>344507</v>
      </c>
      <c r="K1415">
        <v>32172</v>
      </c>
      <c r="L1415">
        <v>15480</v>
      </c>
      <c r="M1415">
        <v>0.22770000000000001</v>
      </c>
      <c r="N1415">
        <v>-0.82</v>
      </c>
      <c r="O1415">
        <v>0</v>
      </c>
      <c r="P1415" t="b">
        <f t="shared" si="45"/>
        <v>0</v>
      </c>
      <c r="Q1415" t="str">
        <f t="shared" si="44"/>
        <v>Negative</v>
      </c>
    </row>
    <row r="1416" spans="1:17" x14ac:dyDescent="0.3">
      <c r="A1416" t="s">
        <v>2401</v>
      </c>
      <c r="B1416" t="s">
        <v>16</v>
      </c>
      <c r="C1416" t="s">
        <v>61</v>
      </c>
      <c r="D1416" t="s">
        <v>33</v>
      </c>
      <c r="E1416" t="s">
        <v>51</v>
      </c>
      <c r="F1416" t="s">
        <v>55</v>
      </c>
      <c r="G1416" s="1">
        <v>45508</v>
      </c>
      <c r="H1416" t="s">
        <v>2402</v>
      </c>
      <c r="I1416">
        <v>7433512</v>
      </c>
      <c r="J1416">
        <v>256328</v>
      </c>
      <c r="K1416">
        <v>4925</v>
      </c>
      <c r="L1416">
        <v>19586</v>
      </c>
      <c r="M1416">
        <v>3.78E-2</v>
      </c>
      <c r="N1416">
        <v>-0.50900000000000001</v>
      </c>
      <c r="O1416">
        <v>1</v>
      </c>
      <c r="P1416" t="b">
        <f t="shared" si="45"/>
        <v>1</v>
      </c>
      <c r="Q1416" t="str">
        <f t="shared" si="44"/>
        <v>Negative</v>
      </c>
    </row>
    <row r="1417" spans="1:17" x14ac:dyDescent="0.3">
      <c r="A1417" t="s">
        <v>2403</v>
      </c>
      <c r="B1417" t="s">
        <v>32</v>
      </c>
      <c r="C1417" t="s">
        <v>28</v>
      </c>
      <c r="D1417" t="s">
        <v>37</v>
      </c>
      <c r="E1417" t="s">
        <v>19</v>
      </c>
      <c r="F1417" t="s">
        <v>46</v>
      </c>
      <c r="G1417" s="1">
        <v>45340</v>
      </c>
      <c r="H1417" t="s">
        <v>358</v>
      </c>
      <c r="I1417">
        <v>6344919</v>
      </c>
      <c r="J1417">
        <v>302139</v>
      </c>
      <c r="K1417">
        <v>3725</v>
      </c>
      <c r="L1417">
        <v>19268</v>
      </c>
      <c r="M1417">
        <v>5.1200000000000002E-2</v>
      </c>
      <c r="N1417">
        <v>-0.77700000000000002</v>
      </c>
      <c r="O1417">
        <v>1</v>
      </c>
      <c r="P1417" t="b">
        <f t="shared" si="45"/>
        <v>1</v>
      </c>
      <c r="Q1417" t="str">
        <f t="shared" si="44"/>
        <v>Negative</v>
      </c>
    </row>
    <row r="1418" spans="1:17" x14ac:dyDescent="0.3">
      <c r="A1418" t="s">
        <v>2404</v>
      </c>
      <c r="B1418" t="s">
        <v>66</v>
      </c>
      <c r="C1418" t="s">
        <v>17</v>
      </c>
      <c r="D1418" t="s">
        <v>33</v>
      </c>
      <c r="E1418" t="s">
        <v>51</v>
      </c>
      <c r="F1418" t="s">
        <v>34</v>
      </c>
      <c r="G1418" s="1">
        <v>45534</v>
      </c>
      <c r="H1418" t="s">
        <v>2405</v>
      </c>
      <c r="I1418">
        <v>6249915</v>
      </c>
      <c r="J1418">
        <v>416661</v>
      </c>
      <c r="K1418">
        <v>25698</v>
      </c>
      <c r="L1418">
        <v>61608</v>
      </c>
      <c r="M1418">
        <v>8.0600000000000005E-2</v>
      </c>
      <c r="N1418">
        <v>-0.52</v>
      </c>
      <c r="O1418">
        <v>1</v>
      </c>
      <c r="P1418" t="b">
        <f t="shared" si="45"/>
        <v>1</v>
      </c>
      <c r="Q1418" t="str">
        <f t="shared" si="44"/>
        <v>Negative</v>
      </c>
    </row>
    <row r="1419" spans="1:17" x14ac:dyDescent="0.3">
      <c r="A1419" t="s">
        <v>2406</v>
      </c>
      <c r="B1419" t="s">
        <v>66</v>
      </c>
      <c r="C1419" t="s">
        <v>17</v>
      </c>
      <c r="D1419" t="s">
        <v>33</v>
      </c>
      <c r="E1419" t="s">
        <v>19</v>
      </c>
      <c r="F1419" t="s">
        <v>46</v>
      </c>
      <c r="G1419" s="1">
        <v>45381</v>
      </c>
      <c r="H1419" t="s">
        <v>2407</v>
      </c>
      <c r="I1419">
        <v>5504716</v>
      </c>
      <c r="J1419">
        <v>196597</v>
      </c>
      <c r="K1419">
        <v>12987</v>
      </c>
      <c r="L1419">
        <v>82845</v>
      </c>
      <c r="M1419">
        <v>5.3100000000000001E-2</v>
      </c>
      <c r="N1419">
        <v>-0.83799999999999997</v>
      </c>
      <c r="O1419">
        <v>1</v>
      </c>
      <c r="P1419" t="b">
        <f t="shared" si="45"/>
        <v>1</v>
      </c>
      <c r="Q1419" t="str">
        <f t="shared" si="44"/>
        <v>Negative</v>
      </c>
    </row>
    <row r="1420" spans="1:17" x14ac:dyDescent="0.3">
      <c r="A1420" t="s">
        <v>2408</v>
      </c>
      <c r="B1420" t="s">
        <v>66</v>
      </c>
      <c r="C1420" t="s">
        <v>28</v>
      </c>
      <c r="D1420" t="s">
        <v>37</v>
      </c>
      <c r="E1420" t="s">
        <v>38</v>
      </c>
      <c r="F1420" t="s">
        <v>20</v>
      </c>
      <c r="G1420" s="1">
        <v>45582</v>
      </c>
      <c r="H1420" t="s">
        <v>1070</v>
      </c>
      <c r="I1420">
        <v>2314000</v>
      </c>
      <c r="J1420">
        <v>115700</v>
      </c>
      <c r="K1420">
        <v>35094</v>
      </c>
      <c r="L1420">
        <v>79402</v>
      </c>
      <c r="M1420">
        <v>9.9500000000000005E-2</v>
      </c>
      <c r="N1420">
        <v>-0.39700000000000002</v>
      </c>
      <c r="O1420">
        <v>1</v>
      </c>
      <c r="P1420" t="b">
        <f t="shared" si="45"/>
        <v>1</v>
      </c>
      <c r="Q1420" t="str">
        <f t="shared" si="44"/>
        <v>Negative</v>
      </c>
    </row>
    <row r="1421" spans="1:17" x14ac:dyDescent="0.3">
      <c r="A1421" t="s">
        <v>2409</v>
      </c>
      <c r="B1421" t="s">
        <v>32</v>
      </c>
      <c r="C1421" t="s">
        <v>61</v>
      </c>
      <c r="D1421" t="s">
        <v>33</v>
      </c>
      <c r="E1421" t="s">
        <v>51</v>
      </c>
      <c r="F1421" t="s">
        <v>34</v>
      </c>
      <c r="G1421" s="1">
        <v>45405</v>
      </c>
      <c r="H1421" t="s">
        <v>71</v>
      </c>
      <c r="I1421">
        <v>434512</v>
      </c>
      <c r="J1421">
        <v>33424</v>
      </c>
      <c r="K1421">
        <v>13398</v>
      </c>
      <c r="L1421">
        <v>1553</v>
      </c>
      <c r="M1421">
        <v>0.1113</v>
      </c>
      <c r="N1421">
        <v>0.78</v>
      </c>
      <c r="O1421">
        <v>0</v>
      </c>
      <c r="P1421" t="b">
        <f t="shared" si="45"/>
        <v>0</v>
      </c>
      <c r="Q1421" t="str">
        <f t="shared" si="44"/>
        <v>Positive</v>
      </c>
    </row>
    <row r="1422" spans="1:17" x14ac:dyDescent="0.3">
      <c r="A1422" t="s">
        <v>2410</v>
      </c>
      <c r="B1422" t="s">
        <v>27</v>
      </c>
      <c r="C1422" t="s">
        <v>23</v>
      </c>
      <c r="D1422" t="s">
        <v>18</v>
      </c>
      <c r="E1422" t="s">
        <v>41</v>
      </c>
      <c r="F1422" t="s">
        <v>46</v>
      </c>
      <c r="G1422" s="1">
        <v>45405</v>
      </c>
      <c r="H1422" t="s">
        <v>2411</v>
      </c>
      <c r="I1422">
        <v>3610112</v>
      </c>
      <c r="J1422">
        <v>164096</v>
      </c>
      <c r="K1422">
        <v>8931</v>
      </c>
      <c r="L1422">
        <v>96388</v>
      </c>
      <c r="M1422">
        <v>7.46E-2</v>
      </c>
      <c r="N1422">
        <v>4.0000000000000001E-3</v>
      </c>
      <c r="O1422">
        <v>1</v>
      </c>
      <c r="P1422" t="b">
        <f t="shared" si="45"/>
        <v>1</v>
      </c>
      <c r="Q1422" t="str">
        <f t="shared" si="44"/>
        <v>Positive</v>
      </c>
    </row>
    <row r="1423" spans="1:17" x14ac:dyDescent="0.3">
      <c r="A1423" t="s">
        <v>2412</v>
      </c>
      <c r="B1423" t="s">
        <v>66</v>
      </c>
      <c r="C1423" t="s">
        <v>17</v>
      </c>
      <c r="D1423" t="s">
        <v>33</v>
      </c>
      <c r="E1423" t="s">
        <v>19</v>
      </c>
      <c r="F1423" t="s">
        <v>46</v>
      </c>
      <c r="G1423" s="1">
        <v>45349</v>
      </c>
      <c r="H1423" t="s">
        <v>1248</v>
      </c>
      <c r="I1423">
        <v>1179056</v>
      </c>
      <c r="J1423">
        <v>73691</v>
      </c>
      <c r="K1423">
        <v>4659</v>
      </c>
      <c r="L1423">
        <v>22635</v>
      </c>
      <c r="M1423">
        <v>8.5599999999999996E-2</v>
      </c>
      <c r="N1423">
        <v>-0.90100000000000002</v>
      </c>
      <c r="O1423">
        <v>0</v>
      </c>
      <c r="P1423" t="b">
        <f t="shared" si="45"/>
        <v>0</v>
      </c>
      <c r="Q1423" t="str">
        <f t="shared" si="44"/>
        <v>Negative</v>
      </c>
    </row>
    <row r="1424" spans="1:17" x14ac:dyDescent="0.3">
      <c r="A1424" t="s">
        <v>2413</v>
      </c>
      <c r="B1424" t="s">
        <v>32</v>
      </c>
      <c r="C1424" t="s">
        <v>28</v>
      </c>
      <c r="D1424" t="s">
        <v>73</v>
      </c>
      <c r="E1424" t="s">
        <v>38</v>
      </c>
      <c r="F1424" t="s">
        <v>55</v>
      </c>
      <c r="G1424" s="1">
        <v>45434</v>
      </c>
      <c r="H1424" t="s">
        <v>144</v>
      </c>
      <c r="I1424">
        <v>4047426</v>
      </c>
      <c r="J1424">
        <v>449714</v>
      </c>
      <c r="K1424">
        <v>32927</v>
      </c>
      <c r="L1424">
        <v>40719</v>
      </c>
      <c r="M1424">
        <v>0.1293</v>
      </c>
      <c r="N1424">
        <v>0.745</v>
      </c>
      <c r="O1424">
        <v>1</v>
      </c>
      <c r="P1424" t="b">
        <f t="shared" si="45"/>
        <v>1</v>
      </c>
      <c r="Q1424" t="str">
        <f t="shared" si="44"/>
        <v>Positive</v>
      </c>
    </row>
    <row r="1425" spans="1:17" x14ac:dyDescent="0.3">
      <c r="A1425" t="s">
        <v>2414</v>
      </c>
      <c r="B1425" t="s">
        <v>27</v>
      </c>
      <c r="C1425" t="s">
        <v>28</v>
      </c>
      <c r="D1425" t="s">
        <v>37</v>
      </c>
      <c r="E1425" t="s">
        <v>41</v>
      </c>
      <c r="F1425" t="s">
        <v>34</v>
      </c>
      <c r="G1425" s="1">
        <v>45434</v>
      </c>
      <c r="H1425" t="s">
        <v>630</v>
      </c>
      <c r="I1425">
        <v>9114729</v>
      </c>
      <c r="J1425">
        <v>314301</v>
      </c>
      <c r="K1425">
        <v>14264</v>
      </c>
      <c r="L1425">
        <v>80410</v>
      </c>
      <c r="M1425">
        <v>4.4900000000000002E-2</v>
      </c>
      <c r="N1425">
        <v>0.38300000000000001</v>
      </c>
      <c r="O1425">
        <v>1</v>
      </c>
      <c r="P1425" t="b">
        <f t="shared" si="45"/>
        <v>1</v>
      </c>
      <c r="Q1425" t="str">
        <f t="shared" si="44"/>
        <v>Positive</v>
      </c>
    </row>
    <row r="1426" spans="1:17" x14ac:dyDescent="0.3">
      <c r="A1426" t="s">
        <v>2415</v>
      </c>
      <c r="B1426" t="s">
        <v>32</v>
      </c>
      <c r="C1426" t="s">
        <v>23</v>
      </c>
      <c r="D1426" t="s">
        <v>29</v>
      </c>
      <c r="E1426" t="s">
        <v>58</v>
      </c>
      <c r="F1426" t="s">
        <v>34</v>
      </c>
      <c r="G1426" s="1">
        <v>45324</v>
      </c>
      <c r="H1426" t="s">
        <v>2416</v>
      </c>
      <c r="I1426">
        <v>3058550</v>
      </c>
      <c r="J1426">
        <v>139025</v>
      </c>
      <c r="K1426">
        <v>12384</v>
      </c>
      <c r="L1426">
        <v>15793</v>
      </c>
      <c r="M1426">
        <v>5.4699999999999999E-2</v>
      </c>
      <c r="N1426">
        <v>0.65900000000000003</v>
      </c>
      <c r="O1426">
        <v>1</v>
      </c>
      <c r="P1426" t="b">
        <f t="shared" si="45"/>
        <v>1</v>
      </c>
      <c r="Q1426" t="str">
        <f t="shared" si="44"/>
        <v>Positive</v>
      </c>
    </row>
    <row r="1427" spans="1:17" x14ac:dyDescent="0.3">
      <c r="A1427" t="s">
        <v>2417</v>
      </c>
      <c r="B1427" t="s">
        <v>27</v>
      </c>
      <c r="C1427" t="s">
        <v>23</v>
      </c>
      <c r="D1427" t="s">
        <v>29</v>
      </c>
      <c r="E1427" t="s">
        <v>19</v>
      </c>
      <c r="F1427" t="s">
        <v>46</v>
      </c>
      <c r="G1427" s="1">
        <v>45541</v>
      </c>
      <c r="H1427" t="s">
        <v>2418</v>
      </c>
      <c r="I1427">
        <v>1766548</v>
      </c>
      <c r="J1427">
        <v>126182</v>
      </c>
      <c r="K1427">
        <v>47558</v>
      </c>
      <c r="L1427">
        <v>63457</v>
      </c>
      <c r="M1427">
        <v>0.1343</v>
      </c>
      <c r="N1427">
        <v>0.107</v>
      </c>
      <c r="O1427">
        <v>0</v>
      </c>
      <c r="P1427" t="b">
        <f t="shared" si="45"/>
        <v>0</v>
      </c>
      <c r="Q1427" t="str">
        <f t="shared" si="44"/>
        <v>Positive</v>
      </c>
    </row>
    <row r="1428" spans="1:17" x14ac:dyDescent="0.3">
      <c r="A1428" t="s">
        <v>2419</v>
      </c>
      <c r="B1428" t="s">
        <v>16</v>
      </c>
      <c r="C1428" t="s">
        <v>28</v>
      </c>
      <c r="D1428" t="s">
        <v>18</v>
      </c>
      <c r="E1428" t="s">
        <v>51</v>
      </c>
      <c r="F1428" t="s">
        <v>20</v>
      </c>
      <c r="G1428" s="1">
        <v>45564</v>
      </c>
      <c r="H1428" t="s">
        <v>1053</v>
      </c>
      <c r="I1428">
        <v>4532388</v>
      </c>
      <c r="J1428">
        <v>161871</v>
      </c>
      <c r="K1428">
        <v>47696</v>
      </c>
      <c r="L1428">
        <v>37041</v>
      </c>
      <c r="M1428">
        <v>5.4399999999999997E-2</v>
      </c>
      <c r="N1428">
        <v>-0.316</v>
      </c>
      <c r="O1428">
        <v>1</v>
      </c>
      <c r="P1428" t="b">
        <f t="shared" si="45"/>
        <v>1</v>
      </c>
      <c r="Q1428" t="str">
        <f t="shared" si="44"/>
        <v>Negative</v>
      </c>
    </row>
    <row r="1429" spans="1:17" x14ac:dyDescent="0.3">
      <c r="A1429" t="s">
        <v>2420</v>
      </c>
      <c r="B1429" t="s">
        <v>16</v>
      </c>
      <c r="C1429" t="s">
        <v>28</v>
      </c>
      <c r="D1429" t="s">
        <v>29</v>
      </c>
      <c r="E1429" t="s">
        <v>19</v>
      </c>
      <c r="F1429" t="s">
        <v>34</v>
      </c>
      <c r="G1429" s="1">
        <v>45630</v>
      </c>
      <c r="H1429" t="s">
        <v>919</v>
      </c>
      <c r="I1429">
        <v>3024546</v>
      </c>
      <c r="J1429">
        <v>432078</v>
      </c>
      <c r="K1429">
        <v>23605</v>
      </c>
      <c r="L1429">
        <v>94775</v>
      </c>
      <c r="M1429">
        <v>0.182</v>
      </c>
      <c r="N1429">
        <v>0.97199999999999998</v>
      </c>
      <c r="O1429">
        <v>1</v>
      </c>
      <c r="P1429" t="b">
        <f t="shared" si="45"/>
        <v>1</v>
      </c>
      <c r="Q1429" t="str">
        <f t="shared" si="44"/>
        <v>Positive</v>
      </c>
    </row>
    <row r="1430" spans="1:17" x14ac:dyDescent="0.3">
      <c r="A1430" t="s">
        <v>2421</v>
      </c>
      <c r="B1430" t="s">
        <v>66</v>
      </c>
      <c r="C1430" t="s">
        <v>23</v>
      </c>
      <c r="D1430" t="s">
        <v>18</v>
      </c>
      <c r="E1430" t="s">
        <v>58</v>
      </c>
      <c r="F1430" t="s">
        <v>55</v>
      </c>
      <c r="G1430" s="1">
        <v>45582</v>
      </c>
      <c r="H1430" t="s">
        <v>2422</v>
      </c>
      <c r="I1430">
        <v>1897470</v>
      </c>
      <c r="J1430">
        <v>105415</v>
      </c>
      <c r="K1430">
        <v>20090</v>
      </c>
      <c r="L1430">
        <v>46855</v>
      </c>
      <c r="M1430">
        <v>9.0800000000000006E-2</v>
      </c>
      <c r="N1430">
        <v>0.48299999999999998</v>
      </c>
      <c r="O1430">
        <v>0</v>
      </c>
      <c r="P1430" t="b">
        <f t="shared" si="45"/>
        <v>0</v>
      </c>
      <c r="Q1430" t="str">
        <f t="shared" si="44"/>
        <v>Positive</v>
      </c>
    </row>
    <row r="1431" spans="1:17" x14ac:dyDescent="0.3">
      <c r="A1431" t="s">
        <v>2423</v>
      </c>
      <c r="B1431" t="s">
        <v>66</v>
      </c>
      <c r="C1431" t="s">
        <v>23</v>
      </c>
      <c r="D1431" t="s">
        <v>54</v>
      </c>
      <c r="E1431" t="s">
        <v>51</v>
      </c>
      <c r="F1431" t="s">
        <v>34</v>
      </c>
      <c r="G1431" s="1">
        <v>45454</v>
      </c>
      <c r="H1431" t="s">
        <v>2424</v>
      </c>
      <c r="I1431">
        <v>4871854</v>
      </c>
      <c r="J1431">
        <v>187379</v>
      </c>
      <c r="K1431">
        <v>29084</v>
      </c>
      <c r="L1431">
        <v>33981</v>
      </c>
      <c r="M1431">
        <v>5.1400000000000001E-2</v>
      </c>
      <c r="N1431">
        <v>-0.21</v>
      </c>
      <c r="O1431">
        <v>1</v>
      </c>
      <c r="P1431" t="b">
        <f t="shared" si="45"/>
        <v>1</v>
      </c>
      <c r="Q1431" t="str">
        <f t="shared" si="44"/>
        <v>Negative</v>
      </c>
    </row>
    <row r="1432" spans="1:17" x14ac:dyDescent="0.3">
      <c r="A1432" t="s">
        <v>2425</v>
      </c>
      <c r="B1432" t="s">
        <v>66</v>
      </c>
      <c r="C1432" t="s">
        <v>17</v>
      </c>
      <c r="D1432" t="s">
        <v>73</v>
      </c>
      <c r="E1432" t="s">
        <v>19</v>
      </c>
      <c r="F1432" t="s">
        <v>24</v>
      </c>
      <c r="G1432" s="1">
        <v>45402</v>
      </c>
      <c r="H1432" t="s">
        <v>1401</v>
      </c>
      <c r="I1432">
        <v>12956424</v>
      </c>
      <c r="J1432">
        <v>498324</v>
      </c>
      <c r="K1432">
        <v>15901</v>
      </c>
      <c r="L1432">
        <v>89354</v>
      </c>
      <c r="M1432">
        <v>4.6600000000000003E-2</v>
      </c>
      <c r="N1432">
        <v>0.34799999999999998</v>
      </c>
      <c r="O1432">
        <v>1</v>
      </c>
      <c r="P1432" t="b">
        <f t="shared" si="45"/>
        <v>1</v>
      </c>
      <c r="Q1432" t="str">
        <f t="shared" si="44"/>
        <v>Positive</v>
      </c>
    </row>
    <row r="1433" spans="1:17" x14ac:dyDescent="0.3">
      <c r="A1433" t="s">
        <v>2426</v>
      </c>
      <c r="B1433" t="s">
        <v>27</v>
      </c>
      <c r="C1433" t="s">
        <v>17</v>
      </c>
      <c r="D1433" t="s">
        <v>18</v>
      </c>
      <c r="E1433" t="s">
        <v>58</v>
      </c>
      <c r="F1433" t="s">
        <v>34</v>
      </c>
      <c r="G1433" s="1">
        <v>45523</v>
      </c>
      <c r="H1433" t="s">
        <v>1576</v>
      </c>
      <c r="I1433">
        <v>1560383</v>
      </c>
      <c r="J1433">
        <v>141853</v>
      </c>
      <c r="K1433">
        <v>7372</v>
      </c>
      <c r="L1433">
        <v>3229</v>
      </c>
      <c r="M1433">
        <v>9.7699999999999995E-2</v>
      </c>
      <c r="N1433">
        <v>-0.28599999999999998</v>
      </c>
      <c r="O1433">
        <v>0</v>
      </c>
      <c r="P1433" t="b">
        <f t="shared" si="45"/>
        <v>0</v>
      </c>
      <c r="Q1433" t="str">
        <f t="shared" si="44"/>
        <v>Negative</v>
      </c>
    </row>
    <row r="1434" spans="1:17" x14ac:dyDescent="0.3">
      <c r="A1434" t="s">
        <v>2427</v>
      </c>
      <c r="B1434" t="s">
        <v>27</v>
      </c>
      <c r="C1434" t="s">
        <v>61</v>
      </c>
      <c r="D1434" t="s">
        <v>73</v>
      </c>
      <c r="E1434" t="s">
        <v>41</v>
      </c>
      <c r="F1434" t="s">
        <v>20</v>
      </c>
      <c r="G1434" s="1">
        <v>45397</v>
      </c>
      <c r="H1434" t="s">
        <v>597</v>
      </c>
      <c r="I1434">
        <v>4753265</v>
      </c>
      <c r="J1434">
        <v>432115</v>
      </c>
      <c r="K1434">
        <v>37016</v>
      </c>
      <c r="L1434">
        <v>79184</v>
      </c>
      <c r="M1434">
        <v>0.1154</v>
      </c>
      <c r="N1434">
        <v>0.499</v>
      </c>
      <c r="O1434">
        <v>1</v>
      </c>
      <c r="P1434" t="b">
        <f t="shared" si="45"/>
        <v>1</v>
      </c>
      <c r="Q1434" t="str">
        <f t="shared" si="44"/>
        <v>Positive</v>
      </c>
    </row>
    <row r="1435" spans="1:17" x14ac:dyDescent="0.3">
      <c r="A1435" t="s">
        <v>2428</v>
      </c>
      <c r="B1435" t="s">
        <v>32</v>
      </c>
      <c r="C1435" t="s">
        <v>23</v>
      </c>
      <c r="D1435" t="s">
        <v>73</v>
      </c>
      <c r="E1435" t="s">
        <v>58</v>
      </c>
      <c r="F1435" t="s">
        <v>20</v>
      </c>
      <c r="G1435" s="1">
        <v>45541</v>
      </c>
      <c r="H1435" t="s">
        <v>2429</v>
      </c>
      <c r="I1435">
        <v>895430</v>
      </c>
      <c r="J1435">
        <v>179086</v>
      </c>
      <c r="K1435">
        <v>19102</v>
      </c>
      <c r="L1435">
        <v>45255</v>
      </c>
      <c r="M1435">
        <v>0.27189999999999998</v>
      </c>
      <c r="N1435">
        <v>0.497</v>
      </c>
      <c r="O1435">
        <v>0</v>
      </c>
      <c r="P1435" t="b">
        <f t="shared" si="45"/>
        <v>0</v>
      </c>
      <c r="Q1435" t="str">
        <f t="shared" si="44"/>
        <v>Positive</v>
      </c>
    </row>
    <row r="1436" spans="1:17" x14ac:dyDescent="0.3">
      <c r="A1436" t="s">
        <v>2430</v>
      </c>
      <c r="B1436" t="s">
        <v>66</v>
      </c>
      <c r="C1436" t="s">
        <v>28</v>
      </c>
      <c r="D1436" t="s">
        <v>73</v>
      </c>
      <c r="E1436" t="s">
        <v>19</v>
      </c>
      <c r="F1436" t="s">
        <v>46</v>
      </c>
      <c r="G1436" s="1">
        <v>45461</v>
      </c>
      <c r="H1436" t="s">
        <v>2431</v>
      </c>
      <c r="I1436">
        <v>5907840</v>
      </c>
      <c r="J1436">
        <v>246160</v>
      </c>
      <c r="K1436">
        <v>17112</v>
      </c>
      <c r="L1436">
        <v>68547</v>
      </c>
      <c r="M1436">
        <v>5.62E-2</v>
      </c>
      <c r="N1436">
        <v>6.3E-2</v>
      </c>
      <c r="O1436">
        <v>1</v>
      </c>
      <c r="P1436" t="b">
        <f t="shared" si="45"/>
        <v>1</v>
      </c>
      <c r="Q1436" t="str">
        <f t="shared" si="44"/>
        <v>Positive</v>
      </c>
    </row>
    <row r="1437" spans="1:17" x14ac:dyDescent="0.3">
      <c r="A1437" t="s">
        <v>2432</v>
      </c>
      <c r="B1437" t="s">
        <v>27</v>
      </c>
      <c r="C1437" t="s">
        <v>17</v>
      </c>
      <c r="D1437" t="s">
        <v>33</v>
      </c>
      <c r="E1437" t="s">
        <v>19</v>
      </c>
      <c r="F1437" t="s">
        <v>34</v>
      </c>
      <c r="G1437" s="1">
        <v>45607</v>
      </c>
      <c r="H1437" t="s">
        <v>244</v>
      </c>
      <c r="I1437">
        <v>1769424</v>
      </c>
      <c r="J1437">
        <v>110589</v>
      </c>
      <c r="K1437">
        <v>34310</v>
      </c>
      <c r="L1437">
        <v>49550</v>
      </c>
      <c r="M1437">
        <v>0.1099</v>
      </c>
      <c r="N1437">
        <v>-0.05</v>
      </c>
      <c r="O1437">
        <v>0</v>
      </c>
      <c r="P1437" t="b">
        <f t="shared" si="45"/>
        <v>0</v>
      </c>
      <c r="Q1437" t="str">
        <f t="shared" si="44"/>
        <v>Negative</v>
      </c>
    </row>
    <row r="1438" spans="1:17" x14ac:dyDescent="0.3">
      <c r="A1438" t="s">
        <v>2433</v>
      </c>
      <c r="B1438" t="s">
        <v>27</v>
      </c>
      <c r="C1438" t="s">
        <v>23</v>
      </c>
      <c r="D1438" t="s">
        <v>33</v>
      </c>
      <c r="E1438" t="s">
        <v>38</v>
      </c>
      <c r="F1438" t="s">
        <v>55</v>
      </c>
      <c r="G1438" s="1">
        <v>45485</v>
      </c>
      <c r="H1438" t="s">
        <v>434</v>
      </c>
      <c r="I1438">
        <v>439263</v>
      </c>
      <c r="J1438">
        <v>25839</v>
      </c>
      <c r="K1438">
        <v>21214</v>
      </c>
      <c r="L1438">
        <v>87969</v>
      </c>
      <c r="M1438">
        <v>0.30740000000000001</v>
      </c>
      <c r="N1438">
        <v>0.23699999999999999</v>
      </c>
      <c r="O1438">
        <v>0</v>
      </c>
      <c r="P1438" t="b">
        <f t="shared" si="45"/>
        <v>0</v>
      </c>
      <c r="Q1438" t="str">
        <f t="shared" si="44"/>
        <v>Positive</v>
      </c>
    </row>
    <row r="1439" spans="1:17" x14ac:dyDescent="0.3">
      <c r="A1439" t="s">
        <v>2434</v>
      </c>
      <c r="B1439" t="s">
        <v>32</v>
      </c>
      <c r="C1439" t="s">
        <v>17</v>
      </c>
      <c r="D1439" t="s">
        <v>54</v>
      </c>
      <c r="E1439" t="s">
        <v>38</v>
      </c>
      <c r="F1439" t="s">
        <v>34</v>
      </c>
      <c r="G1439" s="1">
        <v>45592</v>
      </c>
      <c r="H1439" t="s">
        <v>2435</v>
      </c>
      <c r="I1439">
        <v>895225</v>
      </c>
      <c r="J1439">
        <v>35809</v>
      </c>
      <c r="K1439">
        <v>43622</v>
      </c>
      <c r="L1439">
        <v>60140</v>
      </c>
      <c r="M1439">
        <v>0.15590000000000001</v>
      </c>
      <c r="N1439">
        <v>-0.58799999999999997</v>
      </c>
      <c r="O1439">
        <v>0</v>
      </c>
      <c r="P1439" t="b">
        <f t="shared" si="45"/>
        <v>0</v>
      </c>
      <c r="Q1439" t="str">
        <f t="shared" si="44"/>
        <v>Negative</v>
      </c>
    </row>
    <row r="1440" spans="1:17" x14ac:dyDescent="0.3">
      <c r="A1440" t="s">
        <v>2436</v>
      </c>
      <c r="B1440" t="s">
        <v>27</v>
      </c>
      <c r="C1440" t="s">
        <v>17</v>
      </c>
      <c r="D1440" t="s">
        <v>29</v>
      </c>
      <c r="E1440" t="s">
        <v>38</v>
      </c>
      <c r="F1440" t="s">
        <v>55</v>
      </c>
      <c r="G1440" s="1">
        <v>45437</v>
      </c>
      <c r="H1440" t="s">
        <v>1576</v>
      </c>
      <c r="I1440">
        <v>5348322</v>
      </c>
      <c r="J1440">
        <v>382023</v>
      </c>
      <c r="K1440">
        <v>42924</v>
      </c>
      <c r="L1440">
        <v>83522</v>
      </c>
      <c r="M1440">
        <v>9.5100000000000004E-2</v>
      </c>
      <c r="N1440">
        <v>0.95499999999999996</v>
      </c>
      <c r="O1440">
        <v>1</v>
      </c>
      <c r="P1440" t="b">
        <f t="shared" si="45"/>
        <v>1</v>
      </c>
      <c r="Q1440" t="str">
        <f t="shared" si="44"/>
        <v>Positive</v>
      </c>
    </row>
    <row r="1441" spans="1:17" x14ac:dyDescent="0.3">
      <c r="A1441" t="s">
        <v>2437</v>
      </c>
      <c r="B1441" t="s">
        <v>16</v>
      </c>
      <c r="C1441" t="s">
        <v>28</v>
      </c>
      <c r="D1441" t="s">
        <v>37</v>
      </c>
      <c r="E1441" t="s">
        <v>41</v>
      </c>
      <c r="F1441" t="s">
        <v>24</v>
      </c>
      <c r="G1441" s="1">
        <v>45389</v>
      </c>
      <c r="H1441" t="s">
        <v>44</v>
      </c>
      <c r="I1441">
        <v>3792360</v>
      </c>
      <c r="J1441">
        <v>189618</v>
      </c>
      <c r="K1441">
        <v>47899</v>
      </c>
      <c r="L1441">
        <v>81150</v>
      </c>
      <c r="M1441">
        <v>8.4000000000000005E-2</v>
      </c>
      <c r="N1441">
        <v>0.10100000000000001</v>
      </c>
      <c r="O1441">
        <v>1</v>
      </c>
      <c r="P1441" t="b">
        <f t="shared" si="45"/>
        <v>1</v>
      </c>
      <c r="Q1441" t="str">
        <f t="shared" si="44"/>
        <v>Positive</v>
      </c>
    </row>
    <row r="1442" spans="1:17" x14ac:dyDescent="0.3">
      <c r="A1442" t="s">
        <v>2438</v>
      </c>
      <c r="B1442" t="s">
        <v>32</v>
      </c>
      <c r="C1442" t="s">
        <v>23</v>
      </c>
      <c r="D1442" t="s">
        <v>54</v>
      </c>
      <c r="E1442" t="s">
        <v>51</v>
      </c>
      <c r="F1442" t="s">
        <v>24</v>
      </c>
      <c r="G1442" s="1">
        <v>45504</v>
      </c>
      <c r="H1442" t="s">
        <v>2439</v>
      </c>
      <c r="I1442">
        <v>7926093</v>
      </c>
      <c r="J1442">
        <v>293559</v>
      </c>
      <c r="K1442">
        <v>1304</v>
      </c>
      <c r="L1442">
        <v>4995</v>
      </c>
      <c r="M1442">
        <v>3.78E-2</v>
      </c>
      <c r="N1442">
        <v>0.46300000000000002</v>
      </c>
      <c r="O1442">
        <v>1</v>
      </c>
      <c r="P1442" t="b">
        <f t="shared" si="45"/>
        <v>1</v>
      </c>
      <c r="Q1442" t="str">
        <f t="shared" si="44"/>
        <v>Positive</v>
      </c>
    </row>
    <row r="1443" spans="1:17" x14ac:dyDescent="0.3">
      <c r="A1443" t="s">
        <v>2440</v>
      </c>
      <c r="B1443" t="s">
        <v>27</v>
      </c>
      <c r="C1443" t="s">
        <v>28</v>
      </c>
      <c r="D1443" t="s">
        <v>54</v>
      </c>
      <c r="E1443" t="s">
        <v>58</v>
      </c>
      <c r="F1443" t="s">
        <v>55</v>
      </c>
      <c r="G1443" s="1">
        <v>45465</v>
      </c>
      <c r="H1443" t="s">
        <v>2441</v>
      </c>
      <c r="I1443">
        <v>7214490</v>
      </c>
      <c r="J1443">
        <v>400805</v>
      </c>
      <c r="K1443">
        <v>26116</v>
      </c>
      <c r="L1443">
        <v>32356</v>
      </c>
      <c r="M1443">
        <v>6.3700000000000007E-2</v>
      </c>
      <c r="N1443">
        <v>0.14699999999999999</v>
      </c>
      <c r="O1443">
        <v>1</v>
      </c>
      <c r="P1443" t="b">
        <f t="shared" si="45"/>
        <v>1</v>
      </c>
      <c r="Q1443" t="str">
        <f t="shared" si="44"/>
        <v>Positive</v>
      </c>
    </row>
    <row r="1444" spans="1:17" x14ac:dyDescent="0.3">
      <c r="A1444" t="s">
        <v>2442</v>
      </c>
      <c r="B1444" t="s">
        <v>66</v>
      </c>
      <c r="C1444" t="s">
        <v>17</v>
      </c>
      <c r="D1444" t="s">
        <v>37</v>
      </c>
      <c r="E1444" t="s">
        <v>51</v>
      </c>
      <c r="F1444" t="s">
        <v>20</v>
      </c>
      <c r="G1444" s="1">
        <v>45535</v>
      </c>
      <c r="H1444" t="s">
        <v>2443</v>
      </c>
      <c r="I1444">
        <v>3796530</v>
      </c>
      <c r="J1444">
        <v>379653</v>
      </c>
      <c r="K1444">
        <v>11824</v>
      </c>
      <c r="L1444">
        <v>90350</v>
      </c>
      <c r="M1444">
        <v>0.12690000000000001</v>
      </c>
      <c r="N1444">
        <v>-5.0000000000000001E-3</v>
      </c>
      <c r="O1444">
        <v>1</v>
      </c>
      <c r="P1444" t="b">
        <f t="shared" si="45"/>
        <v>1</v>
      </c>
      <c r="Q1444" t="str">
        <f t="shared" si="44"/>
        <v>Negative</v>
      </c>
    </row>
    <row r="1445" spans="1:17" x14ac:dyDescent="0.3">
      <c r="A1445" t="s">
        <v>2444</v>
      </c>
      <c r="B1445" t="s">
        <v>32</v>
      </c>
      <c r="C1445" t="s">
        <v>61</v>
      </c>
      <c r="D1445" t="s">
        <v>37</v>
      </c>
      <c r="E1445" t="s">
        <v>51</v>
      </c>
      <c r="F1445" t="s">
        <v>55</v>
      </c>
      <c r="G1445" s="1">
        <v>45377</v>
      </c>
      <c r="H1445" t="s">
        <v>156</v>
      </c>
      <c r="I1445">
        <v>4906096</v>
      </c>
      <c r="J1445">
        <v>306631</v>
      </c>
      <c r="K1445">
        <v>49434</v>
      </c>
      <c r="L1445">
        <v>3090</v>
      </c>
      <c r="M1445">
        <v>7.3200000000000001E-2</v>
      </c>
      <c r="N1445">
        <v>0.68400000000000005</v>
      </c>
      <c r="O1445">
        <v>1</v>
      </c>
      <c r="P1445" t="b">
        <f t="shared" si="45"/>
        <v>1</v>
      </c>
      <c r="Q1445" t="str">
        <f t="shared" si="44"/>
        <v>Positive</v>
      </c>
    </row>
    <row r="1446" spans="1:17" x14ac:dyDescent="0.3">
      <c r="A1446" t="s">
        <v>2445</v>
      </c>
      <c r="B1446" t="s">
        <v>27</v>
      </c>
      <c r="C1446" t="s">
        <v>28</v>
      </c>
      <c r="D1446" t="s">
        <v>33</v>
      </c>
      <c r="E1446" t="s">
        <v>41</v>
      </c>
      <c r="F1446" t="s">
        <v>55</v>
      </c>
      <c r="G1446" s="1">
        <v>45468</v>
      </c>
      <c r="H1446" t="s">
        <v>122</v>
      </c>
      <c r="I1446">
        <v>1152780</v>
      </c>
      <c r="J1446">
        <v>96065</v>
      </c>
      <c r="K1446">
        <v>15737</v>
      </c>
      <c r="L1446">
        <v>85043</v>
      </c>
      <c r="M1446">
        <v>0.17080000000000001</v>
      </c>
      <c r="N1446">
        <v>-5.2999999999999999E-2</v>
      </c>
      <c r="O1446">
        <v>0</v>
      </c>
      <c r="P1446" t="b">
        <f t="shared" si="45"/>
        <v>0</v>
      </c>
      <c r="Q1446" t="str">
        <f t="shared" si="44"/>
        <v>Negative</v>
      </c>
    </row>
    <row r="1447" spans="1:17" x14ac:dyDescent="0.3">
      <c r="A1447" t="s">
        <v>2446</v>
      </c>
      <c r="B1447" t="s">
        <v>32</v>
      </c>
      <c r="C1447" t="s">
        <v>23</v>
      </c>
      <c r="D1447" t="s">
        <v>33</v>
      </c>
      <c r="E1447" t="s">
        <v>41</v>
      </c>
      <c r="F1447" t="s">
        <v>24</v>
      </c>
      <c r="G1447" s="1">
        <v>45340</v>
      </c>
      <c r="H1447" t="s">
        <v>2447</v>
      </c>
      <c r="I1447">
        <v>5692872</v>
      </c>
      <c r="J1447">
        <v>237203</v>
      </c>
      <c r="K1447">
        <v>48151</v>
      </c>
      <c r="L1447">
        <v>34566</v>
      </c>
      <c r="M1447">
        <v>5.62E-2</v>
      </c>
      <c r="N1447">
        <v>0.73899999999999999</v>
      </c>
      <c r="O1447">
        <v>1</v>
      </c>
      <c r="P1447" t="b">
        <f t="shared" si="45"/>
        <v>1</v>
      </c>
      <c r="Q1447" t="str">
        <f t="shared" si="44"/>
        <v>Positive</v>
      </c>
    </row>
    <row r="1448" spans="1:17" x14ac:dyDescent="0.3">
      <c r="A1448" t="s">
        <v>2448</v>
      </c>
      <c r="B1448" t="s">
        <v>32</v>
      </c>
      <c r="C1448" t="s">
        <v>23</v>
      </c>
      <c r="D1448" t="s">
        <v>37</v>
      </c>
      <c r="E1448" t="s">
        <v>19</v>
      </c>
      <c r="F1448" t="s">
        <v>46</v>
      </c>
      <c r="G1448" s="1">
        <v>45379</v>
      </c>
      <c r="H1448" t="s">
        <v>2082</v>
      </c>
      <c r="I1448">
        <v>1386504</v>
      </c>
      <c r="J1448">
        <v>154056</v>
      </c>
      <c r="K1448">
        <v>17204</v>
      </c>
      <c r="L1448">
        <v>60039</v>
      </c>
      <c r="M1448">
        <v>0.1668</v>
      </c>
      <c r="N1448">
        <v>-0.63600000000000001</v>
      </c>
      <c r="O1448">
        <v>0</v>
      </c>
      <c r="P1448" t="b">
        <f t="shared" si="45"/>
        <v>0</v>
      </c>
      <c r="Q1448" t="str">
        <f t="shared" si="44"/>
        <v>Negative</v>
      </c>
    </row>
    <row r="1449" spans="1:17" x14ac:dyDescent="0.3">
      <c r="A1449" t="s">
        <v>2449</v>
      </c>
      <c r="B1449" t="s">
        <v>27</v>
      </c>
      <c r="C1449" t="s">
        <v>28</v>
      </c>
      <c r="D1449" t="s">
        <v>18</v>
      </c>
      <c r="E1449" t="s">
        <v>41</v>
      </c>
      <c r="F1449" t="s">
        <v>34</v>
      </c>
      <c r="G1449" s="1">
        <v>45388</v>
      </c>
      <c r="H1449" t="s">
        <v>1046</v>
      </c>
      <c r="I1449">
        <v>1882683</v>
      </c>
      <c r="J1449">
        <v>209187</v>
      </c>
      <c r="K1449">
        <v>34183</v>
      </c>
      <c r="L1449">
        <v>12666</v>
      </c>
      <c r="M1449">
        <v>0.13600000000000001</v>
      </c>
      <c r="N1449">
        <v>0.41299999999999998</v>
      </c>
      <c r="O1449">
        <v>0</v>
      </c>
      <c r="P1449" t="b">
        <f t="shared" si="45"/>
        <v>0</v>
      </c>
      <c r="Q1449" t="str">
        <f t="shared" si="44"/>
        <v>Positive</v>
      </c>
    </row>
    <row r="1450" spans="1:17" x14ac:dyDescent="0.3">
      <c r="A1450" t="s">
        <v>2450</v>
      </c>
      <c r="B1450" t="s">
        <v>16</v>
      </c>
      <c r="C1450" t="s">
        <v>28</v>
      </c>
      <c r="D1450" t="s">
        <v>73</v>
      </c>
      <c r="E1450" t="s">
        <v>19</v>
      </c>
      <c r="F1450" t="s">
        <v>20</v>
      </c>
      <c r="G1450" s="1">
        <v>45565</v>
      </c>
      <c r="H1450" t="s">
        <v>447</v>
      </c>
      <c r="I1450">
        <v>2983760</v>
      </c>
      <c r="J1450">
        <v>298376</v>
      </c>
      <c r="K1450">
        <v>36115</v>
      </c>
      <c r="L1450">
        <v>58755</v>
      </c>
      <c r="M1450">
        <v>0.1318</v>
      </c>
      <c r="N1450">
        <v>-0.57699999999999996</v>
      </c>
      <c r="O1450">
        <v>1</v>
      </c>
      <c r="P1450" t="b">
        <f t="shared" si="45"/>
        <v>1</v>
      </c>
      <c r="Q1450" t="str">
        <f t="shared" si="44"/>
        <v>Negative</v>
      </c>
    </row>
    <row r="1451" spans="1:17" x14ac:dyDescent="0.3">
      <c r="A1451" t="s">
        <v>2451</v>
      </c>
      <c r="B1451" t="s">
        <v>16</v>
      </c>
      <c r="C1451" t="s">
        <v>61</v>
      </c>
      <c r="D1451" t="s">
        <v>33</v>
      </c>
      <c r="E1451" t="s">
        <v>19</v>
      </c>
      <c r="F1451" t="s">
        <v>46</v>
      </c>
      <c r="G1451" s="1">
        <v>45629</v>
      </c>
      <c r="H1451" t="s">
        <v>2452</v>
      </c>
      <c r="I1451">
        <v>7441800</v>
      </c>
      <c r="J1451">
        <v>496120</v>
      </c>
      <c r="K1451">
        <v>1177</v>
      </c>
      <c r="L1451">
        <v>58233</v>
      </c>
      <c r="M1451">
        <v>7.46E-2</v>
      </c>
      <c r="N1451">
        <v>0.40899999999999997</v>
      </c>
      <c r="O1451">
        <v>1</v>
      </c>
      <c r="P1451" t="b">
        <f t="shared" si="45"/>
        <v>1</v>
      </c>
      <c r="Q1451" t="str">
        <f t="shared" si="44"/>
        <v>Positive</v>
      </c>
    </row>
    <row r="1452" spans="1:17" x14ac:dyDescent="0.3">
      <c r="A1452" t="s">
        <v>2453</v>
      </c>
      <c r="B1452" t="s">
        <v>27</v>
      </c>
      <c r="C1452" t="s">
        <v>17</v>
      </c>
      <c r="D1452" t="s">
        <v>29</v>
      </c>
      <c r="E1452" t="s">
        <v>51</v>
      </c>
      <c r="F1452" t="s">
        <v>34</v>
      </c>
      <c r="G1452" s="1">
        <v>45292</v>
      </c>
      <c r="H1452" t="s">
        <v>2454</v>
      </c>
      <c r="I1452">
        <v>241563</v>
      </c>
      <c r="J1452">
        <v>34509</v>
      </c>
      <c r="K1452">
        <v>49628</v>
      </c>
      <c r="L1452">
        <v>19325</v>
      </c>
      <c r="M1452">
        <v>0.42830000000000001</v>
      </c>
      <c r="N1452">
        <v>-0.38700000000000001</v>
      </c>
      <c r="O1452">
        <v>0</v>
      </c>
      <c r="P1452" t="b">
        <f t="shared" si="45"/>
        <v>0</v>
      </c>
      <c r="Q1452" t="str">
        <f t="shared" si="44"/>
        <v>Negative</v>
      </c>
    </row>
    <row r="1453" spans="1:17" x14ac:dyDescent="0.3">
      <c r="A1453" t="s">
        <v>2455</v>
      </c>
      <c r="B1453" t="s">
        <v>32</v>
      </c>
      <c r="C1453" t="s">
        <v>61</v>
      </c>
      <c r="D1453" t="s">
        <v>29</v>
      </c>
      <c r="E1453" t="s">
        <v>38</v>
      </c>
      <c r="F1453" t="s">
        <v>46</v>
      </c>
      <c r="G1453" s="1">
        <v>45576</v>
      </c>
      <c r="H1453" t="s">
        <v>2456</v>
      </c>
      <c r="I1453">
        <v>2862980</v>
      </c>
      <c r="J1453">
        <v>286298</v>
      </c>
      <c r="K1453">
        <v>29714</v>
      </c>
      <c r="L1453">
        <v>85644</v>
      </c>
      <c r="M1453">
        <v>0.14030000000000001</v>
      </c>
      <c r="N1453">
        <v>5.5E-2</v>
      </c>
      <c r="O1453">
        <v>1</v>
      </c>
      <c r="P1453" t="b">
        <f t="shared" si="45"/>
        <v>1</v>
      </c>
      <c r="Q1453" t="str">
        <f t="shared" si="44"/>
        <v>Positive</v>
      </c>
    </row>
    <row r="1454" spans="1:17" x14ac:dyDescent="0.3">
      <c r="A1454" t="s">
        <v>2457</v>
      </c>
      <c r="B1454" t="s">
        <v>32</v>
      </c>
      <c r="C1454" t="s">
        <v>61</v>
      </c>
      <c r="D1454" t="s">
        <v>54</v>
      </c>
      <c r="E1454" t="s">
        <v>41</v>
      </c>
      <c r="F1454" t="s">
        <v>20</v>
      </c>
      <c r="G1454" s="1">
        <v>45316</v>
      </c>
      <c r="H1454" t="s">
        <v>2458</v>
      </c>
      <c r="I1454">
        <v>6929006</v>
      </c>
      <c r="J1454">
        <v>494929</v>
      </c>
      <c r="K1454">
        <v>49702</v>
      </c>
      <c r="L1454">
        <v>3241</v>
      </c>
      <c r="M1454">
        <v>7.9100000000000004E-2</v>
      </c>
      <c r="N1454">
        <v>0.45200000000000001</v>
      </c>
      <c r="O1454">
        <v>1</v>
      </c>
      <c r="P1454" t="b">
        <f t="shared" si="45"/>
        <v>1</v>
      </c>
      <c r="Q1454" t="str">
        <f t="shared" si="44"/>
        <v>Positive</v>
      </c>
    </row>
    <row r="1455" spans="1:17" x14ac:dyDescent="0.3">
      <c r="A1455" t="s">
        <v>2459</v>
      </c>
      <c r="B1455" t="s">
        <v>27</v>
      </c>
      <c r="C1455" t="s">
        <v>23</v>
      </c>
      <c r="D1455" t="s">
        <v>73</v>
      </c>
      <c r="E1455" t="s">
        <v>41</v>
      </c>
      <c r="F1455" t="s">
        <v>20</v>
      </c>
      <c r="G1455" s="1">
        <v>45358</v>
      </c>
      <c r="H1455" t="s">
        <v>2286</v>
      </c>
      <c r="I1455">
        <v>8613868</v>
      </c>
      <c r="J1455">
        <v>374516</v>
      </c>
      <c r="K1455">
        <v>25543</v>
      </c>
      <c r="L1455">
        <v>43966</v>
      </c>
      <c r="M1455">
        <v>5.1499999999999997E-2</v>
      </c>
      <c r="N1455">
        <v>-3.5000000000000003E-2</v>
      </c>
      <c r="O1455">
        <v>1</v>
      </c>
      <c r="P1455" t="b">
        <f t="shared" si="45"/>
        <v>1</v>
      </c>
      <c r="Q1455" t="str">
        <f t="shared" si="44"/>
        <v>Negative</v>
      </c>
    </row>
    <row r="1456" spans="1:17" x14ac:dyDescent="0.3">
      <c r="A1456" t="s">
        <v>2460</v>
      </c>
      <c r="B1456" t="s">
        <v>66</v>
      </c>
      <c r="C1456" t="s">
        <v>17</v>
      </c>
      <c r="D1456" t="s">
        <v>37</v>
      </c>
      <c r="E1456" t="s">
        <v>41</v>
      </c>
      <c r="F1456" t="s">
        <v>20</v>
      </c>
      <c r="G1456" s="1">
        <v>45490</v>
      </c>
      <c r="H1456" t="s">
        <v>2461</v>
      </c>
      <c r="I1456">
        <v>6373050</v>
      </c>
      <c r="J1456">
        <v>254922</v>
      </c>
      <c r="K1456">
        <v>46481</v>
      </c>
      <c r="L1456">
        <v>30826</v>
      </c>
      <c r="M1456">
        <v>5.21E-2</v>
      </c>
      <c r="N1456">
        <v>0.23400000000000001</v>
      </c>
      <c r="O1456">
        <v>1</v>
      </c>
      <c r="P1456" t="b">
        <f t="shared" si="45"/>
        <v>1</v>
      </c>
      <c r="Q1456" t="str">
        <f t="shared" si="44"/>
        <v>Positive</v>
      </c>
    </row>
    <row r="1457" spans="1:17" x14ac:dyDescent="0.3">
      <c r="A1457" t="s">
        <v>2462</v>
      </c>
      <c r="B1457" t="s">
        <v>66</v>
      </c>
      <c r="C1457" t="s">
        <v>23</v>
      </c>
      <c r="D1457" t="s">
        <v>54</v>
      </c>
      <c r="E1457" t="s">
        <v>19</v>
      </c>
      <c r="F1457" t="s">
        <v>34</v>
      </c>
      <c r="G1457" s="1">
        <v>45412</v>
      </c>
      <c r="H1457" t="s">
        <v>1112</v>
      </c>
      <c r="I1457">
        <v>2379114</v>
      </c>
      <c r="J1457">
        <v>396519</v>
      </c>
      <c r="K1457">
        <v>2249</v>
      </c>
      <c r="L1457">
        <v>98323</v>
      </c>
      <c r="M1457">
        <v>0.2089</v>
      </c>
      <c r="N1457">
        <v>-0.75700000000000001</v>
      </c>
      <c r="O1457">
        <v>1</v>
      </c>
      <c r="P1457" t="b">
        <f t="shared" si="45"/>
        <v>1</v>
      </c>
      <c r="Q1457" t="str">
        <f t="shared" si="44"/>
        <v>Negative</v>
      </c>
    </row>
    <row r="1458" spans="1:17" x14ac:dyDescent="0.3">
      <c r="A1458" t="s">
        <v>2463</v>
      </c>
      <c r="B1458" t="s">
        <v>27</v>
      </c>
      <c r="C1458" t="s">
        <v>28</v>
      </c>
      <c r="D1458" t="s">
        <v>29</v>
      </c>
      <c r="E1458" t="s">
        <v>19</v>
      </c>
      <c r="F1458" t="s">
        <v>55</v>
      </c>
      <c r="G1458" s="1">
        <v>45516</v>
      </c>
      <c r="H1458" t="s">
        <v>620</v>
      </c>
      <c r="I1458">
        <v>6227595</v>
      </c>
      <c r="J1458">
        <v>270765</v>
      </c>
      <c r="K1458">
        <v>33546</v>
      </c>
      <c r="L1458">
        <v>29064</v>
      </c>
      <c r="M1458">
        <v>5.3499999999999999E-2</v>
      </c>
      <c r="N1458">
        <v>-2.5999999999999999E-2</v>
      </c>
      <c r="O1458">
        <v>1</v>
      </c>
      <c r="P1458" t="b">
        <f t="shared" si="45"/>
        <v>1</v>
      </c>
      <c r="Q1458" t="str">
        <f t="shared" si="44"/>
        <v>Negative</v>
      </c>
    </row>
    <row r="1459" spans="1:17" x14ac:dyDescent="0.3">
      <c r="A1459" t="s">
        <v>2464</v>
      </c>
      <c r="B1459" t="s">
        <v>32</v>
      </c>
      <c r="C1459" t="s">
        <v>61</v>
      </c>
      <c r="D1459" t="s">
        <v>37</v>
      </c>
      <c r="E1459" t="s">
        <v>38</v>
      </c>
      <c r="F1459" t="s">
        <v>20</v>
      </c>
      <c r="G1459" s="1">
        <v>45449</v>
      </c>
      <c r="H1459" t="s">
        <v>2465</v>
      </c>
      <c r="I1459">
        <v>5957484</v>
      </c>
      <c r="J1459">
        <v>458268</v>
      </c>
      <c r="K1459">
        <v>27523</v>
      </c>
      <c r="L1459">
        <v>39564</v>
      </c>
      <c r="M1459">
        <v>8.8200000000000001E-2</v>
      </c>
      <c r="N1459">
        <v>-0.184</v>
      </c>
      <c r="O1459">
        <v>1</v>
      </c>
      <c r="P1459" t="b">
        <f t="shared" si="45"/>
        <v>1</v>
      </c>
      <c r="Q1459" t="str">
        <f t="shared" si="44"/>
        <v>Negative</v>
      </c>
    </row>
    <row r="1460" spans="1:17" x14ac:dyDescent="0.3">
      <c r="A1460" t="s">
        <v>2466</v>
      </c>
      <c r="B1460" t="s">
        <v>66</v>
      </c>
      <c r="C1460" t="s">
        <v>28</v>
      </c>
      <c r="D1460" t="s">
        <v>37</v>
      </c>
      <c r="E1460" t="s">
        <v>51</v>
      </c>
      <c r="F1460" t="s">
        <v>24</v>
      </c>
      <c r="G1460" s="1">
        <v>45420</v>
      </c>
      <c r="H1460" t="s">
        <v>2467</v>
      </c>
      <c r="I1460">
        <v>10235925</v>
      </c>
      <c r="J1460">
        <v>409437</v>
      </c>
      <c r="K1460">
        <v>1679</v>
      </c>
      <c r="L1460">
        <v>76412</v>
      </c>
      <c r="M1460">
        <v>4.7600000000000003E-2</v>
      </c>
      <c r="N1460">
        <v>0.45600000000000002</v>
      </c>
      <c r="O1460">
        <v>1</v>
      </c>
      <c r="P1460" t="b">
        <f t="shared" si="45"/>
        <v>1</v>
      </c>
      <c r="Q1460" t="str">
        <f t="shared" si="44"/>
        <v>Positive</v>
      </c>
    </row>
    <row r="1461" spans="1:17" x14ac:dyDescent="0.3">
      <c r="A1461" t="s">
        <v>2468</v>
      </c>
      <c r="B1461" t="s">
        <v>32</v>
      </c>
      <c r="C1461" t="s">
        <v>28</v>
      </c>
      <c r="D1461" t="s">
        <v>18</v>
      </c>
      <c r="E1461" t="s">
        <v>58</v>
      </c>
      <c r="F1461" t="s">
        <v>55</v>
      </c>
      <c r="G1461" s="1">
        <v>45431</v>
      </c>
      <c r="H1461" t="s">
        <v>371</v>
      </c>
      <c r="I1461">
        <v>1282496</v>
      </c>
      <c r="J1461">
        <v>160312</v>
      </c>
      <c r="K1461">
        <v>9332</v>
      </c>
      <c r="L1461">
        <v>70664</v>
      </c>
      <c r="M1461">
        <v>0.18740000000000001</v>
      </c>
      <c r="N1461">
        <v>-0.83</v>
      </c>
      <c r="O1461">
        <v>0</v>
      </c>
      <c r="P1461" t="b">
        <f t="shared" si="45"/>
        <v>0</v>
      </c>
      <c r="Q1461" t="str">
        <f t="shared" si="44"/>
        <v>Negative</v>
      </c>
    </row>
    <row r="1462" spans="1:17" x14ac:dyDescent="0.3">
      <c r="A1462" t="s">
        <v>2469</v>
      </c>
      <c r="B1462" t="s">
        <v>27</v>
      </c>
      <c r="C1462" t="s">
        <v>17</v>
      </c>
      <c r="D1462" t="s">
        <v>73</v>
      </c>
      <c r="E1462" t="s">
        <v>41</v>
      </c>
      <c r="F1462" t="s">
        <v>20</v>
      </c>
      <c r="G1462" s="1">
        <v>45514</v>
      </c>
      <c r="H1462" t="s">
        <v>2470</v>
      </c>
      <c r="I1462">
        <v>7629740</v>
      </c>
      <c r="J1462">
        <v>381487</v>
      </c>
      <c r="K1462">
        <v>10497</v>
      </c>
      <c r="L1462">
        <v>54798</v>
      </c>
      <c r="M1462">
        <v>5.8599999999999999E-2</v>
      </c>
      <c r="N1462">
        <v>-0.125</v>
      </c>
      <c r="O1462">
        <v>1</v>
      </c>
      <c r="P1462" t="b">
        <f t="shared" si="45"/>
        <v>1</v>
      </c>
      <c r="Q1462" t="str">
        <f t="shared" si="44"/>
        <v>Negative</v>
      </c>
    </row>
    <row r="1463" spans="1:17" x14ac:dyDescent="0.3">
      <c r="A1463" t="s">
        <v>2471</v>
      </c>
      <c r="B1463" t="s">
        <v>16</v>
      </c>
      <c r="C1463" t="s">
        <v>17</v>
      </c>
      <c r="D1463" t="s">
        <v>54</v>
      </c>
      <c r="E1463" t="s">
        <v>51</v>
      </c>
      <c r="F1463" t="s">
        <v>24</v>
      </c>
      <c r="G1463" s="1">
        <v>45624</v>
      </c>
      <c r="H1463" t="s">
        <v>2472</v>
      </c>
      <c r="I1463">
        <v>1426304</v>
      </c>
      <c r="J1463">
        <v>89144</v>
      </c>
      <c r="K1463">
        <v>9050</v>
      </c>
      <c r="L1463">
        <v>20117</v>
      </c>
      <c r="M1463">
        <v>8.2900000000000001E-2</v>
      </c>
      <c r="N1463">
        <v>-0.30599999999999999</v>
      </c>
      <c r="O1463">
        <v>0</v>
      </c>
      <c r="P1463" t="b">
        <f t="shared" si="45"/>
        <v>0</v>
      </c>
      <c r="Q1463" t="str">
        <f t="shared" si="44"/>
        <v>Negative</v>
      </c>
    </row>
    <row r="1464" spans="1:17" x14ac:dyDescent="0.3">
      <c r="A1464" t="s">
        <v>2473</v>
      </c>
      <c r="B1464" t="s">
        <v>16</v>
      </c>
      <c r="C1464" t="s">
        <v>17</v>
      </c>
      <c r="D1464" t="s">
        <v>29</v>
      </c>
      <c r="E1464" t="s">
        <v>19</v>
      </c>
      <c r="F1464" t="s">
        <v>34</v>
      </c>
      <c r="G1464" s="1">
        <v>45434</v>
      </c>
      <c r="H1464" t="s">
        <v>424</v>
      </c>
      <c r="I1464">
        <v>739854</v>
      </c>
      <c r="J1464">
        <v>27402</v>
      </c>
      <c r="K1464">
        <v>11288</v>
      </c>
      <c r="L1464">
        <v>30936</v>
      </c>
      <c r="M1464">
        <v>9.4100000000000003E-2</v>
      </c>
      <c r="N1464">
        <v>5.0000000000000001E-3</v>
      </c>
      <c r="O1464">
        <v>0</v>
      </c>
      <c r="P1464" t="b">
        <f t="shared" si="45"/>
        <v>0</v>
      </c>
      <c r="Q1464" t="str">
        <f t="shared" si="44"/>
        <v>Positive</v>
      </c>
    </row>
    <row r="1465" spans="1:17" x14ac:dyDescent="0.3">
      <c r="A1465" t="s">
        <v>2474</v>
      </c>
      <c r="B1465" t="s">
        <v>16</v>
      </c>
      <c r="C1465" t="s">
        <v>17</v>
      </c>
      <c r="D1465" t="s">
        <v>33</v>
      </c>
      <c r="E1465" t="s">
        <v>38</v>
      </c>
      <c r="F1465" t="s">
        <v>46</v>
      </c>
      <c r="G1465" s="1">
        <v>45326</v>
      </c>
      <c r="H1465" t="s">
        <v>2475</v>
      </c>
      <c r="I1465">
        <v>135400</v>
      </c>
      <c r="J1465">
        <v>13540</v>
      </c>
      <c r="K1465">
        <v>45470</v>
      </c>
      <c r="L1465">
        <v>46502</v>
      </c>
      <c r="M1465">
        <v>0.77929999999999999</v>
      </c>
      <c r="N1465">
        <v>-0.92700000000000005</v>
      </c>
      <c r="O1465">
        <v>0</v>
      </c>
      <c r="P1465" t="b">
        <f t="shared" si="45"/>
        <v>0</v>
      </c>
      <c r="Q1465" t="str">
        <f t="shared" si="44"/>
        <v>Negative</v>
      </c>
    </row>
    <row r="1466" spans="1:17" x14ac:dyDescent="0.3">
      <c r="A1466" t="s">
        <v>2476</v>
      </c>
      <c r="B1466" t="s">
        <v>27</v>
      </c>
      <c r="C1466" t="s">
        <v>17</v>
      </c>
      <c r="D1466" t="s">
        <v>33</v>
      </c>
      <c r="E1466" t="s">
        <v>58</v>
      </c>
      <c r="F1466" t="s">
        <v>34</v>
      </c>
      <c r="G1466" s="1">
        <v>45333</v>
      </c>
      <c r="H1466" t="s">
        <v>2477</v>
      </c>
      <c r="I1466">
        <v>2259922</v>
      </c>
      <c r="J1466">
        <v>161423</v>
      </c>
      <c r="K1466">
        <v>12378</v>
      </c>
      <c r="L1466">
        <v>84524</v>
      </c>
      <c r="M1466">
        <v>0.1143</v>
      </c>
      <c r="N1466">
        <v>0.84099999999999997</v>
      </c>
      <c r="O1466">
        <v>1</v>
      </c>
      <c r="P1466" t="b">
        <f t="shared" si="45"/>
        <v>1</v>
      </c>
      <c r="Q1466" t="str">
        <f t="shared" si="44"/>
        <v>Positive</v>
      </c>
    </row>
    <row r="1467" spans="1:17" x14ac:dyDescent="0.3">
      <c r="A1467" t="s">
        <v>2478</v>
      </c>
      <c r="B1467" t="s">
        <v>66</v>
      </c>
      <c r="C1467" t="s">
        <v>17</v>
      </c>
      <c r="D1467" t="s">
        <v>29</v>
      </c>
      <c r="E1467" t="s">
        <v>38</v>
      </c>
      <c r="F1467" t="s">
        <v>24</v>
      </c>
      <c r="G1467" s="1">
        <v>45621</v>
      </c>
      <c r="H1467" t="s">
        <v>2479</v>
      </c>
      <c r="I1467">
        <v>3967707</v>
      </c>
      <c r="J1467">
        <v>172509</v>
      </c>
      <c r="K1467">
        <v>40330</v>
      </c>
      <c r="L1467">
        <v>83601</v>
      </c>
      <c r="M1467">
        <v>7.4700000000000003E-2</v>
      </c>
      <c r="N1467">
        <v>0.48099999999999998</v>
      </c>
      <c r="O1467">
        <v>1</v>
      </c>
      <c r="P1467" t="b">
        <f t="shared" si="45"/>
        <v>1</v>
      </c>
      <c r="Q1467" t="str">
        <f t="shared" si="44"/>
        <v>Positive</v>
      </c>
    </row>
    <row r="1468" spans="1:17" x14ac:dyDescent="0.3">
      <c r="A1468" t="s">
        <v>2480</v>
      </c>
      <c r="B1468" t="s">
        <v>66</v>
      </c>
      <c r="C1468" t="s">
        <v>28</v>
      </c>
      <c r="D1468" t="s">
        <v>37</v>
      </c>
      <c r="E1468" t="s">
        <v>38</v>
      </c>
      <c r="F1468" t="s">
        <v>34</v>
      </c>
      <c r="G1468" s="1">
        <v>45524</v>
      </c>
      <c r="H1468" t="s">
        <v>82</v>
      </c>
      <c r="I1468">
        <v>3927924</v>
      </c>
      <c r="J1468">
        <v>140283</v>
      </c>
      <c r="K1468">
        <v>38455</v>
      </c>
      <c r="L1468">
        <v>63754</v>
      </c>
      <c r="M1468">
        <v>6.1699999999999998E-2</v>
      </c>
      <c r="N1468">
        <v>0.94499999999999995</v>
      </c>
      <c r="O1468">
        <v>1</v>
      </c>
      <c r="P1468" t="b">
        <f t="shared" si="45"/>
        <v>1</v>
      </c>
      <c r="Q1468" t="str">
        <f t="shared" si="44"/>
        <v>Positive</v>
      </c>
    </row>
    <row r="1469" spans="1:17" x14ac:dyDescent="0.3">
      <c r="A1469" t="s">
        <v>2481</v>
      </c>
      <c r="B1469" t="s">
        <v>66</v>
      </c>
      <c r="C1469" t="s">
        <v>28</v>
      </c>
      <c r="D1469" t="s">
        <v>37</v>
      </c>
      <c r="E1469" t="s">
        <v>41</v>
      </c>
      <c r="F1469" t="s">
        <v>46</v>
      </c>
      <c r="G1469" s="1">
        <v>45402</v>
      </c>
      <c r="H1469" t="s">
        <v>1603</v>
      </c>
      <c r="I1469">
        <v>8235855</v>
      </c>
      <c r="J1469">
        <v>283995</v>
      </c>
      <c r="K1469">
        <v>16458</v>
      </c>
      <c r="L1469">
        <v>85845</v>
      </c>
      <c r="M1469">
        <v>4.6899999999999997E-2</v>
      </c>
      <c r="N1469">
        <v>-0.52700000000000002</v>
      </c>
      <c r="O1469">
        <v>1</v>
      </c>
      <c r="P1469" t="b">
        <f t="shared" si="45"/>
        <v>1</v>
      </c>
      <c r="Q1469" t="str">
        <f t="shared" si="44"/>
        <v>Negative</v>
      </c>
    </row>
    <row r="1470" spans="1:17" x14ac:dyDescent="0.3">
      <c r="A1470" t="s">
        <v>2482</v>
      </c>
      <c r="B1470" t="s">
        <v>16</v>
      </c>
      <c r="C1470" t="s">
        <v>17</v>
      </c>
      <c r="D1470" t="s">
        <v>18</v>
      </c>
      <c r="E1470" t="s">
        <v>58</v>
      </c>
      <c r="F1470" t="s">
        <v>46</v>
      </c>
      <c r="G1470" s="1">
        <v>45450</v>
      </c>
      <c r="H1470" t="s">
        <v>265</v>
      </c>
      <c r="I1470">
        <v>11986548</v>
      </c>
      <c r="J1470">
        <v>428091</v>
      </c>
      <c r="K1470">
        <v>48575</v>
      </c>
      <c r="L1470">
        <v>46098</v>
      </c>
      <c r="M1470">
        <v>4.36E-2</v>
      </c>
      <c r="N1470">
        <v>0.5</v>
      </c>
      <c r="O1470">
        <v>1</v>
      </c>
      <c r="P1470" t="b">
        <f t="shared" si="45"/>
        <v>1</v>
      </c>
      <c r="Q1470" t="str">
        <f t="shared" si="44"/>
        <v>Positive</v>
      </c>
    </row>
    <row r="1471" spans="1:17" x14ac:dyDescent="0.3">
      <c r="A1471" t="s">
        <v>2483</v>
      </c>
      <c r="B1471" t="s">
        <v>27</v>
      </c>
      <c r="C1471" t="s">
        <v>61</v>
      </c>
      <c r="D1471" t="s">
        <v>18</v>
      </c>
      <c r="E1471" t="s">
        <v>38</v>
      </c>
      <c r="F1471" t="s">
        <v>46</v>
      </c>
      <c r="G1471" s="1">
        <v>45602</v>
      </c>
      <c r="H1471" t="s">
        <v>2484</v>
      </c>
      <c r="I1471">
        <v>1846978</v>
      </c>
      <c r="J1471">
        <v>131927</v>
      </c>
      <c r="K1471">
        <v>39268</v>
      </c>
      <c r="L1471">
        <v>55088</v>
      </c>
      <c r="M1471">
        <v>0.1225</v>
      </c>
      <c r="N1471">
        <v>-0.61</v>
      </c>
      <c r="O1471">
        <v>0</v>
      </c>
      <c r="P1471" t="b">
        <f t="shared" si="45"/>
        <v>0</v>
      </c>
      <c r="Q1471" t="str">
        <f t="shared" si="44"/>
        <v>Negative</v>
      </c>
    </row>
    <row r="1472" spans="1:17" x14ac:dyDescent="0.3">
      <c r="A1472" t="s">
        <v>2485</v>
      </c>
      <c r="B1472" t="s">
        <v>27</v>
      </c>
      <c r="C1472" t="s">
        <v>61</v>
      </c>
      <c r="D1472" t="s">
        <v>73</v>
      </c>
      <c r="E1472" t="s">
        <v>58</v>
      </c>
      <c r="F1472" t="s">
        <v>24</v>
      </c>
      <c r="G1472" s="1">
        <v>45606</v>
      </c>
      <c r="H1472" t="s">
        <v>607</v>
      </c>
      <c r="I1472">
        <v>1723246</v>
      </c>
      <c r="J1472">
        <v>123089</v>
      </c>
      <c r="K1472">
        <v>17405</v>
      </c>
      <c r="L1472">
        <v>40116</v>
      </c>
      <c r="M1472">
        <v>0.1048</v>
      </c>
      <c r="N1472">
        <v>-0.876</v>
      </c>
      <c r="O1472">
        <v>0</v>
      </c>
      <c r="P1472" t="b">
        <f t="shared" si="45"/>
        <v>0</v>
      </c>
      <c r="Q1472" t="str">
        <f t="shared" si="44"/>
        <v>Negative</v>
      </c>
    </row>
    <row r="1473" spans="1:17" x14ac:dyDescent="0.3">
      <c r="A1473" t="s">
        <v>2486</v>
      </c>
      <c r="B1473" t="s">
        <v>66</v>
      </c>
      <c r="C1473" t="s">
        <v>28</v>
      </c>
      <c r="D1473" t="s">
        <v>54</v>
      </c>
      <c r="E1473" t="s">
        <v>58</v>
      </c>
      <c r="F1473" t="s">
        <v>24</v>
      </c>
      <c r="G1473" s="1">
        <v>45435</v>
      </c>
      <c r="H1473" t="s">
        <v>2487</v>
      </c>
      <c r="I1473">
        <v>2982447</v>
      </c>
      <c r="J1473">
        <v>110461</v>
      </c>
      <c r="K1473">
        <v>24605</v>
      </c>
      <c r="L1473">
        <v>37707</v>
      </c>
      <c r="M1473">
        <v>5.79E-2</v>
      </c>
      <c r="N1473">
        <v>-0.92700000000000005</v>
      </c>
      <c r="O1473">
        <v>1</v>
      </c>
      <c r="P1473" t="b">
        <f t="shared" si="45"/>
        <v>1</v>
      </c>
      <c r="Q1473" t="str">
        <f t="shared" si="44"/>
        <v>Negative</v>
      </c>
    </row>
    <row r="1474" spans="1:17" x14ac:dyDescent="0.3">
      <c r="A1474" t="s">
        <v>2488</v>
      </c>
      <c r="B1474" t="s">
        <v>16</v>
      </c>
      <c r="C1474" t="s">
        <v>23</v>
      </c>
      <c r="D1474" t="s">
        <v>54</v>
      </c>
      <c r="E1474" t="s">
        <v>51</v>
      </c>
      <c r="F1474" t="s">
        <v>34</v>
      </c>
      <c r="G1474" s="1">
        <v>45388</v>
      </c>
      <c r="H1474" t="s">
        <v>35</v>
      </c>
      <c r="I1474">
        <v>453629</v>
      </c>
      <c r="J1474">
        <v>41239</v>
      </c>
      <c r="K1474">
        <v>49388</v>
      </c>
      <c r="L1474">
        <v>41303</v>
      </c>
      <c r="M1474">
        <v>0.2908</v>
      </c>
      <c r="N1474">
        <v>-0.124</v>
      </c>
      <c r="O1474">
        <v>0</v>
      </c>
      <c r="P1474" t="b">
        <f t="shared" si="45"/>
        <v>0</v>
      </c>
      <c r="Q1474" t="str">
        <f t="shared" ref="Q1474:Q1537" si="46">IF(N1474&gt;0,"Positive","Negative")</f>
        <v>Negative</v>
      </c>
    </row>
    <row r="1475" spans="1:17" x14ac:dyDescent="0.3">
      <c r="A1475" t="s">
        <v>2489</v>
      </c>
      <c r="B1475" t="s">
        <v>32</v>
      </c>
      <c r="C1475" t="s">
        <v>28</v>
      </c>
      <c r="D1475" t="s">
        <v>73</v>
      </c>
      <c r="E1475" t="s">
        <v>51</v>
      </c>
      <c r="F1475" t="s">
        <v>20</v>
      </c>
      <c r="G1475" s="1">
        <v>45420</v>
      </c>
      <c r="H1475" t="s">
        <v>2490</v>
      </c>
      <c r="I1475">
        <v>769785</v>
      </c>
      <c r="J1475">
        <v>153957</v>
      </c>
      <c r="K1475">
        <v>12822</v>
      </c>
      <c r="L1475">
        <v>31407</v>
      </c>
      <c r="M1475">
        <v>0.25750000000000001</v>
      </c>
      <c r="N1475">
        <v>-0.21299999999999999</v>
      </c>
      <c r="O1475">
        <v>0</v>
      </c>
      <c r="P1475" t="b">
        <f t="shared" ref="P1475:P1538" si="47">IF(O1475=1,TRUE,FALSE)</f>
        <v>0</v>
      </c>
      <c r="Q1475" t="str">
        <f t="shared" si="46"/>
        <v>Negative</v>
      </c>
    </row>
    <row r="1476" spans="1:17" x14ac:dyDescent="0.3">
      <c r="A1476" t="s">
        <v>2491</v>
      </c>
      <c r="B1476" t="s">
        <v>32</v>
      </c>
      <c r="C1476" t="s">
        <v>23</v>
      </c>
      <c r="D1476" t="s">
        <v>37</v>
      </c>
      <c r="E1476" t="s">
        <v>19</v>
      </c>
      <c r="F1476" t="s">
        <v>34</v>
      </c>
      <c r="G1476" s="1">
        <v>45595</v>
      </c>
      <c r="H1476" t="s">
        <v>392</v>
      </c>
      <c r="I1476">
        <v>1509014</v>
      </c>
      <c r="J1476">
        <v>58039</v>
      </c>
      <c r="K1476">
        <v>20919</v>
      </c>
      <c r="L1476">
        <v>29554</v>
      </c>
      <c r="M1476">
        <v>7.1900000000000006E-2</v>
      </c>
      <c r="N1476">
        <v>0.308</v>
      </c>
      <c r="O1476">
        <v>0</v>
      </c>
      <c r="P1476" t="b">
        <f t="shared" si="47"/>
        <v>0</v>
      </c>
      <c r="Q1476" t="str">
        <f t="shared" si="46"/>
        <v>Positive</v>
      </c>
    </row>
    <row r="1477" spans="1:17" x14ac:dyDescent="0.3">
      <c r="A1477" t="s">
        <v>2492</v>
      </c>
      <c r="B1477" t="s">
        <v>32</v>
      </c>
      <c r="C1477" t="s">
        <v>23</v>
      </c>
      <c r="D1477" t="s">
        <v>54</v>
      </c>
      <c r="E1477" t="s">
        <v>19</v>
      </c>
      <c r="F1477" t="s">
        <v>34</v>
      </c>
      <c r="G1477" s="1">
        <v>45428</v>
      </c>
      <c r="H1477" t="s">
        <v>1334</v>
      </c>
      <c r="I1477">
        <v>6944272</v>
      </c>
      <c r="J1477">
        <v>434017</v>
      </c>
      <c r="K1477">
        <v>6732</v>
      </c>
      <c r="L1477">
        <v>50718</v>
      </c>
      <c r="M1477">
        <v>7.0800000000000002E-2</v>
      </c>
      <c r="N1477">
        <v>-0.53700000000000003</v>
      </c>
      <c r="O1477">
        <v>1</v>
      </c>
      <c r="P1477" t="b">
        <f t="shared" si="47"/>
        <v>1</v>
      </c>
      <c r="Q1477" t="str">
        <f t="shared" si="46"/>
        <v>Negative</v>
      </c>
    </row>
    <row r="1478" spans="1:17" x14ac:dyDescent="0.3">
      <c r="A1478" t="s">
        <v>2493</v>
      </c>
      <c r="B1478" t="s">
        <v>27</v>
      </c>
      <c r="C1478" t="s">
        <v>23</v>
      </c>
      <c r="D1478" t="s">
        <v>54</v>
      </c>
      <c r="E1478" t="s">
        <v>38</v>
      </c>
      <c r="F1478" t="s">
        <v>24</v>
      </c>
      <c r="G1478" s="1">
        <v>45638</v>
      </c>
      <c r="H1478" t="s">
        <v>1339</v>
      </c>
      <c r="I1478">
        <v>4307430</v>
      </c>
      <c r="J1478">
        <v>287162</v>
      </c>
      <c r="K1478">
        <v>41400</v>
      </c>
      <c r="L1478">
        <v>41137</v>
      </c>
      <c r="M1478">
        <v>8.5800000000000001E-2</v>
      </c>
      <c r="N1478">
        <v>0.73699999999999999</v>
      </c>
      <c r="O1478">
        <v>1</v>
      </c>
      <c r="P1478" t="b">
        <f t="shared" si="47"/>
        <v>1</v>
      </c>
      <c r="Q1478" t="str">
        <f t="shared" si="46"/>
        <v>Positive</v>
      </c>
    </row>
    <row r="1479" spans="1:17" x14ac:dyDescent="0.3">
      <c r="A1479" t="s">
        <v>2494</v>
      </c>
      <c r="B1479" t="s">
        <v>27</v>
      </c>
      <c r="C1479" t="s">
        <v>17</v>
      </c>
      <c r="D1479" t="s">
        <v>29</v>
      </c>
      <c r="E1479" t="s">
        <v>41</v>
      </c>
      <c r="F1479" t="s">
        <v>34</v>
      </c>
      <c r="G1479" s="1">
        <v>45523</v>
      </c>
      <c r="H1479" t="s">
        <v>2495</v>
      </c>
      <c r="I1479">
        <v>4722957</v>
      </c>
      <c r="J1479">
        <v>277821</v>
      </c>
      <c r="K1479">
        <v>19624</v>
      </c>
      <c r="L1479">
        <v>99247</v>
      </c>
      <c r="M1479">
        <v>8.4000000000000005E-2</v>
      </c>
      <c r="N1479">
        <v>0.40200000000000002</v>
      </c>
      <c r="O1479">
        <v>1</v>
      </c>
      <c r="P1479" t="b">
        <f t="shared" si="47"/>
        <v>1</v>
      </c>
      <c r="Q1479" t="str">
        <f t="shared" si="46"/>
        <v>Positive</v>
      </c>
    </row>
    <row r="1480" spans="1:17" x14ac:dyDescent="0.3">
      <c r="A1480" t="s">
        <v>2496</v>
      </c>
      <c r="B1480" t="s">
        <v>27</v>
      </c>
      <c r="C1480" t="s">
        <v>61</v>
      </c>
      <c r="D1480" t="s">
        <v>73</v>
      </c>
      <c r="E1480" t="s">
        <v>58</v>
      </c>
      <c r="F1480" t="s">
        <v>34</v>
      </c>
      <c r="G1480" s="1">
        <v>45605</v>
      </c>
      <c r="H1480" t="s">
        <v>207</v>
      </c>
      <c r="I1480">
        <v>4683866</v>
      </c>
      <c r="J1480">
        <v>212903</v>
      </c>
      <c r="K1480">
        <v>27694</v>
      </c>
      <c r="L1480">
        <v>11155</v>
      </c>
      <c r="M1480">
        <v>5.3699999999999998E-2</v>
      </c>
      <c r="N1480">
        <v>-8.8999999999999996E-2</v>
      </c>
      <c r="O1480">
        <v>1</v>
      </c>
      <c r="P1480" t="b">
        <f t="shared" si="47"/>
        <v>1</v>
      </c>
      <c r="Q1480" t="str">
        <f t="shared" si="46"/>
        <v>Negative</v>
      </c>
    </row>
    <row r="1481" spans="1:17" x14ac:dyDescent="0.3">
      <c r="A1481" t="s">
        <v>2497</v>
      </c>
      <c r="B1481" t="s">
        <v>32</v>
      </c>
      <c r="C1481" t="s">
        <v>28</v>
      </c>
      <c r="D1481" t="s">
        <v>73</v>
      </c>
      <c r="E1481" t="s">
        <v>41</v>
      </c>
      <c r="F1481" t="s">
        <v>55</v>
      </c>
      <c r="G1481" s="1">
        <v>45478</v>
      </c>
      <c r="H1481" t="s">
        <v>1108</v>
      </c>
      <c r="I1481">
        <v>9354748</v>
      </c>
      <c r="J1481">
        <v>359798</v>
      </c>
      <c r="K1481">
        <v>9150</v>
      </c>
      <c r="L1481">
        <v>46331</v>
      </c>
      <c r="M1481">
        <v>4.4400000000000002E-2</v>
      </c>
      <c r="N1481">
        <v>-0.66</v>
      </c>
      <c r="O1481">
        <v>1</v>
      </c>
      <c r="P1481" t="b">
        <f t="shared" si="47"/>
        <v>1</v>
      </c>
      <c r="Q1481" t="str">
        <f t="shared" si="46"/>
        <v>Negative</v>
      </c>
    </row>
    <row r="1482" spans="1:17" x14ac:dyDescent="0.3">
      <c r="A1482" t="s">
        <v>2498</v>
      </c>
      <c r="B1482" t="s">
        <v>32</v>
      </c>
      <c r="C1482" t="s">
        <v>23</v>
      </c>
      <c r="D1482" t="s">
        <v>54</v>
      </c>
      <c r="E1482" t="s">
        <v>38</v>
      </c>
      <c r="F1482" t="s">
        <v>55</v>
      </c>
      <c r="G1482" s="1">
        <v>45584</v>
      </c>
      <c r="H1482" t="s">
        <v>93</v>
      </c>
      <c r="I1482">
        <v>6405975</v>
      </c>
      <c r="J1482">
        <v>256239</v>
      </c>
      <c r="K1482">
        <v>21276</v>
      </c>
      <c r="L1482">
        <v>33314</v>
      </c>
      <c r="M1482">
        <v>4.8500000000000001E-2</v>
      </c>
      <c r="N1482">
        <v>-0.77300000000000002</v>
      </c>
      <c r="O1482">
        <v>1</v>
      </c>
      <c r="P1482" t="b">
        <f t="shared" si="47"/>
        <v>1</v>
      </c>
      <c r="Q1482" t="str">
        <f t="shared" si="46"/>
        <v>Negative</v>
      </c>
    </row>
    <row r="1483" spans="1:17" x14ac:dyDescent="0.3">
      <c r="A1483" t="s">
        <v>2499</v>
      </c>
      <c r="B1483" t="s">
        <v>27</v>
      </c>
      <c r="C1483" t="s">
        <v>61</v>
      </c>
      <c r="D1483" t="s">
        <v>33</v>
      </c>
      <c r="E1483" t="s">
        <v>41</v>
      </c>
      <c r="F1483" t="s">
        <v>55</v>
      </c>
      <c r="G1483" s="1">
        <v>45562</v>
      </c>
      <c r="H1483" t="s">
        <v>938</v>
      </c>
      <c r="I1483">
        <v>1452573</v>
      </c>
      <c r="J1483">
        <v>161397</v>
      </c>
      <c r="K1483">
        <v>20541</v>
      </c>
      <c r="L1483">
        <v>96368</v>
      </c>
      <c r="M1483">
        <v>0.19159999999999999</v>
      </c>
      <c r="N1483">
        <v>-0.67100000000000004</v>
      </c>
      <c r="O1483">
        <v>0</v>
      </c>
      <c r="P1483" t="b">
        <f t="shared" si="47"/>
        <v>0</v>
      </c>
      <c r="Q1483" t="str">
        <f t="shared" si="46"/>
        <v>Negative</v>
      </c>
    </row>
    <row r="1484" spans="1:17" x14ac:dyDescent="0.3">
      <c r="A1484" t="s">
        <v>2500</v>
      </c>
      <c r="B1484" t="s">
        <v>16</v>
      </c>
      <c r="C1484" t="s">
        <v>17</v>
      </c>
      <c r="D1484" t="s">
        <v>73</v>
      </c>
      <c r="E1484" t="s">
        <v>58</v>
      </c>
      <c r="F1484" t="s">
        <v>34</v>
      </c>
      <c r="G1484" s="1">
        <v>45309</v>
      </c>
      <c r="H1484" t="s">
        <v>1992</v>
      </c>
      <c r="I1484">
        <v>1113007</v>
      </c>
      <c r="J1484">
        <v>159001</v>
      </c>
      <c r="K1484">
        <v>15377</v>
      </c>
      <c r="L1484">
        <v>25939</v>
      </c>
      <c r="M1484">
        <v>0.18</v>
      </c>
      <c r="N1484">
        <v>0.70399999999999996</v>
      </c>
      <c r="O1484">
        <v>0</v>
      </c>
      <c r="P1484" t="b">
        <f t="shared" si="47"/>
        <v>0</v>
      </c>
      <c r="Q1484" t="str">
        <f t="shared" si="46"/>
        <v>Positive</v>
      </c>
    </row>
    <row r="1485" spans="1:17" x14ac:dyDescent="0.3">
      <c r="A1485" t="s">
        <v>2501</v>
      </c>
      <c r="B1485" t="s">
        <v>66</v>
      </c>
      <c r="C1485" t="s">
        <v>28</v>
      </c>
      <c r="D1485" t="s">
        <v>54</v>
      </c>
      <c r="E1485" t="s">
        <v>58</v>
      </c>
      <c r="F1485" t="s">
        <v>55</v>
      </c>
      <c r="G1485" s="1">
        <v>45616</v>
      </c>
      <c r="H1485" t="s">
        <v>82</v>
      </c>
      <c r="I1485">
        <v>966112</v>
      </c>
      <c r="J1485">
        <v>60382</v>
      </c>
      <c r="K1485">
        <v>47806</v>
      </c>
      <c r="L1485">
        <v>9466</v>
      </c>
      <c r="M1485">
        <v>0.12180000000000001</v>
      </c>
      <c r="N1485">
        <v>0.81200000000000006</v>
      </c>
      <c r="O1485">
        <v>0</v>
      </c>
      <c r="P1485" t="b">
        <f t="shared" si="47"/>
        <v>0</v>
      </c>
      <c r="Q1485" t="str">
        <f t="shared" si="46"/>
        <v>Positive</v>
      </c>
    </row>
    <row r="1486" spans="1:17" x14ac:dyDescent="0.3">
      <c r="A1486" t="s">
        <v>2502</v>
      </c>
      <c r="B1486" t="s">
        <v>27</v>
      </c>
      <c r="C1486" t="s">
        <v>61</v>
      </c>
      <c r="D1486" t="s">
        <v>37</v>
      </c>
      <c r="E1486" t="s">
        <v>19</v>
      </c>
      <c r="F1486" t="s">
        <v>20</v>
      </c>
      <c r="G1486" s="1">
        <v>45525</v>
      </c>
      <c r="H1486" t="s">
        <v>2503</v>
      </c>
      <c r="I1486">
        <v>1970623</v>
      </c>
      <c r="J1486">
        <v>115919</v>
      </c>
      <c r="K1486">
        <v>4768</v>
      </c>
      <c r="L1486">
        <v>88658</v>
      </c>
      <c r="M1486">
        <v>0.1062</v>
      </c>
      <c r="N1486">
        <v>0.72099999999999997</v>
      </c>
      <c r="O1486">
        <v>0</v>
      </c>
      <c r="P1486" t="b">
        <f t="shared" si="47"/>
        <v>0</v>
      </c>
      <c r="Q1486" t="str">
        <f t="shared" si="46"/>
        <v>Positive</v>
      </c>
    </row>
    <row r="1487" spans="1:17" x14ac:dyDescent="0.3">
      <c r="A1487" t="s">
        <v>2504</v>
      </c>
      <c r="B1487" t="s">
        <v>32</v>
      </c>
      <c r="C1487" t="s">
        <v>61</v>
      </c>
      <c r="D1487" t="s">
        <v>29</v>
      </c>
      <c r="E1487" t="s">
        <v>41</v>
      </c>
      <c r="F1487" t="s">
        <v>24</v>
      </c>
      <c r="G1487" s="1">
        <v>45340</v>
      </c>
      <c r="H1487" t="s">
        <v>358</v>
      </c>
      <c r="I1487">
        <v>3640743</v>
      </c>
      <c r="J1487">
        <v>404527</v>
      </c>
      <c r="K1487">
        <v>13574</v>
      </c>
      <c r="L1487">
        <v>96895</v>
      </c>
      <c r="M1487">
        <v>0.14149999999999999</v>
      </c>
      <c r="N1487">
        <v>-0.21199999999999999</v>
      </c>
      <c r="O1487">
        <v>1</v>
      </c>
      <c r="P1487" t="b">
        <f t="shared" si="47"/>
        <v>1</v>
      </c>
      <c r="Q1487" t="str">
        <f t="shared" si="46"/>
        <v>Negative</v>
      </c>
    </row>
    <row r="1488" spans="1:17" x14ac:dyDescent="0.3">
      <c r="A1488" t="s">
        <v>2505</v>
      </c>
      <c r="B1488" t="s">
        <v>66</v>
      </c>
      <c r="C1488" t="s">
        <v>23</v>
      </c>
      <c r="D1488" t="s">
        <v>18</v>
      </c>
      <c r="E1488" t="s">
        <v>19</v>
      </c>
      <c r="F1488" t="s">
        <v>24</v>
      </c>
      <c r="G1488" s="1">
        <v>45506</v>
      </c>
      <c r="H1488" t="s">
        <v>2506</v>
      </c>
      <c r="I1488">
        <v>12031929</v>
      </c>
      <c r="J1488">
        <v>445627</v>
      </c>
      <c r="K1488">
        <v>13520</v>
      </c>
      <c r="L1488">
        <v>71696</v>
      </c>
      <c r="M1488">
        <v>4.41E-2</v>
      </c>
      <c r="N1488">
        <v>0.16300000000000001</v>
      </c>
      <c r="O1488">
        <v>1</v>
      </c>
      <c r="P1488" t="b">
        <f t="shared" si="47"/>
        <v>1</v>
      </c>
      <c r="Q1488" t="str">
        <f t="shared" si="46"/>
        <v>Positive</v>
      </c>
    </row>
    <row r="1489" spans="1:17" x14ac:dyDescent="0.3">
      <c r="A1489" t="s">
        <v>2507</v>
      </c>
      <c r="B1489" t="s">
        <v>32</v>
      </c>
      <c r="C1489" t="s">
        <v>61</v>
      </c>
      <c r="D1489" t="s">
        <v>37</v>
      </c>
      <c r="E1489" t="s">
        <v>58</v>
      </c>
      <c r="F1489" t="s">
        <v>55</v>
      </c>
      <c r="G1489" s="1">
        <v>45314</v>
      </c>
      <c r="H1489" t="s">
        <v>2508</v>
      </c>
      <c r="I1489">
        <v>9130317</v>
      </c>
      <c r="J1489">
        <v>480543</v>
      </c>
      <c r="K1489">
        <v>24909</v>
      </c>
      <c r="L1489">
        <v>59936</v>
      </c>
      <c r="M1489">
        <v>6.1899999999999997E-2</v>
      </c>
      <c r="N1489">
        <v>0.76</v>
      </c>
      <c r="O1489">
        <v>1</v>
      </c>
      <c r="P1489" t="b">
        <f t="shared" si="47"/>
        <v>1</v>
      </c>
      <c r="Q1489" t="str">
        <f t="shared" si="46"/>
        <v>Positive</v>
      </c>
    </row>
    <row r="1490" spans="1:17" x14ac:dyDescent="0.3">
      <c r="A1490" t="s">
        <v>2509</v>
      </c>
      <c r="B1490" t="s">
        <v>66</v>
      </c>
      <c r="C1490" t="s">
        <v>61</v>
      </c>
      <c r="D1490" t="s">
        <v>73</v>
      </c>
      <c r="E1490" t="s">
        <v>38</v>
      </c>
      <c r="F1490" t="s">
        <v>34</v>
      </c>
      <c r="G1490" s="1">
        <v>45365</v>
      </c>
      <c r="H1490" t="s">
        <v>1677</v>
      </c>
      <c r="I1490">
        <v>74568</v>
      </c>
      <c r="J1490">
        <v>5736</v>
      </c>
      <c r="K1490">
        <v>11598</v>
      </c>
      <c r="L1490">
        <v>2893</v>
      </c>
      <c r="M1490">
        <v>0.27129999999999999</v>
      </c>
      <c r="N1490">
        <v>-0.73699999999999999</v>
      </c>
      <c r="O1490">
        <v>0</v>
      </c>
      <c r="P1490" t="b">
        <f t="shared" si="47"/>
        <v>0</v>
      </c>
      <c r="Q1490" t="str">
        <f t="shared" si="46"/>
        <v>Negative</v>
      </c>
    </row>
    <row r="1491" spans="1:17" x14ac:dyDescent="0.3">
      <c r="A1491" t="s">
        <v>2510</v>
      </c>
      <c r="B1491" t="s">
        <v>16</v>
      </c>
      <c r="C1491" t="s">
        <v>17</v>
      </c>
      <c r="D1491" t="s">
        <v>73</v>
      </c>
      <c r="E1491" t="s">
        <v>41</v>
      </c>
      <c r="F1491" t="s">
        <v>20</v>
      </c>
      <c r="G1491" s="1">
        <v>45307</v>
      </c>
      <c r="H1491" t="s">
        <v>267</v>
      </c>
      <c r="I1491">
        <v>8294</v>
      </c>
      <c r="J1491">
        <v>754</v>
      </c>
      <c r="K1491">
        <v>17148</v>
      </c>
      <c r="L1491">
        <v>55935</v>
      </c>
      <c r="M1491">
        <v>8.9024999999999999</v>
      </c>
      <c r="N1491">
        <v>0.52100000000000002</v>
      </c>
      <c r="O1491">
        <v>0</v>
      </c>
      <c r="P1491" t="b">
        <f t="shared" si="47"/>
        <v>0</v>
      </c>
      <c r="Q1491" t="str">
        <f t="shared" si="46"/>
        <v>Positive</v>
      </c>
    </row>
    <row r="1492" spans="1:17" x14ac:dyDescent="0.3">
      <c r="A1492" t="s">
        <v>2511</v>
      </c>
      <c r="B1492" t="s">
        <v>32</v>
      </c>
      <c r="C1492" t="s">
        <v>17</v>
      </c>
      <c r="D1492" t="s">
        <v>29</v>
      </c>
      <c r="E1492" t="s">
        <v>58</v>
      </c>
      <c r="F1492" t="s">
        <v>34</v>
      </c>
      <c r="G1492" s="1">
        <v>45470</v>
      </c>
      <c r="H1492" t="s">
        <v>2512</v>
      </c>
      <c r="I1492">
        <v>554553</v>
      </c>
      <c r="J1492">
        <v>29187</v>
      </c>
      <c r="K1492">
        <v>11623</v>
      </c>
      <c r="L1492">
        <v>8447</v>
      </c>
      <c r="M1492">
        <v>8.8800000000000004E-2</v>
      </c>
      <c r="N1492">
        <v>-0.63200000000000001</v>
      </c>
      <c r="O1492">
        <v>0</v>
      </c>
      <c r="P1492" t="b">
        <f t="shared" si="47"/>
        <v>0</v>
      </c>
      <c r="Q1492" t="str">
        <f t="shared" si="46"/>
        <v>Negative</v>
      </c>
    </row>
    <row r="1493" spans="1:17" x14ac:dyDescent="0.3">
      <c r="A1493" t="s">
        <v>2513</v>
      </c>
      <c r="B1493" t="s">
        <v>32</v>
      </c>
      <c r="C1493" t="s">
        <v>23</v>
      </c>
      <c r="D1493" t="s">
        <v>54</v>
      </c>
      <c r="E1493" t="s">
        <v>41</v>
      </c>
      <c r="F1493" t="s">
        <v>20</v>
      </c>
      <c r="G1493" s="1">
        <v>45579</v>
      </c>
      <c r="H1493" t="s">
        <v>597</v>
      </c>
      <c r="I1493">
        <v>6665160</v>
      </c>
      <c r="J1493">
        <v>444344</v>
      </c>
      <c r="K1493">
        <v>27205</v>
      </c>
      <c r="L1493">
        <v>95108</v>
      </c>
      <c r="M1493">
        <v>8.5000000000000006E-2</v>
      </c>
      <c r="N1493">
        <v>0.39200000000000002</v>
      </c>
      <c r="O1493">
        <v>1</v>
      </c>
      <c r="P1493" t="b">
        <f t="shared" si="47"/>
        <v>1</v>
      </c>
      <c r="Q1493" t="str">
        <f t="shared" si="46"/>
        <v>Positive</v>
      </c>
    </row>
    <row r="1494" spans="1:17" x14ac:dyDescent="0.3">
      <c r="A1494" t="s">
        <v>2514</v>
      </c>
      <c r="B1494" t="s">
        <v>27</v>
      </c>
      <c r="C1494" t="s">
        <v>61</v>
      </c>
      <c r="D1494" t="s">
        <v>73</v>
      </c>
      <c r="E1494" t="s">
        <v>38</v>
      </c>
      <c r="F1494" t="s">
        <v>55</v>
      </c>
      <c r="G1494" s="1">
        <v>45487</v>
      </c>
      <c r="H1494" t="s">
        <v>1053</v>
      </c>
      <c r="I1494">
        <v>3699336</v>
      </c>
      <c r="J1494">
        <v>217608</v>
      </c>
      <c r="K1494">
        <v>22361</v>
      </c>
      <c r="L1494">
        <v>88560</v>
      </c>
      <c r="M1494">
        <v>8.8800000000000004E-2</v>
      </c>
      <c r="N1494">
        <v>-0.70399999999999996</v>
      </c>
      <c r="O1494">
        <v>1</v>
      </c>
      <c r="P1494" t="b">
        <f t="shared" si="47"/>
        <v>1</v>
      </c>
      <c r="Q1494" t="str">
        <f t="shared" si="46"/>
        <v>Negative</v>
      </c>
    </row>
    <row r="1495" spans="1:17" x14ac:dyDescent="0.3">
      <c r="A1495" t="s">
        <v>2515</v>
      </c>
      <c r="B1495" t="s">
        <v>16</v>
      </c>
      <c r="C1495" t="s">
        <v>17</v>
      </c>
      <c r="D1495" t="s">
        <v>37</v>
      </c>
      <c r="E1495" t="s">
        <v>58</v>
      </c>
      <c r="F1495" t="s">
        <v>20</v>
      </c>
      <c r="G1495" s="1">
        <v>45352</v>
      </c>
      <c r="H1495" t="s">
        <v>645</v>
      </c>
      <c r="I1495">
        <v>2581790</v>
      </c>
      <c r="J1495">
        <v>151870</v>
      </c>
      <c r="K1495">
        <v>42475</v>
      </c>
      <c r="L1495">
        <v>92072</v>
      </c>
      <c r="M1495">
        <v>0.1109</v>
      </c>
      <c r="N1495">
        <v>-0.73899999999999999</v>
      </c>
      <c r="O1495">
        <v>1</v>
      </c>
      <c r="P1495" t="b">
        <f t="shared" si="47"/>
        <v>1</v>
      </c>
      <c r="Q1495" t="str">
        <f t="shared" si="46"/>
        <v>Negative</v>
      </c>
    </row>
    <row r="1496" spans="1:17" x14ac:dyDescent="0.3">
      <c r="A1496" t="s">
        <v>2516</v>
      </c>
      <c r="B1496" t="s">
        <v>16</v>
      </c>
      <c r="C1496" t="s">
        <v>17</v>
      </c>
      <c r="D1496" t="s">
        <v>54</v>
      </c>
      <c r="E1496" t="s">
        <v>19</v>
      </c>
      <c r="F1496" t="s">
        <v>55</v>
      </c>
      <c r="G1496" s="1">
        <v>45630</v>
      </c>
      <c r="H1496" t="s">
        <v>2517</v>
      </c>
      <c r="I1496">
        <v>1501080</v>
      </c>
      <c r="J1496">
        <v>187635</v>
      </c>
      <c r="K1496">
        <v>33762</v>
      </c>
      <c r="L1496">
        <v>78013</v>
      </c>
      <c r="M1496">
        <v>0.19950000000000001</v>
      </c>
      <c r="N1496">
        <v>0.67700000000000005</v>
      </c>
      <c r="O1496">
        <v>0</v>
      </c>
      <c r="P1496" t="b">
        <f t="shared" si="47"/>
        <v>0</v>
      </c>
      <c r="Q1496" t="str">
        <f t="shared" si="46"/>
        <v>Positive</v>
      </c>
    </row>
    <row r="1497" spans="1:17" x14ac:dyDescent="0.3">
      <c r="A1497" t="s">
        <v>2518</v>
      </c>
      <c r="B1497" t="s">
        <v>27</v>
      </c>
      <c r="C1497" t="s">
        <v>17</v>
      </c>
      <c r="D1497" t="s">
        <v>37</v>
      </c>
      <c r="E1497" t="s">
        <v>38</v>
      </c>
      <c r="F1497" t="s">
        <v>24</v>
      </c>
      <c r="G1497" s="1">
        <v>45603</v>
      </c>
      <c r="H1497" t="s">
        <v>833</v>
      </c>
      <c r="I1497">
        <v>6795296</v>
      </c>
      <c r="J1497">
        <v>424706</v>
      </c>
      <c r="K1497">
        <v>13166</v>
      </c>
      <c r="L1497">
        <v>32153</v>
      </c>
      <c r="M1497">
        <v>6.9199999999999998E-2</v>
      </c>
      <c r="N1497">
        <v>-0.108</v>
      </c>
      <c r="O1497">
        <v>1</v>
      </c>
      <c r="P1497" t="b">
        <f t="shared" si="47"/>
        <v>1</v>
      </c>
      <c r="Q1497" t="str">
        <f t="shared" si="46"/>
        <v>Negative</v>
      </c>
    </row>
    <row r="1498" spans="1:17" x14ac:dyDescent="0.3">
      <c r="A1498" t="s">
        <v>2519</v>
      </c>
      <c r="B1498" t="s">
        <v>32</v>
      </c>
      <c r="C1498" t="s">
        <v>23</v>
      </c>
      <c r="D1498" t="s">
        <v>18</v>
      </c>
      <c r="E1498" t="s">
        <v>41</v>
      </c>
      <c r="F1498" t="s">
        <v>24</v>
      </c>
      <c r="G1498" s="1">
        <v>45302</v>
      </c>
      <c r="H1498" t="s">
        <v>2520</v>
      </c>
      <c r="I1498">
        <v>104680</v>
      </c>
      <c r="J1498">
        <v>20936</v>
      </c>
      <c r="K1498">
        <v>24836</v>
      </c>
      <c r="L1498">
        <v>66544</v>
      </c>
      <c r="M1498">
        <v>1.0729</v>
      </c>
      <c r="N1498">
        <v>-0.82699999999999996</v>
      </c>
      <c r="O1498">
        <v>0</v>
      </c>
      <c r="P1498" t="b">
        <f t="shared" si="47"/>
        <v>0</v>
      </c>
      <c r="Q1498" t="str">
        <f t="shared" si="46"/>
        <v>Negative</v>
      </c>
    </row>
    <row r="1499" spans="1:17" x14ac:dyDescent="0.3">
      <c r="A1499" t="s">
        <v>2521</v>
      </c>
      <c r="B1499" t="s">
        <v>16</v>
      </c>
      <c r="C1499" t="s">
        <v>23</v>
      </c>
      <c r="D1499" t="s">
        <v>54</v>
      </c>
      <c r="E1499" t="s">
        <v>51</v>
      </c>
      <c r="F1499" t="s">
        <v>55</v>
      </c>
      <c r="G1499" s="1">
        <v>45462</v>
      </c>
      <c r="H1499" t="s">
        <v>2074</v>
      </c>
      <c r="I1499">
        <v>3406440</v>
      </c>
      <c r="J1499">
        <v>141935</v>
      </c>
      <c r="K1499">
        <v>3913</v>
      </c>
      <c r="L1499">
        <v>93110</v>
      </c>
      <c r="M1499">
        <v>7.0099999999999996E-2</v>
      </c>
      <c r="N1499">
        <v>-0.224</v>
      </c>
      <c r="O1499">
        <v>1</v>
      </c>
      <c r="P1499" t="b">
        <f t="shared" si="47"/>
        <v>1</v>
      </c>
      <c r="Q1499" t="str">
        <f t="shared" si="46"/>
        <v>Negative</v>
      </c>
    </row>
    <row r="1500" spans="1:17" x14ac:dyDescent="0.3">
      <c r="A1500" t="s">
        <v>2522</v>
      </c>
      <c r="B1500" t="s">
        <v>16</v>
      </c>
      <c r="C1500" t="s">
        <v>28</v>
      </c>
      <c r="D1500" t="s">
        <v>33</v>
      </c>
      <c r="E1500" t="s">
        <v>58</v>
      </c>
      <c r="F1500" t="s">
        <v>55</v>
      </c>
      <c r="G1500" s="1">
        <v>45638</v>
      </c>
      <c r="H1500" t="s">
        <v>171</v>
      </c>
      <c r="I1500">
        <v>7582950</v>
      </c>
      <c r="J1500">
        <v>421275</v>
      </c>
      <c r="K1500">
        <v>16487</v>
      </c>
      <c r="L1500">
        <v>27106</v>
      </c>
      <c r="M1500">
        <v>6.13E-2</v>
      </c>
      <c r="N1500">
        <v>-0.626</v>
      </c>
      <c r="O1500">
        <v>1</v>
      </c>
      <c r="P1500" t="b">
        <f t="shared" si="47"/>
        <v>1</v>
      </c>
      <c r="Q1500" t="str">
        <f t="shared" si="46"/>
        <v>Negative</v>
      </c>
    </row>
    <row r="1501" spans="1:17" x14ac:dyDescent="0.3">
      <c r="A1501" t="s">
        <v>2523</v>
      </c>
      <c r="B1501" t="s">
        <v>66</v>
      </c>
      <c r="C1501" t="s">
        <v>28</v>
      </c>
      <c r="D1501" t="s">
        <v>73</v>
      </c>
      <c r="E1501" t="s">
        <v>38</v>
      </c>
      <c r="F1501" t="s">
        <v>34</v>
      </c>
      <c r="G1501" s="1">
        <v>45626</v>
      </c>
      <c r="H1501" t="s">
        <v>326</v>
      </c>
      <c r="I1501">
        <v>7182280</v>
      </c>
      <c r="J1501">
        <v>359114</v>
      </c>
      <c r="K1501">
        <v>19054</v>
      </c>
      <c r="L1501">
        <v>83309</v>
      </c>
      <c r="M1501">
        <v>6.4299999999999996E-2</v>
      </c>
      <c r="N1501">
        <v>0.626</v>
      </c>
      <c r="O1501">
        <v>1</v>
      </c>
      <c r="P1501" t="b">
        <f t="shared" si="47"/>
        <v>1</v>
      </c>
      <c r="Q1501" t="str">
        <f t="shared" si="46"/>
        <v>Positive</v>
      </c>
    </row>
    <row r="1502" spans="1:17" x14ac:dyDescent="0.3">
      <c r="A1502" t="s">
        <v>2524</v>
      </c>
      <c r="B1502" t="s">
        <v>66</v>
      </c>
      <c r="C1502" t="s">
        <v>61</v>
      </c>
      <c r="D1502" t="s">
        <v>54</v>
      </c>
      <c r="E1502" t="s">
        <v>38</v>
      </c>
      <c r="F1502" t="s">
        <v>34</v>
      </c>
      <c r="G1502" s="1">
        <v>45409</v>
      </c>
      <c r="H1502" t="s">
        <v>2525</v>
      </c>
      <c r="I1502">
        <v>2330470</v>
      </c>
      <c r="J1502">
        <v>466094</v>
      </c>
      <c r="K1502">
        <v>42030</v>
      </c>
      <c r="L1502">
        <v>99509</v>
      </c>
      <c r="M1502">
        <v>0.26069999999999999</v>
      </c>
      <c r="N1502">
        <v>-0.56999999999999995</v>
      </c>
      <c r="O1502">
        <v>1</v>
      </c>
      <c r="P1502" t="b">
        <f t="shared" si="47"/>
        <v>1</v>
      </c>
      <c r="Q1502" t="str">
        <f t="shared" si="46"/>
        <v>Negative</v>
      </c>
    </row>
    <row r="1503" spans="1:17" x14ac:dyDescent="0.3">
      <c r="A1503" t="s">
        <v>2526</v>
      </c>
      <c r="B1503" t="s">
        <v>27</v>
      </c>
      <c r="C1503" t="s">
        <v>17</v>
      </c>
      <c r="D1503" t="s">
        <v>73</v>
      </c>
      <c r="E1503" t="s">
        <v>51</v>
      </c>
      <c r="F1503" t="s">
        <v>24</v>
      </c>
      <c r="G1503" s="1">
        <v>45372</v>
      </c>
      <c r="H1503" t="s">
        <v>2527</v>
      </c>
      <c r="I1503">
        <v>2618964</v>
      </c>
      <c r="J1503">
        <v>113868</v>
      </c>
      <c r="K1503">
        <v>19561</v>
      </c>
      <c r="L1503">
        <v>90880</v>
      </c>
      <c r="M1503">
        <v>8.5599999999999996E-2</v>
      </c>
      <c r="N1503">
        <v>-0.59</v>
      </c>
      <c r="O1503">
        <v>1</v>
      </c>
      <c r="P1503" t="b">
        <f t="shared" si="47"/>
        <v>1</v>
      </c>
      <c r="Q1503" t="str">
        <f t="shared" si="46"/>
        <v>Negative</v>
      </c>
    </row>
    <row r="1504" spans="1:17" x14ac:dyDescent="0.3">
      <c r="A1504" t="s">
        <v>2528</v>
      </c>
      <c r="B1504" t="s">
        <v>66</v>
      </c>
      <c r="C1504" t="s">
        <v>61</v>
      </c>
      <c r="D1504" t="s">
        <v>29</v>
      </c>
      <c r="E1504" t="s">
        <v>38</v>
      </c>
      <c r="F1504" t="s">
        <v>34</v>
      </c>
      <c r="G1504" s="1">
        <v>45373</v>
      </c>
      <c r="H1504" t="s">
        <v>2529</v>
      </c>
      <c r="I1504">
        <v>1993556</v>
      </c>
      <c r="J1504">
        <v>104924</v>
      </c>
      <c r="K1504">
        <v>33427</v>
      </c>
      <c r="L1504">
        <v>88742</v>
      </c>
      <c r="M1504">
        <v>0.1139</v>
      </c>
      <c r="N1504">
        <v>-0.872</v>
      </c>
      <c r="O1504">
        <v>0</v>
      </c>
      <c r="P1504" t="b">
        <f t="shared" si="47"/>
        <v>0</v>
      </c>
      <c r="Q1504" t="str">
        <f t="shared" si="46"/>
        <v>Negative</v>
      </c>
    </row>
    <row r="1505" spans="1:17" x14ac:dyDescent="0.3">
      <c r="A1505" t="s">
        <v>2530</v>
      </c>
      <c r="B1505" t="s">
        <v>32</v>
      </c>
      <c r="C1505" t="s">
        <v>23</v>
      </c>
      <c r="D1505" t="s">
        <v>29</v>
      </c>
      <c r="E1505" t="s">
        <v>19</v>
      </c>
      <c r="F1505" t="s">
        <v>55</v>
      </c>
      <c r="G1505" s="1">
        <v>45309</v>
      </c>
      <c r="H1505" t="s">
        <v>2531</v>
      </c>
      <c r="I1505">
        <v>970228</v>
      </c>
      <c r="J1505">
        <v>69302</v>
      </c>
      <c r="K1505">
        <v>37050</v>
      </c>
      <c r="L1505">
        <v>86323</v>
      </c>
      <c r="M1505">
        <v>0.1986</v>
      </c>
      <c r="N1505">
        <v>-0.39100000000000001</v>
      </c>
      <c r="O1505">
        <v>0</v>
      </c>
      <c r="P1505" t="b">
        <f t="shared" si="47"/>
        <v>0</v>
      </c>
      <c r="Q1505" t="str">
        <f t="shared" si="46"/>
        <v>Negative</v>
      </c>
    </row>
    <row r="1506" spans="1:17" x14ac:dyDescent="0.3">
      <c r="A1506" t="s">
        <v>2532</v>
      </c>
      <c r="B1506" t="s">
        <v>66</v>
      </c>
      <c r="C1506" t="s">
        <v>61</v>
      </c>
      <c r="D1506" t="s">
        <v>29</v>
      </c>
      <c r="E1506" t="s">
        <v>38</v>
      </c>
      <c r="F1506" t="s">
        <v>20</v>
      </c>
      <c r="G1506" s="1">
        <v>45430</v>
      </c>
      <c r="H1506" t="s">
        <v>1775</v>
      </c>
      <c r="I1506">
        <v>3155980</v>
      </c>
      <c r="J1506">
        <v>157799</v>
      </c>
      <c r="K1506">
        <v>15203</v>
      </c>
      <c r="L1506">
        <v>69522</v>
      </c>
      <c r="M1506">
        <v>7.6799999999999993E-2</v>
      </c>
      <c r="N1506">
        <v>0.435</v>
      </c>
      <c r="O1506">
        <v>1</v>
      </c>
      <c r="P1506" t="b">
        <f t="shared" si="47"/>
        <v>1</v>
      </c>
      <c r="Q1506" t="str">
        <f t="shared" si="46"/>
        <v>Positive</v>
      </c>
    </row>
    <row r="1507" spans="1:17" x14ac:dyDescent="0.3">
      <c r="A1507" t="s">
        <v>2533</v>
      </c>
      <c r="B1507" t="s">
        <v>32</v>
      </c>
      <c r="C1507" t="s">
        <v>23</v>
      </c>
      <c r="D1507" t="s">
        <v>29</v>
      </c>
      <c r="E1507" t="s">
        <v>41</v>
      </c>
      <c r="F1507" t="s">
        <v>46</v>
      </c>
      <c r="G1507" s="1">
        <v>45514</v>
      </c>
      <c r="H1507" t="s">
        <v>1108</v>
      </c>
      <c r="I1507">
        <v>1895392</v>
      </c>
      <c r="J1507">
        <v>236924</v>
      </c>
      <c r="K1507">
        <v>19408</v>
      </c>
      <c r="L1507">
        <v>3682</v>
      </c>
      <c r="M1507">
        <v>0.13719999999999999</v>
      </c>
      <c r="N1507">
        <v>0.25800000000000001</v>
      </c>
      <c r="O1507">
        <v>0</v>
      </c>
      <c r="P1507" t="b">
        <f t="shared" si="47"/>
        <v>0</v>
      </c>
      <c r="Q1507" t="str">
        <f t="shared" si="46"/>
        <v>Positive</v>
      </c>
    </row>
    <row r="1508" spans="1:17" x14ac:dyDescent="0.3">
      <c r="A1508" t="s">
        <v>2534</v>
      </c>
      <c r="B1508" t="s">
        <v>32</v>
      </c>
      <c r="C1508" t="s">
        <v>28</v>
      </c>
      <c r="D1508" t="s">
        <v>73</v>
      </c>
      <c r="E1508" t="s">
        <v>41</v>
      </c>
      <c r="F1508" t="s">
        <v>34</v>
      </c>
      <c r="G1508" s="1">
        <v>45439</v>
      </c>
      <c r="H1508" t="s">
        <v>2216</v>
      </c>
      <c r="I1508">
        <v>3345440</v>
      </c>
      <c r="J1508">
        <v>115360</v>
      </c>
      <c r="K1508">
        <v>42297</v>
      </c>
      <c r="L1508">
        <v>5630</v>
      </c>
      <c r="M1508">
        <v>4.8800000000000003E-2</v>
      </c>
      <c r="N1508">
        <v>-0.34799999999999998</v>
      </c>
      <c r="O1508">
        <v>1</v>
      </c>
      <c r="P1508" t="b">
        <f t="shared" si="47"/>
        <v>1</v>
      </c>
      <c r="Q1508" t="str">
        <f t="shared" si="46"/>
        <v>Negative</v>
      </c>
    </row>
    <row r="1509" spans="1:17" x14ac:dyDescent="0.3">
      <c r="A1509" t="s">
        <v>2535</v>
      </c>
      <c r="B1509" t="s">
        <v>27</v>
      </c>
      <c r="C1509" t="s">
        <v>17</v>
      </c>
      <c r="D1509" t="s">
        <v>37</v>
      </c>
      <c r="E1509" t="s">
        <v>41</v>
      </c>
      <c r="F1509" t="s">
        <v>24</v>
      </c>
      <c r="G1509" s="1">
        <v>45602</v>
      </c>
      <c r="H1509" t="s">
        <v>169</v>
      </c>
      <c r="I1509">
        <v>4954716</v>
      </c>
      <c r="J1509">
        <v>381132</v>
      </c>
      <c r="K1509">
        <v>34770</v>
      </c>
      <c r="L1509">
        <v>74500</v>
      </c>
      <c r="M1509">
        <v>9.9000000000000005E-2</v>
      </c>
      <c r="N1509">
        <v>-0.73299999999999998</v>
      </c>
      <c r="O1509">
        <v>1</v>
      </c>
      <c r="P1509" t="b">
        <f t="shared" si="47"/>
        <v>1</v>
      </c>
      <c r="Q1509" t="str">
        <f t="shared" si="46"/>
        <v>Negative</v>
      </c>
    </row>
    <row r="1510" spans="1:17" x14ac:dyDescent="0.3">
      <c r="A1510" t="s">
        <v>2536</v>
      </c>
      <c r="B1510" t="s">
        <v>16</v>
      </c>
      <c r="C1510" t="s">
        <v>28</v>
      </c>
      <c r="D1510" t="s">
        <v>18</v>
      </c>
      <c r="E1510" t="s">
        <v>51</v>
      </c>
      <c r="F1510" t="s">
        <v>24</v>
      </c>
      <c r="G1510" s="1">
        <v>45379</v>
      </c>
      <c r="H1510" t="s">
        <v>2393</v>
      </c>
      <c r="I1510">
        <v>11612664</v>
      </c>
      <c r="J1510">
        <v>483861</v>
      </c>
      <c r="K1510">
        <v>27680</v>
      </c>
      <c r="L1510">
        <v>72268</v>
      </c>
      <c r="M1510">
        <v>5.0299999999999997E-2</v>
      </c>
      <c r="N1510">
        <v>-0.4</v>
      </c>
      <c r="O1510">
        <v>1</v>
      </c>
      <c r="P1510" t="b">
        <f t="shared" si="47"/>
        <v>1</v>
      </c>
      <c r="Q1510" t="str">
        <f t="shared" si="46"/>
        <v>Negative</v>
      </c>
    </row>
    <row r="1511" spans="1:17" x14ac:dyDescent="0.3">
      <c r="A1511" t="s">
        <v>2537</v>
      </c>
      <c r="B1511" t="s">
        <v>27</v>
      </c>
      <c r="C1511" t="s">
        <v>28</v>
      </c>
      <c r="D1511" t="s">
        <v>73</v>
      </c>
      <c r="E1511" t="s">
        <v>41</v>
      </c>
      <c r="F1511" t="s">
        <v>24</v>
      </c>
      <c r="G1511" s="1">
        <v>45411</v>
      </c>
      <c r="H1511" t="s">
        <v>1108</v>
      </c>
      <c r="I1511">
        <v>5909841</v>
      </c>
      <c r="J1511">
        <v>281421</v>
      </c>
      <c r="K1511">
        <v>23723</v>
      </c>
      <c r="L1511">
        <v>68448</v>
      </c>
      <c r="M1511">
        <v>6.3200000000000006E-2</v>
      </c>
      <c r="N1511">
        <v>-0.2</v>
      </c>
      <c r="O1511">
        <v>1</v>
      </c>
      <c r="P1511" t="b">
        <f t="shared" si="47"/>
        <v>1</v>
      </c>
      <c r="Q1511" t="str">
        <f t="shared" si="46"/>
        <v>Negative</v>
      </c>
    </row>
    <row r="1512" spans="1:17" x14ac:dyDescent="0.3">
      <c r="A1512" t="s">
        <v>2538</v>
      </c>
      <c r="B1512" t="s">
        <v>32</v>
      </c>
      <c r="C1512" t="s">
        <v>61</v>
      </c>
      <c r="D1512" t="s">
        <v>37</v>
      </c>
      <c r="E1512" t="s">
        <v>19</v>
      </c>
      <c r="F1512" t="s">
        <v>46</v>
      </c>
      <c r="G1512" s="1">
        <v>45292</v>
      </c>
      <c r="H1512" t="s">
        <v>1847</v>
      </c>
      <c r="I1512">
        <v>1131620</v>
      </c>
      <c r="J1512">
        <v>80830</v>
      </c>
      <c r="K1512">
        <v>4956</v>
      </c>
      <c r="L1512">
        <v>28334</v>
      </c>
      <c r="M1512">
        <v>0.1008</v>
      </c>
      <c r="N1512">
        <v>0.34799999999999998</v>
      </c>
      <c r="O1512">
        <v>0</v>
      </c>
      <c r="P1512" t="b">
        <f t="shared" si="47"/>
        <v>0</v>
      </c>
      <c r="Q1512" t="str">
        <f t="shared" si="46"/>
        <v>Positive</v>
      </c>
    </row>
    <row r="1513" spans="1:17" x14ac:dyDescent="0.3">
      <c r="A1513" t="s">
        <v>2539</v>
      </c>
      <c r="B1513" t="s">
        <v>16</v>
      </c>
      <c r="C1513" t="s">
        <v>61</v>
      </c>
      <c r="D1513" t="s">
        <v>54</v>
      </c>
      <c r="E1513" t="s">
        <v>19</v>
      </c>
      <c r="F1513" t="s">
        <v>24</v>
      </c>
      <c r="G1513" s="1">
        <v>45447</v>
      </c>
      <c r="H1513" t="s">
        <v>2540</v>
      </c>
      <c r="I1513">
        <v>6834159</v>
      </c>
      <c r="J1513">
        <v>253117</v>
      </c>
      <c r="K1513">
        <v>5570</v>
      </c>
      <c r="L1513">
        <v>22822</v>
      </c>
      <c r="M1513">
        <v>4.1200000000000001E-2</v>
      </c>
      <c r="N1513">
        <v>-0.161</v>
      </c>
      <c r="O1513">
        <v>1</v>
      </c>
      <c r="P1513" t="b">
        <f t="shared" si="47"/>
        <v>1</v>
      </c>
      <c r="Q1513" t="str">
        <f t="shared" si="46"/>
        <v>Negative</v>
      </c>
    </row>
    <row r="1514" spans="1:17" x14ac:dyDescent="0.3">
      <c r="A1514" t="s">
        <v>2541</v>
      </c>
      <c r="B1514" t="s">
        <v>32</v>
      </c>
      <c r="C1514" t="s">
        <v>23</v>
      </c>
      <c r="D1514" t="s">
        <v>73</v>
      </c>
      <c r="E1514" t="s">
        <v>41</v>
      </c>
      <c r="F1514" t="s">
        <v>24</v>
      </c>
      <c r="G1514" s="1">
        <v>45610</v>
      </c>
      <c r="H1514" t="s">
        <v>2542</v>
      </c>
      <c r="I1514">
        <v>2258652</v>
      </c>
      <c r="J1514">
        <v>205332</v>
      </c>
      <c r="K1514">
        <v>47167</v>
      </c>
      <c r="L1514">
        <v>836</v>
      </c>
      <c r="M1514">
        <v>0.11219999999999999</v>
      </c>
      <c r="N1514">
        <v>-0.48699999999999999</v>
      </c>
      <c r="O1514">
        <v>1</v>
      </c>
      <c r="P1514" t="b">
        <f t="shared" si="47"/>
        <v>1</v>
      </c>
      <c r="Q1514" t="str">
        <f t="shared" si="46"/>
        <v>Negative</v>
      </c>
    </row>
    <row r="1515" spans="1:17" x14ac:dyDescent="0.3">
      <c r="A1515" t="s">
        <v>2543</v>
      </c>
      <c r="B1515" t="s">
        <v>27</v>
      </c>
      <c r="C1515" t="s">
        <v>28</v>
      </c>
      <c r="D1515" t="s">
        <v>37</v>
      </c>
      <c r="E1515" t="s">
        <v>41</v>
      </c>
      <c r="F1515" t="s">
        <v>34</v>
      </c>
      <c r="G1515" s="1">
        <v>45546</v>
      </c>
      <c r="H1515" t="s">
        <v>78</v>
      </c>
      <c r="I1515">
        <v>2091420</v>
      </c>
      <c r="J1515">
        <v>77460</v>
      </c>
      <c r="K1515">
        <v>37340</v>
      </c>
      <c r="L1515">
        <v>69352</v>
      </c>
      <c r="M1515">
        <v>8.8099999999999998E-2</v>
      </c>
      <c r="N1515">
        <v>0.59499999999999997</v>
      </c>
      <c r="O1515">
        <v>1</v>
      </c>
      <c r="P1515" t="b">
        <f t="shared" si="47"/>
        <v>1</v>
      </c>
      <c r="Q1515" t="str">
        <f t="shared" si="46"/>
        <v>Positive</v>
      </c>
    </row>
    <row r="1516" spans="1:17" x14ac:dyDescent="0.3">
      <c r="A1516" t="s">
        <v>2544</v>
      </c>
      <c r="B1516" t="s">
        <v>27</v>
      </c>
      <c r="C1516" t="s">
        <v>28</v>
      </c>
      <c r="D1516" t="s">
        <v>37</v>
      </c>
      <c r="E1516" t="s">
        <v>38</v>
      </c>
      <c r="F1516" t="s">
        <v>55</v>
      </c>
      <c r="G1516" s="1">
        <v>45639</v>
      </c>
      <c r="H1516" t="s">
        <v>599</v>
      </c>
      <c r="I1516">
        <v>1397342</v>
      </c>
      <c r="J1516">
        <v>60754</v>
      </c>
      <c r="K1516">
        <v>41891</v>
      </c>
      <c r="L1516">
        <v>68144</v>
      </c>
      <c r="M1516">
        <v>0.1222</v>
      </c>
      <c r="N1516">
        <v>2.9000000000000001E-2</v>
      </c>
      <c r="O1516">
        <v>0</v>
      </c>
      <c r="P1516" t="b">
        <f t="shared" si="47"/>
        <v>0</v>
      </c>
      <c r="Q1516" t="str">
        <f t="shared" si="46"/>
        <v>Positive</v>
      </c>
    </row>
    <row r="1517" spans="1:17" x14ac:dyDescent="0.3">
      <c r="A1517" t="s">
        <v>2545</v>
      </c>
      <c r="B1517" t="s">
        <v>32</v>
      </c>
      <c r="C1517" t="s">
        <v>61</v>
      </c>
      <c r="D1517" t="s">
        <v>33</v>
      </c>
      <c r="E1517" t="s">
        <v>41</v>
      </c>
      <c r="F1517" t="s">
        <v>34</v>
      </c>
      <c r="G1517" s="1">
        <v>45334</v>
      </c>
      <c r="H1517" t="s">
        <v>2546</v>
      </c>
      <c r="I1517">
        <v>2048520</v>
      </c>
      <c r="J1517">
        <v>102426</v>
      </c>
      <c r="K1517">
        <v>11996</v>
      </c>
      <c r="L1517">
        <v>86705</v>
      </c>
      <c r="M1517">
        <v>9.8199999999999996E-2</v>
      </c>
      <c r="N1517">
        <v>7.1999999999999995E-2</v>
      </c>
      <c r="O1517">
        <v>1</v>
      </c>
      <c r="P1517" t="b">
        <f t="shared" si="47"/>
        <v>1</v>
      </c>
      <c r="Q1517" t="str">
        <f t="shared" si="46"/>
        <v>Positive</v>
      </c>
    </row>
    <row r="1518" spans="1:17" x14ac:dyDescent="0.3">
      <c r="A1518" t="s">
        <v>2547</v>
      </c>
      <c r="B1518" t="s">
        <v>32</v>
      </c>
      <c r="C1518" t="s">
        <v>17</v>
      </c>
      <c r="D1518" t="s">
        <v>29</v>
      </c>
      <c r="E1518" t="s">
        <v>58</v>
      </c>
      <c r="F1518" t="s">
        <v>55</v>
      </c>
      <c r="G1518" s="1">
        <v>45305</v>
      </c>
      <c r="H1518" t="s">
        <v>885</v>
      </c>
      <c r="I1518">
        <v>2666880</v>
      </c>
      <c r="J1518">
        <v>333360</v>
      </c>
      <c r="K1518">
        <v>7059</v>
      </c>
      <c r="L1518">
        <v>89627</v>
      </c>
      <c r="M1518">
        <v>0.1613</v>
      </c>
      <c r="N1518">
        <v>0.878</v>
      </c>
      <c r="O1518">
        <v>1</v>
      </c>
      <c r="P1518" t="b">
        <f t="shared" si="47"/>
        <v>1</v>
      </c>
      <c r="Q1518" t="str">
        <f t="shared" si="46"/>
        <v>Positive</v>
      </c>
    </row>
    <row r="1519" spans="1:17" x14ac:dyDescent="0.3">
      <c r="A1519" t="s">
        <v>2548</v>
      </c>
      <c r="B1519" t="s">
        <v>27</v>
      </c>
      <c r="C1519" t="s">
        <v>28</v>
      </c>
      <c r="D1519" t="s">
        <v>37</v>
      </c>
      <c r="E1519" t="s">
        <v>41</v>
      </c>
      <c r="F1519" t="s">
        <v>55</v>
      </c>
      <c r="G1519" s="1">
        <v>45319</v>
      </c>
      <c r="H1519" t="s">
        <v>2549</v>
      </c>
      <c r="I1519">
        <v>720839</v>
      </c>
      <c r="J1519">
        <v>102977</v>
      </c>
      <c r="K1519">
        <v>15344</v>
      </c>
      <c r="L1519">
        <v>3492</v>
      </c>
      <c r="M1519">
        <v>0.16900000000000001</v>
      </c>
      <c r="N1519">
        <v>0.39400000000000002</v>
      </c>
      <c r="O1519">
        <v>0</v>
      </c>
      <c r="P1519" t="b">
        <f t="shared" si="47"/>
        <v>0</v>
      </c>
      <c r="Q1519" t="str">
        <f t="shared" si="46"/>
        <v>Positive</v>
      </c>
    </row>
    <row r="1520" spans="1:17" x14ac:dyDescent="0.3">
      <c r="A1520" t="s">
        <v>2550</v>
      </c>
      <c r="B1520" t="s">
        <v>27</v>
      </c>
      <c r="C1520" t="s">
        <v>28</v>
      </c>
      <c r="D1520" t="s">
        <v>54</v>
      </c>
      <c r="E1520" t="s">
        <v>51</v>
      </c>
      <c r="F1520" t="s">
        <v>46</v>
      </c>
      <c r="G1520" s="1">
        <v>45425</v>
      </c>
      <c r="H1520" t="s">
        <v>869</v>
      </c>
      <c r="I1520">
        <v>8806886</v>
      </c>
      <c r="J1520">
        <v>400313</v>
      </c>
      <c r="K1520">
        <v>38006</v>
      </c>
      <c r="L1520">
        <v>60409</v>
      </c>
      <c r="M1520">
        <v>5.6599999999999998E-2</v>
      </c>
      <c r="N1520">
        <v>-3.9E-2</v>
      </c>
      <c r="O1520">
        <v>1</v>
      </c>
      <c r="P1520" t="b">
        <f t="shared" si="47"/>
        <v>1</v>
      </c>
      <c r="Q1520" t="str">
        <f t="shared" si="46"/>
        <v>Negative</v>
      </c>
    </row>
    <row r="1521" spans="1:17" x14ac:dyDescent="0.3">
      <c r="A1521" t="s">
        <v>2551</v>
      </c>
      <c r="B1521" t="s">
        <v>32</v>
      </c>
      <c r="C1521" t="s">
        <v>61</v>
      </c>
      <c r="D1521" t="s">
        <v>37</v>
      </c>
      <c r="E1521" t="s">
        <v>58</v>
      </c>
      <c r="F1521" t="s">
        <v>24</v>
      </c>
      <c r="G1521" s="1">
        <v>45641</v>
      </c>
      <c r="H1521" t="s">
        <v>472</v>
      </c>
      <c r="I1521">
        <v>3043700</v>
      </c>
      <c r="J1521">
        <v>121748</v>
      </c>
      <c r="K1521">
        <v>25168</v>
      </c>
      <c r="L1521">
        <v>17719</v>
      </c>
      <c r="M1521">
        <v>5.4100000000000002E-2</v>
      </c>
      <c r="N1521">
        <v>-0.16600000000000001</v>
      </c>
      <c r="O1521">
        <v>1</v>
      </c>
      <c r="P1521" t="b">
        <f t="shared" si="47"/>
        <v>1</v>
      </c>
      <c r="Q1521" t="str">
        <f t="shared" si="46"/>
        <v>Negative</v>
      </c>
    </row>
    <row r="1522" spans="1:17" x14ac:dyDescent="0.3">
      <c r="A1522" t="s">
        <v>2552</v>
      </c>
      <c r="B1522" t="s">
        <v>27</v>
      </c>
      <c r="C1522" t="s">
        <v>23</v>
      </c>
      <c r="D1522" t="s">
        <v>37</v>
      </c>
      <c r="E1522" t="s">
        <v>38</v>
      </c>
      <c r="F1522" t="s">
        <v>24</v>
      </c>
      <c r="G1522" s="1">
        <v>45462</v>
      </c>
      <c r="H1522" t="s">
        <v>1518</v>
      </c>
      <c r="I1522">
        <v>7407990</v>
      </c>
      <c r="J1522">
        <v>274370</v>
      </c>
      <c r="K1522">
        <v>23600</v>
      </c>
      <c r="L1522">
        <v>64927</v>
      </c>
      <c r="M1522">
        <v>4.9000000000000002E-2</v>
      </c>
      <c r="N1522">
        <v>-0.68300000000000005</v>
      </c>
      <c r="O1522">
        <v>1</v>
      </c>
      <c r="P1522" t="b">
        <f t="shared" si="47"/>
        <v>1</v>
      </c>
      <c r="Q1522" t="str">
        <f t="shared" si="46"/>
        <v>Negative</v>
      </c>
    </row>
    <row r="1523" spans="1:17" x14ac:dyDescent="0.3">
      <c r="A1523" t="s">
        <v>2553</v>
      </c>
      <c r="B1523" t="s">
        <v>66</v>
      </c>
      <c r="C1523" t="s">
        <v>28</v>
      </c>
      <c r="D1523" t="s">
        <v>37</v>
      </c>
      <c r="E1523" t="s">
        <v>41</v>
      </c>
      <c r="F1523" t="s">
        <v>34</v>
      </c>
      <c r="G1523" s="1">
        <v>45361</v>
      </c>
      <c r="H1523" t="s">
        <v>2554</v>
      </c>
      <c r="I1523">
        <v>6127180</v>
      </c>
      <c r="J1523">
        <v>306359</v>
      </c>
      <c r="K1523">
        <v>43163</v>
      </c>
      <c r="L1523">
        <v>55964</v>
      </c>
      <c r="M1523">
        <v>6.6199999999999995E-2</v>
      </c>
      <c r="N1523">
        <v>2.5000000000000001E-2</v>
      </c>
      <c r="O1523">
        <v>1</v>
      </c>
      <c r="P1523" t="b">
        <f t="shared" si="47"/>
        <v>1</v>
      </c>
      <c r="Q1523" t="str">
        <f t="shared" si="46"/>
        <v>Positive</v>
      </c>
    </row>
    <row r="1524" spans="1:17" x14ac:dyDescent="0.3">
      <c r="A1524" t="s">
        <v>2555</v>
      </c>
      <c r="B1524" t="s">
        <v>66</v>
      </c>
      <c r="C1524" t="s">
        <v>17</v>
      </c>
      <c r="D1524" t="s">
        <v>37</v>
      </c>
      <c r="E1524" t="s">
        <v>51</v>
      </c>
      <c r="F1524" t="s">
        <v>55</v>
      </c>
      <c r="G1524" s="1">
        <v>45625</v>
      </c>
      <c r="H1524" t="s">
        <v>2556</v>
      </c>
      <c r="I1524">
        <v>4073922</v>
      </c>
      <c r="J1524">
        <v>452658</v>
      </c>
      <c r="K1524">
        <v>15509</v>
      </c>
      <c r="L1524">
        <v>68594</v>
      </c>
      <c r="M1524">
        <v>0.1318</v>
      </c>
      <c r="N1524">
        <v>0.71599999999999997</v>
      </c>
      <c r="O1524">
        <v>1</v>
      </c>
      <c r="P1524" t="b">
        <f t="shared" si="47"/>
        <v>1</v>
      </c>
      <c r="Q1524" t="str">
        <f t="shared" si="46"/>
        <v>Positive</v>
      </c>
    </row>
    <row r="1525" spans="1:17" x14ac:dyDescent="0.3">
      <c r="A1525" t="s">
        <v>2557</v>
      </c>
      <c r="B1525" t="s">
        <v>16</v>
      </c>
      <c r="C1525" t="s">
        <v>23</v>
      </c>
      <c r="D1525" t="s">
        <v>54</v>
      </c>
      <c r="E1525" t="s">
        <v>58</v>
      </c>
      <c r="F1525" t="s">
        <v>24</v>
      </c>
      <c r="G1525" s="1">
        <v>45610</v>
      </c>
      <c r="H1525" t="s">
        <v>104</v>
      </c>
      <c r="I1525">
        <v>3215368</v>
      </c>
      <c r="J1525">
        <v>401921</v>
      </c>
      <c r="K1525">
        <v>15766</v>
      </c>
      <c r="L1525">
        <v>55502</v>
      </c>
      <c r="M1525">
        <v>0.1472</v>
      </c>
      <c r="N1525">
        <v>-0.40400000000000003</v>
      </c>
      <c r="O1525">
        <v>1</v>
      </c>
      <c r="P1525" t="b">
        <f t="shared" si="47"/>
        <v>1</v>
      </c>
      <c r="Q1525" t="str">
        <f t="shared" si="46"/>
        <v>Negative</v>
      </c>
    </row>
    <row r="1526" spans="1:17" x14ac:dyDescent="0.3">
      <c r="A1526" t="s">
        <v>2558</v>
      </c>
      <c r="B1526" t="s">
        <v>32</v>
      </c>
      <c r="C1526" t="s">
        <v>61</v>
      </c>
      <c r="D1526" t="s">
        <v>73</v>
      </c>
      <c r="E1526" t="s">
        <v>38</v>
      </c>
      <c r="F1526" t="s">
        <v>24</v>
      </c>
      <c r="G1526" s="1">
        <v>45321</v>
      </c>
      <c r="H1526" t="s">
        <v>2559</v>
      </c>
      <c r="I1526">
        <v>1292656</v>
      </c>
      <c r="J1526">
        <v>80791</v>
      </c>
      <c r="K1526">
        <v>40983</v>
      </c>
      <c r="L1526">
        <v>33133</v>
      </c>
      <c r="M1526">
        <v>0.1198</v>
      </c>
      <c r="N1526">
        <v>-0.54500000000000004</v>
      </c>
      <c r="O1526">
        <v>0</v>
      </c>
      <c r="P1526" t="b">
        <f t="shared" si="47"/>
        <v>0</v>
      </c>
      <c r="Q1526" t="str">
        <f t="shared" si="46"/>
        <v>Negative</v>
      </c>
    </row>
    <row r="1527" spans="1:17" x14ac:dyDescent="0.3">
      <c r="A1527" t="s">
        <v>2560</v>
      </c>
      <c r="B1527" t="s">
        <v>66</v>
      </c>
      <c r="C1527" t="s">
        <v>61</v>
      </c>
      <c r="D1527" t="s">
        <v>73</v>
      </c>
      <c r="E1527" t="s">
        <v>19</v>
      </c>
      <c r="F1527" t="s">
        <v>46</v>
      </c>
      <c r="G1527" s="1">
        <v>45633</v>
      </c>
      <c r="H1527" t="s">
        <v>2561</v>
      </c>
      <c r="I1527">
        <v>1219674</v>
      </c>
      <c r="J1527">
        <v>203279</v>
      </c>
      <c r="K1527">
        <v>49736</v>
      </c>
      <c r="L1527">
        <v>57890</v>
      </c>
      <c r="M1527">
        <v>0.25490000000000002</v>
      </c>
      <c r="N1527">
        <v>-0.314</v>
      </c>
      <c r="O1527">
        <v>0</v>
      </c>
      <c r="P1527" t="b">
        <f t="shared" si="47"/>
        <v>0</v>
      </c>
      <c r="Q1527" t="str">
        <f t="shared" si="46"/>
        <v>Negative</v>
      </c>
    </row>
    <row r="1528" spans="1:17" x14ac:dyDescent="0.3">
      <c r="A1528" t="s">
        <v>2562</v>
      </c>
      <c r="B1528" t="s">
        <v>66</v>
      </c>
      <c r="C1528" t="s">
        <v>28</v>
      </c>
      <c r="D1528" t="s">
        <v>33</v>
      </c>
      <c r="E1528" t="s">
        <v>38</v>
      </c>
      <c r="F1528" t="s">
        <v>24</v>
      </c>
      <c r="G1528" s="1">
        <v>45643</v>
      </c>
      <c r="H1528" t="s">
        <v>2563</v>
      </c>
      <c r="I1528">
        <v>4856969</v>
      </c>
      <c r="J1528">
        <v>373613</v>
      </c>
      <c r="K1528">
        <v>19428</v>
      </c>
      <c r="L1528">
        <v>4138</v>
      </c>
      <c r="M1528">
        <v>8.1799999999999998E-2</v>
      </c>
      <c r="N1528">
        <v>-0.64200000000000002</v>
      </c>
      <c r="O1528">
        <v>1</v>
      </c>
      <c r="P1528" t="b">
        <f t="shared" si="47"/>
        <v>1</v>
      </c>
      <c r="Q1528" t="str">
        <f t="shared" si="46"/>
        <v>Negative</v>
      </c>
    </row>
    <row r="1529" spans="1:17" x14ac:dyDescent="0.3">
      <c r="A1529" t="s">
        <v>2564</v>
      </c>
      <c r="B1529" t="s">
        <v>27</v>
      </c>
      <c r="C1529" t="s">
        <v>61</v>
      </c>
      <c r="D1529" t="s">
        <v>29</v>
      </c>
      <c r="E1529" t="s">
        <v>19</v>
      </c>
      <c r="F1529" t="s">
        <v>20</v>
      </c>
      <c r="G1529" s="1">
        <v>45540</v>
      </c>
      <c r="H1529" t="s">
        <v>478</v>
      </c>
      <c r="I1529">
        <v>1152400</v>
      </c>
      <c r="J1529">
        <v>115240</v>
      </c>
      <c r="K1529">
        <v>44926</v>
      </c>
      <c r="L1529">
        <v>79370</v>
      </c>
      <c r="M1529">
        <v>0.2079</v>
      </c>
      <c r="N1529">
        <v>-0.29599999999999999</v>
      </c>
      <c r="O1529">
        <v>0</v>
      </c>
      <c r="P1529" t="b">
        <f t="shared" si="47"/>
        <v>0</v>
      </c>
      <c r="Q1529" t="str">
        <f t="shared" si="46"/>
        <v>Negative</v>
      </c>
    </row>
    <row r="1530" spans="1:17" x14ac:dyDescent="0.3">
      <c r="A1530" t="s">
        <v>2565</v>
      </c>
      <c r="B1530" t="s">
        <v>66</v>
      </c>
      <c r="C1530" t="s">
        <v>28</v>
      </c>
      <c r="D1530" t="s">
        <v>73</v>
      </c>
      <c r="E1530" t="s">
        <v>41</v>
      </c>
      <c r="F1530" t="s">
        <v>46</v>
      </c>
      <c r="G1530" s="1">
        <v>45455</v>
      </c>
      <c r="H1530" t="s">
        <v>156</v>
      </c>
      <c r="I1530">
        <v>2521764</v>
      </c>
      <c r="J1530">
        <v>210147</v>
      </c>
      <c r="K1530">
        <v>19127</v>
      </c>
      <c r="L1530">
        <v>23957</v>
      </c>
      <c r="M1530">
        <v>0.1004</v>
      </c>
      <c r="N1530">
        <v>-0.751</v>
      </c>
      <c r="O1530">
        <v>1</v>
      </c>
      <c r="P1530" t="b">
        <f t="shared" si="47"/>
        <v>1</v>
      </c>
      <c r="Q1530" t="str">
        <f t="shared" si="46"/>
        <v>Negative</v>
      </c>
    </row>
    <row r="1531" spans="1:17" x14ac:dyDescent="0.3">
      <c r="A1531" t="s">
        <v>2566</v>
      </c>
      <c r="B1531" t="s">
        <v>16</v>
      </c>
      <c r="C1531" t="s">
        <v>17</v>
      </c>
      <c r="D1531" t="s">
        <v>33</v>
      </c>
      <c r="E1531" t="s">
        <v>58</v>
      </c>
      <c r="F1531" t="s">
        <v>55</v>
      </c>
      <c r="G1531" s="1">
        <v>45369</v>
      </c>
      <c r="H1531" t="s">
        <v>82</v>
      </c>
      <c r="I1531">
        <v>11902900</v>
      </c>
      <c r="J1531">
        <v>476116</v>
      </c>
      <c r="K1531">
        <v>44779</v>
      </c>
      <c r="L1531">
        <v>68686</v>
      </c>
      <c r="M1531">
        <v>4.9500000000000002E-2</v>
      </c>
      <c r="N1531">
        <v>0.53200000000000003</v>
      </c>
      <c r="O1531">
        <v>1</v>
      </c>
      <c r="P1531" t="b">
        <f t="shared" si="47"/>
        <v>1</v>
      </c>
      <c r="Q1531" t="str">
        <f t="shared" si="46"/>
        <v>Positive</v>
      </c>
    </row>
    <row r="1532" spans="1:17" x14ac:dyDescent="0.3">
      <c r="A1532" t="s">
        <v>2567</v>
      </c>
      <c r="B1532" t="s">
        <v>32</v>
      </c>
      <c r="C1532" t="s">
        <v>28</v>
      </c>
      <c r="D1532" t="s">
        <v>73</v>
      </c>
      <c r="E1532" t="s">
        <v>51</v>
      </c>
      <c r="F1532" t="s">
        <v>24</v>
      </c>
      <c r="G1532" s="1">
        <v>45494</v>
      </c>
      <c r="H1532" t="s">
        <v>490</v>
      </c>
      <c r="I1532">
        <v>4314420</v>
      </c>
      <c r="J1532">
        <v>479380</v>
      </c>
      <c r="K1532">
        <v>48909</v>
      </c>
      <c r="L1532">
        <v>1169</v>
      </c>
      <c r="M1532">
        <v>0.1227</v>
      </c>
      <c r="N1532">
        <v>-0.96099999999999997</v>
      </c>
      <c r="O1532">
        <v>1</v>
      </c>
      <c r="P1532" t="b">
        <f t="shared" si="47"/>
        <v>1</v>
      </c>
      <c r="Q1532" t="str">
        <f t="shared" si="46"/>
        <v>Negative</v>
      </c>
    </row>
    <row r="1533" spans="1:17" x14ac:dyDescent="0.3">
      <c r="A1533" t="s">
        <v>2568</v>
      </c>
      <c r="B1533" t="s">
        <v>16</v>
      </c>
      <c r="C1533" t="s">
        <v>61</v>
      </c>
      <c r="D1533" t="s">
        <v>29</v>
      </c>
      <c r="E1533" t="s">
        <v>51</v>
      </c>
      <c r="F1533" t="s">
        <v>55</v>
      </c>
      <c r="G1533" s="1">
        <v>45475</v>
      </c>
      <c r="H1533" t="s">
        <v>2569</v>
      </c>
      <c r="I1533">
        <v>3780492</v>
      </c>
      <c r="J1533">
        <v>315041</v>
      </c>
      <c r="K1533">
        <v>35299</v>
      </c>
      <c r="L1533">
        <v>43828</v>
      </c>
      <c r="M1533">
        <v>0.1043</v>
      </c>
      <c r="N1533">
        <v>-0.14299999999999999</v>
      </c>
      <c r="O1533">
        <v>1</v>
      </c>
      <c r="P1533" t="b">
        <f t="shared" si="47"/>
        <v>1</v>
      </c>
      <c r="Q1533" t="str">
        <f t="shared" si="46"/>
        <v>Negative</v>
      </c>
    </row>
    <row r="1534" spans="1:17" x14ac:dyDescent="0.3">
      <c r="A1534" t="s">
        <v>2570</v>
      </c>
      <c r="B1534" t="s">
        <v>66</v>
      </c>
      <c r="C1534" t="s">
        <v>61</v>
      </c>
      <c r="D1534" t="s">
        <v>73</v>
      </c>
      <c r="E1534" t="s">
        <v>51</v>
      </c>
      <c r="F1534" t="s">
        <v>34</v>
      </c>
      <c r="G1534" s="1">
        <v>45621</v>
      </c>
      <c r="H1534" t="s">
        <v>2571</v>
      </c>
      <c r="I1534">
        <v>151850</v>
      </c>
      <c r="J1534">
        <v>30370</v>
      </c>
      <c r="K1534">
        <v>10391</v>
      </c>
      <c r="L1534">
        <v>64818</v>
      </c>
      <c r="M1534">
        <v>0.69530000000000003</v>
      </c>
      <c r="N1534">
        <v>-0.77600000000000002</v>
      </c>
      <c r="O1534">
        <v>0</v>
      </c>
      <c r="P1534" t="b">
        <f t="shared" si="47"/>
        <v>0</v>
      </c>
      <c r="Q1534" t="str">
        <f t="shared" si="46"/>
        <v>Negative</v>
      </c>
    </row>
    <row r="1535" spans="1:17" x14ac:dyDescent="0.3">
      <c r="A1535" t="s">
        <v>2572</v>
      </c>
      <c r="B1535" t="s">
        <v>66</v>
      </c>
      <c r="C1535" t="s">
        <v>61</v>
      </c>
      <c r="D1535" t="s">
        <v>37</v>
      </c>
      <c r="E1535" t="s">
        <v>38</v>
      </c>
      <c r="F1535" t="s">
        <v>34</v>
      </c>
      <c r="G1535" s="1">
        <v>45381</v>
      </c>
      <c r="H1535" t="s">
        <v>2573</v>
      </c>
      <c r="I1535">
        <v>569685</v>
      </c>
      <c r="J1535">
        <v>37979</v>
      </c>
      <c r="K1535">
        <v>39525</v>
      </c>
      <c r="L1535">
        <v>49598</v>
      </c>
      <c r="M1535">
        <v>0.22309999999999999</v>
      </c>
      <c r="N1535">
        <v>7.0999999999999994E-2</v>
      </c>
      <c r="O1535">
        <v>0</v>
      </c>
      <c r="P1535" t="b">
        <f t="shared" si="47"/>
        <v>0</v>
      </c>
      <c r="Q1535" t="str">
        <f t="shared" si="46"/>
        <v>Positive</v>
      </c>
    </row>
    <row r="1536" spans="1:17" x14ac:dyDescent="0.3">
      <c r="A1536" t="s">
        <v>2574</v>
      </c>
      <c r="B1536" t="s">
        <v>16</v>
      </c>
      <c r="C1536" t="s">
        <v>23</v>
      </c>
      <c r="D1536" t="s">
        <v>73</v>
      </c>
      <c r="E1536" t="s">
        <v>38</v>
      </c>
      <c r="F1536" t="s">
        <v>46</v>
      </c>
      <c r="G1536" s="1">
        <v>45395</v>
      </c>
      <c r="H1536" t="s">
        <v>2575</v>
      </c>
      <c r="I1536">
        <v>2349730</v>
      </c>
      <c r="J1536">
        <v>234973</v>
      </c>
      <c r="K1536">
        <v>15984</v>
      </c>
      <c r="L1536">
        <v>77066</v>
      </c>
      <c r="M1536">
        <v>0.1396</v>
      </c>
      <c r="N1536">
        <v>0.81799999999999995</v>
      </c>
      <c r="O1536">
        <v>1</v>
      </c>
      <c r="P1536" t="b">
        <f t="shared" si="47"/>
        <v>1</v>
      </c>
      <c r="Q1536" t="str">
        <f t="shared" si="46"/>
        <v>Positive</v>
      </c>
    </row>
    <row r="1537" spans="1:17" x14ac:dyDescent="0.3">
      <c r="A1537" t="s">
        <v>2576</v>
      </c>
      <c r="B1537" t="s">
        <v>16</v>
      </c>
      <c r="C1537" t="s">
        <v>28</v>
      </c>
      <c r="D1537" t="s">
        <v>73</v>
      </c>
      <c r="E1537" t="s">
        <v>19</v>
      </c>
      <c r="F1537" t="s">
        <v>34</v>
      </c>
      <c r="G1537" s="1">
        <v>45489</v>
      </c>
      <c r="H1537" t="s">
        <v>837</v>
      </c>
      <c r="I1537">
        <v>3613850</v>
      </c>
      <c r="J1537">
        <v>144554</v>
      </c>
      <c r="K1537">
        <v>4030</v>
      </c>
      <c r="L1537">
        <v>43227</v>
      </c>
      <c r="M1537">
        <v>5.3100000000000001E-2</v>
      </c>
      <c r="N1537">
        <v>0.89100000000000001</v>
      </c>
      <c r="O1537">
        <v>1</v>
      </c>
      <c r="P1537" t="b">
        <f t="shared" si="47"/>
        <v>1</v>
      </c>
      <c r="Q1537" t="str">
        <f t="shared" si="46"/>
        <v>Positive</v>
      </c>
    </row>
    <row r="1538" spans="1:17" x14ac:dyDescent="0.3">
      <c r="A1538" t="s">
        <v>2577</v>
      </c>
      <c r="B1538" t="s">
        <v>66</v>
      </c>
      <c r="C1538" t="s">
        <v>17</v>
      </c>
      <c r="D1538" t="s">
        <v>37</v>
      </c>
      <c r="E1538" t="s">
        <v>38</v>
      </c>
      <c r="F1538" t="s">
        <v>55</v>
      </c>
      <c r="G1538" s="1">
        <v>45520</v>
      </c>
      <c r="H1538" t="s">
        <v>340</v>
      </c>
      <c r="I1538">
        <v>11112648</v>
      </c>
      <c r="J1538">
        <v>463027</v>
      </c>
      <c r="K1538">
        <v>30524</v>
      </c>
      <c r="L1538">
        <v>74711</v>
      </c>
      <c r="M1538">
        <v>5.11E-2</v>
      </c>
      <c r="N1538">
        <v>-9.4E-2</v>
      </c>
      <c r="O1538">
        <v>1</v>
      </c>
      <c r="P1538" t="b">
        <f t="shared" si="47"/>
        <v>1</v>
      </c>
      <c r="Q1538" t="str">
        <f t="shared" ref="Q1538:Q1601" si="48">IF(N1538&gt;0,"Positive","Negative")</f>
        <v>Negative</v>
      </c>
    </row>
    <row r="1539" spans="1:17" x14ac:dyDescent="0.3">
      <c r="A1539" t="s">
        <v>2578</v>
      </c>
      <c r="B1539" t="s">
        <v>27</v>
      </c>
      <c r="C1539" t="s">
        <v>61</v>
      </c>
      <c r="D1539" t="s">
        <v>29</v>
      </c>
      <c r="E1539" t="s">
        <v>51</v>
      </c>
      <c r="F1539" t="s">
        <v>24</v>
      </c>
      <c r="G1539" s="1">
        <v>45340</v>
      </c>
      <c r="H1539" t="s">
        <v>1320</v>
      </c>
      <c r="I1539">
        <v>839025</v>
      </c>
      <c r="J1539">
        <v>33561</v>
      </c>
      <c r="K1539">
        <v>41120</v>
      </c>
      <c r="L1539">
        <v>96888</v>
      </c>
      <c r="M1539">
        <v>0.20449999999999999</v>
      </c>
      <c r="N1539">
        <v>0.16</v>
      </c>
      <c r="O1539">
        <v>0</v>
      </c>
      <c r="P1539" t="b">
        <f t="shared" ref="P1539:P1602" si="49">IF(O1539=1,TRUE,FALSE)</f>
        <v>0</v>
      </c>
      <c r="Q1539" t="str">
        <f t="shared" si="48"/>
        <v>Positive</v>
      </c>
    </row>
    <row r="1540" spans="1:17" x14ac:dyDescent="0.3">
      <c r="A1540" t="s">
        <v>2579</v>
      </c>
      <c r="B1540" t="s">
        <v>66</v>
      </c>
      <c r="C1540" t="s">
        <v>23</v>
      </c>
      <c r="D1540" t="s">
        <v>33</v>
      </c>
      <c r="E1540" t="s">
        <v>41</v>
      </c>
      <c r="F1540" t="s">
        <v>24</v>
      </c>
      <c r="G1540" s="1">
        <v>45418</v>
      </c>
      <c r="H1540" t="s">
        <v>1050</v>
      </c>
      <c r="I1540">
        <v>7861423</v>
      </c>
      <c r="J1540">
        <v>341801</v>
      </c>
      <c r="K1540">
        <v>46141</v>
      </c>
      <c r="L1540">
        <v>71261</v>
      </c>
      <c r="M1540">
        <v>5.8400000000000001E-2</v>
      </c>
      <c r="N1540">
        <v>-0.19</v>
      </c>
      <c r="O1540">
        <v>1</v>
      </c>
      <c r="P1540" t="b">
        <f t="shared" si="49"/>
        <v>1</v>
      </c>
      <c r="Q1540" t="str">
        <f t="shared" si="48"/>
        <v>Negative</v>
      </c>
    </row>
    <row r="1541" spans="1:17" x14ac:dyDescent="0.3">
      <c r="A1541" t="s">
        <v>2580</v>
      </c>
      <c r="B1541" t="s">
        <v>32</v>
      </c>
      <c r="C1541" t="s">
        <v>61</v>
      </c>
      <c r="D1541" t="s">
        <v>18</v>
      </c>
      <c r="E1541" t="s">
        <v>51</v>
      </c>
      <c r="F1541" t="s">
        <v>34</v>
      </c>
      <c r="G1541" s="1">
        <v>45635</v>
      </c>
      <c r="H1541" t="s">
        <v>2581</v>
      </c>
      <c r="I1541">
        <v>821240</v>
      </c>
      <c r="J1541">
        <v>58660</v>
      </c>
      <c r="K1541">
        <v>47345</v>
      </c>
      <c r="L1541">
        <v>17795</v>
      </c>
      <c r="M1541">
        <v>0.1507</v>
      </c>
      <c r="N1541">
        <v>0.157</v>
      </c>
      <c r="O1541">
        <v>0</v>
      </c>
      <c r="P1541" t="b">
        <f t="shared" si="49"/>
        <v>0</v>
      </c>
      <c r="Q1541" t="str">
        <f t="shared" si="48"/>
        <v>Positive</v>
      </c>
    </row>
    <row r="1542" spans="1:17" x14ac:dyDescent="0.3">
      <c r="A1542" t="s">
        <v>2582</v>
      </c>
      <c r="B1542" t="s">
        <v>32</v>
      </c>
      <c r="C1542" t="s">
        <v>28</v>
      </c>
      <c r="D1542" t="s">
        <v>18</v>
      </c>
      <c r="E1542" t="s">
        <v>41</v>
      </c>
      <c r="F1542" t="s">
        <v>24</v>
      </c>
      <c r="G1542" s="1">
        <v>45473</v>
      </c>
      <c r="H1542" t="s">
        <v>201</v>
      </c>
      <c r="I1542">
        <v>6557596</v>
      </c>
      <c r="J1542">
        <v>226124</v>
      </c>
      <c r="K1542">
        <v>49708</v>
      </c>
      <c r="L1542">
        <v>44355</v>
      </c>
      <c r="M1542">
        <v>4.8800000000000003E-2</v>
      </c>
      <c r="N1542">
        <v>-0.121</v>
      </c>
      <c r="O1542">
        <v>1</v>
      </c>
      <c r="P1542" t="b">
        <f t="shared" si="49"/>
        <v>1</v>
      </c>
      <c r="Q1542" t="str">
        <f t="shared" si="48"/>
        <v>Negative</v>
      </c>
    </row>
    <row r="1543" spans="1:17" x14ac:dyDescent="0.3">
      <c r="A1543" t="s">
        <v>2583</v>
      </c>
      <c r="B1543" t="s">
        <v>16</v>
      </c>
      <c r="C1543" t="s">
        <v>61</v>
      </c>
      <c r="D1543" t="s">
        <v>37</v>
      </c>
      <c r="E1543" t="s">
        <v>38</v>
      </c>
      <c r="F1543" t="s">
        <v>34</v>
      </c>
      <c r="G1543" s="1">
        <v>45413</v>
      </c>
      <c r="H1543" t="s">
        <v>2584</v>
      </c>
      <c r="I1543">
        <v>5784720</v>
      </c>
      <c r="J1543">
        <v>361545</v>
      </c>
      <c r="K1543">
        <v>14395</v>
      </c>
      <c r="L1543">
        <v>87476</v>
      </c>
      <c r="M1543">
        <v>8.0100000000000005E-2</v>
      </c>
      <c r="N1543">
        <v>-0.82599999999999996</v>
      </c>
      <c r="O1543">
        <v>1</v>
      </c>
      <c r="P1543" t="b">
        <f t="shared" si="49"/>
        <v>1</v>
      </c>
      <c r="Q1543" t="str">
        <f t="shared" si="48"/>
        <v>Negative</v>
      </c>
    </row>
    <row r="1544" spans="1:17" x14ac:dyDescent="0.3">
      <c r="A1544" t="s">
        <v>2585</v>
      </c>
      <c r="B1544" t="s">
        <v>27</v>
      </c>
      <c r="C1544" t="s">
        <v>61</v>
      </c>
      <c r="D1544" t="s">
        <v>29</v>
      </c>
      <c r="E1544" t="s">
        <v>38</v>
      </c>
      <c r="F1544" t="s">
        <v>24</v>
      </c>
      <c r="G1544" s="1">
        <v>45402</v>
      </c>
      <c r="H1544" t="s">
        <v>265</v>
      </c>
      <c r="I1544">
        <v>6781401</v>
      </c>
      <c r="J1544">
        <v>251163</v>
      </c>
      <c r="K1544">
        <v>24507</v>
      </c>
      <c r="L1544">
        <v>95600</v>
      </c>
      <c r="M1544">
        <v>5.4699999999999999E-2</v>
      </c>
      <c r="N1544">
        <v>-0.214</v>
      </c>
      <c r="O1544">
        <v>1</v>
      </c>
      <c r="P1544" t="b">
        <f t="shared" si="49"/>
        <v>1</v>
      </c>
      <c r="Q1544" t="str">
        <f t="shared" si="48"/>
        <v>Negative</v>
      </c>
    </row>
    <row r="1545" spans="1:17" x14ac:dyDescent="0.3">
      <c r="A1545" t="s">
        <v>2586</v>
      </c>
      <c r="B1545" t="s">
        <v>32</v>
      </c>
      <c r="C1545" t="s">
        <v>61</v>
      </c>
      <c r="D1545" t="s">
        <v>73</v>
      </c>
      <c r="E1545" t="s">
        <v>38</v>
      </c>
      <c r="F1545" t="s">
        <v>55</v>
      </c>
      <c r="G1545" s="1">
        <v>45398</v>
      </c>
      <c r="H1545" t="s">
        <v>360</v>
      </c>
      <c r="I1545">
        <v>2455544</v>
      </c>
      <c r="J1545">
        <v>188888</v>
      </c>
      <c r="K1545">
        <v>31697</v>
      </c>
      <c r="L1545">
        <v>81495</v>
      </c>
      <c r="M1545">
        <v>0.123</v>
      </c>
      <c r="N1545">
        <v>-0.98799999999999999</v>
      </c>
      <c r="O1545">
        <v>1</v>
      </c>
      <c r="P1545" t="b">
        <f t="shared" si="49"/>
        <v>1</v>
      </c>
      <c r="Q1545" t="str">
        <f t="shared" si="48"/>
        <v>Negative</v>
      </c>
    </row>
    <row r="1546" spans="1:17" x14ac:dyDescent="0.3">
      <c r="A1546" t="s">
        <v>2587</v>
      </c>
      <c r="B1546" t="s">
        <v>27</v>
      </c>
      <c r="C1546" t="s">
        <v>17</v>
      </c>
      <c r="D1546" t="s">
        <v>37</v>
      </c>
      <c r="E1546" t="s">
        <v>58</v>
      </c>
      <c r="F1546" t="s">
        <v>24</v>
      </c>
      <c r="G1546" s="1">
        <v>45475</v>
      </c>
      <c r="H1546" t="s">
        <v>2588</v>
      </c>
      <c r="I1546">
        <v>1760780</v>
      </c>
      <c r="J1546">
        <v>62885</v>
      </c>
      <c r="K1546">
        <v>10519</v>
      </c>
      <c r="L1546">
        <v>22739</v>
      </c>
      <c r="M1546">
        <v>5.4600000000000003E-2</v>
      </c>
      <c r="N1546">
        <v>-0.81699999999999995</v>
      </c>
      <c r="O1546">
        <v>0</v>
      </c>
      <c r="P1546" t="b">
        <f t="shared" si="49"/>
        <v>0</v>
      </c>
      <c r="Q1546" t="str">
        <f t="shared" si="48"/>
        <v>Negative</v>
      </c>
    </row>
    <row r="1547" spans="1:17" x14ac:dyDescent="0.3">
      <c r="A1547" t="s">
        <v>2589</v>
      </c>
      <c r="B1547" t="s">
        <v>27</v>
      </c>
      <c r="C1547" t="s">
        <v>61</v>
      </c>
      <c r="D1547" t="s">
        <v>73</v>
      </c>
      <c r="E1547" t="s">
        <v>58</v>
      </c>
      <c r="F1547" t="s">
        <v>24</v>
      </c>
      <c r="G1547" s="1">
        <v>45467</v>
      </c>
      <c r="H1547" t="s">
        <v>2590</v>
      </c>
      <c r="I1547">
        <v>7293744</v>
      </c>
      <c r="J1547">
        <v>303906</v>
      </c>
      <c r="K1547">
        <v>30766</v>
      </c>
      <c r="L1547">
        <v>82235</v>
      </c>
      <c r="M1547">
        <v>5.7200000000000001E-2</v>
      </c>
      <c r="N1547">
        <v>0.57599999999999996</v>
      </c>
      <c r="O1547">
        <v>1</v>
      </c>
      <c r="P1547" t="b">
        <f t="shared" si="49"/>
        <v>1</v>
      </c>
      <c r="Q1547" t="str">
        <f t="shared" si="48"/>
        <v>Positive</v>
      </c>
    </row>
    <row r="1548" spans="1:17" x14ac:dyDescent="0.3">
      <c r="A1548" t="s">
        <v>2591</v>
      </c>
      <c r="B1548" t="s">
        <v>32</v>
      </c>
      <c r="C1548" t="s">
        <v>61</v>
      </c>
      <c r="D1548" t="s">
        <v>37</v>
      </c>
      <c r="E1548" t="s">
        <v>51</v>
      </c>
      <c r="F1548" t="s">
        <v>55</v>
      </c>
      <c r="G1548" s="1">
        <v>45390</v>
      </c>
      <c r="H1548" t="s">
        <v>2592</v>
      </c>
      <c r="I1548">
        <v>3967984</v>
      </c>
      <c r="J1548">
        <v>495998</v>
      </c>
      <c r="K1548">
        <v>11187</v>
      </c>
      <c r="L1548">
        <v>90370</v>
      </c>
      <c r="M1548">
        <v>0.15060000000000001</v>
      </c>
      <c r="N1548">
        <v>0.497</v>
      </c>
      <c r="O1548">
        <v>1</v>
      </c>
      <c r="P1548" t="b">
        <f t="shared" si="49"/>
        <v>1</v>
      </c>
      <c r="Q1548" t="str">
        <f t="shared" si="48"/>
        <v>Positive</v>
      </c>
    </row>
    <row r="1549" spans="1:17" x14ac:dyDescent="0.3">
      <c r="A1549" t="s">
        <v>2593</v>
      </c>
      <c r="B1549" t="s">
        <v>16</v>
      </c>
      <c r="C1549" t="s">
        <v>17</v>
      </c>
      <c r="D1549" t="s">
        <v>33</v>
      </c>
      <c r="E1549" t="s">
        <v>38</v>
      </c>
      <c r="F1549" t="s">
        <v>20</v>
      </c>
      <c r="G1549" s="1">
        <v>45598</v>
      </c>
      <c r="H1549" t="s">
        <v>82</v>
      </c>
      <c r="I1549">
        <v>823056</v>
      </c>
      <c r="J1549">
        <v>31656</v>
      </c>
      <c r="K1549">
        <v>21974</v>
      </c>
      <c r="L1549">
        <v>21877</v>
      </c>
      <c r="M1549">
        <v>9.1700000000000004E-2</v>
      </c>
      <c r="N1549">
        <v>7.5999999999999998E-2</v>
      </c>
      <c r="O1549">
        <v>0</v>
      </c>
      <c r="P1549" t="b">
        <f t="shared" si="49"/>
        <v>0</v>
      </c>
      <c r="Q1549" t="str">
        <f t="shared" si="48"/>
        <v>Positive</v>
      </c>
    </row>
    <row r="1550" spans="1:17" x14ac:dyDescent="0.3">
      <c r="A1550" t="s">
        <v>2594</v>
      </c>
      <c r="B1550" t="s">
        <v>66</v>
      </c>
      <c r="C1550" t="s">
        <v>17</v>
      </c>
      <c r="D1550" t="s">
        <v>73</v>
      </c>
      <c r="E1550" t="s">
        <v>58</v>
      </c>
      <c r="F1550" t="s">
        <v>34</v>
      </c>
      <c r="G1550" s="1">
        <v>45363</v>
      </c>
      <c r="H1550" t="s">
        <v>30</v>
      </c>
      <c r="I1550">
        <v>1619024</v>
      </c>
      <c r="J1550">
        <v>202378</v>
      </c>
      <c r="K1550">
        <v>24104</v>
      </c>
      <c r="L1550">
        <v>12717</v>
      </c>
      <c r="M1550">
        <v>0.1477</v>
      </c>
      <c r="N1550">
        <v>0.95499999999999996</v>
      </c>
      <c r="O1550">
        <v>0</v>
      </c>
      <c r="P1550" t="b">
        <f t="shared" si="49"/>
        <v>0</v>
      </c>
      <c r="Q1550" t="str">
        <f t="shared" si="48"/>
        <v>Positive</v>
      </c>
    </row>
    <row r="1551" spans="1:17" x14ac:dyDescent="0.3">
      <c r="A1551" t="s">
        <v>2595</v>
      </c>
      <c r="B1551" t="s">
        <v>32</v>
      </c>
      <c r="C1551" t="s">
        <v>17</v>
      </c>
      <c r="D1551" t="s">
        <v>18</v>
      </c>
      <c r="E1551" t="s">
        <v>19</v>
      </c>
      <c r="F1551" t="s">
        <v>20</v>
      </c>
      <c r="G1551" s="1">
        <v>45389</v>
      </c>
      <c r="H1551" t="s">
        <v>607</v>
      </c>
      <c r="I1551">
        <v>1571136</v>
      </c>
      <c r="J1551">
        <v>196392</v>
      </c>
      <c r="K1551">
        <v>7842</v>
      </c>
      <c r="L1551">
        <v>49356</v>
      </c>
      <c r="M1551">
        <v>0.16139999999999999</v>
      </c>
      <c r="N1551">
        <v>0.20599999999999999</v>
      </c>
      <c r="O1551">
        <v>0</v>
      </c>
      <c r="P1551" t="b">
        <f t="shared" si="49"/>
        <v>0</v>
      </c>
      <c r="Q1551" t="str">
        <f t="shared" si="48"/>
        <v>Positive</v>
      </c>
    </row>
    <row r="1552" spans="1:17" x14ac:dyDescent="0.3">
      <c r="A1552" t="s">
        <v>2596</v>
      </c>
      <c r="B1552" t="s">
        <v>27</v>
      </c>
      <c r="C1552" t="s">
        <v>61</v>
      </c>
      <c r="D1552" t="s">
        <v>18</v>
      </c>
      <c r="E1552" t="s">
        <v>51</v>
      </c>
      <c r="F1552" t="s">
        <v>34</v>
      </c>
      <c r="G1552" s="1">
        <v>45590</v>
      </c>
      <c r="H1552" t="s">
        <v>1072</v>
      </c>
      <c r="I1552">
        <v>8336328</v>
      </c>
      <c r="J1552">
        <v>378924</v>
      </c>
      <c r="K1552">
        <v>41271</v>
      </c>
      <c r="L1552">
        <v>51013</v>
      </c>
      <c r="M1552">
        <v>5.6500000000000002E-2</v>
      </c>
      <c r="N1552">
        <v>-0.81899999999999995</v>
      </c>
      <c r="O1552">
        <v>1</v>
      </c>
      <c r="P1552" t="b">
        <f t="shared" si="49"/>
        <v>1</v>
      </c>
      <c r="Q1552" t="str">
        <f t="shared" si="48"/>
        <v>Negative</v>
      </c>
    </row>
    <row r="1553" spans="1:17" x14ac:dyDescent="0.3">
      <c r="A1553" t="s">
        <v>2597</v>
      </c>
      <c r="B1553" t="s">
        <v>66</v>
      </c>
      <c r="C1553" t="s">
        <v>23</v>
      </c>
      <c r="D1553" t="s">
        <v>29</v>
      </c>
      <c r="E1553" t="s">
        <v>41</v>
      </c>
      <c r="F1553" t="s">
        <v>20</v>
      </c>
      <c r="G1553" s="1">
        <v>45398</v>
      </c>
      <c r="H1553" t="s">
        <v>2011</v>
      </c>
      <c r="I1553">
        <v>4151784</v>
      </c>
      <c r="J1553">
        <v>148278</v>
      </c>
      <c r="K1553">
        <v>46294</v>
      </c>
      <c r="L1553">
        <v>8721</v>
      </c>
      <c r="M1553">
        <v>4.9000000000000002E-2</v>
      </c>
      <c r="N1553">
        <v>0.63400000000000001</v>
      </c>
      <c r="O1553">
        <v>1</v>
      </c>
      <c r="P1553" t="b">
        <f t="shared" si="49"/>
        <v>1</v>
      </c>
      <c r="Q1553" t="str">
        <f t="shared" si="48"/>
        <v>Positive</v>
      </c>
    </row>
    <row r="1554" spans="1:17" x14ac:dyDescent="0.3">
      <c r="A1554" t="s">
        <v>2598</v>
      </c>
      <c r="B1554" t="s">
        <v>32</v>
      </c>
      <c r="C1554" t="s">
        <v>23</v>
      </c>
      <c r="D1554" t="s">
        <v>37</v>
      </c>
      <c r="E1554" t="s">
        <v>41</v>
      </c>
      <c r="F1554" t="s">
        <v>20</v>
      </c>
      <c r="G1554" s="1">
        <v>45446</v>
      </c>
      <c r="H1554" t="s">
        <v>2599</v>
      </c>
      <c r="I1554">
        <v>9132046</v>
      </c>
      <c r="J1554">
        <v>480634</v>
      </c>
      <c r="K1554">
        <v>41173</v>
      </c>
      <c r="L1554">
        <v>21121</v>
      </c>
      <c r="M1554">
        <v>5.9499999999999997E-2</v>
      </c>
      <c r="N1554">
        <v>-0.94199999999999995</v>
      </c>
      <c r="O1554">
        <v>1</v>
      </c>
      <c r="P1554" t="b">
        <f t="shared" si="49"/>
        <v>1</v>
      </c>
      <c r="Q1554" t="str">
        <f t="shared" si="48"/>
        <v>Negative</v>
      </c>
    </row>
    <row r="1555" spans="1:17" x14ac:dyDescent="0.3">
      <c r="A1555" t="s">
        <v>2600</v>
      </c>
      <c r="B1555" t="s">
        <v>27</v>
      </c>
      <c r="C1555" t="s">
        <v>28</v>
      </c>
      <c r="D1555" t="s">
        <v>29</v>
      </c>
      <c r="E1555" t="s">
        <v>58</v>
      </c>
      <c r="F1555" t="s">
        <v>20</v>
      </c>
      <c r="G1555" s="1">
        <v>45463</v>
      </c>
      <c r="H1555" t="s">
        <v>42</v>
      </c>
      <c r="I1555">
        <v>2619344</v>
      </c>
      <c r="J1555">
        <v>93548</v>
      </c>
      <c r="K1555">
        <v>47379</v>
      </c>
      <c r="L1555">
        <v>42908</v>
      </c>
      <c r="M1555">
        <v>7.0199999999999999E-2</v>
      </c>
      <c r="N1555">
        <v>-0.32800000000000001</v>
      </c>
      <c r="O1555">
        <v>1</v>
      </c>
      <c r="P1555" t="b">
        <f t="shared" si="49"/>
        <v>1</v>
      </c>
      <c r="Q1555" t="str">
        <f t="shared" si="48"/>
        <v>Negative</v>
      </c>
    </row>
    <row r="1556" spans="1:17" x14ac:dyDescent="0.3">
      <c r="A1556" t="s">
        <v>2601</v>
      </c>
      <c r="B1556" t="s">
        <v>66</v>
      </c>
      <c r="C1556" t="s">
        <v>17</v>
      </c>
      <c r="D1556" t="s">
        <v>37</v>
      </c>
      <c r="E1556" t="s">
        <v>41</v>
      </c>
      <c r="F1556" t="s">
        <v>24</v>
      </c>
      <c r="G1556" s="1">
        <v>45433</v>
      </c>
      <c r="H1556" t="s">
        <v>2602</v>
      </c>
      <c r="I1556">
        <v>6548094</v>
      </c>
      <c r="J1556">
        <v>311814</v>
      </c>
      <c r="K1556">
        <v>36165</v>
      </c>
      <c r="L1556">
        <v>19157</v>
      </c>
      <c r="M1556">
        <v>5.6099999999999997E-2</v>
      </c>
      <c r="N1556">
        <v>0.501</v>
      </c>
      <c r="O1556">
        <v>1</v>
      </c>
      <c r="P1556" t="b">
        <f t="shared" si="49"/>
        <v>1</v>
      </c>
      <c r="Q1556" t="str">
        <f t="shared" si="48"/>
        <v>Positive</v>
      </c>
    </row>
    <row r="1557" spans="1:17" x14ac:dyDescent="0.3">
      <c r="A1557" t="s">
        <v>2603</v>
      </c>
      <c r="B1557" t="s">
        <v>16</v>
      </c>
      <c r="C1557" t="s">
        <v>23</v>
      </c>
      <c r="D1557" t="s">
        <v>73</v>
      </c>
      <c r="E1557" t="s">
        <v>19</v>
      </c>
      <c r="F1557" t="s">
        <v>55</v>
      </c>
      <c r="G1557" s="1">
        <v>45351</v>
      </c>
      <c r="H1557" t="s">
        <v>2604</v>
      </c>
      <c r="I1557">
        <v>1640111</v>
      </c>
      <c r="J1557">
        <v>149101</v>
      </c>
      <c r="K1557">
        <v>1075</v>
      </c>
      <c r="L1557">
        <v>88443</v>
      </c>
      <c r="M1557">
        <v>0.14549999999999999</v>
      </c>
      <c r="N1557">
        <v>2.1999999999999999E-2</v>
      </c>
      <c r="O1557">
        <v>0</v>
      </c>
      <c r="P1557" t="b">
        <f t="shared" si="49"/>
        <v>0</v>
      </c>
      <c r="Q1557" t="str">
        <f t="shared" si="48"/>
        <v>Positive</v>
      </c>
    </row>
    <row r="1558" spans="1:17" x14ac:dyDescent="0.3">
      <c r="A1558" t="s">
        <v>2605</v>
      </c>
      <c r="B1558" t="s">
        <v>27</v>
      </c>
      <c r="C1558" t="s">
        <v>23</v>
      </c>
      <c r="D1558" t="s">
        <v>54</v>
      </c>
      <c r="E1558" t="s">
        <v>41</v>
      </c>
      <c r="F1558" t="s">
        <v>46</v>
      </c>
      <c r="G1558" s="1">
        <v>45639</v>
      </c>
      <c r="H1558" t="s">
        <v>785</v>
      </c>
      <c r="I1558">
        <v>7867662</v>
      </c>
      <c r="J1558">
        <v>357621</v>
      </c>
      <c r="K1558">
        <v>42868</v>
      </c>
      <c r="L1558">
        <v>81838</v>
      </c>
      <c r="M1558">
        <v>6.13E-2</v>
      </c>
      <c r="N1558">
        <v>0.309</v>
      </c>
      <c r="O1558">
        <v>1</v>
      </c>
      <c r="P1558" t="b">
        <f t="shared" si="49"/>
        <v>1</v>
      </c>
      <c r="Q1558" t="str">
        <f t="shared" si="48"/>
        <v>Positive</v>
      </c>
    </row>
    <row r="1559" spans="1:17" x14ac:dyDescent="0.3">
      <c r="A1559" t="s">
        <v>2606</v>
      </c>
      <c r="B1559" t="s">
        <v>16</v>
      </c>
      <c r="C1559" t="s">
        <v>23</v>
      </c>
      <c r="D1559" t="s">
        <v>37</v>
      </c>
      <c r="E1559" t="s">
        <v>41</v>
      </c>
      <c r="F1559" t="s">
        <v>20</v>
      </c>
      <c r="G1559" s="1">
        <v>45517</v>
      </c>
      <c r="H1559" t="s">
        <v>2607</v>
      </c>
      <c r="I1559">
        <v>5734720</v>
      </c>
      <c r="J1559">
        <v>358420</v>
      </c>
      <c r="K1559">
        <v>33761</v>
      </c>
      <c r="L1559">
        <v>29778</v>
      </c>
      <c r="M1559">
        <v>7.3599999999999999E-2</v>
      </c>
      <c r="N1559">
        <v>-0.1</v>
      </c>
      <c r="O1559">
        <v>1</v>
      </c>
      <c r="P1559" t="b">
        <f t="shared" si="49"/>
        <v>1</v>
      </c>
      <c r="Q1559" t="str">
        <f t="shared" si="48"/>
        <v>Negative</v>
      </c>
    </row>
    <row r="1560" spans="1:17" x14ac:dyDescent="0.3">
      <c r="A1560" t="s">
        <v>2608</v>
      </c>
      <c r="B1560" t="s">
        <v>16</v>
      </c>
      <c r="C1560" t="s">
        <v>23</v>
      </c>
      <c r="D1560" t="s">
        <v>37</v>
      </c>
      <c r="E1560" t="s">
        <v>58</v>
      </c>
      <c r="F1560" t="s">
        <v>34</v>
      </c>
      <c r="G1560" s="1">
        <v>45596</v>
      </c>
      <c r="H1560" t="s">
        <v>2609</v>
      </c>
      <c r="I1560">
        <v>1585680</v>
      </c>
      <c r="J1560">
        <v>198210</v>
      </c>
      <c r="K1560">
        <v>21670</v>
      </c>
      <c r="L1560">
        <v>16199</v>
      </c>
      <c r="M1560">
        <v>0.1489</v>
      </c>
      <c r="N1560">
        <v>-0.81499999999999995</v>
      </c>
      <c r="O1560">
        <v>0</v>
      </c>
      <c r="P1560" t="b">
        <f t="shared" si="49"/>
        <v>0</v>
      </c>
      <c r="Q1560" t="str">
        <f t="shared" si="48"/>
        <v>Negative</v>
      </c>
    </row>
    <row r="1561" spans="1:17" x14ac:dyDescent="0.3">
      <c r="A1561" t="s">
        <v>2610</v>
      </c>
      <c r="B1561" t="s">
        <v>27</v>
      </c>
      <c r="C1561" t="s">
        <v>28</v>
      </c>
      <c r="D1561" t="s">
        <v>18</v>
      </c>
      <c r="E1561" t="s">
        <v>41</v>
      </c>
      <c r="F1561" t="s">
        <v>55</v>
      </c>
      <c r="G1561" s="1">
        <v>45586</v>
      </c>
      <c r="H1561" t="s">
        <v>669</v>
      </c>
      <c r="I1561">
        <v>813813</v>
      </c>
      <c r="J1561">
        <v>62601</v>
      </c>
      <c r="K1561">
        <v>14271</v>
      </c>
      <c r="L1561">
        <v>39423</v>
      </c>
      <c r="M1561">
        <v>0.1429</v>
      </c>
      <c r="N1561">
        <v>0.73399999999999999</v>
      </c>
      <c r="O1561">
        <v>0</v>
      </c>
      <c r="P1561" t="b">
        <f t="shared" si="49"/>
        <v>0</v>
      </c>
      <c r="Q1561" t="str">
        <f t="shared" si="48"/>
        <v>Positive</v>
      </c>
    </row>
    <row r="1562" spans="1:17" x14ac:dyDescent="0.3">
      <c r="A1562" t="s">
        <v>2611</v>
      </c>
      <c r="B1562" t="s">
        <v>16</v>
      </c>
      <c r="C1562" t="s">
        <v>61</v>
      </c>
      <c r="D1562" t="s">
        <v>73</v>
      </c>
      <c r="E1562" t="s">
        <v>41</v>
      </c>
      <c r="F1562" t="s">
        <v>20</v>
      </c>
      <c r="G1562" s="1">
        <v>45617</v>
      </c>
      <c r="H1562" t="s">
        <v>2612</v>
      </c>
      <c r="I1562">
        <v>2971703</v>
      </c>
      <c r="J1562">
        <v>424529</v>
      </c>
      <c r="K1562">
        <v>7372</v>
      </c>
      <c r="L1562">
        <v>79027</v>
      </c>
      <c r="M1562">
        <v>0.1719</v>
      </c>
      <c r="N1562">
        <v>0.10100000000000001</v>
      </c>
      <c r="O1562">
        <v>1</v>
      </c>
      <c r="P1562" t="b">
        <f t="shared" si="49"/>
        <v>1</v>
      </c>
      <c r="Q1562" t="str">
        <f t="shared" si="48"/>
        <v>Positive</v>
      </c>
    </row>
    <row r="1563" spans="1:17" x14ac:dyDescent="0.3">
      <c r="A1563" t="s">
        <v>2613</v>
      </c>
      <c r="B1563" t="s">
        <v>32</v>
      </c>
      <c r="C1563" t="s">
        <v>23</v>
      </c>
      <c r="D1563" t="s">
        <v>18</v>
      </c>
      <c r="E1563" t="s">
        <v>58</v>
      </c>
      <c r="F1563" t="s">
        <v>24</v>
      </c>
      <c r="G1563" s="1">
        <v>45457</v>
      </c>
      <c r="H1563" t="s">
        <v>354</v>
      </c>
      <c r="I1563">
        <v>4066968</v>
      </c>
      <c r="J1563">
        <v>169457</v>
      </c>
      <c r="K1563">
        <v>9224</v>
      </c>
      <c r="L1563">
        <v>71847</v>
      </c>
      <c r="M1563">
        <v>6.1600000000000002E-2</v>
      </c>
      <c r="N1563">
        <v>-0.35399999999999998</v>
      </c>
      <c r="O1563">
        <v>1</v>
      </c>
      <c r="P1563" t="b">
        <f t="shared" si="49"/>
        <v>1</v>
      </c>
      <c r="Q1563" t="str">
        <f t="shared" si="48"/>
        <v>Negative</v>
      </c>
    </row>
    <row r="1564" spans="1:17" x14ac:dyDescent="0.3">
      <c r="A1564" t="s">
        <v>2614</v>
      </c>
      <c r="B1564" t="s">
        <v>66</v>
      </c>
      <c r="C1564" t="s">
        <v>23</v>
      </c>
      <c r="D1564" t="s">
        <v>73</v>
      </c>
      <c r="E1564" t="s">
        <v>19</v>
      </c>
      <c r="F1564" t="s">
        <v>24</v>
      </c>
      <c r="G1564" s="1">
        <v>45556</v>
      </c>
      <c r="H1564" t="s">
        <v>392</v>
      </c>
      <c r="I1564">
        <v>7437294</v>
      </c>
      <c r="J1564">
        <v>413183</v>
      </c>
      <c r="K1564">
        <v>18630</v>
      </c>
      <c r="L1564">
        <v>6379</v>
      </c>
      <c r="M1564">
        <v>5.8900000000000001E-2</v>
      </c>
      <c r="N1564">
        <v>0.376</v>
      </c>
      <c r="O1564">
        <v>1</v>
      </c>
      <c r="P1564" t="b">
        <f t="shared" si="49"/>
        <v>1</v>
      </c>
      <c r="Q1564" t="str">
        <f t="shared" si="48"/>
        <v>Positive</v>
      </c>
    </row>
    <row r="1565" spans="1:17" x14ac:dyDescent="0.3">
      <c r="A1565" t="s">
        <v>2615</v>
      </c>
      <c r="B1565" t="s">
        <v>27</v>
      </c>
      <c r="C1565" t="s">
        <v>23</v>
      </c>
      <c r="D1565" t="s">
        <v>73</v>
      </c>
      <c r="E1565" t="s">
        <v>58</v>
      </c>
      <c r="F1565" t="s">
        <v>24</v>
      </c>
      <c r="G1565" s="1">
        <v>45312</v>
      </c>
      <c r="H1565" t="s">
        <v>2616</v>
      </c>
      <c r="I1565">
        <v>1590980</v>
      </c>
      <c r="J1565">
        <v>159098</v>
      </c>
      <c r="K1565">
        <v>37684</v>
      </c>
      <c r="L1565">
        <v>98708</v>
      </c>
      <c r="M1565">
        <v>0.1857</v>
      </c>
      <c r="N1565">
        <v>-0.78700000000000003</v>
      </c>
      <c r="O1565">
        <v>0</v>
      </c>
      <c r="P1565" t="b">
        <f t="shared" si="49"/>
        <v>0</v>
      </c>
      <c r="Q1565" t="str">
        <f t="shared" si="48"/>
        <v>Negative</v>
      </c>
    </row>
    <row r="1566" spans="1:17" x14ac:dyDescent="0.3">
      <c r="A1566" t="s">
        <v>2617</v>
      </c>
      <c r="B1566" t="s">
        <v>16</v>
      </c>
      <c r="C1566" t="s">
        <v>61</v>
      </c>
      <c r="D1566" t="s">
        <v>18</v>
      </c>
      <c r="E1566" t="s">
        <v>58</v>
      </c>
      <c r="F1566" t="s">
        <v>24</v>
      </c>
      <c r="G1566" s="1">
        <v>45578</v>
      </c>
      <c r="H1566" t="s">
        <v>2618</v>
      </c>
      <c r="I1566">
        <v>2086650</v>
      </c>
      <c r="J1566">
        <v>417330</v>
      </c>
      <c r="K1566">
        <v>49244</v>
      </c>
      <c r="L1566">
        <v>96473</v>
      </c>
      <c r="M1566">
        <v>0.26979999999999998</v>
      </c>
      <c r="N1566">
        <v>0.495</v>
      </c>
      <c r="O1566">
        <v>1</v>
      </c>
      <c r="P1566" t="b">
        <f t="shared" si="49"/>
        <v>1</v>
      </c>
      <c r="Q1566" t="str">
        <f t="shared" si="48"/>
        <v>Positive</v>
      </c>
    </row>
    <row r="1567" spans="1:17" x14ac:dyDescent="0.3">
      <c r="A1567" t="s">
        <v>2619</v>
      </c>
      <c r="B1567" t="s">
        <v>32</v>
      </c>
      <c r="C1567" t="s">
        <v>23</v>
      </c>
      <c r="D1567" t="s">
        <v>54</v>
      </c>
      <c r="E1567" t="s">
        <v>38</v>
      </c>
      <c r="F1567" t="s">
        <v>34</v>
      </c>
      <c r="G1567" s="1">
        <v>45454</v>
      </c>
      <c r="H1567" t="s">
        <v>2620</v>
      </c>
      <c r="I1567">
        <v>2409426</v>
      </c>
      <c r="J1567">
        <v>267714</v>
      </c>
      <c r="K1567">
        <v>30864</v>
      </c>
      <c r="L1567">
        <v>14954</v>
      </c>
      <c r="M1567">
        <v>0.13009999999999999</v>
      </c>
      <c r="N1567">
        <v>0.42199999999999999</v>
      </c>
      <c r="O1567">
        <v>1</v>
      </c>
      <c r="P1567" t="b">
        <f t="shared" si="49"/>
        <v>1</v>
      </c>
      <c r="Q1567" t="str">
        <f t="shared" si="48"/>
        <v>Positive</v>
      </c>
    </row>
    <row r="1568" spans="1:17" x14ac:dyDescent="0.3">
      <c r="A1568" t="s">
        <v>2621</v>
      </c>
      <c r="B1568" t="s">
        <v>66</v>
      </c>
      <c r="C1568" t="s">
        <v>23</v>
      </c>
      <c r="D1568" t="s">
        <v>37</v>
      </c>
      <c r="E1568" t="s">
        <v>58</v>
      </c>
      <c r="F1568" t="s">
        <v>20</v>
      </c>
      <c r="G1568" s="1">
        <v>45625</v>
      </c>
      <c r="H1568" t="s">
        <v>104</v>
      </c>
      <c r="I1568">
        <v>5683408</v>
      </c>
      <c r="J1568">
        <v>355213</v>
      </c>
      <c r="K1568">
        <v>25962</v>
      </c>
      <c r="L1568">
        <v>6524</v>
      </c>
      <c r="M1568">
        <v>6.8199999999999997E-2</v>
      </c>
      <c r="N1568">
        <v>2.8000000000000001E-2</v>
      </c>
      <c r="O1568">
        <v>1</v>
      </c>
      <c r="P1568" t="b">
        <f t="shared" si="49"/>
        <v>1</v>
      </c>
      <c r="Q1568" t="str">
        <f t="shared" si="48"/>
        <v>Positive</v>
      </c>
    </row>
    <row r="1569" spans="1:17" x14ac:dyDescent="0.3">
      <c r="A1569" t="s">
        <v>2622</v>
      </c>
      <c r="B1569" t="s">
        <v>32</v>
      </c>
      <c r="C1569" t="s">
        <v>28</v>
      </c>
      <c r="D1569" t="s">
        <v>18</v>
      </c>
      <c r="E1569" t="s">
        <v>51</v>
      </c>
      <c r="F1569" t="s">
        <v>20</v>
      </c>
      <c r="G1569" s="1">
        <v>45443</v>
      </c>
      <c r="H1569" t="s">
        <v>2623</v>
      </c>
      <c r="I1569">
        <v>4694608</v>
      </c>
      <c r="J1569">
        <v>293413</v>
      </c>
      <c r="K1569">
        <v>45646</v>
      </c>
      <c r="L1569">
        <v>22991</v>
      </c>
      <c r="M1569">
        <v>7.7100000000000002E-2</v>
      </c>
      <c r="N1569">
        <v>0.96699999999999997</v>
      </c>
      <c r="O1569">
        <v>1</v>
      </c>
      <c r="P1569" t="b">
        <f t="shared" si="49"/>
        <v>1</v>
      </c>
      <c r="Q1569" t="str">
        <f t="shared" si="48"/>
        <v>Positive</v>
      </c>
    </row>
    <row r="1570" spans="1:17" x14ac:dyDescent="0.3">
      <c r="A1570" t="s">
        <v>2624</v>
      </c>
      <c r="B1570" t="s">
        <v>66</v>
      </c>
      <c r="C1570" t="s">
        <v>17</v>
      </c>
      <c r="D1570" t="s">
        <v>18</v>
      </c>
      <c r="E1570" t="s">
        <v>51</v>
      </c>
      <c r="F1570" t="s">
        <v>24</v>
      </c>
      <c r="G1570" s="1">
        <v>45565</v>
      </c>
      <c r="H1570" t="s">
        <v>548</v>
      </c>
      <c r="I1570">
        <v>1348347</v>
      </c>
      <c r="J1570">
        <v>103719</v>
      </c>
      <c r="K1570">
        <v>10571</v>
      </c>
      <c r="L1570">
        <v>33086</v>
      </c>
      <c r="M1570">
        <v>0.10929999999999999</v>
      </c>
      <c r="N1570">
        <v>0.432</v>
      </c>
      <c r="O1570">
        <v>0</v>
      </c>
      <c r="P1570" t="b">
        <f t="shared" si="49"/>
        <v>0</v>
      </c>
      <c r="Q1570" t="str">
        <f t="shared" si="48"/>
        <v>Positive</v>
      </c>
    </row>
    <row r="1571" spans="1:17" x14ac:dyDescent="0.3">
      <c r="A1571" t="s">
        <v>2625</v>
      </c>
      <c r="B1571" t="s">
        <v>27</v>
      </c>
      <c r="C1571" t="s">
        <v>28</v>
      </c>
      <c r="D1571" t="s">
        <v>37</v>
      </c>
      <c r="E1571" t="s">
        <v>38</v>
      </c>
      <c r="F1571" t="s">
        <v>46</v>
      </c>
      <c r="G1571" s="1">
        <v>45608</v>
      </c>
      <c r="H1571" t="s">
        <v>829</v>
      </c>
      <c r="I1571">
        <v>1164053</v>
      </c>
      <c r="J1571">
        <v>105823</v>
      </c>
      <c r="K1571">
        <v>2047</v>
      </c>
      <c r="L1571">
        <v>70135</v>
      </c>
      <c r="M1571">
        <v>0.15290000000000001</v>
      </c>
      <c r="N1571">
        <v>0.35399999999999998</v>
      </c>
      <c r="O1571">
        <v>0</v>
      </c>
      <c r="P1571" t="b">
        <f t="shared" si="49"/>
        <v>0</v>
      </c>
      <c r="Q1571" t="str">
        <f t="shared" si="48"/>
        <v>Positive</v>
      </c>
    </row>
    <row r="1572" spans="1:17" x14ac:dyDescent="0.3">
      <c r="A1572" t="s">
        <v>2626</v>
      </c>
      <c r="B1572" t="s">
        <v>66</v>
      </c>
      <c r="C1572" t="s">
        <v>23</v>
      </c>
      <c r="D1572" t="s">
        <v>54</v>
      </c>
      <c r="E1572" t="s">
        <v>41</v>
      </c>
      <c r="F1572" t="s">
        <v>24</v>
      </c>
      <c r="G1572" s="1">
        <v>45476</v>
      </c>
      <c r="H1572" t="s">
        <v>2627</v>
      </c>
      <c r="I1572">
        <v>570809</v>
      </c>
      <c r="J1572">
        <v>33577</v>
      </c>
      <c r="K1572">
        <v>48630</v>
      </c>
      <c r="L1572">
        <v>52710</v>
      </c>
      <c r="M1572">
        <v>0.2364</v>
      </c>
      <c r="N1572">
        <v>0.47899999999999998</v>
      </c>
      <c r="O1572">
        <v>0</v>
      </c>
      <c r="P1572" t="b">
        <f t="shared" si="49"/>
        <v>0</v>
      </c>
      <c r="Q1572" t="str">
        <f t="shared" si="48"/>
        <v>Positive</v>
      </c>
    </row>
    <row r="1573" spans="1:17" x14ac:dyDescent="0.3">
      <c r="A1573" t="s">
        <v>2628</v>
      </c>
      <c r="B1573" t="s">
        <v>16</v>
      </c>
      <c r="C1573" t="s">
        <v>28</v>
      </c>
      <c r="D1573" t="s">
        <v>18</v>
      </c>
      <c r="E1573" t="s">
        <v>51</v>
      </c>
      <c r="F1573" t="s">
        <v>55</v>
      </c>
      <c r="G1573" s="1">
        <v>45519</v>
      </c>
      <c r="H1573" t="s">
        <v>2629</v>
      </c>
      <c r="I1573">
        <v>2645427</v>
      </c>
      <c r="J1573">
        <v>139233</v>
      </c>
      <c r="K1573">
        <v>8614</v>
      </c>
      <c r="L1573">
        <v>35372</v>
      </c>
      <c r="M1573">
        <v>6.93E-2</v>
      </c>
      <c r="N1573">
        <v>-0.93899999999999995</v>
      </c>
      <c r="O1573">
        <v>1</v>
      </c>
      <c r="P1573" t="b">
        <f t="shared" si="49"/>
        <v>1</v>
      </c>
      <c r="Q1573" t="str">
        <f t="shared" si="48"/>
        <v>Negative</v>
      </c>
    </row>
    <row r="1574" spans="1:17" x14ac:dyDescent="0.3">
      <c r="A1574" t="s">
        <v>2630</v>
      </c>
      <c r="B1574" t="s">
        <v>27</v>
      </c>
      <c r="C1574" t="s">
        <v>23</v>
      </c>
      <c r="D1574" t="s">
        <v>18</v>
      </c>
      <c r="E1574" t="s">
        <v>41</v>
      </c>
      <c r="F1574" t="s">
        <v>46</v>
      </c>
      <c r="G1574" s="1">
        <v>45346</v>
      </c>
      <c r="H1574" t="s">
        <v>1145</v>
      </c>
      <c r="I1574">
        <v>1890707</v>
      </c>
      <c r="J1574">
        <v>270101</v>
      </c>
      <c r="K1574">
        <v>11625</v>
      </c>
      <c r="L1574">
        <v>8178</v>
      </c>
      <c r="M1574">
        <v>0.15329999999999999</v>
      </c>
      <c r="N1574">
        <v>0.876</v>
      </c>
      <c r="O1574">
        <v>0</v>
      </c>
      <c r="P1574" t="b">
        <f t="shared" si="49"/>
        <v>0</v>
      </c>
      <c r="Q1574" t="str">
        <f t="shared" si="48"/>
        <v>Positive</v>
      </c>
    </row>
    <row r="1575" spans="1:17" x14ac:dyDescent="0.3">
      <c r="A1575" t="s">
        <v>2631</v>
      </c>
      <c r="B1575" t="s">
        <v>16</v>
      </c>
      <c r="C1575" t="s">
        <v>23</v>
      </c>
      <c r="D1575" t="s">
        <v>33</v>
      </c>
      <c r="E1575" t="s">
        <v>19</v>
      </c>
      <c r="F1575" t="s">
        <v>34</v>
      </c>
      <c r="G1575" s="1">
        <v>45578</v>
      </c>
      <c r="H1575" t="s">
        <v>2632</v>
      </c>
      <c r="I1575">
        <v>1440656</v>
      </c>
      <c r="J1575">
        <v>90041</v>
      </c>
      <c r="K1575">
        <v>11831</v>
      </c>
      <c r="L1575">
        <v>13891</v>
      </c>
      <c r="M1575">
        <v>8.0399999999999999E-2</v>
      </c>
      <c r="N1575">
        <v>-3.3000000000000002E-2</v>
      </c>
      <c r="O1575">
        <v>0</v>
      </c>
      <c r="P1575" t="b">
        <f t="shared" si="49"/>
        <v>0</v>
      </c>
      <c r="Q1575" t="str">
        <f t="shared" si="48"/>
        <v>Negative</v>
      </c>
    </row>
    <row r="1576" spans="1:17" x14ac:dyDescent="0.3">
      <c r="A1576" t="s">
        <v>2633</v>
      </c>
      <c r="B1576" t="s">
        <v>27</v>
      </c>
      <c r="C1576" t="s">
        <v>61</v>
      </c>
      <c r="D1576" t="s">
        <v>37</v>
      </c>
      <c r="E1576" t="s">
        <v>51</v>
      </c>
      <c r="F1576" t="s">
        <v>46</v>
      </c>
      <c r="G1576" s="1">
        <v>45510</v>
      </c>
      <c r="H1576" t="s">
        <v>134</v>
      </c>
      <c r="I1576">
        <v>2698112</v>
      </c>
      <c r="J1576">
        <v>337264</v>
      </c>
      <c r="K1576">
        <v>5500</v>
      </c>
      <c r="L1576">
        <v>28482</v>
      </c>
      <c r="M1576">
        <v>0.1376</v>
      </c>
      <c r="N1576">
        <v>-0.82099999999999995</v>
      </c>
      <c r="O1576">
        <v>1</v>
      </c>
      <c r="P1576" t="b">
        <f t="shared" si="49"/>
        <v>1</v>
      </c>
      <c r="Q1576" t="str">
        <f t="shared" si="48"/>
        <v>Negative</v>
      </c>
    </row>
    <row r="1577" spans="1:17" x14ac:dyDescent="0.3">
      <c r="A1577" t="s">
        <v>2634</v>
      </c>
      <c r="B1577" t="s">
        <v>66</v>
      </c>
      <c r="C1577" t="s">
        <v>28</v>
      </c>
      <c r="D1577" t="s">
        <v>37</v>
      </c>
      <c r="E1577" t="s">
        <v>51</v>
      </c>
      <c r="F1577" t="s">
        <v>20</v>
      </c>
      <c r="G1577" s="1">
        <v>45408</v>
      </c>
      <c r="H1577" t="s">
        <v>114</v>
      </c>
      <c r="I1577">
        <v>3172045</v>
      </c>
      <c r="J1577">
        <v>137915</v>
      </c>
      <c r="K1577">
        <v>37944</v>
      </c>
      <c r="L1577">
        <v>48774</v>
      </c>
      <c r="M1577">
        <v>7.0800000000000002E-2</v>
      </c>
      <c r="N1577">
        <v>-0.17799999999999999</v>
      </c>
      <c r="O1577">
        <v>1</v>
      </c>
      <c r="P1577" t="b">
        <f t="shared" si="49"/>
        <v>1</v>
      </c>
      <c r="Q1577" t="str">
        <f t="shared" si="48"/>
        <v>Negative</v>
      </c>
    </row>
    <row r="1578" spans="1:17" x14ac:dyDescent="0.3">
      <c r="A1578" t="s">
        <v>2635</v>
      </c>
      <c r="B1578" t="s">
        <v>66</v>
      </c>
      <c r="C1578" t="s">
        <v>61</v>
      </c>
      <c r="D1578" t="s">
        <v>54</v>
      </c>
      <c r="E1578" t="s">
        <v>51</v>
      </c>
      <c r="F1578" t="s">
        <v>24</v>
      </c>
      <c r="G1578" s="1">
        <v>45551</v>
      </c>
      <c r="H1578" t="s">
        <v>1634</v>
      </c>
      <c r="I1578">
        <v>3795709</v>
      </c>
      <c r="J1578">
        <v>223277</v>
      </c>
      <c r="K1578">
        <v>28557</v>
      </c>
      <c r="L1578">
        <v>65243</v>
      </c>
      <c r="M1578">
        <v>8.3500000000000005E-2</v>
      </c>
      <c r="N1578">
        <v>-0.26700000000000002</v>
      </c>
      <c r="O1578">
        <v>1</v>
      </c>
      <c r="P1578" t="b">
        <f t="shared" si="49"/>
        <v>1</v>
      </c>
      <c r="Q1578" t="str">
        <f t="shared" si="48"/>
        <v>Negative</v>
      </c>
    </row>
    <row r="1579" spans="1:17" x14ac:dyDescent="0.3">
      <c r="A1579" t="s">
        <v>2636</v>
      </c>
      <c r="B1579" t="s">
        <v>16</v>
      </c>
      <c r="C1579" t="s">
        <v>61</v>
      </c>
      <c r="D1579" t="s">
        <v>18</v>
      </c>
      <c r="E1579" t="s">
        <v>38</v>
      </c>
      <c r="F1579" t="s">
        <v>55</v>
      </c>
      <c r="G1579" s="1">
        <v>45584</v>
      </c>
      <c r="H1579" t="s">
        <v>2637</v>
      </c>
      <c r="I1579">
        <v>5809524</v>
      </c>
      <c r="J1579">
        <v>207483</v>
      </c>
      <c r="K1579">
        <v>3562</v>
      </c>
      <c r="L1579">
        <v>69124</v>
      </c>
      <c r="M1579">
        <v>4.82E-2</v>
      </c>
      <c r="N1579">
        <v>0.90900000000000003</v>
      </c>
      <c r="O1579">
        <v>1</v>
      </c>
      <c r="P1579" t="b">
        <f t="shared" si="49"/>
        <v>1</v>
      </c>
      <c r="Q1579" t="str">
        <f t="shared" si="48"/>
        <v>Positive</v>
      </c>
    </row>
    <row r="1580" spans="1:17" x14ac:dyDescent="0.3">
      <c r="A1580" t="s">
        <v>2638</v>
      </c>
      <c r="B1580" t="s">
        <v>32</v>
      </c>
      <c r="C1580" t="s">
        <v>17</v>
      </c>
      <c r="D1580" t="s">
        <v>18</v>
      </c>
      <c r="E1580" t="s">
        <v>51</v>
      </c>
      <c r="F1580" t="s">
        <v>55</v>
      </c>
      <c r="G1580" s="1">
        <v>45519</v>
      </c>
      <c r="H1580" t="s">
        <v>30</v>
      </c>
      <c r="I1580">
        <v>7625720</v>
      </c>
      <c r="J1580">
        <v>381286</v>
      </c>
      <c r="K1580">
        <v>23549</v>
      </c>
      <c r="L1580">
        <v>58536</v>
      </c>
      <c r="M1580">
        <v>6.08E-2</v>
      </c>
      <c r="N1580">
        <v>-0.36599999999999999</v>
      </c>
      <c r="O1580">
        <v>1</v>
      </c>
      <c r="P1580" t="b">
        <f t="shared" si="49"/>
        <v>1</v>
      </c>
      <c r="Q1580" t="str">
        <f t="shared" si="48"/>
        <v>Negative</v>
      </c>
    </row>
    <row r="1581" spans="1:17" x14ac:dyDescent="0.3">
      <c r="A1581" t="s">
        <v>2639</v>
      </c>
      <c r="B1581" t="s">
        <v>27</v>
      </c>
      <c r="C1581" t="s">
        <v>61</v>
      </c>
      <c r="D1581" t="s">
        <v>18</v>
      </c>
      <c r="E1581" t="s">
        <v>38</v>
      </c>
      <c r="F1581" t="s">
        <v>24</v>
      </c>
      <c r="G1581" s="1">
        <v>45447</v>
      </c>
      <c r="H1581" t="s">
        <v>154</v>
      </c>
      <c r="I1581">
        <v>8836474</v>
      </c>
      <c r="J1581">
        <v>304706</v>
      </c>
      <c r="K1581">
        <v>3132</v>
      </c>
      <c r="L1581">
        <v>23148</v>
      </c>
      <c r="M1581">
        <v>3.7499999999999999E-2</v>
      </c>
      <c r="N1581">
        <v>0.55500000000000005</v>
      </c>
      <c r="O1581">
        <v>1</v>
      </c>
      <c r="P1581" t="b">
        <f t="shared" si="49"/>
        <v>1</v>
      </c>
      <c r="Q1581" t="str">
        <f t="shared" si="48"/>
        <v>Positive</v>
      </c>
    </row>
    <row r="1582" spans="1:17" x14ac:dyDescent="0.3">
      <c r="A1582" t="s">
        <v>2640</v>
      </c>
      <c r="B1582" t="s">
        <v>16</v>
      </c>
      <c r="C1582" t="s">
        <v>28</v>
      </c>
      <c r="D1582" t="s">
        <v>29</v>
      </c>
      <c r="E1582" t="s">
        <v>41</v>
      </c>
      <c r="F1582" t="s">
        <v>34</v>
      </c>
      <c r="G1582" s="1">
        <v>45556</v>
      </c>
      <c r="H1582" t="s">
        <v>2641</v>
      </c>
      <c r="I1582">
        <v>3401751</v>
      </c>
      <c r="J1582">
        <v>200103</v>
      </c>
      <c r="K1582">
        <v>25394</v>
      </c>
      <c r="L1582">
        <v>66382</v>
      </c>
      <c r="M1582">
        <v>8.5800000000000001E-2</v>
      </c>
      <c r="N1582">
        <v>-0.28100000000000003</v>
      </c>
      <c r="O1582">
        <v>1</v>
      </c>
      <c r="P1582" t="b">
        <f t="shared" si="49"/>
        <v>1</v>
      </c>
      <c r="Q1582" t="str">
        <f t="shared" si="48"/>
        <v>Negative</v>
      </c>
    </row>
    <row r="1583" spans="1:17" x14ac:dyDescent="0.3">
      <c r="A1583" t="s">
        <v>2642</v>
      </c>
      <c r="B1583" t="s">
        <v>16</v>
      </c>
      <c r="C1583" t="s">
        <v>23</v>
      </c>
      <c r="D1583" t="s">
        <v>33</v>
      </c>
      <c r="E1583" t="s">
        <v>58</v>
      </c>
      <c r="F1583" t="s">
        <v>55</v>
      </c>
      <c r="G1583" s="1">
        <v>45522</v>
      </c>
      <c r="H1583" t="s">
        <v>2643</v>
      </c>
      <c r="I1583">
        <v>3023916</v>
      </c>
      <c r="J1583">
        <v>431988</v>
      </c>
      <c r="K1583">
        <v>13736</v>
      </c>
      <c r="L1583">
        <v>54513</v>
      </c>
      <c r="M1583">
        <v>0.16539999999999999</v>
      </c>
      <c r="N1583">
        <v>0.27100000000000002</v>
      </c>
      <c r="O1583">
        <v>1</v>
      </c>
      <c r="P1583" t="b">
        <f t="shared" si="49"/>
        <v>1</v>
      </c>
      <c r="Q1583" t="str">
        <f t="shared" si="48"/>
        <v>Positive</v>
      </c>
    </row>
    <row r="1584" spans="1:17" x14ac:dyDescent="0.3">
      <c r="A1584" t="s">
        <v>2644</v>
      </c>
      <c r="B1584" t="s">
        <v>27</v>
      </c>
      <c r="C1584" t="s">
        <v>61</v>
      </c>
      <c r="D1584" t="s">
        <v>29</v>
      </c>
      <c r="E1584" t="s">
        <v>51</v>
      </c>
      <c r="F1584" t="s">
        <v>20</v>
      </c>
      <c r="G1584" s="1">
        <v>45384</v>
      </c>
      <c r="H1584" t="s">
        <v>1046</v>
      </c>
      <c r="I1584">
        <v>2429304</v>
      </c>
      <c r="J1584">
        <v>101221</v>
      </c>
      <c r="K1584">
        <v>3837</v>
      </c>
      <c r="L1584">
        <v>32333</v>
      </c>
      <c r="M1584">
        <v>5.6599999999999998E-2</v>
      </c>
      <c r="N1584">
        <v>-0.54800000000000004</v>
      </c>
      <c r="O1584">
        <v>1</v>
      </c>
      <c r="P1584" t="b">
        <f t="shared" si="49"/>
        <v>1</v>
      </c>
      <c r="Q1584" t="str">
        <f t="shared" si="48"/>
        <v>Negative</v>
      </c>
    </row>
    <row r="1585" spans="1:17" x14ac:dyDescent="0.3">
      <c r="A1585" t="s">
        <v>2645</v>
      </c>
      <c r="B1585" t="s">
        <v>16</v>
      </c>
      <c r="C1585" t="s">
        <v>28</v>
      </c>
      <c r="D1585" t="s">
        <v>37</v>
      </c>
      <c r="E1585" t="s">
        <v>51</v>
      </c>
      <c r="F1585" t="s">
        <v>34</v>
      </c>
      <c r="G1585" s="1">
        <v>45295</v>
      </c>
      <c r="H1585" t="s">
        <v>2607</v>
      </c>
      <c r="I1585">
        <v>2030444</v>
      </c>
      <c r="J1585">
        <v>78094</v>
      </c>
      <c r="K1585">
        <v>28671</v>
      </c>
      <c r="L1585">
        <v>43482</v>
      </c>
      <c r="M1585">
        <v>7.3999999999999996E-2</v>
      </c>
      <c r="N1585">
        <v>-0.39200000000000002</v>
      </c>
      <c r="O1585">
        <v>1</v>
      </c>
      <c r="P1585" t="b">
        <f t="shared" si="49"/>
        <v>1</v>
      </c>
      <c r="Q1585" t="str">
        <f t="shared" si="48"/>
        <v>Negative</v>
      </c>
    </row>
    <row r="1586" spans="1:17" x14ac:dyDescent="0.3">
      <c r="A1586" t="s">
        <v>2646</v>
      </c>
      <c r="B1586" t="s">
        <v>32</v>
      </c>
      <c r="C1586" t="s">
        <v>17</v>
      </c>
      <c r="D1586" t="s">
        <v>33</v>
      </c>
      <c r="E1586" t="s">
        <v>38</v>
      </c>
      <c r="F1586" t="s">
        <v>55</v>
      </c>
      <c r="G1586" s="1">
        <v>45485</v>
      </c>
      <c r="H1586" t="s">
        <v>645</v>
      </c>
      <c r="I1586">
        <v>7119264</v>
      </c>
      <c r="J1586">
        <v>444954</v>
      </c>
      <c r="K1586">
        <v>8423</v>
      </c>
      <c r="L1586">
        <v>93628</v>
      </c>
      <c r="M1586">
        <v>7.6799999999999993E-2</v>
      </c>
      <c r="N1586">
        <v>0.45400000000000001</v>
      </c>
      <c r="O1586">
        <v>1</v>
      </c>
      <c r="P1586" t="b">
        <f t="shared" si="49"/>
        <v>1</v>
      </c>
      <c r="Q1586" t="str">
        <f t="shared" si="48"/>
        <v>Positive</v>
      </c>
    </row>
    <row r="1587" spans="1:17" x14ac:dyDescent="0.3">
      <c r="A1587" t="s">
        <v>2647</v>
      </c>
      <c r="B1587" t="s">
        <v>27</v>
      </c>
      <c r="C1587" t="s">
        <v>61</v>
      </c>
      <c r="D1587" t="s">
        <v>37</v>
      </c>
      <c r="E1587" t="s">
        <v>58</v>
      </c>
      <c r="F1587" t="s">
        <v>34</v>
      </c>
      <c r="G1587" s="1">
        <v>45518</v>
      </c>
      <c r="H1587" t="s">
        <v>2648</v>
      </c>
      <c r="I1587">
        <v>2744651</v>
      </c>
      <c r="J1587">
        <v>211127</v>
      </c>
      <c r="K1587">
        <v>11819</v>
      </c>
      <c r="L1587">
        <v>99341</v>
      </c>
      <c r="M1587">
        <v>0.1174</v>
      </c>
      <c r="N1587">
        <v>-0.79100000000000004</v>
      </c>
      <c r="O1587">
        <v>1</v>
      </c>
      <c r="P1587" t="b">
        <f t="shared" si="49"/>
        <v>1</v>
      </c>
      <c r="Q1587" t="str">
        <f t="shared" si="48"/>
        <v>Negative</v>
      </c>
    </row>
    <row r="1588" spans="1:17" x14ac:dyDescent="0.3">
      <c r="A1588" t="s">
        <v>2649</v>
      </c>
      <c r="B1588" t="s">
        <v>66</v>
      </c>
      <c r="C1588" t="s">
        <v>61</v>
      </c>
      <c r="D1588" t="s">
        <v>33</v>
      </c>
      <c r="E1588" t="s">
        <v>19</v>
      </c>
      <c r="F1588" t="s">
        <v>46</v>
      </c>
      <c r="G1588" s="1">
        <v>45303</v>
      </c>
      <c r="H1588" t="s">
        <v>144</v>
      </c>
      <c r="I1588">
        <v>1622208</v>
      </c>
      <c r="J1588">
        <v>57936</v>
      </c>
      <c r="K1588">
        <v>7440</v>
      </c>
      <c r="L1588">
        <v>67085</v>
      </c>
      <c r="M1588">
        <v>8.1699999999999995E-2</v>
      </c>
      <c r="N1588">
        <v>-8.4000000000000005E-2</v>
      </c>
      <c r="O1588">
        <v>0</v>
      </c>
      <c r="P1588" t="b">
        <f t="shared" si="49"/>
        <v>0</v>
      </c>
      <c r="Q1588" t="str">
        <f t="shared" si="48"/>
        <v>Negative</v>
      </c>
    </row>
    <row r="1589" spans="1:17" x14ac:dyDescent="0.3">
      <c r="A1589" t="s">
        <v>2650</v>
      </c>
      <c r="B1589" t="s">
        <v>32</v>
      </c>
      <c r="C1589" t="s">
        <v>17</v>
      </c>
      <c r="D1589" t="s">
        <v>33</v>
      </c>
      <c r="E1589" t="s">
        <v>58</v>
      </c>
      <c r="F1589" t="s">
        <v>20</v>
      </c>
      <c r="G1589" s="1">
        <v>45527</v>
      </c>
      <c r="H1589" t="s">
        <v>2651</v>
      </c>
      <c r="I1589">
        <v>4441692</v>
      </c>
      <c r="J1589">
        <v>261276</v>
      </c>
      <c r="K1589">
        <v>3412</v>
      </c>
      <c r="L1589">
        <v>98944</v>
      </c>
      <c r="M1589">
        <v>8.1900000000000001E-2</v>
      </c>
      <c r="N1589">
        <v>-0.996</v>
      </c>
      <c r="O1589">
        <v>1</v>
      </c>
      <c r="P1589" t="b">
        <f t="shared" si="49"/>
        <v>1</v>
      </c>
      <c r="Q1589" t="str">
        <f t="shared" si="48"/>
        <v>Negative</v>
      </c>
    </row>
    <row r="1590" spans="1:17" x14ac:dyDescent="0.3">
      <c r="A1590" t="s">
        <v>2652</v>
      </c>
      <c r="B1590" t="s">
        <v>66</v>
      </c>
      <c r="C1590" t="s">
        <v>23</v>
      </c>
      <c r="D1590" t="s">
        <v>18</v>
      </c>
      <c r="E1590" t="s">
        <v>58</v>
      </c>
      <c r="F1590" t="s">
        <v>55</v>
      </c>
      <c r="G1590" s="1">
        <v>45530</v>
      </c>
      <c r="H1590" t="s">
        <v>2653</v>
      </c>
      <c r="I1590">
        <v>4189801</v>
      </c>
      <c r="J1590">
        <v>380891</v>
      </c>
      <c r="K1590">
        <v>25097</v>
      </c>
      <c r="L1590">
        <v>75646</v>
      </c>
      <c r="M1590">
        <v>0.115</v>
      </c>
      <c r="N1590">
        <v>-0.65200000000000002</v>
      </c>
      <c r="O1590">
        <v>1</v>
      </c>
      <c r="P1590" t="b">
        <f t="shared" si="49"/>
        <v>1</v>
      </c>
      <c r="Q1590" t="str">
        <f t="shared" si="48"/>
        <v>Negative</v>
      </c>
    </row>
    <row r="1591" spans="1:17" x14ac:dyDescent="0.3">
      <c r="A1591" t="s">
        <v>2654</v>
      </c>
      <c r="B1591" t="s">
        <v>16</v>
      </c>
      <c r="C1591" t="s">
        <v>17</v>
      </c>
      <c r="D1591" t="s">
        <v>29</v>
      </c>
      <c r="E1591" t="s">
        <v>19</v>
      </c>
      <c r="F1591" t="s">
        <v>24</v>
      </c>
      <c r="G1591" s="1">
        <v>45459</v>
      </c>
      <c r="H1591" t="s">
        <v>2655</v>
      </c>
      <c r="I1591">
        <v>159630</v>
      </c>
      <c r="J1591">
        <v>26605</v>
      </c>
      <c r="K1591">
        <v>36718</v>
      </c>
      <c r="L1591">
        <v>54388</v>
      </c>
      <c r="M1591">
        <v>0.73740000000000006</v>
      </c>
      <c r="N1591">
        <v>-0.111</v>
      </c>
      <c r="O1591">
        <v>0</v>
      </c>
      <c r="P1591" t="b">
        <f t="shared" si="49"/>
        <v>0</v>
      </c>
      <c r="Q1591" t="str">
        <f t="shared" si="48"/>
        <v>Negative</v>
      </c>
    </row>
    <row r="1592" spans="1:17" x14ac:dyDescent="0.3">
      <c r="A1592" t="s">
        <v>2656</v>
      </c>
      <c r="B1592" t="s">
        <v>32</v>
      </c>
      <c r="C1592" t="s">
        <v>61</v>
      </c>
      <c r="D1592" t="s">
        <v>18</v>
      </c>
      <c r="E1592" t="s">
        <v>38</v>
      </c>
      <c r="F1592" t="s">
        <v>24</v>
      </c>
      <c r="G1592" s="1">
        <v>45504</v>
      </c>
      <c r="H1592" t="s">
        <v>2657</v>
      </c>
      <c r="I1592">
        <v>4895638</v>
      </c>
      <c r="J1592">
        <v>445058</v>
      </c>
      <c r="K1592">
        <v>40527</v>
      </c>
      <c r="L1592">
        <v>81133</v>
      </c>
      <c r="M1592">
        <v>0.1158</v>
      </c>
      <c r="N1592">
        <v>-0.40699999999999997</v>
      </c>
      <c r="O1592">
        <v>1</v>
      </c>
      <c r="P1592" t="b">
        <f t="shared" si="49"/>
        <v>1</v>
      </c>
      <c r="Q1592" t="str">
        <f t="shared" si="48"/>
        <v>Negative</v>
      </c>
    </row>
    <row r="1593" spans="1:17" x14ac:dyDescent="0.3">
      <c r="A1593" t="s">
        <v>2658</v>
      </c>
      <c r="B1593" t="s">
        <v>16</v>
      </c>
      <c r="C1593" t="s">
        <v>23</v>
      </c>
      <c r="D1593" t="s">
        <v>54</v>
      </c>
      <c r="E1593" t="s">
        <v>19</v>
      </c>
      <c r="F1593" t="s">
        <v>55</v>
      </c>
      <c r="G1593" s="1">
        <v>45549</v>
      </c>
      <c r="H1593" t="s">
        <v>2659</v>
      </c>
      <c r="I1593">
        <v>8679384</v>
      </c>
      <c r="J1593">
        <v>361641</v>
      </c>
      <c r="K1593">
        <v>3885</v>
      </c>
      <c r="L1593">
        <v>43455</v>
      </c>
      <c r="M1593">
        <v>4.7100000000000003E-2</v>
      </c>
      <c r="N1593">
        <v>-0.35399999999999998</v>
      </c>
      <c r="O1593">
        <v>1</v>
      </c>
      <c r="P1593" t="b">
        <f t="shared" si="49"/>
        <v>1</v>
      </c>
      <c r="Q1593" t="str">
        <f t="shared" si="48"/>
        <v>Negative</v>
      </c>
    </row>
    <row r="1594" spans="1:17" x14ac:dyDescent="0.3">
      <c r="A1594" t="s">
        <v>2660</v>
      </c>
      <c r="B1594" t="s">
        <v>66</v>
      </c>
      <c r="C1594" t="s">
        <v>61</v>
      </c>
      <c r="D1594" t="s">
        <v>37</v>
      </c>
      <c r="E1594" t="s">
        <v>41</v>
      </c>
      <c r="F1594" t="s">
        <v>24</v>
      </c>
      <c r="G1594" s="1">
        <v>45419</v>
      </c>
      <c r="H1594" t="s">
        <v>833</v>
      </c>
      <c r="I1594">
        <v>2410727</v>
      </c>
      <c r="J1594">
        <v>219157</v>
      </c>
      <c r="K1594">
        <v>14804</v>
      </c>
      <c r="L1594">
        <v>60103</v>
      </c>
      <c r="M1594">
        <v>0.122</v>
      </c>
      <c r="N1594">
        <v>0.85499999999999998</v>
      </c>
      <c r="O1594">
        <v>1</v>
      </c>
      <c r="P1594" t="b">
        <f t="shared" si="49"/>
        <v>1</v>
      </c>
      <c r="Q1594" t="str">
        <f t="shared" si="48"/>
        <v>Positive</v>
      </c>
    </row>
    <row r="1595" spans="1:17" x14ac:dyDescent="0.3">
      <c r="A1595" t="s">
        <v>2661</v>
      </c>
      <c r="B1595" t="s">
        <v>27</v>
      </c>
      <c r="C1595" t="s">
        <v>28</v>
      </c>
      <c r="D1595" t="s">
        <v>37</v>
      </c>
      <c r="E1595" t="s">
        <v>38</v>
      </c>
      <c r="F1595" t="s">
        <v>24</v>
      </c>
      <c r="G1595" s="1">
        <v>45452</v>
      </c>
      <c r="H1595" t="s">
        <v>692</v>
      </c>
      <c r="I1595">
        <v>3054618</v>
      </c>
      <c r="J1595">
        <v>113134</v>
      </c>
      <c r="K1595">
        <v>43338</v>
      </c>
      <c r="L1595">
        <v>40829</v>
      </c>
      <c r="M1595">
        <v>6.4600000000000005E-2</v>
      </c>
      <c r="N1595">
        <v>-0.78800000000000003</v>
      </c>
      <c r="O1595">
        <v>1</v>
      </c>
      <c r="P1595" t="b">
        <f t="shared" si="49"/>
        <v>1</v>
      </c>
      <c r="Q1595" t="str">
        <f t="shared" si="48"/>
        <v>Negative</v>
      </c>
    </row>
    <row r="1596" spans="1:17" x14ac:dyDescent="0.3">
      <c r="A1596" t="s">
        <v>2662</v>
      </c>
      <c r="B1596" t="s">
        <v>32</v>
      </c>
      <c r="C1596" t="s">
        <v>61</v>
      </c>
      <c r="D1596" t="s">
        <v>54</v>
      </c>
      <c r="E1596" t="s">
        <v>38</v>
      </c>
      <c r="F1596" t="s">
        <v>24</v>
      </c>
      <c r="G1596" s="1">
        <v>45535</v>
      </c>
      <c r="H1596" t="s">
        <v>1684</v>
      </c>
      <c r="I1596">
        <v>4356312</v>
      </c>
      <c r="J1596">
        <v>181513</v>
      </c>
      <c r="K1596">
        <v>19078</v>
      </c>
      <c r="L1596">
        <v>14550</v>
      </c>
      <c r="M1596">
        <v>4.9399999999999999E-2</v>
      </c>
      <c r="N1596">
        <v>-0.77200000000000002</v>
      </c>
      <c r="O1596">
        <v>1</v>
      </c>
      <c r="P1596" t="b">
        <f t="shared" si="49"/>
        <v>1</v>
      </c>
      <c r="Q1596" t="str">
        <f t="shared" si="48"/>
        <v>Negative</v>
      </c>
    </row>
    <row r="1597" spans="1:17" x14ac:dyDescent="0.3">
      <c r="A1597" t="s">
        <v>2663</v>
      </c>
      <c r="B1597" t="s">
        <v>27</v>
      </c>
      <c r="C1597" t="s">
        <v>23</v>
      </c>
      <c r="D1597" t="s">
        <v>54</v>
      </c>
      <c r="E1597" t="s">
        <v>19</v>
      </c>
      <c r="F1597" t="s">
        <v>20</v>
      </c>
      <c r="G1597" s="1">
        <v>45464</v>
      </c>
      <c r="H1597" t="s">
        <v>885</v>
      </c>
      <c r="I1597">
        <v>4219479</v>
      </c>
      <c r="J1597">
        <v>468831</v>
      </c>
      <c r="K1597">
        <v>20321</v>
      </c>
      <c r="L1597">
        <v>26184</v>
      </c>
      <c r="M1597">
        <v>0.1221</v>
      </c>
      <c r="N1597">
        <v>0.53</v>
      </c>
      <c r="O1597">
        <v>1</v>
      </c>
      <c r="P1597" t="b">
        <f t="shared" si="49"/>
        <v>1</v>
      </c>
      <c r="Q1597" t="str">
        <f t="shared" si="48"/>
        <v>Positive</v>
      </c>
    </row>
    <row r="1598" spans="1:17" x14ac:dyDescent="0.3">
      <c r="A1598" t="s">
        <v>2664</v>
      </c>
      <c r="B1598" t="s">
        <v>27</v>
      </c>
      <c r="C1598" t="s">
        <v>17</v>
      </c>
      <c r="D1598" t="s">
        <v>54</v>
      </c>
      <c r="E1598" t="s">
        <v>41</v>
      </c>
      <c r="F1598" t="s">
        <v>46</v>
      </c>
      <c r="G1598" s="1">
        <v>45414</v>
      </c>
      <c r="H1598" t="s">
        <v>2665</v>
      </c>
      <c r="I1598">
        <v>4462796</v>
      </c>
      <c r="J1598">
        <v>234884</v>
      </c>
      <c r="K1598">
        <v>20250</v>
      </c>
      <c r="L1598">
        <v>46706</v>
      </c>
      <c r="M1598">
        <v>6.7599999999999993E-2</v>
      </c>
      <c r="N1598">
        <v>-0.496</v>
      </c>
      <c r="O1598">
        <v>1</v>
      </c>
      <c r="P1598" t="b">
        <f t="shared" si="49"/>
        <v>1</v>
      </c>
      <c r="Q1598" t="str">
        <f t="shared" si="48"/>
        <v>Negative</v>
      </c>
    </row>
    <row r="1599" spans="1:17" x14ac:dyDescent="0.3">
      <c r="A1599" t="s">
        <v>2666</v>
      </c>
      <c r="B1599" t="s">
        <v>66</v>
      </c>
      <c r="C1599" t="s">
        <v>28</v>
      </c>
      <c r="D1599" t="s">
        <v>33</v>
      </c>
      <c r="E1599" t="s">
        <v>38</v>
      </c>
      <c r="F1599" t="s">
        <v>34</v>
      </c>
      <c r="G1599" s="1">
        <v>45555</v>
      </c>
      <c r="H1599" t="s">
        <v>250</v>
      </c>
      <c r="I1599">
        <v>1711725</v>
      </c>
      <c r="J1599">
        <v>68469</v>
      </c>
      <c r="K1599">
        <v>5290</v>
      </c>
      <c r="L1599">
        <v>9590</v>
      </c>
      <c r="M1599">
        <v>4.87E-2</v>
      </c>
      <c r="N1599">
        <v>0.73199999999999998</v>
      </c>
      <c r="O1599">
        <v>0</v>
      </c>
      <c r="P1599" t="b">
        <f t="shared" si="49"/>
        <v>0</v>
      </c>
      <c r="Q1599" t="str">
        <f t="shared" si="48"/>
        <v>Positive</v>
      </c>
    </row>
    <row r="1600" spans="1:17" x14ac:dyDescent="0.3">
      <c r="A1600" t="s">
        <v>2667</v>
      </c>
      <c r="B1600" t="s">
        <v>32</v>
      </c>
      <c r="C1600" t="s">
        <v>28</v>
      </c>
      <c r="D1600" t="s">
        <v>18</v>
      </c>
      <c r="E1600" t="s">
        <v>51</v>
      </c>
      <c r="F1600" t="s">
        <v>34</v>
      </c>
      <c r="G1600" s="1">
        <v>45358</v>
      </c>
      <c r="H1600" t="s">
        <v>364</v>
      </c>
      <c r="I1600">
        <v>3343202</v>
      </c>
      <c r="J1600">
        <v>175958</v>
      </c>
      <c r="K1600">
        <v>29155</v>
      </c>
      <c r="L1600">
        <v>76426</v>
      </c>
      <c r="M1600">
        <v>8.4199999999999997E-2</v>
      </c>
      <c r="N1600">
        <v>-0.73299999999999998</v>
      </c>
      <c r="O1600">
        <v>1</v>
      </c>
      <c r="P1600" t="b">
        <f t="shared" si="49"/>
        <v>1</v>
      </c>
      <c r="Q1600" t="str">
        <f t="shared" si="48"/>
        <v>Negative</v>
      </c>
    </row>
    <row r="1601" spans="1:17" x14ac:dyDescent="0.3">
      <c r="A1601" t="s">
        <v>2668</v>
      </c>
      <c r="B1601" t="s">
        <v>66</v>
      </c>
      <c r="C1601" t="s">
        <v>61</v>
      </c>
      <c r="D1601" t="s">
        <v>29</v>
      </c>
      <c r="E1601" t="s">
        <v>51</v>
      </c>
      <c r="F1601" t="s">
        <v>46</v>
      </c>
      <c r="G1601" s="1">
        <v>45358</v>
      </c>
      <c r="H1601" t="s">
        <v>244</v>
      </c>
      <c r="I1601">
        <v>2471775</v>
      </c>
      <c r="J1601">
        <v>494355</v>
      </c>
      <c r="K1601">
        <v>46384</v>
      </c>
      <c r="L1601">
        <v>90199</v>
      </c>
      <c r="M1601">
        <v>0.25530000000000003</v>
      </c>
      <c r="N1601">
        <v>-0.79400000000000004</v>
      </c>
      <c r="O1601">
        <v>1</v>
      </c>
      <c r="P1601" t="b">
        <f t="shared" si="49"/>
        <v>1</v>
      </c>
      <c r="Q1601" t="str">
        <f t="shared" si="48"/>
        <v>Negative</v>
      </c>
    </row>
    <row r="1602" spans="1:17" x14ac:dyDescent="0.3">
      <c r="A1602" t="s">
        <v>2669</v>
      </c>
      <c r="B1602" t="s">
        <v>32</v>
      </c>
      <c r="C1602" t="s">
        <v>28</v>
      </c>
      <c r="D1602" t="s">
        <v>54</v>
      </c>
      <c r="E1602" t="s">
        <v>38</v>
      </c>
      <c r="F1602" t="s">
        <v>46</v>
      </c>
      <c r="G1602" s="1">
        <v>45392</v>
      </c>
      <c r="H1602" t="s">
        <v>116</v>
      </c>
      <c r="I1602">
        <v>1913526</v>
      </c>
      <c r="J1602">
        <v>318921</v>
      </c>
      <c r="K1602">
        <v>32935</v>
      </c>
      <c r="L1602">
        <v>73314</v>
      </c>
      <c r="M1602">
        <v>0.22220000000000001</v>
      </c>
      <c r="N1602">
        <v>5.6000000000000001E-2</v>
      </c>
      <c r="O1602">
        <v>0</v>
      </c>
      <c r="P1602" t="b">
        <f t="shared" si="49"/>
        <v>0</v>
      </c>
      <c r="Q1602" t="str">
        <f t="shared" ref="Q1602:Q1665" si="50">IF(N1602&gt;0,"Positive","Negative")</f>
        <v>Positive</v>
      </c>
    </row>
    <row r="1603" spans="1:17" x14ac:dyDescent="0.3">
      <c r="A1603" t="s">
        <v>2670</v>
      </c>
      <c r="B1603" t="s">
        <v>66</v>
      </c>
      <c r="C1603" t="s">
        <v>61</v>
      </c>
      <c r="D1603" t="s">
        <v>37</v>
      </c>
      <c r="E1603" t="s">
        <v>58</v>
      </c>
      <c r="F1603" t="s">
        <v>20</v>
      </c>
      <c r="G1603" s="1">
        <v>45422</v>
      </c>
      <c r="H1603" t="s">
        <v>319</v>
      </c>
      <c r="I1603">
        <v>3785580</v>
      </c>
      <c r="J1603">
        <v>420620</v>
      </c>
      <c r="K1603">
        <v>36308</v>
      </c>
      <c r="L1603">
        <v>96059</v>
      </c>
      <c r="M1603">
        <v>0.14610000000000001</v>
      </c>
      <c r="N1603">
        <v>0.29899999999999999</v>
      </c>
      <c r="O1603">
        <v>1</v>
      </c>
      <c r="P1603" t="b">
        <f t="shared" ref="P1603:P1666" si="51">IF(O1603=1,TRUE,FALSE)</f>
        <v>1</v>
      </c>
      <c r="Q1603" t="str">
        <f t="shared" si="50"/>
        <v>Positive</v>
      </c>
    </row>
    <row r="1604" spans="1:17" x14ac:dyDescent="0.3">
      <c r="A1604" t="s">
        <v>2671</v>
      </c>
      <c r="B1604" t="s">
        <v>27</v>
      </c>
      <c r="C1604" t="s">
        <v>23</v>
      </c>
      <c r="D1604" t="s">
        <v>37</v>
      </c>
      <c r="E1604" t="s">
        <v>51</v>
      </c>
      <c r="F1604" t="s">
        <v>55</v>
      </c>
      <c r="G1604" s="1">
        <v>45537</v>
      </c>
      <c r="H1604" t="s">
        <v>2672</v>
      </c>
      <c r="I1604">
        <v>5819032</v>
      </c>
      <c r="J1604">
        <v>342296</v>
      </c>
      <c r="K1604">
        <v>19096</v>
      </c>
      <c r="L1604">
        <v>73496</v>
      </c>
      <c r="M1604">
        <v>7.4700000000000003E-2</v>
      </c>
      <c r="N1604">
        <v>-0.90100000000000002</v>
      </c>
      <c r="O1604">
        <v>1</v>
      </c>
      <c r="P1604" t="b">
        <f t="shared" si="51"/>
        <v>1</v>
      </c>
      <c r="Q1604" t="str">
        <f t="shared" si="50"/>
        <v>Negative</v>
      </c>
    </row>
    <row r="1605" spans="1:17" x14ac:dyDescent="0.3">
      <c r="A1605" t="s">
        <v>2673</v>
      </c>
      <c r="B1605" t="s">
        <v>16</v>
      </c>
      <c r="C1605" t="s">
        <v>28</v>
      </c>
      <c r="D1605" t="s">
        <v>37</v>
      </c>
      <c r="E1605" t="s">
        <v>38</v>
      </c>
      <c r="F1605" t="s">
        <v>20</v>
      </c>
      <c r="G1605" s="1">
        <v>45539</v>
      </c>
      <c r="H1605" t="s">
        <v>2674</v>
      </c>
      <c r="I1605">
        <v>1415390</v>
      </c>
      <c r="J1605">
        <v>141539</v>
      </c>
      <c r="K1605">
        <v>46510</v>
      </c>
      <c r="L1605">
        <v>33333</v>
      </c>
      <c r="M1605">
        <v>0.15640000000000001</v>
      </c>
      <c r="N1605">
        <v>-0.22700000000000001</v>
      </c>
      <c r="O1605">
        <v>0</v>
      </c>
      <c r="P1605" t="b">
        <f t="shared" si="51"/>
        <v>0</v>
      </c>
      <c r="Q1605" t="str">
        <f t="shared" si="50"/>
        <v>Negative</v>
      </c>
    </row>
    <row r="1606" spans="1:17" x14ac:dyDescent="0.3">
      <c r="A1606" t="s">
        <v>2675</v>
      </c>
      <c r="B1606" t="s">
        <v>16</v>
      </c>
      <c r="C1606" t="s">
        <v>23</v>
      </c>
      <c r="D1606" t="s">
        <v>54</v>
      </c>
      <c r="E1606" t="s">
        <v>19</v>
      </c>
      <c r="F1606" t="s">
        <v>34</v>
      </c>
      <c r="G1606" s="1">
        <v>45591</v>
      </c>
      <c r="H1606" t="s">
        <v>2676</v>
      </c>
      <c r="I1606">
        <v>7958701</v>
      </c>
      <c r="J1606">
        <v>418879</v>
      </c>
      <c r="K1606">
        <v>39654</v>
      </c>
      <c r="L1606">
        <v>36405</v>
      </c>
      <c r="M1606">
        <v>6.2199999999999998E-2</v>
      </c>
      <c r="N1606">
        <v>-9.1999999999999998E-2</v>
      </c>
      <c r="O1606">
        <v>1</v>
      </c>
      <c r="P1606" t="b">
        <f t="shared" si="51"/>
        <v>1</v>
      </c>
      <c r="Q1606" t="str">
        <f t="shared" si="50"/>
        <v>Negative</v>
      </c>
    </row>
    <row r="1607" spans="1:17" x14ac:dyDescent="0.3">
      <c r="A1607" t="s">
        <v>2677</v>
      </c>
      <c r="B1607" t="s">
        <v>66</v>
      </c>
      <c r="C1607" t="s">
        <v>23</v>
      </c>
      <c r="D1607" t="s">
        <v>33</v>
      </c>
      <c r="E1607" t="s">
        <v>19</v>
      </c>
      <c r="F1607" t="s">
        <v>20</v>
      </c>
      <c r="G1607" s="1">
        <v>45529</v>
      </c>
      <c r="H1607" t="s">
        <v>692</v>
      </c>
      <c r="I1607">
        <v>4649710</v>
      </c>
      <c r="J1607">
        <v>178835</v>
      </c>
      <c r="K1607">
        <v>355</v>
      </c>
      <c r="L1607">
        <v>83849</v>
      </c>
      <c r="M1607">
        <v>5.6599999999999998E-2</v>
      </c>
      <c r="N1607">
        <v>0.27800000000000002</v>
      </c>
      <c r="O1607">
        <v>1</v>
      </c>
      <c r="P1607" t="b">
        <f t="shared" si="51"/>
        <v>1</v>
      </c>
      <c r="Q1607" t="str">
        <f t="shared" si="50"/>
        <v>Positive</v>
      </c>
    </row>
    <row r="1608" spans="1:17" x14ac:dyDescent="0.3">
      <c r="A1608" t="s">
        <v>2678</v>
      </c>
      <c r="B1608" t="s">
        <v>66</v>
      </c>
      <c r="C1608" t="s">
        <v>23</v>
      </c>
      <c r="D1608" t="s">
        <v>29</v>
      </c>
      <c r="E1608" t="s">
        <v>38</v>
      </c>
      <c r="F1608" t="s">
        <v>55</v>
      </c>
      <c r="G1608" s="1">
        <v>45357</v>
      </c>
      <c r="H1608" t="s">
        <v>2679</v>
      </c>
      <c r="I1608">
        <v>589722</v>
      </c>
      <c r="J1608">
        <v>84246</v>
      </c>
      <c r="K1608">
        <v>23595</v>
      </c>
      <c r="L1608">
        <v>94980</v>
      </c>
      <c r="M1608">
        <v>0.34389999999999998</v>
      </c>
      <c r="N1608">
        <v>0.57799999999999996</v>
      </c>
      <c r="O1608">
        <v>0</v>
      </c>
      <c r="P1608" t="b">
        <f t="shared" si="51"/>
        <v>0</v>
      </c>
      <c r="Q1608" t="str">
        <f t="shared" si="50"/>
        <v>Positive</v>
      </c>
    </row>
    <row r="1609" spans="1:17" x14ac:dyDescent="0.3">
      <c r="A1609" t="s">
        <v>2680</v>
      </c>
      <c r="B1609" t="s">
        <v>16</v>
      </c>
      <c r="C1609" t="s">
        <v>61</v>
      </c>
      <c r="D1609" t="s">
        <v>54</v>
      </c>
      <c r="E1609" t="s">
        <v>38</v>
      </c>
      <c r="F1609" t="s">
        <v>20</v>
      </c>
      <c r="G1609" s="1">
        <v>45599</v>
      </c>
      <c r="H1609" t="s">
        <v>2681</v>
      </c>
      <c r="I1609">
        <v>2355840</v>
      </c>
      <c r="J1609">
        <v>471168</v>
      </c>
      <c r="K1609">
        <v>35192</v>
      </c>
      <c r="L1609">
        <v>65035</v>
      </c>
      <c r="M1609">
        <v>0.24249999999999999</v>
      </c>
      <c r="N1609">
        <v>0.996</v>
      </c>
      <c r="O1609">
        <v>1</v>
      </c>
      <c r="P1609" t="b">
        <f t="shared" si="51"/>
        <v>1</v>
      </c>
      <c r="Q1609" t="str">
        <f t="shared" si="50"/>
        <v>Positive</v>
      </c>
    </row>
    <row r="1610" spans="1:17" x14ac:dyDescent="0.3">
      <c r="A1610" t="s">
        <v>2682</v>
      </c>
      <c r="B1610" t="s">
        <v>16</v>
      </c>
      <c r="C1610" t="s">
        <v>17</v>
      </c>
      <c r="D1610" t="s">
        <v>33</v>
      </c>
      <c r="E1610" t="s">
        <v>51</v>
      </c>
      <c r="F1610" t="s">
        <v>55</v>
      </c>
      <c r="G1610" s="1">
        <v>45643</v>
      </c>
      <c r="H1610" t="s">
        <v>360</v>
      </c>
      <c r="I1610">
        <v>420090</v>
      </c>
      <c r="J1610">
        <v>38190</v>
      </c>
      <c r="K1610">
        <v>11237</v>
      </c>
      <c r="L1610">
        <v>59413</v>
      </c>
      <c r="M1610">
        <v>0.2591</v>
      </c>
      <c r="N1610">
        <v>0.94899999999999995</v>
      </c>
      <c r="O1610">
        <v>0</v>
      </c>
      <c r="P1610" t="b">
        <f t="shared" si="51"/>
        <v>0</v>
      </c>
      <c r="Q1610" t="str">
        <f t="shared" si="50"/>
        <v>Positive</v>
      </c>
    </row>
    <row r="1611" spans="1:17" x14ac:dyDescent="0.3">
      <c r="A1611" t="s">
        <v>2683</v>
      </c>
      <c r="B1611" t="s">
        <v>66</v>
      </c>
      <c r="C1611" t="s">
        <v>17</v>
      </c>
      <c r="D1611" t="s">
        <v>54</v>
      </c>
      <c r="E1611" t="s">
        <v>41</v>
      </c>
      <c r="F1611" t="s">
        <v>24</v>
      </c>
      <c r="G1611" s="1">
        <v>45462</v>
      </c>
      <c r="H1611" t="s">
        <v>575</v>
      </c>
      <c r="I1611">
        <v>1031295</v>
      </c>
      <c r="J1611">
        <v>68753</v>
      </c>
      <c r="K1611">
        <v>36934</v>
      </c>
      <c r="L1611">
        <v>48292</v>
      </c>
      <c r="M1611">
        <v>0.14929999999999999</v>
      </c>
      <c r="N1611">
        <v>0.36199999999999999</v>
      </c>
      <c r="O1611">
        <v>0</v>
      </c>
      <c r="P1611" t="b">
        <f t="shared" si="51"/>
        <v>0</v>
      </c>
      <c r="Q1611" t="str">
        <f t="shared" si="50"/>
        <v>Positive</v>
      </c>
    </row>
    <row r="1612" spans="1:17" x14ac:dyDescent="0.3">
      <c r="A1612" t="s">
        <v>2684</v>
      </c>
      <c r="B1612" t="s">
        <v>27</v>
      </c>
      <c r="C1612" t="s">
        <v>28</v>
      </c>
      <c r="D1612" t="s">
        <v>18</v>
      </c>
      <c r="E1612" t="s">
        <v>19</v>
      </c>
      <c r="F1612" t="s">
        <v>20</v>
      </c>
      <c r="G1612" s="1">
        <v>45605</v>
      </c>
      <c r="H1612" t="s">
        <v>305</v>
      </c>
      <c r="I1612">
        <v>1564178</v>
      </c>
      <c r="J1612">
        <v>223454</v>
      </c>
      <c r="K1612">
        <v>14021</v>
      </c>
      <c r="L1612">
        <v>25023</v>
      </c>
      <c r="M1612">
        <v>0.1678</v>
      </c>
      <c r="N1612">
        <v>7.8E-2</v>
      </c>
      <c r="O1612">
        <v>0</v>
      </c>
      <c r="P1612" t="b">
        <f t="shared" si="51"/>
        <v>0</v>
      </c>
      <c r="Q1612" t="str">
        <f t="shared" si="50"/>
        <v>Positive</v>
      </c>
    </row>
    <row r="1613" spans="1:17" x14ac:dyDescent="0.3">
      <c r="A1613" t="s">
        <v>2685</v>
      </c>
      <c r="B1613" t="s">
        <v>27</v>
      </c>
      <c r="C1613" t="s">
        <v>17</v>
      </c>
      <c r="D1613" t="s">
        <v>18</v>
      </c>
      <c r="E1613" t="s">
        <v>51</v>
      </c>
      <c r="F1613" t="s">
        <v>34</v>
      </c>
      <c r="G1613" s="1">
        <v>45493</v>
      </c>
      <c r="H1613" t="s">
        <v>2686</v>
      </c>
      <c r="I1613">
        <v>5706225</v>
      </c>
      <c r="J1613">
        <v>380415</v>
      </c>
      <c r="K1613">
        <v>35717</v>
      </c>
      <c r="L1613">
        <v>61721</v>
      </c>
      <c r="M1613">
        <v>8.3699999999999997E-2</v>
      </c>
      <c r="N1613">
        <v>-0.122</v>
      </c>
      <c r="O1613">
        <v>1</v>
      </c>
      <c r="P1613" t="b">
        <f t="shared" si="51"/>
        <v>1</v>
      </c>
      <c r="Q1613" t="str">
        <f t="shared" si="50"/>
        <v>Negative</v>
      </c>
    </row>
    <row r="1614" spans="1:17" x14ac:dyDescent="0.3">
      <c r="A1614" t="s">
        <v>2687</v>
      </c>
      <c r="B1614" t="s">
        <v>32</v>
      </c>
      <c r="C1614" t="s">
        <v>17</v>
      </c>
      <c r="D1614" t="s">
        <v>33</v>
      </c>
      <c r="E1614" t="s">
        <v>51</v>
      </c>
      <c r="F1614" t="s">
        <v>46</v>
      </c>
      <c r="G1614" s="1">
        <v>45416</v>
      </c>
      <c r="H1614" t="s">
        <v>988</v>
      </c>
      <c r="I1614">
        <v>798948</v>
      </c>
      <c r="J1614">
        <v>133158</v>
      </c>
      <c r="K1614">
        <v>10947</v>
      </c>
      <c r="L1614">
        <v>82995</v>
      </c>
      <c r="M1614">
        <v>0.28420000000000001</v>
      </c>
      <c r="N1614">
        <v>0.65300000000000002</v>
      </c>
      <c r="O1614">
        <v>0</v>
      </c>
      <c r="P1614" t="b">
        <f t="shared" si="51"/>
        <v>0</v>
      </c>
      <c r="Q1614" t="str">
        <f t="shared" si="50"/>
        <v>Positive</v>
      </c>
    </row>
    <row r="1615" spans="1:17" x14ac:dyDescent="0.3">
      <c r="A1615" t="s">
        <v>2688</v>
      </c>
      <c r="B1615" t="s">
        <v>27</v>
      </c>
      <c r="C1615" t="s">
        <v>17</v>
      </c>
      <c r="D1615" t="s">
        <v>29</v>
      </c>
      <c r="E1615" t="s">
        <v>41</v>
      </c>
      <c r="F1615" t="s">
        <v>55</v>
      </c>
      <c r="G1615" s="1">
        <v>45322</v>
      </c>
      <c r="H1615" t="s">
        <v>447</v>
      </c>
      <c r="I1615">
        <v>3212487</v>
      </c>
      <c r="J1615">
        <v>356943</v>
      </c>
      <c r="K1615">
        <v>35780</v>
      </c>
      <c r="L1615">
        <v>99274</v>
      </c>
      <c r="M1615">
        <v>0.1532</v>
      </c>
      <c r="N1615">
        <v>0.71699999999999997</v>
      </c>
      <c r="O1615">
        <v>1</v>
      </c>
      <c r="P1615" t="b">
        <f t="shared" si="51"/>
        <v>1</v>
      </c>
      <c r="Q1615" t="str">
        <f t="shared" si="50"/>
        <v>Positive</v>
      </c>
    </row>
    <row r="1616" spans="1:17" x14ac:dyDescent="0.3">
      <c r="A1616" t="s">
        <v>2689</v>
      </c>
      <c r="B1616" t="s">
        <v>16</v>
      </c>
      <c r="C1616" t="s">
        <v>61</v>
      </c>
      <c r="D1616" t="s">
        <v>73</v>
      </c>
      <c r="E1616" t="s">
        <v>38</v>
      </c>
      <c r="F1616" t="s">
        <v>34</v>
      </c>
      <c r="G1616" s="1">
        <v>45475</v>
      </c>
      <c r="H1616" t="s">
        <v>927</v>
      </c>
      <c r="I1616">
        <v>1853362</v>
      </c>
      <c r="J1616">
        <v>132383</v>
      </c>
      <c r="K1616">
        <v>234</v>
      </c>
      <c r="L1616">
        <v>48543</v>
      </c>
      <c r="M1616">
        <v>9.7699999999999995E-2</v>
      </c>
      <c r="N1616">
        <v>-0.45</v>
      </c>
      <c r="O1616">
        <v>0</v>
      </c>
      <c r="P1616" t="b">
        <f t="shared" si="51"/>
        <v>0</v>
      </c>
      <c r="Q1616" t="str">
        <f t="shared" si="50"/>
        <v>Negative</v>
      </c>
    </row>
    <row r="1617" spans="1:17" x14ac:dyDescent="0.3">
      <c r="A1617" t="s">
        <v>2690</v>
      </c>
      <c r="B1617" t="s">
        <v>27</v>
      </c>
      <c r="C1617" t="s">
        <v>23</v>
      </c>
      <c r="D1617" t="s">
        <v>37</v>
      </c>
      <c r="E1617" t="s">
        <v>41</v>
      </c>
      <c r="F1617" t="s">
        <v>24</v>
      </c>
      <c r="G1617" s="1">
        <v>45321</v>
      </c>
      <c r="H1617" t="s">
        <v>104</v>
      </c>
      <c r="I1617">
        <v>1005459</v>
      </c>
      <c r="J1617">
        <v>47879</v>
      </c>
      <c r="K1617">
        <v>16890</v>
      </c>
      <c r="L1617">
        <v>92245</v>
      </c>
      <c r="M1617">
        <v>0.15620000000000001</v>
      </c>
      <c r="N1617">
        <v>-0.32400000000000001</v>
      </c>
      <c r="O1617">
        <v>0</v>
      </c>
      <c r="P1617" t="b">
        <f t="shared" si="51"/>
        <v>0</v>
      </c>
      <c r="Q1617" t="str">
        <f t="shared" si="50"/>
        <v>Negative</v>
      </c>
    </row>
    <row r="1618" spans="1:17" x14ac:dyDescent="0.3">
      <c r="A1618" t="s">
        <v>2691</v>
      </c>
      <c r="B1618" t="s">
        <v>66</v>
      </c>
      <c r="C1618" t="s">
        <v>61</v>
      </c>
      <c r="D1618" t="s">
        <v>37</v>
      </c>
      <c r="E1618" t="s">
        <v>51</v>
      </c>
      <c r="F1618" t="s">
        <v>55</v>
      </c>
      <c r="G1618" s="1">
        <v>45301</v>
      </c>
      <c r="H1618" t="s">
        <v>2692</v>
      </c>
      <c r="I1618">
        <v>2240235</v>
      </c>
      <c r="J1618">
        <v>248915</v>
      </c>
      <c r="K1618">
        <v>49543</v>
      </c>
      <c r="L1618">
        <v>99274</v>
      </c>
      <c r="M1618">
        <v>0.17749999999999999</v>
      </c>
      <c r="N1618">
        <v>-0.28899999999999998</v>
      </c>
      <c r="O1618">
        <v>1</v>
      </c>
      <c r="P1618" t="b">
        <f t="shared" si="51"/>
        <v>1</v>
      </c>
      <c r="Q1618" t="str">
        <f t="shared" si="50"/>
        <v>Negative</v>
      </c>
    </row>
    <row r="1619" spans="1:17" x14ac:dyDescent="0.3">
      <c r="A1619" t="s">
        <v>2693</v>
      </c>
      <c r="B1619" t="s">
        <v>27</v>
      </c>
      <c r="C1619" t="s">
        <v>28</v>
      </c>
      <c r="D1619" t="s">
        <v>33</v>
      </c>
      <c r="E1619" t="s">
        <v>58</v>
      </c>
      <c r="F1619" t="s">
        <v>34</v>
      </c>
      <c r="G1619" s="1">
        <v>45550</v>
      </c>
      <c r="H1619" t="s">
        <v>2694</v>
      </c>
      <c r="I1619">
        <v>714560</v>
      </c>
      <c r="J1619">
        <v>71456</v>
      </c>
      <c r="K1619">
        <v>14297</v>
      </c>
      <c r="L1619">
        <v>3053</v>
      </c>
      <c r="M1619">
        <v>0.12429999999999999</v>
      </c>
      <c r="N1619">
        <v>-0.38600000000000001</v>
      </c>
      <c r="O1619">
        <v>0</v>
      </c>
      <c r="P1619" t="b">
        <f t="shared" si="51"/>
        <v>0</v>
      </c>
      <c r="Q1619" t="str">
        <f t="shared" si="50"/>
        <v>Negative</v>
      </c>
    </row>
    <row r="1620" spans="1:17" x14ac:dyDescent="0.3">
      <c r="A1620" t="s">
        <v>2695</v>
      </c>
      <c r="B1620" t="s">
        <v>16</v>
      </c>
      <c r="C1620" t="s">
        <v>28</v>
      </c>
      <c r="D1620" t="s">
        <v>18</v>
      </c>
      <c r="E1620" t="s">
        <v>58</v>
      </c>
      <c r="F1620" t="s">
        <v>20</v>
      </c>
      <c r="G1620" s="1">
        <v>45467</v>
      </c>
      <c r="H1620" t="s">
        <v>134</v>
      </c>
      <c r="I1620">
        <v>7142727</v>
      </c>
      <c r="J1620">
        <v>375933</v>
      </c>
      <c r="K1620">
        <v>42572</v>
      </c>
      <c r="L1620">
        <v>15621</v>
      </c>
      <c r="M1620">
        <v>6.08E-2</v>
      </c>
      <c r="N1620">
        <v>0.311</v>
      </c>
      <c r="O1620">
        <v>1</v>
      </c>
      <c r="P1620" t="b">
        <f t="shared" si="51"/>
        <v>1</v>
      </c>
      <c r="Q1620" t="str">
        <f t="shared" si="50"/>
        <v>Positive</v>
      </c>
    </row>
    <row r="1621" spans="1:17" x14ac:dyDescent="0.3">
      <c r="A1621" t="s">
        <v>2696</v>
      </c>
      <c r="B1621" t="s">
        <v>27</v>
      </c>
      <c r="C1621" t="s">
        <v>28</v>
      </c>
      <c r="D1621" t="s">
        <v>18</v>
      </c>
      <c r="E1621" t="s">
        <v>41</v>
      </c>
      <c r="F1621" t="s">
        <v>55</v>
      </c>
      <c r="G1621" s="1">
        <v>45476</v>
      </c>
      <c r="H1621" t="s">
        <v>1331</v>
      </c>
      <c r="I1621">
        <v>229728</v>
      </c>
      <c r="J1621">
        <v>9572</v>
      </c>
      <c r="K1621">
        <v>3732</v>
      </c>
      <c r="L1621">
        <v>57603</v>
      </c>
      <c r="M1621">
        <v>0.30869999999999997</v>
      </c>
      <c r="N1621">
        <v>0.43099999999999999</v>
      </c>
      <c r="O1621">
        <v>0</v>
      </c>
      <c r="P1621" t="b">
        <f t="shared" si="51"/>
        <v>0</v>
      </c>
      <c r="Q1621" t="str">
        <f t="shared" si="50"/>
        <v>Positive</v>
      </c>
    </row>
    <row r="1622" spans="1:17" x14ac:dyDescent="0.3">
      <c r="A1622" t="s">
        <v>2697</v>
      </c>
      <c r="B1622" t="s">
        <v>32</v>
      </c>
      <c r="C1622" t="s">
        <v>28</v>
      </c>
      <c r="D1622" t="s">
        <v>18</v>
      </c>
      <c r="E1622" t="s">
        <v>58</v>
      </c>
      <c r="F1622" t="s">
        <v>46</v>
      </c>
      <c r="G1622" s="1">
        <v>45589</v>
      </c>
      <c r="H1622" t="s">
        <v>78</v>
      </c>
      <c r="I1622">
        <v>1786320</v>
      </c>
      <c r="J1622">
        <v>66160</v>
      </c>
      <c r="K1622">
        <v>9084</v>
      </c>
      <c r="L1622">
        <v>8400</v>
      </c>
      <c r="M1622">
        <v>4.6800000000000001E-2</v>
      </c>
      <c r="N1622">
        <v>-1.2E-2</v>
      </c>
      <c r="O1622">
        <v>0</v>
      </c>
      <c r="P1622" t="b">
        <f t="shared" si="51"/>
        <v>0</v>
      </c>
      <c r="Q1622" t="str">
        <f t="shared" si="50"/>
        <v>Negative</v>
      </c>
    </row>
    <row r="1623" spans="1:17" x14ac:dyDescent="0.3">
      <c r="A1623" t="s">
        <v>2698</v>
      </c>
      <c r="B1623" t="s">
        <v>32</v>
      </c>
      <c r="C1623" t="s">
        <v>23</v>
      </c>
      <c r="D1623" t="s">
        <v>18</v>
      </c>
      <c r="E1623" t="s">
        <v>19</v>
      </c>
      <c r="F1623" t="s">
        <v>34</v>
      </c>
      <c r="G1623" s="1">
        <v>45475</v>
      </c>
      <c r="H1623" t="s">
        <v>2699</v>
      </c>
      <c r="I1623">
        <v>3849330</v>
      </c>
      <c r="J1623">
        <v>384933</v>
      </c>
      <c r="K1623">
        <v>16826</v>
      </c>
      <c r="L1623">
        <v>43163</v>
      </c>
      <c r="M1623">
        <v>0.11559999999999999</v>
      </c>
      <c r="N1623">
        <v>2E-3</v>
      </c>
      <c r="O1623">
        <v>1</v>
      </c>
      <c r="P1623" t="b">
        <f t="shared" si="51"/>
        <v>1</v>
      </c>
      <c r="Q1623" t="str">
        <f t="shared" si="50"/>
        <v>Positive</v>
      </c>
    </row>
    <row r="1624" spans="1:17" x14ac:dyDescent="0.3">
      <c r="A1624" t="s">
        <v>2700</v>
      </c>
      <c r="B1624" t="s">
        <v>32</v>
      </c>
      <c r="C1624" t="s">
        <v>17</v>
      </c>
      <c r="D1624" t="s">
        <v>29</v>
      </c>
      <c r="E1624" t="s">
        <v>58</v>
      </c>
      <c r="F1624" t="s">
        <v>34</v>
      </c>
      <c r="G1624" s="1">
        <v>45419</v>
      </c>
      <c r="H1624" t="s">
        <v>2701</v>
      </c>
      <c r="I1624">
        <v>514386</v>
      </c>
      <c r="J1624">
        <v>28577</v>
      </c>
      <c r="K1624">
        <v>24575</v>
      </c>
      <c r="L1624">
        <v>86374</v>
      </c>
      <c r="M1624">
        <v>0.2712</v>
      </c>
      <c r="N1624">
        <v>0.875</v>
      </c>
      <c r="O1624">
        <v>0</v>
      </c>
      <c r="P1624" t="b">
        <f t="shared" si="51"/>
        <v>0</v>
      </c>
      <c r="Q1624" t="str">
        <f t="shared" si="50"/>
        <v>Positive</v>
      </c>
    </row>
    <row r="1625" spans="1:17" x14ac:dyDescent="0.3">
      <c r="A1625" t="s">
        <v>2702</v>
      </c>
      <c r="B1625" t="s">
        <v>66</v>
      </c>
      <c r="C1625" t="s">
        <v>61</v>
      </c>
      <c r="D1625" t="s">
        <v>29</v>
      </c>
      <c r="E1625" t="s">
        <v>19</v>
      </c>
      <c r="F1625" t="s">
        <v>24</v>
      </c>
      <c r="G1625" s="1">
        <v>45355</v>
      </c>
      <c r="H1625" t="s">
        <v>44</v>
      </c>
      <c r="I1625">
        <v>116275</v>
      </c>
      <c r="J1625">
        <v>4651</v>
      </c>
      <c r="K1625">
        <v>2828</v>
      </c>
      <c r="L1625">
        <v>54881</v>
      </c>
      <c r="M1625">
        <v>0.5363</v>
      </c>
      <c r="N1625">
        <v>0.34300000000000003</v>
      </c>
      <c r="O1625">
        <v>0</v>
      </c>
      <c r="P1625" t="b">
        <f t="shared" si="51"/>
        <v>0</v>
      </c>
      <c r="Q1625" t="str">
        <f t="shared" si="50"/>
        <v>Positive</v>
      </c>
    </row>
    <row r="1626" spans="1:17" x14ac:dyDescent="0.3">
      <c r="A1626" t="s">
        <v>2703</v>
      </c>
      <c r="B1626" t="s">
        <v>66</v>
      </c>
      <c r="C1626" t="s">
        <v>17</v>
      </c>
      <c r="D1626" t="s">
        <v>73</v>
      </c>
      <c r="E1626" t="s">
        <v>38</v>
      </c>
      <c r="F1626" t="s">
        <v>24</v>
      </c>
      <c r="G1626" s="1">
        <v>45612</v>
      </c>
      <c r="H1626" t="s">
        <v>2704</v>
      </c>
      <c r="I1626">
        <v>3970191</v>
      </c>
      <c r="J1626">
        <v>172617</v>
      </c>
      <c r="K1626">
        <v>47641</v>
      </c>
      <c r="L1626">
        <v>73928</v>
      </c>
      <c r="M1626">
        <v>7.4099999999999999E-2</v>
      </c>
      <c r="N1626">
        <v>0.26200000000000001</v>
      </c>
      <c r="O1626">
        <v>1</v>
      </c>
      <c r="P1626" t="b">
        <f t="shared" si="51"/>
        <v>1</v>
      </c>
      <c r="Q1626" t="str">
        <f t="shared" si="50"/>
        <v>Positive</v>
      </c>
    </row>
    <row r="1627" spans="1:17" x14ac:dyDescent="0.3">
      <c r="A1627" t="s">
        <v>2705</v>
      </c>
      <c r="B1627" t="s">
        <v>16</v>
      </c>
      <c r="C1627" t="s">
        <v>61</v>
      </c>
      <c r="D1627" t="s">
        <v>18</v>
      </c>
      <c r="E1627" t="s">
        <v>58</v>
      </c>
      <c r="F1627" t="s">
        <v>24</v>
      </c>
      <c r="G1627" s="1">
        <v>45482</v>
      </c>
      <c r="H1627" t="s">
        <v>2706</v>
      </c>
      <c r="I1627">
        <v>8427840</v>
      </c>
      <c r="J1627">
        <v>351160</v>
      </c>
      <c r="K1627">
        <v>42436</v>
      </c>
      <c r="L1627">
        <v>94456</v>
      </c>
      <c r="M1627">
        <v>5.79E-2</v>
      </c>
      <c r="N1627">
        <v>2.8000000000000001E-2</v>
      </c>
      <c r="O1627">
        <v>1</v>
      </c>
      <c r="P1627" t="b">
        <f t="shared" si="51"/>
        <v>1</v>
      </c>
      <c r="Q1627" t="str">
        <f t="shared" si="50"/>
        <v>Positive</v>
      </c>
    </row>
    <row r="1628" spans="1:17" x14ac:dyDescent="0.3">
      <c r="A1628" t="s">
        <v>2707</v>
      </c>
      <c r="B1628" t="s">
        <v>16</v>
      </c>
      <c r="C1628" t="s">
        <v>23</v>
      </c>
      <c r="D1628" t="s">
        <v>54</v>
      </c>
      <c r="E1628" t="s">
        <v>19</v>
      </c>
      <c r="F1628" t="s">
        <v>24</v>
      </c>
      <c r="G1628" s="1">
        <v>45403</v>
      </c>
      <c r="H1628" t="s">
        <v>2708</v>
      </c>
      <c r="I1628">
        <v>5089645</v>
      </c>
      <c r="J1628">
        <v>175505</v>
      </c>
      <c r="K1628">
        <v>43043</v>
      </c>
      <c r="L1628">
        <v>58866</v>
      </c>
      <c r="M1628">
        <v>5.45E-2</v>
      </c>
      <c r="N1628">
        <v>5.3999999999999999E-2</v>
      </c>
      <c r="O1628">
        <v>1</v>
      </c>
      <c r="P1628" t="b">
        <f t="shared" si="51"/>
        <v>1</v>
      </c>
      <c r="Q1628" t="str">
        <f t="shared" si="50"/>
        <v>Positive</v>
      </c>
    </row>
    <row r="1629" spans="1:17" x14ac:dyDescent="0.3">
      <c r="A1629" t="s">
        <v>2709</v>
      </c>
      <c r="B1629" t="s">
        <v>16</v>
      </c>
      <c r="C1629" t="s">
        <v>61</v>
      </c>
      <c r="D1629" t="s">
        <v>29</v>
      </c>
      <c r="E1629" t="s">
        <v>19</v>
      </c>
      <c r="F1629" t="s">
        <v>20</v>
      </c>
      <c r="G1629" s="1">
        <v>45605</v>
      </c>
      <c r="H1629" t="s">
        <v>2710</v>
      </c>
      <c r="I1629">
        <v>1593592</v>
      </c>
      <c r="J1629">
        <v>61292</v>
      </c>
      <c r="K1629">
        <v>48738</v>
      </c>
      <c r="L1629">
        <v>25994</v>
      </c>
      <c r="M1629">
        <v>8.5400000000000004E-2</v>
      </c>
      <c r="N1629">
        <v>-0.627</v>
      </c>
      <c r="O1629">
        <v>0</v>
      </c>
      <c r="P1629" t="b">
        <f t="shared" si="51"/>
        <v>0</v>
      </c>
      <c r="Q1629" t="str">
        <f t="shared" si="50"/>
        <v>Negative</v>
      </c>
    </row>
    <row r="1630" spans="1:17" x14ac:dyDescent="0.3">
      <c r="A1630" t="s">
        <v>2711</v>
      </c>
      <c r="B1630" t="s">
        <v>66</v>
      </c>
      <c r="C1630" t="s">
        <v>23</v>
      </c>
      <c r="D1630" t="s">
        <v>33</v>
      </c>
      <c r="E1630" t="s">
        <v>51</v>
      </c>
      <c r="F1630" t="s">
        <v>34</v>
      </c>
      <c r="G1630" s="1">
        <v>45598</v>
      </c>
      <c r="H1630" t="s">
        <v>1690</v>
      </c>
      <c r="I1630">
        <v>13034736</v>
      </c>
      <c r="J1630">
        <v>482768</v>
      </c>
      <c r="K1630">
        <v>41513</v>
      </c>
      <c r="L1630">
        <v>49991</v>
      </c>
      <c r="M1630">
        <v>4.41E-2</v>
      </c>
      <c r="N1630">
        <v>-0.20699999999999999</v>
      </c>
      <c r="O1630">
        <v>1</v>
      </c>
      <c r="P1630" t="b">
        <f t="shared" si="51"/>
        <v>1</v>
      </c>
      <c r="Q1630" t="str">
        <f t="shared" si="50"/>
        <v>Negative</v>
      </c>
    </row>
    <row r="1631" spans="1:17" x14ac:dyDescent="0.3">
      <c r="A1631" t="s">
        <v>2712</v>
      </c>
      <c r="B1631" t="s">
        <v>32</v>
      </c>
      <c r="C1631" t="s">
        <v>28</v>
      </c>
      <c r="D1631" t="s">
        <v>29</v>
      </c>
      <c r="E1631" t="s">
        <v>19</v>
      </c>
      <c r="F1631" t="s">
        <v>20</v>
      </c>
      <c r="G1631" s="1">
        <v>45538</v>
      </c>
      <c r="H1631" t="s">
        <v>2713</v>
      </c>
      <c r="I1631">
        <v>8832384</v>
      </c>
      <c r="J1631">
        <v>490688</v>
      </c>
      <c r="K1631">
        <v>37482</v>
      </c>
      <c r="L1631">
        <v>70310</v>
      </c>
      <c r="M1631">
        <v>6.7799999999999999E-2</v>
      </c>
      <c r="N1631">
        <v>0.997</v>
      </c>
      <c r="O1631">
        <v>1</v>
      </c>
      <c r="P1631" t="b">
        <f t="shared" si="51"/>
        <v>1</v>
      </c>
      <c r="Q1631" t="str">
        <f t="shared" si="50"/>
        <v>Positive</v>
      </c>
    </row>
    <row r="1632" spans="1:17" x14ac:dyDescent="0.3">
      <c r="A1632" t="s">
        <v>2714</v>
      </c>
      <c r="B1632" t="s">
        <v>27</v>
      </c>
      <c r="C1632" t="s">
        <v>17</v>
      </c>
      <c r="D1632" t="s">
        <v>73</v>
      </c>
      <c r="E1632" t="s">
        <v>41</v>
      </c>
      <c r="F1632" t="s">
        <v>34</v>
      </c>
      <c r="G1632" s="1">
        <v>45304</v>
      </c>
      <c r="H1632" t="s">
        <v>298</v>
      </c>
      <c r="I1632">
        <v>12374544</v>
      </c>
      <c r="J1632">
        <v>441948</v>
      </c>
      <c r="K1632">
        <v>21581</v>
      </c>
      <c r="L1632">
        <v>3321</v>
      </c>
      <c r="M1632">
        <v>3.7699999999999997E-2</v>
      </c>
      <c r="N1632">
        <v>0.93300000000000005</v>
      </c>
      <c r="O1632">
        <v>1</v>
      </c>
      <c r="P1632" t="b">
        <f t="shared" si="51"/>
        <v>1</v>
      </c>
      <c r="Q1632" t="str">
        <f t="shared" si="50"/>
        <v>Positive</v>
      </c>
    </row>
    <row r="1633" spans="1:17" x14ac:dyDescent="0.3">
      <c r="A1633" t="s">
        <v>2715</v>
      </c>
      <c r="B1633" t="s">
        <v>32</v>
      </c>
      <c r="C1633" t="s">
        <v>17</v>
      </c>
      <c r="D1633" t="s">
        <v>37</v>
      </c>
      <c r="E1633" t="s">
        <v>41</v>
      </c>
      <c r="F1633" t="s">
        <v>24</v>
      </c>
      <c r="G1633" s="1">
        <v>45568</v>
      </c>
      <c r="H1633" t="s">
        <v>692</v>
      </c>
      <c r="I1633">
        <v>3362304</v>
      </c>
      <c r="J1633">
        <v>280192</v>
      </c>
      <c r="K1633">
        <v>38831</v>
      </c>
      <c r="L1633">
        <v>89052</v>
      </c>
      <c r="M1633">
        <v>0.12139999999999999</v>
      </c>
      <c r="N1633">
        <v>0.48299999999999998</v>
      </c>
      <c r="O1633">
        <v>1</v>
      </c>
      <c r="P1633" t="b">
        <f t="shared" si="51"/>
        <v>1</v>
      </c>
      <c r="Q1633" t="str">
        <f t="shared" si="50"/>
        <v>Positive</v>
      </c>
    </row>
    <row r="1634" spans="1:17" x14ac:dyDescent="0.3">
      <c r="A1634" t="s">
        <v>2716</v>
      </c>
      <c r="B1634" t="s">
        <v>27</v>
      </c>
      <c r="C1634" t="s">
        <v>23</v>
      </c>
      <c r="D1634" t="s">
        <v>73</v>
      </c>
      <c r="E1634" t="s">
        <v>41</v>
      </c>
      <c r="F1634" t="s">
        <v>34</v>
      </c>
      <c r="G1634" s="1">
        <v>45405</v>
      </c>
      <c r="H1634" t="s">
        <v>2717</v>
      </c>
      <c r="I1634">
        <v>3605168</v>
      </c>
      <c r="J1634">
        <v>257512</v>
      </c>
      <c r="K1634">
        <v>6702</v>
      </c>
      <c r="L1634">
        <v>44679</v>
      </c>
      <c r="M1634">
        <v>8.5699999999999998E-2</v>
      </c>
      <c r="N1634">
        <v>-0.29499999999999998</v>
      </c>
      <c r="O1634">
        <v>1</v>
      </c>
      <c r="P1634" t="b">
        <f t="shared" si="51"/>
        <v>1</v>
      </c>
      <c r="Q1634" t="str">
        <f t="shared" si="50"/>
        <v>Negative</v>
      </c>
    </row>
    <row r="1635" spans="1:17" x14ac:dyDescent="0.3">
      <c r="A1635" t="s">
        <v>2718</v>
      </c>
      <c r="B1635" t="s">
        <v>16</v>
      </c>
      <c r="C1635" t="s">
        <v>23</v>
      </c>
      <c r="D1635" t="s">
        <v>54</v>
      </c>
      <c r="E1635" t="s">
        <v>51</v>
      </c>
      <c r="F1635" t="s">
        <v>34</v>
      </c>
      <c r="G1635" s="1">
        <v>45350</v>
      </c>
      <c r="H1635" t="s">
        <v>470</v>
      </c>
      <c r="I1635">
        <v>297204</v>
      </c>
      <c r="J1635">
        <v>49534</v>
      </c>
      <c r="K1635">
        <v>1086</v>
      </c>
      <c r="L1635">
        <v>20270</v>
      </c>
      <c r="M1635">
        <v>0.23849999999999999</v>
      </c>
      <c r="N1635">
        <v>0.35199999999999998</v>
      </c>
      <c r="O1635">
        <v>0</v>
      </c>
      <c r="P1635" t="b">
        <f t="shared" si="51"/>
        <v>0</v>
      </c>
      <c r="Q1635" t="str">
        <f t="shared" si="50"/>
        <v>Positive</v>
      </c>
    </row>
    <row r="1636" spans="1:17" x14ac:dyDescent="0.3">
      <c r="A1636" t="s">
        <v>2719</v>
      </c>
      <c r="B1636" t="s">
        <v>66</v>
      </c>
      <c r="C1636" t="s">
        <v>23</v>
      </c>
      <c r="D1636" t="s">
        <v>18</v>
      </c>
      <c r="E1636" t="s">
        <v>58</v>
      </c>
      <c r="F1636" t="s">
        <v>55</v>
      </c>
      <c r="G1636" s="1">
        <v>45479</v>
      </c>
      <c r="H1636" t="s">
        <v>2720</v>
      </c>
      <c r="I1636">
        <v>4787664</v>
      </c>
      <c r="J1636">
        <v>341976</v>
      </c>
      <c r="K1636">
        <v>42117</v>
      </c>
      <c r="L1636">
        <v>81495</v>
      </c>
      <c r="M1636">
        <v>9.7199999999999995E-2</v>
      </c>
      <c r="N1636">
        <v>2.5999999999999999E-2</v>
      </c>
      <c r="O1636">
        <v>1</v>
      </c>
      <c r="P1636" t="b">
        <f t="shared" si="51"/>
        <v>1</v>
      </c>
      <c r="Q1636" t="str">
        <f t="shared" si="50"/>
        <v>Positive</v>
      </c>
    </row>
    <row r="1637" spans="1:17" x14ac:dyDescent="0.3">
      <c r="A1637" t="s">
        <v>2721</v>
      </c>
      <c r="B1637" t="s">
        <v>32</v>
      </c>
      <c r="C1637" t="s">
        <v>28</v>
      </c>
      <c r="D1637" t="s">
        <v>54</v>
      </c>
      <c r="E1637" t="s">
        <v>51</v>
      </c>
      <c r="F1637" t="s">
        <v>34</v>
      </c>
      <c r="G1637" s="1">
        <v>45442</v>
      </c>
      <c r="H1637" t="s">
        <v>2722</v>
      </c>
      <c r="I1637">
        <v>1687000</v>
      </c>
      <c r="J1637">
        <v>168700</v>
      </c>
      <c r="K1637">
        <v>13441</v>
      </c>
      <c r="L1637">
        <v>65603</v>
      </c>
      <c r="M1637">
        <v>0.1469</v>
      </c>
      <c r="N1637">
        <v>0.158</v>
      </c>
      <c r="O1637">
        <v>0</v>
      </c>
      <c r="P1637" t="b">
        <f t="shared" si="51"/>
        <v>0</v>
      </c>
      <c r="Q1637" t="str">
        <f t="shared" si="50"/>
        <v>Positive</v>
      </c>
    </row>
    <row r="1638" spans="1:17" x14ac:dyDescent="0.3">
      <c r="A1638" t="s">
        <v>2723</v>
      </c>
      <c r="B1638" t="s">
        <v>27</v>
      </c>
      <c r="C1638" t="s">
        <v>17</v>
      </c>
      <c r="D1638" t="s">
        <v>18</v>
      </c>
      <c r="E1638" t="s">
        <v>38</v>
      </c>
      <c r="F1638" t="s">
        <v>34</v>
      </c>
      <c r="G1638" s="1">
        <v>45383</v>
      </c>
      <c r="H1638" t="s">
        <v>2724</v>
      </c>
      <c r="I1638">
        <v>4441608</v>
      </c>
      <c r="J1638">
        <v>164504</v>
      </c>
      <c r="K1638">
        <v>25406</v>
      </c>
      <c r="L1638">
        <v>78930</v>
      </c>
      <c r="M1638">
        <v>6.0499999999999998E-2</v>
      </c>
      <c r="N1638">
        <v>0.61799999999999999</v>
      </c>
      <c r="O1638">
        <v>1</v>
      </c>
      <c r="P1638" t="b">
        <f t="shared" si="51"/>
        <v>1</v>
      </c>
      <c r="Q1638" t="str">
        <f t="shared" si="50"/>
        <v>Positive</v>
      </c>
    </row>
    <row r="1639" spans="1:17" x14ac:dyDescent="0.3">
      <c r="A1639" t="s">
        <v>2725</v>
      </c>
      <c r="B1639" t="s">
        <v>32</v>
      </c>
      <c r="C1639" t="s">
        <v>17</v>
      </c>
      <c r="D1639" t="s">
        <v>29</v>
      </c>
      <c r="E1639" t="s">
        <v>19</v>
      </c>
      <c r="F1639" t="s">
        <v>55</v>
      </c>
      <c r="G1639" s="1">
        <v>45473</v>
      </c>
      <c r="H1639" t="s">
        <v>35</v>
      </c>
      <c r="I1639">
        <v>4829363</v>
      </c>
      <c r="J1639">
        <v>439033</v>
      </c>
      <c r="K1639">
        <v>33577</v>
      </c>
      <c r="L1639">
        <v>27028</v>
      </c>
      <c r="M1639">
        <v>0.10349999999999999</v>
      </c>
      <c r="N1639">
        <v>0.90100000000000002</v>
      </c>
      <c r="O1639">
        <v>1</v>
      </c>
      <c r="P1639" t="b">
        <f t="shared" si="51"/>
        <v>1</v>
      </c>
      <c r="Q1639" t="str">
        <f t="shared" si="50"/>
        <v>Positive</v>
      </c>
    </row>
    <row r="1640" spans="1:17" x14ac:dyDescent="0.3">
      <c r="A1640" t="s">
        <v>2726</v>
      </c>
      <c r="B1640" t="s">
        <v>32</v>
      </c>
      <c r="C1640" t="s">
        <v>61</v>
      </c>
      <c r="D1640" t="s">
        <v>29</v>
      </c>
      <c r="E1640" t="s">
        <v>51</v>
      </c>
      <c r="F1640" t="s">
        <v>46</v>
      </c>
      <c r="G1640" s="1">
        <v>45581</v>
      </c>
      <c r="H1640" t="s">
        <v>449</v>
      </c>
      <c r="I1640">
        <v>1060227</v>
      </c>
      <c r="J1640">
        <v>50487</v>
      </c>
      <c r="K1640">
        <v>23109</v>
      </c>
      <c r="L1640">
        <v>12225</v>
      </c>
      <c r="M1640">
        <v>8.09E-2</v>
      </c>
      <c r="N1640">
        <v>-0.13600000000000001</v>
      </c>
      <c r="O1640">
        <v>0</v>
      </c>
      <c r="P1640" t="b">
        <f t="shared" si="51"/>
        <v>0</v>
      </c>
      <c r="Q1640" t="str">
        <f t="shared" si="50"/>
        <v>Negative</v>
      </c>
    </row>
    <row r="1641" spans="1:17" x14ac:dyDescent="0.3">
      <c r="A1641" t="s">
        <v>2727</v>
      </c>
      <c r="B1641" t="s">
        <v>66</v>
      </c>
      <c r="C1641" t="s">
        <v>28</v>
      </c>
      <c r="D1641" t="s">
        <v>37</v>
      </c>
      <c r="E1641" t="s">
        <v>41</v>
      </c>
      <c r="F1641" t="s">
        <v>55</v>
      </c>
      <c r="G1641" s="1">
        <v>45611</v>
      </c>
      <c r="H1641" t="s">
        <v>2728</v>
      </c>
      <c r="I1641">
        <v>2958072</v>
      </c>
      <c r="J1641">
        <v>227544</v>
      </c>
      <c r="K1641">
        <v>29304</v>
      </c>
      <c r="L1641">
        <v>78573</v>
      </c>
      <c r="M1641">
        <v>0.1134</v>
      </c>
      <c r="N1641">
        <v>-0.66700000000000004</v>
      </c>
      <c r="O1641">
        <v>1</v>
      </c>
      <c r="P1641" t="b">
        <f t="shared" si="51"/>
        <v>1</v>
      </c>
      <c r="Q1641" t="str">
        <f t="shared" si="50"/>
        <v>Negative</v>
      </c>
    </row>
    <row r="1642" spans="1:17" x14ac:dyDescent="0.3">
      <c r="A1642" t="s">
        <v>2729</v>
      </c>
      <c r="B1642" t="s">
        <v>66</v>
      </c>
      <c r="C1642" t="s">
        <v>17</v>
      </c>
      <c r="D1642" t="s">
        <v>37</v>
      </c>
      <c r="E1642" t="s">
        <v>38</v>
      </c>
      <c r="F1642" t="s">
        <v>46</v>
      </c>
      <c r="G1642" s="1">
        <v>45439</v>
      </c>
      <c r="H1642" t="s">
        <v>2730</v>
      </c>
      <c r="I1642">
        <v>7458780</v>
      </c>
      <c r="J1642">
        <v>266385</v>
      </c>
      <c r="K1642">
        <v>23355</v>
      </c>
      <c r="L1642">
        <v>75083</v>
      </c>
      <c r="M1642">
        <v>4.8899999999999999E-2</v>
      </c>
      <c r="N1642">
        <v>-0.52900000000000003</v>
      </c>
      <c r="O1642">
        <v>1</v>
      </c>
      <c r="P1642" t="b">
        <f t="shared" si="51"/>
        <v>1</v>
      </c>
      <c r="Q1642" t="str">
        <f t="shared" si="50"/>
        <v>Negative</v>
      </c>
    </row>
    <row r="1643" spans="1:17" x14ac:dyDescent="0.3">
      <c r="A1643" t="s">
        <v>2731</v>
      </c>
      <c r="B1643" t="s">
        <v>32</v>
      </c>
      <c r="C1643" t="s">
        <v>23</v>
      </c>
      <c r="D1643" t="s">
        <v>29</v>
      </c>
      <c r="E1643" t="s">
        <v>58</v>
      </c>
      <c r="F1643" t="s">
        <v>46</v>
      </c>
      <c r="G1643" s="1">
        <v>45557</v>
      </c>
      <c r="H1643" t="s">
        <v>2732</v>
      </c>
      <c r="I1643">
        <v>13004964</v>
      </c>
      <c r="J1643">
        <v>464463</v>
      </c>
      <c r="K1643">
        <v>40862</v>
      </c>
      <c r="L1643">
        <v>59841</v>
      </c>
      <c r="M1643">
        <v>4.3499999999999997E-2</v>
      </c>
      <c r="N1643">
        <v>-0.71199999999999997</v>
      </c>
      <c r="O1643">
        <v>1</v>
      </c>
      <c r="P1643" t="b">
        <f t="shared" si="51"/>
        <v>1</v>
      </c>
      <c r="Q1643" t="str">
        <f t="shared" si="50"/>
        <v>Negative</v>
      </c>
    </row>
    <row r="1644" spans="1:17" x14ac:dyDescent="0.3">
      <c r="A1644" t="s">
        <v>2733</v>
      </c>
      <c r="B1644" t="s">
        <v>16</v>
      </c>
      <c r="C1644" t="s">
        <v>17</v>
      </c>
      <c r="D1644" t="s">
        <v>33</v>
      </c>
      <c r="E1644" t="s">
        <v>41</v>
      </c>
      <c r="F1644" t="s">
        <v>46</v>
      </c>
      <c r="G1644" s="1">
        <v>45583</v>
      </c>
      <c r="H1644" t="s">
        <v>1877</v>
      </c>
      <c r="I1644">
        <v>5644920</v>
      </c>
      <c r="J1644">
        <v>282246</v>
      </c>
      <c r="K1644">
        <v>39456</v>
      </c>
      <c r="L1644">
        <v>99812</v>
      </c>
      <c r="M1644">
        <v>7.4700000000000003E-2</v>
      </c>
      <c r="N1644">
        <v>-0.58399999999999996</v>
      </c>
      <c r="O1644">
        <v>1</v>
      </c>
      <c r="P1644" t="b">
        <f t="shared" si="51"/>
        <v>1</v>
      </c>
      <c r="Q1644" t="str">
        <f t="shared" si="50"/>
        <v>Negative</v>
      </c>
    </row>
    <row r="1645" spans="1:17" x14ac:dyDescent="0.3">
      <c r="A1645" t="s">
        <v>2734</v>
      </c>
      <c r="B1645" t="s">
        <v>32</v>
      </c>
      <c r="C1645" t="s">
        <v>23</v>
      </c>
      <c r="D1645" t="s">
        <v>33</v>
      </c>
      <c r="E1645" t="s">
        <v>19</v>
      </c>
      <c r="F1645" t="s">
        <v>20</v>
      </c>
      <c r="G1645" s="1">
        <v>45327</v>
      </c>
      <c r="H1645" t="s">
        <v>2735</v>
      </c>
      <c r="I1645">
        <v>6487052</v>
      </c>
      <c r="J1645">
        <v>249502</v>
      </c>
      <c r="K1645">
        <v>34773</v>
      </c>
      <c r="L1645">
        <v>96499</v>
      </c>
      <c r="M1645">
        <v>5.8700000000000002E-2</v>
      </c>
      <c r="N1645">
        <v>0.79</v>
      </c>
      <c r="O1645">
        <v>1</v>
      </c>
      <c r="P1645" t="b">
        <f t="shared" si="51"/>
        <v>1</v>
      </c>
      <c r="Q1645" t="str">
        <f t="shared" si="50"/>
        <v>Positive</v>
      </c>
    </row>
    <row r="1646" spans="1:17" x14ac:dyDescent="0.3">
      <c r="A1646" t="s">
        <v>2736</v>
      </c>
      <c r="B1646" t="s">
        <v>27</v>
      </c>
      <c r="C1646" t="s">
        <v>17</v>
      </c>
      <c r="D1646" t="s">
        <v>37</v>
      </c>
      <c r="E1646" t="s">
        <v>51</v>
      </c>
      <c r="F1646" t="s">
        <v>24</v>
      </c>
      <c r="G1646" s="1">
        <v>45489</v>
      </c>
      <c r="H1646" t="s">
        <v>930</v>
      </c>
      <c r="I1646">
        <v>4936110</v>
      </c>
      <c r="J1646">
        <v>329074</v>
      </c>
      <c r="K1646">
        <v>15101</v>
      </c>
      <c r="L1646">
        <v>36834</v>
      </c>
      <c r="M1646">
        <v>7.7200000000000005E-2</v>
      </c>
      <c r="N1646">
        <v>0.66500000000000004</v>
      </c>
      <c r="O1646">
        <v>1</v>
      </c>
      <c r="P1646" t="b">
        <f t="shared" si="51"/>
        <v>1</v>
      </c>
      <c r="Q1646" t="str">
        <f t="shared" si="50"/>
        <v>Positive</v>
      </c>
    </row>
    <row r="1647" spans="1:17" x14ac:dyDescent="0.3">
      <c r="A1647" t="s">
        <v>2737</v>
      </c>
      <c r="B1647" t="s">
        <v>66</v>
      </c>
      <c r="C1647" t="s">
        <v>17</v>
      </c>
      <c r="D1647" t="s">
        <v>18</v>
      </c>
      <c r="E1647" t="s">
        <v>51</v>
      </c>
      <c r="F1647" t="s">
        <v>46</v>
      </c>
      <c r="G1647" s="1">
        <v>45592</v>
      </c>
      <c r="H1647" t="s">
        <v>2738</v>
      </c>
      <c r="I1647">
        <v>431578</v>
      </c>
      <c r="J1647">
        <v>61654</v>
      </c>
      <c r="K1647">
        <v>17711</v>
      </c>
      <c r="L1647">
        <v>22341</v>
      </c>
      <c r="M1647">
        <v>0.23569999999999999</v>
      </c>
      <c r="N1647">
        <v>-0.66900000000000004</v>
      </c>
      <c r="O1647">
        <v>0</v>
      </c>
      <c r="P1647" t="b">
        <f t="shared" si="51"/>
        <v>0</v>
      </c>
      <c r="Q1647" t="str">
        <f t="shared" si="50"/>
        <v>Negative</v>
      </c>
    </row>
    <row r="1648" spans="1:17" x14ac:dyDescent="0.3">
      <c r="A1648" t="s">
        <v>2739</v>
      </c>
      <c r="B1648" t="s">
        <v>32</v>
      </c>
      <c r="C1648" t="s">
        <v>17</v>
      </c>
      <c r="D1648" t="s">
        <v>18</v>
      </c>
      <c r="E1648" t="s">
        <v>19</v>
      </c>
      <c r="F1648" t="s">
        <v>34</v>
      </c>
      <c r="G1648" s="1">
        <v>45466</v>
      </c>
      <c r="H1648" t="s">
        <v>244</v>
      </c>
      <c r="I1648">
        <v>246148</v>
      </c>
      <c r="J1648">
        <v>17582</v>
      </c>
      <c r="K1648">
        <v>9323</v>
      </c>
      <c r="L1648">
        <v>41257</v>
      </c>
      <c r="M1648">
        <v>0.27689999999999998</v>
      </c>
      <c r="N1648">
        <v>-0.88900000000000001</v>
      </c>
      <c r="O1648">
        <v>0</v>
      </c>
      <c r="P1648" t="b">
        <f t="shared" si="51"/>
        <v>0</v>
      </c>
      <c r="Q1648" t="str">
        <f t="shared" si="50"/>
        <v>Negative</v>
      </c>
    </row>
    <row r="1649" spans="1:17" x14ac:dyDescent="0.3">
      <c r="A1649" t="s">
        <v>2740</v>
      </c>
      <c r="B1649" t="s">
        <v>16</v>
      </c>
      <c r="C1649" t="s">
        <v>61</v>
      </c>
      <c r="D1649" t="s">
        <v>18</v>
      </c>
      <c r="E1649" t="s">
        <v>19</v>
      </c>
      <c r="F1649" t="s">
        <v>24</v>
      </c>
      <c r="G1649" s="1">
        <v>45455</v>
      </c>
      <c r="H1649" t="s">
        <v>460</v>
      </c>
      <c r="I1649">
        <v>795942</v>
      </c>
      <c r="J1649">
        <v>113706</v>
      </c>
      <c r="K1649">
        <v>14655</v>
      </c>
      <c r="L1649">
        <v>46119</v>
      </c>
      <c r="M1649">
        <v>0.21920000000000001</v>
      </c>
      <c r="N1649">
        <v>-0.48199999999999998</v>
      </c>
      <c r="O1649">
        <v>0</v>
      </c>
      <c r="P1649" t="b">
        <f t="shared" si="51"/>
        <v>0</v>
      </c>
      <c r="Q1649" t="str">
        <f t="shared" si="50"/>
        <v>Negative</v>
      </c>
    </row>
    <row r="1650" spans="1:17" x14ac:dyDescent="0.3">
      <c r="A1650" t="s">
        <v>2741</v>
      </c>
      <c r="B1650" t="s">
        <v>27</v>
      </c>
      <c r="C1650" t="s">
        <v>28</v>
      </c>
      <c r="D1650" t="s">
        <v>33</v>
      </c>
      <c r="E1650" t="s">
        <v>51</v>
      </c>
      <c r="F1650" t="s">
        <v>34</v>
      </c>
      <c r="G1650" s="1">
        <v>45526</v>
      </c>
      <c r="H1650" t="s">
        <v>2730</v>
      </c>
      <c r="I1650">
        <v>3263796</v>
      </c>
      <c r="J1650">
        <v>362644</v>
      </c>
      <c r="K1650">
        <v>11806</v>
      </c>
      <c r="L1650">
        <v>51361</v>
      </c>
      <c r="M1650">
        <v>0.1305</v>
      </c>
      <c r="N1650">
        <v>0.89500000000000002</v>
      </c>
      <c r="O1650">
        <v>1</v>
      </c>
      <c r="P1650" t="b">
        <f t="shared" si="51"/>
        <v>1</v>
      </c>
      <c r="Q1650" t="str">
        <f t="shared" si="50"/>
        <v>Positive</v>
      </c>
    </row>
    <row r="1651" spans="1:17" x14ac:dyDescent="0.3">
      <c r="A1651" t="s">
        <v>2742</v>
      </c>
      <c r="B1651" t="s">
        <v>66</v>
      </c>
      <c r="C1651" t="s">
        <v>23</v>
      </c>
      <c r="D1651" t="s">
        <v>18</v>
      </c>
      <c r="E1651" t="s">
        <v>58</v>
      </c>
      <c r="F1651" t="s">
        <v>55</v>
      </c>
      <c r="G1651" s="1">
        <v>45404</v>
      </c>
      <c r="H1651" t="s">
        <v>2171</v>
      </c>
      <c r="I1651">
        <v>2603095</v>
      </c>
      <c r="J1651">
        <v>236645</v>
      </c>
      <c r="K1651">
        <v>13293</v>
      </c>
      <c r="L1651">
        <v>22399</v>
      </c>
      <c r="M1651">
        <v>0.1046</v>
      </c>
      <c r="N1651">
        <v>-0.55400000000000005</v>
      </c>
      <c r="O1651">
        <v>1</v>
      </c>
      <c r="P1651" t="b">
        <f t="shared" si="51"/>
        <v>1</v>
      </c>
      <c r="Q1651" t="str">
        <f t="shared" si="50"/>
        <v>Negative</v>
      </c>
    </row>
    <row r="1652" spans="1:17" x14ac:dyDescent="0.3">
      <c r="A1652" t="s">
        <v>2743</v>
      </c>
      <c r="B1652" t="s">
        <v>27</v>
      </c>
      <c r="C1652" t="s">
        <v>61</v>
      </c>
      <c r="D1652" t="s">
        <v>37</v>
      </c>
      <c r="E1652" t="s">
        <v>58</v>
      </c>
      <c r="F1652" t="s">
        <v>24</v>
      </c>
      <c r="G1652" s="1">
        <v>45397</v>
      </c>
      <c r="H1652" t="s">
        <v>2744</v>
      </c>
      <c r="I1652">
        <v>494520</v>
      </c>
      <c r="J1652">
        <v>61815</v>
      </c>
      <c r="K1652">
        <v>10742</v>
      </c>
      <c r="L1652">
        <v>65141</v>
      </c>
      <c r="M1652">
        <v>0.27839999999999998</v>
      </c>
      <c r="N1652">
        <v>-0.62</v>
      </c>
      <c r="O1652">
        <v>0</v>
      </c>
      <c r="P1652" t="b">
        <f t="shared" si="51"/>
        <v>0</v>
      </c>
      <c r="Q1652" t="str">
        <f t="shared" si="50"/>
        <v>Negative</v>
      </c>
    </row>
    <row r="1653" spans="1:17" x14ac:dyDescent="0.3">
      <c r="A1653" t="s">
        <v>2745</v>
      </c>
      <c r="B1653" t="s">
        <v>32</v>
      </c>
      <c r="C1653" t="s">
        <v>17</v>
      </c>
      <c r="D1653" t="s">
        <v>37</v>
      </c>
      <c r="E1653" t="s">
        <v>19</v>
      </c>
      <c r="F1653" t="s">
        <v>55</v>
      </c>
      <c r="G1653" s="1">
        <v>45515</v>
      </c>
      <c r="H1653" t="s">
        <v>927</v>
      </c>
      <c r="I1653">
        <v>354256</v>
      </c>
      <c r="J1653">
        <v>50608</v>
      </c>
      <c r="K1653">
        <v>19648</v>
      </c>
      <c r="L1653">
        <v>38968</v>
      </c>
      <c r="M1653">
        <v>0.30830000000000002</v>
      </c>
      <c r="N1653">
        <v>-0.39300000000000002</v>
      </c>
      <c r="O1653">
        <v>0</v>
      </c>
      <c r="P1653" t="b">
        <f t="shared" si="51"/>
        <v>0</v>
      </c>
      <c r="Q1653" t="str">
        <f t="shared" si="50"/>
        <v>Negative</v>
      </c>
    </row>
    <row r="1654" spans="1:17" x14ac:dyDescent="0.3">
      <c r="A1654" t="s">
        <v>2746</v>
      </c>
      <c r="B1654" t="s">
        <v>27</v>
      </c>
      <c r="C1654" t="s">
        <v>28</v>
      </c>
      <c r="D1654" t="s">
        <v>54</v>
      </c>
      <c r="E1654" t="s">
        <v>19</v>
      </c>
      <c r="F1654" t="s">
        <v>34</v>
      </c>
      <c r="G1654" s="1">
        <v>45526</v>
      </c>
      <c r="H1654" t="s">
        <v>2747</v>
      </c>
      <c r="I1654">
        <v>9546380</v>
      </c>
      <c r="J1654">
        <v>477319</v>
      </c>
      <c r="K1654">
        <v>34813</v>
      </c>
      <c r="L1654">
        <v>67289</v>
      </c>
      <c r="M1654">
        <v>6.0699999999999997E-2</v>
      </c>
      <c r="N1654">
        <v>-0.154</v>
      </c>
      <c r="O1654">
        <v>1</v>
      </c>
      <c r="P1654" t="b">
        <f t="shared" si="51"/>
        <v>1</v>
      </c>
      <c r="Q1654" t="str">
        <f t="shared" si="50"/>
        <v>Negative</v>
      </c>
    </row>
    <row r="1655" spans="1:17" x14ac:dyDescent="0.3">
      <c r="A1655" t="s">
        <v>2748</v>
      </c>
      <c r="B1655" t="s">
        <v>66</v>
      </c>
      <c r="C1655" t="s">
        <v>23</v>
      </c>
      <c r="D1655" t="s">
        <v>18</v>
      </c>
      <c r="E1655" t="s">
        <v>38</v>
      </c>
      <c r="F1655" t="s">
        <v>24</v>
      </c>
      <c r="G1655" s="1">
        <v>45601</v>
      </c>
      <c r="H1655" t="s">
        <v>171</v>
      </c>
      <c r="I1655">
        <v>5156008</v>
      </c>
      <c r="J1655">
        <v>198308</v>
      </c>
      <c r="K1655">
        <v>46724</v>
      </c>
      <c r="L1655">
        <v>86323</v>
      </c>
      <c r="M1655">
        <v>6.4299999999999996E-2</v>
      </c>
      <c r="N1655">
        <v>-9.5000000000000001E-2</v>
      </c>
      <c r="O1655">
        <v>1</v>
      </c>
      <c r="P1655" t="b">
        <f t="shared" si="51"/>
        <v>1</v>
      </c>
      <c r="Q1655" t="str">
        <f t="shared" si="50"/>
        <v>Negative</v>
      </c>
    </row>
    <row r="1656" spans="1:17" x14ac:dyDescent="0.3">
      <c r="A1656" t="s">
        <v>2749</v>
      </c>
      <c r="B1656" t="s">
        <v>32</v>
      </c>
      <c r="C1656" t="s">
        <v>61</v>
      </c>
      <c r="D1656" t="s">
        <v>18</v>
      </c>
      <c r="E1656" t="s">
        <v>41</v>
      </c>
      <c r="F1656" t="s">
        <v>20</v>
      </c>
      <c r="G1656" s="1">
        <v>45557</v>
      </c>
      <c r="H1656" t="s">
        <v>1024</v>
      </c>
      <c r="I1656">
        <v>30800</v>
      </c>
      <c r="J1656">
        <v>1232</v>
      </c>
      <c r="K1656">
        <v>38264</v>
      </c>
      <c r="L1656">
        <v>96613</v>
      </c>
      <c r="M1656">
        <v>4.4191000000000003</v>
      </c>
      <c r="N1656">
        <v>0.09</v>
      </c>
      <c r="O1656">
        <v>0</v>
      </c>
      <c r="P1656" t="b">
        <f t="shared" si="51"/>
        <v>0</v>
      </c>
      <c r="Q1656" t="str">
        <f t="shared" si="50"/>
        <v>Positive</v>
      </c>
    </row>
    <row r="1657" spans="1:17" x14ac:dyDescent="0.3">
      <c r="A1657" t="s">
        <v>2750</v>
      </c>
      <c r="B1657" t="s">
        <v>32</v>
      </c>
      <c r="C1657" t="s">
        <v>61</v>
      </c>
      <c r="D1657" t="s">
        <v>18</v>
      </c>
      <c r="E1657" t="s">
        <v>58</v>
      </c>
      <c r="F1657" t="s">
        <v>46</v>
      </c>
      <c r="G1657" s="1">
        <v>45630</v>
      </c>
      <c r="H1657" t="s">
        <v>2751</v>
      </c>
      <c r="I1657">
        <v>12138575</v>
      </c>
      <c r="J1657">
        <v>485543</v>
      </c>
      <c r="K1657">
        <v>43304</v>
      </c>
      <c r="L1657">
        <v>10932</v>
      </c>
      <c r="M1657">
        <v>4.4499999999999998E-2</v>
      </c>
      <c r="N1657">
        <v>-0.67</v>
      </c>
      <c r="O1657">
        <v>1</v>
      </c>
      <c r="P1657" t="b">
        <f t="shared" si="51"/>
        <v>1</v>
      </c>
      <c r="Q1657" t="str">
        <f t="shared" si="50"/>
        <v>Negative</v>
      </c>
    </row>
    <row r="1658" spans="1:17" x14ac:dyDescent="0.3">
      <c r="A1658" t="s">
        <v>2752</v>
      </c>
      <c r="B1658" t="s">
        <v>16</v>
      </c>
      <c r="C1658" t="s">
        <v>61</v>
      </c>
      <c r="D1658" t="s">
        <v>18</v>
      </c>
      <c r="E1658" t="s">
        <v>41</v>
      </c>
      <c r="F1658" t="s">
        <v>24</v>
      </c>
      <c r="G1658" s="1">
        <v>45589</v>
      </c>
      <c r="H1658" t="s">
        <v>2753</v>
      </c>
      <c r="I1658">
        <v>2663730</v>
      </c>
      <c r="J1658">
        <v>443955</v>
      </c>
      <c r="K1658">
        <v>37782</v>
      </c>
      <c r="L1658">
        <v>58902</v>
      </c>
      <c r="M1658">
        <v>0.20300000000000001</v>
      </c>
      <c r="N1658">
        <v>0.35399999999999998</v>
      </c>
      <c r="O1658">
        <v>1</v>
      </c>
      <c r="P1658" t="b">
        <f t="shared" si="51"/>
        <v>1</v>
      </c>
      <c r="Q1658" t="str">
        <f t="shared" si="50"/>
        <v>Positive</v>
      </c>
    </row>
    <row r="1659" spans="1:17" x14ac:dyDescent="0.3">
      <c r="A1659" t="s">
        <v>2754</v>
      </c>
      <c r="B1659" t="s">
        <v>27</v>
      </c>
      <c r="C1659" t="s">
        <v>17</v>
      </c>
      <c r="D1659" t="s">
        <v>29</v>
      </c>
      <c r="E1659" t="s">
        <v>41</v>
      </c>
      <c r="F1659" t="s">
        <v>20</v>
      </c>
      <c r="G1659" s="1">
        <v>45640</v>
      </c>
      <c r="H1659" t="s">
        <v>1484</v>
      </c>
      <c r="I1659">
        <v>4406233</v>
      </c>
      <c r="J1659">
        <v>231907</v>
      </c>
      <c r="K1659">
        <v>24368</v>
      </c>
      <c r="L1659">
        <v>46695</v>
      </c>
      <c r="M1659">
        <v>6.88E-2</v>
      </c>
      <c r="N1659">
        <v>-0.46800000000000003</v>
      </c>
      <c r="O1659">
        <v>1</v>
      </c>
      <c r="P1659" t="b">
        <f t="shared" si="51"/>
        <v>1</v>
      </c>
      <c r="Q1659" t="str">
        <f t="shared" si="50"/>
        <v>Negative</v>
      </c>
    </row>
    <row r="1660" spans="1:17" x14ac:dyDescent="0.3">
      <c r="A1660" t="s">
        <v>2755</v>
      </c>
      <c r="B1660" t="s">
        <v>16</v>
      </c>
      <c r="C1660" t="s">
        <v>23</v>
      </c>
      <c r="D1660" t="s">
        <v>18</v>
      </c>
      <c r="E1660" t="s">
        <v>58</v>
      </c>
      <c r="F1660" t="s">
        <v>55</v>
      </c>
      <c r="G1660" s="1">
        <v>45507</v>
      </c>
      <c r="H1660" t="s">
        <v>2756</v>
      </c>
      <c r="I1660">
        <v>5954445</v>
      </c>
      <c r="J1660">
        <v>283545</v>
      </c>
      <c r="K1660">
        <v>8798</v>
      </c>
      <c r="L1660">
        <v>1621</v>
      </c>
      <c r="M1660">
        <v>4.9399999999999999E-2</v>
      </c>
      <c r="N1660">
        <v>0.78200000000000003</v>
      </c>
      <c r="O1660">
        <v>1</v>
      </c>
      <c r="P1660" t="b">
        <f t="shared" si="51"/>
        <v>1</v>
      </c>
      <c r="Q1660" t="str">
        <f t="shared" si="50"/>
        <v>Positive</v>
      </c>
    </row>
    <row r="1661" spans="1:17" x14ac:dyDescent="0.3">
      <c r="A1661" t="s">
        <v>2757</v>
      </c>
      <c r="B1661" t="s">
        <v>27</v>
      </c>
      <c r="C1661" t="s">
        <v>23</v>
      </c>
      <c r="D1661" t="s">
        <v>73</v>
      </c>
      <c r="E1661" t="s">
        <v>58</v>
      </c>
      <c r="F1661" t="s">
        <v>20</v>
      </c>
      <c r="G1661" s="1">
        <v>45588</v>
      </c>
      <c r="H1661" t="s">
        <v>885</v>
      </c>
      <c r="I1661">
        <v>3036708</v>
      </c>
      <c r="J1661">
        <v>168706</v>
      </c>
      <c r="K1661">
        <v>37965</v>
      </c>
      <c r="L1661">
        <v>39391</v>
      </c>
      <c r="M1661">
        <v>8.1000000000000003E-2</v>
      </c>
      <c r="N1661">
        <v>-0.317</v>
      </c>
      <c r="O1661">
        <v>1</v>
      </c>
      <c r="P1661" t="b">
        <f t="shared" si="51"/>
        <v>1</v>
      </c>
      <c r="Q1661" t="str">
        <f t="shared" si="50"/>
        <v>Negative</v>
      </c>
    </row>
    <row r="1662" spans="1:17" x14ac:dyDescent="0.3">
      <c r="A1662" t="s">
        <v>2758</v>
      </c>
      <c r="B1662" t="s">
        <v>32</v>
      </c>
      <c r="C1662" t="s">
        <v>61</v>
      </c>
      <c r="D1662" t="s">
        <v>54</v>
      </c>
      <c r="E1662" t="s">
        <v>58</v>
      </c>
      <c r="F1662" t="s">
        <v>24</v>
      </c>
      <c r="G1662" s="1">
        <v>45615</v>
      </c>
      <c r="H1662" t="s">
        <v>616</v>
      </c>
      <c r="I1662">
        <v>5724954</v>
      </c>
      <c r="J1662">
        <v>318053</v>
      </c>
      <c r="K1662">
        <v>22264</v>
      </c>
      <c r="L1662">
        <v>20656</v>
      </c>
      <c r="M1662">
        <v>6.3100000000000003E-2</v>
      </c>
      <c r="N1662">
        <v>-6.6000000000000003E-2</v>
      </c>
      <c r="O1662">
        <v>1</v>
      </c>
      <c r="P1662" t="b">
        <f t="shared" si="51"/>
        <v>1</v>
      </c>
      <c r="Q1662" t="str">
        <f t="shared" si="50"/>
        <v>Negative</v>
      </c>
    </row>
    <row r="1663" spans="1:17" x14ac:dyDescent="0.3">
      <c r="A1663" t="s">
        <v>2759</v>
      </c>
      <c r="B1663" t="s">
        <v>32</v>
      </c>
      <c r="C1663" t="s">
        <v>28</v>
      </c>
      <c r="D1663" t="s">
        <v>29</v>
      </c>
      <c r="E1663" t="s">
        <v>19</v>
      </c>
      <c r="F1663" t="s">
        <v>46</v>
      </c>
      <c r="G1663" s="1">
        <v>45386</v>
      </c>
      <c r="H1663" t="s">
        <v>2760</v>
      </c>
      <c r="I1663">
        <v>4955500</v>
      </c>
      <c r="J1663">
        <v>450500</v>
      </c>
      <c r="K1663">
        <v>21607</v>
      </c>
      <c r="L1663">
        <v>85946</v>
      </c>
      <c r="M1663">
        <v>0.11260000000000001</v>
      </c>
      <c r="N1663">
        <v>-0.73599999999999999</v>
      </c>
      <c r="O1663">
        <v>1</v>
      </c>
      <c r="P1663" t="b">
        <f t="shared" si="51"/>
        <v>1</v>
      </c>
      <c r="Q1663" t="str">
        <f t="shared" si="50"/>
        <v>Negative</v>
      </c>
    </row>
    <row r="1664" spans="1:17" x14ac:dyDescent="0.3">
      <c r="A1664" t="s">
        <v>2761</v>
      </c>
      <c r="B1664" t="s">
        <v>66</v>
      </c>
      <c r="C1664" t="s">
        <v>61</v>
      </c>
      <c r="D1664" t="s">
        <v>37</v>
      </c>
      <c r="E1664" t="s">
        <v>41</v>
      </c>
      <c r="F1664" t="s">
        <v>24</v>
      </c>
      <c r="G1664" s="1">
        <v>45345</v>
      </c>
      <c r="H1664" t="s">
        <v>1416</v>
      </c>
      <c r="I1664">
        <v>7890426</v>
      </c>
      <c r="J1664">
        <v>343062</v>
      </c>
      <c r="K1664">
        <v>10200</v>
      </c>
      <c r="L1664">
        <v>1538</v>
      </c>
      <c r="M1664">
        <v>4.4999999999999998E-2</v>
      </c>
      <c r="N1664">
        <v>-0.55300000000000005</v>
      </c>
      <c r="O1664">
        <v>1</v>
      </c>
      <c r="P1664" t="b">
        <f t="shared" si="51"/>
        <v>1</v>
      </c>
      <c r="Q1664" t="str">
        <f t="shared" si="50"/>
        <v>Negative</v>
      </c>
    </row>
    <row r="1665" spans="1:17" x14ac:dyDescent="0.3">
      <c r="A1665" t="s">
        <v>2762</v>
      </c>
      <c r="B1665" t="s">
        <v>27</v>
      </c>
      <c r="C1665" t="s">
        <v>61</v>
      </c>
      <c r="D1665" t="s">
        <v>33</v>
      </c>
      <c r="E1665" t="s">
        <v>19</v>
      </c>
      <c r="F1665" t="s">
        <v>55</v>
      </c>
      <c r="G1665" s="1">
        <v>45367</v>
      </c>
      <c r="H1665" t="s">
        <v>575</v>
      </c>
      <c r="I1665">
        <v>1418992</v>
      </c>
      <c r="J1665">
        <v>177374</v>
      </c>
      <c r="K1665">
        <v>40169</v>
      </c>
      <c r="L1665">
        <v>89744</v>
      </c>
      <c r="M1665">
        <v>0.21659999999999999</v>
      </c>
      <c r="N1665">
        <v>0.26100000000000001</v>
      </c>
      <c r="O1665">
        <v>0</v>
      </c>
      <c r="P1665" t="b">
        <f t="shared" si="51"/>
        <v>0</v>
      </c>
      <c r="Q1665" t="str">
        <f t="shared" si="50"/>
        <v>Positive</v>
      </c>
    </row>
    <row r="1666" spans="1:17" x14ac:dyDescent="0.3">
      <c r="A1666" t="s">
        <v>2763</v>
      </c>
      <c r="B1666" t="s">
        <v>66</v>
      </c>
      <c r="C1666" t="s">
        <v>28</v>
      </c>
      <c r="D1666" t="s">
        <v>29</v>
      </c>
      <c r="E1666" t="s">
        <v>19</v>
      </c>
      <c r="F1666" t="s">
        <v>55</v>
      </c>
      <c r="G1666" s="1">
        <v>45534</v>
      </c>
      <c r="H1666" t="s">
        <v>1324</v>
      </c>
      <c r="I1666">
        <v>6119072</v>
      </c>
      <c r="J1666">
        <v>382442</v>
      </c>
      <c r="K1666">
        <v>24850</v>
      </c>
      <c r="L1666">
        <v>89847</v>
      </c>
      <c r="M1666">
        <v>8.1199999999999994E-2</v>
      </c>
      <c r="N1666">
        <v>-0.379</v>
      </c>
      <c r="O1666">
        <v>1</v>
      </c>
      <c r="P1666" t="b">
        <f t="shared" si="51"/>
        <v>1</v>
      </c>
      <c r="Q1666" t="str">
        <f t="shared" ref="Q1666:Q1729" si="52">IF(N1666&gt;0,"Positive","Negative")</f>
        <v>Negative</v>
      </c>
    </row>
    <row r="1667" spans="1:17" x14ac:dyDescent="0.3">
      <c r="A1667" t="s">
        <v>2764</v>
      </c>
      <c r="B1667" t="s">
        <v>16</v>
      </c>
      <c r="C1667" t="s">
        <v>61</v>
      </c>
      <c r="D1667" t="s">
        <v>18</v>
      </c>
      <c r="E1667" t="s">
        <v>41</v>
      </c>
      <c r="F1667" t="s">
        <v>46</v>
      </c>
      <c r="G1667" s="1">
        <v>45474</v>
      </c>
      <c r="H1667" t="s">
        <v>2765</v>
      </c>
      <c r="I1667">
        <v>2686936</v>
      </c>
      <c r="J1667">
        <v>191924</v>
      </c>
      <c r="K1667">
        <v>8702</v>
      </c>
      <c r="L1667">
        <v>83050</v>
      </c>
      <c r="M1667">
        <v>0.1056</v>
      </c>
      <c r="N1667">
        <v>0.88100000000000001</v>
      </c>
      <c r="O1667">
        <v>1</v>
      </c>
      <c r="P1667" t="b">
        <f t="shared" ref="P1667:P1730" si="53">IF(O1667=1,TRUE,FALSE)</f>
        <v>1</v>
      </c>
      <c r="Q1667" t="str">
        <f t="shared" si="52"/>
        <v>Positive</v>
      </c>
    </row>
    <row r="1668" spans="1:17" x14ac:dyDescent="0.3">
      <c r="A1668" t="s">
        <v>2766</v>
      </c>
      <c r="B1668" t="s">
        <v>27</v>
      </c>
      <c r="C1668" t="s">
        <v>23</v>
      </c>
      <c r="D1668" t="s">
        <v>37</v>
      </c>
      <c r="E1668" t="s">
        <v>58</v>
      </c>
      <c r="F1668" t="s">
        <v>20</v>
      </c>
      <c r="G1668" s="1">
        <v>45585</v>
      </c>
      <c r="H1668" t="s">
        <v>2767</v>
      </c>
      <c r="I1668">
        <v>4222088</v>
      </c>
      <c r="J1668">
        <v>324776</v>
      </c>
      <c r="K1668">
        <v>13105</v>
      </c>
      <c r="L1668">
        <v>57706</v>
      </c>
      <c r="M1668">
        <v>9.3700000000000006E-2</v>
      </c>
      <c r="N1668">
        <v>0.248</v>
      </c>
      <c r="O1668">
        <v>1</v>
      </c>
      <c r="P1668" t="b">
        <f t="shared" si="53"/>
        <v>1</v>
      </c>
      <c r="Q1668" t="str">
        <f t="shared" si="52"/>
        <v>Positive</v>
      </c>
    </row>
    <row r="1669" spans="1:17" x14ac:dyDescent="0.3">
      <c r="A1669" t="s">
        <v>2768</v>
      </c>
      <c r="B1669" t="s">
        <v>66</v>
      </c>
      <c r="C1669" t="s">
        <v>17</v>
      </c>
      <c r="D1669" t="s">
        <v>73</v>
      </c>
      <c r="E1669" t="s">
        <v>58</v>
      </c>
      <c r="F1669" t="s">
        <v>55</v>
      </c>
      <c r="G1669" s="1">
        <v>45507</v>
      </c>
      <c r="H1669" t="s">
        <v>2769</v>
      </c>
      <c r="I1669">
        <v>4314011</v>
      </c>
      <c r="J1669">
        <v>331847</v>
      </c>
      <c r="K1669">
        <v>36968</v>
      </c>
      <c r="L1669">
        <v>59026</v>
      </c>
      <c r="M1669">
        <v>9.9199999999999997E-2</v>
      </c>
      <c r="N1669">
        <v>-0.45700000000000002</v>
      </c>
      <c r="O1669">
        <v>1</v>
      </c>
      <c r="P1669" t="b">
        <f t="shared" si="53"/>
        <v>1</v>
      </c>
      <c r="Q1669" t="str">
        <f t="shared" si="52"/>
        <v>Negative</v>
      </c>
    </row>
    <row r="1670" spans="1:17" x14ac:dyDescent="0.3">
      <c r="A1670" t="s">
        <v>2770</v>
      </c>
      <c r="B1670" t="s">
        <v>27</v>
      </c>
      <c r="C1670" t="s">
        <v>28</v>
      </c>
      <c r="D1670" t="s">
        <v>18</v>
      </c>
      <c r="E1670" t="s">
        <v>58</v>
      </c>
      <c r="F1670" t="s">
        <v>24</v>
      </c>
      <c r="G1670" s="1">
        <v>45584</v>
      </c>
      <c r="H1670" t="s">
        <v>2771</v>
      </c>
      <c r="I1670">
        <v>5022336</v>
      </c>
      <c r="J1670">
        <v>173184</v>
      </c>
      <c r="K1670">
        <v>40054</v>
      </c>
      <c r="L1670">
        <v>68046</v>
      </c>
      <c r="M1670">
        <v>5.6000000000000001E-2</v>
      </c>
      <c r="N1670">
        <v>-0.48599999999999999</v>
      </c>
      <c r="O1670">
        <v>1</v>
      </c>
      <c r="P1670" t="b">
        <f t="shared" si="53"/>
        <v>1</v>
      </c>
      <c r="Q1670" t="str">
        <f t="shared" si="52"/>
        <v>Negative</v>
      </c>
    </row>
    <row r="1671" spans="1:17" x14ac:dyDescent="0.3">
      <c r="A1671" t="s">
        <v>2772</v>
      </c>
      <c r="B1671" t="s">
        <v>27</v>
      </c>
      <c r="C1671" t="s">
        <v>23</v>
      </c>
      <c r="D1671" t="s">
        <v>73</v>
      </c>
      <c r="E1671" t="s">
        <v>19</v>
      </c>
      <c r="F1671" t="s">
        <v>24</v>
      </c>
      <c r="G1671" s="1">
        <v>45589</v>
      </c>
      <c r="H1671" t="s">
        <v>215</v>
      </c>
      <c r="I1671">
        <v>2270785</v>
      </c>
      <c r="J1671">
        <v>119515</v>
      </c>
      <c r="K1671">
        <v>49838</v>
      </c>
      <c r="L1671">
        <v>63645</v>
      </c>
      <c r="M1671">
        <v>0.1026</v>
      </c>
      <c r="N1671">
        <v>-0.249</v>
      </c>
      <c r="O1671">
        <v>1</v>
      </c>
      <c r="P1671" t="b">
        <f t="shared" si="53"/>
        <v>1</v>
      </c>
      <c r="Q1671" t="str">
        <f t="shared" si="52"/>
        <v>Negative</v>
      </c>
    </row>
    <row r="1672" spans="1:17" x14ac:dyDescent="0.3">
      <c r="A1672" t="s">
        <v>2773</v>
      </c>
      <c r="B1672" t="s">
        <v>32</v>
      </c>
      <c r="C1672" t="s">
        <v>28</v>
      </c>
      <c r="D1672" t="s">
        <v>37</v>
      </c>
      <c r="E1672" t="s">
        <v>58</v>
      </c>
      <c r="F1672" t="s">
        <v>24</v>
      </c>
      <c r="G1672" s="1">
        <v>45443</v>
      </c>
      <c r="H1672" t="s">
        <v>2774</v>
      </c>
      <c r="I1672">
        <v>4003545</v>
      </c>
      <c r="J1672">
        <v>190645</v>
      </c>
      <c r="K1672">
        <v>45814</v>
      </c>
      <c r="L1672">
        <v>38329</v>
      </c>
      <c r="M1672">
        <v>6.8599999999999994E-2</v>
      </c>
      <c r="N1672">
        <v>0.64600000000000002</v>
      </c>
      <c r="O1672">
        <v>1</v>
      </c>
      <c r="P1672" t="b">
        <f t="shared" si="53"/>
        <v>1</v>
      </c>
      <c r="Q1672" t="str">
        <f t="shared" si="52"/>
        <v>Positive</v>
      </c>
    </row>
    <row r="1673" spans="1:17" x14ac:dyDescent="0.3">
      <c r="A1673" t="s">
        <v>2775</v>
      </c>
      <c r="B1673" t="s">
        <v>66</v>
      </c>
      <c r="C1673" t="s">
        <v>17</v>
      </c>
      <c r="D1673" t="s">
        <v>37</v>
      </c>
      <c r="E1673" t="s">
        <v>58</v>
      </c>
      <c r="F1673" t="s">
        <v>55</v>
      </c>
      <c r="G1673" s="1">
        <v>45410</v>
      </c>
      <c r="H1673" t="s">
        <v>2776</v>
      </c>
      <c r="I1673">
        <v>4540821</v>
      </c>
      <c r="J1673">
        <v>197427</v>
      </c>
      <c r="K1673">
        <v>79</v>
      </c>
      <c r="L1673">
        <v>26499</v>
      </c>
      <c r="M1673">
        <v>4.9299999999999997E-2</v>
      </c>
      <c r="N1673">
        <v>0.73699999999999999</v>
      </c>
      <c r="O1673">
        <v>1</v>
      </c>
      <c r="P1673" t="b">
        <f t="shared" si="53"/>
        <v>1</v>
      </c>
      <c r="Q1673" t="str">
        <f t="shared" si="52"/>
        <v>Positive</v>
      </c>
    </row>
    <row r="1674" spans="1:17" x14ac:dyDescent="0.3">
      <c r="A1674" t="s">
        <v>2777</v>
      </c>
      <c r="B1674" t="s">
        <v>27</v>
      </c>
      <c r="C1674" t="s">
        <v>61</v>
      </c>
      <c r="D1674" t="s">
        <v>18</v>
      </c>
      <c r="E1674" t="s">
        <v>41</v>
      </c>
      <c r="F1674" t="s">
        <v>24</v>
      </c>
      <c r="G1674" s="1">
        <v>45552</v>
      </c>
      <c r="H1674" t="s">
        <v>2778</v>
      </c>
      <c r="I1674">
        <v>644406</v>
      </c>
      <c r="J1674">
        <v>46029</v>
      </c>
      <c r="K1674">
        <v>34922</v>
      </c>
      <c r="L1674">
        <v>26029</v>
      </c>
      <c r="M1674">
        <v>0.16600000000000001</v>
      </c>
      <c r="N1674">
        <v>0.81899999999999995</v>
      </c>
      <c r="O1674">
        <v>0</v>
      </c>
      <c r="P1674" t="b">
        <f t="shared" si="53"/>
        <v>0</v>
      </c>
      <c r="Q1674" t="str">
        <f t="shared" si="52"/>
        <v>Positive</v>
      </c>
    </row>
    <row r="1675" spans="1:17" x14ac:dyDescent="0.3">
      <c r="A1675" t="s">
        <v>2779</v>
      </c>
      <c r="B1675" t="s">
        <v>27</v>
      </c>
      <c r="C1675" t="s">
        <v>28</v>
      </c>
      <c r="D1675" t="s">
        <v>18</v>
      </c>
      <c r="E1675" t="s">
        <v>51</v>
      </c>
      <c r="F1675" t="s">
        <v>24</v>
      </c>
      <c r="G1675" s="1">
        <v>45316</v>
      </c>
      <c r="H1675" t="s">
        <v>2780</v>
      </c>
      <c r="I1675">
        <v>12304410</v>
      </c>
      <c r="J1675">
        <v>424290</v>
      </c>
      <c r="K1675">
        <v>23102</v>
      </c>
      <c r="L1675">
        <v>93145</v>
      </c>
      <c r="M1675">
        <v>4.3900000000000002E-2</v>
      </c>
      <c r="N1675">
        <v>-0.57699999999999996</v>
      </c>
      <c r="O1675">
        <v>1</v>
      </c>
      <c r="P1675" t="b">
        <f t="shared" si="53"/>
        <v>1</v>
      </c>
      <c r="Q1675" t="str">
        <f t="shared" si="52"/>
        <v>Negative</v>
      </c>
    </row>
    <row r="1676" spans="1:17" x14ac:dyDescent="0.3">
      <c r="A1676" t="s">
        <v>2781</v>
      </c>
      <c r="B1676" t="s">
        <v>16</v>
      </c>
      <c r="C1676" t="s">
        <v>28</v>
      </c>
      <c r="D1676" t="s">
        <v>29</v>
      </c>
      <c r="E1676" t="s">
        <v>38</v>
      </c>
      <c r="F1676" t="s">
        <v>20</v>
      </c>
      <c r="G1676" s="1">
        <v>45479</v>
      </c>
      <c r="H1676" t="s">
        <v>958</v>
      </c>
      <c r="I1676">
        <v>731075</v>
      </c>
      <c r="J1676">
        <v>146215</v>
      </c>
      <c r="K1676">
        <v>41851</v>
      </c>
      <c r="L1676">
        <v>77262</v>
      </c>
      <c r="M1676">
        <v>0.3629</v>
      </c>
      <c r="N1676">
        <v>0.93100000000000005</v>
      </c>
      <c r="O1676">
        <v>0</v>
      </c>
      <c r="P1676" t="b">
        <f t="shared" si="53"/>
        <v>0</v>
      </c>
      <c r="Q1676" t="str">
        <f t="shared" si="52"/>
        <v>Positive</v>
      </c>
    </row>
    <row r="1677" spans="1:17" x14ac:dyDescent="0.3">
      <c r="A1677" t="s">
        <v>2782</v>
      </c>
      <c r="B1677" t="s">
        <v>32</v>
      </c>
      <c r="C1677" t="s">
        <v>23</v>
      </c>
      <c r="D1677" t="s">
        <v>54</v>
      </c>
      <c r="E1677" t="s">
        <v>51</v>
      </c>
      <c r="F1677" t="s">
        <v>55</v>
      </c>
      <c r="G1677" s="1">
        <v>45440</v>
      </c>
      <c r="H1677" t="s">
        <v>2783</v>
      </c>
      <c r="I1677">
        <v>1105200</v>
      </c>
      <c r="J1677">
        <v>184200</v>
      </c>
      <c r="K1677">
        <v>37388</v>
      </c>
      <c r="L1677">
        <v>29484</v>
      </c>
      <c r="M1677">
        <v>0.22720000000000001</v>
      </c>
      <c r="N1677">
        <v>0.59</v>
      </c>
      <c r="O1677">
        <v>0</v>
      </c>
      <c r="P1677" t="b">
        <f t="shared" si="53"/>
        <v>0</v>
      </c>
      <c r="Q1677" t="str">
        <f t="shared" si="52"/>
        <v>Positive</v>
      </c>
    </row>
    <row r="1678" spans="1:17" x14ac:dyDescent="0.3">
      <c r="A1678" t="s">
        <v>2784</v>
      </c>
      <c r="B1678" t="s">
        <v>16</v>
      </c>
      <c r="C1678" t="s">
        <v>61</v>
      </c>
      <c r="D1678" t="s">
        <v>54</v>
      </c>
      <c r="E1678" t="s">
        <v>51</v>
      </c>
      <c r="F1678" t="s">
        <v>46</v>
      </c>
      <c r="G1678" s="1">
        <v>45320</v>
      </c>
      <c r="H1678" t="s">
        <v>2785</v>
      </c>
      <c r="I1678">
        <v>269161</v>
      </c>
      <c r="J1678">
        <v>15833</v>
      </c>
      <c r="K1678">
        <v>46665</v>
      </c>
      <c r="L1678">
        <v>91039</v>
      </c>
      <c r="M1678">
        <v>0.57040000000000002</v>
      </c>
      <c r="N1678">
        <v>0.92900000000000005</v>
      </c>
      <c r="O1678">
        <v>0</v>
      </c>
      <c r="P1678" t="b">
        <f t="shared" si="53"/>
        <v>0</v>
      </c>
      <c r="Q1678" t="str">
        <f t="shared" si="52"/>
        <v>Positive</v>
      </c>
    </row>
    <row r="1679" spans="1:17" x14ac:dyDescent="0.3">
      <c r="A1679" t="s">
        <v>2786</v>
      </c>
      <c r="B1679" t="s">
        <v>66</v>
      </c>
      <c r="C1679" t="s">
        <v>17</v>
      </c>
      <c r="D1679" t="s">
        <v>29</v>
      </c>
      <c r="E1679" t="s">
        <v>51</v>
      </c>
      <c r="F1679" t="s">
        <v>20</v>
      </c>
      <c r="G1679" s="1">
        <v>45496</v>
      </c>
      <c r="H1679" t="s">
        <v>78</v>
      </c>
      <c r="I1679">
        <v>982933</v>
      </c>
      <c r="J1679">
        <v>140419</v>
      </c>
      <c r="K1679">
        <v>23845</v>
      </c>
      <c r="L1679">
        <v>65150</v>
      </c>
      <c r="M1679">
        <v>0.2334</v>
      </c>
      <c r="N1679">
        <v>-0.8</v>
      </c>
      <c r="O1679">
        <v>0</v>
      </c>
      <c r="P1679" t="b">
        <f t="shared" si="53"/>
        <v>0</v>
      </c>
      <c r="Q1679" t="str">
        <f t="shared" si="52"/>
        <v>Negative</v>
      </c>
    </row>
    <row r="1680" spans="1:17" x14ac:dyDescent="0.3">
      <c r="A1680" t="s">
        <v>2787</v>
      </c>
      <c r="B1680" t="s">
        <v>66</v>
      </c>
      <c r="C1680" t="s">
        <v>61</v>
      </c>
      <c r="D1680" t="s">
        <v>73</v>
      </c>
      <c r="E1680" t="s">
        <v>19</v>
      </c>
      <c r="F1680" t="s">
        <v>34</v>
      </c>
      <c r="G1680" s="1">
        <v>45627</v>
      </c>
      <c r="H1680" t="s">
        <v>2788</v>
      </c>
      <c r="I1680">
        <v>13847123</v>
      </c>
      <c r="J1680">
        <v>477487</v>
      </c>
      <c r="K1680">
        <v>25633</v>
      </c>
      <c r="L1680">
        <v>31363</v>
      </c>
      <c r="M1680">
        <v>3.8600000000000002E-2</v>
      </c>
      <c r="N1680">
        <v>-0.47899999999999998</v>
      </c>
      <c r="O1680">
        <v>1</v>
      </c>
      <c r="P1680" t="b">
        <f t="shared" si="53"/>
        <v>1</v>
      </c>
      <c r="Q1680" t="str">
        <f t="shared" si="52"/>
        <v>Negative</v>
      </c>
    </row>
    <row r="1681" spans="1:17" x14ac:dyDescent="0.3">
      <c r="A1681" t="s">
        <v>2789</v>
      </c>
      <c r="B1681" t="s">
        <v>16</v>
      </c>
      <c r="C1681" t="s">
        <v>61</v>
      </c>
      <c r="D1681" t="s">
        <v>33</v>
      </c>
      <c r="E1681" t="s">
        <v>19</v>
      </c>
      <c r="F1681" t="s">
        <v>24</v>
      </c>
      <c r="G1681" s="1">
        <v>45326</v>
      </c>
      <c r="H1681" t="s">
        <v>2790</v>
      </c>
      <c r="I1681">
        <v>4829130</v>
      </c>
      <c r="J1681">
        <v>268285</v>
      </c>
      <c r="K1681">
        <v>12678</v>
      </c>
      <c r="L1681">
        <v>61955</v>
      </c>
      <c r="M1681">
        <v>7.0999999999999994E-2</v>
      </c>
      <c r="N1681">
        <v>2.9000000000000001E-2</v>
      </c>
      <c r="O1681">
        <v>1</v>
      </c>
      <c r="P1681" t="b">
        <f t="shared" si="53"/>
        <v>1</v>
      </c>
      <c r="Q1681" t="str">
        <f t="shared" si="52"/>
        <v>Positive</v>
      </c>
    </row>
    <row r="1682" spans="1:17" x14ac:dyDescent="0.3">
      <c r="A1682" t="s">
        <v>2791</v>
      </c>
      <c r="B1682" t="s">
        <v>16</v>
      </c>
      <c r="C1682" t="s">
        <v>61</v>
      </c>
      <c r="D1682" t="s">
        <v>37</v>
      </c>
      <c r="E1682" t="s">
        <v>38</v>
      </c>
      <c r="F1682" t="s">
        <v>34</v>
      </c>
      <c r="G1682" s="1">
        <v>45582</v>
      </c>
      <c r="H1682" t="s">
        <v>2792</v>
      </c>
      <c r="I1682">
        <v>7008608</v>
      </c>
      <c r="J1682">
        <v>438038</v>
      </c>
      <c r="K1682">
        <v>17553</v>
      </c>
      <c r="L1682">
        <v>15079</v>
      </c>
      <c r="M1682">
        <v>6.7199999999999996E-2</v>
      </c>
      <c r="N1682">
        <v>-0.72499999999999998</v>
      </c>
      <c r="O1682">
        <v>1</v>
      </c>
      <c r="P1682" t="b">
        <f t="shared" si="53"/>
        <v>1</v>
      </c>
      <c r="Q1682" t="str">
        <f t="shared" si="52"/>
        <v>Negative</v>
      </c>
    </row>
    <row r="1683" spans="1:17" x14ac:dyDescent="0.3">
      <c r="A1683" t="s">
        <v>2793</v>
      </c>
      <c r="B1683" t="s">
        <v>32</v>
      </c>
      <c r="C1683" t="s">
        <v>61</v>
      </c>
      <c r="D1683" t="s">
        <v>29</v>
      </c>
      <c r="E1683" t="s">
        <v>58</v>
      </c>
      <c r="F1683" t="s">
        <v>34</v>
      </c>
      <c r="G1683" s="1">
        <v>45373</v>
      </c>
      <c r="H1683" t="s">
        <v>639</v>
      </c>
      <c r="I1683">
        <v>2996708</v>
      </c>
      <c r="J1683">
        <v>115258</v>
      </c>
      <c r="K1683">
        <v>30342</v>
      </c>
      <c r="L1683">
        <v>1469</v>
      </c>
      <c r="M1683">
        <v>4.9099999999999998E-2</v>
      </c>
      <c r="N1683">
        <v>-0.88700000000000001</v>
      </c>
      <c r="O1683">
        <v>1</v>
      </c>
      <c r="P1683" t="b">
        <f t="shared" si="53"/>
        <v>1</v>
      </c>
      <c r="Q1683" t="str">
        <f t="shared" si="52"/>
        <v>Negative</v>
      </c>
    </row>
    <row r="1684" spans="1:17" x14ac:dyDescent="0.3">
      <c r="A1684" t="s">
        <v>2794</v>
      </c>
      <c r="B1684" t="s">
        <v>32</v>
      </c>
      <c r="C1684" t="s">
        <v>28</v>
      </c>
      <c r="D1684" t="s">
        <v>73</v>
      </c>
      <c r="E1684" t="s">
        <v>41</v>
      </c>
      <c r="F1684" t="s">
        <v>24</v>
      </c>
      <c r="G1684" s="1">
        <v>45415</v>
      </c>
      <c r="H1684" t="s">
        <v>2795</v>
      </c>
      <c r="I1684">
        <v>434130</v>
      </c>
      <c r="J1684">
        <v>72355</v>
      </c>
      <c r="K1684">
        <v>16368</v>
      </c>
      <c r="L1684">
        <v>28719</v>
      </c>
      <c r="M1684">
        <v>0.27050000000000002</v>
      </c>
      <c r="N1684">
        <v>-0.51300000000000001</v>
      </c>
      <c r="O1684">
        <v>0</v>
      </c>
      <c r="P1684" t="b">
        <f t="shared" si="53"/>
        <v>0</v>
      </c>
      <c r="Q1684" t="str">
        <f t="shared" si="52"/>
        <v>Negative</v>
      </c>
    </row>
    <row r="1685" spans="1:17" x14ac:dyDescent="0.3">
      <c r="A1685" t="s">
        <v>2796</v>
      </c>
      <c r="B1685" t="s">
        <v>32</v>
      </c>
      <c r="C1685" t="s">
        <v>28</v>
      </c>
      <c r="D1685" t="s">
        <v>29</v>
      </c>
      <c r="E1685" t="s">
        <v>58</v>
      </c>
      <c r="F1685" t="s">
        <v>34</v>
      </c>
      <c r="G1685" s="1">
        <v>45384</v>
      </c>
      <c r="H1685" t="s">
        <v>1053</v>
      </c>
      <c r="I1685">
        <v>6536096</v>
      </c>
      <c r="J1685">
        <v>466864</v>
      </c>
      <c r="K1685">
        <v>18034</v>
      </c>
      <c r="L1685">
        <v>46661</v>
      </c>
      <c r="M1685">
        <v>8.1299999999999997E-2</v>
      </c>
      <c r="N1685">
        <v>0.41699999999999998</v>
      </c>
      <c r="O1685">
        <v>1</v>
      </c>
      <c r="P1685" t="b">
        <f t="shared" si="53"/>
        <v>1</v>
      </c>
      <c r="Q1685" t="str">
        <f t="shared" si="52"/>
        <v>Positive</v>
      </c>
    </row>
    <row r="1686" spans="1:17" x14ac:dyDescent="0.3">
      <c r="A1686" t="s">
        <v>2797</v>
      </c>
      <c r="B1686" t="s">
        <v>16</v>
      </c>
      <c r="C1686" t="s">
        <v>23</v>
      </c>
      <c r="D1686" t="s">
        <v>18</v>
      </c>
      <c r="E1686" t="s">
        <v>41</v>
      </c>
      <c r="F1686" t="s">
        <v>20</v>
      </c>
      <c r="G1686" s="1">
        <v>45637</v>
      </c>
      <c r="H1686" t="s">
        <v>2798</v>
      </c>
      <c r="I1686">
        <v>7627319</v>
      </c>
      <c r="J1686">
        <v>263011</v>
      </c>
      <c r="K1686">
        <v>3900</v>
      </c>
      <c r="L1686">
        <v>58027</v>
      </c>
      <c r="M1686">
        <v>4.2599999999999999E-2</v>
      </c>
      <c r="N1686">
        <v>0.50600000000000001</v>
      </c>
      <c r="O1686">
        <v>1</v>
      </c>
      <c r="P1686" t="b">
        <f t="shared" si="53"/>
        <v>1</v>
      </c>
      <c r="Q1686" t="str">
        <f t="shared" si="52"/>
        <v>Positive</v>
      </c>
    </row>
    <row r="1687" spans="1:17" x14ac:dyDescent="0.3">
      <c r="A1687" t="s">
        <v>2799</v>
      </c>
      <c r="B1687" t="s">
        <v>32</v>
      </c>
      <c r="C1687" t="s">
        <v>17</v>
      </c>
      <c r="D1687" t="s">
        <v>18</v>
      </c>
      <c r="E1687" t="s">
        <v>38</v>
      </c>
      <c r="F1687" t="s">
        <v>20</v>
      </c>
      <c r="G1687" s="1">
        <v>45493</v>
      </c>
      <c r="H1687" t="s">
        <v>2800</v>
      </c>
      <c r="I1687">
        <v>1457930</v>
      </c>
      <c r="J1687">
        <v>145793</v>
      </c>
      <c r="K1687">
        <v>11339</v>
      </c>
      <c r="L1687">
        <v>18175</v>
      </c>
      <c r="M1687">
        <v>0.1202</v>
      </c>
      <c r="N1687">
        <v>0.16400000000000001</v>
      </c>
      <c r="O1687">
        <v>0</v>
      </c>
      <c r="P1687" t="b">
        <f t="shared" si="53"/>
        <v>0</v>
      </c>
      <c r="Q1687" t="str">
        <f t="shared" si="52"/>
        <v>Positive</v>
      </c>
    </row>
    <row r="1688" spans="1:17" x14ac:dyDescent="0.3">
      <c r="A1688" t="s">
        <v>2801</v>
      </c>
      <c r="B1688" t="s">
        <v>16</v>
      </c>
      <c r="C1688" t="s">
        <v>23</v>
      </c>
      <c r="D1688" t="s">
        <v>33</v>
      </c>
      <c r="E1688" t="s">
        <v>19</v>
      </c>
      <c r="F1688" t="s">
        <v>20</v>
      </c>
      <c r="G1688" s="1">
        <v>45381</v>
      </c>
      <c r="H1688" t="s">
        <v>2802</v>
      </c>
      <c r="I1688">
        <v>8668622</v>
      </c>
      <c r="J1688">
        <v>298918</v>
      </c>
      <c r="K1688">
        <v>37265</v>
      </c>
      <c r="L1688">
        <v>42499</v>
      </c>
      <c r="M1688">
        <v>4.3700000000000003E-2</v>
      </c>
      <c r="N1688">
        <v>0.63200000000000001</v>
      </c>
      <c r="O1688">
        <v>1</v>
      </c>
      <c r="P1688" t="b">
        <f t="shared" si="53"/>
        <v>1</v>
      </c>
      <c r="Q1688" t="str">
        <f t="shared" si="52"/>
        <v>Positive</v>
      </c>
    </row>
    <row r="1689" spans="1:17" x14ac:dyDescent="0.3">
      <c r="A1689" t="s">
        <v>2803</v>
      </c>
      <c r="B1689" t="s">
        <v>32</v>
      </c>
      <c r="C1689" t="s">
        <v>61</v>
      </c>
      <c r="D1689" t="s">
        <v>73</v>
      </c>
      <c r="E1689" t="s">
        <v>41</v>
      </c>
      <c r="F1689" t="s">
        <v>24</v>
      </c>
      <c r="G1689" s="1">
        <v>45499</v>
      </c>
      <c r="H1689" t="s">
        <v>2804</v>
      </c>
      <c r="I1689">
        <v>5454456</v>
      </c>
      <c r="J1689">
        <v>259736</v>
      </c>
      <c r="K1689">
        <v>17199</v>
      </c>
      <c r="L1689">
        <v>26812</v>
      </c>
      <c r="M1689">
        <v>5.57E-2</v>
      </c>
      <c r="N1689">
        <v>0.77300000000000002</v>
      </c>
      <c r="O1689">
        <v>1</v>
      </c>
      <c r="P1689" t="b">
        <f t="shared" si="53"/>
        <v>1</v>
      </c>
      <c r="Q1689" t="str">
        <f t="shared" si="52"/>
        <v>Positive</v>
      </c>
    </row>
    <row r="1690" spans="1:17" x14ac:dyDescent="0.3">
      <c r="A1690" t="s">
        <v>2805</v>
      </c>
      <c r="B1690" t="s">
        <v>32</v>
      </c>
      <c r="C1690" t="s">
        <v>23</v>
      </c>
      <c r="D1690" t="s">
        <v>18</v>
      </c>
      <c r="E1690" t="s">
        <v>19</v>
      </c>
      <c r="F1690" t="s">
        <v>24</v>
      </c>
      <c r="G1690" s="1">
        <v>45565</v>
      </c>
      <c r="H1690" t="s">
        <v>2806</v>
      </c>
      <c r="I1690">
        <v>2546588</v>
      </c>
      <c r="J1690">
        <v>231508</v>
      </c>
      <c r="K1690">
        <v>9704</v>
      </c>
      <c r="L1690">
        <v>76299</v>
      </c>
      <c r="M1690">
        <v>0.12470000000000001</v>
      </c>
      <c r="N1690">
        <v>0.82</v>
      </c>
      <c r="O1690">
        <v>1</v>
      </c>
      <c r="P1690" t="b">
        <f t="shared" si="53"/>
        <v>1</v>
      </c>
      <c r="Q1690" t="str">
        <f t="shared" si="52"/>
        <v>Positive</v>
      </c>
    </row>
    <row r="1691" spans="1:17" x14ac:dyDescent="0.3">
      <c r="A1691" t="s">
        <v>2807</v>
      </c>
      <c r="B1691" t="s">
        <v>32</v>
      </c>
      <c r="C1691" t="s">
        <v>23</v>
      </c>
      <c r="D1691" t="s">
        <v>29</v>
      </c>
      <c r="E1691" t="s">
        <v>19</v>
      </c>
      <c r="F1691" t="s">
        <v>55</v>
      </c>
      <c r="G1691" s="1">
        <v>45377</v>
      </c>
      <c r="H1691" t="s">
        <v>2612</v>
      </c>
      <c r="I1691">
        <v>2572608</v>
      </c>
      <c r="J1691">
        <v>107192</v>
      </c>
      <c r="K1691">
        <v>2152</v>
      </c>
      <c r="L1691">
        <v>98920</v>
      </c>
      <c r="M1691">
        <v>8.1000000000000003E-2</v>
      </c>
      <c r="N1691">
        <v>-0.96699999999999997</v>
      </c>
      <c r="O1691">
        <v>1</v>
      </c>
      <c r="P1691" t="b">
        <f t="shared" si="53"/>
        <v>1</v>
      </c>
      <c r="Q1691" t="str">
        <f t="shared" si="52"/>
        <v>Negative</v>
      </c>
    </row>
    <row r="1692" spans="1:17" x14ac:dyDescent="0.3">
      <c r="A1692" t="s">
        <v>2808</v>
      </c>
      <c r="B1692" t="s">
        <v>16</v>
      </c>
      <c r="C1692" t="s">
        <v>23</v>
      </c>
      <c r="D1692" t="s">
        <v>29</v>
      </c>
      <c r="E1692" t="s">
        <v>19</v>
      </c>
      <c r="F1692" t="s">
        <v>20</v>
      </c>
      <c r="G1692" s="1">
        <v>45477</v>
      </c>
      <c r="H1692" t="s">
        <v>386</v>
      </c>
      <c r="I1692">
        <v>4230160</v>
      </c>
      <c r="J1692">
        <v>192280</v>
      </c>
      <c r="K1692">
        <v>40639</v>
      </c>
      <c r="L1692">
        <v>2014</v>
      </c>
      <c r="M1692">
        <v>5.5500000000000001E-2</v>
      </c>
      <c r="N1692">
        <v>-0.309</v>
      </c>
      <c r="O1692">
        <v>1</v>
      </c>
      <c r="P1692" t="b">
        <f t="shared" si="53"/>
        <v>1</v>
      </c>
      <c r="Q1692" t="str">
        <f t="shared" si="52"/>
        <v>Negative</v>
      </c>
    </row>
    <row r="1693" spans="1:17" x14ac:dyDescent="0.3">
      <c r="A1693" t="s">
        <v>2809</v>
      </c>
      <c r="B1693" t="s">
        <v>32</v>
      </c>
      <c r="C1693" t="s">
        <v>23</v>
      </c>
      <c r="D1693" t="s">
        <v>54</v>
      </c>
      <c r="E1693" t="s">
        <v>51</v>
      </c>
      <c r="F1693" t="s">
        <v>20</v>
      </c>
      <c r="G1693" s="1">
        <v>45522</v>
      </c>
      <c r="H1693" t="s">
        <v>2810</v>
      </c>
      <c r="I1693">
        <v>1406592</v>
      </c>
      <c r="J1693">
        <v>117216</v>
      </c>
      <c r="K1693">
        <v>37760</v>
      </c>
      <c r="L1693">
        <v>8734</v>
      </c>
      <c r="M1693">
        <v>0.1164</v>
      </c>
      <c r="N1693">
        <v>0.76400000000000001</v>
      </c>
      <c r="O1693">
        <v>0</v>
      </c>
      <c r="P1693" t="b">
        <f t="shared" si="53"/>
        <v>0</v>
      </c>
      <c r="Q1693" t="str">
        <f t="shared" si="52"/>
        <v>Positive</v>
      </c>
    </row>
    <row r="1694" spans="1:17" x14ac:dyDescent="0.3">
      <c r="A1694" t="s">
        <v>2811</v>
      </c>
      <c r="B1694" t="s">
        <v>66</v>
      </c>
      <c r="C1694" t="s">
        <v>17</v>
      </c>
      <c r="D1694" t="s">
        <v>54</v>
      </c>
      <c r="E1694" t="s">
        <v>51</v>
      </c>
      <c r="F1694" t="s">
        <v>24</v>
      </c>
      <c r="G1694" s="1">
        <v>45445</v>
      </c>
      <c r="H1694" t="s">
        <v>2812</v>
      </c>
      <c r="I1694">
        <v>5148120</v>
      </c>
      <c r="J1694">
        <v>429010</v>
      </c>
      <c r="K1694">
        <v>40055</v>
      </c>
      <c r="L1694">
        <v>81172</v>
      </c>
      <c r="M1694">
        <v>0.1069</v>
      </c>
      <c r="N1694">
        <v>0.72799999999999998</v>
      </c>
      <c r="O1694">
        <v>1</v>
      </c>
      <c r="P1694" t="b">
        <f t="shared" si="53"/>
        <v>1</v>
      </c>
      <c r="Q1694" t="str">
        <f t="shared" si="52"/>
        <v>Positive</v>
      </c>
    </row>
    <row r="1695" spans="1:17" x14ac:dyDescent="0.3">
      <c r="A1695" t="s">
        <v>2813</v>
      </c>
      <c r="B1695" t="s">
        <v>27</v>
      </c>
      <c r="C1695" t="s">
        <v>61</v>
      </c>
      <c r="D1695" t="s">
        <v>29</v>
      </c>
      <c r="E1695" t="s">
        <v>19</v>
      </c>
      <c r="F1695" t="s">
        <v>34</v>
      </c>
      <c r="G1695" s="1">
        <v>45385</v>
      </c>
      <c r="H1695" t="s">
        <v>2810</v>
      </c>
      <c r="I1695">
        <v>1829088</v>
      </c>
      <c r="J1695">
        <v>152424</v>
      </c>
      <c r="K1695">
        <v>39759</v>
      </c>
      <c r="L1695">
        <v>6863</v>
      </c>
      <c r="M1695">
        <v>0.10879999999999999</v>
      </c>
      <c r="N1695">
        <v>0.38</v>
      </c>
      <c r="O1695">
        <v>0</v>
      </c>
      <c r="P1695" t="b">
        <f t="shared" si="53"/>
        <v>0</v>
      </c>
      <c r="Q1695" t="str">
        <f t="shared" si="52"/>
        <v>Positive</v>
      </c>
    </row>
    <row r="1696" spans="1:17" x14ac:dyDescent="0.3">
      <c r="A1696" t="s">
        <v>2814</v>
      </c>
      <c r="B1696" t="s">
        <v>16</v>
      </c>
      <c r="C1696" t="s">
        <v>28</v>
      </c>
      <c r="D1696" t="s">
        <v>54</v>
      </c>
      <c r="E1696" t="s">
        <v>51</v>
      </c>
      <c r="F1696" t="s">
        <v>20</v>
      </c>
      <c r="G1696" s="1">
        <v>45577</v>
      </c>
      <c r="H1696" t="s">
        <v>620</v>
      </c>
      <c r="I1696">
        <v>5958610</v>
      </c>
      <c r="J1696">
        <v>259070</v>
      </c>
      <c r="K1696">
        <v>40932</v>
      </c>
      <c r="L1696">
        <v>88091</v>
      </c>
      <c r="M1696">
        <v>6.5100000000000005E-2</v>
      </c>
      <c r="N1696">
        <v>3.5999999999999997E-2</v>
      </c>
      <c r="O1696">
        <v>1</v>
      </c>
      <c r="P1696" t="b">
        <f t="shared" si="53"/>
        <v>1</v>
      </c>
      <c r="Q1696" t="str">
        <f t="shared" si="52"/>
        <v>Positive</v>
      </c>
    </row>
    <row r="1697" spans="1:17" x14ac:dyDescent="0.3">
      <c r="A1697" t="s">
        <v>2815</v>
      </c>
      <c r="B1697" t="s">
        <v>16</v>
      </c>
      <c r="C1697" t="s">
        <v>23</v>
      </c>
      <c r="D1697" t="s">
        <v>18</v>
      </c>
      <c r="E1697" t="s">
        <v>19</v>
      </c>
      <c r="F1697" t="s">
        <v>24</v>
      </c>
      <c r="G1697" s="1">
        <v>45349</v>
      </c>
      <c r="H1697" t="s">
        <v>298</v>
      </c>
      <c r="I1697">
        <v>941993</v>
      </c>
      <c r="J1697">
        <v>72461</v>
      </c>
      <c r="K1697">
        <v>43425</v>
      </c>
      <c r="L1697">
        <v>77991</v>
      </c>
      <c r="M1697">
        <v>0.20580000000000001</v>
      </c>
      <c r="N1697">
        <v>-0.70899999999999996</v>
      </c>
      <c r="O1697">
        <v>0</v>
      </c>
      <c r="P1697" t="b">
        <f t="shared" si="53"/>
        <v>0</v>
      </c>
      <c r="Q1697" t="str">
        <f t="shared" si="52"/>
        <v>Negative</v>
      </c>
    </row>
    <row r="1698" spans="1:17" x14ac:dyDescent="0.3">
      <c r="A1698" t="s">
        <v>2816</v>
      </c>
      <c r="B1698" t="s">
        <v>27</v>
      </c>
      <c r="C1698" t="s">
        <v>17</v>
      </c>
      <c r="D1698" t="s">
        <v>29</v>
      </c>
      <c r="E1698" t="s">
        <v>38</v>
      </c>
      <c r="F1698" t="s">
        <v>46</v>
      </c>
      <c r="G1698" s="1">
        <v>45536</v>
      </c>
      <c r="H1698" t="s">
        <v>80</v>
      </c>
      <c r="I1698">
        <v>4184480</v>
      </c>
      <c r="J1698">
        <v>209224</v>
      </c>
      <c r="K1698">
        <v>47063</v>
      </c>
      <c r="L1698">
        <v>74095</v>
      </c>
      <c r="M1698">
        <v>7.9000000000000001E-2</v>
      </c>
      <c r="N1698">
        <v>0.626</v>
      </c>
      <c r="O1698">
        <v>1</v>
      </c>
      <c r="P1698" t="b">
        <f t="shared" si="53"/>
        <v>1</v>
      </c>
      <c r="Q1698" t="str">
        <f t="shared" si="52"/>
        <v>Positive</v>
      </c>
    </row>
    <row r="1699" spans="1:17" x14ac:dyDescent="0.3">
      <c r="A1699" t="s">
        <v>2817</v>
      </c>
      <c r="B1699" t="s">
        <v>32</v>
      </c>
      <c r="C1699" t="s">
        <v>17</v>
      </c>
      <c r="D1699" t="s">
        <v>29</v>
      </c>
      <c r="E1699" t="s">
        <v>51</v>
      </c>
      <c r="F1699" t="s">
        <v>55</v>
      </c>
      <c r="G1699" s="1">
        <v>45493</v>
      </c>
      <c r="H1699" t="s">
        <v>2472</v>
      </c>
      <c r="I1699">
        <v>2024037</v>
      </c>
      <c r="J1699">
        <v>224893</v>
      </c>
      <c r="K1699">
        <v>37392</v>
      </c>
      <c r="L1699">
        <v>21576</v>
      </c>
      <c r="M1699">
        <v>0.14019999999999999</v>
      </c>
      <c r="N1699">
        <v>-0.12</v>
      </c>
      <c r="O1699">
        <v>1</v>
      </c>
      <c r="P1699" t="b">
        <f t="shared" si="53"/>
        <v>1</v>
      </c>
      <c r="Q1699" t="str">
        <f t="shared" si="52"/>
        <v>Negative</v>
      </c>
    </row>
    <row r="1700" spans="1:17" x14ac:dyDescent="0.3">
      <c r="A1700" t="s">
        <v>2818</v>
      </c>
      <c r="B1700" t="s">
        <v>16</v>
      </c>
      <c r="C1700" t="s">
        <v>28</v>
      </c>
      <c r="D1700" t="s">
        <v>29</v>
      </c>
      <c r="E1700" t="s">
        <v>38</v>
      </c>
      <c r="F1700" t="s">
        <v>34</v>
      </c>
      <c r="G1700" s="1">
        <v>45323</v>
      </c>
      <c r="H1700" t="s">
        <v>2819</v>
      </c>
      <c r="I1700">
        <v>3630744</v>
      </c>
      <c r="J1700">
        <v>403416</v>
      </c>
      <c r="K1700">
        <v>7861</v>
      </c>
      <c r="L1700">
        <v>38170</v>
      </c>
      <c r="M1700">
        <v>0.12379999999999999</v>
      </c>
      <c r="N1700">
        <v>-0.48299999999999998</v>
      </c>
      <c r="O1700">
        <v>1</v>
      </c>
      <c r="P1700" t="b">
        <f t="shared" si="53"/>
        <v>1</v>
      </c>
      <c r="Q1700" t="str">
        <f t="shared" si="52"/>
        <v>Negative</v>
      </c>
    </row>
    <row r="1701" spans="1:17" x14ac:dyDescent="0.3">
      <c r="A1701" t="s">
        <v>2820</v>
      </c>
      <c r="B1701" t="s">
        <v>16</v>
      </c>
      <c r="C1701" t="s">
        <v>23</v>
      </c>
      <c r="D1701" t="s">
        <v>18</v>
      </c>
      <c r="E1701" t="s">
        <v>38</v>
      </c>
      <c r="F1701" t="s">
        <v>34</v>
      </c>
      <c r="G1701" s="1">
        <v>45341</v>
      </c>
      <c r="H1701" t="s">
        <v>458</v>
      </c>
      <c r="I1701">
        <v>4398480</v>
      </c>
      <c r="J1701">
        <v>293232</v>
      </c>
      <c r="K1701">
        <v>44448</v>
      </c>
      <c r="L1701">
        <v>76449</v>
      </c>
      <c r="M1701">
        <v>9.4200000000000006E-2</v>
      </c>
      <c r="N1701">
        <v>-0.104</v>
      </c>
      <c r="O1701">
        <v>1</v>
      </c>
      <c r="P1701" t="b">
        <f t="shared" si="53"/>
        <v>1</v>
      </c>
      <c r="Q1701" t="str">
        <f t="shared" si="52"/>
        <v>Negative</v>
      </c>
    </row>
    <row r="1702" spans="1:17" x14ac:dyDescent="0.3">
      <c r="A1702" t="s">
        <v>2821</v>
      </c>
      <c r="B1702" t="s">
        <v>66</v>
      </c>
      <c r="C1702" t="s">
        <v>28</v>
      </c>
      <c r="D1702" t="s">
        <v>54</v>
      </c>
      <c r="E1702" t="s">
        <v>41</v>
      </c>
      <c r="F1702" t="s">
        <v>20</v>
      </c>
      <c r="G1702" s="1">
        <v>45497</v>
      </c>
      <c r="H1702" t="s">
        <v>2822</v>
      </c>
      <c r="I1702">
        <v>11515550</v>
      </c>
      <c r="J1702">
        <v>460622</v>
      </c>
      <c r="K1702">
        <v>12310</v>
      </c>
      <c r="L1702">
        <v>9970</v>
      </c>
      <c r="M1702">
        <v>4.19E-2</v>
      </c>
      <c r="N1702">
        <v>0.254</v>
      </c>
      <c r="O1702">
        <v>1</v>
      </c>
      <c r="P1702" t="b">
        <f t="shared" si="53"/>
        <v>1</v>
      </c>
      <c r="Q1702" t="str">
        <f t="shared" si="52"/>
        <v>Positive</v>
      </c>
    </row>
    <row r="1703" spans="1:17" x14ac:dyDescent="0.3">
      <c r="A1703" t="s">
        <v>2823</v>
      </c>
      <c r="B1703" t="s">
        <v>16</v>
      </c>
      <c r="C1703" t="s">
        <v>17</v>
      </c>
      <c r="D1703" t="s">
        <v>33</v>
      </c>
      <c r="E1703" t="s">
        <v>41</v>
      </c>
      <c r="F1703" t="s">
        <v>34</v>
      </c>
      <c r="G1703" s="1">
        <v>45400</v>
      </c>
      <c r="H1703" t="s">
        <v>2824</v>
      </c>
      <c r="I1703">
        <v>2146495</v>
      </c>
      <c r="J1703">
        <v>429299</v>
      </c>
      <c r="K1703">
        <v>44753</v>
      </c>
      <c r="L1703">
        <v>39463</v>
      </c>
      <c r="M1703">
        <v>0.2392</v>
      </c>
      <c r="N1703">
        <v>-0.04</v>
      </c>
      <c r="O1703">
        <v>1</v>
      </c>
      <c r="P1703" t="b">
        <f t="shared" si="53"/>
        <v>1</v>
      </c>
      <c r="Q1703" t="str">
        <f t="shared" si="52"/>
        <v>Negative</v>
      </c>
    </row>
    <row r="1704" spans="1:17" x14ac:dyDescent="0.3">
      <c r="A1704" t="s">
        <v>2825</v>
      </c>
      <c r="B1704" t="s">
        <v>27</v>
      </c>
      <c r="C1704" t="s">
        <v>17</v>
      </c>
      <c r="D1704" t="s">
        <v>54</v>
      </c>
      <c r="E1704" t="s">
        <v>51</v>
      </c>
      <c r="F1704" t="s">
        <v>20</v>
      </c>
      <c r="G1704" s="1">
        <v>45614</v>
      </c>
      <c r="H1704" t="s">
        <v>104</v>
      </c>
      <c r="I1704">
        <v>4129524</v>
      </c>
      <c r="J1704">
        <v>196644</v>
      </c>
      <c r="K1704">
        <v>49909</v>
      </c>
      <c r="L1704">
        <v>61314</v>
      </c>
      <c r="M1704">
        <v>7.46E-2</v>
      </c>
      <c r="N1704">
        <v>0.73799999999999999</v>
      </c>
      <c r="O1704">
        <v>1</v>
      </c>
      <c r="P1704" t="b">
        <f t="shared" si="53"/>
        <v>1</v>
      </c>
      <c r="Q1704" t="str">
        <f t="shared" si="52"/>
        <v>Positive</v>
      </c>
    </row>
    <row r="1705" spans="1:17" x14ac:dyDescent="0.3">
      <c r="A1705" t="s">
        <v>2826</v>
      </c>
      <c r="B1705" t="s">
        <v>16</v>
      </c>
      <c r="C1705" t="s">
        <v>23</v>
      </c>
      <c r="D1705" t="s">
        <v>33</v>
      </c>
      <c r="E1705" t="s">
        <v>41</v>
      </c>
      <c r="F1705" t="s">
        <v>46</v>
      </c>
      <c r="G1705" s="1">
        <v>45561</v>
      </c>
      <c r="H1705" t="s">
        <v>340</v>
      </c>
      <c r="I1705">
        <v>4075596</v>
      </c>
      <c r="J1705">
        <v>145557</v>
      </c>
      <c r="K1705">
        <v>17066</v>
      </c>
      <c r="L1705">
        <v>65642</v>
      </c>
      <c r="M1705">
        <v>5.6000000000000001E-2</v>
      </c>
      <c r="N1705">
        <v>0.188</v>
      </c>
      <c r="O1705">
        <v>1</v>
      </c>
      <c r="P1705" t="b">
        <f t="shared" si="53"/>
        <v>1</v>
      </c>
      <c r="Q1705" t="str">
        <f t="shared" si="52"/>
        <v>Positive</v>
      </c>
    </row>
    <row r="1706" spans="1:17" x14ac:dyDescent="0.3">
      <c r="A1706" t="s">
        <v>2827</v>
      </c>
      <c r="B1706" t="s">
        <v>32</v>
      </c>
      <c r="C1706" t="s">
        <v>61</v>
      </c>
      <c r="D1706" t="s">
        <v>33</v>
      </c>
      <c r="E1706" t="s">
        <v>38</v>
      </c>
      <c r="F1706" t="s">
        <v>46</v>
      </c>
      <c r="G1706" s="1">
        <v>45300</v>
      </c>
      <c r="H1706" t="s">
        <v>392</v>
      </c>
      <c r="I1706">
        <v>7230276</v>
      </c>
      <c r="J1706">
        <v>267788</v>
      </c>
      <c r="K1706">
        <v>13280</v>
      </c>
      <c r="L1706">
        <v>63249</v>
      </c>
      <c r="M1706">
        <v>4.7600000000000003E-2</v>
      </c>
      <c r="N1706">
        <v>-0.56499999999999995</v>
      </c>
      <c r="O1706">
        <v>1</v>
      </c>
      <c r="P1706" t="b">
        <f t="shared" si="53"/>
        <v>1</v>
      </c>
      <c r="Q1706" t="str">
        <f t="shared" si="52"/>
        <v>Negative</v>
      </c>
    </row>
    <row r="1707" spans="1:17" x14ac:dyDescent="0.3">
      <c r="A1707" t="s">
        <v>2828</v>
      </c>
      <c r="B1707" t="s">
        <v>32</v>
      </c>
      <c r="C1707" t="s">
        <v>28</v>
      </c>
      <c r="D1707" t="s">
        <v>33</v>
      </c>
      <c r="E1707" t="s">
        <v>51</v>
      </c>
      <c r="F1707" t="s">
        <v>46</v>
      </c>
      <c r="G1707" s="1">
        <v>45641</v>
      </c>
      <c r="H1707" t="s">
        <v>827</v>
      </c>
      <c r="I1707">
        <v>10736882</v>
      </c>
      <c r="J1707">
        <v>412957</v>
      </c>
      <c r="K1707">
        <v>6218</v>
      </c>
      <c r="L1707">
        <v>80022</v>
      </c>
      <c r="M1707">
        <v>4.65E-2</v>
      </c>
      <c r="N1707">
        <v>0.90500000000000003</v>
      </c>
      <c r="O1707">
        <v>1</v>
      </c>
      <c r="P1707" t="b">
        <f t="shared" si="53"/>
        <v>1</v>
      </c>
      <c r="Q1707" t="str">
        <f t="shared" si="52"/>
        <v>Positive</v>
      </c>
    </row>
    <row r="1708" spans="1:17" x14ac:dyDescent="0.3">
      <c r="A1708" t="s">
        <v>2829</v>
      </c>
      <c r="B1708" t="s">
        <v>16</v>
      </c>
      <c r="C1708" t="s">
        <v>61</v>
      </c>
      <c r="D1708" t="s">
        <v>54</v>
      </c>
      <c r="E1708" t="s">
        <v>58</v>
      </c>
      <c r="F1708" t="s">
        <v>24</v>
      </c>
      <c r="G1708" s="1">
        <v>45298</v>
      </c>
      <c r="H1708" t="s">
        <v>2830</v>
      </c>
      <c r="I1708">
        <v>7446708</v>
      </c>
      <c r="J1708">
        <v>413706</v>
      </c>
      <c r="K1708">
        <v>9872</v>
      </c>
      <c r="L1708">
        <v>58467</v>
      </c>
      <c r="M1708">
        <v>6.4699999999999994E-2</v>
      </c>
      <c r="N1708">
        <v>8.5999999999999993E-2</v>
      </c>
      <c r="O1708">
        <v>1</v>
      </c>
      <c r="P1708" t="b">
        <f t="shared" si="53"/>
        <v>1</v>
      </c>
      <c r="Q1708" t="str">
        <f t="shared" si="52"/>
        <v>Positive</v>
      </c>
    </row>
    <row r="1709" spans="1:17" x14ac:dyDescent="0.3">
      <c r="A1709" t="s">
        <v>2831</v>
      </c>
      <c r="B1709" t="s">
        <v>16</v>
      </c>
      <c r="C1709" t="s">
        <v>28</v>
      </c>
      <c r="D1709" t="s">
        <v>73</v>
      </c>
      <c r="E1709" t="s">
        <v>41</v>
      </c>
      <c r="F1709" t="s">
        <v>34</v>
      </c>
      <c r="G1709" s="1">
        <v>45588</v>
      </c>
      <c r="H1709" t="s">
        <v>2832</v>
      </c>
      <c r="I1709">
        <v>7898778</v>
      </c>
      <c r="J1709">
        <v>464634</v>
      </c>
      <c r="K1709">
        <v>29804</v>
      </c>
      <c r="L1709">
        <v>16985</v>
      </c>
      <c r="M1709">
        <v>6.4699999999999994E-2</v>
      </c>
      <c r="N1709">
        <v>-8.3000000000000004E-2</v>
      </c>
      <c r="O1709">
        <v>1</v>
      </c>
      <c r="P1709" t="b">
        <f t="shared" si="53"/>
        <v>1</v>
      </c>
      <c r="Q1709" t="str">
        <f t="shared" si="52"/>
        <v>Negative</v>
      </c>
    </row>
    <row r="1710" spans="1:17" x14ac:dyDescent="0.3">
      <c r="A1710" t="s">
        <v>2833</v>
      </c>
      <c r="B1710" t="s">
        <v>16</v>
      </c>
      <c r="C1710" t="s">
        <v>28</v>
      </c>
      <c r="D1710" t="s">
        <v>73</v>
      </c>
      <c r="E1710" t="s">
        <v>58</v>
      </c>
      <c r="F1710" t="s">
        <v>34</v>
      </c>
      <c r="G1710" s="1">
        <v>45506</v>
      </c>
      <c r="H1710" t="s">
        <v>2834</v>
      </c>
      <c r="I1710">
        <v>6302985</v>
      </c>
      <c r="J1710">
        <v>484845</v>
      </c>
      <c r="K1710">
        <v>1529</v>
      </c>
      <c r="L1710">
        <v>49403</v>
      </c>
      <c r="M1710">
        <v>8.5000000000000006E-2</v>
      </c>
      <c r="N1710">
        <v>-0.67100000000000004</v>
      </c>
      <c r="O1710">
        <v>1</v>
      </c>
      <c r="P1710" t="b">
        <f t="shared" si="53"/>
        <v>1</v>
      </c>
      <c r="Q1710" t="str">
        <f t="shared" si="52"/>
        <v>Negative</v>
      </c>
    </row>
    <row r="1711" spans="1:17" x14ac:dyDescent="0.3">
      <c r="A1711" t="s">
        <v>2835</v>
      </c>
      <c r="B1711" t="s">
        <v>27</v>
      </c>
      <c r="C1711" t="s">
        <v>61</v>
      </c>
      <c r="D1711" t="s">
        <v>29</v>
      </c>
      <c r="E1711" t="s">
        <v>51</v>
      </c>
      <c r="F1711" t="s">
        <v>20</v>
      </c>
      <c r="G1711" s="1">
        <v>45459</v>
      </c>
      <c r="H1711" t="s">
        <v>392</v>
      </c>
      <c r="I1711">
        <v>2119518</v>
      </c>
      <c r="J1711">
        <v>353253</v>
      </c>
      <c r="K1711">
        <v>39837</v>
      </c>
      <c r="L1711">
        <v>45837</v>
      </c>
      <c r="M1711">
        <v>0.20710000000000001</v>
      </c>
      <c r="N1711">
        <v>0.42099999999999999</v>
      </c>
      <c r="O1711">
        <v>1</v>
      </c>
      <c r="P1711" t="b">
        <f t="shared" si="53"/>
        <v>1</v>
      </c>
      <c r="Q1711" t="str">
        <f t="shared" si="52"/>
        <v>Positive</v>
      </c>
    </row>
    <row r="1712" spans="1:17" x14ac:dyDescent="0.3">
      <c r="A1712" t="s">
        <v>2836</v>
      </c>
      <c r="B1712" t="s">
        <v>27</v>
      </c>
      <c r="C1712" t="s">
        <v>17</v>
      </c>
      <c r="D1712" t="s">
        <v>54</v>
      </c>
      <c r="E1712" t="s">
        <v>19</v>
      </c>
      <c r="F1712" t="s">
        <v>34</v>
      </c>
      <c r="G1712" s="1">
        <v>45451</v>
      </c>
      <c r="H1712" t="s">
        <v>1550</v>
      </c>
      <c r="I1712">
        <v>6037318</v>
      </c>
      <c r="J1712">
        <v>431237</v>
      </c>
      <c r="K1712">
        <v>4903</v>
      </c>
      <c r="L1712">
        <v>18563</v>
      </c>
      <c r="M1712">
        <v>7.5300000000000006E-2</v>
      </c>
      <c r="N1712">
        <v>0.96899999999999997</v>
      </c>
      <c r="O1712">
        <v>1</v>
      </c>
      <c r="P1712" t="b">
        <f t="shared" si="53"/>
        <v>1</v>
      </c>
      <c r="Q1712" t="str">
        <f t="shared" si="52"/>
        <v>Positive</v>
      </c>
    </row>
    <row r="1713" spans="1:17" x14ac:dyDescent="0.3">
      <c r="A1713" t="s">
        <v>2837</v>
      </c>
      <c r="B1713" t="s">
        <v>66</v>
      </c>
      <c r="C1713" t="s">
        <v>28</v>
      </c>
      <c r="D1713" t="s">
        <v>73</v>
      </c>
      <c r="E1713" t="s">
        <v>58</v>
      </c>
      <c r="F1713" t="s">
        <v>46</v>
      </c>
      <c r="G1713" s="1">
        <v>45515</v>
      </c>
      <c r="H1713" t="s">
        <v>2838</v>
      </c>
      <c r="I1713">
        <v>2299101</v>
      </c>
      <c r="J1713">
        <v>109481</v>
      </c>
      <c r="K1713">
        <v>27387</v>
      </c>
      <c r="L1713">
        <v>15792</v>
      </c>
      <c r="M1713">
        <v>6.6400000000000001E-2</v>
      </c>
      <c r="N1713">
        <v>0.43</v>
      </c>
      <c r="O1713">
        <v>1</v>
      </c>
      <c r="P1713" t="b">
        <f t="shared" si="53"/>
        <v>1</v>
      </c>
      <c r="Q1713" t="str">
        <f t="shared" si="52"/>
        <v>Positive</v>
      </c>
    </row>
    <row r="1714" spans="1:17" x14ac:dyDescent="0.3">
      <c r="A1714" t="s">
        <v>2839</v>
      </c>
      <c r="B1714" t="s">
        <v>66</v>
      </c>
      <c r="C1714" t="s">
        <v>23</v>
      </c>
      <c r="D1714" t="s">
        <v>73</v>
      </c>
      <c r="E1714" t="s">
        <v>19</v>
      </c>
      <c r="F1714" t="s">
        <v>46</v>
      </c>
      <c r="G1714" s="1">
        <v>45335</v>
      </c>
      <c r="H1714" t="s">
        <v>2840</v>
      </c>
      <c r="I1714">
        <v>3620088</v>
      </c>
      <c r="J1714">
        <v>150837</v>
      </c>
      <c r="K1714">
        <v>4715</v>
      </c>
      <c r="L1714">
        <v>65865</v>
      </c>
      <c r="M1714">
        <v>6.1199999999999997E-2</v>
      </c>
      <c r="N1714">
        <v>0.92400000000000004</v>
      </c>
      <c r="O1714">
        <v>1</v>
      </c>
      <c r="P1714" t="b">
        <f t="shared" si="53"/>
        <v>1</v>
      </c>
      <c r="Q1714" t="str">
        <f t="shared" si="52"/>
        <v>Positive</v>
      </c>
    </row>
    <row r="1715" spans="1:17" x14ac:dyDescent="0.3">
      <c r="A1715" t="s">
        <v>2841</v>
      </c>
      <c r="B1715" t="s">
        <v>27</v>
      </c>
      <c r="C1715" t="s">
        <v>23</v>
      </c>
      <c r="D1715" t="s">
        <v>73</v>
      </c>
      <c r="E1715" t="s">
        <v>58</v>
      </c>
      <c r="F1715" t="s">
        <v>20</v>
      </c>
      <c r="G1715" s="1">
        <v>45380</v>
      </c>
      <c r="H1715" t="s">
        <v>2319</v>
      </c>
      <c r="I1715">
        <v>367920</v>
      </c>
      <c r="J1715">
        <v>45990</v>
      </c>
      <c r="K1715">
        <v>6799</v>
      </c>
      <c r="L1715">
        <v>32889</v>
      </c>
      <c r="M1715">
        <v>0.2329</v>
      </c>
      <c r="N1715">
        <v>0.55400000000000005</v>
      </c>
      <c r="O1715">
        <v>0</v>
      </c>
      <c r="P1715" t="b">
        <f t="shared" si="53"/>
        <v>0</v>
      </c>
      <c r="Q1715" t="str">
        <f t="shared" si="52"/>
        <v>Positive</v>
      </c>
    </row>
    <row r="1716" spans="1:17" x14ac:dyDescent="0.3">
      <c r="A1716" t="s">
        <v>2842</v>
      </c>
      <c r="B1716" t="s">
        <v>27</v>
      </c>
      <c r="C1716" t="s">
        <v>61</v>
      </c>
      <c r="D1716" t="s">
        <v>37</v>
      </c>
      <c r="E1716" t="s">
        <v>58</v>
      </c>
      <c r="F1716" t="s">
        <v>46</v>
      </c>
      <c r="G1716" s="1">
        <v>45645</v>
      </c>
      <c r="H1716" t="s">
        <v>87</v>
      </c>
      <c r="I1716">
        <v>7551060</v>
      </c>
      <c r="J1716">
        <v>343230</v>
      </c>
      <c r="K1716">
        <v>3680</v>
      </c>
      <c r="L1716">
        <v>83997</v>
      </c>
      <c r="M1716">
        <v>5.7099999999999998E-2</v>
      </c>
      <c r="N1716">
        <v>-0.79900000000000004</v>
      </c>
      <c r="O1716">
        <v>1</v>
      </c>
      <c r="P1716" t="b">
        <f t="shared" si="53"/>
        <v>1</v>
      </c>
      <c r="Q1716" t="str">
        <f t="shared" si="52"/>
        <v>Negative</v>
      </c>
    </row>
    <row r="1717" spans="1:17" x14ac:dyDescent="0.3">
      <c r="A1717" t="s">
        <v>2843</v>
      </c>
      <c r="B1717" t="s">
        <v>16</v>
      </c>
      <c r="C1717" t="s">
        <v>61</v>
      </c>
      <c r="D1717" t="s">
        <v>37</v>
      </c>
      <c r="E1717" t="s">
        <v>41</v>
      </c>
      <c r="F1717" t="s">
        <v>55</v>
      </c>
      <c r="G1717" s="1">
        <v>45309</v>
      </c>
      <c r="H1717" t="s">
        <v>2296</v>
      </c>
      <c r="I1717">
        <v>326480</v>
      </c>
      <c r="J1717">
        <v>11660</v>
      </c>
      <c r="K1717">
        <v>32468</v>
      </c>
      <c r="L1717">
        <v>31664</v>
      </c>
      <c r="M1717">
        <v>0.2321</v>
      </c>
      <c r="N1717">
        <v>-0.221</v>
      </c>
      <c r="O1717">
        <v>0</v>
      </c>
      <c r="P1717" t="b">
        <f t="shared" si="53"/>
        <v>0</v>
      </c>
      <c r="Q1717" t="str">
        <f t="shared" si="52"/>
        <v>Negative</v>
      </c>
    </row>
    <row r="1718" spans="1:17" x14ac:dyDescent="0.3">
      <c r="A1718" t="s">
        <v>2844</v>
      </c>
      <c r="B1718" t="s">
        <v>32</v>
      </c>
      <c r="C1718" t="s">
        <v>28</v>
      </c>
      <c r="D1718" t="s">
        <v>29</v>
      </c>
      <c r="E1718" t="s">
        <v>41</v>
      </c>
      <c r="F1718" t="s">
        <v>34</v>
      </c>
      <c r="G1718" s="1">
        <v>45583</v>
      </c>
      <c r="H1718" t="s">
        <v>2845</v>
      </c>
      <c r="I1718">
        <v>5316606</v>
      </c>
      <c r="J1718">
        <v>295367</v>
      </c>
      <c r="K1718">
        <v>28815</v>
      </c>
      <c r="L1718">
        <v>9719</v>
      </c>
      <c r="M1718">
        <v>6.2799999999999995E-2</v>
      </c>
      <c r="N1718">
        <v>0.69099999999999995</v>
      </c>
      <c r="O1718">
        <v>1</v>
      </c>
      <c r="P1718" t="b">
        <f t="shared" si="53"/>
        <v>1</v>
      </c>
      <c r="Q1718" t="str">
        <f t="shared" si="52"/>
        <v>Positive</v>
      </c>
    </row>
    <row r="1719" spans="1:17" x14ac:dyDescent="0.3">
      <c r="A1719" t="s">
        <v>2846</v>
      </c>
      <c r="B1719" t="s">
        <v>32</v>
      </c>
      <c r="C1719" t="s">
        <v>28</v>
      </c>
      <c r="D1719" t="s">
        <v>29</v>
      </c>
      <c r="E1719" t="s">
        <v>38</v>
      </c>
      <c r="F1719" t="s">
        <v>34</v>
      </c>
      <c r="G1719" s="1">
        <v>45421</v>
      </c>
      <c r="H1719" t="s">
        <v>885</v>
      </c>
      <c r="I1719">
        <v>667786</v>
      </c>
      <c r="J1719">
        <v>47699</v>
      </c>
      <c r="K1719">
        <v>17402</v>
      </c>
      <c r="L1719">
        <v>45407</v>
      </c>
      <c r="M1719">
        <v>0.16550000000000001</v>
      </c>
      <c r="N1719">
        <v>0.85</v>
      </c>
      <c r="O1719">
        <v>0</v>
      </c>
      <c r="P1719" t="b">
        <f t="shared" si="53"/>
        <v>0</v>
      </c>
      <c r="Q1719" t="str">
        <f t="shared" si="52"/>
        <v>Positive</v>
      </c>
    </row>
    <row r="1720" spans="1:17" x14ac:dyDescent="0.3">
      <c r="A1720" t="s">
        <v>2847</v>
      </c>
      <c r="B1720" t="s">
        <v>16</v>
      </c>
      <c r="C1720" t="s">
        <v>28</v>
      </c>
      <c r="D1720" t="s">
        <v>33</v>
      </c>
      <c r="E1720" t="s">
        <v>19</v>
      </c>
      <c r="F1720" t="s">
        <v>34</v>
      </c>
      <c r="G1720" s="1">
        <v>45320</v>
      </c>
      <c r="H1720" t="s">
        <v>371</v>
      </c>
      <c r="I1720">
        <v>2397589</v>
      </c>
      <c r="J1720">
        <v>104243</v>
      </c>
      <c r="K1720">
        <v>13508</v>
      </c>
      <c r="L1720">
        <v>54944</v>
      </c>
      <c r="M1720">
        <v>7.1999999999999995E-2</v>
      </c>
      <c r="N1720">
        <v>-0.32300000000000001</v>
      </c>
      <c r="O1720">
        <v>1</v>
      </c>
      <c r="P1720" t="b">
        <f t="shared" si="53"/>
        <v>1</v>
      </c>
      <c r="Q1720" t="str">
        <f t="shared" si="52"/>
        <v>Negative</v>
      </c>
    </row>
    <row r="1721" spans="1:17" x14ac:dyDescent="0.3">
      <c r="A1721" t="s">
        <v>2848</v>
      </c>
      <c r="B1721" t="s">
        <v>16</v>
      </c>
      <c r="C1721" t="s">
        <v>61</v>
      </c>
      <c r="D1721" t="s">
        <v>37</v>
      </c>
      <c r="E1721" t="s">
        <v>41</v>
      </c>
      <c r="F1721" t="s">
        <v>24</v>
      </c>
      <c r="G1721" s="1">
        <v>45582</v>
      </c>
      <c r="H1721" t="s">
        <v>2849</v>
      </c>
      <c r="I1721">
        <v>1161270</v>
      </c>
      <c r="J1721">
        <v>50490</v>
      </c>
      <c r="K1721">
        <v>29510</v>
      </c>
      <c r="L1721">
        <v>59558</v>
      </c>
      <c r="M1721">
        <v>0.1202</v>
      </c>
      <c r="N1721">
        <v>-0.184</v>
      </c>
      <c r="O1721">
        <v>0</v>
      </c>
      <c r="P1721" t="b">
        <f t="shared" si="53"/>
        <v>0</v>
      </c>
      <c r="Q1721" t="str">
        <f t="shared" si="52"/>
        <v>Negative</v>
      </c>
    </row>
    <row r="1722" spans="1:17" x14ac:dyDescent="0.3">
      <c r="A1722" t="s">
        <v>2850</v>
      </c>
      <c r="B1722" t="s">
        <v>32</v>
      </c>
      <c r="C1722" t="s">
        <v>61</v>
      </c>
      <c r="D1722" t="s">
        <v>37</v>
      </c>
      <c r="E1722" t="s">
        <v>38</v>
      </c>
      <c r="F1722" t="s">
        <v>24</v>
      </c>
      <c r="G1722" s="1">
        <v>45375</v>
      </c>
      <c r="H1722" t="s">
        <v>460</v>
      </c>
      <c r="I1722">
        <v>3146240</v>
      </c>
      <c r="J1722">
        <v>157312</v>
      </c>
      <c r="K1722">
        <v>12036</v>
      </c>
      <c r="L1722">
        <v>80665</v>
      </c>
      <c r="M1722">
        <v>7.9500000000000001E-2</v>
      </c>
      <c r="N1722">
        <v>-0.91</v>
      </c>
      <c r="O1722">
        <v>1</v>
      </c>
      <c r="P1722" t="b">
        <f t="shared" si="53"/>
        <v>1</v>
      </c>
      <c r="Q1722" t="str">
        <f t="shared" si="52"/>
        <v>Negative</v>
      </c>
    </row>
    <row r="1723" spans="1:17" x14ac:dyDescent="0.3">
      <c r="A1723" t="s">
        <v>2851</v>
      </c>
      <c r="B1723" t="s">
        <v>16</v>
      </c>
      <c r="C1723" t="s">
        <v>17</v>
      </c>
      <c r="D1723" t="s">
        <v>37</v>
      </c>
      <c r="E1723" t="s">
        <v>38</v>
      </c>
      <c r="F1723" t="s">
        <v>24</v>
      </c>
      <c r="G1723" s="1">
        <v>45620</v>
      </c>
      <c r="H1723" t="s">
        <v>1556</v>
      </c>
      <c r="I1723">
        <v>6168942</v>
      </c>
      <c r="J1723">
        <v>474534</v>
      </c>
      <c r="K1723">
        <v>15198</v>
      </c>
      <c r="L1723">
        <v>28562</v>
      </c>
      <c r="M1723">
        <v>8.4000000000000005E-2</v>
      </c>
      <c r="N1723">
        <v>0.247</v>
      </c>
      <c r="O1723">
        <v>1</v>
      </c>
      <c r="P1723" t="b">
        <f t="shared" si="53"/>
        <v>1</v>
      </c>
      <c r="Q1723" t="str">
        <f t="shared" si="52"/>
        <v>Positive</v>
      </c>
    </row>
    <row r="1724" spans="1:17" x14ac:dyDescent="0.3">
      <c r="A1724" t="s">
        <v>2852</v>
      </c>
      <c r="B1724" t="s">
        <v>66</v>
      </c>
      <c r="C1724" t="s">
        <v>17</v>
      </c>
      <c r="D1724" t="s">
        <v>33</v>
      </c>
      <c r="E1724" t="s">
        <v>38</v>
      </c>
      <c r="F1724" t="s">
        <v>55</v>
      </c>
      <c r="G1724" s="1">
        <v>45359</v>
      </c>
      <c r="H1724" t="s">
        <v>2340</v>
      </c>
      <c r="I1724">
        <v>12217400</v>
      </c>
      <c r="J1724">
        <v>488696</v>
      </c>
      <c r="K1724">
        <v>29437</v>
      </c>
      <c r="L1724">
        <v>29505</v>
      </c>
      <c r="M1724">
        <v>4.48E-2</v>
      </c>
      <c r="N1724">
        <v>0.68799999999999994</v>
      </c>
      <c r="O1724">
        <v>1</v>
      </c>
      <c r="P1724" t="b">
        <f t="shared" si="53"/>
        <v>1</v>
      </c>
      <c r="Q1724" t="str">
        <f t="shared" si="52"/>
        <v>Positive</v>
      </c>
    </row>
    <row r="1725" spans="1:17" x14ac:dyDescent="0.3">
      <c r="A1725" t="s">
        <v>2853</v>
      </c>
      <c r="B1725" t="s">
        <v>66</v>
      </c>
      <c r="C1725" t="s">
        <v>28</v>
      </c>
      <c r="D1725" t="s">
        <v>37</v>
      </c>
      <c r="E1725" t="s">
        <v>38</v>
      </c>
      <c r="F1725" t="s">
        <v>20</v>
      </c>
      <c r="G1725" s="1">
        <v>45557</v>
      </c>
      <c r="H1725" t="s">
        <v>2854</v>
      </c>
      <c r="I1725">
        <v>691952</v>
      </c>
      <c r="J1725">
        <v>86494</v>
      </c>
      <c r="K1725">
        <v>3076</v>
      </c>
      <c r="L1725">
        <v>16940</v>
      </c>
      <c r="M1725">
        <v>0.15390000000000001</v>
      </c>
      <c r="N1725">
        <v>-0.83899999999999997</v>
      </c>
      <c r="O1725">
        <v>0</v>
      </c>
      <c r="P1725" t="b">
        <f t="shared" si="53"/>
        <v>0</v>
      </c>
      <c r="Q1725" t="str">
        <f t="shared" si="52"/>
        <v>Negative</v>
      </c>
    </row>
    <row r="1726" spans="1:17" x14ac:dyDescent="0.3">
      <c r="A1726" t="s">
        <v>2855</v>
      </c>
      <c r="B1726" t="s">
        <v>32</v>
      </c>
      <c r="C1726" t="s">
        <v>28</v>
      </c>
      <c r="D1726" t="s">
        <v>54</v>
      </c>
      <c r="E1726" t="s">
        <v>19</v>
      </c>
      <c r="F1726" t="s">
        <v>46</v>
      </c>
      <c r="G1726" s="1">
        <v>45450</v>
      </c>
      <c r="H1726" t="s">
        <v>2856</v>
      </c>
      <c r="I1726">
        <v>5518704</v>
      </c>
      <c r="J1726">
        <v>459892</v>
      </c>
      <c r="K1726">
        <v>2691</v>
      </c>
      <c r="L1726">
        <v>12667</v>
      </c>
      <c r="M1726">
        <v>8.6099999999999996E-2</v>
      </c>
      <c r="N1726">
        <v>-0.317</v>
      </c>
      <c r="O1726">
        <v>1</v>
      </c>
      <c r="P1726" t="b">
        <f t="shared" si="53"/>
        <v>1</v>
      </c>
      <c r="Q1726" t="str">
        <f t="shared" si="52"/>
        <v>Negative</v>
      </c>
    </row>
    <row r="1727" spans="1:17" x14ac:dyDescent="0.3">
      <c r="A1727" t="s">
        <v>2857</v>
      </c>
      <c r="B1727" t="s">
        <v>16</v>
      </c>
      <c r="C1727" t="s">
        <v>23</v>
      </c>
      <c r="D1727" t="s">
        <v>18</v>
      </c>
      <c r="E1727" t="s">
        <v>38</v>
      </c>
      <c r="F1727" t="s">
        <v>34</v>
      </c>
      <c r="G1727" s="1">
        <v>45355</v>
      </c>
      <c r="H1727" t="s">
        <v>2858</v>
      </c>
      <c r="I1727">
        <v>2309728</v>
      </c>
      <c r="J1727">
        <v>144358</v>
      </c>
      <c r="K1727">
        <v>16464</v>
      </c>
      <c r="L1727">
        <v>86247</v>
      </c>
      <c r="M1727">
        <v>0.107</v>
      </c>
      <c r="N1727">
        <v>-0.56599999999999995</v>
      </c>
      <c r="O1727">
        <v>1</v>
      </c>
      <c r="P1727" t="b">
        <f t="shared" si="53"/>
        <v>1</v>
      </c>
      <c r="Q1727" t="str">
        <f t="shared" si="52"/>
        <v>Negative</v>
      </c>
    </row>
    <row r="1728" spans="1:17" x14ac:dyDescent="0.3">
      <c r="A1728" t="s">
        <v>2859</v>
      </c>
      <c r="B1728" t="s">
        <v>16</v>
      </c>
      <c r="C1728" t="s">
        <v>28</v>
      </c>
      <c r="D1728" t="s">
        <v>29</v>
      </c>
      <c r="E1728" t="s">
        <v>41</v>
      </c>
      <c r="F1728" t="s">
        <v>46</v>
      </c>
      <c r="G1728" s="1">
        <v>45621</v>
      </c>
      <c r="H1728" t="s">
        <v>56</v>
      </c>
      <c r="I1728">
        <v>1349145</v>
      </c>
      <c r="J1728">
        <v>149905</v>
      </c>
      <c r="K1728">
        <v>19162</v>
      </c>
      <c r="L1728">
        <v>35031</v>
      </c>
      <c r="M1728">
        <v>0.15129999999999999</v>
      </c>
      <c r="N1728">
        <v>-0.42199999999999999</v>
      </c>
      <c r="O1728">
        <v>0</v>
      </c>
      <c r="P1728" t="b">
        <f t="shared" si="53"/>
        <v>0</v>
      </c>
      <c r="Q1728" t="str">
        <f t="shared" si="52"/>
        <v>Negative</v>
      </c>
    </row>
    <row r="1729" spans="1:17" x14ac:dyDescent="0.3">
      <c r="A1729" t="s">
        <v>2860</v>
      </c>
      <c r="B1729" t="s">
        <v>16</v>
      </c>
      <c r="C1729" t="s">
        <v>61</v>
      </c>
      <c r="D1729" t="s">
        <v>18</v>
      </c>
      <c r="E1729" t="s">
        <v>51</v>
      </c>
      <c r="F1729" t="s">
        <v>24</v>
      </c>
      <c r="G1729" s="1">
        <v>45462</v>
      </c>
      <c r="H1729" t="s">
        <v>869</v>
      </c>
      <c r="I1729">
        <v>2877588</v>
      </c>
      <c r="J1729">
        <v>479598</v>
      </c>
      <c r="K1729">
        <v>5193</v>
      </c>
      <c r="L1729">
        <v>29681</v>
      </c>
      <c r="M1729">
        <v>0.17879999999999999</v>
      </c>
      <c r="N1729">
        <v>7.4999999999999997E-2</v>
      </c>
      <c r="O1729">
        <v>1</v>
      </c>
      <c r="P1729" t="b">
        <f t="shared" si="53"/>
        <v>1</v>
      </c>
      <c r="Q1729" t="str">
        <f t="shared" si="52"/>
        <v>Positive</v>
      </c>
    </row>
    <row r="1730" spans="1:17" x14ac:dyDescent="0.3">
      <c r="A1730" t="s">
        <v>2861</v>
      </c>
      <c r="B1730" t="s">
        <v>16</v>
      </c>
      <c r="C1730" t="s">
        <v>17</v>
      </c>
      <c r="D1730" t="s">
        <v>18</v>
      </c>
      <c r="E1730" t="s">
        <v>19</v>
      </c>
      <c r="F1730" t="s">
        <v>24</v>
      </c>
      <c r="G1730" s="1">
        <v>45398</v>
      </c>
      <c r="H1730" t="s">
        <v>358</v>
      </c>
      <c r="I1730">
        <v>10757468</v>
      </c>
      <c r="J1730">
        <v>467716</v>
      </c>
      <c r="K1730">
        <v>36450</v>
      </c>
      <c r="L1730">
        <v>5797</v>
      </c>
      <c r="M1730">
        <v>4.7399999999999998E-2</v>
      </c>
      <c r="N1730">
        <v>0.92100000000000004</v>
      </c>
      <c r="O1730">
        <v>1</v>
      </c>
      <c r="P1730" t="b">
        <f t="shared" si="53"/>
        <v>1</v>
      </c>
      <c r="Q1730" t="str">
        <f t="shared" ref="Q1730:Q1793" si="54">IF(N1730&gt;0,"Positive","Negative")</f>
        <v>Positive</v>
      </c>
    </row>
    <row r="1731" spans="1:17" x14ac:dyDescent="0.3">
      <c r="A1731" t="s">
        <v>2862</v>
      </c>
      <c r="B1731" t="s">
        <v>32</v>
      </c>
      <c r="C1731" t="s">
        <v>17</v>
      </c>
      <c r="D1731" t="s">
        <v>73</v>
      </c>
      <c r="E1731" t="s">
        <v>41</v>
      </c>
      <c r="F1731" t="s">
        <v>55</v>
      </c>
      <c r="G1731" s="1">
        <v>45650</v>
      </c>
      <c r="H1731" t="s">
        <v>2863</v>
      </c>
      <c r="I1731">
        <v>1672728</v>
      </c>
      <c r="J1731">
        <v>139394</v>
      </c>
      <c r="K1731">
        <v>24079</v>
      </c>
      <c r="L1731">
        <v>29826</v>
      </c>
      <c r="M1731">
        <v>0.11559999999999999</v>
      </c>
      <c r="N1731">
        <v>0.13400000000000001</v>
      </c>
      <c r="O1731">
        <v>0</v>
      </c>
      <c r="P1731" t="b">
        <f t="shared" ref="P1731:P1794" si="55">IF(O1731=1,TRUE,FALSE)</f>
        <v>0</v>
      </c>
      <c r="Q1731" t="str">
        <f t="shared" si="54"/>
        <v>Positive</v>
      </c>
    </row>
    <row r="1732" spans="1:17" x14ac:dyDescent="0.3">
      <c r="A1732" t="s">
        <v>2864</v>
      </c>
      <c r="B1732" t="s">
        <v>27</v>
      </c>
      <c r="C1732" t="s">
        <v>23</v>
      </c>
      <c r="D1732" t="s">
        <v>18</v>
      </c>
      <c r="E1732" t="s">
        <v>41</v>
      </c>
      <c r="F1732" t="s">
        <v>24</v>
      </c>
      <c r="G1732" s="1">
        <v>45485</v>
      </c>
      <c r="H1732" t="s">
        <v>1067</v>
      </c>
      <c r="I1732">
        <v>1642128</v>
      </c>
      <c r="J1732">
        <v>68422</v>
      </c>
      <c r="K1732">
        <v>33643</v>
      </c>
      <c r="L1732">
        <v>25989</v>
      </c>
      <c r="M1732">
        <v>7.8E-2</v>
      </c>
      <c r="N1732">
        <v>8.4000000000000005E-2</v>
      </c>
      <c r="O1732">
        <v>0</v>
      </c>
      <c r="P1732" t="b">
        <f t="shared" si="55"/>
        <v>0</v>
      </c>
      <c r="Q1732" t="str">
        <f t="shared" si="54"/>
        <v>Positive</v>
      </c>
    </row>
    <row r="1733" spans="1:17" x14ac:dyDescent="0.3">
      <c r="A1733" t="s">
        <v>2865</v>
      </c>
      <c r="B1733" t="s">
        <v>32</v>
      </c>
      <c r="C1733" t="s">
        <v>23</v>
      </c>
      <c r="D1733" t="s">
        <v>37</v>
      </c>
      <c r="E1733" t="s">
        <v>38</v>
      </c>
      <c r="F1733" t="s">
        <v>34</v>
      </c>
      <c r="G1733" s="1">
        <v>45638</v>
      </c>
      <c r="H1733" t="s">
        <v>2866</v>
      </c>
      <c r="I1733">
        <v>3880320</v>
      </c>
      <c r="J1733">
        <v>388032</v>
      </c>
      <c r="K1733">
        <v>29720</v>
      </c>
      <c r="L1733">
        <v>23807</v>
      </c>
      <c r="M1733">
        <v>0.1138</v>
      </c>
      <c r="N1733">
        <v>0.33500000000000002</v>
      </c>
      <c r="O1733">
        <v>1</v>
      </c>
      <c r="P1733" t="b">
        <f t="shared" si="55"/>
        <v>1</v>
      </c>
      <c r="Q1733" t="str">
        <f t="shared" si="54"/>
        <v>Positive</v>
      </c>
    </row>
    <row r="1734" spans="1:17" x14ac:dyDescent="0.3">
      <c r="A1734" t="s">
        <v>2867</v>
      </c>
      <c r="B1734" t="s">
        <v>27</v>
      </c>
      <c r="C1734" t="s">
        <v>28</v>
      </c>
      <c r="D1734" t="s">
        <v>33</v>
      </c>
      <c r="E1734" t="s">
        <v>38</v>
      </c>
      <c r="F1734" t="s">
        <v>46</v>
      </c>
      <c r="G1734" s="1">
        <v>45487</v>
      </c>
      <c r="H1734" t="s">
        <v>1550</v>
      </c>
      <c r="I1734">
        <v>4030680</v>
      </c>
      <c r="J1734">
        <v>403068</v>
      </c>
      <c r="K1734">
        <v>3462</v>
      </c>
      <c r="L1734">
        <v>42617</v>
      </c>
      <c r="M1734">
        <v>0.1114</v>
      </c>
      <c r="N1734">
        <v>-0.35299999999999998</v>
      </c>
      <c r="O1734">
        <v>1</v>
      </c>
      <c r="P1734" t="b">
        <f t="shared" si="55"/>
        <v>1</v>
      </c>
      <c r="Q1734" t="str">
        <f t="shared" si="54"/>
        <v>Negative</v>
      </c>
    </row>
    <row r="1735" spans="1:17" x14ac:dyDescent="0.3">
      <c r="A1735" t="s">
        <v>2868</v>
      </c>
      <c r="B1735" t="s">
        <v>27</v>
      </c>
      <c r="C1735" t="s">
        <v>17</v>
      </c>
      <c r="D1735" t="s">
        <v>18</v>
      </c>
      <c r="E1735" t="s">
        <v>19</v>
      </c>
      <c r="F1735" t="s">
        <v>46</v>
      </c>
      <c r="G1735" s="1">
        <v>45391</v>
      </c>
      <c r="H1735" t="s">
        <v>144</v>
      </c>
      <c r="I1735">
        <v>787158</v>
      </c>
      <c r="J1735">
        <v>87462</v>
      </c>
      <c r="K1735">
        <v>10981</v>
      </c>
      <c r="L1735">
        <v>99123</v>
      </c>
      <c r="M1735">
        <v>0.251</v>
      </c>
      <c r="N1735">
        <v>0.745</v>
      </c>
      <c r="O1735">
        <v>0</v>
      </c>
      <c r="P1735" t="b">
        <f t="shared" si="55"/>
        <v>0</v>
      </c>
      <c r="Q1735" t="str">
        <f t="shared" si="54"/>
        <v>Positive</v>
      </c>
    </row>
    <row r="1736" spans="1:17" x14ac:dyDescent="0.3">
      <c r="A1736" t="s">
        <v>2869</v>
      </c>
      <c r="B1736" t="s">
        <v>16</v>
      </c>
      <c r="C1736" t="s">
        <v>61</v>
      </c>
      <c r="D1736" t="s">
        <v>33</v>
      </c>
      <c r="E1736" t="s">
        <v>41</v>
      </c>
      <c r="F1736" t="s">
        <v>55</v>
      </c>
      <c r="G1736" s="1">
        <v>45398</v>
      </c>
      <c r="H1736" t="s">
        <v>2870</v>
      </c>
      <c r="I1736">
        <v>9858579</v>
      </c>
      <c r="J1736">
        <v>339951</v>
      </c>
      <c r="K1736">
        <v>24116</v>
      </c>
      <c r="L1736">
        <v>33689</v>
      </c>
      <c r="M1736">
        <v>4.0300000000000002E-2</v>
      </c>
      <c r="N1736">
        <v>0.92500000000000004</v>
      </c>
      <c r="O1736">
        <v>1</v>
      </c>
      <c r="P1736" t="b">
        <f t="shared" si="55"/>
        <v>1</v>
      </c>
      <c r="Q1736" t="str">
        <f t="shared" si="54"/>
        <v>Positive</v>
      </c>
    </row>
    <row r="1737" spans="1:17" x14ac:dyDescent="0.3">
      <c r="A1737" t="s">
        <v>2871</v>
      </c>
      <c r="B1737" t="s">
        <v>66</v>
      </c>
      <c r="C1737" t="s">
        <v>61</v>
      </c>
      <c r="D1737" t="s">
        <v>29</v>
      </c>
      <c r="E1737" t="s">
        <v>51</v>
      </c>
      <c r="F1737" t="s">
        <v>24</v>
      </c>
      <c r="G1737" s="1">
        <v>45516</v>
      </c>
      <c r="H1737" t="s">
        <v>42</v>
      </c>
      <c r="I1737">
        <v>1415706</v>
      </c>
      <c r="J1737">
        <v>235951</v>
      </c>
      <c r="K1737">
        <v>28258</v>
      </c>
      <c r="L1737">
        <v>96517</v>
      </c>
      <c r="M1737">
        <v>0.25480000000000003</v>
      </c>
      <c r="N1737">
        <v>0.254</v>
      </c>
      <c r="O1737">
        <v>0</v>
      </c>
      <c r="P1737" t="b">
        <f t="shared" si="55"/>
        <v>0</v>
      </c>
      <c r="Q1737" t="str">
        <f t="shared" si="54"/>
        <v>Positive</v>
      </c>
    </row>
    <row r="1738" spans="1:17" x14ac:dyDescent="0.3">
      <c r="A1738" t="s">
        <v>2872</v>
      </c>
      <c r="B1738" t="s">
        <v>32</v>
      </c>
      <c r="C1738" t="s">
        <v>28</v>
      </c>
      <c r="D1738" t="s">
        <v>54</v>
      </c>
      <c r="E1738" t="s">
        <v>19</v>
      </c>
      <c r="F1738" t="s">
        <v>46</v>
      </c>
      <c r="G1738" s="1">
        <v>45448</v>
      </c>
      <c r="H1738" t="s">
        <v>511</v>
      </c>
      <c r="I1738">
        <v>2803424</v>
      </c>
      <c r="J1738">
        <v>107824</v>
      </c>
      <c r="K1738">
        <v>4797</v>
      </c>
      <c r="L1738">
        <v>55983</v>
      </c>
      <c r="M1738">
        <v>6.0100000000000001E-2</v>
      </c>
      <c r="N1738">
        <v>0.63600000000000001</v>
      </c>
      <c r="O1738">
        <v>1</v>
      </c>
      <c r="P1738" t="b">
        <f t="shared" si="55"/>
        <v>1</v>
      </c>
      <c r="Q1738" t="str">
        <f t="shared" si="54"/>
        <v>Positive</v>
      </c>
    </row>
    <row r="1739" spans="1:17" x14ac:dyDescent="0.3">
      <c r="A1739" t="s">
        <v>2873</v>
      </c>
      <c r="B1739" t="s">
        <v>16</v>
      </c>
      <c r="C1739" t="s">
        <v>23</v>
      </c>
      <c r="D1739" t="s">
        <v>29</v>
      </c>
      <c r="E1739" t="s">
        <v>58</v>
      </c>
      <c r="F1739" t="s">
        <v>24</v>
      </c>
      <c r="G1739" s="1">
        <v>45503</v>
      </c>
      <c r="H1739" t="s">
        <v>2874</v>
      </c>
      <c r="I1739">
        <v>2533464</v>
      </c>
      <c r="J1739">
        <v>281496</v>
      </c>
      <c r="K1739">
        <v>10712</v>
      </c>
      <c r="L1739">
        <v>34207</v>
      </c>
      <c r="M1739">
        <v>0.1288</v>
      </c>
      <c r="N1739">
        <v>-0.09</v>
      </c>
      <c r="O1739">
        <v>1</v>
      </c>
      <c r="P1739" t="b">
        <f t="shared" si="55"/>
        <v>1</v>
      </c>
      <c r="Q1739" t="str">
        <f t="shared" si="54"/>
        <v>Negative</v>
      </c>
    </row>
    <row r="1740" spans="1:17" x14ac:dyDescent="0.3">
      <c r="A1740" t="s">
        <v>2875</v>
      </c>
      <c r="B1740" t="s">
        <v>27</v>
      </c>
      <c r="C1740" t="s">
        <v>23</v>
      </c>
      <c r="D1740" t="s">
        <v>18</v>
      </c>
      <c r="E1740" t="s">
        <v>51</v>
      </c>
      <c r="F1740" t="s">
        <v>55</v>
      </c>
      <c r="G1740" s="1">
        <v>45411</v>
      </c>
      <c r="H1740" t="s">
        <v>122</v>
      </c>
      <c r="I1740">
        <v>5448102</v>
      </c>
      <c r="J1740">
        <v>247641</v>
      </c>
      <c r="K1740">
        <v>48293</v>
      </c>
      <c r="L1740">
        <v>35032</v>
      </c>
      <c r="M1740">
        <v>6.0699999999999997E-2</v>
      </c>
      <c r="N1740">
        <v>0.33900000000000002</v>
      </c>
      <c r="O1740">
        <v>1</v>
      </c>
      <c r="P1740" t="b">
        <f t="shared" si="55"/>
        <v>1</v>
      </c>
      <c r="Q1740" t="str">
        <f t="shared" si="54"/>
        <v>Positive</v>
      </c>
    </row>
    <row r="1741" spans="1:17" x14ac:dyDescent="0.3">
      <c r="A1741" t="s">
        <v>2876</v>
      </c>
      <c r="B1741" t="s">
        <v>66</v>
      </c>
      <c r="C1741" t="s">
        <v>23</v>
      </c>
      <c r="D1741" t="s">
        <v>33</v>
      </c>
      <c r="E1741" t="s">
        <v>58</v>
      </c>
      <c r="F1741" t="s">
        <v>24</v>
      </c>
      <c r="G1741" s="1">
        <v>45405</v>
      </c>
      <c r="H1741" t="s">
        <v>2877</v>
      </c>
      <c r="I1741">
        <v>5398435</v>
      </c>
      <c r="J1741">
        <v>317555</v>
      </c>
      <c r="K1741">
        <v>46582</v>
      </c>
      <c r="L1741">
        <v>65868</v>
      </c>
      <c r="M1741">
        <v>7.9699999999999993E-2</v>
      </c>
      <c r="N1741">
        <v>0.70699999999999996</v>
      </c>
      <c r="O1741">
        <v>1</v>
      </c>
      <c r="P1741" t="b">
        <f t="shared" si="55"/>
        <v>1</v>
      </c>
      <c r="Q1741" t="str">
        <f t="shared" si="54"/>
        <v>Positive</v>
      </c>
    </row>
    <row r="1742" spans="1:17" x14ac:dyDescent="0.3">
      <c r="A1742" t="s">
        <v>2878</v>
      </c>
      <c r="B1742" t="s">
        <v>16</v>
      </c>
      <c r="C1742" t="s">
        <v>17</v>
      </c>
      <c r="D1742" t="s">
        <v>37</v>
      </c>
      <c r="E1742" t="s">
        <v>51</v>
      </c>
      <c r="F1742" t="s">
        <v>34</v>
      </c>
      <c r="G1742" s="1">
        <v>45338</v>
      </c>
      <c r="H1742" t="s">
        <v>2879</v>
      </c>
      <c r="I1742">
        <v>8963864</v>
      </c>
      <c r="J1742">
        <v>320138</v>
      </c>
      <c r="K1742">
        <v>22109</v>
      </c>
      <c r="L1742">
        <v>14592</v>
      </c>
      <c r="M1742">
        <v>3.9800000000000002E-2</v>
      </c>
      <c r="N1742">
        <v>-0.84199999999999997</v>
      </c>
      <c r="O1742">
        <v>1</v>
      </c>
      <c r="P1742" t="b">
        <f t="shared" si="55"/>
        <v>1</v>
      </c>
      <c r="Q1742" t="str">
        <f t="shared" si="54"/>
        <v>Negative</v>
      </c>
    </row>
    <row r="1743" spans="1:17" x14ac:dyDescent="0.3">
      <c r="A1743" t="s">
        <v>2880</v>
      </c>
      <c r="B1743" t="s">
        <v>32</v>
      </c>
      <c r="C1743" t="s">
        <v>23</v>
      </c>
      <c r="D1743" t="s">
        <v>29</v>
      </c>
      <c r="E1743" t="s">
        <v>51</v>
      </c>
      <c r="F1743" t="s">
        <v>20</v>
      </c>
      <c r="G1743" s="1">
        <v>45563</v>
      </c>
      <c r="H1743" t="s">
        <v>78</v>
      </c>
      <c r="I1743">
        <v>10886986</v>
      </c>
      <c r="J1743">
        <v>494863</v>
      </c>
      <c r="K1743">
        <v>49805</v>
      </c>
      <c r="L1743">
        <v>88535</v>
      </c>
      <c r="M1743">
        <v>5.8200000000000002E-2</v>
      </c>
      <c r="N1743">
        <v>0.246</v>
      </c>
      <c r="O1743">
        <v>1</v>
      </c>
      <c r="P1743" t="b">
        <f t="shared" si="55"/>
        <v>1</v>
      </c>
      <c r="Q1743" t="str">
        <f t="shared" si="54"/>
        <v>Positive</v>
      </c>
    </row>
    <row r="1744" spans="1:17" x14ac:dyDescent="0.3">
      <c r="A1744" t="s">
        <v>2881</v>
      </c>
      <c r="B1744" t="s">
        <v>16</v>
      </c>
      <c r="C1744" t="s">
        <v>28</v>
      </c>
      <c r="D1744" t="s">
        <v>29</v>
      </c>
      <c r="E1744" t="s">
        <v>58</v>
      </c>
      <c r="F1744" t="s">
        <v>20</v>
      </c>
      <c r="G1744" s="1">
        <v>45535</v>
      </c>
      <c r="H1744" t="s">
        <v>2882</v>
      </c>
      <c r="I1744">
        <v>9000186</v>
      </c>
      <c r="J1744">
        <v>473694</v>
      </c>
      <c r="K1744">
        <v>23524</v>
      </c>
      <c r="L1744">
        <v>17394</v>
      </c>
      <c r="M1744">
        <v>5.7200000000000001E-2</v>
      </c>
      <c r="N1744">
        <v>-0.53300000000000003</v>
      </c>
      <c r="O1744">
        <v>1</v>
      </c>
      <c r="P1744" t="b">
        <f t="shared" si="55"/>
        <v>1</v>
      </c>
      <c r="Q1744" t="str">
        <f t="shared" si="54"/>
        <v>Negative</v>
      </c>
    </row>
    <row r="1745" spans="1:17" x14ac:dyDescent="0.3">
      <c r="A1745" t="s">
        <v>2883</v>
      </c>
      <c r="B1745" t="s">
        <v>32</v>
      </c>
      <c r="C1745" t="s">
        <v>61</v>
      </c>
      <c r="D1745" t="s">
        <v>37</v>
      </c>
      <c r="E1745" t="s">
        <v>19</v>
      </c>
      <c r="F1745" t="s">
        <v>46</v>
      </c>
      <c r="G1745" s="1">
        <v>45612</v>
      </c>
      <c r="H1745" t="s">
        <v>2884</v>
      </c>
      <c r="I1745">
        <v>2328378</v>
      </c>
      <c r="J1745">
        <v>179106</v>
      </c>
      <c r="K1745">
        <v>40265</v>
      </c>
      <c r="L1745">
        <v>81104</v>
      </c>
      <c r="M1745">
        <v>0.129</v>
      </c>
      <c r="N1745">
        <v>0.52600000000000002</v>
      </c>
      <c r="O1745">
        <v>1</v>
      </c>
      <c r="P1745" t="b">
        <f t="shared" si="55"/>
        <v>1</v>
      </c>
      <c r="Q1745" t="str">
        <f t="shared" si="54"/>
        <v>Positive</v>
      </c>
    </row>
    <row r="1746" spans="1:17" x14ac:dyDescent="0.3">
      <c r="A1746" t="s">
        <v>2885</v>
      </c>
      <c r="B1746" t="s">
        <v>66</v>
      </c>
      <c r="C1746" t="s">
        <v>61</v>
      </c>
      <c r="D1746" t="s">
        <v>73</v>
      </c>
      <c r="E1746" t="s">
        <v>41</v>
      </c>
      <c r="F1746" t="s">
        <v>20</v>
      </c>
      <c r="G1746" s="1">
        <v>45422</v>
      </c>
      <c r="H1746" t="s">
        <v>2886</v>
      </c>
      <c r="I1746">
        <v>147015</v>
      </c>
      <c r="J1746">
        <v>13365</v>
      </c>
      <c r="K1746">
        <v>5429</v>
      </c>
      <c r="L1746">
        <v>20626</v>
      </c>
      <c r="M1746">
        <v>0.2681</v>
      </c>
      <c r="N1746">
        <v>-0.16400000000000001</v>
      </c>
      <c r="O1746">
        <v>0</v>
      </c>
      <c r="P1746" t="b">
        <f t="shared" si="55"/>
        <v>0</v>
      </c>
      <c r="Q1746" t="str">
        <f t="shared" si="54"/>
        <v>Negative</v>
      </c>
    </row>
    <row r="1747" spans="1:17" x14ac:dyDescent="0.3">
      <c r="A1747" t="s">
        <v>2887</v>
      </c>
      <c r="B1747" t="s">
        <v>66</v>
      </c>
      <c r="C1747" t="s">
        <v>17</v>
      </c>
      <c r="D1747" t="s">
        <v>33</v>
      </c>
      <c r="E1747" t="s">
        <v>41</v>
      </c>
      <c r="F1747" t="s">
        <v>34</v>
      </c>
      <c r="G1747" s="1">
        <v>45292</v>
      </c>
      <c r="H1747" t="s">
        <v>122</v>
      </c>
      <c r="I1747">
        <v>6482720</v>
      </c>
      <c r="J1747">
        <v>324136</v>
      </c>
      <c r="K1747">
        <v>20544</v>
      </c>
      <c r="L1747">
        <v>56631</v>
      </c>
      <c r="M1747">
        <v>6.1899999999999997E-2</v>
      </c>
      <c r="N1747">
        <v>-9.7000000000000003E-2</v>
      </c>
      <c r="O1747">
        <v>1</v>
      </c>
      <c r="P1747" t="b">
        <f t="shared" si="55"/>
        <v>1</v>
      </c>
      <c r="Q1747" t="str">
        <f t="shared" si="54"/>
        <v>Negative</v>
      </c>
    </row>
    <row r="1748" spans="1:17" x14ac:dyDescent="0.3">
      <c r="A1748" t="s">
        <v>2888</v>
      </c>
      <c r="B1748" t="s">
        <v>66</v>
      </c>
      <c r="C1748" t="s">
        <v>28</v>
      </c>
      <c r="D1748" t="s">
        <v>18</v>
      </c>
      <c r="E1748" t="s">
        <v>41</v>
      </c>
      <c r="F1748" t="s">
        <v>24</v>
      </c>
      <c r="G1748" s="1">
        <v>45488</v>
      </c>
      <c r="H1748" t="s">
        <v>2889</v>
      </c>
      <c r="I1748">
        <v>4263925</v>
      </c>
      <c r="J1748">
        <v>170557</v>
      </c>
      <c r="K1748">
        <v>22049</v>
      </c>
      <c r="L1748">
        <v>77463</v>
      </c>
      <c r="M1748">
        <v>6.3299999999999995E-2</v>
      </c>
      <c r="N1748">
        <v>-0.78800000000000003</v>
      </c>
      <c r="O1748">
        <v>1</v>
      </c>
      <c r="P1748" t="b">
        <f t="shared" si="55"/>
        <v>1</v>
      </c>
      <c r="Q1748" t="str">
        <f t="shared" si="54"/>
        <v>Negative</v>
      </c>
    </row>
    <row r="1749" spans="1:17" x14ac:dyDescent="0.3">
      <c r="A1749" t="s">
        <v>2890</v>
      </c>
      <c r="B1749" t="s">
        <v>32</v>
      </c>
      <c r="C1749" t="s">
        <v>17</v>
      </c>
      <c r="D1749" t="s">
        <v>33</v>
      </c>
      <c r="E1749" t="s">
        <v>58</v>
      </c>
      <c r="F1749" t="s">
        <v>55</v>
      </c>
      <c r="G1749" s="1">
        <v>45307</v>
      </c>
      <c r="H1749" t="s">
        <v>187</v>
      </c>
      <c r="I1749">
        <v>3904500</v>
      </c>
      <c r="J1749">
        <v>156180</v>
      </c>
      <c r="K1749">
        <v>48933</v>
      </c>
      <c r="L1749">
        <v>83097</v>
      </c>
      <c r="M1749">
        <v>7.3800000000000004E-2</v>
      </c>
      <c r="N1749">
        <v>0.872</v>
      </c>
      <c r="O1749">
        <v>1</v>
      </c>
      <c r="P1749" t="b">
        <f t="shared" si="55"/>
        <v>1</v>
      </c>
      <c r="Q1749" t="str">
        <f t="shared" si="54"/>
        <v>Positive</v>
      </c>
    </row>
    <row r="1750" spans="1:17" x14ac:dyDescent="0.3">
      <c r="A1750" t="s">
        <v>2891</v>
      </c>
      <c r="B1750" t="s">
        <v>32</v>
      </c>
      <c r="C1750" t="s">
        <v>23</v>
      </c>
      <c r="D1750" t="s">
        <v>54</v>
      </c>
      <c r="E1750" t="s">
        <v>58</v>
      </c>
      <c r="F1750" t="s">
        <v>55</v>
      </c>
      <c r="G1750" s="1">
        <v>45419</v>
      </c>
      <c r="H1750" t="s">
        <v>2892</v>
      </c>
      <c r="I1750">
        <v>6970104</v>
      </c>
      <c r="J1750">
        <v>387228</v>
      </c>
      <c r="K1750">
        <v>27631</v>
      </c>
      <c r="L1750">
        <v>98257</v>
      </c>
      <c r="M1750">
        <v>7.3599999999999999E-2</v>
      </c>
      <c r="N1750">
        <v>5.8999999999999997E-2</v>
      </c>
      <c r="O1750">
        <v>1</v>
      </c>
      <c r="P1750" t="b">
        <f t="shared" si="55"/>
        <v>1</v>
      </c>
      <c r="Q1750" t="str">
        <f t="shared" si="54"/>
        <v>Positive</v>
      </c>
    </row>
    <row r="1751" spans="1:17" x14ac:dyDescent="0.3">
      <c r="A1751" t="s">
        <v>2893</v>
      </c>
      <c r="B1751" t="s">
        <v>27</v>
      </c>
      <c r="C1751" t="s">
        <v>23</v>
      </c>
      <c r="D1751" t="s">
        <v>37</v>
      </c>
      <c r="E1751" t="s">
        <v>51</v>
      </c>
      <c r="F1751" t="s">
        <v>20</v>
      </c>
      <c r="G1751" s="1">
        <v>45460</v>
      </c>
      <c r="H1751" t="s">
        <v>1046</v>
      </c>
      <c r="I1751">
        <v>5454876</v>
      </c>
      <c r="J1751">
        <v>194817</v>
      </c>
      <c r="K1751">
        <v>7865</v>
      </c>
      <c r="L1751">
        <v>7527</v>
      </c>
      <c r="M1751">
        <v>3.85E-2</v>
      </c>
      <c r="N1751">
        <v>-5.6000000000000001E-2</v>
      </c>
      <c r="O1751">
        <v>1</v>
      </c>
      <c r="P1751" t="b">
        <f t="shared" si="55"/>
        <v>1</v>
      </c>
      <c r="Q1751" t="str">
        <f t="shared" si="54"/>
        <v>Negative</v>
      </c>
    </row>
    <row r="1752" spans="1:17" x14ac:dyDescent="0.3">
      <c r="A1752" t="s">
        <v>2894</v>
      </c>
      <c r="B1752" t="s">
        <v>66</v>
      </c>
      <c r="C1752" t="s">
        <v>28</v>
      </c>
      <c r="D1752" t="s">
        <v>73</v>
      </c>
      <c r="E1752" t="s">
        <v>38</v>
      </c>
      <c r="F1752" t="s">
        <v>46</v>
      </c>
      <c r="G1752" s="1">
        <v>45388</v>
      </c>
      <c r="H1752" t="s">
        <v>2895</v>
      </c>
      <c r="I1752">
        <v>1678050</v>
      </c>
      <c r="J1752">
        <v>335610</v>
      </c>
      <c r="K1752">
        <v>14786</v>
      </c>
      <c r="L1752">
        <v>59118</v>
      </c>
      <c r="M1752">
        <v>0.24399999999999999</v>
      </c>
      <c r="N1752">
        <v>0.66400000000000003</v>
      </c>
      <c r="O1752">
        <v>0</v>
      </c>
      <c r="P1752" t="b">
        <f t="shared" si="55"/>
        <v>0</v>
      </c>
      <c r="Q1752" t="str">
        <f t="shared" si="54"/>
        <v>Positive</v>
      </c>
    </row>
    <row r="1753" spans="1:17" x14ac:dyDescent="0.3">
      <c r="A1753" t="s">
        <v>2896</v>
      </c>
      <c r="B1753" t="s">
        <v>27</v>
      </c>
      <c r="C1753" t="s">
        <v>28</v>
      </c>
      <c r="D1753" t="s">
        <v>54</v>
      </c>
      <c r="E1753" t="s">
        <v>51</v>
      </c>
      <c r="F1753" t="s">
        <v>34</v>
      </c>
      <c r="G1753" s="1">
        <v>45333</v>
      </c>
      <c r="H1753" t="s">
        <v>2897</v>
      </c>
      <c r="I1753">
        <v>8669154</v>
      </c>
      <c r="J1753">
        <v>333429</v>
      </c>
      <c r="K1753">
        <v>9125</v>
      </c>
      <c r="L1753">
        <v>1952</v>
      </c>
      <c r="M1753">
        <v>3.9699999999999999E-2</v>
      </c>
      <c r="N1753">
        <v>0.14599999999999999</v>
      </c>
      <c r="O1753">
        <v>1</v>
      </c>
      <c r="P1753" t="b">
        <f t="shared" si="55"/>
        <v>1</v>
      </c>
      <c r="Q1753" t="str">
        <f t="shared" si="54"/>
        <v>Positive</v>
      </c>
    </row>
    <row r="1754" spans="1:17" x14ac:dyDescent="0.3">
      <c r="A1754" t="s">
        <v>2898</v>
      </c>
      <c r="B1754" t="s">
        <v>27</v>
      </c>
      <c r="C1754" t="s">
        <v>61</v>
      </c>
      <c r="D1754" t="s">
        <v>29</v>
      </c>
      <c r="E1754" t="s">
        <v>38</v>
      </c>
      <c r="F1754" t="s">
        <v>20</v>
      </c>
      <c r="G1754" s="1">
        <v>45562</v>
      </c>
      <c r="H1754" t="s">
        <v>2899</v>
      </c>
      <c r="I1754">
        <v>6732488</v>
      </c>
      <c r="J1754">
        <v>240446</v>
      </c>
      <c r="K1754">
        <v>29002</v>
      </c>
      <c r="L1754">
        <v>41955</v>
      </c>
      <c r="M1754">
        <v>4.6300000000000001E-2</v>
      </c>
      <c r="N1754">
        <v>-2.7E-2</v>
      </c>
      <c r="O1754">
        <v>1</v>
      </c>
      <c r="P1754" t="b">
        <f t="shared" si="55"/>
        <v>1</v>
      </c>
      <c r="Q1754" t="str">
        <f t="shared" si="54"/>
        <v>Negative</v>
      </c>
    </row>
    <row r="1755" spans="1:17" x14ac:dyDescent="0.3">
      <c r="A1755" t="s">
        <v>2900</v>
      </c>
      <c r="B1755" t="s">
        <v>16</v>
      </c>
      <c r="C1755" t="s">
        <v>23</v>
      </c>
      <c r="D1755" t="s">
        <v>18</v>
      </c>
      <c r="E1755" t="s">
        <v>58</v>
      </c>
      <c r="F1755" t="s">
        <v>24</v>
      </c>
      <c r="G1755" s="1">
        <v>45634</v>
      </c>
      <c r="H1755" t="s">
        <v>2901</v>
      </c>
      <c r="I1755">
        <v>3679746</v>
      </c>
      <c r="J1755">
        <v>262839</v>
      </c>
      <c r="K1755">
        <v>29597</v>
      </c>
      <c r="L1755">
        <v>40644</v>
      </c>
      <c r="M1755">
        <v>9.0499999999999997E-2</v>
      </c>
      <c r="N1755">
        <v>-0.52200000000000002</v>
      </c>
      <c r="O1755">
        <v>1</v>
      </c>
      <c r="P1755" t="b">
        <f t="shared" si="55"/>
        <v>1</v>
      </c>
      <c r="Q1755" t="str">
        <f t="shared" si="54"/>
        <v>Negative</v>
      </c>
    </row>
    <row r="1756" spans="1:17" x14ac:dyDescent="0.3">
      <c r="A1756" t="s">
        <v>2902</v>
      </c>
      <c r="B1756" t="s">
        <v>32</v>
      </c>
      <c r="C1756" t="s">
        <v>23</v>
      </c>
      <c r="D1756" t="s">
        <v>33</v>
      </c>
      <c r="E1756" t="s">
        <v>51</v>
      </c>
      <c r="F1756" t="s">
        <v>55</v>
      </c>
      <c r="G1756" s="1">
        <v>45453</v>
      </c>
      <c r="H1756" t="s">
        <v>2903</v>
      </c>
      <c r="I1756">
        <v>5364320</v>
      </c>
      <c r="J1756">
        <v>268216</v>
      </c>
      <c r="K1756">
        <v>15887</v>
      </c>
      <c r="L1756">
        <v>66395</v>
      </c>
      <c r="M1756">
        <v>6.5299999999999997E-2</v>
      </c>
      <c r="N1756">
        <v>-0.66200000000000003</v>
      </c>
      <c r="O1756">
        <v>1</v>
      </c>
      <c r="P1756" t="b">
        <f t="shared" si="55"/>
        <v>1</v>
      </c>
      <c r="Q1756" t="str">
        <f t="shared" si="54"/>
        <v>Negative</v>
      </c>
    </row>
    <row r="1757" spans="1:17" x14ac:dyDescent="0.3">
      <c r="A1757" t="s">
        <v>2904</v>
      </c>
      <c r="B1757" t="s">
        <v>66</v>
      </c>
      <c r="C1757" t="s">
        <v>23</v>
      </c>
      <c r="D1757" t="s">
        <v>33</v>
      </c>
      <c r="E1757" t="s">
        <v>38</v>
      </c>
      <c r="F1757" t="s">
        <v>34</v>
      </c>
      <c r="G1757" s="1">
        <v>45537</v>
      </c>
      <c r="H1757" t="s">
        <v>2800</v>
      </c>
      <c r="I1757">
        <v>9157344</v>
      </c>
      <c r="J1757">
        <v>436064</v>
      </c>
      <c r="K1757">
        <v>37090</v>
      </c>
      <c r="L1757">
        <v>85375</v>
      </c>
      <c r="M1757">
        <v>6.0999999999999999E-2</v>
      </c>
      <c r="N1757">
        <v>-0.93</v>
      </c>
      <c r="O1757">
        <v>1</v>
      </c>
      <c r="P1757" t="b">
        <f t="shared" si="55"/>
        <v>1</v>
      </c>
      <c r="Q1757" t="str">
        <f t="shared" si="54"/>
        <v>Negative</v>
      </c>
    </row>
    <row r="1758" spans="1:17" x14ac:dyDescent="0.3">
      <c r="A1758" t="s">
        <v>2905</v>
      </c>
      <c r="B1758" t="s">
        <v>27</v>
      </c>
      <c r="C1758" t="s">
        <v>61</v>
      </c>
      <c r="D1758" t="s">
        <v>73</v>
      </c>
      <c r="E1758" t="s">
        <v>41</v>
      </c>
      <c r="F1758" t="s">
        <v>55</v>
      </c>
      <c r="G1758" s="1">
        <v>45537</v>
      </c>
      <c r="H1758" t="s">
        <v>2906</v>
      </c>
      <c r="I1758">
        <v>2157820</v>
      </c>
      <c r="J1758">
        <v>107891</v>
      </c>
      <c r="K1758">
        <v>24295</v>
      </c>
      <c r="L1758">
        <v>46074</v>
      </c>
      <c r="M1758">
        <v>8.2600000000000007E-2</v>
      </c>
      <c r="N1758">
        <v>0.10299999999999999</v>
      </c>
      <c r="O1758">
        <v>1</v>
      </c>
      <c r="P1758" t="b">
        <f t="shared" si="55"/>
        <v>1</v>
      </c>
      <c r="Q1758" t="str">
        <f t="shared" si="54"/>
        <v>Positive</v>
      </c>
    </row>
    <row r="1759" spans="1:17" x14ac:dyDescent="0.3">
      <c r="A1759" t="s">
        <v>2907</v>
      </c>
      <c r="B1759" t="s">
        <v>16</v>
      </c>
      <c r="C1759" t="s">
        <v>17</v>
      </c>
      <c r="D1759" t="s">
        <v>54</v>
      </c>
      <c r="E1759" t="s">
        <v>38</v>
      </c>
      <c r="F1759" t="s">
        <v>55</v>
      </c>
      <c r="G1759" s="1">
        <v>45342</v>
      </c>
      <c r="H1759" t="s">
        <v>434</v>
      </c>
      <c r="I1759">
        <v>12201175</v>
      </c>
      <c r="J1759">
        <v>488047</v>
      </c>
      <c r="K1759">
        <v>2855</v>
      </c>
      <c r="L1759">
        <v>28401</v>
      </c>
      <c r="M1759">
        <v>4.2599999999999999E-2</v>
      </c>
      <c r="N1759">
        <v>0.93100000000000005</v>
      </c>
      <c r="O1759">
        <v>1</v>
      </c>
      <c r="P1759" t="b">
        <f t="shared" si="55"/>
        <v>1</v>
      </c>
      <c r="Q1759" t="str">
        <f t="shared" si="54"/>
        <v>Positive</v>
      </c>
    </row>
    <row r="1760" spans="1:17" x14ac:dyDescent="0.3">
      <c r="A1760" t="s">
        <v>2908</v>
      </c>
      <c r="B1760" t="s">
        <v>27</v>
      </c>
      <c r="C1760" t="s">
        <v>17</v>
      </c>
      <c r="D1760" t="s">
        <v>37</v>
      </c>
      <c r="E1760" t="s">
        <v>19</v>
      </c>
      <c r="F1760" t="s">
        <v>24</v>
      </c>
      <c r="G1760" s="1">
        <v>45437</v>
      </c>
      <c r="H1760" t="s">
        <v>2909</v>
      </c>
      <c r="I1760">
        <v>1628315</v>
      </c>
      <c r="J1760">
        <v>125255</v>
      </c>
      <c r="K1760">
        <v>23540</v>
      </c>
      <c r="L1760">
        <v>75537</v>
      </c>
      <c r="M1760">
        <v>0.13780000000000001</v>
      </c>
      <c r="N1760">
        <v>-5.0000000000000001E-3</v>
      </c>
      <c r="O1760">
        <v>0</v>
      </c>
      <c r="P1760" t="b">
        <f t="shared" si="55"/>
        <v>0</v>
      </c>
      <c r="Q1760" t="str">
        <f t="shared" si="54"/>
        <v>Negative</v>
      </c>
    </row>
    <row r="1761" spans="1:17" x14ac:dyDescent="0.3">
      <c r="A1761" t="s">
        <v>2910</v>
      </c>
      <c r="B1761" t="s">
        <v>66</v>
      </c>
      <c r="C1761" t="s">
        <v>23</v>
      </c>
      <c r="D1761" t="s">
        <v>29</v>
      </c>
      <c r="E1761" t="s">
        <v>58</v>
      </c>
      <c r="F1761" t="s">
        <v>55</v>
      </c>
      <c r="G1761" s="1">
        <v>45611</v>
      </c>
      <c r="H1761" t="s">
        <v>2911</v>
      </c>
      <c r="I1761">
        <v>7510350</v>
      </c>
      <c r="J1761">
        <v>300414</v>
      </c>
      <c r="K1761">
        <v>32413</v>
      </c>
      <c r="L1761">
        <v>99977</v>
      </c>
      <c r="M1761">
        <v>5.7599999999999998E-2</v>
      </c>
      <c r="N1761">
        <v>-0.95799999999999996</v>
      </c>
      <c r="O1761">
        <v>1</v>
      </c>
      <c r="P1761" t="b">
        <f t="shared" si="55"/>
        <v>1</v>
      </c>
      <c r="Q1761" t="str">
        <f t="shared" si="54"/>
        <v>Negative</v>
      </c>
    </row>
    <row r="1762" spans="1:17" x14ac:dyDescent="0.3">
      <c r="A1762" t="s">
        <v>2912</v>
      </c>
      <c r="B1762" t="s">
        <v>32</v>
      </c>
      <c r="C1762" t="s">
        <v>61</v>
      </c>
      <c r="D1762" t="s">
        <v>37</v>
      </c>
      <c r="E1762" t="s">
        <v>19</v>
      </c>
      <c r="F1762" t="s">
        <v>34</v>
      </c>
      <c r="G1762" s="1">
        <v>45620</v>
      </c>
      <c r="H1762" t="s">
        <v>2913</v>
      </c>
      <c r="I1762">
        <v>5185378</v>
      </c>
      <c r="J1762">
        <v>471398</v>
      </c>
      <c r="K1762">
        <v>26584</v>
      </c>
      <c r="L1762">
        <v>71622</v>
      </c>
      <c r="M1762">
        <v>0.10979999999999999</v>
      </c>
      <c r="N1762">
        <v>-0.32300000000000001</v>
      </c>
      <c r="O1762">
        <v>1</v>
      </c>
      <c r="P1762" t="b">
        <f t="shared" si="55"/>
        <v>1</v>
      </c>
      <c r="Q1762" t="str">
        <f t="shared" si="54"/>
        <v>Negative</v>
      </c>
    </row>
    <row r="1763" spans="1:17" x14ac:dyDescent="0.3">
      <c r="A1763" t="s">
        <v>2914</v>
      </c>
      <c r="B1763" t="s">
        <v>27</v>
      </c>
      <c r="C1763" t="s">
        <v>61</v>
      </c>
      <c r="D1763" t="s">
        <v>54</v>
      </c>
      <c r="E1763" t="s">
        <v>58</v>
      </c>
      <c r="F1763" t="s">
        <v>34</v>
      </c>
      <c r="G1763" s="1">
        <v>45477</v>
      </c>
      <c r="H1763" t="s">
        <v>199</v>
      </c>
      <c r="I1763">
        <v>1198500</v>
      </c>
      <c r="J1763">
        <v>70500</v>
      </c>
      <c r="K1763">
        <v>42089</v>
      </c>
      <c r="L1763">
        <v>99526</v>
      </c>
      <c r="M1763">
        <v>0.17699999999999999</v>
      </c>
      <c r="N1763">
        <v>0.48399999999999999</v>
      </c>
      <c r="O1763">
        <v>0</v>
      </c>
      <c r="P1763" t="b">
        <f t="shared" si="55"/>
        <v>0</v>
      </c>
      <c r="Q1763" t="str">
        <f t="shared" si="54"/>
        <v>Positive</v>
      </c>
    </row>
    <row r="1764" spans="1:17" x14ac:dyDescent="0.3">
      <c r="A1764" t="s">
        <v>2915</v>
      </c>
      <c r="B1764" t="s">
        <v>16</v>
      </c>
      <c r="C1764" t="s">
        <v>28</v>
      </c>
      <c r="D1764" t="s">
        <v>54</v>
      </c>
      <c r="E1764" t="s">
        <v>51</v>
      </c>
      <c r="F1764" t="s">
        <v>20</v>
      </c>
      <c r="G1764" s="1">
        <v>45654</v>
      </c>
      <c r="H1764" t="s">
        <v>2916</v>
      </c>
      <c r="I1764">
        <v>4114346</v>
      </c>
      <c r="J1764">
        <v>141874</v>
      </c>
      <c r="K1764">
        <v>41201</v>
      </c>
      <c r="L1764">
        <v>15386</v>
      </c>
      <c r="M1764">
        <v>4.82E-2</v>
      </c>
      <c r="N1764">
        <v>-0.60399999999999998</v>
      </c>
      <c r="O1764">
        <v>1</v>
      </c>
      <c r="P1764" t="b">
        <f t="shared" si="55"/>
        <v>1</v>
      </c>
      <c r="Q1764" t="str">
        <f t="shared" si="54"/>
        <v>Negative</v>
      </c>
    </row>
    <row r="1765" spans="1:17" x14ac:dyDescent="0.3">
      <c r="A1765" t="s">
        <v>2917</v>
      </c>
      <c r="B1765" t="s">
        <v>27</v>
      </c>
      <c r="C1765" t="s">
        <v>17</v>
      </c>
      <c r="D1765" t="s">
        <v>29</v>
      </c>
      <c r="E1765" t="s">
        <v>19</v>
      </c>
      <c r="F1765" t="s">
        <v>55</v>
      </c>
      <c r="G1765" s="1">
        <v>45397</v>
      </c>
      <c r="H1765" t="s">
        <v>1835</v>
      </c>
      <c r="I1765">
        <v>1011388</v>
      </c>
      <c r="J1765">
        <v>36121</v>
      </c>
      <c r="K1765">
        <v>3787</v>
      </c>
      <c r="L1765">
        <v>88878</v>
      </c>
      <c r="M1765">
        <v>0.1273</v>
      </c>
      <c r="N1765">
        <v>-0.622</v>
      </c>
      <c r="O1765">
        <v>0</v>
      </c>
      <c r="P1765" t="b">
        <f t="shared" si="55"/>
        <v>0</v>
      </c>
      <c r="Q1765" t="str">
        <f t="shared" si="54"/>
        <v>Negative</v>
      </c>
    </row>
    <row r="1766" spans="1:17" x14ac:dyDescent="0.3">
      <c r="A1766" t="s">
        <v>2918</v>
      </c>
      <c r="B1766" t="s">
        <v>16</v>
      </c>
      <c r="C1766" t="s">
        <v>61</v>
      </c>
      <c r="D1766" t="s">
        <v>33</v>
      </c>
      <c r="E1766" t="s">
        <v>19</v>
      </c>
      <c r="F1766" t="s">
        <v>55</v>
      </c>
      <c r="G1766" s="1">
        <v>45490</v>
      </c>
      <c r="H1766" t="s">
        <v>882</v>
      </c>
      <c r="I1766">
        <v>5330304</v>
      </c>
      <c r="J1766">
        <v>253824</v>
      </c>
      <c r="K1766">
        <v>19054</v>
      </c>
      <c r="L1766">
        <v>42720</v>
      </c>
      <c r="M1766">
        <v>5.9200000000000003E-2</v>
      </c>
      <c r="N1766">
        <v>3.7999999999999999E-2</v>
      </c>
      <c r="O1766">
        <v>1</v>
      </c>
      <c r="P1766" t="b">
        <f t="shared" si="55"/>
        <v>1</v>
      </c>
      <c r="Q1766" t="str">
        <f t="shared" si="54"/>
        <v>Positive</v>
      </c>
    </row>
    <row r="1767" spans="1:17" x14ac:dyDescent="0.3">
      <c r="A1767" t="s">
        <v>2919</v>
      </c>
      <c r="B1767" t="s">
        <v>16</v>
      </c>
      <c r="C1767" t="s">
        <v>61</v>
      </c>
      <c r="D1767" t="s">
        <v>73</v>
      </c>
      <c r="E1767" t="s">
        <v>19</v>
      </c>
      <c r="F1767" t="s">
        <v>24</v>
      </c>
      <c r="G1767" s="1">
        <v>45430</v>
      </c>
      <c r="H1767" t="s">
        <v>2920</v>
      </c>
      <c r="I1767">
        <v>2138515</v>
      </c>
      <c r="J1767">
        <v>125795</v>
      </c>
      <c r="K1767">
        <v>3518</v>
      </c>
      <c r="L1767">
        <v>13336</v>
      </c>
      <c r="M1767">
        <v>6.6699999999999995E-2</v>
      </c>
      <c r="N1767">
        <v>0.16700000000000001</v>
      </c>
      <c r="O1767">
        <v>1</v>
      </c>
      <c r="P1767" t="b">
        <f t="shared" si="55"/>
        <v>1</v>
      </c>
      <c r="Q1767" t="str">
        <f t="shared" si="54"/>
        <v>Positive</v>
      </c>
    </row>
    <row r="1768" spans="1:17" x14ac:dyDescent="0.3">
      <c r="A1768" t="s">
        <v>2921</v>
      </c>
      <c r="B1768" t="s">
        <v>27</v>
      </c>
      <c r="C1768" t="s">
        <v>23</v>
      </c>
      <c r="D1768" t="s">
        <v>18</v>
      </c>
      <c r="E1768" t="s">
        <v>58</v>
      </c>
      <c r="F1768" t="s">
        <v>34</v>
      </c>
      <c r="G1768" s="1">
        <v>45637</v>
      </c>
      <c r="H1768" t="s">
        <v>852</v>
      </c>
      <c r="I1768">
        <v>1866192</v>
      </c>
      <c r="J1768">
        <v>77758</v>
      </c>
      <c r="K1768">
        <v>34845</v>
      </c>
      <c r="L1768">
        <v>31008</v>
      </c>
      <c r="M1768">
        <v>7.6999999999999999E-2</v>
      </c>
      <c r="N1768">
        <v>0.09</v>
      </c>
      <c r="O1768">
        <v>0</v>
      </c>
      <c r="P1768" t="b">
        <f t="shared" si="55"/>
        <v>0</v>
      </c>
      <c r="Q1768" t="str">
        <f t="shared" si="54"/>
        <v>Positive</v>
      </c>
    </row>
    <row r="1769" spans="1:17" x14ac:dyDescent="0.3">
      <c r="A1769" t="s">
        <v>2922</v>
      </c>
      <c r="B1769" t="s">
        <v>32</v>
      </c>
      <c r="C1769" t="s">
        <v>61</v>
      </c>
      <c r="D1769" t="s">
        <v>54</v>
      </c>
      <c r="E1769" t="s">
        <v>38</v>
      </c>
      <c r="F1769" t="s">
        <v>24</v>
      </c>
      <c r="G1769" s="1">
        <v>45495</v>
      </c>
      <c r="H1769" t="s">
        <v>927</v>
      </c>
      <c r="I1769">
        <v>4978545</v>
      </c>
      <c r="J1769">
        <v>382965</v>
      </c>
      <c r="K1769">
        <v>27689</v>
      </c>
      <c r="L1769">
        <v>26394</v>
      </c>
      <c r="M1769">
        <v>8.7800000000000003E-2</v>
      </c>
      <c r="N1769">
        <v>0.318</v>
      </c>
      <c r="O1769">
        <v>1</v>
      </c>
      <c r="P1769" t="b">
        <f t="shared" si="55"/>
        <v>1</v>
      </c>
      <c r="Q1769" t="str">
        <f t="shared" si="54"/>
        <v>Positive</v>
      </c>
    </row>
    <row r="1770" spans="1:17" x14ac:dyDescent="0.3">
      <c r="A1770" t="s">
        <v>2923</v>
      </c>
      <c r="B1770" t="s">
        <v>27</v>
      </c>
      <c r="C1770" t="s">
        <v>23</v>
      </c>
      <c r="D1770" t="s">
        <v>54</v>
      </c>
      <c r="E1770" t="s">
        <v>41</v>
      </c>
      <c r="F1770" t="s">
        <v>24</v>
      </c>
      <c r="G1770" s="1">
        <v>45465</v>
      </c>
      <c r="H1770" t="s">
        <v>2924</v>
      </c>
      <c r="I1770">
        <v>12470926</v>
      </c>
      <c r="J1770">
        <v>479651</v>
      </c>
      <c r="K1770">
        <v>38732</v>
      </c>
      <c r="L1770">
        <v>9108</v>
      </c>
      <c r="M1770">
        <v>4.2299999999999997E-2</v>
      </c>
      <c r="N1770">
        <v>0.34399999999999997</v>
      </c>
      <c r="O1770">
        <v>1</v>
      </c>
      <c r="P1770" t="b">
        <f t="shared" si="55"/>
        <v>1</v>
      </c>
      <c r="Q1770" t="str">
        <f t="shared" si="54"/>
        <v>Positive</v>
      </c>
    </row>
    <row r="1771" spans="1:17" x14ac:dyDescent="0.3">
      <c r="A1771" t="s">
        <v>2925</v>
      </c>
      <c r="B1771" t="s">
        <v>66</v>
      </c>
      <c r="C1771" t="s">
        <v>23</v>
      </c>
      <c r="D1771" t="s">
        <v>37</v>
      </c>
      <c r="E1771" t="s">
        <v>51</v>
      </c>
      <c r="F1771" t="s">
        <v>55</v>
      </c>
      <c r="G1771" s="1">
        <v>45649</v>
      </c>
      <c r="H1771" t="s">
        <v>2926</v>
      </c>
      <c r="I1771">
        <v>1406250</v>
      </c>
      <c r="J1771">
        <v>93750</v>
      </c>
      <c r="K1771">
        <v>37794</v>
      </c>
      <c r="L1771">
        <v>52067</v>
      </c>
      <c r="M1771">
        <v>0.13059999999999999</v>
      </c>
      <c r="N1771">
        <v>0.999</v>
      </c>
      <c r="O1771">
        <v>0</v>
      </c>
      <c r="P1771" t="b">
        <f t="shared" si="55"/>
        <v>0</v>
      </c>
      <c r="Q1771" t="str">
        <f t="shared" si="54"/>
        <v>Positive</v>
      </c>
    </row>
    <row r="1772" spans="1:17" x14ac:dyDescent="0.3">
      <c r="A1772" t="s">
        <v>2927</v>
      </c>
      <c r="B1772" t="s">
        <v>66</v>
      </c>
      <c r="C1772" t="s">
        <v>28</v>
      </c>
      <c r="D1772" t="s">
        <v>33</v>
      </c>
      <c r="E1772" t="s">
        <v>58</v>
      </c>
      <c r="F1772" t="s">
        <v>34</v>
      </c>
      <c r="G1772" s="1">
        <v>45437</v>
      </c>
      <c r="H1772" t="s">
        <v>2928</v>
      </c>
      <c r="I1772">
        <v>949264</v>
      </c>
      <c r="J1772">
        <v>118658</v>
      </c>
      <c r="K1772">
        <v>44532</v>
      </c>
      <c r="L1772">
        <v>9191</v>
      </c>
      <c r="M1772">
        <v>0.18160000000000001</v>
      </c>
      <c r="N1772">
        <v>0.45500000000000002</v>
      </c>
      <c r="O1772">
        <v>0</v>
      </c>
      <c r="P1772" t="b">
        <f t="shared" si="55"/>
        <v>0</v>
      </c>
      <c r="Q1772" t="str">
        <f t="shared" si="54"/>
        <v>Positive</v>
      </c>
    </row>
    <row r="1773" spans="1:17" x14ac:dyDescent="0.3">
      <c r="A1773" t="s">
        <v>2929</v>
      </c>
      <c r="B1773" t="s">
        <v>32</v>
      </c>
      <c r="C1773" t="s">
        <v>23</v>
      </c>
      <c r="D1773" t="s">
        <v>29</v>
      </c>
      <c r="E1773" t="s">
        <v>51</v>
      </c>
      <c r="F1773" t="s">
        <v>34</v>
      </c>
      <c r="G1773" s="1">
        <v>45609</v>
      </c>
      <c r="H1773" t="s">
        <v>938</v>
      </c>
      <c r="I1773">
        <v>2803050</v>
      </c>
      <c r="J1773">
        <v>186870</v>
      </c>
      <c r="K1773">
        <v>16784</v>
      </c>
      <c r="L1773">
        <v>93711</v>
      </c>
      <c r="M1773">
        <v>0.1061</v>
      </c>
      <c r="N1773">
        <v>-0.248</v>
      </c>
      <c r="O1773">
        <v>1</v>
      </c>
      <c r="P1773" t="b">
        <f t="shared" si="55"/>
        <v>1</v>
      </c>
      <c r="Q1773" t="str">
        <f t="shared" si="54"/>
        <v>Negative</v>
      </c>
    </row>
    <row r="1774" spans="1:17" x14ac:dyDescent="0.3">
      <c r="A1774" t="s">
        <v>2930</v>
      </c>
      <c r="B1774" t="s">
        <v>32</v>
      </c>
      <c r="C1774" t="s">
        <v>17</v>
      </c>
      <c r="D1774" t="s">
        <v>54</v>
      </c>
      <c r="E1774" t="s">
        <v>58</v>
      </c>
      <c r="F1774" t="s">
        <v>24</v>
      </c>
      <c r="G1774" s="1">
        <v>45554</v>
      </c>
      <c r="H1774" t="s">
        <v>134</v>
      </c>
      <c r="I1774">
        <v>5808928</v>
      </c>
      <c r="J1774">
        <v>363058</v>
      </c>
      <c r="K1774">
        <v>18038</v>
      </c>
      <c r="L1774">
        <v>85611</v>
      </c>
      <c r="M1774">
        <v>8.0299999999999996E-2</v>
      </c>
      <c r="N1774">
        <v>-0.96399999999999997</v>
      </c>
      <c r="O1774">
        <v>1</v>
      </c>
      <c r="P1774" t="b">
        <f t="shared" si="55"/>
        <v>1</v>
      </c>
      <c r="Q1774" t="str">
        <f t="shared" si="54"/>
        <v>Negative</v>
      </c>
    </row>
    <row r="1775" spans="1:17" x14ac:dyDescent="0.3">
      <c r="A1775" t="s">
        <v>2931</v>
      </c>
      <c r="B1775" t="s">
        <v>32</v>
      </c>
      <c r="C1775" t="s">
        <v>23</v>
      </c>
      <c r="D1775" t="s">
        <v>18</v>
      </c>
      <c r="E1775" t="s">
        <v>51</v>
      </c>
      <c r="F1775" t="s">
        <v>20</v>
      </c>
      <c r="G1775" s="1">
        <v>45536</v>
      </c>
      <c r="H1775" t="s">
        <v>2932</v>
      </c>
      <c r="I1775">
        <v>3522508</v>
      </c>
      <c r="J1775">
        <v>160114</v>
      </c>
      <c r="K1775">
        <v>29064</v>
      </c>
      <c r="L1775">
        <v>57558</v>
      </c>
      <c r="M1775">
        <v>7.0000000000000007E-2</v>
      </c>
      <c r="N1775">
        <v>-0.77600000000000002</v>
      </c>
      <c r="O1775">
        <v>1</v>
      </c>
      <c r="P1775" t="b">
        <f t="shared" si="55"/>
        <v>1</v>
      </c>
      <c r="Q1775" t="str">
        <f t="shared" si="54"/>
        <v>Negative</v>
      </c>
    </row>
    <row r="1776" spans="1:17" x14ac:dyDescent="0.3">
      <c r="A1776" t="s">
        <v>2933</v>
      </c>
      <c r="B1776" t="s">
        <v>16</v>
      </c>
      <c r="C1776" t="s">
        <v>28</v>
      </c>
      <c r="D1776" t="s">
        <v>29</v>
      </c>
      <c r="E1776" t="s">
        <v>19</v>
      </c>
      <c r="F1776" t="s">
        <v>34</v>
      </c>
      <c r="G1776" s="1">
        <v>45305</v>
      </c>
      <c r="H1776" t="s">
        <v>2934</v>
      </c>
      <c r="I1776">
        <v>6392130</v>
      </c>
      <c r="J1776">
        <v>426142</v>
      </c>
      <c r="K1776">
        <v>30302</v>
      </c>
      <c r="L1776">
        <v>43891</v>
      </c>
      <c r="M1776">
        <v>7.8299999999999995E-2</v>
      </c>
      <c r="N1776">
        <v>-5.7000000000000002E-2</v>
      </c>
      <c r="O1776">
        <v>1</v>
      </c>
      <c r="P1776" t="b">
        <f t="shared" si="55"/>
        <v>1</v>
      </c>
      <c r="Q1776" t="str">
        <f t="shared" si="54"/>
        <v>Negative</v>
      </c>
    </row>
    <row r="1777" spans="1:17" x14ac:dyDescent="0.3">
      <c r="A1777" t="s">
        <v>2935</v>
      </c>
      <c r="B1777" t="s">
        <v>32</v>
      </c>
      <c r="C1777" t="s">
        <v>17</v>
      </c>
      <c r="D1777" t="s">
        <v>33</v>
      </c>
      <c r="E1777" t="s">
        <v>51</v>
      </c>
      <c r="F1777" t="s">
        <v>46</v>
      </c>
      <c r="G1777" s="1">
        <v>45532</v>
      </c>
      <c r="H1777" t="s">
        <v>2936</v>
      </c>
      <c r="I1777">
        <v>1194795</v>
      </c>
      <c r="J1777">
        <v>79653</v>
      </c>
      <c r="K1777">
        <v>8319</v>
      </c>
      <c r="L1777">
        <v>93832</v>
      </c>
      <c r="M1777">
        <v>0.1522</v>
      </c>
      <c r="N1777">
        <v>0.56599999999999995</v>
      </c>
      <c r="O1777">
        <v>0</v>
      </c>
      <c r="P1777" t="b">
        <f t="shared" si="55"/>
        <v>0</v>
      </c>
      <c r="Q1777" t="str">
        <f t="shared" si="54"/>
        <v>Positive</v>
      </c>
    </row>
    <row r="1778" spans="1:17" x14ac:dyDescent="0.3">
      <c r="A1778" t="s">
        <v>2937</v>
      </c>
      <c r="B1778" t="s">
        <v>32</v>
      </c>
      <c r="C1778" t="s">
        <v>17</v>
      </c>
      <c r="D1778" t="s">
        <v>29</v>
      </c>
      <c r="E1778" t="s">
        <v>19</v>
      </c>
      <c r="F1778" t="s">
        <v>46</v>
      </c>
      <c r="G1778" s="1">
        <v>45310</v>
      </c>
      <c r="H1778" t="s">
        <v>2938</v>
      </c>
      <c r="I1778">
        <v>2110932</v>
      </c>
      <c r="J1778">
        <v>117274</v>
      </c>
      <c r="K1778">
        <v>15362</v>
      </c>
      <c r="L1778">
        <v>98866</v>
      </c>
      <c r="M1778">
        <v>0.10970000000000001</v>
      </c>
      <c r="N1778">
        <v>-2.5000000000000001E-2</v>
      </c>
      <c r="O1778">
        <v>1</v>
      </c>
      <c r="P1778" t="b">
        <f t="shared" si="55"/>
        <v>1</v>
      </c>
      <c r="Q1778" t="str">
        <f t="shared" si="54"/>
        <v>Negative</v>
      </c>
    </row>
    <row r="1779" spans="1:17" x14ac:dyDescent="0.3">
      <c r="A1779" t="s">
        <v>2939</v>
      </c>
      <c r="B1779" t="s">
        <v>27</v>
      </c>
      <c r="C1779" t="s">
        <v>28</v>
      </c>
      <c r="D1779" t="s">
        <v>29</v>
      </c>
      <c r="E1779" t="s">
        <v>19</v>
      </c>
      <c r="F1779" t="s">
        <v>46</v>
      </c>
      <c r="G1779" s="1">
        <v>45312</v>
      </c>
      <c r="H1779" t="s">
        <v>2940</v>
      </c>
      <c r="I1779">
        <v>5899290</v>
      </c>
      <c r="J1779">
        <v>393286</v>
      </c>
      <c r="K1779">
        <v>9101</v>
      </c>
      <c r="L1779">
        <v>85475</v>
      </c>
      <c r="M1779">
        <v>8.2699999999999996E-2</v>
      </c>
      <c r="N1779">
        <v>0.16</v>
      </c>
      <c r="O1779">
        <v>1</v>
      </c>
      <c r="P1779" t="b">
        <f t="shared" si="55"/>
        <v>1</v>
      </c>
      <c r="Q1779" t="str">
        <f t="shared" si="54"/>
        <v>Positive</v>
      </c>
    </row>
    <row r="1780" spans="1:17" x14ac:dyDescent="0.3">
      <c r="A1780" t="s">
        <v>2941</v>
      </c>
      <c r="B1780" t="s">
        <v>66</v>
      </c>
      <c r="C1780" t="s">
        <v>28</v>
      </c>
      <c r="D1780" t="s">
        <v>73</v>
      </c>
      <c r="E1780" t="s">
        <v>58</v>
      </c>
      <c r="F1780" t="s">
        <v>24</v>
      </c>
      <c r="G1780" s="1">
        <v>45575</v>
      </c>
      <c r="H1780" t="s">
        <v>2942</v>
      </c>
      <c r="I1780">
        <v>6753572</v>
      </c>
      <c r="J1780">
        <v>241199</v>
      </c>
      <c r="K1780">
        <v>44871</v>
      </c>
      <c r="L1780">
        <v>46158</v>
      </c>
      <c r="M1780">
        <v>4.9200000000000001E-2</v>
      </c>
      <c r="N1780">
        <v>-0.625</v>
      </c>
      <c r="O1780">
        <v>1</v>
      </c>
      <c r="P1780" t="b">
        <f t="shared" si="55"/>
        <v>1</v>
      </c>
      <c r="Q1780" t="str">
        <f t="shared" si="54"/>
        <v>Negative</v>
      </c>
    </row>
    <row r="1781" spans="1:17" x14ac:dyDescent="0.3">
      <c r="A1781" t="s">
        <v>2943</v>
      </c>
      <c r="B1781" t="s">
        <v>27</v>
      </c>
      <c r="C1781" t="s">
        <v>61</v>
      </c>
      <c r="D1781" t="s">
        <v>33</v>
      </c>
      <c r="E1781" t="s">
        <v>38</v>
      </c>
      <c r="F1781" t="s">
        <v>20</v>
      </c>
      <c r="G1781" s="1">
        <v>45467</v>
      </c>
      <c r="H1781" t="s">
        <v>871</v>
      </c>
      <c r="I1781">
        <v>5516</v>
      </c>
      <c r="J1781">
        <v>394</v>
      </c>
      <c r="K1781">
        <v>32541</v>
      </c>
      <c r="L1781">
        <v>24597</v>
      </c>
      <c r="M1781">
        <v>10.43</v>
      </c>
      <c r="N1781">
        <v>0.44700000000000001</v>
      </c>
      <c r="O1781">
        <v>0</v>
      </c>
      <c r="P1781" t="b">
        <f t="shared" si="55"/>
        <v>0</v>
      </c>
      <c r="Q1781" t="str">
        <f t="shared" si="54"/>
        <v>Positive</v>
      </c>
    </row>
    <row r="1782" spans="1:17" x14ac:dyDescent="0.3">
      <c r="A1782" t="s">
        <v>2944</v>
      </c>
      <c r="B1782" t="s">
        <v>16</v>
      </c>
      <c r="C1782" t="s">
        <v>28</v>
      </c>
      <c r="D1782" t="s">
        <v>37</v>
      </c>
      <c r="E1782" t="s">
        <v>41</v>
      </c>
      <c r="F1782" t="s">
        <v>55</v>
      </c>
      <c r="G1782" s="1">
        <v>45548</v>
      </c>
      <c r="H1782" t="s">
        <v>2945</v>
      </c>
      <c r="I1782">
        <v>7508550</v>
      </c>
      <c r="J1782">
        <v>300342</v>
      </c>
      <c r="K1782">
        <v>4660</v>
      </c>
      <c r="L1782">
        <v>83030</v>
      </c>
      <c r="M1782">
        <v>5.1700000000000003E-2</v>
      </c>
      <c r="N1782">
        <v>-0.69</v>
      </c>
      <c r="O1782">
        <v>1</v>
      </c>
      <c r="P1782" t="b">
        <f t="shared" si="55"/>
        <v>1</v>
      </c>
      <c r="Q1782" t="str">
        <f t="shared" si="54"/>
        <v>Negative</v>
      </c>
    </row>
    <row r="1783" spans="1:17" x14ac:dyDescent="0.3">
      <c r="A1783" t="s">
        <v>2946</v>
      </c>
      <c r="B1783" t="s">
        <v>27</v>
      </c>
      <c r="C1783" t="s">
        <v>61</v>
      </c>
      <c r="D1783" t="s">
        <v>29</v>
      </c>
      <c r="E1783" t="s">
        <v>41</v>
      </c>
      <c r="F1783" t="s">
        <v>20</v>
      </c>
      <c r="G1783" s="1">
        <v>45504</v>
      </c>
      <c r="H1783" t="s">
        <v>2722</v>
      </c>
      <c r="I1783">
        <v>1088199</v>
      </c>
      <c r="J1783">
        <v>120911</v>
      </c>
      <c r="K1783">
        <v>17563</v>
      </c>
      <c r="L1783">
        <v>99469</v>
      </c>
      <c r="M1783">
        <v>0.21870000000000001</v>
      </c>
      <c r="N1783">
        <v>-0.49099999999999999</v>
      </c>
      <c r="O1783">
        <v>0</v>
      </c>
      <c r="P1783" t="b">
        <f t="shared" si="55"/>
        <v>0</v>
      </c>
      <c r="Q1783" t="str">
        <f t="shared" si="54"/>
        <v>Negative</v>
      </c>
    </row>
    <row r="1784" spans="1:17" x14ac:dyDescent="0.3">
      <c r="A1784" t="s">
        <v>2947</v>
      </c>
      <c r="B1784" t="s">
        <v>32</v>
      </c>
      <c r="C1784" t="s">
        <v>28</v>
      </c>
      <c r="D1784" t="s">
        <v>29</v>
      </c>
      <c r="E1784" t="s">
        <v>19</v>
      </c>
      <c r="F1784" t="s">
        <v>55</v>
      </c>
      <c r="G1784" s="1">
        <v>45392</v>
      </c>
      <c r="H1784" t="s">
        <v>2948</v>
      </c>
      <c r="I1784">
        <v>5862631</v>
      </c>
      <c r="J1784">
        <v>254897</v>
      </c>
      <c r="K1784">
        <v>26572</v>
      </c>
      <c r="L1784">
        <v>32377</v>
      </c>
      <c r="M1784">
        <v>5.3499999999999999E-2</v>
      </c>
      <c r="N1784">
        <v>0.13300000000000001</v>
      </c>
      <c r="O1784">
        <v>1</v>
      </c>
      <c r="P1784" t="b">
        <f t="shared" si="55"/>
        <v>1</v>
      </c>
      <c r="Q1784" t="str">
        <f t="shared" si="54"/>
        <v>Positive</v>
      </c>
    </row>
    <row r="1785" spans="1:17" x14ac:dyDescent="0.3">
      <c r="A1785" t="s">
        <v>2949</v>
      </c>
      <c r="B1785" t="s">
        <v>32</v>
      </c>
      <c r="C1785" t="s">
        <v>17</v>
      </c>
      <c r="D1785" t="s">
        <v>54</v>
      </c>
      <c r="E1785" t="s">
        <v>19</v>
      </c>
      <c r="F1785" t="s">
        <v>55</v>
      </c>
      <c r="G1785" s="1">
        <v>45620</v>
      </c>
      <c r="H1785" t="s">
        <v>1310</v>
      </c>
      <c r="I1785">
        <v>676936</v>
      </c>
      <c r="J1785">
        <v>29432</v>
      </c>
      <c r="K1785">
        <v>46742</v>
      </c>
      <c r="L1785">
        <v>89032</v>
      </c>
      <c r="M1785">
        <v>0.24399999999999999</v>
      </c>
      <c r="N1785">
        <v>-0.441</v>
      </c>
      <c r="O1785">
        <v>0</v>
      </c>
      <c r="P1785" t="b">
        <f t="shared" si="55"/>
        <v>0</v>
      </c>
      <c r="Q1785" t="str">
        <f t="shared" si="54"/>
        <v>Negative</v>
      </c>
    </row>
    <row r="1786" spans="1:17" x14ac:dyDescent="0.3">
      <c r="A1786" t="s">
        <v>2950</v>
      </c>
      <c r="B1786" t="s">
        <v>16</v>
      </c>
      <c r="C1786" t="s">
        <v>61</v>
      </c>
      <c r="D1786" t="s">
        <v>73</v>
      </c>
      <c r="E1786" t="s">
        <v>58</v>
      </c>
      <c r="F1786" t="s">
        <v>34</v>
      </c>
      <c r="G1786" s="1">
        <v>45427</v>
      </c>
      <c r="H1786" t="s">
        <v>1564</v>
      </c>
      <c r="I1786">
        <v>275720</v>
      </c>
      <c r="J1786">
        <v>27572</v>
      </c>
      <c r="K1786">
        <v>40035</v>
      </c>
      <c r="L1786">
        <v>26850</v>
      </c>
      <c r="M1786">
        <v>0.34260000000000002</v>
      </c>
      <c r="N1786">
        <v>5.3999999999999999E-2</v>
      </c>
      <c r="O1786">
        <v>0</v>
      </c>
      <c r="P1786" t="b">
        <f t="shared" si="55"/>
        <v>0</v>
      </c>
      <c r="Q1786" t="str">
        <f t="shared" si="54"/>
        <v>Positive</v>
      </c>
    </row>
    <row r="1787" spans="1:17" x14ac:dyDescent="0.3">
      <c r="A1787" t="s">
        <v>2951</v>
      </c>
      <c r="B1787" t="s">
        <v>66</v>
      </c>
      <c r="C1787" t="s">
        <v>17</v>
      </c>
      <c r="D1787" t="s">
        <v>73</v>
      </c>
      <c r="E1787" t="s">
        <v>51</v>
      </c>
      <c r="F1787" t="s">
        <v>24</v>
      </c>
      <c r="G1787" s="1">
        <v>45453</v>
      </c>
      <c r="H1787" t="s">
        <v>1088</v>
      </c>
      <c r="I1787">
        <v>4885088</v>
      </c>
      <c r="J1787">
        <v>305318</v>
      </c>
      <c r="K1787">
        <v>37264</v>
      </c>
      <c r="L1787">
        <v>29284</v>
      </c>
      <c r="M1787">
        <v>7.6100000000000001E-2</v>
      </c>
      <c r="N1787">
        <v>-0.60499999999999998</v>
      </c>
      <c r="O1787">
        <v>1</v>
      </c>
      <c r="P1787" t="b">
        <f t="shared" si="55"/>
        <v>1</v>
      </c>
      <c r="Q1787" t="str">
        <f t="shared" si="54"/>
        <v>Negative</v>
      </c>
    </row>
    <row r="1788" spans="1:17" x14ac:dyDescent="0.3">
      <c r="A1788" t="s">
        <v>2952</v>
      </c>
      <c r="B1788" t="s">
        <v>32</v>
      </c>
      <c r="C1788" t="s">
        <v>17</v>
      </c>
      <c r="D1788" t="s">
        <v>73</v>
      </c>
      <c r="E1788" t="s">
        <v>19</v>
      </c>
      <c r="F1788" t="s">
        <v>24</v>
      </c>
      <c r="G1788" s="1">
        <v>45621</v>
      </c>
      <c r="H1788" t="s">
        <v>2953</v>
      </c>
      <c r="I1788">
        <v>8275785</v>
      </c>
      <c r="J1788">
        <v>394085</v>
      </c>
      <c r="K1788">
        <v>17811</v>
      </c>
      <c r="L1788">
        <v>90519</v>
      </c>
      <c r="M1788">
        <v>6.0699999999999997E-2</v>
      </c>
      <c r="N1788">
        <v>-2E-3</v>
      </c>
      <c r="O1788">
        <v>1</v>
      </c>
      <c r="P1788" t="b">
        <f t="shared" si="55"/>
        <v>1</v>
      </c>
      <c r="Q1788" t="str">
        <f t="shared" si="54"/>
        <v>Negative</v>
      </c>
    </row>
    <row r="1789" spans="1:17" x14ac:dyDescent="0.3">
      <c r="A1789" t="s">
        <v>2954</v>
      </c>
      <c r="B1789" t="s">
        <v>66</v>
      </c>
      <c r="C1789" t="s">
        <v>61</v>
      </c>
      <c r="D1789" t="s">
        <v>73</v>
      </c>
      <c r="E1789" t="s">
        <v>38</v>
      </c>
      <c r="F1789" t="s">
        <v>34</v>
      </c>
      <c r="G1789" s="1">
        <v>45321</v>
      </c>
      <c r="H1789" t="s">
        <v>59</v>
      </c>
      <c r="I1789">
        <v>2397200</v>
      </c>
      <c r="J1789">
        <v>149825</v>
      </c>
      <c r="K1789">
        <v>38048</v>
      </c>
      <c r="L1789">
        <v>86670</v>
      </c>
      <c r="M1789">
        <v>0.1145</v>
      </c>
      <c r="N1789">
        <v>-0.51800000000000002</v>
      </c>
      <c r="O1789">
        <v>1</v>
      </c>
      <c r="P1789" t="b">
        <f t="shared" si="55"/>
        <v>1</v>
      </c>
      <c r="Q1789" t="str">
        <f t="shared" si="54"/>
        <v>Negative</v>
      </c>
    </row>
    <row r="1790" spans="1:17" x14ac:dyDescent="0.3">
      <c r="A1790" t="s">
        <v>2955</v>
      </c>
      <c r="B1790" t="s">
        <v>27</v>
      </c>
      <c r="C1790" t="s">
        <v>61</v>
      </c>
      <c r="D1790" t="s">
        <v>54</v>
      </c>
      <c r="E1790" t="s">
        <v>19</v>
      </c>
      <c r="F1790" t="s">
        <v>46</v>
      </c>
      <c r="G1790" s="1">
        <v>45577</v>
      </c>
      <c r="H1790" t="s">
        <v>1498</v>
      </c>
      <c r="I1790">
        <v>7006789</v>
      </c>
      <c r="J1790">
        <v>304643</v>
      </c>
      <c r="K1790">
        <v>44018</v>
      </c>
      <c r="L1790">
        <v>97606</v>
      </c>
      <c r="M1790">
        <v>6.3700000000000007E-2</v>
      </c>
      <c r="N1790">
        <v>-0.82</v>
      </c>
      <c r="O1790">
        <v>1</v>
      </c>
      <c r="P1790" t="b">
        <f t="shared" si="55"/>
        <v>1</v>
      </c>
      <c r="Q1790" t="str">
        <f t="shared" si="54"/>
        <v>Negative</v>
      </c>
    </row>
    <row r="1791" spans="1:17" x14ac:dyDescent="0.3">
      <c r="A1791" t="s">
        <v>2956</v>
      </c>
      <c r="B1791" t="s">
        <v>32</v>
      </c>
      <c r="C1791" t="s">
        <v>28</v>
      </c>
      <c r="D1791" t="s">
        <v>29</v>
      </c>
      <c r="E1791" t="s">
        <v>41</v>
      </c>
      <c r="F1791" t="s">
        <v>46</v>
      </c>
      <c r="G1791" s="1">
        <v>45437</v>
      </c>
      <c r="H1791" t="s">
        <v>482</v>
      </c>
      <c r="I1791">
        <v>13973960</v>
      </c>
      <c r="J1791">
        <v>499070</v>
      </c>
      <c r="K1791">
        <v>11100</v>
      </c>
      <c r="L1791">
        <v>57573</v>
      </c>
      <c r="M1791">
        <v>4.0599999999999997E-2</v>
      </c>
      <c r="N1791">
        <v>0.28599999999999998</v>
      </c>
      <c r="O1791">
        <v>1</v>
      </c>
      <c r="P1791" t="b">
        <f t="shared" si="55"/>
        <v>1</v>
      </c>
      <c r="Q1791" t="str">
        <f t="shared" si="54"/>
        <v>Positive</v>
      </c>
    </row>
    <row r="1792" spans="1:17" x14ac:dyDescent="0.3">
      <c r="A1792" t="s">
        <v>2957</v>
      </c>
      <c r="B1792" t="s">
        <v>16</v>
      </c>
      <c r="C1792" t="s">
        <v>61</v>
      </c>
      <c r="D1792" t="s">
        <v>37</v>
      </c>
      <c r="E1792" t="s">
        <v>38</v>
      </c>
      <c r="F1792" t="s">
        <v>34</v>
      </c>
      <c r="G1792" s="1">
        <v>45405</v>
      </c>
      <c r="H1792" t="s">
        <v>2958</v>
      </c>
      <c r="I1792">
        <v>2517215</v>
      </c>
      <c r="J1792">
        <v>132485</v>
      </c>
      <c r="K1792">
        <v>7852</v>
      </c>
      <c r="L1792">
        <v>50223</v>
      </c>
      <c r="M1792">
        <v>7.5700000000000003E-2</v>
      </c>
      <c r="N1792">
        <v>0.38400000000000001</v>
      </c>
      <c r="O1792">
        <v>1</v>
      </c>
      <c r="P1792" t="b">
        <f t="shared" si="55"/>
        <v>1</v>
      </c>
      <c r="Q1792" t="str">
        <f t="shared" si="54"/>
        <v>Positive</v>
      </c>
    </row>
    <row r="1793" spans="1:17" x14ac:dyDescent="0.3">
      <c r="A1793" t="s">
        <v>2959</v>
      </c>
      <c r="B1793" t="s">
        <v>32</v>
      </c>
      <c r="C1793" t="s">
        <v>61</v>
      </c>
      <c r="D1793" t="s">
        <v>37</v>
      </c>
      <c r="E1793" t="s">
        <v>38</v>
      </c>
      <c r="F1793" t="s">
        <v>24</v>
      </c>
      <c r="G1793" s="1">
        <v>45433</v>
      </c>
      <c r="H1793" t="s">
        <v>112</v>
      </c>
      <c r="I1793">
        <v>8489382</v>
      </c>
      <c r="J1793">
        <v>385881</v>
      </c>
      <c r="K1793">
        <v>35868</v>
      </c>
      <c r="L1793">
        <v>16705</v>
      </c>
      <c r="M1793">
        <v>5.16E-2</v>
      </c>
      <c r="N1793">
        <v>0.68400000000000005</v>
      </c>
      <c r="O1793">
        <v>1</v>
      </c>
      <c r="P1793" t="b">
        <f t="shared" si="55"/>
        <v>1</v>
      </c>
      <c r="Q1793" t="str">
        <f t="shared" si="54"/>
        <v>Positive</v>
      </c>
    </row>
    <row r="1794" spans="1:17" x14ac:dyDescent="0.3">
      <c r="A1794" t="s">
        <v>2960</v>
      </c>
      <c r="B1794" t="s">
        <v>16</v>
      </c>
      <c r="C1794" t="s">
        <v>61</v>
      </c>
      <c r="D1794" t="s">
        <v>54</v>
      </c>
      <c r="E1794" t="s">
        <v>19</v>
      </c>
      <c r="F1794" t="s">
        <v>20</v>
      </c>
      <c r="G1794" s="1">
        <v>45431</v>
      </c>
      <c r="H1794" t="s">
        <v>144</v>
      </c>
      <c r="I1794">
        <v>3998544</v>
      </c>
      <c r="J1794">
        <v>333212</v>
      </c>
      <c r="K1794">
        <v>1391</v>
      </c>
      <c r="L1794">
        <v>53916</v>
      </c>
      <c r="M1794">
        <v>9.7199999999999995E-2</v>
      </c>
      <c r="N1794">
        <v>0.40699999999999997</v>
      </c>
      <c r="O1794">
        <v>1</v>
      </c>
      <c r="P1794" t="b">
        <f t="shared" si="55"/>
        <v>1</v>
      </c>
      <c r="Q1794" t="str">
        <f t="shared" ref="Q1794:Q1857" si="56">IF(N1794&gt;0,"Positive","Negative")</f>
        <v>Positive</v>
      </c>
    </row>
    <row r="1795" spans="1:17" x14ac:dyDescent="0.3">
      <c r="A1795" t="s">
        <v>2961</v>
      </c>
      <c r="B1795" t="s">
        <v>16</v>
      </c>
      <c r="C1795" t="s">
        <v>23</v>
      </c>
      <c r="D1795" t="s">
        <v>37</v>
      </c>
      <c r="E1795" t="s">
        <v>41</v>
      </c>
      <c r="F1795" t="s">
        <v>20</v>
      </c>
      <c r="G1795" s="1">
        <v>45486</v>
      </c>
      <c r="H1795" t="s">
        <v>356</v>
      </c>
      <c r="I1795">
        <v>6762340</v>
      </c>
      <c r="J1795">
        <v>260090</v>
      </c>
      <c r="K1795">
        <v>42969</v>
      </c>
      <c r="L1795">
        <v>59275</v>
      </c>
      <c r="M1795">
        <v>5.3600000000000002E-2</v>
      </c>
      <c r="N1795">
        <v>-0.47499999999999998</v>
      </c>
      <c r="O1795">
        <v>1</v>
      </c>
      <c r="P1795" t="b">
        <f t="shared" ref="P1795:P1858" si="57">IF(O1795=1,TRUE,FALSE)</f>
        <v>1</v>
      </c>
      <c r="Q1795" t="str">
        <f t="shared" si="56"/>
        <v>Negative</v>
      </c>
    </row>
    <row r="1796" spans="1:17" x14ac:dyDescent="0.3">
      <c r="A1796" t="s">
        <v>2962</v>
      </c>
      <c r="B1796" t="s">
        <v>66</v>
      </c>
      <c r="C1796" t="s">
        <v>23</v>
      </c>
      <c r="D1796" t="s">
        <v>29</v>
      </c>
      <c r="E1796" t="s">
        <v>19</v>
      </c>
      <c r="F1796" t="s">
        <v>34</v>
      </c>
      <c r="G1796" s="1">
        <v>45345</v>
      </c>
      <c r="H1796" t="s">
        <v>2963</v>
      </c>
      <c r="I1796">
        <v>6357626</v>
      </c>
      <c r="J1796">
        <v>288983</v>
      </c>
      <c r="K1796">
        <v>47713</v>
      </c>
      <c r="L1796">
        <v>53020</v>
      </c>
      <c r="M1796">
        <v>6.13E-2</v>
      </c>
      <c r="N1796">
        <v>-0.36899999999999999</v>
      </c>
      <c r="O1796">
        <v>1</v>
      </c>
      <c r="P1796" t="b">
        <f t="shared" si="57"/>
        <v>1</v>
      </c>
      <c r="Q1796" t="str">
        <f t="shared" si="56"/>
        <v>Negative</v>
      </c>
    </row>
    <row r="1797" spans="1:17" x14ac:dyDescent="0.3">
      <c r="A1797" t="s">
        <v>2964</v>
      </c>
      <c r="B1797" t="s">
        <v>32</v>
      </c>
      <c r="C1797" t="s">
        <v>28</v>
      </c>
      <c r="D1797" t="s">
        <v>29</v>
      </c>
      <c r="E1797" t="s">
        <v>51</v>
      </c>
      <c r="F1797" t="s">
        <v>34</v>
      </c>
      <c r="G1797" s="1">
        <v>45518</v>
      </c>
      <c r="H1797" t="s">
        <v>919</v>
      </c>
      <c r="I1797">
        <v>284018</v>
      </c>
      <c r="J1797">
        <v>20287</v>
      </c>
      <c r="K1797">
        <v>2332</v>
      </c>
      <c r="L1797">
        <v>97928</v>
      </c>
      <c r="M1797">
        <v>0.4244</v>
      </c>
      <c r="N1797">
        <v>0.77800000000000002</v>
      </c>
      <c r="O1797">
        <v>0</v>
      </c>
      <c r="P1797" t="b">
        <f t="shared" si="57"/>
        <v>0</v>
      </c>
      <c r="Q1797" t="str">
        <f t="shared" si="56"/>
        <v>Positive</v>
      </c>
    </row>
    <row r="1798" spans="1:17" x14ac:dyDescent="0.3">
      <c r="A1798" t="s">
        <v>2965</v>
      </c>
      <c r="B1798" t="s">
        <v>16</v>
      </c>
      <c r="C1798" t="s">
        <v>17</v>
      </c>
      <c r="D1798" t="s">
        <v>18</v>
      </c>
      <c r="E1798" t="s">
        <v>41</v>
      </c>
      <c r="F1798" t="s">
        <v>55</v>
      </c>
      <c r="G1798" s="1">
        <v>45594</v>
      </c>
      <c r="H1798" t="s">
        <v>2966</v>
      </c>
      <c r="I1798">
        <v>353880</v>
      </c>
      <c r="J1798">
        <v>39320</v>
      </c>
      <c r="K1798">
        <v>7647</v>
      </c>
      <c r="L1798">
        <v>79972</v>
      </c>
      <c r="M1798">
        <v>0.35870000000000002</v>
      </c>
      <c r="N1798">
        <v>-0.79</v>
      </c>
      <c r="O1798">
        <v>0</v>
      </c>
      <c r="P1798" t="b">
        <f t="shared" si="57"/>
        <v>0</v>
      </c>
      <c r="Q1798" t="str">
        <f t="shared" si="56"/>
        <v>Negative</v>
      </c>
    </row>
    <row r="1799" spans="1:17" x14ac:dyDescent="0.3">
      <c r="A1799" t="s">
        <v>2967</v>
      </c>
      <c r="B1799" t="s">
        <v>66</v>
      </c>
      <c r="C1799" t="s">
        <v>17</v>
      </c>
      <c r="D1799" t="s">
        <v>18</v>
      </c>
      <c r="E1799" t="s">
        <v>38</v>
      </c>
      <c r="F1799" t="s">
        <v>46</v>
      </c>
      <c r="G1799" s="1">
        <v>45622</v>
      </c>
      <c r="H1799" t="s">
        <v>2968</v>
      </c>
      <c r="I1799">
        <v>7556243</v>
      </c>
      <c r="J1799">
        <v>397697</v>
      </c>
      <c r="K1799">
        <v>31052</v>
      </c>
      <c r="L1799">
        <v>19559</v>
      </c>
      <c r="M1799">
        <v>5.9299999999999999E-2</v>
      </c>
      <c r="N1799">
        <v>-0.96899999999999997</v>
      </c>
      <c r="O1799">
        <v>1</v>
      </c>
      <c r="P1799" t="b">
        <f t="shared" si="57"/>
        <v>1</v>
      </c>
      <c r="Q1799" t="str">
        <f t="shared" si="56"/>
        <v>Negative</v>
      </c>
    </row>
    <row r="1800" spans="1:17" x14ac:dyDescent="0.3">
      <c r="A1800" t="s">
        <v>2969</v>
      </c>
      <c r="B1800" t="s">
        <v>32</v>
      </c>
      <c r="C1800" t="s">
        <v>61</v>
      </c>
      <c r="D1800" t="s">
        <v>54</v>
      </c>
      <c r="E1800" t="s">
        <v>19</v>
      </c>
      <c r="F1800" t="s">
        <v>24</v>
      </c>
      <c r="G1800" s="1">
        <v>45472</v>
      </c>
      <c r="H1800" t="s">
        <v>2970</v>
      </c>
      <c r="I1800">
        <v>2843232</v>
      </c>
      <c r="J1800">
        <v>236936</v>
      </c>
      <c r="K1800">
        <v>29414</v>
      </c>
      <c r="L1800">
        <v>19463</v>
      </c>
      <c r="M1800">
        <v>0.10050000000000001</v>
      </c>
      <c r="N1800">
        <v>-0.61899999999999999</v>
      </c>
      <c r="O1800">
        <v>1</v>
      </c>
      <c r="P1800" t="b">
        <f t="shared" si="57"/>
        <v>1</v>
      </c>
      <c r="Q1800" t="str">
        <f t="shared" si="56"/>
        <v>Negative</v>
      </c>
    </row>
    <row r="1801" spans="1:17" x14ac:dyDescent="0.3">
      <c r="A1801" t="s">
        <v>2971</v>
      </c>
      <c r="B1801" t="s">
        <v>16</v>
      </c>
      <c r="C1801" t="s">
        <v>28</v>
      </c>
      <c r="D1801" t="s">
        <v>54</v>
      </c>
      <c r="E1801" t="s">
        <v>51</v>
      </c>
      <c r="F1801" t="s">
        <v>34</v>
      </c>
      <c r="G1801" s="1">
        <v>45337</v>
      </c>
      <c r="H1801" t="s">
        <v>2972</v>
      </c>
      <c r="I1801">
        <v>1756242</v>
      </c>
      <c r="J1801">
        <v>97569</v>
      </c>
      <c r="K1801">
        <v>46955</v>
      </c>
      <c r="L1801">
        <v>2524</v>
      </c>
      <c r="M1801">
        <v>8.3699999999999997E-2</v>
      </c>
      <c r="N1801">
        <v>-0.64700000000000002</v>
      </c>
      <c r="O1801">
        <v>0</v>
      </c>
      <c r="P1801" t="b">
        <f t="shared" si="57"/>
        <v>0</v>
      </c>
      <c r="Q1801" t="str">
        <f t="shared" si="56"/>
        <v>Negative</v>
      </c>
    </row>
    <row r="1802" spans="1:17" x14ac:dyDescent="0.3">
      <c r="A1802" t="s">
        <v>2973</v>
      </c>
      <c r="B1802" t="s">
        <v>16</v>
      </c>
      <c r="C1802" t="s">
        <v>28</v>
      </c>
      <c r="D1802" t="s">
        <v>29</v>
      </c>
      <c r="E1802" t="s">
        <v>58</v>
      </c>
      <c r="F1802" t="s">
        <v>24</v>
      </c>
      <c r="G1802" s="1">
        <v>45307</v>
      </c>
      <c r="H1802" t="s">
        <v>2974</v>
      </c>
      <c r="I1802">
        <v>8753734</v>
      </c>
      <c r="J1802">
        <v>397897</v>
      </c>
      <c r="K1802">
        <v>11912</v>
      </c>
      <c r="L1802">
        <v>5610</v>
      </c>
      <c r="M1802">
        <v>4.7500000000000001E-2</v>
      </c>
      <c r="N1802">
        <v>-0.28999999999999998</v>
      </c>
      <c r="O1802">
        <v>1</v>
      </c>
      <c r="P1802" t="b">
        <f t="shared" si="57"/>
        <v>1</v>
      </c>
      <c r="Q1802" t="str">
        <f t="shared" si="56"/>
        <v>Negative</v>
      </c>
    </row>
    <row r="1803" spans="1:17" x14ac:dyDescent="0.3">
      <c r="A1803" t="s">
        <v>2975</v>
      </c>
      <c r="B1803" t="s">
        <v>66</v>
      </c>
      <c r="C1803" t="s">
        <v>23</v>
      </c>
      <c r="D1803" t="s">
        <v>54</v>
      </c>
      <c r="E1803" t="s">
        <v>38</v>
      </c>
      <c r="F1803" t="s">
        <v>34</v>
      </c>
      <c r="G1803" s="1">
        <v>45300</v>
      </c>
      <c r="H1803" t="s">
        <v>2353</v>
      </c>
      <c r="I1803">
        <v>161252</v>
      </c>
      <c r="J1803">
        <v>23036</v>
      </c>
      <c r="K1803">
        <v>42730</v>
      </c>
      <c r="L1803">
        <v>99525</v>
      </c>
      <c r="M1803">
        <v>1.0249999999999999</v>
      </c>
      <c r="N1803">
        <v>2E-3</v>
      </c>
      <c r="O1803">
        <v>0</v>
      </c>
      <c r="P1803" t="b">
        <f t="shared" si="57"/>
        <v>0</v>
      </c>
      <c r="Q1803" t="str">
        <f t="shared" si="56"/>
        <v>Positive</v>
      </c>
    </row>
    <row r="1804" spans="1:17" x14ac:dyDescent="0.3">
      <c r="A1804" t="s">
        <v>2976</v>
      </c>
      <c r="B1804" t="s">
        <v>27</v>
      </c>
      <c r="C1804" t="s">
        <v>61</v>
      </c>
      <c r="D1804" t="s">
        <v>73</v>
      </c>
      <c r="E1804" t="s">
        <v>58</v>
      </c>
      <c r="F1804" t="s">
        <v>34</v>
      </c>
      <c r="G1804" s="1">
        <v>45372</v>
      </c>
      <c r="H1804" t="s">
        <v>2977</v>
      </c>
      <c r="I1804">
        <v>10873776</v>
      </c>
      <c r="J1804">
        <v>453074</v>
      </c>
      <c r="K1804">
        <v>46062</v>
      </c>
      <c r="L1804">
        <v>12538</v>
      </c>
      <c r="M1804">
        <v>4.7100000000000003E-2</v>
      </c>
      <c r="N1804">
        <v>-0.68200000000000005</v>
      </c>
      <c r="O1804">
        <v>1</v>
      </c>
      <c r="P1804" t="b">
        <f t="shared" si="57"/>
        <v>1</v>
      </c>
      <c r="Q1804" t="str">
        <f t="shared" si="56"/>
        <v>Negative</v>
      </c>
    </row>
    <row r="1805" spans="1:17" x14ac:dyDescent="0.3">
      <c r="A1805" t="s">
        <v>2978</v>
      </c>
      <c r="B1805" t="s">
        <v>32</v>
      </c>
      <c r="C1805" t="s">
        <v>23</v>
      </c>
      <c r="D1805" t="s">
        <v>29</v>
      </c>
      <c r="E1805" t="s">
        <v>19</v>
      </c>
      <c r="F1805" t="s">
        <v>46</v>
      </c>
      <c r="G1805" s="1">
        <v>45479</v>
      </c>
      <c r="H1805" t="s">
        <v>30</v>
      </c>
      <c r="I1805">
        <v>3275397</v>
      </c>
      <c r="J1805">
        <v>121311</v>
      </c>
      <c r="K1805">
        <v>9068</v>
      </c>
      <c r="L1805">
        <v>835</v>
      </c>
      <c r="M1805">
        <v>4.0099999999999997E-2</v>
      </c>
      <c r="N1805">
        <v>0.78800000000000003</v>
      </c>
      <c r="O1805">
        <v>1</v>
      </c>
      <c r="P1805" t="b">
        <f t="shared" si="57"/>
        <v>1</v>
      </c>
      <c r="Q1805" t="str">
        <f t="shared" si="56"/>
        <v>Positive</v>
      </c>
    </row>
    <row r="1806" spans="1:17" x14ac:dyDescent="0.3">
      <c r="A1806" t="s">
        <v>2979</v>
      </c>
      <c r="B1806" t="s">
        <v>16</v>
      </c>
      <c r="C1806" t="s">
        <v>61</v>
      </c>
      <c r="D1806" t="s">
        <v>54</v>
      </c>
      <c r="E1806" t="s">
        <v>58</v>
      </c>
      <c r="F1806" t="s">
        <v>20</v>
      </c>
      <c r="G1806" s="1">
        <v>45490</v>
      </c>
      <c r="H1806" t="s">
        <v>354</v>
      </c>
      <c r="I1806">
        <v>6906816</v>
      </c>
      <c r="J1806">
        <v>493344</v>
      </c>
      <c r="K1806">
        <v>2418</v>
      </c>
      <c r="L1806">
        <v>9506</v>
      </c>
      <c r="M1806">
        <v>7.3200000000000001E-2</v>
      </c>
      <c r="N1806">
        <v>0.45800000000000002</v>
      </c>
      <c r="O1806">
        <v>1</v>
      </c>
      <c r="P1806" t="b">
        <f t="shared" si="57"/>
        <v>1</v>
      </c>
      <c r="Q1806" t="str">
        <f t="shared" si="56"/>
        <v>Positive</v>
      </c>
    </row>
    <row r="1807" spans="1:17" x14ac:dyDescent="0.3">
      <c r="A1807" t="s">
        <v>2980</v>
      </c>
      <c r="B1807" t="s">
        <v>32</v>
      </c>
      <c r="C1807" t="s">
        <v>17</v>
      </c>
      <c r="D1807" t="s">
        <v>37</v>
      </c>
      <c r="E1807" t="s">
        <v>51</v>
      </c>
      <c r="F1807" t="s">
        <v>46</v>
      </c>
      <c r="G1807" s="1">
        <v>45462</v>
      </c>
      <c r="H1807" t="s">
        <v>2981</v>
      </c>
      <c r="I1807">
        <v>3985520</v>
      </c>
      <c r="J1807">
        <v>199276</v>
      </c>
      <c r="K1807">
        <v>42103</v>
      </c>
      <c r="L1807">
        <v>58409</v>
      </c>
      <c r="M1807">
        <v>7.5200000000000003E-2</v>
      </c>
      <c r="N1807">
        <v>-0.625</v>
      </c>
      <c r="O1807">
        <v>1</v>
      </c>
      <c r="P1807" t="b">
        <f t="shared" si="57"/>
        <v>1</v>
      </c>
      <c r="Q1807" t="str">
        <f t="shared" si="56"/>
        <v>Negative</v>
      </c>
    </row>
    <row r="1808" spans="1:17" x14ac:dyDescent="0.3">
      <c r="A1808" t="s">
        <v>2982</v>
      </c>
      <c r="B1808" t="s">
        <v>16</v>
      </c>
      <c r="C1808" t="s">
        <v>61</v>
      </c>
      <c r="D1808" t="s">
        <v>73</v>
      </c>
      <c r="E1808" t="s">
        <v>41</v>
      </c>
      <c r="F1808" t="s">
        <v>34</v>
      </c>
      <c r="G1808" s="1">
        <v>45496</v>
      </c>
      <c r="H1808" t="s">
        <v>2983</v>
      </c>
      <c r="I1808">
        <v>6677772</v>
      </c>
      <c r="J1808">
        <v>230268</v>
      </c>
      <c r="K1808">
        <v>14200</v>
      </c>
      <c r="L1808">
        <v>65132</v>
      </c>
      <c r="M1808">
        <v>4.6399999999999997E-2</v>
      </c>
      <c r="N1808">
        <v>-7.1999999999999995E-2</v>
      </c>
      <c r="O1808">
        <v>1</v>
      </c>
      <c r="P1808" t="b">
        <f t="shared" si="57"/>
        <v>1</v>
      </c>
      <c r="Q1808" t="str">
        <f t="shared" si="56"/>
        <v>Negative</v>
      </c>
    </row>
    <row r="1809" spans="1:17" x14ac:dyDescent="0.3">
      <c r="A1809" t="s">
        <v>2984</v>
      </c>
      <c r="B1809" t="s">
        <v>66</v>
      </c>
      <c r="C1809" t="s">
        <v>17</v>
      </c>
      <c r="D1809" t="s">
        <v>73</v>
      </c>
      <c r="E1809" t="s">
        <v>38</v>
      </c>
      <c r="F1809" t="s">
        <v>55</v>
      </c>
      <c r="G1809" s="1">
        <v>45395</v>
      </c>
      <c r="H1809" t="s">
        <v>2985</v>
      </c>
      <c r="I1809">
        <v>1403448</v>
      </c>
      <c r="J1809">
        <v>116954</v>
      </c>
      <c r="K1809">
        <v>41299</v>
      </c>
      <c r="L1809">
        <v>58704</v>
      </c>
      <c r="M1809">
        <v>0.15459999999999999</v>
      </c>
      <c r="N1809">
        <v>-0.76900000000000002</v>
      </c>
      <c r="O1809">
        <v>0</v>
      </c>
      <c r="P1809" t="b">
        <f t="shared" si="57"/>
        <v>0</v>
      </c>
      <c r="Q1809" t="str">
        <f t="shared" si="56"/>
        <v>Negative</v>
      </c>
    </row>
    <row r="1810" spans="1:17" x14ac:dyDescent="0.3">
      <c r="A1810" t="s">
        <v>2986</v>
      </c>
      <c r="B1810" t="s">
        <v>16</v>
      </c>
      <c r="C1810" t="s">
        <v>17</v>
      </c>
      <c r="D1810" t="s">
        <v>37</v>
      </c>
      <c r="E1810" t="s">
        <v>51</v>
      </c>
      <c r="F1810" t="s">
        <v>55</v>
      </c>
      <c r="G1810" s="1">
        <v>45479</v>
      </c>
      <c r="H1810" t="s">
        <v>2987</v>
      </c>
      <c r="I1810">
        <v>8714575</v>
      </c>
      <c r="J1810">
        <v>348583</v>
      </c>
      <c r="K1810">
        <v>48119</v>
      </c>
      <c r="L1810">
        <v>89235</v>
      </c>
      <c r="M1810">
        <v>5.5800000000000002E-2</v>
      </c>
      <c r="N1810">
        <v>0.34599999999999997</v>
      </c>
      <c r="O1810">
        <v>1</v>
      </c>
      <c r="P1810" t="b">
        <f t="shared" si="57"/>
        <v>1</v>
      </c>
      <c r="Q1810" t="str">
        <f t="shared" si="56"/>
        <v>Positive</v>
      </c>
    </row>
    <row r="1811" spans="1:17" x14ac:dyDescent="0.3">
      <c r="A1811" t="s">
        <v>2988</v>
      </c>
      <c r="B1811" t="s">
        <v>27</v>
      </c>
      <c r="C1811" t="s">
        <v>23</v>
      </c>
      <c r="D1811" t="s">
        <v>54</v>
      </c>
      <c r="E1811" t="s">
        <v>41</v>
      </c>
      <c r="F1811" t="s">
        <v>34</v>
      </c>
      <c r="G1811" s="1">
        <v>45535</v>
      </c>
      <c r="H1811" t="s">
        <v>2321</v>
      </c>
      <c r="I1811">
        <v>1574062</v>
      </c>
      <c r="J1811">
        <v>112433</v>
      </c>
      <c r="K1811">
        <v>37797</v>
      </c>
      <c r="L1811">
        <v>45808</v>
      </c>
      <c r="M1811">
        <v>0.1245</v>
      </c>
      <c r="N1811">
        <v>-5.3999999999999999E-2</v>
      </c>
      <c r="O1811">
        <v>0</v>
      </c>
      <c r="P1811" t="b">
        <f t="shared" si="57"/>
        <v>0</v>
      </c>
      <c r="Q1811" t="str">
        <f t="shared" si="56"/>
        <v>Negative</v>
      </c>
    </row>
    <row r="1812" spans="1:17" x14ac:dyDescent="0.3">
      <c r="A1812" t="s">
        <v>2989</v>
      </c>
      <c r="B1812" t="s">
        <v>16</v>
      </c>
      <c r="C1812" t="s">
        <v>28</v>
      </c>
      <c r="D1812" t="s">
        <v>73</v>
      </c>
      <c r="E1812" t="s">
        <v>51</v>
      </c>
      <c r="F1812" t="s">
        <v>20</v>
      </c>
      <c r="G1812" s="1">
        <v>45327</v>
      </c>
      <c r="H1812" t="s">
        <v>2990</v>
      </c>
      <c r="I1812">
        <v>2044695</v>
      </c>
      <c r="J1812">
        <v>136313</v>
      </c>
      <c r="K1812">
        <v>38761</v>
      </c>
      <c r="L1812">
        <v>13778</v>
      </c>
      <c r="M1812">
        <v>9.2399999999999996E-2</v>
      </c>
      <c r="N1812">
        <v>0.80600000000000005</v>
      </c>
      <c r="O1812">
        <v>1</v>
      </c>
      <c r="P1812" t="b">
        <f t="shared" si="57"/>
        <v>1</v>
      </c>
      <c r="Q1812" t="str">
        <f t="shared" si="56"/>
        <v>Positive</v>
      </c>
    </row>
    <row r="1813" spans="1:17" x14ac:dyDescent="0.3">
      <c r="A1813" t="s">
        <v>2991</v>
      </c>
      <c r="B1813" t="s">
        <v>16</v>
      </c>
      <c r="C1813" t="s">
        <v>28</v>
      </c>
      <c r="D1813" t="s">
        <v>29</v>
      </c>
      <c r="E1813" t="s">
        <v>19</v>
      </c>
      <c r="F1813" t="s">
        <v>55</v>
      </c>
      <c r="G1813" s="1">
        <v>45415</v>
      </c>
      <c r="H1813" t="s">
        <v>936</v>
      </c>
      <c r="I1813">
        <v>4650945</v>
      </c>
      <c r="J1813">
        <v>310063</v>
      </c>
      <c r="K1813">
        <v>28474</v>
      </c>
      <c r="L1813">
        <v>3846</v>
      </c>
      <c r="M1813">
        <v>7.3599999999999999E-2</v>
      </c>
      <c r="N1813">
        <v>-0.318</v>
      </c>
      <c r="O1813">
        <v>1</v>
      </c>
      <c r="P1813" t="b">
        <f t="shared" si="57"/>
        <v>1</v>
      </c>
      <c r="Q1813" t="str">
        <f t="shared" si="56"/>
        <v>Negative</v>
      </c>
    </row>
    <row r="1814" spans="1:17" x14ac:dyDescent="0.3">
      <c r="A1814" t="s">
        <v>2992</v>
      </c>
      <c r="B1814" t="s">
        <v>16</v>
      </c>
      <c r="C1814" t="s">
        <v>61</v>
      </c>
      <c r="D1814" t="s">
        <v>54</v>
      </c>
      <c r="E1814" t="s">
        <v>41</v>
      </c>
      <c r="F1814" t="s">
        <v>55</v>
      </c>
      <c r="G1814" s="1">
        <v>45326</v>
      </c>
      <c r="H1814" t="s">
        <v>388</v>
      </c>
      <c r="I1814">
        <v>2544090</v>
      </c>
      <c r="J1814">
        <v>424015</v>
      </c>
      <c r="K1814">
        <v>44257</v>
      </c>
      <c r="L1814">
        <v>98683</v>
      </c>
      <c r="M1814">
        <v>0.22289999999999999</v>
      </c>
      <c r="N1814">
        <v>0.85699999999999998</v>
      </c>
      <c r="O1814">
        <v>1</v>
      </c>
      <c r="P1814" t="b">
        <f t="shared" si="57"/>
        <v>1</v>
      </c>
      <c r="Q1814" t="str">
        <f t="shared" si="56"/>
        <v>Positive</v>
      </c>
    </row>
    <row r="1815" spans="1:17" x14ac:dyDescent="0.3">
      <c r="A1815" t="s">
        <v>2993</v>
      </c>
      <c r="B1815" t="s">
        <v>32</v>
      </c>
      <c r="C1815" t="s">
        <v>28</v>
      </c>
      <c r="D1815" t="s">
        <v>73</v>
      </c>
      <c r="E1815" t="s">
        <v>19</v>
      </c>
      <c r="F1815" t="s">
        <v>55</v>
      </c>
      <c r="G1815" s="1">
        <v>45503</v>
      </c>
      <c r="H1815" t="s">
        <v>2994</v>
      </c>
      <c r="I1815">
        <v>4470662</v>
      </c>
      <c r="J1815">
        <v>319333</v>
      </c>
      <c r="K1815">
        <v>46433</v>
      </c>
      <c r="L1815">
        <v>16609</v>
      </c>
      <c r="M1815">
        <v>8.5500000000000007E-2</v>
      </c>
      <c r="N1815">
        <v>0.182</v>
      </c>
      <c r="O1815">
        <v>1</v>
      </c>
      <c r="P1815" t="b">
        <f t="shared" si="57"/>
        <v>1</v>
      </c>
      <c r="Q1815" t="str">
        <f t="shared" si="56"/>
        <v>Positive</v>
      </c>
    </row>
    <row r="1816" spans="1:17" x14ac:dyDescent="0.3">
      <c r="A1816" t="s">
        <v>2995</v>
      </c>
      <c r="B1816" t="s">
        <v>32</v>
      </c>
      <c r="C1816" t="s">
        <v>23</v>
      </c>
      <c r="D1816" t="s">
        <v>33</v>
      </c>
      <c r="E1816" t="s">
        <v>58</v>
      </c>
      <c r="F1816" t="s">
        <v>24</v>
      </c>
      <c r="G1816" s="1">
        <v>45323</v>
      </c>
      <c r="H1816" t="s">
        <v>725</v>
      </c>
      <c r="I1816">
        <v>2030756</v>
      </c>
      <c r="J1816">
        <v>78106</v>
      </c>
      <c r="K1816">
        <v>49868</v>
      </c>
      <c r="L1816">
        <v>87909</v>
      </c>
      <c r="M1816">
        <v>0.10630000000000001</v>
      </c>
      <c r="N1816">
        <v>-0.27100000000000002</v>
      </c>
      <c r="O1816">
        <v>1</v>
      </c>
      <c r="P1816" t="b">
        <f t="shared" si="57"/>
        <v>1</v>
      </c>
      <c r="Q1816" t="str">
        <f t="shared" si="56"/>
        <v>Negative</v>
      </c>
    </row>
    <row r="1817" spans="1:17" x14ac:dyDescent="0.3">
      <c r="A1817" t="s">
        <v>2996</v>
      </c>
      <c r="B1817" t="s">
        <v>66</v>
      </c>
      <c r="C1817" t="s">
        <v>61</v>
      </c>
      <c r="D1817" t="s">
        <v>18</v>
      </c>
      <c r="E1817" t="s">
        <v>58</v>
      </c>
      <c r="F1817" t="s">
        <v>55</v>
      </c>
      <c r="G1817" s="1">
        <v>45479</v>
      </c>
      <c r="H1817" t="s">
        <v>2099</v>
      </c>
      <c r="I1817">
        <v>1130010</v>
      </c>
      <c r="J1817">
        <v>226002</v>
      </c>
      <c r="K1817">
        <v>21635</v>
      </c>
      <c r="L1817">
        <v>12179</v>
      </c>
      <c r="M1817">
        <v>0.22989999999999999</v>
      </c>
      <c r="N1817">
        <v>0.42699999999999999</v>
      </c>
      <c r="O1817">
        <v>0</v>
      </c>
      <c r="P1817" t="b">
        <f t="shared" si="57"/>
        <v>0</v>
      </c>
      <c r="Q1817" t="str">
        <f t="shared" si="56"/>
        <v>Positive</v>
      </c>
    </row>
    <row r="1818" spans="1:17" x14ac:dyDescent="0.3">
      <c r="A1818" t="s">
        <v>2997</v>
      </c>
      <c r="B1818" t="s">
        <v>32</v>
      </c>
      <c r="C1818" t="s">
        <v>17</v>
      </c>
      <c r="D1818" t="s">
        <v>33</v>
      </c>
      <c r="E1818" t="s">
        <v>38</v>
      </c>
      <c r="F1818" t="s">
        <v>34</v>
      </c>
      <c r="G1818" s="1">
        <v>45606</v>
      </c>
      <c r="H1818" t="s">
        <v>2267</v>
      </c>
      <c r="I1818">
        <v>4408740</v>
      </c>
      <c r="J1818">
        <v>489860</v>
      </c>
      <c r="K1818">
        <v>46636</v>
      </c>
      <c r="L1818">
        <v>67360</v>
      </c>
      <c r="M1818">
        <v>0.13700000000000001</v>
      </c>
      <c r="N1818">
        <v>-0.79500000000000004</v>
      </c>
      <c r="O1818">
        <v>1</v>
      </c>
      <c r="P1818" t="b">
        <f t="shared" si="57"/>
        <v>1</v>
      </c>
      <c r="Q1818" t="str">
        <f t="shared" si="56"/>
        <v>Negative</v>
      </c>
    </row>
    <row r="1819" spans="1:17" x14ac:dyDescent="0.3">
      <c r="A1819" t="s">
        <v>2998</v>
      </c>
      <c r="B1819" t="s">
        <v>16</v>
      </c>
      <c r="C1819" t="s">
        <v>28</v>
      </c>
      <c r="D1819" t="s">
        <v>29</v>
      </c>
      <c r="E1819" t="s">
        <v>19</v>
      </c>
      <c r="F1819" t="s">
        <v>20</v>
      </c>
      <c r="G1819" s="1">
        <v>45430</v>
      </c>
      <c r="H1819" t="s">
        <v>82</v>
      </c>
      <c r="I1819">
        <v>3605615</v>
      </c>
      <c r="J1819">
        <v>277355</v>
      </c>
      <c r="K1819">
        <v>32317</v>
      </c>
      <c r="L1819">
        <v>24162</v>
      </c>
      <c r="M1819">
        <v>9.2600000000000002E-2</v>
      </c>
      <c r="N1819">
        <v>-0.71399999999999997</v>
      </c>
      <c r="O1819">
        <v>1</v>
      </c>
      <c r="P1819" t="b">
        <f t="shared" si="57"/>
        <v>1</v>
      </c>
      <c r="Q1819" t="str">
        <f t="shared" si="56"/>
        <v>Negative</v>
      </c>
    </row>
    <row r="1820" spans="1:17" x14ac:dyDescent="0.3">
      <c r="A1820" t="s">
        <v>2999</v>
      </c>
      <c r="B1820" t="s">
        <v>66</v>
      </c>
      <c r="C1820" t="s">
        <v>23</v>
      </c>
      <c r="D1820" t="s">
        <v>73</v>
      </c>
      <c r="E1820" t="s">
        <v>41</v>
      </c>
      <c r="F1820" t="s">
        <v>55</v>
      </c>
      <c r="G1820" s="1">
        <v>45551</v>
      </c>
      <c r="H1820" t="s">
        <v>3000</v>
      </c>
      <c r="I1820">
        <v>2480754</v>
      </c>
      <c r="J1820">
        <v>130566</v>
      </c>
      <c r="K1820">
        <v>1782</v>
      </c>
      <c r="L1820">
        <v>50375</v>
      </c>
      <c r="M1820">
        <v>7.3700000000000002E-2</v>
      </c>
      <c r="N1820">
        <v>-0.36099999999999999</v>
      </c>
      <c r="O1820">
        <v>1</v>
      </c>
      <c r="P1820" t="b">
        <f t="shared" si="57"/>
        <v>1</v>
      </c>
      <c r="Q1820" t="str">
        <f t="shared" si="56"/>
        <v>Negative</v>
      </c>
    </row>
    <row r="1821" spans="1:17" x14ac:dyDescent="0.3">
      <c r="A1821" t="s">
        <v>3001</v>
      </c>
      <c r="B1821" t="s">
        <v>27</v>
      </c>
      <c r="C1821" t="s">
        <v>61</v>
      </c>
      <c r="D1821" t="s">
        <v>54</v>
      </c>
      <c r="E1821" t="s">
        <v>19</v>
      </c>
      <c r="F1821" t="s">
        <v>46</v>
      </c>
      <c r="G1821" s="1">
        <v>45568</v>
      </c>
      <c r="H1821" t="s">
        <v>3002</v>
      </c>
      <c r="I1821">
        <v>6516045</v>
      </c>
      <c r="J1821">
        <v>241335</v>
      </c>
      <c r="K1821">
        <v>18166</v>
      </c>
      <c r="L1821">
        <v>7491</v>
      </c>
      <c r="M1821">
        <v>4.1000000000000002E-2</v>
      </c>
      <c r="N1821">
        <v>0.40400000000000003</v>
      </c>
      <c r="O1821">
        <v>1</v>
      </c>
      <c r="P1821" t="b">
        <f t="shared" si="57"/>
        <v>1</v>
      </c>
      <c r="Q1821" t="str">
        <f t="shared" si="56"/>
        <v>Positive</v>
      </c>
    </row>
    <row r="1822" spans="1:17" x14ac:dyDescent="0.3">
      <c r="A1822" t="s">
        <v>3003</v>
      </c>
      <c r="B1822" t="s">
        <v>66</v>
      </c>
      <c r="C1822" t="s">
        <v>61</v>
      </c>
      <c r="D1822" t="s">
        <v>73</v>
      </c>
      <c r="E1822" t="s">
        <v>51</v>
      </c>
      <c r="F1822" t="s">
        <v>20</v>
      </c>
      <c r="G1822" s="1">
        <v>45419</v>
      </c>
      <c r="H1822" t="s">
        <v>1550</v>
      </c>
      <c r="I1822">
        <v>1475595</v>
      </c>
      <c r="J1822">
        <v>98373</v>
      </c>
      <c r="K1822">
        <v>17714</v>
      </c>
      <c r="L1822">
        <v>58646</v>
      </c>
      <c r="M1822">
        <v>0.11840000000000001</v>
      </c>
      <c r="N1822">
        <v>0.40600000000000003</v>
      </c>
      <c r="O1822">
        <v>0</v>
      </c>
      <c r="P1822" t="b">
        <f t="shared" si="57"/>
        <v>0</v>
      </c>
      <c r="Q1822" t="str">
        <f t="shared" si="56"/>
        <v>Positive</v>
      </c>
    </row>
    <row r="1823" spans="1:17" x14ac:dyDescent="0.3">
      <c r="A1823" t="s">
        <v>3004</v>
      </c>
      <c r="B1823" t="s">
        <v>66</v>
      </c>
      <c r="C1823" t="s">
        <v>17</v>
      </c>
      <c r="D1823" t="s">
        <v>54</v>
      </c>
      <c r="E1823" t="s">
        <v>58</v>
      </c>
      <c r="F1823" t="s">
        <v>46</v>
      </c>
      <c r="G1823" s="1">
        <v>45295</v>
      </c>
      <c r="H1823" t="s">
        <v>482</v>
      </c>
      <c r="I1823">
        <v>7241652</v>
      </c>
      <c r="J1823">
        <v>402314</v>
      </c>
      <c r="K1823">
        <v>28911</v>
      </c>
      <c r="L1823">
        <v>70193</v>
      </c>
      <c r="M1823">
        <v>6.9199999999999998E-2</v>
      </c>
      <c r="N1823">
        <v>-0.23499999999999999</v>
      </c>
      <c r="O1823">
        <v>1</v>
      </c>
      <c r="P1823" t="b">
        <f t="shared" si="57"/>
        <v>1</v>
      </c>
      <c r="Q1823" t="str">
        <f t="shared" si="56"/>
        <v>Negative</v>
      </c>
    </row>
    <row r="1824" spans="1:17" x14ac:dyDescent="0.3">
      <c r="A1824" t="s">
        <v>3005</v>
      </c>
      <c r="B1824" t="s">
        <v>16</v>
      </c>
      <c r="C1824" t="s">
        <v>61</v>
      </c>
      <c r="D1824" t="s">
        <v>73</v>
      </c>
      <c r="E1824" t="s">
        <v>19</v>
      </c>
      <c r="F1824" t="s">
        <v>20</v>
      </c>
      <c r="G1824" s="1">
        <v>45358</v>
      </c>
      <c r="H1824" t="s">
        <v>3006</v>
      </c>
      <c r="I1824">
        <v>625452</v>
      </c>
      <c r="J1824">
        <v>52121</v>
      </c>
      <c r="K1824">
        <v>29097</v>
      </c>
      <c r="L1824">
        <v>1243</v>
      </c>
      <c r="M1824">
        <v>0.1318</v>
      </c>
      <c r="N1824">
        <v>-0.27400000000000002</v>
      </c>
      <c r="O1824">
        <v>0</v>
      </c>
      <c r="P1824" t="b">
        <f t="shared" si="57"/>
        <v>0</v>
      </c>
      <c r="Q1824" t="str">
        <f t="shared" si="56"/>
        <v>Negative</v>
      </c>
    </row>
    <row r="1825" spans="1:17" x14ac:dyDescent="0.3">
      <c r="A1825" t="s">
        <v>3007</v>
      </c>
      <c r="B1825" t="s">
        <v>16</v>
      </c>
      <c r="C1825" t="s">
        <v>17</v>
      </c>
      <c r="D1825" t="s">
        <v>18</v>
      </c>
      <c r="E1825" t="s">
        <v>41</v>
      </c>
      <c r="F1825" t="s">
        <v>55</v>
      </c>
      <c r="G1825" s="1">
        <v>45637</v>
      </c>
      <c r="H1825" t="s">
        <v>3008</v>
      </c>
      <c r="I1825">
        <v>1530522</v>
      </c>
      <c r="J1825">
        <v>72882</v>
      </c>
      <c r="K1825">
        <v>31472</v>
      </c>
      <c r="L1825">
        <v>18303</v>
      </c>
      <c r="M1825">
        <v>8.0100000000000005E-2</v>
      </c>
      <c r="N1825">
        <v>0.77700000000000002</v>
      </c>
      <c r="O1825">
        <v>0</v>
      </c>
      <c r="P1825" t="b">
        <f t="shared" si="57"/>
        <v>0</v>
      </c>
      <c r="Q1825" t="str">
        <f t="shared" si="56"/>
        <v>Positive</v>
      </c>
    </row>
    <row r="1826" spans="1:17" x14ac:dyDescent="0.3">
      <c r="A1826" t="s">
        <v>3009</v>
      </c>
      <c r="B1826" t="s">
        <v>66</v>
      </c>
      <c r="C1826" t="s">
        <v>23</v>
      </c>
      <c r="D1826" t="s">
        <v>33</v>
      </c>
      <c r="E1826" t="s">
        <v>58</v>
      </c>
      <c r="F1826" t="s">
        <v>34</v>
      </c>
      <c r="G1826" s="1">
        <v>45332</v>
      </c>
      <c r="H1826" t="s">
        <v>548</v>
      </c>
      <c r="I1826">
        <v>7697445</v>
      </c>
      <c r="J1826">
        <v>366545</v>
      </c>
      <c r="K1826">
        <v>10977</v>
      </c>
      <c r="L1826">
        <v>10684</v>
      </c>
      <c r="M1826">
        <v>5.04E-2</v>
      </c>
      <c r="N1826">
        <v>0.44700000000000001</v>
      </c>
      <c r="O1826">
        <v>1</v>
      </c>
      <c r="P1826" t="b">
        <f t="shared" si="57"/>
        <v>1</v>
      </c>
      <c r="Q1826" t="str">
        <f t="shared" si="56"/>
        <v>Positive</v>
      </c>
    </row>
    <row r="1827" spans="1:17" x14ac:dyDescent="0.3">
      <c r="A1827" t="s">
        <v>3010</v>
      </c>
      <c r="B1827" t="s">
        <v>27</v>
      </c>
      <c r="C1827" t="s">
        <v>28</v>
      </c>
      <c r="D1827" t="s">
        <v>37</v>
      </c>
      <c r="E1827" t="s">
        <v>51</v>
      </c>
      <c r="F1827" t="s">
        <v>34</v>
      </c>
      <c r="G1827" s="1">
        <v>45640</v>
      </c>
      <c r="H1827" t="s">
        <v>1656</v>
      </c>
      <c r="I1827">
        <v>1479096</v>
      </c>
      <c r="J1827">
        <v>164344</v>
      </c>
      <c r="K1827">
        <v>18110</v>
      </c>
      <c r="L1827">
        <v>64341</v>
      </c>
      <c r="M1827">
        <v>0.16689999999999999</v>
      </c>
      <c r="N1827">
        <v>-0.94099999999999995</v>
      </c>
      <c r="O1827">
        <v>0</v>
      </c>
      <c r="P1827" t="b">
        <f t="shared" si="57"/>
        <v>0</v>
      </c>
      <c r="Q1827" t="str">
        <f t="shared" si="56"/>
        <v>Negative</v>
      </c>
    </row>
    <row r="1828" spans="1:17" x14ac:dyDescent="0.3">
      <c r="A1828" t="s">
        <v>3011</v>
      </c>
      <c r="B1828" t="s">
        <v>66</v>
      </c>
      <c r="C1828" t="s">
        <v>61</v>
      </c>
      <c r="D1828" t="s">
        <v>33</v>
      </c>
      <c r="E1828" t="s">
        <v>51</v>
      </c>
      <c r="F1828" t="s">
        <v>34</v>
      </c>
      <c r="G1828" s="1">
        <v>45451</v>
      </c>
      <c r="H1828" t="s">
        <v>3012</v>
      </c>
      <c r="I1828">
        <v>4453643</v>
      </c>
      <c r="J1828">
        <v>261979</v>
      </c>
      <c r="K1828">
        <v>20599</v>
      </c>
      <c r="L1828">
        <v>76921</v>
      </c>
      <c r="M1828">
        <v>8.0699999999999994E-2</v>
      </c>
      <c r="N1828">
        <v>9.0999999999999998E-2</v>
      </c>
      <c r="O1828">
        <v>1</v>
      </c>
      <c r="P1828" t="b">
        <f t="shared" si="57"/>
        <v>1</v>
      </c>
      <c r="Q1828" t="str">
        <f t="shared" si="56"/>
        <v>Positive</v>
      </c>
    </row>
    <row r="1829" spans="1:17" x14ac:dyDescent="0.3">
      <c r="A1829" t="s">
        <v>3013</v>
      </c>
      <c r="B1829" t="s">
        <v>32</v>
      </c>
      <c r="C1829" t="s">
        <v>17</v>
      </c>
      <c r="D1829" t="s">
        <v>33</v>
      </c>
      <c r="E1829" t="s">
        <v>51</v>
      </c>
      <c r="F1829" t="s">
        <v>55</v>
      </c>
      <c r="G1829" s="1">
        <v>45554</v>
      </c>
      <c r="H1829" t="s">
        <v>3014</v>
      </c>
      <c r="I1829">
        <v>2937480</v>
      </c>
      <c r="J1829">
        <v>209820</v>
      </c>
      <c r="K1829">
        <v>31026</v>
      </c>
      <c r="L1829">
        <v>58760</v>
      </c>
      <c r="M1829">
        <v>0.10199999999999999</v>
      </c>
      <c r="N1829">
        <v>0.33700000000000002</v>
      </c>
      <c r="O1829">
        <v>1</v>
      </c>
      <c r="P1829" t="b">
        <f t="shared" si="57"/>
        <v>1</v>
      </c>
      <c r="Q1829" t="str">
        <f t="shared" si="56"/>
        <v>Positive</v>
      </c>
    </row>
    <row r="1830" spans="1:17" x14ac:dyDescent="0.3">
      <c r="A1830" t="s">
        <v>3015</v>
      </c>
      <c r="B1830" t="s">
        <v>66</v>
      </c>
      <c r="C1830" t="s">
        <v>28</v>
      </c>
      <c r="D1830" t="s">
        <v>54</v>
      </c>
      <c r="E1830" t="s">
        <v>41</v>
      </c>
      <c r="F1830" t="s">
        <v>24</v>
      </c>
      <c r="G1830" s="1">
        <v>45576</v>
      </c>
      <c r="H1830" t="s">
        <v>3016</v>
      </c>
      <c r="I1830">
        <v>7476416</v>
      </c>
      <c r="J1830">
        <v>467276</v>
      </c>
      <c r="K1830">
        <v>35015</v>
      </c>
      <c r="L1830">
        <v>54155</v>
      </c>
      <c r="M1830">
        <v>7.4399999999999994E-2</v>
      </c>
      <c r="N1830">
        <v>0.74299999999999999</v>
      </c>
      <c r="O1830">
        <v>1</v>
      </c>
      <c r="P1830" t="b">
        <f t="shared" si="57"/>
        <v>1</v>
      </c>
      <c r="Q1830" t="str">
        <f t="shared" si="56"/>
        <v>Positive</v>
      </c>
    </row>
    <row r="1831" spans="1:17" x14ac:dyDescent="0.3">
      <c r="A1831" t="s">
        <v>3017</v>
      </c>
      <c r="B1831" t="s">
        <v>16</v>
      </c>
      <c r="C1831" t="s">
        <v>23</v>
      </c>
      <c r="D1831" t="s">
        <v>33</v>
      </c>
      <c r="E1831" t="s">
        <v>58</v>
      </c>
      <c r="F1831" t="s">
        <v>55</v>
      </c>
      <c r="G1831" s="1">
        <v>45514</v>
      </c>
      <c r="H1831" t="s">
        <v>3018</v>
      </c>
      <c r="I1831">
        <v>6623240</v>
      </c>
      <c r="J1831">
        <v>254740</v>
      </c>
      <c r="K1831">
        <v>30941</v>
      </c>
      <c r="L1831">
        <v>78859</v>
      </c>
      <c r="M1831">
        <v>5.5E-2</v>
      </c>
      <c r="N1831">
        <v>-0.46500000000000002</v>
      </c>
      <c r="O1831">
        <v>1</v>
      </c>
      <c r="P1831" t="b">
        <f t="shared" si="57"/>
        <v>1</v>
      </c>
      <c r="Q1831" t="str">
        <f t="shared" si="56"/>
        <v>Negative</v>
      </c>
    </row>
    <row r="1832" spans="1:17" x14ac:dyDescent="0.3">
      <c r="A1832" t="s">
        <v>3019</v>
      </c>
      <c r="B1832" t="s">
        <v>27</v>
      </c>
      <c r="C1832" t="s">
        <v>23</v>
      </c>
      <c r="D1832" t="s">
        <v>33</v>
      </c>
      <c r="E1832" t="s">
        <v>58</v>
      </c>
      <c r="F1832" t="s">
        <v>34</v>
      </c>
      <c r="G1832" s="1">
        <v>45467</v>
      </c>
      <c r="H1832" t="s">
        <v>3020</v>
      </c>
      <c r="I1832">
        <v>114312</v>
      </c>
      <c r="J1832">
        <v>10392</v>
      </c>
      <c r="K1832">
        <v>26846</v>
      </c>
      <c r="L1832">
        <v>28366</v>
      </c>
      <c r="M1832">
        <v>0.57389999999999997</v>
      </c>
      <c r="N1832">
        <v>-0.749</v>
      </c>
      <c r="O1832">
        <v>0</v>
      </c>
      <c r="P1832" t="b">
        <f t="shared" si="57"/>
        <v>0</v>
      </c>
      <c r="Q1832" t="str">
        <f t="shared" si="56"/>
        <v>Negative</v>
      </c>
    </row>
    <row r="1833" spans="1:17" x14ac:dyDescent="0.3">
      <c r="A1833" t="s">
        <v>3021</v>
      </c>
      <c r="B1833" t="s">
        <v>32</v>
      </c>
      <c r="C1833" t="s">
        <v>23</v>
      </c>
      <c r="D1833" t="s">
        <v>37</v>
      </c>
      <c r="E1833" t="s">
        <v>41</v>
      </c>
      <c r="F1833" t="s">
        <v>55</v>
      </c>
      <c r="G1833" s="1">
        <v>45649</v>
      </c>
      <c r="H1833" t="s">
        <v>1518</v>
      </c>
      <c r="I1833">
        <v>368192</v>
      </c>
      <c r="J1833">
        <v>23012</v>
      </c>
      <c r="K1833">
        <v>36924</v>
      </c>
      <c r="L1833">
        <v>80772</v>
      </c>
      <c r="M1833">
        <v>0.38219999999999998</v>
      </c>
      <c r="N1833">
        <v>-0.505</v>
      </c>
      <c r="O1833">
        <v>0</v>
      </c>
      <c r="P1833" t="b">
        <f t="shared" si="57"/>
        <v>0</v>
      </c>
      <c r="Q1833" t="str">
        <f t="shared" si="56"/>
        <v>Negative</v>
      </c>
    </row>
    <row r="1834" spans="1:17" x14ac:dyDescent="0.3">
      <c r="A1834" t="s">
        <v>3022</v>
      </c>
      <c r="B1834" t="s">
        <v>27</v>
      </c>
      <c r="C1834" t="s">
        <v>61</v>
      </c>
      <c r="D1834" t="s">
        <v>73</v>
      </c>
      <c r="E1834" t="s">
        <v>38</v>
      </c>
      <c r="F1834" t="s">
        <v>34</v>
      </c>
      <c r="G1834" s="1">
        <v>45577</v>
      </c>
      <c r="H1834" t="s">
        <v>3023</v>
      </c>
      <c r="I1834">
        <v>4125920</v>
      </c>
      <c r="J1834">
        <v>412592</v>
      </c>
      <c r="K1834">
        <v>31928</v>
      </c>
      <c r="L1834">
        <v>5535</v>
      </c>
      <c r="M1834">
        <v>0.1091</v>
      </c>
      <c r="N1834">
        <v>0.64900000000000002</v>
      </c>
      <c r="O1834">
        <v>1</v>
      </c>
      <c r="P1834" t="b">
        <f t="shared" si="57"/>
        <v>1</v>
      </c>
      <c r="Q1834" t="str">
        <f t="shared" si="56"/>
        <v>Positive</v>
      </c>
    </row>
    <row r="1835" spans="1:17" x14ac:dyDescent="0.3">
      <c r="A1835" t="s">
        <v>3024</v>
      </c>
      <c r="B1835" t="s">
        <v>16</v>
      </c>
      <c r="C1835" t="s">
        <v>61</v>
      </c>
      <c r="D1835" t="s">
        <v>37</v>
      </c>
      <c r="E1835" t="s">
        <v>38</v>
      </c>
      <c r="F1835" t="s">
        <v>34</v>
      </c>
      <c r="G1835" s="1">
        <v>45549</v>
      </c>
      <c r="H1835" t="s">
        <v>3025</v>
      </c>
      <c r="I1835">
        <v>11842038</v>
      </c>
      <c r="J1835">
        <v>455463</v>
      </c>
      <c r="K1835">
        <v>32568</v>
      </c>
      <c r="L1835">
        <v>36487</v>
      </c>
      <c r="M1835">
        <v>4.4299999999999999E-2</v>
      </c>
      <c r="N1835">
        <v>-0.17199999999999999</v>
      </c>
      <c r="O1835">
        <v>1</v>
      </c>
      <c r="P1835" t="b">
        <f t="shared" si="57"/>
        <v>1</v>
      </c>
      <c r="Q1835" t="str">
        <f t="shared" si="56"/>
        <v>Negative</v>
      </c>
    </row>
    <row r="1836" spans="1:17" x14ac:dyDescent="0.3">
      <c r="A1836" t="s">
        <v>3026</v>
      </c>
      <c r="B1836" t="s">
        <v>16</v>
      </c>
      <c r="C1836" t="s">
        <v>23</v>
      </c>
      <c r="D1836" t="s">
        <v>37</v>
      </c>
      <c r="E1836" t="s">
        <v>51</v>
      </c>
      <c r="F1836" t="s">
        <v>20</v>
      </c>
      <c r="G1836" s="1">
        <v>45448</v>
      </c>
      <c r="H1836" t="s">
        <v>354</v>
      </c>
      <c r="I1836">
        <v>5221161</v>
      </c>
      <c r="J1836">
        <v>474651</v>
      </c>
      <c r="K1836">
        <v>26341</v>
      </c>
      <c r="L1836">
        <v>3642</v>
      </c>
      <c r="M1836">
        <v>9.6699999999999994E-2</v>
      </c>
      <c r="N1836">
        <v>3.5999999999999997E-2</v>
      </c>
      <c r="O1836">
        <v>1</v>
      </c>
      <c r="P1836" t="b">
        <f t="shared" si="57"/>
        <v>1</v>
      </c>
      <c r="Q1836" t="str">
        <f t="shared" si="56"/>
        <v>Positive</v>
      </c>
    </row>
    <row r="1837" spans="1:17" x14ac:dyDescent="0.3">
      <c r="A1837" t="s">
        <v>3027</v>
      </c>
      <c r="B1837" t="s">
        <v>66</v>
      </c>
      <c r="C1837" t="s">
        <v>28</v>
      </c>
      <c r="D1837" t="s">
        <v>18</v>
      </c>
      <c r="E1837" t="s">
        <v>38</v>
      </c>
      <c r="F1837" t="s">
        <v>46</v>
      </c>
      <c r="G1837" s="1">
        <v>45300</v>
      </c>
      <c r="H1837" t="s">
        <v>156</v>
      </c>
      <c r="I1837">
        <v>2508737</v>
      </c>
      <c r="J1837">
        <v>228067</v>
      </c>
      <c r="K1837">
        <v>21503</v>
      </c>
      <c r="L1837">
        <v>70199</v>
      </c>
      <c r="M1837">
        <v>0.1275</v>
      </c>
      <c r="N1837">
        <v>0.84199999999999997</v>
      </c>
      <c r="O1837">
        <v>1</v>
      </c>
      <c r="P1837" t="b">
        <f t="shared" si="57"/>
        <v>1</v>
      </c>
      <c r="Q1837" t="str">
        <f t="shared" si="56"/>
        <v>Positive</v>
      </c>
    </row>
    <row r="1838" spans="1:17" x14ac:dyDescent="0.3">
      <c r="A1838" t="s">
        <v>3028</v>
      </c>
      <c r="B1838" t="s">
        <v>16</v>
      </c>
      <c r="C1838" t="s">
        <v>61</v>
      </c>
      <c r="D1838" t="s">
        <v>73</v>
      </c>
      <c r="E1838" t="s">
        <v>38</v>
      </c>
      <c r="F1838" t="s">
        <v>24</v>
      </c>
      <c r="G1838" s="1">
        <v>45644</v>
      </c>
      <c r="H1838" t="s">
        <v>438</v>
      </c>
      <c r="I1838">
        <v>1974583</v>
      </c>
      <c r="J1838">
        <v>151891</v>
      </c>
      <c r="K1838">
        <v>24670</v>
      </c>
      <c r="L1838">
        <v>25033</v>
      </c>
      <c r="M1838">
        <v>0.1021</v>
      </c>
      <c r="N1838">
        <v>0.83899999999999997</v>
      </c>
      <c r="O1838">
        <v>0</v>
      </c>
      <c r="P1838" t="b">
        <f t="shared" si="57"/>
        <v>0</v>
      </c>
      <c r="Q1838" t="str">
        <f t="shared" si="56"/>
        <v>Positive</v>
      </c>
    </row>
    <row r="1839" spans="1:17" x14ac:dyDescent="0.3">
      <c r="A1839" t="s">
        <v>3029</v>
      </c>
      <c r="B1839" t="s">
        <v>16</v>
      </c>
      <c r="C1839" t="s">
        <v>61</v>
      </c>
      <c r="D1839" t="s">
        <v>29</v>
      </c>
      <c r="E1839" t="s">
        <v>58</v>
      </c>
      <c r="F1839" t="s">
        <v>46</v>
      </c>
      <c r="G1839" s="1">
        <v>45405</v>
      </c>
      <c r="H1839" t="s">
        <v>3030</v>
      </c>
      <c r="I1839">
        <v>1289600</v>
      </c>
      <c r="J1839">
        <v>161200</v>
      </c>
      <c r="K1839">
        <v>45499</v>
      </c>
      <c r="L1839">
        <v>54647</v>
      </c>
      <c r="M1839">
        <v>0.20269999999999999</v>
      </c>
      <c r="N1839">
        <v>0.69699999999999995</v>
      </c>
      <c r="O1839">
        <v>0</v>
      </c>
      <c r="P1839" t="b">
        <f t="shared" si="57"/>
        <v>0</v>
      </c>
      <c r="Q1839" t="str">
        <f t="shared" si="56"/>
        <v>Positive</v>
      </c>
    </row>
    <row r="1840" spans="1:17" x14ac:dyDescent="0.3">
      <c r="A1840" t="s">
        <v>3031</v>
      </c>
      <c r="B1840" t="s">
        <v>16</v>
      </c>
      <c r="C1840" t="s">
        <v>23</v>
      </c>
      <c r="D1840" t="s">
        <v>54</v>
      </c>
      <c r="E1840" t="s">
        <v>38</v>
      </c>
      <c r="F1840" t="s">
        <v>46</v>
      </c>
      <c r="G1840" s="1">
        <v>45632</v>
      </c>
      <c r="H1840" t="s">
        <v>1835</v>
      </c>
      <c r="I1840">
        <v>966399</v>
      </c>
      <c r="J1840">
        <v>56847</v>
      </c>
      <c r="K1840">
        <v>45717</v>
      </c>
      <c r="L1840">
        <v>6274</v>
      </c>
      <c r="M1840">
        <v>0.11260000000000001</v>
      </c>
      <c r="N1840">
        <v>0.25900000000000001</v>
      </c>
      <c r="O1840">
        <v>0</v>
      </c>
      <c r="P1840" t="b">
        <f t="shared" si="57"/>
        <v>0</v>
      </c>
      <c r="Q1840" t="str">
        <f t="shared" si="56"/>
        <v>Positive</v>
      </c>
    </row>
    <row r="1841" spans="1:17" x14ac:dyDescent="0.3">
      <c r="A1841" t="s">
        <v>3032</v>
      </c>
      <c r="B1841" t="s">
        <v>16</v>
      </c>
      <c r="C1841" t="s">
        <v>17</v>
      </c>
      <c r="D1841" t="s">
        <v>33</v>
      </c>
      <c r="E1841" t="s">
        <v>51</v>
      </c>
      <c r="F1841" t="s">
        <v>20</v>
      </c>
      <c r="G1841" s="1">
        <v>45575</v>
      </c>
      <c r="H1841" t="s">
        <v>659</v>
      </c>
      <c r="I1841">
        <v>6395343</v>
      </c>
      <c r="J1841">
        <v>336597</v>
      </c>
      <c r="K1841">
        <v>28960</v>
      </c>
      <c r="L1841">
        <v>92092</v>
      </c>
      <c r="M1841">
        <v>7.1599999999999997E-2</v>
      </c>
      <c r="N1841">
        <v>-0.67100000000000004</v>
      </c>
      <c r="O1841">
        <v>1</v>
      </c>
      <c r="P1841" t="b">
        <f t="shared" si="57"/>
        <v>1</v>
      </c>
      <c r="Q1841" t="str">
        <f t="shared" si="56"/>
        <v>Negative</v>
      </c>
    </row>
    <row r="1842" spans="1:17" x14ac:dyDescent="0.3">
      <c r="A1842" t="s">
        <v>3033</v>
      </c>
      <c r="B1842" t="s">
        <v>16</v>
      </c>
      <c r="C1842" t="s">
        <v>61</v>
      </c>
      <c r="D1842" t="s">
        <v>29</v>
      </c>
      <c r="E1842" t="s">
        <v>19</v>
      </c>
      <c r="F1842" t="s">
        <v>20</v>
      </c>
      <c r="G1842" s="1">
        <v>45596</v>
      </c>
      <c r="H1842" t="s">
        <v>757</v>
      </c>
      <c r="I1842">
        <v>3448508</v>
      </c>
      <c r="J1842">
        <v>246322</v>
      </c>
      <c r="K1842">
        <v>17957</v>
      </c>
      <c r="L1842">
        <v>11540</v>
      </c>
      <c r="M1842">
        <v>0.08</v>
      </c>
      <c r="N1842">
        <v>0.32800000000000001</v>
      </c>
      <c r="O1842">
        <v>1</v>
      </c>
      <c r="P1842" t="b">
        <f t="shared" si="57"/>
        <v>1</v>
      </c>
      <c r="Q1842" t="str">
        <f t="shared" si="56"/>
        <v>Positive</v>
      </c>
    </row>
    <row r="1843" spans="1:17" x14ac:dyDescent="0.3">
      <c r="A1843" t="s">
        <v>3034</v>
      </c>
      <c r="B1843" t="s">
        <v>32</v>
      </c>
      <c r="C1843" t="s">
        <v>28</v>
      </c>
      <c r="D1843" t="s">
        <v>18</v>
      </c>
      <c r="E1843" t="s">
        <v>38</v>
      </c>
      <c r="F1843" t="s">
        <v>20</v>
      </c>
      <c r="G1843" s="1">
        <v>45356</v>
      </c>
      <c r="H1843" t="s">
        <v>340</v>
      </c>
      <c r="I1843">
        <v>9539440</v>
      </c>
      <c r="J1843">
        <v>476972</v>
      </c>
      <c r="K1843">
        <v>13339</v>
      </c>
      <c r="L1843">
        <v>28616</v>
      </c>
      <c r="M1843">
        <v>5.4399999999999997E-2</v>
      </c>
      <c r="N1843">
        <v>0.35499999999999998</v>
      </c>
      <c r="O1843">
        <v>1</v>
      </c>
      <c r="P1843" t="b">
        <f t="shared" si="57"/>
        <v>1</v>
      </c>
      <c r="Q1843" t="str">
        <f t="shared" si="56"/>
        <v>Positive</v>
      </c>
    </row>
    <row r="1844" spans="1:17" x14ac:dyDescent="0.3">
      <c r="A1844" t="s">
        <v>3035</v>
      </c>
      <c r="B1844" t="s">
        <v>66</v>
      </c>
      <c r="C1844" t="s">
        <v>28</v>
      </c>
      <c r="D1844" t="s">
        <v>54</v>
      </c>
      <c r="E1844" t="s">
        <v>51</v>
      </c>
      <c r="F1844" t="s">
        <v>34</v>
      </c>
      <c r="G1844" s="1">
        <v>45452</v>
      </c>
      <c r="H1844" t="s">
        <v>142</v>
      </c>
      <c r="I1844">
        <v>1452700</v>
      </c>
      <c r="J1844">
        <v>58108</v>
      </c>
      <c r="K1844">
        <v>17745</v>
      </c>
      <c r="L1844">
        <v>99319</v>
      </c>
      <c r="M1844">
        <v>0.1206</v>
      </c>
      <c r="N1844">
        <v>0.16300000000000001</v>
      </c>
      <c r="O1844">
        <v>0</v>
      </c>
      <c r="P1844" t="b">
        <f t="shared" si="57"/>
        <v>0</v>
      </c>
      <c r="Q1844" t="str">
        <f t="shared" si="56"/>
        <v>Positive</v>
      </c>
    </row>
    <row r="1845" spans="1:17" x14ac:dyDescent="0.3">
      <c r="A1845" t="s">
        <v>3036</v>
      </c>
      <c r="B1845" t="s">
        <v>27</v>
      </c>
      <c r="C1845" t="s">
        <v>23</v>
      </c>
      <c r="D1845" t="s">
        <v>73</v>
      </c>
      <c r="E1845" t="s">
        <v>19</v>
      </c>
      <c r="F1845" t="s">
        <v>24</v>
      </c>
      <c r="G1845" s="1">
        <v>45415</v>
      </c>
      <c r="H1845" t="s">
        <v>340</v>
      </c>
      <c r="I1845">
        <v>1752400</v>
      </c>
      <c r="J1845">
        <v>67400</v>
      </c>
      <c r="K1845">
        <v>6014</v>
      </c>
      <c r="L1845">
        <v>20843</v>
      </c>
      <c r="M1845">
        <v>5.3800000000000001E-2</v>
      </c>
      <c r="N1845">
        <v>0.20100000000000001</v>
      </c>
      <c r="O1845">
        <v>0</v>
      </c>
      <c r="P1845" t="b">
        <f t="shared" si="57"/>
        <v>0</v>
      </c>
      <c r="Q1845" t="str">
        <f t="shared" si="56"/>
        <v>Positive</v>
      </c>
    </row>
    <row r="1846" spans="1:17" x14ac:dyDescent="0.3">
      <c r="A1846" t="s">
        <v>3037</v>
      </c>
      <c r="B1846" t="s">
        <v>27</v>
      </c>
      <c r="C1846" t="s">
        <v>23</v>
      </c>
      <c r="D1846" t="s">
        <v>29</v>
      </c>
      <c r="E1846" t="s">
        <v>19</v>
      </c>
      <c r="F1846" t="s">
        <v>20</v>
      </c>
      <c r="G1846" s="1">
        <v>45343</v>
      </c>
      <c r="H1846" t="s">
        <v>1119</v>
      </c>
      <c r="I1846">
        <v>2278633</v>
      </c>
      <c r="J1846">
        <v>99071</v>
      </c>
      <c r="K1846">
        <v>3375</v>
      </c>
      <c r="L1846">
        <v>38745</v>
      </c>
      <c r="M1846">
        <v>6.2E-2</v>
      </c>
      <c r="N1846">
        <v>-0.50700000000000001</v>
      </c>
      <c r="O1846">
        <v>1</v>
      </c>
      <c r="P1846" t="b">
        <f t="shared" si="57"/>
        <v>1</v>
      </c>
      <c r="Q1846" t="str">
        <f t="shared" si="56"/>
        <v>Negative</v>
      </c>
    </row>
    <row r="1847" spans="1:17" x14ac:dyDescent="0.3">
      <c r="A1847" t="s">
        <v>3038</v>
      </c>
      <c r="B1847" t="s">
        <v>27</v>
      </c>
      <c r="C1847" t="s">
        <v>23</v>
      </c>
      <c r="D1847" t="s">
        <v>73</v>
      </c>
      <c r="E1847" t="s">
        <v>41</v>
      </c>
      <c r="F1847" t="s">
        <v>24</v>
      </c>
      <c r="G1847" s="1">
        <v>45482</v>
      </c>
      <c r="H1847" t="s">
        <v>1292</v>
      </c>
      <c r="I1847">
        <v>1463530</v>
      </c>
      <c r="J1847">
        <v>86090</v>
      </c>
      <c r="K1847">
        <v>41386</v>
      </c>
      <c r="L1847">
        <v>3651</v>
      </c>
      <c r="M1847">
        <v>8.9599999999999999E-2</v>
      </c>
      <c r="N1847">
        <v>-0.46800000000000003</v>
      </c>
      <c r="O1847">
        <v>0</v>
      </c>
      <c r="P1847" t="b">
        <f t="shared" si="57"/>
        <v>0</v>
      </c>
      <c r="Q1847" t="str">
        <f t="shared" si="56"/>
        <v>Negative</v>
      </c>
    </row>
    <row r="1848" spans="1:17" x14ac:dyDescent="0.3">
      <c r="A1848" t="s">
        <v>3039</v>
      </c>
      <c r="B1848" t="s">
        <v>27</v>
      </c>
      <c r="C1848" t="s">
        <v>61</v>
      </c>
      <c r="D1848" t="s">
        <v>73</v>
      </c>
      <c r="E1848" t="s">
        <v>38</v>
      </c>
      <c r="F1848" t="s">
        <v>24</v>
      </c>
      <c r="G1848" s="1">
        <v>45352</v>
      </c>
      <c r="H1848" t="s">
        <v>144</v>
      </c>
      <c r="I1848">
        <v>3185208</v>
      </c>
      <c r="J1848">
        <v>265434</v>
      </c>
      <c r="K1848">
        <v>48118</v>
      </c>
      <c r="L1848">
        <v>8790</v>
      </c>
      <c r="M1848">
        <v>0.1012</v>
      </c>
      <c r="N1848">
        <v>-0.17299999999999999</v>
      </c>
      <c r="O1848">
        <v>1</v>
      </c>
      <c r="P1848" t="b">
        <f t="shared" si="57"/>
        <v>1</v>
      </c>
      <c r="Q1848" t="str">
        <f t="shared" si="56"/>
        <v>Negative</v>
      </c>
    </row>
    <row r="1849" spans="1:17" x14ac:dyDescent="0.3">
      <c r="A1849" t="s">
        <v>3040</v>
      </c>
      <c r="B1849" t="s">
        <v>32</v>
      </c>
      <c r="C1849" t="s">
        <v>23</v>
      </c>
      <c r="D1849" t="s">
        <v>33</v>
      </c>
      <c r="E1849" t="s">
        <v>51</v>
      </c>
      <c r="F1849" t="s">
        <v>55</v>
      </c>
      <c r="G1849" s="1">
        <v>45623</v>
      </c>
      <c r="H1849" t="s">
        <v>3041</v>
      </c>
      <c r="I1849">
        <v>3498390</v>
      </c>
      <c r="J1849">
        <v>166590</v>
      </c>
      <c r="K1849">
        <v>46373</v>
      </c>
      <c r="L1849">
        <v>47086</v>
      </c>
      <c r="M1849">
        <v>7.4300000000000005E-2</v>
      </c>
      <c r="N1849">
        <v>0.98099999999999998</v>
      </c>
      <c r="O1849">
        <v>1</v>
      </c>
      <c r="P1849" t="b">
        <f t="shared" si="57"/>
        <v>1</v>
      </c>
      <c r="Q1849" t="str">
        <f t="shared" si="56"/>
        <v>Positive</v>
      </c>
    </row>
    <row r="1850" spans="1:17" x14ac:dyDescent="0.3">
      <c r="A1850" t="s">
        <v>3042</v>
      </c>
      <c r="B1850" t="s">
        <v>27</v>
      </c>
      <c r="C1850" t="s">
        <v>17</v>
      </c>
      <c r="D1850" t="s">
        <v>18</v>
      </c>
      <c r="E1850" t="s">
        <v>41</v>
      </c>
      <c r="F1850" t="s">
        <v>46</v>
      </c>
      <c r="G1850" s="1">
        <v>45620</v>
      </c>
      <c r="H1850" t="s">
        <v>334</v>
      </c>
      <c r="I1850">
        <v>5078140</v>
      </c>
      <c r="J1850">
        <v>253907</v>
      </c>
      <c r="K1850">
        <v>27890</v>
      </c>
      <c r="L1850">
        <v>87422</v>
      </c>
      <c r="M1850">
        <v>7.2700000000000001E-2</v>
      </c>
      <c r="N1850">
        <v>-0.113</v>
      </c>
      <c r="O1850">
        <v>1</v>
      </c>
      <c r="P1850" t="b">
        <f t="shared" si="57"/>
        <v>1</v>
      </c>
      <c r="Q1850" t="str">
        <f t="shared" si="56"/>
        <v>Negative</v>
      </c>
    </row>
    <row r="1851" spans="1:17" x14ac:dyDescent="0.3">
      <c r="A1851" t="s">
        <v>3043</v>
      </c>
      <c r="B1851" t="s">
        <v>66</v>
      </c>
      <c r="C1851" t="s">
        <v>17</v>
      </c>
      <c r="D1851" t="s">
        <v>18</v>
      </c>
      <c r="E1851" t="s">
        <v>51</v>
      </c>
      <c r="F1851" t="s">
        <v>46</v>
      </c>
      <c r="G1851" s="1">
        <v>45383</v>
      </c>
      <c r="H1851" t="s">
        <v>3044</v>
      </c>
      <c r="I1851">
        <v>4163019</v>
      </c>
      <c r="J1851">
        <v>198239</v>
      </c>
      <c r="K1851">
        <v>5486</v>
      </c>
      <c r="L1851">
        <v>23933</v>
      </c>
      <c r="M1851">
        <v>5.4699999999999999E-2</v>
      </c>
      <c r="N1851">
        <v>9.8000000000000004E-2</v>
      </c>
      <c r="O1851">
        <v>1</v>
      </c>
      <c r="P1851" t="b">
        <f t="shared" si="57"/>
        <v>1</v>
      </c>
      <c r="Q1851" t="str">
        <f t="shared" si="56"/>
        <v>Positive</v>
      </c>
    </row>
    <row r="1852" spans="1:17" x14ac:dyDescent="0.3">
      <c r="A1852" t="s">
        <v>3045</v>
      </c>
      <c r="B1852" t="s">
        <v>27</v>
      </c>
      <c r="C1852" t="s">
        <v>28</v>
      </c>
      <c r="D1852" t="s">
        <v>37</v>
      </c>
      <c r="E1852" t="s">
        <v>19</v>
      </c>
      <c r="F1852" t="s">
        <v>34</v>
      </c>
      <c r="G1852" s="1">
        <v>45607</v>
      </c>
      <c r="H1852" t="s">
        <v>3046</v>
      </c>
      <c r="I1852">
        <v>1809300</v>
      </c>
      <c r="J1852">
        <v>90465</v>
      </c>
      <c r="K1852">
        <v>19937</v>
      </c>
      <c r="L1852">
        <v>38932</v>
      </c>
      <c r="M1852">
        <v>8.2500000000000004E-2</v>
      </c>
      <c r="N1852">
        <v>-0.88</v>
      </c>
      <c r="O1852">
        <v>0</v>
      </c>
      <c r="P1852" t="b">
        <f t="shared" si="57"/>
        <v>0</v>
      </c>
      <c r="Q1852" t="str">
        <f t="shared" si="56"/>
        <v>Negative</v>
      </c>
    </row>
    <row r="1853" spans="1:17" x14ac:dyDescent="0.3">
      <c r="A1853" t="s">
        <v>3047</v>
      </c>
      <c r="B1853" t="s">
        <v>16</v>
      </c>
      <c r="C1853" t="s">
        <v>17</v>
      </c>
      <c r="D1853" t="s">
        <v>29</v>
      </c>
      <c r="E1853" t="s">
        <v>41</v>
      </c>
      <c r="F1853" t="s">
        <v>24</v>
      </c>
      <c r="G1853" s="1">
        <v>45636</v>
      </c>
      <c r="H1853" t="s">
        <v>1701</v>
      </c>
      <c r="I1853">
        <v>2551176</v>
      </c>
      <c r="J1853">
        <v>212598</v>
      </c>
      <c r="K1853">
        <v>18812</v>
      </c>
      <c r="L1853">
        <v>11768</v>
      </c>
      <c r="M1853">
        <v>9.5299999999999996E-2</v>
      </c>
      <c r="N1853">
        <v>-0.371</v>
      </c>
      <c r="O1853">
        <v>1</v>
      </c>
      <c r="P1853" t="b">
        <f t="shared" si="57"/>
        <v>1</v>
      </c>
      <c r="Q1853" t="str">
        <f t="shared" si="56"/>
        <v>Negative</v>
      </c>
    </row>
    <row r="1854" spans="1:17" x14ac:dyDescent="0.3">
      <c r="A1854" t="s">
        <v>3048</v>
      </c>
      <c r="B1854" t="s">
        <v>66</v>
      </c>
      <c r="C1854" t="s">
        <v>23</v>
      </c>
      <c r="D1854" t="s">
        <v>54</v>
      </c>
      <c r="E1854" t="s">
        <v>38</v>
      </c>
      <c r="F1854" t="s">
        <v>20</v>
      </c>
      <c r="G1854" s="1">
        <v>45655</v>
      </c>
      <c r="H1854" t="s">
        <v>3049</v>
      </c>
      <c r="I1854">
        <v>125120</v>
      </c>
      <c r="J1854">
        <v>15640</v>
      </c>
      <c r="K1854">
        <v>35681</v>
      </c>
      <c r="L1854">
        <v>70249</v>
      </c>
      <c r="M1854">
        <v>0.97160000000000002</v>
      </c>
      <c r="N1854">
        <v>-0.90400000000000003</v>
      </c>
      <c r="O1854">
        <v>0</v>
      </c>
      <c r="P1854" t="b">
        <f t="shared" si="57"/>
        <v>0</v>
      </c>
      <c r="Q1854" t="str">
        <f t="shared" si="56"/>
        <v>Negative</v>
      </c>
    </row>
    <row r="1855" spans="1:17" x14ac:dyDescent="0.3">
      <c r="A1855" t="s">
        <v>3050</v>
      </c>
      <c r="B1855" t="s">
        <v>32</v>
      </c>
      <c r="C1855" t="s">
        <v>28</v>
      </c>
      <c r="D1855" t="s">
        <v>29</v>
      </c>
      <c r="E1855" t="s">
        <v>58</v>
      </c>
      <c r="F1855" t="s">
        <v>24</v>
      </c>
      <c r="G1855" s="1">
        <v>45387</v>
      </c>
      <c r="H1855" t="s">
        <v>1576</v>
      </c>
      <c r="I1855">
        <v>6743061</v>
      </c>
      <c r="J1855">
        <v>249743</v>
      </c>
      <c r="K1855">
        <v>19904</v>
      </c>
      <c r="L1855">
        <v>19788</v>
      </c>
      <c r="M1855">
        <v>4.2900000000000001E-2</v>
      </c>
      <c r="N1855">
        <v>-0.20799999999999999</v>
      </c>
      <c r="O1855">
        <v>1</v>
      </c>
      <c r="P1855" t="b">
        <f t="shared" si="57"/>
        <v>1</v>
      </c>
      <c r="Q1855" t="str">
        <f t="shared" si="56"/>
        <v>Negative</v>
      </c>
    </row>
    <row r="1856" spans="1:17" x14ac:dyDescent="0.3">
      <c r="A1856" t="s">
        <v>3051</v>
      </c>
      <c r="B1856" t="s">
        <v>27</v>
      </c>
      <c r="C1856" t="s">
        <v>61</v>
      </c>
      <c r="D1856" t="s">
        <v>29</v>
      </c>
      <c r="E1856" t="s">
        <v>38</v>
      </c>
      <c r="F1856" t="s">
        <v>24</v>
      </c>
      <c r="G1856" s="1">
        <v>45637</v>
      </c>
      <c r="H1856" t="s">
        <v>3052</v>
      </c>
      <c r="I1856">
        <v>5174640</v>
      </c>
      <c r="J1856">
        <v>258732</v>
      </c>
      <c r="K1856">
        <v>10155</v>
      </c>
      <c r="L1856">
        <v>85930</v>
      </c>
      <c r="M1856">
        <v>6.8599999999999994E-2</v>
      </c>
      <c r="N1856">
        <v>-0.22900000000000001</v>
      </c>
      <c r="O1856">
        <v>1</v>
      </c>
      <c r="P1856" t="b">
        <f t="shared" si="57"/>
        <v>1</v>
      </c>
      <c r="Q1856" t="str">
        <f t="shared" si="56"/>
        <v>Negative</v>
      </c>
    </row>
    <row r="1857" spans="1:17" x14ac:dyDescent="0.3">
      <c r="A1857" t="s">
        <v>3053</v>
      </c>
      <c r="B1857" t="s">
        <v>16</v>
      </c>
      <c r="C1857" t="s">
        <v>28</v>
      </c>
      <c r="D1857" t="s">
        <v>29</v>
      </c>
      <c r="E1857" t="s">
        <v>38</v>
      </c>
      <c r="F1857" t="s">
        <v>20</v>
      </c>
      <c r="G1857" s="1">
        <v>45574</v>
      </c>
      <c r="H1857" t="s">
        <v>3054</v>
      </c>
      <c r="I1857">
        <v>893684</v>
      </c>
      <c r="J1857">
        <v>47036</v>
      </c>
      <c r="K1857">
        <v>27755</v>
      </c>
      <c r="L1857">
        <v>8594</v>
      </c>
      <c r="M1857">
        <v>9.3299999999999994E-2</v>
      </c>
      <c r="N1857">
        <v>0.01</v>
      </c>
      <c r="O1857">
        <v>0</v>
      </c>
      <c r="P1857" t="b">
        <f t="shared" si="57"/>
        <v>0</v>
      </c>
      <c r="Q1857" t="str">
        <f t="shared" si="56"/>
        <v>Positive</v>
      </c>
    </row>
    <row r="1858" spans="1:17" x14ac:dyDescent="0.3">
      <c r="A1858" t="s">
        <v>3055</v>
      </c>
      <c r="B1858" t="s">
        <v>16</v>
      </c>
      <c r="C1858" t="s">
        <v>23</v>
      </c>
      <c r="D1858" t="s">
        <v>54</v>
      </c>
      <c r="E1858" t="s">
        <v>58</v>
      </c>
      <c r="F1858" t="s">
        <v>20</v>
      </c>
      <c r="G1858" s="1">
        <v>45296</v>
      </c>
      <c r="H1858" t="s">
        <v>3056</v>
      </c>
      <c r="I1858">
        <v>9209016</v>
      </c>
      <c r="J1858">
        <v>383709</v>
      </c>
      <c r="K1858">
        <v>24816</v>
      </c>
      <c r="L1858">
        <v>28075</v>
      </c>
      <c r="M1858">
        <v>4.7399999999999998E-2</v>
      </c>
      <c r="N1858">
        <v>-0.88400000000000001</v>
      </c>
      <c r="O1858">
        <v>1</v>
      </c>
      <c r="P1858" t="b">
        <f t="shared" si="57"/>
        <v>1</v>
      </c>
      <c r="Q1858" t="str">
        <f t="shared" ref="Q1858:Q1921" si="58">IF(N1858&gt;0,"Positive","Negative")</f>
        <v>Negative</v>
      </c>
    </row>
    <row r="1859" spans="1:17" x14ac:dyDescent="0.3">
      <c r="A1859" t="s">
        <v>3057</v>
      </c>
      <c r="B1859" t="s">
        <v>32</v>
      </c>
      <c r="C1859" t="s">
        <v>28</v>
      </c>
      <c r="D1859" t="s">
        <v>73</v>
      </c>
      <c r="E1859" t="s">
        <v>58</v>
      </c>
      <c r="F1859" t="s">
        <v>20</v>
      </c>
      <c r="G1859" s="1">
        <v>45523</v>
      </c>
      <c r="H1859" t="s">
        <v>3058</v>
      </c>
      <c r="I1859">
        <v>8383813</v>
      </c>
      <c r="J1859">
        <v>289097</v>
      </c>
      <c r="K1859">
        <v>8188</v>
      </c>
      <c r="L1859">
        <v>20662</v>
      </c>
      <c r="M1859">
        <v>3.7900000000000003E-2</v>
      </c>
      <c r="N1859">
        <v>-0.68600000000000005</v>
      </c>
      <c r="O1859">
        <v>1</v>
      </c>
      <c r="P1859" t="b">
        <f t="shared" ref="P1859:P1922" si="59">IF(O1859=1,TRUE,FALSE)</f>
        <v>1</v>
      </c>
      <c r="Q1859" t="str">
        <f t="shared" si="58"/>
        <v>Negative</v>
      </c>
    </row>
    <row r="1860" spans="1:17" x14ac:dyDescent="0.3">
      <c r="A1860" t="s">
        <v>3059</v>
      </c>
      <c r="B1860" t="s">
        <v>32</v>
      </c>
      <c r="C1860" t="s">
        <v>23</v>
      </c>
      <c r="D1860" t="s">
        <v>73</v>
      </c>
      <c r="E1860" t="s">
        <v>58</v>
      </c>
      <c r="F1860" t="s">
        <v>20</v>
      </c>
      <c r="G1860" s="1">
        <v>45542</v>
      </c>
      <c r="H1860" t="s">
        <v>3060</v>
      </c>
      <c r="I1860">
        <v>6898433</v>
      </c>
      <c r="J1860">
        <v>237877</v>
      </c>
      <c r="K1860">
        <v>36500</v>
      </c>
      <c r="L1860">
        <v>13704</v>
      </c>
      <c r="M1860">
        <v>4.1799999999999997E-2</v>
      </c>
      <c r="N1860">
        <v>-0.46300000000000002</v>
      </c>
      <c r="O1860">
        <v>1</v>
      </c>
      <c r="P1860" t="b">
        <f t="shared" si="59"/>
        <v>1</v>
      </c>
      <c r="Q1860" t="str">
        <f t="shared" si="58"/>
        <v>Negative</v>
      </c>
    </row>
    <row r="1861" spans="1:17" x14ac:dyDescent="0.3">
      <c r="A1861" t="s">
        <v>3061</v>
      </c>
      <c r="B1861" t="s">
        <v>66</v>
      </c>
      <c r="C1861" t="s">
        <v>28</v>
      </c>
      <c r="D1861" t="s">
        <v>54</v>
      </c>
      <c r="E1861" t="s">
        <v>19</v>
      </c>
      <c r="F1861" t="s">
        <v>55</v>
      </c>
      <c r="G1861" s="1">
        <v>45312</v>
      </c>
      <c r="H1861" t="s">
        <v>250</v>
      </c>
      <c r="I1861">
        <v>12785836</v>
      </c>
      <c r="J1861">
        <v>456637</v>
      </c>
      <c r="K1861">
        <v>22947</v>
      </c>
      <c r="L1861">
        <v>33162</v>
      </c>
      <c r="M1861">
        <v>4.0099999999999997E-2</v>
      </c>
      <c r="N1861">
        <v>-1.7999999999999999E-2</v>
      </c>
      <c r="O1861">
        <v>1</v>
      </c>
      <c r="P1861" t="b">
        <f t="shared" si="59"/>
        <v>1</v>
      </c>
      <c r="Q1861" t="str">
        <f t="shared" si="58"/>
        <v>Negative</v>
      </c>
    </row>
    <row r="1862" spans="1:17" x14ac:dyDescent="0.3">
      <c r="A1862" t="s">
        <v>3062</v>
      </c>
      <c r="B1862" t="s">
        <v>32</v>
      </c>
      <c r="C1862" t="s">
        <v>28</v>
      </c>
      <c r="D1862" t="s">
        <v>37</v>
      </c>
      <c r="E1862" t="s">
        <v>38</v>
      </c>
      <c r="F1862" t="s">
        <v>24</v>
      </c>
      <c r="G1862" s="1">
        <v>45558</v>
      </c>
      <c r="H1862" t="s">
        <v>2629</v>
      </c>
      <c r="I1862">
        <v>9672768</v>
      </c>
      <c r="J1862">
        <v>403032</v>
      </c>
      <c r="K1862">
        <v>41568</v>
      </c>
      <c r="L1862">
        <v>33350</v>
      </c>
      <c r="M1862">
        <v>4.9399999999999999E-2</v>
      </c>
      <c r="N1862">
        <v>0.105</v>
      </c>
      <c r="O1862">
        <v>1</v>
      </c>
      <c r="P1862" t="b">
        <f t="shared" si="59"/>
        <v>1</v>
      </c>
      <c r="Q1862" t="str">
        <f t="shared" si="58"/>
        <v>Positive</v>
      </c>
    </row>
    <row r="1863" spans="1:17" x14ac:dyDescent="0.3">
      <c r="A1863" t="s">
        <v>3063</v>
      </c>
      <c r="B1863" t="s">
        <v>16</v>
      </c>
      <c r="C1863" t="s">
        <v>61</v>
      </c>
      <c r="D1863" t="s">
        <v>29</v>
      </c>
      <c r="E1863" t="s">
        <v>19</v>
      </c>
      <c r="F1863" t="s">
        <v>34</v>
      </c>
      <c r="G1863" s="1">
        <v>45367</v>
      </c>
      <c r="H1863" t="s">
        <v>3064</v>
      </c>
      <c r="I1863">
        <v>8610290</v>
      </c>
      <c r="J1863">
        <v>331165</v>
      </c>
      <c r="K1863">
        <v>36543</v>
      </c>
      <c r="L1863">
        <v>99280</v>
      </c>
      <c r="M1863">
        <v>5.4199999999999998E-2</v>
      </c>
      <c r="N1863">
        <v>-0.46200000000000002</v>
      </c>
      <c r="O1863">
        <v>1</v>
      </c>
      <c r="P1863" t="b">
        <f t="shared" si="59"/>
        <v>1</v>
      </c>
      <c r="Q1863" t="str">
        <f t="shared" si="58"/>
        <v>Negative</v>
      </c>
    </row>
    <row r="1864" spans="1:17" x14ac:dyDescent="0.3">
      <c r="A1864" t="s">
        <v>3065</v>
      </c>
      <c r="B1864" t="s">
        <v>66</v>
      </c>
      <c r="C1864" t="s">
        <v>61</v>
      </c>
      <c r="D1864" t="s">
        <v>29</v>
      </c>
      <c r="E1864" t="s">
        <v>19</v>
      </c>
      <c r="F1864" t="s">
        <v>20</v>
      </c>
      <c r="G1864" s="1">
        <v>45396</v>
      </c>
      <c r="H1864" t="s">
        <v>3066</v>
      </c>
      <c r="I1864">
        <v>4034085</v>
      </c>
      <c r="J1864">
        <v>175395</v>
      </c>
      <c r="K1864">
        <v>26124</v>
      </c>
      <c r="L1864">
        <v>68372</v>
      </c>
      <c r="M1864">
        <v>6.6900000000000001E-2</v>
      </c>
      <c r="N1864">
        <v>-0.60399999999999998</v>
      </c>
      <c r="O1864">
        <v>1</v>
      </c>
      <c r="P1864" t="b">
        <f t="shared" si="59"/>
        <v>1</v>
      </c>
      <c r="Q1864" t="str">
        <f t="shared" si="58"/>
        <v>Negative</v>
      </c>
    </row>
    <row r="1865" spans="1:17" x14ac:dyDescent="0.3">
      <c r="A1865" t="s">
        <v>3067</v>
      </c>
      <c r="B1865" t="s">
        <v>32</v>
      </c>
      <c r="C1865" t="s">
        <v>17</v>
      </c>
      <c r="D1865" t="s">
        <v>29</v>
      </c>
      <c r="E1865" t="s">
        <v>51</v>
      </c>
      <c r="F1865" t="s">
        <v>34</v>
      </c>
      <c r="G1865" s="1">
        <v>45562</v>
      </c>
      <c r="H1865" t="s">
        <v>2909</v>
      </c>
      <c r="I1865">
        <v>5305080</v>
      </c>
      <c r="J1865">
        <v>353672</v>
      </c>
      <c r="K1865">
        <v>39606</v>
      </c>
      <c r="L1865">
        <v>73890</v>
      </c>
      <c r="M1865">
        <v>8.8099999999999998E-2</v>
      </c>
      <c r="N1865">
        <v>0.245</v>
      </c>
      <c r="O1865">
        <v>1</v>
      </c>
      <c r="P1865" t="b">
        <f t="shared" si="59"/>
        <v>1</v>
      </c>
      <c r="Q1865" t="str">
        <f t="shared" si="58"/>
        <v>Positive</v>
      </c>
    </row>
    <row r="1866" spans="1:17" x14ac:dyDescent="0.3">
      <c r="A1866" t="s">
        <v>3068</v>
      </c>
      <c r="B1866" t="s">
        <v>32</v>
      </c>
      <c r="C1866" t="s">
        <v>23</v>
      </c>
      <c r="D1866" t="s">
        <v>18</v>
      </c>
      <c r="E1866" t="s">
        <v>51</v>
      </c>
      <c r="F1866" t="s">
        <v>34</v>
      </c>
      <c r="G1866" s="1">
        <v>45405</v>
      </c>
      <c r="H1866" t="s">
        <v>874</v>
      </c>
      <c r="I1866">
        <v>8899176</v>
      </c>
      <c r="J1866">
        <v>342276</v>
      </c>
      <c r="K1866">
        <v>12067</v>
      </c>
      <c r="L1866">
        <v>75387</v>
      </c>
      <c r="M1866">
        <v>4.8300000000000003E-2</v>
      </c>
      <c r="N1866">
        <v>0.20799999999999999</v>
      </c>
      <c r="O1866">
        <v>1</v>
      </c>
      <c r="P1866" t="b">
        <f t="shared" si="59"/>
        <v>1</v>
      </c>
      <c r="Q1866" t="str">
        <f t="shared" si="58"/>
        <v>Positive</v>
      </c>
    </row>
    <row r="1867" spans="1:17" x14ac:dyDescent="0.3">
      <c r="A1867" t="s">
        <v>3069</v>
      </c>
      <c r="B1867" t="s">
        <v>66</v>
      </c>
      <c r="C1867" t="s">
        <v>28</v>
      </c>
      <c r="D1867" t="s">
        <v>54</v>
      </c>
      <c r="E1867" t="s">
        <v>51</v>
      </c>
      <c r="F1867" t="s">
        <v>20</v>
      </c>
      <c r="G1867" s="1">
        <v>45347</v>
      </c>
      <c r="H1867" t="s">
        <v>3070</v>
      </c>
      <c r="I1867">
        <v>2974713</v>
      </c>
      <c r="J1867">
        <v>141653</v>
      </c>
      <c r="K1867">
        <v>33739</v>
      </c>
      <c r="L1867">
        <v>66426</v>
      </c>
      <c r="M1867">
        <v>8.1299999999999997E-2</v>
      </c>
      <c r="N1867">
        <v>-0.93400000000000005</v>
      </c>
      <c r="O1867">
        <v>1</v>
      </c>
      <c r="P1867" t="b">
        <f t="shared" si="59"/>
        <v>1</v>
      </c>
      <c r="Q1867" t="str">
        <f t="shared" si="58"/>
        <v>Negative</v>
      </c>
    </row>
    <row r="1868" spans="1:17" x14ac:dyDescent="0.3">
      <c r="A1868" t="s">
        <v>3071</v>
      </c>
      <c r="B1868" t="s">
        <v>32</v>
      </c>
      <c r="C1868" t="s">
        <v>17</v>
      </c>
      <c r="D1868" t="s">
        <v>73</v>
      </c>
      <c r="E1868" t="s">
        <v>51</v>
      </c>
      <c r="F1868" t="s">
        <v>55</v>
      </c>
      <c r="G1868" s="1">
        <v>45560</v>
      </c>
      <c r="H1868" t="s">
        <v>1587</v>
      </c>
      <c r="I1868">
        <v>1150270</v>
      </c>
      <c r="J1868">
        <v>104570</v>
      </c>
      <c r="K1868">
        <v>28210</v>
      </c>
      <c r="L1868">
        <v>88888</v>
      </c>
      <c r="M1868">
        <v>0.19270000000000001</v>
      </c>
      <c r="N1868">
        <v>-0.875</v>
      </c>
      <c r="O1868">
        <v>0</v>
      </c>
      <c r="P1868" t="b">
        <f t="shared" si="59"/>
        <v>0</v>
      </c>
      <c r="Q1868" t="str">
        <f t="shared" si="58"/>
        <v>Negative</v>
      </c>
    </row>
    <row r="1869" spans="1:17" x14ac:dyDescent="0.3">
      <c r="A1869" t="s">
        <v>3072</v>
      </c>
      <c r="B1869" t="s">
        <v>66</v>
      </c>
      <c r="C1869" t="s">
        <v>23</v>
      </c>
      <c r="D1869" t="s">
        <v>54</v>
      </c>
      <c r="E1869" t="s">
        <v>38</v>
      </c>
      <c r="F1869" t="s">
        <v>34</v>
      </c>
      <c r="G1869" s="1">
        <v>45366</v>
      </c>
      <c r="H1869" t="s">
        <v>675</v>
      </c>
      <c r="I1869">
        <v>3410688</v>
      </c>
      <c r="J1869">
        <v>142112</v>
      </c>
      <c r="K1869">
        <v>11263</v>
      </c>
      <c r="L1869">
        <v>24486</v>
      </c>
      <c r="M1869">
        <v>5.21E-2</v>
      </c>
      <c r="N1869">
        <v>-0.30499999999999999</v>
      </c>
      <c r="O1869">
        <v>1</v>
      </c>
      <c r="P1869" t="b">
        <f t="shared" si="59"/>
        <v>1</v>
      </c>
      <c r="Q1869" t="str">
        <f t="shared" si="58"/>
        <v>Negative</v>
      </c>
    </row>
    <row r="1870" spans="1:17" x14ac:dyDescent="0.3">
      <c r="A1870" t="s">
        <v>3073</v>
      </c>
      <c r="B1870" t="s">
        <v>27</v>
      </c>
      <c r="C1870" t="s">
        <v>23</v>
      </c>
      <c r="D1870" t="s">
        <v>18</v>
      </c>
      <c r="E1870" t="s">
        <v>41</v>
      </c>
      <c r="F1870" t="s">
        <v>24</v>
      </c>
      <c r="G1870" s="1">
        <v>45642</v>
      </c>
      <c r="H1870" t="s">
        <v>3074</v>
      </c>
      <c r="I1870">
        <v>8282043</v>
      </c>
      <c r="J1870">
        <v>394383</v>
      </c>
      <c r="K1870">
        <v>20612</v>
      </c>
      <c r="L1870">
        <v>61598</v>
      </c>
      <c r="M1870">
        <v>5.7500000000000002E-2</v>
      </c>
      <c r="N1870">
        <v>0.89600000000000002</v>
      </c>
      <c r="O1870">
        <v>1</v>
      </c>
      <c r="P1870" t="b">
        <f t="shared" si="59"/>
        <v>1</v>
      </c>
      <c r="Q1870" t="str">
        <f t="shared" si="58"/>
        <v>Positive</v>
      </c>
    </row>
    <row r="1871" spans="1:17" x14ac:dyDescent="0.3">
      <c r="A1871" t="s">
        <v>3075</v>
      </c>
      <c r="B1871" t="s">
        <v>32</v>
      </c>
      <c r="C1871" t="s">
        <v>28</v>
      </c>
      <c r="D1871" t="s">
        <v>54</v>
      </c>
      <c r="E1871" t="s">
        <v>51</v>
      </c>
      <c r="F1871" t="s">
        <v>55</v>
      </c>
      <c r="G1871" s="1">
        <v>45587</v>
      </c>
      <c r="H1871" t="s">
        <v>3076</v>
      </c>
      <c r="I1871">
        <v>4142118</v>
      </c>
      <c r="J1871">
        <v>243654</v>
      </c>
      <c r="K1871">
        <v>15192</v>
      </c>
      <c r="L1871">
        <v>3986</v>
      </c>
      <c r="M1871">
        <v>6.3500000000000001E-2</v>
      </c>
      <c r="N1871">
        <v>7.5999999999999998E-2</v>
      </c>
      <c r="O1871">
        <v>1</v>
      </c>
      <c r="P1871" t="b">
        <f t="shared" si="59"/>
        <v>1</v>
      </c>
      <c r="Q1871" t="str">
        <f t="shared" si="58"/>
        <v>Positive</v>
      </c>
    </row>
    <row r="1872" spans="1:17" x14ac:dyDescent="0.3">
      <c r="A1872" t="s">
        <v>3077</v>
      </c>
      <c r="B1872" t="s">
        <v>32</v>
      </c>
      <c r="C1872" t="s">
        <v>61</v>
      </c>
      <c r="D1872" t="s">
        <v>33</v>
      </c>
      <c r="E1872" t="s">
        <v>51</v>
      </c>
      <c r="F1872" t="s">
        <v>24</v>
      </c>
      <c r="G1872" s="1">
        <v>45611</v>
      </c>
      <c r="H1872" t="s">
        <v>392</v>
      </c>
      <c r="I1872">
        <v>13396266</v>
      </c>
      <c r="J1872">
        <v>496158</v>
      </c>
      <c r="K1872">
        <v>18613</v>
      </c>
      <c r="L1872">
        <v>67263</v>
      </c>
      <c r="M1872">
        <v>4.3400000000000001E-2</v>
      </c>
      <c r="N1872">
        <v>-0.56100000000000005</v>
      </c>
      <c r="O1872">
        <v>1</v>
      </c>
      <c r="P1872" t="b">
        <f t="shared" si="59"/>
        <v>1</v>
      </c>
      <c r="Q1872" t="str">
        <f t="shared" si="58"/>
        <v>Negative</v>
      </c>
    </row>
    <row r="1873" spans="1:17" x14ac:dyDescent="0.3">
      <c r="A1873" t="s">
        <v>3078</v>
      </c>
      <c r="B1873" t="s">
        <v>32</v>
      </c>
      <c r="C1873" t="s">
        <v>17</v>
      </c>
      <c r="D1873" t="s">
        <v>73</v>
      </c>
      <c r="E1873" t="s">
        <v>38</v>
      </c>
      <c r="F1873" t="s">
        <v>55</v>
      </c>
      <c r="G1873" s="1">
        <v>45485</v>
      </c>
      <c r="H1873" t="s">
        <v>3079</v>
      </c>
      <c r="I1873">
        <v>6075030</v>
      </c>
      <c r="J1873">
        <v>467310</v>
      </c>
      <c r="K1873">
        <v>17226</v>
      </c>
      <c r="L1873">
        <v>48507</v>
      </c>
      <c r="M1873">
        <v>8.77E-2</v>
      </c>
      <c r="N1873">
        <v>0.42799999999999999</v>
      </c>
      <c r="O1873">
        <v>1</v>
      </c>
      <c r="P1873" t="b">
        <f t="shared" si="59"/>
        <v>1</v>
      </c>
      <c r="Q1873" t="str">
        <f t="shared" si="58"/>
        <v>Positive</v>
      </c>
    </row>
    <row r="1874" spans="1:17" x14ac:dyDescent="0.3">
      <c r="A1874" t="s">
        <v>3080</v>
      </c>
      <c r="B1874" t="s">
        <v>27</v>
      </c>
      <c r="C1874" t="s">
        <v>61</v>
      </c>
      <c r="D1874" t="s">
        <v>29</v>
      </c>
      <c r="E1874" t="s">
        <v>19</v>
      </c>
      <c r="F1874" t="s">
        <v>24</v>
      </c>
      <c r="G1874" s="1">
        <v>45405</v>
      </c>
      <c r="H1874" t="s">
        <v>3081</v>
      </c>
      <c r="I1874">
        <v>10952578</v>
      </c>
      <c r="J1874">
        <v>421253</v>
      </c>
      <c r="K1874">
        <v>49513</v>
      </c>
      <c r="L1874">
        <v>41832</v>
      </c>
      <c r="M1874">
        <v>4.6800000000000001E-2</v>
      </c>
      <c r="N1874">
        <v>0.499</v>
      </c>
      <c r="O1874">
        <v>1</v>
      </c>
      <c r="P1874" t="b">
        <f t="shared" si="59"/>
        <v>1</v>
      </c>
      <c r="Q1874" t="str">
        <f t="shared" si="58"/>
        <v>Positive</v>
      </c>
    </row>
    <row r="1875" spans="1:17" x14ac:dyDescent="0.3">
      <c r="A1875" t="s">
        <v>3082</v>
      </c>
      <c r="B1875" t="s">
        <v>16</v>
      </c>
      <c r="C1875" t="s">
        <v>23</v>
      </c>
      <c r="D1875" t="s">
        <v>18</v>
      </c>
      <c r="E1875" t="s">
        <v>19</v>
      </c>
      <c r="F1875" t="s">
        <v>55</v>
      </c>
      <c r="G1875" s="1">
        <v>45380</v>
      </c>
      <c r="H1875" t="s">
        <v>994</v>
      </c>
      <c r="I1875">
        <v>2267122</v>
      </c>
      <c r="J1875">
        <v>103051</v>
      </c>
      <c r="K1875">
        <v>42775</v>
      </c>
      <c r="L1875">
        <v>86339</v>
      </c>
      <c r="M1875">
        <v>0.1024</v>
      </c>
      <c r="N1875">
        <v>-0.28000000000000003</v>
      </c>
      <c r="O1875">
        <v>1</v>
      </c>
      <c r="P1875" t="b">
        <f t="shared" si="59"/>
        <v>1</v>
      </c>
      <c r="Q1875" t="str">
        <f t="shared" si="58"/>
        <v>Negative</v>
      </c>
    </row>
    <row r="1876" spans="1:17" x14ac:dyDescent="0.3">
      <c r="A1876" t="s">
        <v>3083</v>
      </c>
      <c r="B1876" t="s">
        <v>27</v>
      </c>
      <c r="C1876" t="s">
        <v>61</v>
      </c>
      <c r="D1876" t="s">
        <v>33</v>
      </c>
      <c r="E1876" t="s">
        <v>58</v>
      </c>
      <c r="F1876" t="s">
        <v>20</v>
      </c>
      <c r="G1876" s="1">
        <v>45378</v>
      </c>
      <c r="H1876" t="s">
        <v>3084</v>
      </c>
      <c r="I1876">
        <v>2164830</v>
      </c>
      <c r="J1876">
        <v>216483</v>
      </c>
      <c r="K1876">
        <v>28759</v>
      </c>
      <c r="L1876">
        <v>43311</v>
      </c>
      <c r="M1876">
        <v>0.1333</v>
      </c>
      <c r="N1876">
        <v>-0.77500000000000002</v>
      </c>
      <c r="O1876">
        <v>1</v>
      </c>
      <c r="P1876" t="b">
        <f t="shared" si="59"/>
        <v>1</v>
      </c>
      <c r="Q1876" t="str">
        <f t="shared" si="58"/>
        <v>Negative</v>
      </c>
    </row>
    <row r="1877" spans="1:17" x14ac:dyDescent="0.3">
      <c r="A1877" t="s">
        <v>3085</v>
      </c>
      <c r="B1877" t="s">
        <v>32</v>
      </c>
      <c r="C1877" t="s">
        <v>23</v>
      </c>
      <c r="D1877" t="s">
        <v>29</v>
      </c>
      <c r="E1877" t="s">
        <v>51</v>
      </c>
      <c r="F1877" t="s">
        <v>55</v>
      </c>
      <c r="G1877" s="1">
        <v>45311</v>
      </c>
      <c r="H1877" t="s">
        <v>1292</v>
      </c>
      <c r="I1877">
        <v>6212220</v>
      </c>
      <c r="J1877">
        <v>310611</v>
      </c>
      <c r="K1877">
        <v>13206</v>
      </c>
      <c r="L1877">
        <v>2740</v>
      </c>
      <c r="M1877">
        <v>5.2600000000000001E-2</v>
      </c>
      <c r="N1877">
        <v>0.67300000000000004</v>
      </c>
      <c r="O1877">
        <v>1</v>
      </c>
      <c r="P1877" t="b">
        <f t="shared" si="59"/>
        <v>1</v>
      </c>
      <c r="Q1877" t="str">
        <f t="shared" si="58"/>
        <v>Positive</v>
      </c>
    </row>
    <row r="1878" spans="1:17" x14ac:dyDescent="0.3">
      <c r="A1878" t="s">
        <v>3086</v>
      </c>
      <c r="B1878" t="s">
        <v>32</v>
      </c>
      <c r="C1878" t="s">
        <v>23</v>
      </c>
      <c r="D1878" t="s">
        <v>29</v>
      </c>
      <c r="E1878" t="s">
        <v>51</v>
      </c>
      <c r="F1878" t="s">
        <v>24</v>
      </c>
      <c r="G1878" s="1">
        <v>45542</v>
      </c>
      <c r="H1878" t="s">
        <v>3087</v>
      </c>
      <c r="I1878">
        <v>6972976</v>
      </c>
      <c r="J1878">
        <v>435811</v>
      </c>
      <c r="K1878">
        <v>21173</v>
      </c>
      <c r="L1878">
        <v>32625</v>
      </c>
      <c r="M1878">
        <v>7.0199999999999999E-2</v>
      </c>
      <c r="N1878">
        <v>-0.86799999999999999</v>
      </c>
      <c r="O1878">
        <v>1</v>
      </c>
      <c r="P1878" t="b">
        <f t="shared" si="59"/>
        <v>1</v>
      </c>
      <c r="Q1878" t="str">
        <f t="shared" si="58"/>
        <v>Negative</v>
      </c>
    </row>
    <row r="1879" spans="1:17" x14ac:dyDescent="0.3">
      <c r="A1879" t="s">
        <v>3088</v>
      </c>
      <c r="B1879" t="s">
        <v>27</v>
      </c>
      <c r="C1879" t="s">
        <v>23</v>
      </c>
      <c r="D1879" t="s">
        <v>73</v>
      </c>
      <c r="E1879" t="s">
        <v>58</v>
      </c>
      <c r="F1879" t="s">
        <v>46</v>
      </c>
      <c r="G1879" s="1">
        <v>45324</v>
      </c>
      <c r="H1879" t="s">
        <v>3089</v>
      </c>
      <c r="I1879">
        <v>1131090</v>
      </c>
      <c r="J1879">
        <v>226218</v>
      </c>
      <c r="K1879">
        <v>17266</v>
      </c>
      <c r="L1879">
        <v>84791</v>
      </c>
      <c r="M1879">
        <v>0.29020000000000001</v>
      </c>
      <c r="N1879">
        <v>-0.223</v>
      </c>
      <c r="O1879">
        <v>0</v>
      </c>
      <c r="P1879" t="b">
        <f t="shared" si="59"/>
        <v>0</v>
      </c>
      <c r="Q1879" t="str">
        <f t="shared" si="58"/>
        <v>Negative</v>
      </c>
    </row>
    <row r="1880" spans="1:17" x14ac:dyDescent="0.3">
      <c r="A1880" t="s">
        <v>3090</v>
      </c>
      <c r="B1880" t="s">
        <v>66</v>
      </c>
      <c r="C1880" t="s">
        <v>61</v>
      </c>
      <c r="D1880" t="s">
        <v>54</v>
      </c>
      <c r="E1880" t="s">
        <v>38</v>
      </c>
      <c r="F1880" t="s">
        <v>34</v>
      </c>
      <c r="G1880" s="1">
        <v>45586</v>
      </c>
      <c r="H1880" t="s">
        <v>3091</v>
      </c>
      <c r="I1880">
        <v>11780384</v>
      </c>
      <c r="J1880">
        <v>420728</v>
      </c>
      <c r="K1880">
        <v>16681</v>
      </c>
      <c r="L1880">
        <v>75380</v>
      </c>
      <c r="M1880">
        <v>4.3499999999999997E-2</v>
      </c>
      <c r="N1880">
        <v>-0.17699999999999999</v>
      </c>
      <c r="O1880">
        <v>1</v>
      </c>
      <c r="P1880" t="b">
        <f t="shared" si="59"/>
        <v>1</v>
      </c>
      <c r="Q1880" t="str">
        <f t="shared" si="58"/>
        <v>Negative</v>
      </c>
    </row>
    <row r="1881" spans="1:17" x14ac:dyDescent="0.3">
      <c r="A1881" t="s">
        <v>3092</v>
      </c>
      <c r="B1881" t="s">
        <v>32</v>
      </c>
      <c r="C1881" t="s">
        <v>17</v>
      </c>
      <c r="D1881" t="s">
        <v>29</v>
      </c>
      <c r="E1881" t="s">
        <v>51</v>
      </c>
      <c r="F1881" t="s">
        <v>24</v>
      </c>
      <c r="G1881" s="1">
        <v>45491</v>
      </c>
      <c r="H1881" t="s">
        <v>3093</v>
      </c>
      <c r="I1881">
        <v>7525938</v>
      </c>
      <c r="J1881">
        <v>358378</v>
      </c>
      <c r="K1881">
        <v>35459</v>
      </c>
      <c r="L1881">
        <v>98538</v>
      </c>
      <c r="M1881">
        <v>6.54E-2</v>
      </c>
      <c r="N1881">
        <v>0.92600000000000005</v>
      </c>
      <c r="O1881">
        <v>1</v>
      </c>
      <c r="P1881" t="b">
        <f t="shared" si="59"/>
        <v>1</v>
      </c>
      <c r="Q1881" t="str">
        <f t="shared" si="58"/>
        <v>Positive</v>
      </c>
    </row>
    <row r="1882" spans="1:17" x14ac:dyDescent="0.3">
      <c r="A1882" t="s">
        <v>3094</v>
      </c>
      <c r="B1882" t="s">
        <v>27</v>
      </c>
      <c r="C1882" t="s">
        <v>61</v>
      </c>
      <c r="D1882" t="s">
        <v>29</v>
      </c>
      <c r="E1882" t="s">
        <v>19</v>
      </c>
      <c r="F1882" t="s">
        <v>46</v>
      </c>
      <c r="G1882" s="1">
        <v>45464</v>
      </c>
      <c r="H1882" t="s">
        <v>124</v>
      </c>
      <c r="I1882">
        <v>2363032</v>
      </c>
      <c r="J1882">
        <v>84394</v>
      </c>
      <c r="K1882">
        <v>2277</v>
      </c>
      <c r="L1882">
        <v>82887</v>
      </c>
      <c r="M1882">
        <v>7.1800000000000003E-2</v>
      </c>
      <c r="N1882">
        <v>-0.98</v>
      </c>
      <c r="O1882">
        <v>1</v>
      </c>
      <c r="P1882" t="b">
        <f t="shared" si="59"/>
        <v>1</v>
      </c>
      <c r="Q1882" t="str">
        <f t="shared" si="58"/>
        <v>Negative</v>
      </c>
    </row>
    <row r="1883" spans="1:17" x14ac:dyDescent="0.3">
      <c r="A1883" t="s">
        <v>3095</v>
      </c>
      <c r="B1883" t="s">
        <v>32</v>
      </c>
      <c r="C1883" t="s">
        <v>61</v>
      </c>
      <c r="D1883" t="s">
        <v>18</v>
      </c>
      <c r="E1883" t="s">
        <v>19</v>
      </c>
      <c r="F1883" t="s">
        <v>55</v>
      </c>
      <c r="G1883" s="1">
        <v>45446</v>
      </c>
      <c r="H1883" t="s">
        <v>2273</v>
      </c>
      <c r="I1883">
        <v>6150291</v>
      </c>
      <c r="J1883">
        <v>212079</v>
      </c>
      <c r="K1883">
        <v>37315</v>
      </c>
      <c r="L1883">
        <v>83684</v>
      </c>
      <c r="M1883">
        <v>5.4199999999999998E-2</v>
      </c>
      <c r="N1883">
        <v>-0.441</v>
      </c>
      <c r="O1883">
        <v>1</v>
      </c>
      <c r="P1883" t="b">
        <f t="shared" si="59"/>
        <v>1</v>
      </c>
      <c r="Q1883" t="str">
        <f t="shared" si="58"/>
        <v>Negative</v>
      </c>
    </row>
    <row r="1884" spans="1:17" x14ac:dyDescent="0.3">
      <c r="A1884" t="s">
        <v>3096</v>
      </c>
      <c r="B1884" t="s">
        <v>66</v>
      </c>
      <c r="C1884" t="s">
        <v>17</v>
      </c>
      <c r="D1884" t="s">
        <v>18</v>
      </c>
      <c r="E1884" t="s">
        <v>58</v>
      </c>
      <c r="F1884" t="s">
        <v>34</v>
      </c>
      <c r="G1884" s="1">
        <v>45509</v>
      </c>
      <c r="H1884" t="s">
        <v>1370</v>
      </c>
      <c r="I1884">
        <v>5459410</v>
      </c>
      <c r="J1884">
        <v>496310</v>
      </c>
      <c r="K1884">
        <v>38894</v>
      </c>
      <c r="L1884">
        <v>51429</v>
      </c>
      <c r="M1884">
        <v>0.1075</v>
      </c>
      <c r="N1884">
        <v>-0.58699999999999997</v>
      </c>
      <c r="O1884">
        <v>1</v>
      </c>
      <c r="P1884" t="b">
        <f t="shared" si="59"/>
        <v>1</v>
      </c>
      <c r="Q1884" t="str">
        <f t="shared" si="58"/>
        <v>Negative</v>
      </c>
    </row>
    <row r="1885" spans="1:17" x14ac:dyDescent="0.3">
      <c r="A1885" t="s">
        <v>3097</v>
      </c>
      <c r="B1885" t="s">
        <v>66</v>
      </c>
      <c r="C1885" t="s">
        <v>28</v>
      </c>
      <c r="D1885" t="s">
        <v>54</v>
      </c>
      <c r="E1885" t="s">
        <v>38</v>
      </c>
      <c r="F1885" t="s">
        <v>24</v>
      </c>
      <c r="G1885" s="1">
        <v>45317</v>
      </c>
      <c r="H1885" t="s">
        <v>3098</v>
      </c>
      <c r="I1885">
        <v>4048748</v>
      </c>
      <c r="J1885">
        <v>368068</v>
      </c>
      <c r="K1885">
        <v>26000</v>
      </c>
      <c r="L1885">
        <v>5410</v>
      </c>
      <c r="M1885">
        <v>9.8699999999999996E-2</v>
      </c>
      <c r="N1885">
        <v>-0.81799999999999995</v>
      </c>
      <c r="O1885">
        <v>1</v>
      </c>
      <c r="P1885" t="b">
        <f t="shared" si="59"/>
        <v>1</v>
      </c>
      <c r="Q1885" t="str">
        <f t="shared" si="58"/>
        <v>Negative</v>
      </c>
    </row>
    <row r="1886" spans="1:17" x14ac:dyDescent="0.3">
      <c r="A1886" t="s">
        <v>3099</v>
      </c>
      <c r="B1886" t="s">
        <v>16</v>
      </c>
      <c r="C1886" t="s">
        <v>17</v>
      </c>
      <c r="D1886" t="s">
        <v>33</v>
      </c>
      <c r="E1886" t="s">
        <v>19</v>
      </c>
      <c r="F1886" t="s">
        <v>20</v>
      </c>
      <c r="G1886" s="1">
        <v>45463</v>
      </c>
      <c r="H1886" t="s">
        <v>265</v>
      </c>
      <c r="I1886">
        <v>4440128</v>
      </c>
      <c r="J1886">
        <v>261184</v>
      </c>
      <c r="K1886">
        <v>29828</v>
      </c>
      <c r="L1886">
        <v>7870</v>
      </c>
      <c r="M1886">
        <v>6.7299999999999999E-2</v>
      </c>
      <c r="N1886">
        <v>0.49399999999999999</v>
      </c>
      <c r="O1886">
        <v>1</v>
      </c>
      <c r="P1886" t="b">
        <f t="shared" si="59"/>
        <v>1</v>
      </c>
      <c r="Q1886" t="str">
        <f t="shared" si="58"/>
        <v>Positive</v>
      </c>
    </row>
    <row r="1887" spans="1:17" x14ac:dyDescent="0.3">
      <c r="A1887" t="s">
        <v>3100</v>
      </c>
      <c r="B1887" t="s">
        <v>27</v>
      </c>
      <c r="C1887" t="s">
        <v>61</v>
      </c>
      <c r="D1887" t="s">
        <v>54</v>
      </c>
      <c r="E1887" t="s">
        <v>51</v>
      </c>
      <c r="F1887" t="s">
        <v>20</v>
      </c>
      <c r="G1887" s="1">
        <v>45573</v>
      </c>
      <c r="H1887" t="s">
        <v>388</v>
      </c>
      <c r="I1887">
        <v>4323030</v>
      </c>
      <c r="J1887">
        <v>288202</v>
      </c>
      <c r="K1887">
        <v>10771</v>
      </c>
      <c r="L1887">
        <v>19769</v>
      </c>
      <c r="M1887">
        <v>7.3700000000000002E-2</v>
      </c>
      <c r="N1887">
        <v>0.47399999999999998</v>
      </c>
      <c r="O1887">
        <v>1</v>
      </c>
      <c r="P1887" t="b">
        <f t="shared" si="59"/>
        <v>1</v>
      </c>
      <c r="Q1887" t="str">
        <f t="shared" si="58"/>
        <v>Positive</v>
      </c>
    </row>
    <row r="1888" spans="1:17" x14ac:dyDescent="0.3">
      <c r="A1888" t="s">
        <v>3101</v>
      </c>
      <c r="B1888" t="s">
        <v>66</v>
      </c>
      <c r="C1888" t="s">
        <v>23</v>
      </c>
      <c r="D1888" t="s">
        <v>18</v>
      </c>
      <c r="E1888" t="s">
        <v>51</v>
      </c>
      <c r="F1888" t="s">
        <v>55</v>
      </c>
      <c r="G1888" s="1">
        <v>45393</v>
      </c>
      <c r="H1888" t="s">
        <v>250</v>
      </c>
      <c r="I1888">
        <v>530840</v>
      </c>
      <c r="J1888">
        <v>26542</v>
      </c>
      <c r="K1888">
        <v>16417</v>
      </c>
      <c r="L1888">
        <v>25597</v>
      </c>
      <c r="M1888">
        <v>0.12909999999999999</v>
      </c>
      <c r="N1888">
        <v>0.35199999999999998</v>
      </c>
      <c r="O1888">
        <v>0</v>
      </c>
      <c r="P1888" t="b">
        <f t="shared" si="59"/>
        <v>0</v>
      </c>
      <c r="Q1888" t="str">
        <f t="shared" si="58"/>
        <v>Positive</v>
      </c>
    </row>
    <row r="1889" spans="1:17" x14ac:dyDescent="0.3">
      <c r="A1889" t="s">
        <v>3102</v>
      </c>
      <c r="B1889" t="s">
        <v>16</v>
      </c>
      <c r="C1889" t="s">
        <v>28</v>
      </c>
      <c r="D1889" t="s">
        <v>54</v>
      </c>
      <c r="E1889" t="s">
        <v>41</v>
      </c>
      <c r="F1889" t="s">
        <v>34</v>
      </c>
      <c r="G1889" s="1">
        <v>45587</v>
      </c>
      <c r="H1889" t="s">
        <v>677</v>
      </c>
      <c r="I1889">
        <v>2472064</v>
      </c>
      <c r="J1889">
        <v>154504</v>
      </c>
      <c r="K1889">
        <v>44629</v>
      </c>
      <c r="L1889">
        <v>15765</v>
      </c>
      <c r="M1889">
        <v>8.6900000000000005E-2</v>
      </c>
      <c r="N1889">
        <v>0.47099999999999997</v>
      </c>
      <c r="O1889">
        <v>1</v>
      </c>
      <c r="P1889" t="b">
        <f t="shared" si="59"/>
        <v>1</v>
      </c>
      <c r="Q1889" t="str">
        <f t="shared" si="58"/>
        <v>Positive</v>
      </c>
    </row>
    <row r="1890" spans="1:17" x14ac:dyDescent="0.3">
      <c r="A1890" t="s">
        <v>3103</v>
      </c>
      <c r="B1890" t="s">
        <v>66</v>
      </c>
      <c r="C1890" t="s">
        <v>61</v>
      </c>
      <c r="D1890" t="s">
        <v>18</v>
      </c>
      <c r="E1890" t="s">
        <v>58</v>
      </c>
      <c r="F1890" t="s">
        <v>34</v>
      </c>
      <c r="G1890" s="1">
        <v>45328</v>
      </c>
      <c r="H1890" t="s">
        <v>3104</v>
      </c>
      <c r="I1890">
        <v>2405754</v>
      </c>
      <c r="J1890">
        <v>267306</v>
      </c>
      <c r="K1890">
        <v>44650</v>
      </c>
      <c r="L1890">
        <v>7245</v>
      </c>
      <c r="M1890">
        <v>0.13270000000000001</v>
      </c>
      <c r="N1890">
        <v>0.109</v>
      </c>
      <c r="O1890">
        <v>1</v>
      </c>
      <c r="P1890" t="b">
        <f t="shared" si="59"/>
        <v>1</v>
      </c>
      <c r="Q1890" t="str">
        <f t="shared" si="58"/>
        <v>Positive</v>
      </c>
    </row>
    <row r="1891" spans="1:17" x14ac:dyDescent="0.3">
      <c r="A1891" t="s">
        <v>3105</v>
      </c>
      <c r="B1891" t="s">
        <v>66</v>
      </c>
      <c r="C1891" t="s">
        <v>23</v>
      </c>
      <c r="D1891" t="s">
        <v>54</v>
      </c>
      <c r="E1891" t="s">
        <v>58</v>
      </c>
      <c r="F1891" t="s">
        <v>55</v>
      </c>
      <c r="G1891" s="1">
        <v>45427</v>
      </c>
      <c r="H1891" t="s">
        <v>3106</v>
      </c>
      <c r="I1891">
        <v>941611</v>
      </c>
      <c r="J1891">
        <v>85601</v>
      </c>
      <c r="K1891">
        <v>45002</v>
      </c>
      <c r="L1891">
        <v>16957</v>
      </c>
      <c r="M1891">
        <v>0.15670000000000001</v>
      </c>
      <c r="N1891">
        <v>0.85099999999999998</v>
      </c>
      <c r="O1891">
        <v>0</v>
      </c>
      <c r="P1891" t="b">
        <f t="shared" si="59"/>
        <v>0</v>
      </c>
      <c r="Q1891" t="str">
        <f t="shared" si="58"/>
        <v>Positive</v>
      </c>
    </row>
    <row r="1892" spans="1:17" x14ac:dyDescent="0.3">
      <c r="A1892" t="s">
        <v>3107</v>
      </c>
      <c r="B1892" t="s">
        <v>66</v>
      </c>
      <c r="C1892" t="s">
        <v>23</v>
      </c>
      <c r="D1892" t="s">
        <v>18</v>
      </c>
      <c r="E1892" t="s">
        <v>51</v>
      </c>
      <c r="F1892" t="s">
        <v>34</v>
      </c>
      <c r="G1892" s="1">
        <v>45438</v>
      </c>
      <c r="H1892" t="s">
        <v>1742</v>
      </c>
      <c r="I1892">
        <v>3011370</v>
      </c>
      <c r="J1892">
        <v>200758</v>
      </c>
      <c r="K1892">
        <v>16714</v>
      </c>
      <c r="L1892">
        <v>81259</v>
      </c>
      <c r="M1892">
        <v>9.9199999999999997E-2</v>
      </c>
      <c r="N1892">
        <v>-0.08</v>
      </c>
      <c r="O1892">
        <v>1</v>
      </c>
      <c r="P1892" t="b">
        <f t="shared" si="59"/>
        <v>1</v>
      </c>
      <c r="Q1892" t="str">
        <f t="shared" si="58"/>
        <v>Negative</v>
      </c>
    </row>
    <row r="1893" spans="1:17" x14ac:dyDescent="0.3">
      <c r="A1893" t="s">
        <v>3108</v>
      </c>
      <c r="B1893" t="s">
        <v>16</v>
      </c>
      <c r="C1893" t="s">
        <v>23</v>
      </c>
      <c r="D1893" t="s">
        <v>37</v>
      </c>
      <c r="E1893" t="s">
        <v>58</v>
      </c>
      <c r="F1893" t="s">
        <v>46</v>
      </c>
      <c r="G1893" s="1">
        <v>45486</v>
      </c>
      <c r="H1893" t="s">
        <v>3109</v>
      </c>
      <c r="I1893">
        <v>3566766</v>
      </c>
      <c r="J1893">
        <v>169846</v>
      </c>
      <c r="K1893">
        <v>34494</v>
      </c>
      <c r="L1893">
        <v>17734</v>
      </c>
      <c r="M1893">
        <v>6.2300000000000001E-2</v>
      </c>
      <c r="N1893">
        <v>0.11799999999999999</v>
      </c>
      <c r="O1893">
        <v>1</v>
      </c>
      <c r="P1893" t="b">
        <f t="shared" si="59"/>
        <v>1</v>
      </c>
      <c r="Q1893" t="str">
        <f t="shared" si="58"/>
        <v>Positive</v>
      </c>
    </row>
    <row r="1894" spans="1:17" x14ac:dyDescent="0.3">
      <c r="A1894" t="s">
        <v>3110</v>
      </c>
      <c r="B1894" t="s">
        <v>32</v>
      </c>
      <c r="C1894" t="s">
        <v>17</v>
      </c>
      <c r="D1894" t="s">
        <v>33</v>
      </c>
      <c r="E1894" t="s">
        <v>41</v>
      </c>
      <c r="F1894" t="s">
        <v>34</v>
      </c>
      <c r="G1894" s="1">
        <v>45548</v>
      </c>
      <c r="H1894" t="s">
        <v>3111</v>
      </c>
      <c r="I1894">
        <v>5027360</v>
      </c>
      <c r="J1894">
        <v>386720</v>
      </c>
      <c r="K1894">
        <v>39714</v>
      </c>
      <c r="L1894">
        <v>59847</v>
      </c>
      <c r="M1894">
        <v>9.6699999999999994E-2</v>
      </c>
      <c r="N1894">
        <v>-0.82799999999999996</v>
      </c>
      <c r="O1894">
        <v>1</v>
      </c>
      <c r="P1894" t="b">
        <f t="shared" si="59"/>
        <v>1</v>
      </c>
      <c r="Q1894" t="str">
        <f t="shared" si="58"/>
        <v>Negative</v>
      </c>
    </row>
    <row r="1895" spans="1:17" x14ac:dyDescent="0.3">
      <c r="A1895" t="s">
        <v>3112</v>
      </c>
      <c r="B1895" t="s">
        <v>27</v>
      </c>
      <c r="C1895" t="s">
        <v>28</v>
      </c>
      <c r="D1895" t="s">
        <v>29</v>
      </c>
      <c r="E1895" t="s">
        <v>38</v>
      </c>
      <c r="F1895" t="s">
        <v>55</v>
      </c>
      <c r="G1895" s="1">
        <v>45541</v>
      </c>
      <c r="H1895" t="s">
        <v>3113</v>
      </c>
      <c r="I1895">
        <v>2347220</v>
      </c>
      <c r="J1895">
        <v>234722</v>
      </c>
      <c r="K1895">
        <v>41157</v>
      </c>
      <c r="L1895">
        <v>27251</v>
      </c>
      <c r="M1895">
        <v>0.12909999999999999</v>
      </c>
      <c r="N1895">
        <v>-0.71099999999999997</v>
      </c>
      <c r="O1895">
        <v>1</v>
      </c>
      <c r="P1895" t="b">
        <f t="shared" si="59"/>
        <v>1</v>
      </c>
      <c r="Q1895" t="str">
        <f t="shared" si="58"/>
        <v>Negative</v>
      </c>
    </row>
    <row r="1896" spans="1:17" x14ac:dyDescent="0.3">
      <c r="A1896" t="s">
        <v>3114</v>
      </c>
      <c r="B1896" t="s">
        <v>32</v>
      </c>
      <c r="C1896" t="s">
        <v>17</v>
      </c>
      <c r="D1896" t="s">
        <v>33</v>
      </c>
      <c r="E1896" t="s">
        <v>38</v>
      </c>
      <c r="F1896" t="s">
        <v>20</v>
      </c>
      <c r="G1896" s="1">
        <v>45479</v>
      </c>
      <c r="H1896" t="s">
        <v>762</v>
      </c>
      <c r="I1896">
        <v>5116392</v>
      </c>
      <c r="J1896">
        <v>213183</v>
      </c>
      <c r="K1896">
        <v>46417</v>
      </c>
      <c r="L1896">
        <v>43877</v>
      </c>
      <c r="M1896">
        <v>5.9299999999999999E-2</v>
      </c>
      <c r="N1896">
        <v>-0.41099999999999998</v>
      </c>
      <c r="O1896">
        <v>1</v>
      </c>
      <c r="P1896" t="b">
        <f t="shared" si="59"/>
        <v>1</v>
      </c>
      <c r="Q1896" t="str">
        <f t="shared" si="58"/>
        <v>Negative</v>
      </c>
    </row>
    <row r="1897" spans="1:17" x14ac:dyDescent="0.3">
      <c r="A1897" t="s">
        <v>3115</v>
      </c>
      <c r="B1897" t="s">
        <v>16</v>
      </c>
      <c r="C1897" t="s">
        <v>23</v>
      </c>
      <c r="D1897" t="s">
        <v>29</v>
      </c>
      <c r="E1897" t="s">
        <v>38</v>
      </c>
      <c r="F1897" t="s">
        <v>20</v>
      </c>
      <c r="G1897" s="1">
        <v>45622</v>
      </c>
      <c r="H1897" t="s">
        <v>3116</v>
      </c>
      <c r="I1897">
        <v>2945196</v>
      </c>
      <c r="J1897">
        <v>163622</v>
      </c>
      <c r="K1897">
        <v>18902</v>
      </c>
      <c r="L1897">
        <v>73705</v>
      </c>
      <c r="M1897">
        <v>8.6999999999999994E-2</v>
      </c>
      <c r="N1897">
        <v>-0.43</v>
      </c>
      <c r="O1897">
        <v>1</v>
      </c>
      <c r="P1897" t="b">
        <f t="shared" si="59"/>
        <v>1</v>
      </c>
      <c r="Q1897" t="str">
        <f t="shared" si="58"/>
        <v>Negative</v>
      </c>
    </row>
    <row r="1898" spans="1:17" x14ac:dyDescent="0.3">
      <c r="A1898" t="s">
        <v>3117</v>
      </c>
      <c r="B1898" t="s">
        <v>16</v>
      </c>
      <c r="C1898" t="s">
        <v>61</v>
      </c>
      <c r="D1898" t="s">
        <v>73</v>
      </c>
      <c r="E1898" t="s">
        <v>38</v>
      </c>
      <c r="F1898" t="s">
        <v>46</v>
      </c>
      <c r="G1898" s="1">
        <v>45499</v>
      </c>
      <c r="H1898" t="s">
        <v>3118</v>
      </c>
      <c r="I1898">
        <v>511904</v>
      </c>
      <c r="J1898">
        <v>63988</v>
      </c>
      <c r="K1898">
        <v>13755</v>
      </c>
      <c r="L1898">
        <v>61294</v>
      </c>
      <c r="M1898">
        <v>0.27160000000000001</v>
      </c>
      <c r="N1898">
        <v>0.91</v>
      </c>
      <c r="O1898">
        <v>0</v>
      </c>
      <c r="P1898" t="b">
        <f t="shared" si="59"/>
        <v>0</v>
      </c>
      <c r="Q1898" t="str">
        <f t="shared" si="58"/>
        <v>Positive</v>
      </c>
    </row>
    <row r="1899" spans="1:17" x14ac:dyDescent="0.3">
      <c r="A1899" t="s">
        <v>3119</v>
      </c>
      <c r="B1899" t="s">
        <v>32</v>
      </c>
      <c r="C1899" t="s">
        <v>61</v>
      </c>
      <c r="D1899" t="s">
        <v>18</v>
      </c>
      <c r="E1899" t="s">
        <v>41</v>
      </c>
      <c r="F1899" t="s">
        <v>46</v>
      </c>
      <c r="G1899" s="1">
        <v>45501</v>
      </c>
      <c r="H1899" t="s">
        <v>3120</v>
      </c>
      <c r="I1899">
        <v>4896824</v>
      </c>
      <c r="J1899">
        <v>168856</v>
      </c>
      <c r="K1899">
        <v>23189</v>
      </c>
      <c r="L1899">
        <v>33366</v>
      </c>
      <c r="M1899">
        <v>4.5999999999999999E-2</v>
      </c>
      <c r="N1899">
        <v>-0.193</v>
      </c>
      <c r="O1899">
        <v>1</v>
      </c>
      <c r="P1899" t="b">
        <f t="shared" si="59"/>
        <v>1</v>
      </c>
      <c r="Q1899" t="str">
        <f t="shared" si="58"/>
        <v>Negative</v>
      </c>
    </row>
    <row r="1900" spans="1:17" x14ac:dyDescent="0.3">
      <c r="A1900" t="s">
        <v>3121</v>
      </c>
      <c r="B1900" t="s">
        <v>66</v>
      </c>
      <c r="C1900" t="s">
        <v>17</v>
      </c>
      <c r="D1900" t="s">
        <v>33</v>
      </c>
      <c r="E1900" t="s">
        <v>58</v>
      </c>
      <c r="F1900" t="s">
        <v>46</v>
      </c>
      <c r="G1900" s="1">
        <v>45333</v>
      </c>
      <c r="H1900" t="s">
        <v>3122</v>
      </c>
      <c r="I1900">
        <v>2768328</v>
      </c>
      <c r="J1900">
        <v>346041</v>
      </c>
      <c r="K1900">
        <v>44937</v>
      </c>
      <c r="L1900">
        <v>93956</v>
      </c>
      <c r="M1900">
        <v>0.17519999999999999</v>
      </c>
      <c r="N1900">
        <v>0.63700000000000001</v>
      </c>
      <c r="O1900">
        <v>1</v>
      </c>
      <c r="P1900" t="b">
        <f t="shared" si="59"/>
        <v>1</v>
      </c>
      <c r="Q1900" t="str">
        <f t="shared" si="58"/>
        <v>Positive</v>
      </c>
    </row>
    <row r="1901" spans="1:17" x14ac:dyDescent="0.3">
      <c r="A1901" t="s">
        <v>3123</v>
      </c>
      <c r="B1901" t="s">
        <v>66</v>
      </c>
      <c r="C1901" t="s">
        <v>23</v>
      </c>
      <c r="D1901" t="s">
        <v>37</v>
      </c>
      <c r="E1901" t="s">
        <v>41</v>
      </c>
      <c r="F1901" t="s">
        <v>55</v>
      </c>
      <c r="G1901" s="1">
        <v>45303</v>
      </c>
      <c r="H1901" t="s">
        <v>319</v>
      </c>
      <c r="I1901">
        <v>12987432</v>
      </c>
      <c r="J1901">
        <v>481016</v>
      </c>
      <c r="K1901">
        <v>49873</v>
      </c>
      <c r="L1901">
        <v>79333</v>
      </c>
      <c r="M1901">
        <v>4.7E-2</v>
      </c>
      <c r="N1901">
        <v>-0.16</v>
      </c>
      <c r="O1901">
        <v>1</v>
      </c>
      <c r="P1901" t="b">
        <f t="shared" si="59"/>
        <v>1</v>
      </c>
      <c r="Q1901" t="str">
        <f t="shared" si="58"/>
        <v>Negative</v>
      </c>
    </row>
    <row r="1902" spans="1:17" x14ac:dyDescent="0.3">
      <c r="A1902" t="s">
        <v>3124</v>
      </c>
      <c r="B1902" t="s">
        <v>66</v>
      </c>
      <c r="C1902" t="s">
        <v>17</v>
      </c>
      <c r="D1902" t="s">
        <v>54</v>
      </c>
      <c r="E1902" t="s">
        <v>19</v>
      </c>
      <c r="F1902" t="s">
        <v>20</v>
      </c>
      <c r="G1902" s="1">
        <v>45609</v>
      </c>
      <c r="H1902" t="s">
        <v>134</v>
      </c>
      <c r="I1902">
        <v>2130050</v>
      </c>
      <c r="J1902">
        <v>426010</v>
      </c>
      <c r="K1902">
        <v>24235</v>
      </c>
      <c r="L1902">
        <v>22996</v>
      </c>
      <c r="M1902">
        <v>0.22220000000000001</v>
      </c>
      <c r="N1902">
        <v>-0.84299999999999997</v>
      </c>
      <c r="O1902">
        <v>1</v>
      </c>
      <c r="P1902" t="b">
        <f t="shared" si="59"/>
        <v>1</v>
      </c>
      <c r="Q1902" t="str">
        <f t="shared" si="58"/>
        <v>Negative</v>
      </c>
    </row>
    <row r="1903" spans="1:17" x14ac:dyDescent="0.3">
      <c r="A1903" t="s">
        <v>3125</v>
      </c>
      <c r="B1903" t="s">
        <v>32</v>
      </c>
      <c r="C1903" t="s">
        <v>23</v>
      </c>
      <c r="D1903" t="s">
        <v>54</v>
      </c>
      <c r="E1903" t="s">
        <v>51</v>
      </c>
      <c r="F1903" t="s">
        <v>34</v>
      </c>
      <c r="G1903" s="1">
        <v>45619</v>
      </c>
      <c r="H1903" t="s">
        <v>154</v>
      </c>
      <c r="I1903">
        <v>2791820</v>
      </c>
      <c r="J1903">
        <v>139591</v>
      </c>
      <c r="K1903">
        <v>47957</v>
      </c>
      <c r="L1903">
        <v>33838</v>
      </c>
      <c r="M1903">
        <v>7.9299999999999995E-2</v>
      </c>
      <c r="N1903">
        <v>0.65100000000000002</v>
      </c>
      <c r="O1903">
        <v>1</v>
      </c>
      <c r="P1903" t="b">
        <f t="shared" si="59"/>
        <v>1</v>
      </c>
      <c r="Q1903" t="str">
        <f t="shared" si="58"/>
        <v>Positive</v>
      </c>
    </row>
    <row r="1904" spans="1:17" x14ac:dyDescent="0.3">
      <c r="A1904" t="s">
        <v>3126</v>
      </c>
      <c r="B1904" t="s">
        <v>16</v>
      </c>
      <c r="C1904" t="s">
        <v>28</v>
      </c>
      <c r="D1904" t="s">
        <v>33</v>
      </c>
      <c r="E1904" t="s">
        <v>19</v>
      </c>
      <c r="F1904" t="s">
        <v>20</v>
      </c>
      <c r="G1904" s="1">
        <v>45588</v>
      </c>
      <c r="H1904" t="s">
        <v>3127</v>
      </c>
      <c r="I1904">
        <v>3695172</v>
      </c>
      <c r="J1904">
        <v>307931</v>
      </c>
      <c r="K1904">
        <v>34136</v>
      </c>
      <c r="L1904">
        <v>37277</v>
      </c>
      <c r="M1904">
        <v>0.1027</v>
      </c>
      <c r="N1904">
        <v>0.13800000000000001</v>
      </c>
      <c r="O1904">
        <v>1</v>
      </c>
      <c r="P1904" t="b">
        <f t="shared" si="59"/>
        <v>1</v>
      </c>
      <c r="Q1904" t="str">
        <f t="shared" si="58"/>
        <v>Positive</v>
      </c>
    </row>
    <row r="1905" spans="1:17" x14ac:dyDescent="0.3">
      <c r="A1905" t="s">
        <v>3128</v>
      </c>
      <c r="B1905" t="s">
        <v>66</v>
      </c>
      <c r="C1905" t="s">
        <v>61</v>
      </c>
      <c r="D1905" t="s">
        <v>33</v>
      </c>
      <c r="E1905" t="s">
        <v>51</v>
      </c>
      <c r="F1905" t="s">
        <v>46</v>
      </c>
      <c r="G1905" s="1">
        <v>45565</v>
      </c>
      <c r="H1905" t="s">
        <v>3129</v>
      </c>
      <c r="I1905">
        <v>201666</v>
      </c>
      <c r="J1905">
        <v>10614</v>
      </c>
      <c r="K1905">
        <v>47461</v>
      </c>
      <c r="L1905">
        <v>7234</v>
      </c>
      <c r="M1905">
        <v>0.32379999999999998</v>
      </c>
      <c r="N1905">
        <v>0.748</v>
      </c>
      <c r="O1905">
        <v>0</v>
      </c>
      <c r="P1905" t="b">
        <f t="shared" si="59"/>
        <v>0</v>
      </c>
      <c r="Q1905" t="str">
        <f t="shared" si="58"/>
        <v>Positive</v>
      </c>
    </row>
    <row r="1906" spans="1:17" x14ac:dyDescent="0.3">
      <c r="A1906" t="s">
        <v>3130</v>
      </c>
      <c r="B1906" t="s">
        <v>16</v>
      </c>
      <c r="C1906" t="s">
        <v>28</v>
      </c>
      <c r="D1906" t="s">
        <v>37</v>
      </c>
      <c r="E1906" t="s">
        <v>51</v>
      </c>
      <c r="F1906" t="s">
        <v>55</v>
      </c>
      <c r="G1906" s="1">
        <v>45456</v>
      </c>
      <c r="H1906" t="s">
        <v>199</v>
      </c>
      <c r="I1906">
        <v>8134653</v>
      </c>
      <c r="J1906">
        <v>478509</v>
      </c>
      <c r="K1906">
        <v>45014</v>
      </c>
      <c r="L1906">
        <v>6257</v>
      </c>
      <c r="M1906">
        <v>6.5100000000000005E-2</v>
      </c>
      <c r="N1906">
        <v>-0.90200000000000002</v>
      </c>
      <c r="O1906">
        <v>1</v>
      </c>
      <c r="P1906" t="b">
        <f t="shared" si="59"/>
        <v>1</v>
      </c>
      <c r="Q1906" t="str">
        <f t="shared" si="58"/>
        <v>Negative</v>
      </c>
    </row>
    <row r="1907" spans="1:17" x14ac:dyDescent="0.3">
      <c r="A1907" t="s">
        <v>3131</v>
      </c>
      <c r="B1907" t="s">
        <v>27</v>
      </c>
      <c r="C1907" t="s">
        <v>28</v>
      </c>
      <c r="D1907" t="s">
        <v>33</v>
      </c>
      <c r="E1907" t="s">
        <v>38</v>
      </c>
      <c r="F1907" t="s">
        <v>55</v>
      </c>
      <c r="G1907" s="1">
        <v>45637</v>
      </c>
      <c r="H1907" t="s">
        <v>2938</v>
      </c>
      <c r="I1907">
        <v>2756073</v>
      </c>
      <c r="J1907">
        <v>95037</v>
      </c>
      <c r="K1907">
        <v>41553</v>
      </c>
      <c r="L1907">
        <v>72091</v>
      </c>
      <c r="M1907">
        <v>7.5700000000000003E-2</v>
      </c>
      <c r="N1907">
        <v>-9.1999999999999998E-2</v>
      </c>
      <c r="O1907">
        <v>1</v>
      </c>
      <c r="P1907" t="b">
        <f t="shared" si="59"/>
        <v>1</v>
      </c>
      <c r="Q1907" t="str">
        <f t="shared" si="58"/>
        <v>Negative</v>
      </c>
    </row>
    <row r="1908" spans="1:17" x14ac:dyDescent="0.3">
      <c r="A1908" t="s">
        <v>3132</v>
      </c>
      <c r="B1908" t="s">
        <v>16</v>
      </c>
      <c r="C1908" t="s">
        <v>23</v>
      </c>
      <c r="D1908" t="s">
        <v>18</v>
      </c>
      <c r="E1908" t="s">
        <v>38</v>
      </c>
      <c r="F1908" t="s">
        <v>55</v>
      </c>
      <c r="G1908" s="1">
        <v>45528</v>
      </c>
      <c r="H1908" t="s">
        <v>3133</v>
      </c>
      <c r="I1908">
        <v>2620045</v>
      </c>
      <c r="J1908">
        <v>113915</v>
      </c>
      <c r="K1908">
        <v>24391</v>
      </c>
      <c r="L1908">
        <v>70383</v>
      </c>
      <c r="M1908">
        <v>7.9699999999999993E-2</v>
      </c>
      <c r="N1908">
        <v>0.70899999999999996</v>
      </c>
      <c r="O1908">
        <v>1</v>
      </c>
      <c r="P1908" t="b">
        <f t="shared" si="59"/>
        <v>1</v>
      </c>
      <c r="Q1908" t="str">
        <f t="shared" si="58"/>
        <v>Positive</v>
      </c>
    </row>
    <row r="1909" spans="1:17" x14ac:dyDescent="0.3">
      <c r="A1909" t="s">
        <v>3134</v>
      </c>
      <c r="B1909" t="s">
        <v>66</v>
      </c>
      <c r="C1909" t="s">
        <v>28</v>
      </c>
      <c r="D1909" t="s">
        <v>29</v>
      </c>
      <c r="E1909" t="s">
        <v>58</v>
      </c>
      <c r="F1909" t="s">
        <v>20</v>
      </c>
      <c r="G1909" s="1">
        <v>45366</v>
      </c>
      <c r="H1909" t="s">
        <v>3135</v>
      </c>
      <c r="I1909">
        <v>7551378</v>
      </c>
      <c r="J1909">
        <v>419521</v>
      </c>
      <c r="K1909">
        <v>25575</v>
      </c>
      <c r="L1909">
        <v>30256</v>
      </c>
      <c r="M1909">
        <v>6.2899999999999998E-2</v>
      </c>
      <c r="N1909">
        <v>-0.94199999999999995</v>
      </c>
      <c r="O1909">
        <v>1</v>
      </c>
      <c r="P1909" t="b">
        <f t="shared" si="59"/>
        <v>1</v>
      </c>
      <c r="Q1909" t="str">
        <f t="shared" si="58"/>
        <v>Negative</v>
      </c>
    </row>
    <row r="1910" spans="1:17" x14ac:dyDescent="0.3">
      <c r="A1910" t="s">
        <v>3136</v>
      </c>
      <c r="B1910" t="s">
        <v>66</v>
      </c>
      <c r="C1910" t="s">
        <v>28</v>
      </c>
      <c r="D1910" t="s">
        <v>54</v>
      </c>
      <c r="E1910" t="s">
        <v>38</v>
      </c>
      <c r="F1910" t="s">
        <v>46</v>
      </c>
      <c r="G1910" s="1">
        <v>45542</v>
      </c>
      <c r="H1910" t="s">
        <v>2771</v>
      </c>
      <c r="I1910">
        <v>3339444</v>
      </c>
      <c r="J1910">
        <v>278287</v>
      </c>
      <c r="K1910">
        <v>45537</v>
      </c>
      <c r="L1910">
        <v>65937</v>
      </c>
      <c r="M1910">
        <v>0.1167</v>
      </c>
      <c r="N1910">
        <v>6.7000000000000004E-2</v>
      </c>
      <c r="O1910">
        <v>1</v>
      </c>
      <c r="P1910" t="b">
        <f t="shared" si="59"/>
        <v>1</v>
      </c>
      <c r="Q1910" t="str">
        <f t="shared" si="58"/>
        <v>Positive</v>
      </c>
    </row>
    <row r="1911" spans="1:17" x14ac:dyDescent="0.3">
      <c r="A1911" t="s">
        <v>3137</v>
      </c>
      <c r="B1911" t="s">
        <v>16</v>
      </c>
      <c r="C1911" t="s">
        <v>28</v>
      </c>
      <c r="D1911" t="s">
        <v>54</v>
      </c>
      <c r="E1911" t="s">
        <v>38</v>
      </c>
      <c r="F1911" t="s">
        <v>55</v>
      </c>
      <c r="G1911" s="1">
        <v>45387</v>
      </c>
      <c r="H1911" t="s">
        <v>3138</v>
      </c>
      <c r="I1911">
        <v>5163300</v>
      </c>
      <c r="J1911">
        <v>344220</v>
      </c>
      <c r="K1911">
        <v>24411</v>
      </c>
      <c r="L1911">
        <v>1876</v>
      </c>
      <c r="M1911">
        <v>7.1800000000000003E-2</v>
      </c>
      <c r="N1911">
        <v>0.04</v>
      </c>
      <c r="O1911">
        <v>1</v>
      </c>
      <c r="P1911" t="b">
        <f t="shared" si="59"/>
        <v>1</v>
      </c>
      <c r="Q1911" t="str">
        <f t="shared" si="58"/>
        <v>Positive</v>
      </c>
    </row>
    <row r="1912" spans="1:17" x14ac:dyDescent="0.3">
      <c r="A1912" t="s">
        <v>3139</v>
      </c>
      <c r="B1912" t="s">
        <v>66</v>
      </c>
      <c r="C1912" t="s">
        <v>61</v>
      </c>
      <c r="D1912" t="s">
        <v>29</v>
      </c>
      <c r="E1912" t="s">
        <v>58</v>
      </c>
      <c r="F1912" t="s">
        <v>34</v>
      </c>
      <c r="G1912" s="1">
        <v>45584</v>
      </c>
      <c r="H1912" t="s">
        <v>3140</v>
      </c>
      <c r="I1912">
        <v>7201035</v>
      </c>
      <c r="J1912">
        <v>480069</v>
      </c>
      <c r="K1912">
        <v>12494</v>
      </c>
      <c r="L1912">
        <v>1354</v>
      </c>
      <c r="M1912">
        <v>6.8599999999999994E-2</v>
      </c>
      <c r="N1912">
        <v>0.63700000000000001</v>
      </c>
      <c r="O1912">
        <v>1</v>
      </c>
      <c r="P1912" t="b">
        <f t="shared" si="59"/>
        <v>1</v>
      </c>
      <c r="Q1912" t="str">
        <f t="shared" si="58"/>
        <v>Positive</v>
      </c>
    </row>
    <row r="1913" spans="1:17" x14ac:dyDescent="0.3">
      <c r="A1913" t="s">
        <v>3141</v>
      </c>
      <c r="B1913" t="s">
        <v>27</v>
      </c>
      <c r="C1913" t="s">
        <v>61</v>
      </c>
      <c r="D1913" t="s">
        <v>18</v>
      </c>
      <c r="E1913" t="s">
        <v>51</v>
      </c>
      <c r="F1913" t="s">
        <v>55</v>
      </c>
      <c r="G1913" s="1">
        <v>45533</v>
      </c>
      <c r="H1913" t="s">
        <v>319</v>
      </c>
      <c r="I1913">
        <v>4154025</v>
      </c>
      <c r="J1913">
        <v>276935</v>
      </c>
      <c r="K1913">
        <v>4316</v>
      </c>
      <c r="L1913">
        <v>48076</v>
      </c>
      <c r="M1913">
        <v>7.9299999999999995E-2</v>
      </c>
      <c r="N1913">
        <v>-0.60899999999999999</v>
      </c>
      <c r="O1913">
        <v>1</v>
      </c>
      <c r="P1913" t="b">
        <f t="shared" si="59"/>
        <v>1</v>
      </c>
      <c r="Q1913" t="str">
        <f t="shared" si="58"/>
        <v>Negative</v>
      </c>
    </row>
    <row r="1914" spans="1:17" x14ac:dyDescent="0.3">
      <c r="A1914" t="s">
        <v>3142</v>
      </c>
      <c r="B1914" t="s">
        <v>16</v>
      </c>
      <c r="C1914" t="s">
        <v>23</v>
      </c>
      <c r="D1914" t="s">
        <v>18</v>
      </c>
      <c r="E1914" t="s">
        <v>58</v>
      </c>
      <c r="F1914" t="s">
        <v>34</v>
      </c>
      <c r="G1914" s="1">
        <v>45561</v>
      </c>
      <c r="H1914" t="s">
        <v>1114</v>
      </c>
      <c r="I1914">
        <v>3043566</v>
      </c>
      <c r="J1914">
        <v>338174</v>
      </c>
      <c r="K1914">
        <v>26877</v>
      </c>
      <c r="L1914">
        <v>41709</v>
      </c>
      <c r="M1914">
        <v>0.1336</v>
      </c>
      <c r="N1914">
        <v>-0.92700000000000005</v>
      </c>
      <c r="O1914">
        <v>1</v>
      </c>
      <c r="P1914" t="b">
        <f t="shared" si="59"/>
        <v>1</v>
      </c>
      <c r="Q1914" t="str">
        <f t="shared" si="58"/>
        <v>Negative</v>
      </c>
    </row>
    <row r="1915" spans="1:17" x14ac:dyDescent="0.3">
      <c r="A1915" t="s">
        <v>3143</v>
      </c>
      <c r="B1915" t="s">
        <v>66</v>
      </c>
      <c r="C1915" t="s">
        <v>23</v>
      </c>
      <c r="D1915" t="s">
        <v>73</v>
      </c>
      <c r="E1915" t="s">
        <v>38</v>
      </c>
      <c r="F1915" t="s">
        <v>46</v>
      </c>
      <c r="G1915" s="1">
        <v>45396</v>
      </c>
      <c r="H1915" t="s">
        <v>3144</v>
      </c>
      <c r="I1915">
        <v>4887932</v>
      </c>
      <c r="J1915">
        <v>174569</v>
      </c>
      <c r="K1915">
        <v>37914</v>
      </c>
      <c r="L1915">
        <v>21353</v>
      </c>
      <c r="M1915">
        <v>4.7800000000000002E-2</v>
      </c>
      <c r="N1915">
        <v>0.18</v>
      </c>
      <c r="O1915">
        <v>1</v>
      </c>
      <c r="P1915" t="b">
        <f t="shared" si="59"/>
        <v>1</v>
      </c>
      <c r="Q1915" t="str">
        <f t="shared" si="58"/>
        <v>Positive</v>
      </c>
    </row>
    <row r="1916" spans="1:17" x14ac:dyDescent="0.3">
      <c r="A1916" t="s">
        <v>3145</v>
      </c>
      <c r="B1916" t="s">
        <v>16</v>
      </c>
      <c r="C1916" t="s">
        <v>17</v>
      </c>
      <c r="D1916" t="s">
        <v>73</v>
      </c>
      <c r="E1916" t="s">
        <v>19</v>
      </c>
      <c r="F1916" t="s">
        <v>55</v>
      </c>
      <c r="G1916" s="1">
        <v>45541</v>
      </c>
      <c r="H1916" t="s">
        <v>478</v>
      </c>
      <c r="I1916">
        <v>9401342</v>
      </c>
      <c r="J1916">
        <v>408754</v>
      </c>
      <c r="K1916">
        <v>23390</v>
      </c>
      <c r="L1916">
        <v>45000</v>
      </c>
      <c r="M1916">
        <v>5.0799999999999998E-2</v>
      </c>
      <c r="N1916">
        <v>-0.38900000000000001</v>
      </c>
      <c r="O1916">
        <v>1</v>
      </c>
      <c r="P1916" t="b">
        <f t="shared" si="59"/>
        <v>1</v>
      </c>
      <c r="Q1916" t="str">
        <f t="shared" si="58"/>
        <v>Negative</v>
      </c>
    </row>
    <row r="1917" spans="1:17" x14ac:dyDescent="0.3">
      <c r="A1917" t="s">
        <v>3146</v>
      </c>
      <c r="B1917" t="s">
        <v>27</v>
      </c>
      <c r="C1917" t="s">
        <v>17</v>
      </c>
      <c r="D1917" t="s">
        <v>73</v>
      </c>
      <c r="E1917" t="s">
        <v>19</v>
      </c>
      <c r="F1917" t="s">
        <v>34</v>
      </c>
      <c r="G1917" s="1">
        <v>45481</v>
      </c>
      <c r="H1917" t="s">
        <v>3147</v>
      </c>
      <c r="I1917">
        <v>9663082</v>
      </c>
      <c r="J1917">
        <v>371657</v>
      </c>
      <c r="K1917">
        <v>41217</v>
      </c>
      <c r="L1917">
        <v>54214</v>
      </c>
      <c r="M1917">
        <v>4.8300000000000003E-2</v>
      </c>
      <c r="N1917">
        <v>0.55900000000000005</v>
      </c>
      <c r="O1917">
        <v>1</v>
      </c>
      <c r="P1917" t="b">
        <f t="shared" si="59"/>
        <v>1</v>
      </c>
      <c r="Q1917" t="str">
        <f t="shared" si="58"/>
        <v>Positive</v>
      </c>
    </row>
    <row r="1918" spans="1:17" x14ac:dyDescent="0.3">
      <c r="A1918" t="s">
        <v>3148</v>
      </c>
      <c r="B1918" t="s">
        <v>27</v>
      </c>
      <c r="C1918" t="s">
        <v>28</v>
      </c>
      <c r="D1918" t="s">
        <v>37</v>
      </c>
      <c r="E1918" t="s">
        <v>58</v>
      </c>
      <c r="F1918" t="s">
        <v>34</v>
      </c>
      <c r="G1918" s="1">
        <v>45484</v>
      </c>
      <c r="H1918" t="s">
        <v>3149</v>
      </c>
      <c r="I1918">
        <v>2779424</v>
      </c>
      <c r="J1918">
        <v>347428</v>
      </c>
      <c r="K1918">
        <v>5440</v>
      </c>
      <c r="L1918">
        <v>8494</v>
      </c>
      <c r="M1918">
        <v>0.13</v>
      </c>
      <c r="N1918">
        <v>-0.42799999999999999</v>
      </c>
      <c r="O1918">
        <v>1</v>
      </c>
      <c r="P1918" t="b">
        <f t="shared" si="59"/>
        <v>1</v>
      </c>
      <c r="Q1918" t="str">
        <f t="shared" si="58"/>
        <v>Negative</v>
      </c>
    </row>
    <row r="1919" spans="1:17" x14ac:dyDescent="0.3">
      <c r="A1919" t="s">
        <v>3150</v>
      </c>
      <c r="B1919" t="s">
        <v>16</v>
      </c>
      <c r="C1919" t="s">
        <v>28</v>
      </c>
      <c r="D1919" t="s">
        <v>54</v>
      </c>
      <c r="E1919" t="s">
        <v>41</v>
      </c>
      <c r="F1919" t="s">
        <v>20</v>
      </c>
      <c r="G1919" s="1">
        <v>45557</v>
      </c>
      <c r="H1919" t="s">
        <v>3151</v>
      </c>
      <c r="I1919">
        <v>3956862</v>
      </c>
      <c r="J1919">
        <v>282633</v>
      </c>
      <c r="K1919">
        <v>31503</v>
      </c>
      <c r="L1919">
        <v>63756</v>
      </c>
      <c r="M1919">
        <v>9.5500000000000002E-2</v>
      </c>
      <c r="N1919">
        <v>0.48699999999999999</v>
      </c>
      <c r="O1919">
        <v>1</v>
      </c>
      <c r="P1919" t="b">
        <f t="shared" si="59"/>
        <v>1</v>
      </c>
      <c r="Q1919" t="str">
        <f t="shared" si="58"/>
        <v>Positive</v>
      </c>
    </row>
    <row r="1920" spans="1:17" x14ac:dyDescent="0.3">
      <c r="A1920" t="s">
        <v>3152</v>
      </c>
      <c r="B1920" t="s">
        <v>27</v>
      </c>
      <c r="C1920" t="s">
        <v>61</v>
      </c>
      <c r="D1920" t="s">
        <v>29</v>
      </c>
      <c r="E1920" t="s">
        <v>58</v>
      </c>
      <c r="F1920" t="s">
        <v>34</v>
      </c>
      <c r="G1920" s="1">
        <v>45631</v>
      </c>
      <c r="H1920" t="s">
        <v>78</v>
      </c>
      <c r="I1920">
        <v>28370</v>
      </c>
      <c r="J1920">
        <v>5674</v>
      </c>
      <c r="K1920">
        <v>38184</v>
      </c>
      <c r="L1920">
        <v>1588</v>
      </c>
      <c r="M1920">
        <v>1.6019000000000001</v>
      </c>
      <c r="N1920">
        <v>0.86</v>
      </c>
      <c r="O1920">
        <v>0</v>
      </c>
      <c r="P1920" t="b">
        <f t="shared" si="59"/>
        <v>0</v>
      </c>
      <c r="Q1920" t="str">
        <f t="shared" si="58"/>
        <v>Positive</v>
      </c>
    </row>
    <row r="1921" spans="1:17" x14ac:dyDescent="0.3">
      <c r="A1921" t="s">
        <v>3153</v>
      </c>
      <c r="B1921" t="s">
        <v>66</v>
      </c>
      <c r="C1921" t="s">
        <v>61</v>
      </c>
      <c r="D1921" t="s">
        <v>54</v>
      </c>
      <c r="E1921" t="s">
        <v>38</v>
      </c>
      <c r="F1921" t="s">
        <v>20</v>
      </c>
      <c r="G1921" s="1">
        <v>45341</v>
      </c>
      <c r="H1921" t="s">
        <v>116</v>
      </c>
      <c r="I1921">
        <v>6117020</v>
      </c>
      <c r="J1921">
        <v>470540</v>
      </c>
      <c r="K1921">
        <v>4414</v>
      </c>
      <c r="L1921">
        <v>71320</v>
      </c>
      <c r="M1921">
        <v>8.9300000000000004E-2</v>
      </c>
      <c r="N1921">
        <v>0.81399999999999995</v>
      </c>
      <c r="O1921">
        <v>1</v>
      </c>
      <c r="P1921" t="b">
        <f t="shared" si="59"/>
        <v>1</v>
      </c>
      <c r="Q1921" t="str">
        <f t="shared" si="58"/>
        <v>Positive</v>
      </c>
    </row>
    <row r="1922" spans="1:17" x14ac:dyDescent="0.3">
      <c r="A1922" t="s">
        <v>3154</v>
      </c>
      <c r="B1922" t="s">
        <v>32</v>
      </c>
      <c r="C1922" t="s">
        <v>23</v>
      </c>
      <c r="D1922" t="s">
        <v>73</v>
      </c>
      <c r="E1922" t="s">
        <v>41</v>
      </c>
      <c r="F1922" t="s">
        <v>34</v>
      </c>
      <c r="G1922" s="1">
        <v>45505</v>
      </c>
      <c r="H1922" t="s">
        <v>265</v>
      </c>
      <c r="I1922">
        <v>2309532</v>
      </c>
      <c r="J1922">
        <v>384922</v>
      </c>
      <c r="K1922">
        <v>12046</v>
      </c>
      <c r="L1922">
        <v>23228</v>
      </c>
      <c r="M1922">
        <v>0.18190000000000001</v>
      </c>
      <c r="N1922">
        <v>0.51300000000000001</v>
      </c>
      <c r="O1922">
        <v>1</v>
      </c>
      <c r="P1922" t="b">
        <f t="shared" si="59"/>
        <v>1</v>
      </c>
      <c r="Q1922" t="str">
        <f t="shared" ref="Q1922:Q1985" si="60">IF(N1922&gt;0,"Positive","Negative")</f>
        <v>Positive</v>
      </c>
    </row>
    <row r="1923" spans="1:17" x14ac:dyDescent="0.3">
      <c r="A1923" t="s">
        <v>3155</v>
      </c>
      <c r="B1923" t="s">
        <v>32</v>
      </c>
      <c r="C1923" t="s">
        <v>23</v>
      </c>
      <c r="D1923" t="s">
        <v>54</v>
      </c>
      <c r="E1923" t="s">
        <v>58</v>
      </c>
      <c r="F1923" t="s">
        <v>34</v>
      </c>
      <c r="G1923" s="1">
        <v>45358</v>
      </c>
      <c r="H1923" t="s">
        <v>3156</v>
      </c>
      <c r="I1923">
        <v>8081192</v>
      </c>
      <c r="J1923">
        <v>288614</v>
      </c>
      <c r="K1923">
        <v>29487</v>
      </c>
      <c r="L1923">
        <v>11587</v>
      </c>
      <c r="M1923">
        <v>4.0800000000000003E-2</v>
      </c>
      <c r="N1923">
        <v>-0.46500000000000002</v>
      </c>
      <c r="O1923">
        <v>1</v>
      </c>
      <c r="P1923" t="b">
        <f t="shared" ref="P1923:P1986" si="61">IF(O1923=1,TRUE,FALSE)</f>
        <v>1</v>
      </c>
      <c r="Q1923" t="str">
        <f t="shared" si="60"/>
        <v>Negative</v>
      </c>
    </row>
    <row r="1924" spans="1:17" x14ac:dyDescent="0.3">
      <c r="A1924" t="s">
        <v>3157</v>
      </c>
      <c r="B1924" t="s">
        <v>27</v>
      </c>
      <c r="C1924" t="s">
        <v>23</v>
      </c>
      <c r="D1924" t="s">
        <v>29</v>
      </c>
      <c r="E1924" t="s">
        <v>58</v>
      </c>
      <c r="F1924" t="s">
        <v>46</v>
      </c>
      <c r="G1924" s="1">
        <v>45561</v>
      </c>
      <c r="H1924" t="s">
        <v>386</v>
      </c>
      <c r="I1924">
        <v>4585532</v>
      </c>
      <c r="J1924">
        <v>327538</v>
      </c>
      <c r="K1924">
        <v>13937</v>
      </c>
      <c r="L1924">
        <v>29300</v>
      </c>
      <c r="M1924">
        <v>8.09E-2</v>
      </c>
      <c r="N1924">
        <v>-0.621</v>
      </c>
      <c r="O1924">
        <v>1</v>
      </c>
      <c r="P1924" t="b">
        <f t="shared" si="61"/>
        <v>1</v>
      </c>
      <c r="Q1924" t="str">
        <f t="shared" si="60"/>
        <v>Negative</v>
      </c>
    </row>
    <row r="1925" spans="1:17" x14ac:dyDescent="0.3">
      <c r="A1925" t="s">
        <v>3158</v>
      </c>
      <c r="B1925" t="s">
        <v>32</v>
      </c>
      <c r="C1925" t="s">
        <v>17</v>
      </c>
      <c r="D1925" t="s">
        <v>29</v>
      </c>
      <c r="E1925" t="s">
        <v>19</v>
      </c>
      <c r="F1925" t="s">
        <v>20</v>
      </c>
      <c r="G1925" s="1">
        <v>45314</v>
      </c>
      <c r="H1925" t="s">
        <v>2735</v>
      </c>
      <c r="I1925">
        <v>1229492</v>
      </c>
      <c r="J1925">
        <v>111772</v>
      </c>
      <c r="K1925">
        <v>9782</v>
      </c>
      <c r="L1925">
        <v>11250</v>
      </c>
      <c r="M1925">
        <v>0.108</v>
      </c>
      <c r="N1925">
        <v>-0.60399999999999998</v>
      </c>
      <c r="O1925">
        <v>0</v>
      </c>
      <c r="P1925" t="b">
        <f t="shared" si="61"/>
        <v>0</v>
      </c>
      <c r="Q1925" t="str">
        <f t="shared" si="60"/>
        <v>Negative</v>
      </c>
    </row>
    <row r="1926" spans="1:17" x14ac:dyDescent="0.3">
      <c r="A1926" t="s">
        <v>3159</v>
      </c>
      <c r="B1926" t="s">
        <v>66</v>
      </c>
      <c r="C1926" t="s">
        <v>23</v>
      </c>
      <c r="D1926" t="s">
        <v>18</v>
      </c>
      <c r="E1926" t="s">
        <v>58</v>
      </c>
      <c r="F1926" t="s">
        <v>20</v>
      </c>
      <c r="G1926" s="1">
        <v>45382</v>
      </c>
      <c r="H1926" t="s">
        <v>3160</v>
      </c>
      <c r="I1926">
        <v>4033484</v>
      </c>
      <c r="J1926">
        <v>144053</v>
      </c>
      <c r="K1926">
        <v>9592</v>
      </c>
      <c r="L1926">
        <v>93801</v>
      </c>
      <c r="M1926">
        <v>6.13E-2</v>
      </c>
      <c r="N1926">
        <v>-0.14199999999999999</v>
      </c>
      <c r="O1926">
        <v>1</v>
      </c>
      <c r="P1926" t="b">
        <f t="shared" si="61"/>
        <v>1</v>
      </c>
      <c r="Q1926" t="str">
        <f t="shared" si="60"/>
        <v>Negative</v>
      </c>
    </row>
    <row r="1927" spans="1:17" x14ac:dyDescent="0.3">
      <c r="A1927" t="s">
        <v>3161</v>
      </c>
      <c r="B1927" t="s">
        <v>27</v>
      </c>
      <c r="C1927" t="s">
        <v>61</v>
      </c>
      <c r="D1927" t="s">
        <v>18</v>
      </c>
      <c r="E1927" t="s">
        <v>58</v>
      </c>
      <c r="F1927" t="s">
        <v>46</v>
      </c>
      <c r="G1927" s="1">
        <v>45315</v>
      </c>
      <c r="H1927" t="s">
        <v>1114</v>
      </c>
      <c r="I1927">
        <v>5296093</v>
      </c>
      <c r="J1927">
        <v>481463</v>
      </c>
      <c r="K1927">
        <v>42031</v>
      </c>
      <c r="L1927">
        <v>7834</v>
      </c>
      <c r="M1927">
        <v>0.1003</v>
      </c>
      <c r="N1927">
        <v>-0.35899999999999999</v>
      </c>
      <c r="O1927">
        <v>1</v>
      </c>
      <c r="P1927" t="b">
        <f t="shared" si="61"/>
        <v>1</v>
      </c>
      <c r="Q1927" t="str">
        <f t="shared" si="60"/>
        <v>Negative</v>
      </c>
    </row>
    <row r="1928" spans="1:17" x14ac:dyDescent="0.3">
      <c r="A1928" t="s">
        <v>3162</v>
      </c>
      <c r="B1928" t="s">
        <v>32</v>
      </c>
      <c r="C1928" t="s">
        <v>61</v>
      </c>
      <c r="D1928" t="s">
        <v>73</v>
      </c>
      <c r="E1928" t="s">
        <v>19</v>
      </c>
      <c r="F1928" t="s">
        <v>34</v>
      </c>
      <c r="G1928" s="1">
        <v>45617</v>
      </c>
      <c r="H1928" t="s">
        <v>3163</v>
      </c>
      <c r="I1928">
        <v>10920812</v>
      </c>
      <c r="J1928">
        <v>390029</v>
      </c>
      <c r="K1928">
        <v>15759</v>
      </c>
      <c r="L1928">
        <v>78114</v>
      </c>
      <c r="M1928">
        <v>4.4299999999999999E-2</v>
      </c>
      <c r="N1928">
        <v>-0.11600000000000001</v>
      </c>
      <c r="O1928">
        <v>1</v>
      </c>
      <c r="P1928" t="b">
        <f t="shared" si="61"/>
        <v>1</v>
      </c>
      <c r="Q1928" t="str">
        <f t="shared" si="60"/>
        <v>Negative</v>
      </c>
    </row>
    <row r="1929" spans="1:17" x14ac:dyDescent="0.3">
      <c r="A1929" t="s">
        <v>3164</v>
      </c>
      <c r="B1929" t="s">
        <v>32</v>
      </c>
      <c r="C1929" t="s">
        <v>61</v>
      </c>
      <c r="D1929" t="s">
        <v>54</v>
      </c>
      <c r="E1929" t="s">
        <v>58</v>
      </c>
      <c r="F1929" t="s">
        <v>24</v>
      </c>
      <c r="G1929" s="1">
        <v>45431</v>
      </c>
      <c r="H1929" t="s">
        <v>2802</v>
      </c>
      <c r="I1929">
        <v>4533543</v>
      </c>
      <c r="J1929">
        <v>167909</v>
      </c>
      <c r="K1929">
        <v>31896</v>
      </c>
      <c r="L1929">
        <v>24125</v>
      </c>
      <c r="M1929">
        <v>4.9399999999999999E-2</v>
      </c>
      <c r="N1929">
        <v>-0.38800000000000001</v>
      </c>
      <c r="O1929">
        <v>1</v>
      </c>
      <c r="P1929" t="b">
        <f t="shared" si="61"/>
        <v>1</v>
      </c>
      <c r="Q1929" t="str">
        <f t="shared" si="60"/>
        <v>Negative</v>
      </c>
    </row>
    <row r="1930" spans="1:17" x14ac:dyDescent="0.3">
      <c r="A1930" t="s">
        <v>3165</v>
      </c>
      <c r="B1930" t="s">
        <v>16</v>
      </c>
      <c r="C1930" t="s">
        <v>28</v>
      </c>
      <c r="D1930" t="s">
        <v>33</v>
      </c>
      <c r="E1930" t="s">
        <v>51</v>
      </c>
      <c r="F1930" t="s">
        <v>55</v>
      </c>
      <c r="G1930" s="1">
        <v>45585</v>
      </c>
      <c r="H1930" t="s">
        <v>3166</v>
      </c>
      <c r="I1930">
        <v>8637530</v>
      </c>
      <c r="J1930">
        <v>392615</v>
      </c>
      <c r="K1930">
        <v>31120</v>
      </c>
      <c r="L1930">
        <v>85396</v>
      </c>
      <c r="M1930">
        <v>5.8900000000000001E-2</v>
      </c>
      <c r="N1930">
        <v>0.58499999999999996</v>
      </c>
      <c r="O1930">
        <v>1</v>
      </c>
      <c r="P1930" t="b">
        <f t="shared" si="61"/>
        <v>1</v>
      </c>
      <c r="Q1930" t="str">
        <f t="shared" si="60"/>
        <v>Positive</v>
      </c>
    </row>
    <row r="1931" spans="1:17" x14ac:dyDescent="0.3">
      <c r="A1931" t="s">
        <v>3167</v>
      </c>
      <c r="B1931" t="s">
        <v>66</v>
      </c>
      <c r="C1931" t="s">
        <v>17</v>
      </c>
      <c r="D1931" t="s">
        <v>18</v>
      </c>
      <c r="E1931" t="s">
        <v>51</v>
      </c>
      <c r="F1931" t="s">
        <v>24</v>
      </c>
      <c r="G1931" s="1">
        <v>45343</v>
      </c>
      <c r="H1931" t="s">
        <v>3168</v>
      </c>
      <c r="I1931">
        <v>7068114</v>
      </c>
      <c r="J1931">
        <v>392673</v>
      </c>
      <c r="K1931">
        <v>869</v>
      </c>
      <c r="L1931">
        <v>12056</v>
      </c>
      <c r="M1931">
        <v>5.74E-2</v>
      </c>
      <c r="N1931">
        <v>0.747</v>
      </c>
      <c r="O1931">
        <v>1</v>
      </c>
      <c r="P1931" t="b">
        <f t="shared" si="61"/>
        <v>1</v>
      </c>
      <c r="Q1931" t="str">
        <f t="shared" si="60"/>
        <v>Positive</v>
      </c>
    </row>
    <row r="1932" spans="1:17" x14ac:dyDescent="0.3">
      <c r="A1932" t="s">
        <v>3169</v>
      </c>
      <c r="B1932" t="s">
        <v>16</v>
      </c>
      <c r="C1932" t="s">
        <v>17</v>
      </c>
      <c r="D1932" t="s">
        <v>37</v>
      </c>
      <c r="E1932" t="s">
        <v>19</v>
      </c>
      <c r="F1932" t="s">
        <v>46</v>
      </c>
      <c r="G1932" s="1">
        <v>45346</v>
      </c>
      <c r="H1932" t="s">
        <v>3170</v>
      </c>
      <c r="I1932">
        <v>2095578</v>
      </c>
      <c r="J1932">
        <v>77614</v>
      </c>
      <c r="K1932">
        <v>24604</v>
      </c>
      <c r="L1932">
        <v>35772</v>
      </c>
      <c r="M1932">
        <v>6.5799999999999997E-2</v>
      </c>
      <c r="N1932">
        <v>0.71699999999999997</v>
      </c>
      <c r="O1932">
        <v>1</v>
      </c>
      <c r="P1932" t="b">
        <f t="shared" si="61"/>
        <v>1</v>
      </c>
      <c r="Q1932" t="str">
        <f t="shared" si="60"/>
        <v>Positive</v>
      </c>
    </row>
    <row r="1933" spans="1:17" x14ac:dyDescent="0.3">
      <c r="A1933" t="s">
        <v>3171</v>
      </c>
      <c r="B1933" t="s">
        <v>66</v>
      </c>
      <c r="C1933" t="s">
        <v>28</v>
      </c>
      <c r="D1933" t="s">
        <v>29</v>
      </c>
      <c r="E1933" t="s">
        <v>41</v>
      </c>
      <c r="F1933" t="s">
        <v>46</v>
      </c>
      <c r="G1933" s="1">
        <v>45616</v>
      </c>
      <c r="H1933" t="s">
        <v>3172</v>
      </c>
      <c r="I1933">
        <v>9991580</v>
      </c>
      <c r="J1933">
        <v>499579</v>
      </c>
      <c r="K1933">
        <v>44753</v>
      </c>
      <c r="L1933">
        <v>29378</v>
      </c>
      <c r="M1933">
        <v>5.74E-2</v>
      </c>
      <c r="N1933">
        <v>-0.47799999999999998</v>
      </c>
      <c r="O1933">
        <v>1</v>
      </c>
      <c r="P1933" t="b">
        <f t="shared" si="61"/>
        <v>1</v>
      </c>
      <c r="Q1933" t="str">
        <f t="shared" si="60"/>
        <v>Negative</v>
      </c>
    </row>
    <row r="1934" spans="1:17" x14ac:dyDescent="0.3">
      <c r="A1934" t="s">
        <v>3173</v>
      </c>
      <c r="B1934" t="s">
        <v>27</v>
      </c>
      <c r="C1934" t="s">
        <v>28</v>
      </c>
      <c r="D1934" t="s">
        <v>18</v>
      </c>
      <c r="E1934" t="s">
        <v>19</v>
      </c>
      <c r="F1934" t="s">
        <v>24</v>
      </c>
      <c r="G1934" s="1">
        <v>45490</v>
      </c>
      <c r="H1934" t="s">
        <v>494</v>
      </c>
      <c r="I1934">
        <v>906108</v>
      </c>
      <c r="J1934">
        <v>129444</v>
      </c>
      <c r="K1934">
        <v>11765</v>
      </c>
      <c r="L1934">
        <v>99251</v>
      </c>
      <c r="M1934">
        <v>0.26540000000000002</v>
      </c>
      <c r="N1934">
        <v>-0.38100000000000001</v>
      </c>
      <c r="O1934">
        <v>0</v>
      </c>
      <c r="P1934" t="b">
        <f t="shared" si="61"/>
        <v>0</v>
      </c>
      <c r="Q1934" t="str">
        <f t="shared" si="60"/>
        <v>Negative</v>
      </c>
    </row>
    <row r="1935" spans="1:17" x14ac:dyDescent="0.3">
      <c r="A1935" t="s">
        <v>3174</v>
      </c>
      <c r="B1935" t="s">
        <v>32</v>
      </c>
      <c r="C1935" t="s">
        <v>61</v>
      </c>
      <c r="D1935" t="s">
        <v>18</v>
      </c>
      <c r="E1935" t="s">
        <v>19</v>
      </c>
      <c r="F1935" t="s">
        <v>24</v>
      </c>
      <c r="G1935" s="1">
        <v>45470</v>
      </c>
      <c r="H1935" t="s">
        <v>3175</v>
      </c>
      <c r="I1935">
        <v>4453072</v>
      </c>
      <c r="J1935">
        <v>171272</v>
      </c>
      <c r="K1935">
        <v>4949</v>
      </c>
      <c r="L1935">
        <v>48826</v>
      </c>
      <c r="M1935">
        <v>5.0500000000000003E-2</v>
      </c>
      <c r="N1935">
        <v>-0.255</v>
      </c>
      <c r="O1935">
        <v>1</v>
      </c>
      <c r="P1935" t="b">
        <f t="shared" si="61"/>
        <v>1</v>
      </c>
      <c r="Q1935" t="str">
        <f t="shared" si="60"/>
        <v>Negative</v>
      </c>
    </row>
    <row r="1936" spans="1:17" x14ac:dyDescent="0.3">
      <c r="A1936" t="s">
        <v>3176</v>
      </c>
      <c r="B1936" t="s">
        <v>66</v>
      </c>
      <c r="C1936" t="s">
        <v>28</v>
      </c>
      <c r="D1936" t="s">
        <v>33</v>
      </c>
      <c r="E1936" t="s">
        <v>58</v>
      </c>
      <c r="F1936" t="s">
        <v>46</v>
      </c>
      <c r="G1936" s="1">
        <v>45423</v>
      </c>
      <c r="H1936" t="s">
        <v>1576</v>
      </c>
      <c r="I1936">
        <v>1519602</v>
      </c>
      <c r="J1936">
        <v>108543</v>
      </c>
      <c r="K1936">
        <v>34081</v>
      </c>
      <c r="L1936">
        <v>55284</v>
      </c>
      <c r="M1936">
        <v>0.13020000000000001</v>
      </c>
      <c r="N1936">
        <v>0.57999999999999996</v>
      </c>
      <c r="O1936">
        <v>0</v>
      </c>
      <c r="P1936" t="b">
        <f t="shared" si="61"/>
        <v>0</v>
      </c>
      <c r="Q1936" t="str">
        <f t="shared" si="60"/>
        <v>Positive</v>
      </c>
    </row>
    <row r="1937" spans="1:17" x14ac:dyDescent="0.3">
      <c r="A1937" t="s">
        <v>3177</v>
      </c>
      <c r="B1937" t="s">
        <v>27</v>
      </c>
      <c r="C1937" t="s">
        <v>23</v>
      </c>
      <c r="D1937" t="s">
        <v>54</v>
      </c>
      <c r="E1937" t="s">
        <v>38</v>
      </c>
      <c r="F1937" t="s">
        <v>24</v>
      </c>
      <c r="G1937" s="1">
        <v>45472</v>
      </c>
      <c r="H1937" t="s">
        <v>104</v>
      </c>
      <c r="I1937">
        <v>444206</v>
      </c>
      <c r="J1937">
        <v>31729</v>
      </c>
      <c r="K1937">
        <v>37584</v>
      </c>
      <c r="L1937">
        <v>22959</v>
      </c>
      <c r="M1937">
        <v>0.2077</v>
      </c>
      <c r="N1937">
        <v>0.60599999999999998</v>
      </c>
      <c r="O1937">
        <v>0</v>
      </c>
      <c r="P1937" t="b">
        <f t="shared" si="61"/>
        <v>0</v>
      </c>
      <c r="Q1937" t="str">
        <f t="shared" si="60"/>
        <v>Positive</v>
      </c>
    </row>
    <row r="1938" spans="1:17" x14ac:dyDescent="0.3">
      <c r="A1938" t="s">
        <v>3178</v>
      </c>
      <c r="B1938" t="s">
        <v>66</v>
      </c>
      <c r="C1938" t="s">
        <v>23</v>
      </c>
      <c r="D1938" t="s">
        <v>29</v>
      </c>
      <c r="E1938" t="s">
        <v>41</v>
      </c>
      <c r="F1938" t="s">
        <v>20</v>
      </c>
      <c r="G1938" s="1">
        <v>45321</v>
      </c>
      <c r="H1938" t="s">
        <v>185</v>
      </c>
      <c r="I1938">
        <v>10807493</v>
      </c>
      <c r="J1938">
        <v>469891</v>
      </c>
      <c r="K1938">
        <v>29102</v>
      </c>
      <c r="L1938">
        <v>34208</v>
      </c>
      <c r="M1938">
        <v>4.9299999999999997E-2</v>
      </c>
      <c r="N1938">
        <v>-0.28199999999999997</v>
      </c>
      <c r="O1938">
        <v>1</v>
      </c>
      <c r="P1938" t="b">
        <f t="shared" si="61"/>
        <v>1</v>
      </c>
      <c r="Q1938" t="str">
        <f t="shared" si="60"/>
        <v>Negative</v>
      </c>
    </row>
    <row r="1939" spans="1:17" x14ac:dyDescent="0.3">
      <c r="A1939" t="s">
        <v>3179</v>
      </c>
      <c r="B1939" t="s">
        <v>32</v>
      </c>
      <c r="C1939" t="s">
        <v>17</v>
      </c>
      <c r="D1939" t="s">
        <v>37</v>
      </c>
      <c r="E1939" t="s">
        <v>41</v>
      </c>
      <c r="F1939" t="s">
        <v>46</v>
      </c>
      <c r="G1939" s="1">
        <v>45450</v>
      </c>
      <c r="H1939" t="s">
        <v>3180</v>
      </c>
      <c r="I1939">
        <v>1495104</v>
      </c>
      <c r="J1939">
        <v>249184</v>
      </c>
      <c r="K1939">
        <v>23166</v>
      </c>
      <c r="L1939">
        <v>32874</v>
      </c>
      <c r="M1939">
        <v>0.2041</v>
      </c>
      <c r="N1939">
        <v>-0.39100000000000001</v>
      </c>
      <c r="O1939">
        <v>0</v>
      </c>
      <c r="P1939" t="b">
        <f t="shared" si="61"/>
        <v>0</v>
      </c>
      <c r="Q1939" t="str">
        <f t="shared" si="60"/>
        <v>Negative</v>
      </c>
    </row>
    <row r="1940" spans="1:17" x14ac:dyDescent="0.3">
      <c r="A1940" t="s">
        <v>3181</v>
      </c>
      <c r="B1940" t="s">
        <v>32</v>
      </c>
      <c r="C1940" t="s">
        <v>61</v>
      </c>
      <c r="D1940" t="s">
        <v>18</v>
      </c>
      <c r="E1940" t="s">
        <v>58</v>
      </c>
      <c r="F1940" t="s">
        <v>24</v>
      </c>
      <c r="G1940" s="1">
        <v>45521</v>
      </c>
      <c r="H1940" t="s">
        <v>3182</v>
      </c>
      <c r="I1940">
        <v>8170632</v>
      </c>
      <c r="J1940">
        <v>340443</v>
      </c>
      <c r="K1940">
        <v>25323</v>
      </c>
      <c r="L1940">
        <v>33735</v>
      </c>
      <c r="M1940">
        <v>4.8899999999999999E-2</v>
      </c>
      <c r="N1940">
        <v>-0.54600000000000004</v>
      </c>
      <c r="O1940">
        <v>1</v>
      </c>
      <c r="P1940" t="b">
        <f t="shared" si="61"/>
        <v>1</v>
      </c>
      <c r="Q1940" t="str">
        <f t="shared" si="60"/>
        <v>Negative</v>
      </c>
    </row>
    <row r="1941" spans="1:17" x14ac:dyDescent="0.3">
      <c r="A1941" t="s">
        <v>3183</v>
      </c>
      <c r="B1941" t="s">
        <v>32</v>
      </c>
      <c r="C1941" t="s">
        <v>17</v>
      </c>
      <c r="D1941" t="s">
        <v>37</v>
      </c>
      <c r="E1941" t="s">
        <v>51</v>
      </c>
      <c r="F1941" t="s">
        <v>55</v>
      </c>
      <c r="G1941" s="1">
        <v>45402</v>
      </c>
      <c r="H1941" t="s">
        <v>1046</v>
      </c>
      <c r="I1941">
        <v>3088365</v>
      </c>
      <c r="J1941">
        <v>147065</v>
      </c>
      <c r="K1941">
        <v>45862</v>
      </c>
      <c r="L1941">
        <v>16494</v>
      </c>
      <c r="M1941">
        <v>6.7799999999999999E-2</v>
      </c>
      <c r="N1941">
        <v>0.59699999999999998</v>
      </c>
      <c r="O1941">
        <v>1</v>
      </c>
      <c r="P1941" t="b">
        <f t="shared" si="61"/>
        <v>1</v>
      </c>
      <c r="Q1941" t="str">
        <f t="shared" si="60"/>
        <v>Positive</v>
      </c>
    </row>
    <row r="1942" spans="1:17" x14ac:dyDescent="0.3">
      <c r="A1942" t="s">
        <v>3184</v>
      </c>
      <c r="B1942" t="s">
        <v>16</v>
      </c>
      <c r="C1942" t="s">
        <v>28</v>
      </c>
      <c r="D1942" t="s">
        <v>33</v>
      </c>
      <c r="E1942" t="s">
        <v>41</v>
      </c>
      <c r="F1942" t="s">
        <v>34</v>
      </c>
      <c r="G1942" s="1">
        <v>45627</v>
      </c>
      <c r="H1942" t="s">
        <v>3185</v>
      </c>
      <c r="I1942">
        <v>2592184</v>
      </c>
      <c r="J1942">
        <v>324023</v>
      </c>
      <c r="K1942">
        <v>38457</v>
      </c>
      <c r="L1942">
        <v>13267</v>
      </c>
      <c r="M1942">
        <v>0.14499999999999999</v>
      </c>
      <c r="N1942">
        <v>-0.54500000000000004</v>
      </c>
      <c r="O1942">
        <v>1</v>
      </c>
      <c r="P1942" t="b">
        <f t="shared" si="61"/>
        <v>1</v>
      </c>
      <c r="Q1942" t="str">
        <f t="shared" si="60"/>
        <v>Negative</v>
      </c>
    </row>
    <row r="1943" spans="1:17" x14ac:dyDescent="0.3">
      <c r="A1943" t="s">
        <v>3186</v>
      </c>
      <c r="B1943" t="s">
        <v>16</v>
      </c>
      <c r="C1943" t="s">
        <v>23</v>
      </c>
      <c r="D1943" t="s">
        <v>54</v>
      </c>
      <c r="E1943" t="s">
        <v>38</v>
      </c>
      <c r="F1943" t="s">
        <v>55</v>
      </c>
      <c r="G1943" s="1">
        <v>45369</v>
      </c>
      <c r="H1943" t="s">
        <v>3187</v>
      </c>
      <c r="I1943">
        <v>443040</v>
      </c>
      <c r="J1943">
        <v>17040</v>
      </c>
      <c r="K1943">
        <v>24008</v>
      </c>
      <c r="L1943">
        <v>98409</v>
      </c>
      <c r="M1943">
        <v>0.31480000000000002</v>
      </c>
      <c r="N1943">
        <v>-0.56299999999999994</v>
      </c>
      <c r="O1943">
        <v>0</v>
      </c>
      <c r="P1943" t="b">
        <f t="shared" si="61"/>
        <v>0</v>
      </c>
      <c r="Q1943" t="str">
        <f t="shared" si="60"/>
        <v>Negative</v>
      </c>
    </row>
    <row r="1944" spans="1:17" x14ac:dyDescent="0.3">
      <c r="A1944" t="s">
        <v>3188</v>
      </c>
      <c r="B1944" t="s">
        <v>16</v>
      </c>
      <c r="C1944" t="s">
        <v>61</v>
      </c>
      <c r="D1944" t="s">
        <v>54</v>
      </c>
      <c r="E1944" t="s">
        <v>19</v>
      </c>
      <c r="F1944" t="s">
        <v>46</v>
      </c>
      <c r="G1944" s="1">
        <v>45532</v>
      </c>
      <c r="H1944" t="s">
        <v>3189</v>
      </c>
      <c r="I1944">
        <v>4485481</v>
      </c>
      <c r="J1944">
        <v>345037</v>
      </c>
      <c r="K1944">
        <v>16687</v>
      </c>
      <c r="L1944">
        <v>19623</v>
      </c>
      <c r="M1944">
        <v>8.5000000000000006E-2</v>
      </c>
      <c r="N1944">
        <v>-0.69199999999999995</v>
      </c>
      <c r="O1944">
        <v>1</v>
      </c>
      <c r="P1944" t="b">
        <f t="shared" si="61"/>
        <v>1</v>
      </c>
      <c r="Q1944" t="str">
        <f t="shared" si="60"/>
        <v>Negative</v>
      </c>
    </row>
    <row r="1945" spans="1:17" x14ac:dyDescent="0.3">
      <c r="A1945" t="s">
        <v>3190</v>
      </c>
      <c r="B1945" t="s">
        <v>32</v>
      </c>
      <c r="C1945" t="s">
        <v>17</v>
      </c>
      <c r="D1945" t="s">
        <v>29</v>
      </c>
      <c r="E1945" t="s">
        <v>41</v>
      </c>
      <c r="F1945" t="s">
        <v>55</v>
      </c>
      <c r="G1945" s="1">
        <v>45303</v>
      </c>
      <c r="H1945" t="s">
        <v>1536</v>
      </c>
      <c r="I1945">
        <v>1612369</v>
      </c>
      <c r="J1945">
        <v>146579</v>
      </c>
      <c r="K1945">
        <v>29314</v>
      </c>
      <c r="L1945">
        <v>71919</v>
      </c>
      <c r="M1945">
        <v>0.1537</v>
      </c>
      <c r="N1945">
        <v>-6.3E-2</v>
      </c>
      <c r="O1945">
        <v>0</v>
      </c>
      <c r="P1945" t="b">
        <f t="shared" si="61"/>
        <v>0</v>
      </c>
      <c r="Q1945" t="str">
        <f t="shared" si="60"/>
        <v>Negative</v>
      </c>
    </row>
    <row r="1946" spans="1:17" x14ac:dyDescent="0.3">
      <c r="A1946" t="s">
        <v>3191</v>
      </c>
      <c r="B1946" t="s">
        <v>27</v>
      </c>
      <c r="C1946" t="s">
        <v>61</v>
      </c>
      <c r="D1946" t="s">
        <v>18</v>
      </c>
      <c r="E1946" t="s">
        <v>51</v>
      </c>
      <c r="F1946" t="s">
        <v>46</v>
      </c>
      <c r="G1946" s="1">
        <v>45580</v>
      </c>
      <c r="H1946" t="s">
        <v>80</v>
      </c>
      <c r="I1946">
        <v>4431627</v>
      </c>
      <c r="J1946">
        <v>492403</v>
      </c>
      <c r="K1946">
        <v>21381</v>
      </c>
      <c r="L1946">
        <v>371</v>
      </c>
      <c r="M1946">
        <v>0.11600000000000001</v>
      </c>
      <c r="N1946">
        <v>0.77800000000000002</v>
      </c>
      <c r="O1946">
        <v>1</v>
      </c>
      <c r="P1946" t="b">
        <f t="shared" si="61"/>
        <v>1</v>
      </c>
      <c r="Q1946" t="str">
        <f t="shared" si="60"/>
        <v>Positive</v>
      </c>
    </row>
    <row r="1947" spans="1:17" x14ac:dyDescent="0.3">
      <c r="A1947" t="s">
        <v>3192</v>
      </c>
      <c r="B1947" t="s">
        <v>27</v>
      </c>
      <c r="C1947" t="s">
        <v>61</v>
      </c>
      <c r="D1947" t="s">
        <v>54</v>
      </c>
      <c r="E1947" t="s">
        <v>41</v>
      </c>
      <c r="F1947" t="s">
        <v>34</v>
      </c>
      <c r="G1947" s="1">
        <v>45388</v>
      </c>
      <c r="H1947" t="s">
        <v>240</v>
      </c>
      <c r="I1947">
        <v>560973</v>
      </c>
      <c r="J1947">
        <v>26713</v>
      </c>
      <c r="K1947">
        <v>47273</v>
      </c>
      <c r="L1947">
        <v>3197</v>
      </c>
      <c r="M1947">
        <v>0.1376</v>
      </c>
      <c r="N1947">
        <v>0.15</v>
      </c>
      <c r="O1947">
        <v>0</v>
      </c>
      <c r="P1947" t="b">
        <f t="shared" si="61"/>
        <v>0</v>
      </c>
      <c r="Q1947" t="str">
        <f t="shared" si="60"/>
        <v>Positive</v>
      </c>
    </row>
    <row r="1948" spans="1:17" x14ac:dyDescent="0.3">
      <c r="A1948" t="s">
        <v>3193</v>
      </c>
      <c r="B1948" t="s">
        <v>27</v>
      </c>
      <c r="C1948" t="s">
        <v>28</v>
      </c>
      <c r="D1948" t="s">
        <v>73</v>
      </c>
      <c r="E1948" t="s">
        <v>38</v>
      </c>
      <c r="F1948" t="s">
        <v>34</v>
      </c>
      <c r="G1948" s="1">
        <v>45447</v>
      </c>
      <c r="H1948" t="s">
        <v>392</v>
      </c>
      <c r="I1948">
        <v>1814045</v>
      </c>
      <c r="J1948">
        <v>362809</v>
      </c>
      <c r="K1948">
        <v>10818</v>
      </c>
      <c r="L1948">
        <v>64840</v>
      </c>
      <c r="M1948">
        <v>0.2417</v>
      </c>
      <c r="N1948">
        <v>0.71599999999999997</v>
      </c>
      <c r="O1948">
        <v>0</v>
      </c>
      <c r="P1948" t="b">
        <f t="shared" si="61"/>
        <v>0</v>
      </c>
      <c r="Q1948" t="str">
        <f t="shared" si="60"/>
        <v>Positive</v>
      </c>
    </row>
    <row r="1949" spans="1:17" x14ac:dyDescent="0.3">
      <c r="A1949" t="s">
        <v>3194</v>
      </c>
      <c r="B1949" t="s">
        <v>66</v>
      </c>
      <c r="C1949" t="s">
        <v>23</v>
      </c>
      <c r="D1949" t="s">
        <v>37</v>
      </c>
      <c r="E1949" t="s">
        <v>19</v>
      </c>
      <c r="F1949" t="s">
        <v>20</v>
      </c>
      <c r="G1949" s="1">
        <v>45377</v>
      </c>
      <c r="H1949" t="s">
        <v>3195</v>
      </c>
      <c r="I1949">
        <v>9739532</v>
      </c>
      <c r="J1949">
        <v>442706</v>
      </c>
      <c r="K1949">
        <v>32280</v>
      </c>
      <c r="L1949">
        <v>72380</v>
      </c>
      <c r="M1949">
        <v>5.62E-2</v>
      </c>
      <c r="N1949">
        <v>-0.97799999999999998</v>
      </c>
      <c r="O1949">
        <v>1</v>
      </c>
      <c r="P1949" t="b">
        <f t="shared" si="61"/>
        <v>1</v>
      </c>
      <c r="Q1949" t="str">
        <f t="shared" si="60"/>
        <v>Negative</v>
      </c>
    </row>
    <row r="1950" spans="1:17" x14ac:dyDescent="0.3">
      <c r="A1950" t="s">
        <v>3196</v>
      </c>
      <c r="B1950" t="s">
        <v>66</v>
      </c>
      <c r="C1950" t="s">
        <v>61</v>
      </c>
      <c r="D1950" t="s">
        <v>18</v>
      </c>
      <c r="E1950" t="s">
        <v>19</v>
      </c>
      <c r="F1950" t="s">
        <v>24</v>
      </c>
      <c r="G1950" s="1">
        <v>45428</v>
      </c>
      <c r="H1950" t="s">
        <v>3197</v>
      </c>
      <c r="I1950">
        <v>346472</v>
      </c>
      <c r="J1950">
        <v>43309</v>
      </c>
      <c r="K1950">
        <v>31644</v>
      </c>
      <c r="L1950">
        <v>42488</v>
      </c>
      <c r="M1950">
        <v>0.33900000000000002</v>
      </c>
      <c r="N1950">
        <v>0.32900000000000001</v>
      </c>
      <c r="O1950">
        <v>0</v>
      </c>
      <c r="P1950" t="b">
        <f t="shared" si="61"/>
        <v>0</v>
      </c>
      <c r="Q1950" t="str">
        <f t="shared" si="60"/>
        <v>Positive</v>
      </c>
    </row>
    <row r="1951" spans="1:17" x14ac:dyDescent="0.3">
      <c r="A1951" t="s">
        <v>3198</v>
      </c>
      <c r="B1951" t="s">
        <v>66</v>
      </c>
      <c r="C1951" t="s">
        <v>17</v>
      </c>
      <c r="D1951" t="s">
        <v>54</v>
      </c>
      <c r="E1951" t="s">
        <v>58</v>
      </c>
      <c r="F1951" t="s">
        <v>55</v>
      </c>
      <c r="G1951" s="1">
        <v>45529</v>
      </c>
      <c r="H1951" t="s">
        <v>3199</v>
      </c>
      <c r="I1951">
        <v>7101248</v>
      </c>
      <c r="J1951">
        <v>253616</v>
      </c>
      <c r="K1951">
        <v>11869</v>
      </c>
      <c r="L1951">
        <v>66962</v>
      </c>
      <c r="M1951">
        <v>4.6800000000000001E-2</v>
      </c>
      <c r="N1951">
        <v>0.877</v>
      </c>
      <c r="O1951">
        <v>1</v>
      </c>
      <c r="P1951" t="b">
        <f t="shared" si="61"/>
        <v>1</v>
      </c>
      <c r="Q1951" t="str">
        <f t="shared" si="60"/>
        <v>Positive</v>
      </c>
    </row>
    <row r="1952" spans="1:17" x14ac:dyDescent="0.3">
      <c r="A1952" t="s">
        <v>3200</v>
      </c>
      <c r="B1952" t="s">
        <v>16</v>
      </c>
      <c r="C1952" t="s">
        <v>61</v>
      </c>
      <c r="D1952" t="s">
        <v>29</v>
      </c>
      <c r="E1952" t="s">
        <v>19</v>
      </c>
      <c r="F1952" t="s">
        <v>34</v>
      </c>
      <c r="G1952" s="1">
        <v>45444</v>
      </c>
      <c r="H1952" t="s">
        <v>3201</v>
      </c>
      <c r="I1952">
        <v>8155380</v>
      </c>
      <c r="J1952">
        <v>281220</v>
      </c>
      <c r="K1952">
        <v>34263</v>
      </c>
      <c r="L1952">
        <v>56867</v>
      </c>
      <c r="M1952">
        <v>4.5699999999999998E-2</v>
      </c>
      <c r="N1952">
        <v>0.70699999999999996</v>
      </c>
      <c r="O1952">
        <v>1</v>
      </c>
      <c r="P1952" t="b">
        <f t="shared" si="61"/>
        <v>1</v>
      </c>
      <c r="Q1952" t="str">
        <f t="shared" si="60"/>
        <v>Positive</v>
      </c>
    </row>
    <row r="1953" spans="1:17" x14ac:dyDescent="0.3">
      <c r="A1953" t="s">
        <v>3202</v>
      </c>
      <c r="B1953" t="s">
        <v>16</v>
      </c>
      <c r="C1953" t="s">
        <v>17</v>
      </c>
      <c r="D1953" t="s">
        <v>37</v>
      </c>
      <c r="E1953" t="s">
        <v>58</v>
      </c>
      <c r="F1953" t="s">
        <v>20</v>
      </c>
      <c r="G1953" s="1">
        <v>45617</v>
      </c>
      <c r="H1953" t="s">
        <v>3203</v>
      </c>
      <c r="I1953">
        <v>7333925</v>
      </c>
      <c r="J1953">
        <v>293357</v>
      </c>
      <c r="K1953">
        <v>49989</v>
      </c>
      <c r="L1953">
        <v>15402</v>
      </c>
      <c r="M1953">
        <v>4.8899999999999999E-2</v>
      </c>
      <c r="N1953">
        <v>-0.13200000000000001</v>
      </c>
      <c r="O1953">
        <v>1</v>
      </c>
      <c r="P1953" t="b">
        <f t="shared" si="61"/>
        <v>1</v>
      </c>
      <c r="Q1953" t="str">
        <f t="shared" si="60"/>
        <v>Negative</v>
      </c>
    </row>
    <row r="1954" spans="1:17" x14ac:dyDescent="0.3">
      <c r="A1954" t="s">
        <v>3204</v>
      </c>
      <c r="B1954" t="s">
        <v>32</v>
      </c>
      <c r="C1954" t="s">
        <v>61</v>
      </c>
      <c r="D1954" t="s">
        <v>73</v>
      </c>
      <c r="E1954" t="s">
        <v>58</v>
      </c>
      <c r="F1954" t="s">
        <v>34</v>
      </c>
      <c r="G1954" s="1">
        <v>45391</v>
      </c>
      <c r="H1954" t="s">
        <v>82</v>
      </c>
      <c r="I1954">
        <v>2152618</v>
      </c>
      <c r="J1954">
        <v>165586</v>
      </c>
      <c r="K1954">
        <v>16147</v>
      </c>
      <c r="L1954">
        <v>71493</v>
      </c>
      <c r="M1954">
        <v>0.1176</v>
      </c>
      <c r="N1954">
        <v>-0.77200000000000002</v>
      </c>
      <c r="O1954">
        <v>1</v>
      </c>
      <c r="P1954" t="b">
        <f t="shared" si="61"/>
        <v>1</v>
      </c>
      <c r="Q1954" t="str">
        <f t="shared" si="60"/>
        <v>Negative</v>
      </c>
    </row>
    <row r="1955" spans="1:17" x14ac:dyDescent="0.3">
      <c r="A1955" t="s">
        <v>3205</v>
      </c>
      <c r="B1955" t="s">
        <v>66</v>
      </c>
      <c r="C1955" t="s">
        <v>28</v>
      </c>
      <c r="D1955" t="s">
        <v>29</v>
      </c>
      <c r="E1955" t="s">
        <v>41</v>
      </c>
      <c r="F1955" t="s">
        <v>34</v>
      </c>
      <c r="G1955" s="1">
        <v>45606</v>
      </c>
      <c r="H1955" t="s">
        <v>3206</v>
      </c>
      <c r="I1955">
        <v>387585</v>
      </c>
      <c r="J1955">
        <v>35235</v>
      </c>
      <c r="K1955">
        <v>6701</v>
      </c>
      <c r="L1955">
        <v>27863</v>
      </c>
      <c r="M1955">
        <v>0.18010000000000001</v>
      </c>
      <c r="N1955">
        <v>-0.65200000000000002</v>
      </c>
      <c r="O1955">
        <v>0</v>
      </c>
      <c r="P1955" t="b">
        <f t="shared" si="61"/>
        <v>0</v>
      </c>
      <c r="Q1955" t="str">
        <f t="shared" si="60"/>
        <v>Negative</v>
      </c>
    </row>
    <row r="1956" spans="1:17" x14ac:dyDescent="0.3">
      <c r="A1956" t="s">
        <v>3207</v>
      </c>
      <c r="B1956" t="s">
        <v>16</v>
      </c>
      <c r="C1956" t="s">
        <v>23</v>
      </c>
      <c r="D1956" t="s">
        <v>33</v>
      </c>
      <c r="E1956" t="s">
        <v>41</v>
      </c>
      <c r="F1956" t="s">
        <v>20</v>
      </c>
      <c r="G1956" s="1">
        <v>45598</v>
      </c>
      <c r="H1956" t="s">
        <v>3208</v>
      </c>
      <c r="I1956">
        <v>119637</v>
      </c>
      <c r="J1956">
        <v>4431</v>
      </c>
      <c r="K1956">
        <v>44653</v>
      </c>
      <c r="L1956">
        <v>28550</v>
      </c>
      <c r="M1956">
        <v>0.64890000000000003</v>
      </c>
      <c r="N1956">
        <v>0.83</v>
      </c>
      <c r="O1956">
        <v>0</v>
      </c>
      <c r="P1956" t="b">
        <f t="shared" si="61"/>
        <v>0</v>
      </c>
      <c r="Q1956" t="str">
        <f t="shared" si="60"/>
        <v>Positive</v>
      </c>
    </row>
    <row r="1957" spans="1:17" x14ac:dyDescent="0.3">
      <c r="A1957" t="s">
        <v>3209</v>
      </c>
      <c r="B1957" t="s">
        <v>16</v>
      </c>
      <c r="C1957" t="s">
        <v>23</v>
      </c>
      <c r="D1957" t="s">
        <v>54</v>
      </c>
      <c r="E1957" t="s">
        <v>38</v>
      </c>
      <c r="F1957" t="s">
        <v>20</v>
      </c>
      <c r="G1957" s="1">
        <v>45329</v>
      </c>
      <c r="H1957" t="s">
        <v>307</v>
      </c>
      <c r="I1957">
        <v>10225225</v>
      </c>
      <c r="J1957">
        <v>444575</v>
      </c>
      <c r="K1957">
        <v>7041</v>
      </c>
      <c r="L1957">
        <v>53473</v>
      </c>
      <c r="M1957">
        <v>4.9399999999999999E-2</v>
      </c>
      <c r="N1957">
        <v>0.20399999999999999</v>
      </c>
      <c r="O1957">
        <v>1</v>
      </c>
      <c r="P1957" t="b">
        <f t="shared" si="61"/>
        <v>1</v>
      </c>
      <c r="Q1957" t="str">
        <f t="shared" si="60"/>
        <v>Positive</v>
      </c>
    </row>
    <row r="1958" spans="1:17" x14ac:dyDescent="0.3">
      <c r="A1958" t="s">
        <v>3210</v>
      </c>
      <c r="B1958" t="s">
        <v>66</v>
      </c>
      <c r="C1958" t="s">
        <v>61</v>
      </c>
      <c r="D1958" t="s">
        <v>18</v>
      </c>
      <c r="E1958" t="s">
        <v>41</v>
      </c>
      <c r="F1958" t="s">
        <v>34</v>
      </c>
      <c r="G1958" s="1">
        <v>45407</v>
      </c>
      <c r="H1958" t="s">
        <v>199</v>
      </c>
      <c r="I1958">
        <v>3684240</v>
      </c>
      <c r="J1958">
        <v>204680</v>
      </c>
      <c r="K1958">
        <v>15334</v>
      </c>
      <c r="L1958">
        <v>50618</v>
      </c>
      <c r="M1958">
        <v>7.3499999999999996E-2</v>
      </c>
      <c r="N1958">
        <v>0.04</v>
      </c>
      <c r="O1958">
        <v>1</v>
      </c>
      <c r="P1958" t="b">
        <f t="shared" si="61"/>
        <v>1</v>
      </c>
      <c r="Q1958" t="str">
        <f t="shared" si="60"/>
        <v>Positive</v>
      </c>
    </row>
    <row r="1959" spans="1:17" x14ac:dyDescent="0.3">
      <c r="A1959" t="s">
        <v>3211</v>
      </c>
      <c r="B1959" t="s">
        <v>32</v>
      </c>
      <c r="C1959" t="s">
        <v>61</v>
      </c>
      <c r="D1959" t="s">
        <v>18</v>
      </c>
      <c r="E1959" t="s">
        <v>58</v>
      </c>
      <c r="F1959" t="s">
        <v>24</v>
      </c>
      <c r="G1959" s="1">
        <v>45332</v>
      </c>
      <c r="H1959" t="s">
        <v>1134</v>
      </c>
      <c r="I1959">
        <v>481984</v>
      </c>
      <c r="J1959">
        <v>60248</v>
      </c>
      <c r="K1959">
        <v>46931</v>
      </c>
      <c r="L1959">
        <v>75272</v>
      </c>
      <c r="M1959">
        <v>0.3785</v>
      </c>
      <c r="N1959">
        <v>-0.77400000000000002</v>
      </c>
      <c r="O1959">
        <v>0</v>
      </c>
      <c r="P1959" t="b">
        <f t="shared" si="61"/>
        <v>0</v>
      </c>
      <c r="Q1959" t="str">
        <f t="shared" si="60"/>
        <v>Negative</v>
      </c>
    </row>
    <row r="1960" spans="1:17" x14ac:dyDescent="0.3">
      <c r="A1960" t="s">
        <v>3212</v>
      </c>
      <c r="B1960" t="s">
        <v>16</v>
      </c>
      <c r="C1960" t="s">
        <v>23</v>
      </c>
      <c r="D1960" t="s">
        <v>29</v>
      </c>
      <c r="E1960" t="s">
        <v>51</v>
      </c>
      <c r="F1960" t="s">
        <v>24</v>
      </c>
      <c r="G1960" s="1">
        <v>45545</v>
      </c>
      <c r="H1960" t="s">
        <v>2475</v>
      </c>
      <c r="I1960">
        <v>2946921</v>
      </c>
      <c r="J1960">
        <v>128127</v>
      </c>
      <c r="K1960">
        <v>45776</v>
      </c>
      <c r="L1960">
        <v>93136</v>
      </c>
      <c r="M1960">
        <v>9.06E-2</v>
      </c>
      <c r="N1960">
        <v>-0.42499999999999999</v>
      </c>
      <c r="O1960">
        <v>1</v>
      </c>
      <c r="P1960" t="b">
        <f t="shared" si="61"/>
        <v>1</v>
      </c>
      <c r="Q1960" t="str">
        <f t="shared" si="60"/>
        <v>Negative</v>
      </c>
    </row>
    <row r="1961" spans="1:17" x14ac:dyDescent="0.3">
      <c r="A1961" t="s">
        <v>3213</v>
      </c>
      <c r="B1961" t="s">
        <v>27</v>
      </c>
      <c r="C1961" t="s">
        <v>23</v>
      </c>
      <c r="D1961" t="s">
        <v>29</v>
      </c>
      <c r="E1961" t="s">
        <v>51</v>
      </c>
      <c r="F1961" t="s">
        <v>34</v>
      </c>
      <c r="G1961" s="1">
        <v>45341</v>
      </c>
      <c r="H1961" t="s">
        <v>2708</v>
      </c>
      <c r="I1961">
        <v>9473310</v>
      </c>
      <c r="J1961">
        <v>430605</v>
      </c>
      <c r="K1961">
        <v>33897</v>
      </c>
      <c r="L1961">
        <v>71197</v>
      </c>
      <c r="M1961">
        <v>5.6500000000000002E-2</v>
      </c>
      <c r="N1961">
        <v>0.17599999999999999</v>
      </c>
      <c r="O1961">
        <v>1</v>
      </c>
      <c r="P1961" t="b">
        <f t="shared" si="61"/>
        <v>1</v>
      </c>
      <c r="Q1961" t="str">
        <f t="shared" si="60"/>
        <v>Positive</v>
      </c>
    </row>
    <row r="1962" spans="1:17" x14ac:dyDescent="0.3">
      <c r="A1962" t="s">
        <v>3214</v>
      </c>
      <c r="B1962" t="s">
        <v>16</v>
      </c>
      <c r="C1962" t="s">
        <v>23</v>
      </c>
      <c r="D1962" t="s">
        <v>18</v>
      </c>
      <c r="E1962" t="s">
        <v>51</v>
      </c>
      <c r="F1962" t="s">
        <v>20</v>
      </c>
      <c r="G1962" s="1">
        <v>45350</v>
      </c>
      <c r="H1962" t="s">
        <v>927</v>
      </c>
      <c r="I1962">
        <v>4705646</v>
      </c>
      <c r="J1962">
        <v>427786</v>
      </c>
      <c r="K1962">
        <v>18390</v>
      </c>
      <c r="L1962">
        <v>23297</v>
      </c>
      <c r="M1962">
        <v>9.98E-2</v>
      </c>
      <c r="N1962">
        <v>0.105</v>
      </c>
      <c r="O1962">
        <v>1</v>
      </c>
      <c r="P1962" t="b">
        <f t="shared" si="61"/>
        <v>1</v>
      </c>
      <c r="Q1962" t="str">
        <f t="shared" si="60"/>
        <v>Positive</v>
      </c>
    </row>
    <row r="1963" spans="1:17" x14ac:dyDescent="0.3">
      <c r="A1963" t="s">
        <v>3215</v>
      </c>
      <c r="B1963" t="s">
        <v>66</v>
      </c>
      <c r="C1963" t="s">
        <v>17</v>
      </c>
      <c r="D1963" t="s">
        <v>29</v>
      </c>
      <c r="E1963" t="s">
        <v>51</v>
      </c>
      <c r="F1963" t="s">
        <v>55</v>
      </c>
      <c r="G1963" s="1">
        <v>45387</v>
      </c>
      <c r="H1963" t="s">
        <v>3216</v>
      </c>
      <c r="I1963">
        <v>635568</v>
      </c>
      <c r="J1963">
        <v>26482</v>
      </c>
      <c r="K1963">
        <v>11144</v>
      </c>
      <c r="L1963">
        <v>97597</v>
      </c>
      <c r="M1963">
        <v>0.21279999999999999</v>
      </c>
      <c r="N1963">
        <v>0.749</v>
      </c>
      <c r="O1963">
        <v>0</v>
      </c>
      <c r="P1963" t="b">
        <f t="shared" si="61"/>
        <v>0</v>
      </c>
      <c r="Q1963" t="str">
        <f t="shared" si="60"/>
        <v>Positive</v>
      </c>
    </row>
    <row r="1964" spans="1:17" x14ac:dyDescent="0.3">
      <c r="A1964" t="s">
        <v>3217</v>
      </c>
      <c r="B1964" t="s">
        <v>27</v>
      </c>
      <c r="C1964" t="s">
        <v>28</v>
      </c>
      <c r="D1964" t="s">
        <v>33</v>
      </c>
      <c r="E1964" t="s">
        <v>38</v>
      </c>
      <c r="F1964" t="s">
        <v>46</v>
      </c>
      <c r="G1964" s="1">
        <v>45451</v>
      </c>
      <c r="H1964" t="s">
        <v>199</v>
      </c>
      <c r="I1964">
        <v>4518500</v>
      </c>
      <c r="J1964">
        <v>225925</v>
      </c>
      <c r="K1964">
        <v>39296</v>
      </c>
      <c r="L1964">
        <v>12398</v>
      </c>
      <c r="M1964">
        <v>6.1400000000000003E-2</v>
      </c>
      <c r="N1964">
        <v>0.129</v>
      </c>
      <c r="O1964">
        <v>1</v>
      </c>
      <c r="P1964" t="b">
        <f t="shared" si="61"/>
        <v>1</v>
      </c>
      <c r="Q1964" t="str">
        <f t="shared" si="60"/>
        <v>Positive</v>
      </c>
    </row>
    <row r="1965" spans="1:17" x14ac:dyDescent="0.3">
      <c r="A1965" t="s">
        <v>3218</v>
      </c>
      <c r="B1965" t="s">
        <v>27</v>
      </c>
      <c r="C1965" t="s">
        <v>61</v>
      </c>
      <c r="D1965" t="s">
        <v>37</v>
      </c>
      <c r="E1965" t="s">
        <v>38</v>
      </c>
      <c r="F1965" t="s">
        <v>24</v>
      </c>
      <c r="G1965" s="1">
        <v>45599</v>
      </c>
      <c r="H1965" t="s">
        <v>3219</v>
      </c>
      <c r="I1965">
        <v>1619332</v>
      </c>
      <c r="J1965">
        <v>62282</v>
      </c>
      <c r="K1965">
        <v>26945</v>
      </c>
      <c r="L1965">
        <v>42250</v>
      </c>
      <c r="M1965">
        <v>8.1199999999999994E-2</v>
      </c>
      <c r="N1965">
        <v>-0.75</v>
      </c>
      <c r="O1965">
        <v>0</v>
      </c>
      <c r="P1965" t="b">
        <f t="shared" si="61"/>
        <v>0</v>
      </c>
      <c r="Q1965" t="str">
        <f t="shared" si="60"/>
        <v>Negative</v>
      </c>
    </row>
    <row r="1966" spans="1:17" x14ac:dyDescent="0.3">
      <c r="A1966" t="s">
        <v>3220</v>
      </c>
      <c r="B1966" t="s">
        <v>16</v>
      </c>
      <c r="C1966" t="s">
        <v>23</v>
      </c>
      <c r="D1966" t="s">
        <v>54</v>
      </c>
      <c r="E1966" t="s">
        <v>51</v>
      </c>
      <c r="F1966" t="s">
        <v>46</v>
      </c>
      <c r="G1966" s="1">
        <v>45653</v>
      </c>
      <c r="H1966" t="s">
        <v>87</v>
      </c>
      <c r="I1966">
        <v>9101760</v>
      </c>
      <c r="J1966">
        <v>455088</v>
      </c>
      <c r="K1966">
        <v>13829</v>
      </c>
      <c r="L1966">
        <v>13445</v>
      </c>
      <c r="M1966">
        <v>5.2999999999999999E-2</v>
      </c>
      <c r="N1966">
        <v>-0.48</v>
      </c>
      <c r="O1966">
        <v>1</v>
      </c>
      <c r="P1966" t="b">
        <f t="shared" si="61"/>
        <v>1</v>
      </c>
      <c r="Q1966" t="str">
        <f t="shared" si="60"/>
        <v>Negative</v>
      </c>
    </row>
    <row r="1967" spans="1:17" x14ac:dyDescent="0.3">
      <c r="A1967" t="s">
        <v>3221</v>
      </c>
      <c r="B1967" t="s">
        <v>66</v>
      </c>
      <c r="C1967" t="s">
        <v>17</v>
      </c>
      <c r="D1967" t="s">
        <v>37</v>
      </c>
      <c r="E1967" t="s">
        <v>58</v>
      </c>
      <c r="F1967" t="s">
        <v>55</v>
      </c>
      <c r="G1967" s="1">
        <v>45633</v>
      </c>
      <c r="H1967" t="s">
        <v>3222</v>
      </c>
      <c r="I1967">
        <v>1682031</v>
      </c>
      <c r="J1967">
        <v>98943</v>
      </c>
      <c r="K1967">
        <v>10979</v>
      </c>
      <c r="L1967">
        <v>38384</v>
      </c>
      <c r="M1967">
        <v>8.8200000000000001E-2</v>
      </c>
      <c r="N1967">
        <v>-0.80400000000000005</v>
      </c>
      <c r="O1967">
        <v>0</v>
      </c>
      <c r="P1967" t="b">
        <f t="shared" si="61"/>
        <v>0</v>
      </c>
      <c r="Q1967" t="str">
        <f t="shared" si="60"/>
        <v>Negative</v>
      </c>
    </row>
    <row r="1968" spans="1:17" x14ac:dyDescent="0.3">
      <c r="A1968" t="s">
        <v>3223</v>
      </c>
      <c r="B1968" t="s">
        <v>66</v>
      </c>
      <c r="C1968" t="s">
        <v>23</v>
      </c>
      <c r="D1968" t="s">
        <v>33</v>
      </c>
      <c r="E1968" t="s">
        <v>51</v>
      </c>
      <c r="F1968" t="s">
        <v>34</v>
      </c>
      <c r="G1968" s="1">
        <v>45429</v>
      </c>
      <c r="H1968" t="s">
        <v>1738</v>
      </c>
      <c r="I1968">
        <v>6478056</v>
      </c>
      <c r="J1968">
        <v>359892</v>
      </c>
      <c r="K1968">
        <v>28518</v>
      </c>
      <c r="L1968">
        <v>2957</v>
      </c>
      <c r="M1968">
        <v>6.0400000000000002E-2</v>
      </c>
      <c r="N1968">
        <v>-0.77900000000000003</v>
      </c>
      <c r="O1968">
        <v>1</v>
      </c>
      <c r="P1968" t="b">
        <f t="shared" si="61"/>
        <v>1</v>
      </c>
      <c r="Q1968" t="str">
        <f t="shared" si="60"/>
        <v>Negative</v>
      </c>
    </row>
    <row r="1969" spans="1:17" x14ac:dyDescent="0.3">
      <c r="A1969" t="s">
        <v>3224</v>
      </c>
      <c r="B1969" t="s">
        <v>66</v>
      </c>
      <c r="C1969" t="s">
        <v>23</v>
      </c>
      <c r="D1969" t="s">
        <v>73</v>
      </c>
      <c r="E1969" t="s">
        <v>19</v>
      </c>
      <c r="F1969" t="s">
        <v>20</v>
      </c>
      <c r="G1969" s="1">
        <v>45460</v>
      </c>
      <c r="H1969" t="s">
        <v>1315</v>
      </c>
      <c r="I1969">
        <v>2621073</v>
      </c>
      <c r="J1969">
        <v>124813</v>
      </c>
      <c r="K1969">
        <v>37860</v>
      </c>
      <c r="L1969">
        <v>55613</v>
      </c>
      <c r="M1969">
        <v>8.3299999999999999E-2</v>
      </c>
      <c r="N1969">
        <v>0.47899999999999998</v>
      </c>
      <c r="O1969">
        <v>1</v>
      </c>
      <c r="P1969" t="b">
        <f t="shared" si="61"/>
        <v>1</v>
      </c>
      <c r="Q1969" t="str">
        <f t="shared" si="60"/>
        <v>Positive</v>
      </c>
    </row>
    <row r="1970" spans="1:17" x14ac:dyDescent="0.3">
      <c r="A1970" t="s">
        <v>3225</v>
      </c>
      <c r="B1970" t="s">
        <v>32</v>
      </c>
      <c r="C1970" t="s">
        <v>61</v>
      </c>
      <c r="D1970" t="s">
        <v>73</v>
      </c>
      <c r="E1970" t="s">
        <v>19</v>
      </c>
      <c r="F1970" t="s">
        <v>34</v>
      </c>
      <c r="G1970" s="1">
        <v>45475</v>
      </c>
      <c r="H1970" t="s">
        <v>1108</v>
      </c>
      <c r="I1970">
        <v>4609374</v>
      </c>
      <c r="J1970">
        <v>209517</v>
      </c>
      <c r="K1970">
        <v>14860</v>
      </c>
      <c r="L1970">
        <v>94925</v>
      </c>
      <c r="M1970">
        <v>6.93E-2</v>
      </c>
      <c r="N1970">
        <v>0.54800000000000004</v>
      </c>
      <c r="O1970">
        <v>1</v>
      </c>
      <c r="P1970" t="b">
        <f t="shared" si="61"/>
        <v>1</v>
      </c>
      <c r="Q1970" t="str">
        <f t="shared" si="60"/>
        <v>Positive</v>
      </c>
    </row>
    <row r="1971" spans="1:17" x14ac:dyDescent="0.3">
      <c r="A1971" t="s">
        <v>3226</v>
      </c>
      <c r="B1971" t="s">
        <v>16</v>
      </c>
      <c r="C1971" t="s">
        <v>23</v>
      </c>
      <c r="D1971" t="s">
        <v>33</v>
      </c>
      <c r="E1971" t="s">
        <v>51</v>
      </c>
      <c r="F1971" t="s">
        <v>20</v>
      </c>
      <c r="G1971" s="1">
        <v>45594</v>
      </c>
      <c r="H1971" t="s">
        <v>3227</v>
      </c>
      <c r="I1971">
        <v>4540815</v>
      </c>
      <c r="J1971">
        <v>302721</v>
      </c>
      <c r="K1971">
        <v>32227</v>
      </c>
      <c r="L1971">
        <v>18321</v>
      </c>
      <c r="M1971">
        <v>7.7799999999999994E-2</v>
      </c>
      <c r="N1971">
        <v>0.59099999999999997</v>
      </c>
      <c r="O1971">
        <v>1</v>
      </c>
      <c r="P1971" t="b">
        <f t="shared" si="61"/>
        <v>1</v>
      </c>
      <c r="Q1971" t="str">
        <f t="shared" si="60"/>
        <v>Positive</v>
      </c>
    </row>
    <row r="1972" spans="1:17" x14ac:dyDescent="0.3">
      <c r="A1972" t="s">
        <v>3228</v>
      </c>
      <c r="B1972" t="s">
        <v>66</v>
      </c>
      <c r="C1972" t="s">
        <v>28</v>
      </c>
      <c r="D1972" t="s">
        <v>54</v>
      </c>
      <c r="E1972" t="s">
        <v>58</v>
      </c>
      <c r="F1972" t="s">
        <v>55</v>
      </c>
      <c r="G1972" s="1">
        <v>45552</v>
      </c>
      <c r="H1972" t="s">
        <v>3229</v>
      </c>
      <c r="I1972">
        <v>2053340</v>
      </c>
      <c r="J1972">
        <v>410668</v>
      </c>
      <c r="K1972">
        <v>7302</v>
      </c>
      <c r="L1972">
        <v>93477</v>
      </c>
      <c r="M1972">
        <v>0.24909999999999999</v>
      </c>
      <c r="N1972">
        <v>-0.52900000000000003</v>
      </c>
      <c r="O1972">
        <v>1</v>
      </c>
      <c r="P1972" t="b">
        <f t="shared" si="61"/>
        <v>1</v>
      </c>
      <c r="Q1972" t="str">
        <f t="shared" si="60"/>
        <v>Negative</v>
      </c>
    </row>
    <row r="1973" spans="1:17" x14ac:dyDescent="0.3">
      <c r="A1973" t="s">
        <v>3230</v>
      </c>
      <c r="B1973" t="s">
        <v>32</v>
      </c>
      <c r="C1973" t="s">
        <v>17</v>
      </c>
      <c r="D1973" t="s">
        <v>54</v>
      </c>
      <c r="E1973" t="s">
        <v>58</v>
      </c>
      <c r="F1973" t="s">
        <v>24</v>
      </c>
      <c r="G1973" s="1">
        <v>45520</v>
      </c>
      <c r="H1973" t="s">
        <v>692</v>
      </c>
      <c r="I1973">
        <v>266287</v>
      </c>
      <c r="J1973">
        <v>38041</v>
      </c>
      <c r="K1973">
        <v>17278</v>
      </c>
      <c r="L1973">
        <v>25369</v>
      </c>
      <c r="M1973">
        <v>0.30299999999999999</v>
      </c>
      <c r="N1973">
        <v>0.42</v>
      </c>
      <c r="O1973">
        <v>0</v>
      </c>
      <c r="P1973" t="b">
        <f t="shared" si="61"/>
        <v>0</v>
      </c>
      <c r="Q1973" t="str">
        <f t="shared" si="60"/>
        <v>Positive</v>
      </c>
    </row>
    <row r="1974" spans="1:17" x14ac:dyDescent="0.3">
      <c r="A1974" t="s">
        <v>3231</v>
      </c>
      <c r="B1974" t="s">
        <v>27</v>
      </c>
      <c r="C1974" t="s">
        <v>17</v>
      </c>
      <c r="D1974" t="s">
        <v>18</v>
      </c>
      <c r="E1974" t="s">
        <v>58</v>
      </c>
      <c r="F1974" t="s">
        <v>34</v>
      </c>
      <c r="G1974" s="1">
        <v>45470</v>
      </c>
      <c r="H1974" t="s">
        <v>112</v>
      </c>
      <c r="I1974">
        <v>5306340</v>
      </c>
      <c r="J1974">
        <v>204090</v>
      </c>
      <c r="K1974">
        <v>806</v>
      </c>
      <c r="L1974">
        <v>47966</v>
      </c>
      <c r="M1974">
        <v>4.7699999999999999E-2</v>
      </c>
      <c r="N1974">
        <v>-0.56899999999999995</v>
      </c>
      <c r="O1974">
        <v>1</v>
      </c>
      <c r="P1974" t="b">
        <f t="shared" si="61"/>
        <v>1</v>
      </c>
      <c r="Q1974" t="str">
        <f t="shared" si="60"/>
        <v>Negative</v>
      </c>
    </row>
    <row r="1975" spans="1:17" x14ac:dyDescent="0.3">
      <c r="A1975" t="s">
        <v>3232</v>
      </c>
      <c r="B1975" t="s">
        <v>66</v>
      </c>
      <c r="C1975" t="s">
        <v>61</v>
      </c>
      <c r="D1975" t="s">
        <v>54</v>
      </c>
      <c r="E1975" t="s">
        <v>41</v>
      </c>
      <c r="F1975" t="s">
        <v>20</v>
      </c>
      <c r="G1975" s="1">
        <v>45637</v>
      </c>
      <c r="H1975" t="s">
        <v>2206</v>
      </c>
      <c r="I1975">
        <v>4174982</v>
      </c>
      <c r="J1975">
        <v>298213</v>
      </c>
      <c r="K1975">
        <v>16738</v>
      </c>
      <c r="L1975">
        <v>32450</v>
      </c>
      <c r="M1975">
        <v>8.3199999999999996E-2</v>
      </c>
      <c r="N1975">
        <v>-0.751</v>
      </c>
      <c r="O1975">
        <v>1</v>
      </c>
      <c r="P1975" t="b">
        <f t="shared" si="61"/>
        <v>1</v>
      </c>
      <c r="Q1975" t="str">
        <f t="shared" si="60"/>
        <v>Negative</v>
      </c>
    </row>
    <row r="1976" spans="1:17" x14ac:dyDescent="0.3">
      <c r="A1976" t="s">
        <v>3233</v>
      </c>
      <c r="B1976" t="s">
        <v>66</v>
      </c>
      <c r="C1976" t="s">
        <v>28</v>
      </c>
      <c r="D1976" t="s">
        <v>33</v>
      </c>
      <c r="E1976" t="s">
        <v>19</v>
      </c>
      <c r="F1976" t="s">
        <v>20</v>
      </c>
      <c r="G1976" s="1">
        <v>45554</v>
      </c>
      <c r="H1976" t="s">
        <v>144</v>
      </c>
      <c r="I1976">
        <v>3237840</v>
      </c>
      <c r="J1976">
        <v>161892</v>
      </c>
      <c r="K1976">
        <v>9977</v>
      </c>
      <c r="L1976">
        <v>33352</v>
      </c>
      <c r="M1976">
        <v>6.3399999999999998E-2</v>
      </c>
      <c r="N1976">
        <v>0.70599999999999996</v>
      </c>
      <c r="O1976">
        <v>1</v>
      </c>
      <c r="P1976" t="b">
        <f t="shared" si="61"/>
        <v>1</v>
      </c>
      <c r="Q1976" t="str">
        <f t="shared" si="60"/>
        <v>Positive</v>
      </c>
    </row>
    <row r="1977" spans="1:17" x14ac:dyDescent="0.3">
      <c r="A1977" t="s">
        <v>3234</v>
      </c>
      <c r="B1977" t="s">
        <v>27</v>
      </c>
      <c r="C1977" t="s">
        <v>28</v>
      </c>
      <c r="D1977" t="s">
        <v>33</v>
      </c>
      <c r="E1977" t="s">
        <v>58</v>
      </c>
      <c r="F1977" t="s">
        <v>34</v>
      </c>
      <c r="G1977" s="1">
        <v>45621</v>
      </c>
      <c r="H1977" t="s">
        <v>171</v>
      </c>
      <c r="I1977">
        <v>2649432</v>
      </c>
      <c r="J1977">
        <v>220786</v>
      </c>
      <c r="K1977">
        <v>22585</v>
      </c>
      <c r="L1977">
        <v>56236</v>
      </c>
      <c r="M1977">
        <v>0.11310000000000001</v>
      </c>
      <c r="N1977">
        <v>0.87</v>
      </c>
      <c r="O1977">
        <v>1</v>
      </c>
      <c r="P1977" t="b">
        <f t="shared" si="61"/>
        <v>1</v>
      </c>
      <c r="Q1977" t="str">
        <f t="shared" si="60"/>
        <v>Positive</v>
      </c>
    </row>
    <row r="1978" spans="1:17" x14ac:dyDescent="0.3">
      <c r="A1978" t="s">
        <v>3235</v>
      </c>
      <c r="B1978" t="s">
        <v>16</v>
      </c>
      <c r="C1978" t="s">
        <v>23</v>
      </c>
      <c r="D1978" t="s">
        <v>54</v>
      </c>
      <c r="E1978" t="s">
        <v>51</v>
      </c>
      <c r="F1978" t="s">
        <v>24</v>
      </c>
      <c r="G1978" s="1">
        <v>45442</v>
      </c>
      <c r="H1978" t="s">
        <v>3236</v>
      </c>
      <c r="I1978">
        <v>2663640</v>
      </c>
      <c r="J1978">
        <v>177576</v>
      </c>
      <c r="K1978">
        <v>19574</v>
      </c>
      <c r="L1978">
        <v>54438</v>
      </c>
      <c r="M1978">
        <v>9.4500000000000001E-2</v>
      </c>
      <c r="N1978">
        <v>-0.68100000000000005</v>
      </c>
      <c r="O1978">
        <v>1</v>
      </c>
      <c r="P1978" t="b">
        <f t="shared" si="61"/>
        <v>1</v>
      </c>
      <c r="Q1978" t="str">
        <f t="shared" si="60"/>
        <v>Negative</v>
      </c>
    </row>
    <row r="1979" spans="1:17" x14ac:dyDescent="0.3">
      <c r="A1979" t="s">
        <v>3237</v>
      </c>
      <c r="B1979" t="s">
        <v>32</v>
      </c>
      <c r="C1979" t="s">
        <v>23</v>
      </c>
      <c r="D1979" t="s">
        <v>54</v>
      </c>
      <c r="E1979" t="s">
        <v>38</v>
      </c>
      <c r="F1979" t="s">
        <v>24</v>
      </c>
      <c r="G1979" s="1">
        <v>45331</v>
      </c>
      <c r="H1979" t="s">
        <v>3238</v>
      </c>
      <c r="I1979">
        <v>436282</v>
      </c>
      <c r="J1979">
        <v>19831</v>
      </c>
      <c r="K1979">
        <v>10136</v>
      </c>
      <c r="L1979">
        <v>66325</v>
      </c>
      <c r="M1979">
        <v>0.22070000000000001</v>
      </c>
      <c r="N1979">
        <v>-0.66600000000000004</v>
      </c>
      <c r="O1979">
        <v>0</v>
      </c>
      <c r="P1979" t="b">
        <f t="shared" si="61"/>
        <v>0</v>
      </c>
      <c r="Q1979" t="str">
        <f t="shared" si="60"/>
        <v>Negative</v>
      </c>
    </row>
    <row r="1980" spans="1:17" x14ac:dyDescent="0.3">
      <c r="A1980" t="s">
        <v>3239</v>
      </c>
      <c r="B1980" t="s">
        <v>16</v>
      </c>
      <c r="C1980" t="s">
        <v>23</v>
      </c>
      <c r="D1980" t="s">
        <v>37</v>
      </c>
      <c r="E1980" t="s">
        <v>38</v>
      </c>
      <c r="F1980" t="s">
        <v>34</v>
      </c>
      <c r="G1980" s="1">
        <v>45601</v>
      </c>
      <c r="H1980" t="s">
        <v>3240</v>
      </c>
      <c r="I1980">
        <v>3446729</v>
      </c>
      <c r="J1980">
        <v>265133</v>
      </c>
      <c r="K1980">
        <v>9574</v>
      </c>
      <c r="L1980">
        <v>87194</v>
      </c>
      <c r="M1980">
        <v>0.105</v>
      </c>
      <c r="N1980">
        <v>-0.33800000000000002</v>
      </c>
      <c r="O1980">
        <v>1</v>
      </c>
      <c r="P1980" t="b">
        <f t="shared" si="61"/>
        <v>1</v>
      </c>
      <c r="Q1980" t="str">
        <f t="shared" si="60"/>
        <v>Negative</v>
      </c>
    </row>
    <row r="1981" spans="1:17" x14ac:dyDescent="0.3">
      <c r="A1981" t="s">
        <v>3241</v>
      </c>
      <c r="B1981" t="s">
        <v>16</v>
      </c>
      <c r="C1981" t="s">
        <v>61</v>
      </c>
      <c r="D1981" t="s">
        <v>54</v>
      </c>
      <c r="E1981" t="s">
        <v>58</v>
      </c>
      <c r="F1981" t="s">
        <v>34</v>
      </c>
      <c r="G1981" s="1">
        <v>45486</v>
      </c>
      <c r="H1981" t="s">
        <v>554</v>
      </c>
      <c r="I1981">
        <v>1669136</v>
      </c>
      <c r="J1981">
        <v>208642</v>
      </c>
      <c r="K1981">
        <v>42542</v>
      </c>
      <c r="L1981">
        <v>88823</v>
      </c>
      <c r="M1981">
        <v>0.20369999999999999</v>
      </c>
      <c r="N1981">
        <v>1.4999999999999999E-2</v>
      </c>
      <c r="O1981">
        <v>0</v>
      </c>
      <c r="P1981" t="b">
        <f t="shared" si="61"/>
        <v>0</v>
      </c>
      <c r="Q1981" t="str">
        <f t="shared" si="60"/>
        <v>Positive</v>
      </c>
    </row>
    <row r="1982" spans="1:17" x14ac:dyDescent="0.3">
      <c r="A1982" t="s">
        <v>3242</v>
      </c>
      <c r="B1982" t="s">
        <v>66</v>
      </c>
      <c r="C1982" t="s">
        <v>61</v>
      </c>
      <c r="D1982" t="s">
        <v>33</v>
      </c>
      <c r="E1982" t="s">
        <v>51</v>
      </c>
      <c r="F1982" t="s">
        <v>55</v>
      </c>
      <c r="G1982" s="1">
        <v>45352</v>
      </c>
      <c r="H1982" t="s">
        <v>3243</v>
      </c>
      <c r="I1982">
        <v>611211</v>
      </c>
      <c r="J1982">
        <v>32169</v>
      </c>
      <c r="K1982">
        <v>16210</v>
      </c>
      <c r="L1982">
        <v>27332</v>
      </c>
      <c r="M1982">
        <v>0.1239</v>
      </c>
      <c r="N1982">
        <v>0.86299999999999999</v>
      </c>
      <c r="O1982">
        <v>0</v>
      </c>
      <c r="P1982" t="b">
        <f t="shared" si="61"/>
        <v>0</v>
      </c>
      <c r="Q1982" t="str">
        <f t="shared" si="60"/>
        <v>Positive</v>
      </c>
    </row>
    <row r="1983" spans="1:17" x14ac:dyDescent="0.3">
      <c r="A1983" t="s">
        <v>3244</v>
      </c>
      <c r="B1983" t="s">
        <v>27</v>
      </c>
      <c r="C1983" t="s">
        <v>17</v>
      </c>
      <c r="D1983" t="s">
        <v>18</v>
      </c>
      <c r="E1983" t="s">
        <v>19</v>
      </c>
      <c r="F1983" t="s">
        <v>34</v>
      </c>
      <c r="G1983" s="1">
        <v>45321</v>
      </c>
      <c r="H1983" t="s">
        <v>340</v>
      </c>
      <c r="I1983">
        <v>8390124</v>
      </c>
      <c r="J1983">
        <v>364788</v>
      </c>
      <c r="K1983">
        <v>18711</v>
      </c>
      <c r="L1983">
        <v>43517</v>
      </c>
      <c r="M1983">
        <v>5.0900000000000001E-2</v>
      </c>
      <c r="N1983">
        <v>-0.96099999999999997</v>
      </c>
      <c r="O1983">
        <v>1</v>
      </c>
      <c r="P1983" t="b">
        <f t="shared" si="61"/>
        <v>1</v>
      </c>
      <c r="Q1983" t="str">
        <f t="shared" si="60"/>
        <v>Negative</v>
      </c>
    </row>
    <row r="1984" spans="1:17" x14ac:dyDescent="0.3">
      <c r="A1984" t="s">
        <v>3245</v>
      </c>
      <c r="B1984" t="s">
        <v>66</v>
      </c>
      <c r="C1984" t="s">
        <v>28</v>
      </c>
      <c r="D1984" t="s">
        <v>73</v>
      </c>
      <c r="E1984" t="s">
        <v>41</v>
      </c>
      <c r="F1984" t="s">
        <v>55</v>
      </c>
      <c r="G1984" s="1">
        <v>45605</v>
      </c>
      <c r="H1984" t="s">
        <v>3246</v>
      </c>
      <c r="I1984">
        <v>12766554</v>
      </c>
      <c r="J1984">
        <v>440226</v>
      </c>
      <c r="K1984">
        <v>23009</v>
      </c>
      <c r="L1984">
        <v>20432</v>
      </c>
      <c r="M1984">
        <v>3.7900000000000003E-2</v>
      </c>
      <c r="N1984">
        <v>0.81899999999999995</v>
      </c>
      <c r="O1984">
        <v>1</v>
      </c>
      <c r="P1984" t="b">
        <f t="shared" si="61"/>
        <v>1</v>
      </c>
      <c r="Q1984" t="str">
        <f t="shared" si="60"/>
        <v>Positive</v>
      </c>
    </row>
    <row r="1985" spans="1:17" x14ac:dyDescent="0.3">
      <c r="A1985" t="s">
        <v>3247</v>
      </c>
      <c r="B1985" t="s">
        <v>32</v>
      </c>
      <c r="C1985" t="s">
        <v>23</v>
      </c>
      <c r="D1985" t="s">
        <v>29</v>
      </c>
      <c r="E1985" t="s">
        <v>51</v>
      </c>
      <c r="F1985" t="s">
        <v>20</v>
      </c>
      <c r="G1985" s="1">
        <v>45340</v>
      </c>
      <c r="H1985" t="s">
        <v>3248</v>
      </c>
      <c r="I1985">
        <v>12077268</v>
      </c>
      <c r="J1985">
        <v>431331</v>
      </c>
      <c r="K1985">
        <v>34507</v>
      </c>
      <c r="L1985">
        <v>31386</v>
      </c>
      <c r="M1985">
        <v>4.1200000000000001E-2</v>
      </c>
      <c r="N1985">
        <v>0.81799999999999995</v>
      </c>
      <c r="O1985">
        <v>1</v>
      </c>
      <c r="P1985" t="b">
        <f t="shared" si="61"/>
        <v>1</v>
      </c>
      <c r="Q1985" t="str">
        <f t="shared" si="60"/>
        <v>Positive</v>
      </c>
    </row>
    <row r="1986" spans="1:17" x14ac:dyDescent="0.3">
      <c r="A1986" t="s">
        <v>3249</v>
      </c>
      <c r="B1986" t="s">
        <v>16</v>
      </c>
      <c r="C1986" t="s">
        <v>28</v>
      </c>
      <c r="D1986" t="s">
        <v>37</v>
      </c>
      <c r="E1986" t="s">
        <v>19</v>
      </c>
      <c r="F1986" t="s">
        <v>55</v>
      </c>
      <c r="G1986" s="1">
        <v>45341</v>
      </c>
      <c r="H1986" t="s">
        <v>663</v>
      </c>
      <c r="I1986">
        <v>180852</v>
      </c>
      <c r="J1986">
        <v>12918</v>
      </c>
      <c r="K1986">
        <v>22691</v>
      </c>
      <c r="L1986">
        <v>63002</v>
      </c>
      <c r="M1986">
        <v>0.54530000000000001</v>
      </c>
      <c r="N1986">
        <v>6.5000000000000002E-2</v>
      </c>
      <c r="O1986">
        <v>0</v>
      </c>
      <c r="P1986" t="b">
        <f t="shared" si="61"/>
        <v>0</v>
      </c>
      <c r="Q1986" t="str">
        <f t="shared" ref="Q1986:Q2001" si="62">IF(N1986&gt;0,"Positive","Negative")</f>
        <v>Positive</v>
      </c>
    </row>
    <row r="1987" spans="1:17" x14ac:dyDescent="0.3">
      <c r="A1987" t="s">
        <v>3250</v>
      </c>
      <c r="B1987" t="s">
        <v>27</v>
      </c>
      <c r="C1987" t="s">
        <v>23</v>
      </c>
      <c r="D1987" t="s">
        <v>18</v>
      </c>
      <c r="E1987" t="s">
        <v>58</v>
      </c>
      <c r="F1987" t="s">
        <v>55</v>
      </c>
      <c r="G1987" s="1">
        <v>45539</v>
      </c>
      <c r="H1987" t="s">
        <v>1156</v>
      </c>
      <c r="I1987">
        <v>2438610</v>
      </c>
      <c r="J1987">
        <v>84090</v>
      </c>
      <c r="K1987">
        <v>13363</v>
      </c>
      <c r="L1987">
        <v>72205</v>
      </c>
      <c r="M1987">
        <v>6.9599999999999995E-2</v>
      </c>
      <c r="N1987">
        <v>-0.64100000000000001</v>
      </c>
      <c r="O1987">
        <v>1</v>
      </c>
      <c r="P1987" t="b">
        <f t="shared" ref="P1987:P2001" si="63">IF(O1987=1,TRUE,FALSE)</f>
        <v>1</v>
      </c>
      <c r="Q1987" t="str">
        <f t="shared" si="62"/>
        <v>Negative</v>
      </c>
    </row>
    <row r="1988" spans="1:17" x14ac:dyDescent="0.3">
      <c r="A1988" t="s">
        <v>3251</v>
      </c>
      <c r="B1988" t="s">
        <v>66</v>
      </c>
      <c r="C1988" t="s">
        <v>17</v>
      </c>
      <c r="D1988" t="s">
        <v>54</v>
      </c>
      <c r="E1988" t="s">
        <v>19</v>
      </c>
      <c r="F1988" t="s">
        <v>24</v>
      </c>
      <c r="G1988" s="1">
        <v>45495</v>
      </c>
      <c r="H1988" t="s">
        <v>78</v>
      </c>
      <c r="I1988">
        <v>5052451</v>
      </c>
      <c r="J1988">
        <v>297203</v>
      </c>
      <c r="K1988">
        <v>32333</v>
      </c>
      <c r="L1988">
        <v>8860</v>
      </c>
      <c r="M1988">
        <v>6.7000000000000004E-2</v>
      </c>
      <c r="N1988">
        <v>6.0000000000000001E-3</v>
      </c>
      <c r="O1988">
        <v>1</v>
      </c>
      <c r="P1988" t="b">
        <f t="shared" si="63"/>
        <v>1</v>
      </c>
      <c r="Q1988" t="str">
        <f t="shared" si="62"/>
        <v>Positive</v>
      </c>
    </row>
    <row r="1989" spans="1:17" x14ac:dyDescent="0.3">
      <c r="A1989" t="s">
        <v>3252</v>
      </c>
      <c r="B1989" t="s">
        <v>66</v>
      </c>
      <c r="C1989" t="s">
        <v>23</v>
      </c>
      <c r="D1989" t="s">
        <v>33</v>
      </c>
      <c r="E1989" t="s">
        <v>41</v>
      </c>
      <c r="F1989" t="s">
        <v>46</v>
      </c>
      <c r="G1989" s="1">
        <v>45403</v>
      </c>
      <c r="H1989" t="s">
        <v>488</v>
      </c>
      <c r="I1989">
        <v>3222752</v>
      </c>
      <c r="J1989">
        <v>123952</v>
      </c>
      <c r="K1989">
        <v>19235</v>
      </c>
      <c r="L1989">
        <v>26709</v>
      </c>
      <c r="M1989">
        <v>5.2699999999999997E-2</v>
      </c>
      <c r="N1989">
        <v>-0.34300000000000003</v>
      </c>
      <c r="O1989">
        <v>1</v>
      </c>
      <c r="P1989" t="b">
        <f t="shared" si="63"/>
        <v>1</v>
      </c>
      <c r="Q1989" t="str">
        <f t="shared" si="62"/>
        <v>Negative</v>
      </c>
    </row>
    <row r="1990" spans="1:17" x14ac:dyDescent="0.3">
      <c r="A1990" t="s">
        <v>3253</v>
      </c>
      <c r="B1990" t="s">
        <v>66</v>
      </c>
      <c r="C1990" t="s">
        <v>61</v>
      </c>
      <c r="D1990" t="s">
        <v>29</v>
      </c>
      <c r="E1990" t="s">
        <v>19</v>
      </c>
      <c r="F1990" t="s">
        <v>20</v>
      </c>
      <c r="G1990" s="1">
        <v>45449</v>
      </c>
      <c r="H1990" t="s">
        <v>76</v>
      </c>
      <c r="I1990">
        <v>30132</v>
      </c>
      <c r="J1990">
        <v>5022</v>
      </c>
      <c r="K1990">
        <v>4397</v>
      </c>
      <c r="L1990">
        <v>52336</v>
      </c>
      <c r="M1990">
        <v>2.0495000000000001</v>
      </c>
      <c r="N1990">
        <v>-0.63900000000000001</v>
      </c>
      <c r="O1990">
        <v>0</v>
      </c>
      <c r="P1990" t="b">
        <f t="shared" si="63"/>
        <v>0</v>
      </c>
      <c r="Q1990" t="str">
        <f t="shared" si="62"/>
        <v>Negative</v>
      </c>
    </row>
    <row r="1991" spans="1:17" x14ac:dyDescent="0.3">
      <c r="A1991" t="s">
        <v>3254</v>
      </c>
      <c r="B1991" t="s">
        <v>66</v>
      </c>
      <c r="C1991" t="s">
        <v>23</v>
      </c>
      <c r="D1991" t="s">
        <v>18</v>
      </c>
      <c r="E1991" t="s">
        <v>41</v>
      </c>
      <c r="F1991" t="s">
        <v>55</v>
      </c>
      <c r="G1991" s="1">
        <v>45384</v>
      </c>
      <c r="H1991" t="s">
        <v>1564</v>
      </c>
      <c r="I1991">
        <v>1354977</v>
      </c>
      <c r="J1991">
        <v>150553</v>
      </c>
      <c r="K1991">
        <v>47788</v>
      </c>
      <c r="L1991">
        <v>55674</v>
      </c>
      <c r="M1991">
        <v>0.1875</v>
      </c>
      <c r="N1991">
        <v>0.53400000000000003</v>
      </c>
      <c r="O1991">
        <v>0</v>
      </c>
      <c r="P1991" t="b">
        <f t="shared" si="63"/>
        <v>0</v>
      </c>
      <c r="Q1991" t="str">
        <f t="shared" si="62"/>
        <v>Positive</v>
      </c>
    </row>
    <row r="1992" spans="1:17" x14ac:dyDescent="0.3">
      <c r="A1992" t="s">
        <v>3255</v>
      </c>
      <c r="B1992" t="s">
        <v>16</v>
      </c>
      <c r="C1992" t="s">
        <v>28</v>
      </c>
      <c r="D1992" t="s">
        <v>54</v>
      </c>
      <c r="E1992" t="s">
        <v>38</v>
      </c>
      <c r="F1992" t="s">
        <v>24</v>
      </c>
      <c r="G1992" s="1">
        <v>45589</v>
      </c>
      <c r="H1992" t="s">
        <v>93</v>
      </c>
      <c r="I1992">
        <v>2638432</v>
      </c>
      <c r="J1992">
        <v>329804</v>
      </c>
      <c r="K1992">
        <v>16718</v>
      </c>
      <c r="L1992">
        <v>2487</v>
      </c>
      <c r="M1992">
        <v>0.1323</v>
      </c>
      <c r="N1992">
        <v>-6.9000000000000006E-2</v>
      </c>
      <c r="O1992">
        <v>1</v>
      </c>
      <c r="P1992" t="b">
        <f t="shared" si="63"/>
        <v>1</v>
      </c>
      <c r="Q1992" t="str">
        <f t="shared" si="62"/>
        <v>Negative</v>
      </c>
    </row>
    <row r="1993" spans="1:17" x14ac:dyDescent="0.3">
      <c r="A1993" t="s">
        <v>3256</v>
      </c>
      <c r="B1993" t="s">
        <v>16</v>
      </c>
      <c r="C1993" t="s">
        <v>28</v>
      </c>
      <c r="D1993" t="s">
        <v>37</v>
      </c>
      <c r="E1993" t="s">
        <v>38</v>
      </c>
      <c r="F1993" t="s">
        <v>55</v>
      </c>
      <c r="G1993" s="1">
        <v>45519</v>
      </c>
      <c r="H1993" t="s">
        <v>3257</v>
      </c>
      <c r="I1993">
        <v>3463490</v>
      </c>
      <c r="J1993">
        <v>346349</v>
      </c>
      <c r="K1993">
        <v>7091</v>
      </c>
      <c r="L1993">
        <v>67854</v>
      </c>
      <c r="M1993">
        <v>0.1216</v>
      </c>
      <c r="N1993">
        <v>-0.78700000000000003</v>
      </c>
      <c r="O1993">
        <v>1</v>
      </c>
      <c r="P1993" t="b">
        <f t="shared" si="63"/>
        <v>1</v>
      </c>
      <c r="Q1993" t="str">
        <f t="shared" si="62"/>
        <v>Negative</v>
      </c>
    </row>
    <row r="1994" spans="1:17" x14ac:dyDescent="0.3">
      <c r="A1994" t="s">
        <v>3258</v>
      </c>
      <c r="B1994" t="s">
        <v>16</v>
      </c>
      <c r="C1994" t="s">
        <v>61</v>
      </c>
      <c r="D1994" t="s">
        <v>54</v>
      </c>
      <c r="E1994" t="s">
        <v>51</v>
      </c>
      <c r="F1994" t="s">
        <v>20</v>
      </c>
      <c r="G1994" s="1">
        <v>45523</v>
      </c>
      <c r="H1994" t="s">
        <v>804</v>
      </c>
      <c r="I1994">
        <v>1664952</v>
      </c>
      <c r="J1994">
        <v>277492</v>
      </c>
      <c r="K1994">
        <v>2516</v>
      </c>
      <c r="L1994">
        <v>24227</v>
      </c>
      <c r="M1994">
        <v>0.1827</v>
      </c>
      <c r="N1994">
        <v>0.31900000000000001</v>
      </c>
      <c r="O1994">
        <v>0</v>
      </c>
      <c r="P1994" t="b">
        <f t="shared" si="63"/>
        <v>0</v>
      </c>
      <c r="Q1994" t="str">
        <f t="shared" si="62"/>
        <v>Positive</v>
      </c>
    </row>
    <row r="1995" spans="1:17" x14ac:dyDescent="0.3">
      <c r="A1995" t="s">
        <v>3259</v>
      </c>
      <c r="B1995" t="s">
        <v>16</v>
      </c>
      <c r="C1995" t="s">
        <v>28</v>
      </c>
      <c r="D1995" t="s">
        <v>73</v>
      </c>
      <c r="E1995" t="s">
        <v>38</v>
      </c>
      <c r="F1995" t="s">
        <v>24</v>
      </c>
      <c r="G1995" s="1">
        <v>45640</v>
      </c>
      <c r="H1995" t="s">
        <v>3260</v>
      </c>
      <c r="I1995">
        <v>6482208</v>
      </c>
      <c r="J1995">
        <v>270092</v>
      </c>
      <c r="K1995">
        <v>14279</v>
      </c>
      <c r="L1995">
        <v>54546</v>
      </c>
      <c r="M1995">
        <v>5.2299999999999999E-2</v>
      </c>
      <c r="N1995">
        <v>-0.23300000000000001</v>
      </c>
      <c r="O1995">
        <v>1</v>
      </c>
      <c r="P1995" t="b">
        <f t="shared" si="63"/>
        <v>1</v>
      </c>
      <c r="Q1995" t="str">
        <f t="shared" si="62"/>
        <v>Negative</v>
      </c>
    </row>
    <row r="1996" spans="1:17" x14ac:dyDescent="0.3">
      <c r="A1996" t="s">
        <v>3261</v>
      </c>
      <c r="B1996" t="s">
        <v>27</v>
      </c>
      <c r="C1996" t="s">
        <v>61</v>
      </c>
      <c r="D1996" t="s">
        <v>29</v>
      </c>
      <c r="E1996" t="s">
        <v>51</v>
      </c>
      <c r="F1996" t="s">
        <v>20</v>
      </c>
      <c r="G1996" s="1">
        <v>45477</v>
      </c>
      <c r="H1996" t="s">
        <v>3262</v>
      </c>
      <c r="I1996">
        <v>1996860</v>
      </c>
      <c r="J1996">
        <v>166405</v>
      </c>
      <c r="K1996">
        <v>16309</v>
      </c>
      <c r="L1996">
        <v>11295</v>
      </c>
      <c r="M1996">
        <v>9.7199999999999995E-2</v>
      </c>
      <c r="N1996">
        <v>-0.99299999999999999</v>
      </c>
      <c r="O1996">
        <v>0</v>
      </c>
      <c r="P1996" t="b">
        <f t="shared" si="63"/>
        <v>0</v>
      </c>
      <c r="Q1996" t="str">
        <f t="shared" si="62"/>
        <v>Negative</v>
      </c>
    </row>
    <row r="1997" spans="1:17" x14ac:dyDescent="0.3">
      <c r="A1997" t="s">
        <v>3263</v>
      </c>
      <c r="B1997" t="s">
        <v>27</v>
      </c>
      <c r="C1997" t="s">
        <v>17</v>
      </c>
      <c r="D1997" t="s">
        <v>18</v>
      </c>
      <c r="E1997" t="s">
        <v>38</v>
      </c>
      <c r="F1997" t="s">
        <v>34</v>
      </c>
      <c r="G1997" s="1">
        <v>45333</v>
      </c>
      <c r="H1997" t="s">
        <v>1188</v>
      </c>
      <c r="I1997">
        <v>14112183</v>
      </c>
      <c r="J1997">
        <v>486627</v>
      </c>
      <c r="K1997">
        <v>9430</v>
      </c>
      <c r="L1997">
        <v>91550</v>
      </c>
      <c r="M1997">
        <v>4.1599999999999998E-2</v>
      </c>
      <c r="N1997">
        <v>-0.54100000000000004</v>
      </c>
      <c r="O1997">
        <v>1</v>
      </c>
      <c r="P1997" t="b">
        <f t="shared" si="63"/>
        <v>1</v>
      </c>
      <c r="Q1997" t="str">
        <f t="shared" si="62"/>
        <v>Negative</v>
      </c>
    </row>
    <row r="1998" spans="1:17" x14ac:dyDescent="0.3">
      <c r="A1998" t="s">
        <v>3264</v>
      </c>
      <c r="B1998" t="s">
        <v>16</v>
      </c>
      <c r="C1998" t="s">
        <v>17</v>
      </c>
      <c r="D1998" t="s">
        <v>33</v>
      </c>
      <c r="E1998" t="s">
        <v>51</v>
      </c>
      <c r="F1998" t="s">
        <v>24</v>
      </c>
      <c r="G1998" s="1">
        <v>45334</v>
      </c>
      <c r="H1998" t="s">
        <v>82</v>
      </c>
      <c r="I1998">
        <v>5604744</v>
      </c>
      <c r="J1998">
        <v>467062</v>
      </c>
      <c r="K1998">
        <v>2764</v>
      </c>
      <c r="L1998">
        <v>16092</v>
      </c>
      <c r="M1998">
        <v>8.6699999999999999E-2</v>
      </c>
      <c r="N1998">
        <v>0.28699999999999998</v>
      </c>
      <c r="O1998">
        <v>1</v>
      </c>
      <c r="P1998" t="b">
        <f t="shared" si="63"/>
        <v>1</v>
      </c>
      <c r="Q1998" t="str">
        <f t="shared" si="62"/>
        <v>Positive</v>
      </c>
    </row>
    <row r="1999" spans="1:17" x14ac:dyDescent="0.3">
      <c r="A1999" t="s">
        <v>3265</v>
      </c>
      <c r="B1999" t="s">
        <v>32</v>
      </c>
      <c r="C1999" t="s">
        <v>23</v>
      </c>
      <c r="D1999" t="s">
        <v>37</v>
      </c>
      <c r="E1999" t="s">
        <v>19</v>
      </c>
      <c r="F1999" t="s">
        <v>20</v>
      </c>
      <c r="G1999" s="1">
        <v>45413</v>
      </c>
      <c r="H1999" t="s">
        <v>669</v>
      </c>
      <c r="I1999">
        <v>2031920</v>
      </c>
      <c r="J1999">
        <v>253990</v>
      </c>
      <c r="K1999">
        <v>40963</v>
      </c>
      <c r="L1999">
        <v>95697</v>
      </c>
      <c r="M1999">
        <v>0.1923</v>
      </c>
      <c r="N1999">
        <v>0.60399999999999998</v>
      </c>
      <c r="O1999">
        <v>1</v>
      </c>
      <c r="P1999" t="b">
        <f t="shared" si="63"/>
        <v>1</v>
      </c>
      <c r="Q1999" t="str">
        <f t="shared" si="62"/>
        <v>Positive</v>
      </c>
    </row>
    <row r="2000" spans="1:17" x14ac:dyDescent="0.3">
      <c r="A2000" t="s">
        <v>3266</v>
      </c>
      <c r="B2000" t="s">
        <v>32</v>
      </c>
      <c r="C2000" t="s">
        <v>23</v>
      </c>
      <c r="D2000" t="s">
        <v>18</v>
      </c>
      <c r="E2000" t="s">
        <v>19</v>
      </c>
      <c r="F2000" t="s">
        <v>20</v>
      </c>
      <c r="G2000" s="1">
        <v>45649</v>
      </c>
      <c r="H2000" t="s">
        <v>1637</v>
      </c>
      <c r="I2000">
        <v>5237350</v>
      </c>
      <c r="J2000">
        <v>209494</v>
      </c>
      <c r="K2000">
        <v>15042</v>
      </c>
      <c r="L2000">
        <v>67422</v>
      </c>
      <c r="M2000">
        <v>5.57E-2</v>
      </c>
      <c r="N2000">
        <v>-0.86099999999999999</v>
      </c>
      <c r="O2000">
        <v>1</v>
      </c>
      <c r="P2000" t="b">
        <f t="shared" si="63"/>
        <v>1</v>
      </c>
      <c r="Q2000" t="str">
        <f t="shared" si="62"/>
        <v>Negative</v>
      </c>
    </row>
    <row r="2001" spans="1:17" x14ac:dyDescent="0.3">
      <c r="A2001" t="s">
        <v>3267</v>
      </c>
      <c r="B2001" t="s">
        <v>32</v>
      </c>
      <c r="C2001" t="s">
        <v>23</v>
      </c>
      <c r="D2001" t="s">
        <v>33</v>
      </c>
      <c r="E2001" t="s">
        <v>19</v>
      </c>
      <c r="F2001" t="s">
        <v>46</v>
      </c>
      <c r="G2001" s="1">
        <v>45600</v>
      </c>
      <c r="H2001" t="s">
        <v>1067</v>
      </c>
      <c r="I2001">
        <v>3369429</v>
      </c>
      <c r="J2001">
        <v>481347</v>
      </c>
      <c r="K2001">
        <v>13455</v>
      </c>
      <c r="L2001">
        <v>9492</v>
      </c>
      <c r="M2001">
        <v>0.1497</v>
      </c>
      <c r="N2001">
        <v>0.29699999999999999</v>
      </c>
      <c r="O2001">
        <v>1</v>
      </c>
      <c r="P2001" t="b">
        <f t="shared" si="63"/>
        <v>1</v>
      </c>
      <c r="Q2001" t="str">
        <f>IF(N2001&gt;0,"Positive","Negative")</f>
        <v>Positive</v>
      </c>
    </row>
  </sheetData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social_media_viral_content_data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mishra</dc:creator>
  <cp:lastModifiedBy>siddhant mishra</cp:lastModifiedBy>
  <dcterms:created xsi:type="dcterms:W3CDTF">2026-08-13T09:55:37Z</dcterms:created>
  <dcterms:modified xsi:type="dcterms:W3CDTF">2026-08-13T11:35:09Z</dcterms:modified>
</cp:coreProperties>
</file>